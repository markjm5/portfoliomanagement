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77CB9DCE-FAF1-B048-846B-2F7ADE48BA75}" xr6:coauthVersionLast="47" xr6:coauthVersionMax="47" xr10:uidLastSave="{00000000-0000-0000-0000-000000000000}"/>
  <bookViews>
    <workbookView xWindow="-66840" yWindow="-420" windowWidth="40040" windowHeight="28020" activeTab="5" xr2:uid="{00000000-000D-0000-FFFF-FFFF00000000}"/>
  </bookViews>
  <sheets>
    <sheet name="Note" sheetId="1" r:id="rId1"/>
    <sheet name="Big Picture" sheetId="2" r:id="rId2"/>
    <sheet name="World Production data" sheetId="3" r:id="rId3"/>
    <sheet name="Database" sheetId="4" r:id="rId4"/>
    <sheet name="Data World GDP" sheetId="5" r:id="rId5"/>
    <sheet name="China Production data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  <definedName name="_xlnm._FilterDatabase" localSheetId="2" hidden="1">'World Production data'!$A$1:$E$1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0" l="1"/>
  <c r="G4" i="9"/>
  <c r="G3" i="9"/>
  <c r="G2" i="9"/>
  <c r="O1" i="9"/>
  <c r="G1" i="9"/>
  <c r="X25" i="7"/>
  <c r="X24" i="7"/>
  <c r="M9" i="7"/>
  <c r="L9" i="7"/>
  <c r="L8" i="7"/>
  <c r="N7" i="7"/>
  <c r="M7" i="7"/>
  <c r="L7" i="7"/>
  <c r="N6" i="7"/>
  <c r="M6" i="7"/>
  <c r="L6" i="7"/>
  <c r="N5" i="7"/>
  <c r="M5" i="7"/>
  <c r="L5" i="7"/>
  <c r="Z4" i="7"/>
  <c r="N4" i="7"/>
  <c r="M4" i="7"/>
  <c r="L4" i="7"/>
  <c r="Z3" i="7"/>
  <c r="F1224" i="4"/>
  <c r="E1224" i="4"/>
  <c r="F1223" i="4"/>
  <c r="E1223" i="4"/>
  <c r="F1222" i="4"/>
  <c r="E1222" i="4"/>
  <c r="F1221" i="4"/>
  <c r="E1221" i="4"/>
  <c r="F1220" i="4"/>
  <c r="E1220" i="4"/>
  <c r="F1219" i="4"/>
  <c r="E1219" i="4"/>
  <c r="F1218" i="4"/>
  <c r="E1218" i="4"/>
  <c r="F1217" i="4"/>
  <c r="E1217" i="4"/>
  <c r="F1216" i="4"/>
  <c r="E1216" i="4"/>
  <c r="F1215" i="4"/>
  <c r="E1215" i="4"/>
  <c r="F1214" i="4"/>
  <c r="E1214" i="4"/>
  <c r="F1213" i="4"/>
  <c r="E1213" i="4"/>
  <c r="F1212" i="4"/>
  <c r="E1212" i="4"/>
  <c r="F1211" i="4"/>
  <c r="E1211" i="4"/>
  <c r="F1210" i="4"/>
  <c r="E1210" i="4"/>
  <c r="F1209" i="4"/>
  <c r="E1209" i="4"/>
  <c r="F1208" i="4"/>
  <c r="E1208" i="4"/>
  <c r="F1207" i="4"/>
  <c r="E1207" i="4"/>
  <c r="F1206" i="4"/>
  <c r="E1206" i="4"/>
  <c r="F1205" i="4"/>
  <c r="E1205" i="4"/>
  <c r="F1204" i="4"/>
  <c r="E1204" i="4"/>
  <c r="F1203" i="4"/>
  <c r="E1203" i="4"/>
  <c r="F1202" i="4"/>
  <c r="E1202" i="4"/>
  <c r="F1201" i="4"/>
  <c r="E1201" i="4"/>
  <c r="F1200" i="4"/>
  <c r="E1200" i="4"/>
  <c r="F1199" i="4"/>
  <c r="E1199" i="4"/>
  <c r="F1198" i="4"/>
  <c r="E1198" i="4"/>
  <c r="F1197" i="4"/>
  <c r="E1197" i="4"/>
  <c r="F1196" i="4"/>
  <c r="E1196" i="4"/>
  <c r="F1195" i="4"/>
  <c r="E1195" i="4"/>
  <c r="F1194" i="4"/>
  <c r="E1194" i="4"/>
  <c r="F1193" i="4"/>
  <c r="E1193" i="4"/>
  <c r="F1192" i="4"/>
  <c r="E1192" i="4"/>
  <c r="F1191" i="4"/>
  <c r="E1191" i="4"/>
  <c r="F1190" i="4"/>
  <c r="E1190" i="4"/>
  <c r="F1189" i="4"/>
  <c r="E1189" i="4"/>
  <c r="F1188" i="4"/>
  <c r="E1188" i="4"/>
  <c r="F1187" i="4"/>
  <c r="E1187" i="4"/>
  <c r="F1186" i="4"/>
  <c r="E1186" i="4"/>
  <c r="F1185" i="4"/>
  <c r="E1185" i="4"/>
  <c r="F1184" i="4"/>
  <c r="E1184" i="4"/>
  <c r="F1183" i="4"/>
  <c r="E1183" i="4"/>
  <c r="F1182" i="4"/>
  <c r="E1182" i="4"/>
  <c r="F1181" i="4"/>
  <c r="E1181" i="4"/>
  <c r="F1180" i="4"/>
  <c r="E1180" i="4"/>
  <c r="F1179" i="4"/>
  <c r="E1179" i="4"/>
  <c r="F1178" i="4"/>
  <c r="E1178" i="4"/>
  <c r="F1177" i="4"/>
  <c r="E1177" i="4"/>
  <c r="F1176" i="4"/>
  <c r="E1176" i="4"/>
  <c r="F1175" i="4"/>
  <c r="E1175" i="4"/>
  <c r="F1174" i="4"/>
  <c r="E1174" i="4"/>
  <c r="F1173" i="4"/>
  <c r="E1173" i="4"/>
  <c r="F1172" i="4"/>
  <c r="E1172" i="4"/>
  <c r="F1171" i="4"/>
  <c r="E1171" i="4"/>
  <c r="F1170" i="4"/>
  <c r="E1170" i="4"/>
  <c r="F1169" i="4"/>
  <c r="E1169" i="4"/>
  <c r="F1168" i="4"/>
  <c r="E1168" i="4"/>
  <c r="F1167" i="4"/>
  <c r="E1167" i="4"/>
  <c r="F1166" i="4"/>
  <c r="E1166" i="4"/>
  <c r="F1165" i="4"/>
  <c r="E1165" i="4"/>
  <c r="F1164" i="4"/>
  <c r="E1164" i="4"/>
  <c r="F1163" i="4"/>
  <c r="E1163" i="4"/>
  <c r="F1162" i="4"/>
  <c r="E1162" i="4"/>
  <c r="F1161" i="4"/>
  <c r="E1161" i="4"/>
  <c r="F1160" i="4"/>
  <c r="E1160" i="4"/>
  <c r="F1159" i="4"/>
  <c r="E1159" i="4"/>
  <c r="F1158" i="4"/>
  <c r="E1158" i="4"/>
  <c r="F1157" i="4"/>
  <c r="E1157" i="4"/>
  <c r="F1156" i="4"/>
  <c r="E1156" i="4"/>
  <c r="F1155" i="4"/>
  <c r="E1155" i="4"/>
  <c r="F1154" i="4"/>
  <c r="E1154" i="4"/>
  <c r="F1153" i="4"/>
  <c r="E1153" i="4"/>
  <c r="F1152" i="4"/>
  <c r="E1152" i="4"/>
  <c r="F1151" i="4"/>
  <c r="E1151" i="4"/>
  <c r="F1150" i="4"/>
  <c r="E1150" i="4"/>
  <c r="F1149" i="4"/>
  <c r="E1149" i="4"/>
  <c r="F1148" i="4"/>
  <c r="E1148" i="4"/>
  <c r="F1147" i="4"/>
  <c r="E1147" i="4"/>
  <c r="F1146" i="4"/>
  <c r="E1146" i="4"/>
  <c r="F1145" i="4"/>
  <c r="E1145" i="4"/>
  <c r="F1144" i="4"/>
  <c r="E1144" i="4"/>
  <c r="F1143" i="4"/>
  <c r="E1143" i="4"/>
  <c r="F1142" i="4"/>
  <c r="E1142" i="4"/>
  <c r="F1141" i="4"/>
  <c r="E1141" i="4"/>
  <c r="F1140" i="4"/>
  <c r="E1140" i="4"/>
  <c r="F1139" i="4"/>
  <c r="E1139" i="4"/>
  <c r="F1138" i="4"/>
  <c r="E1138" i="4"/>
  <c r="F1137" i="4"/>
  <c r="E1137" i="4"/>
  <c r="F1136" i="4"/>
  <c r="E1136" i="4"/>
  <c r="F1135" i="4"/>
  <c r="E1135" i="4"/>
  <c r="F1134" i="4"/>
  <c r="E1134" i="4"/>
  <c r="F1133" i="4"/>
  <c r="E1133" i="4"/>
  <c r="F1132" i="4"/>
  <c r="E1132" i="4"/>
  <c r="F1131" i="4"/>
  <c r="E1131" i="4"/>
  <c r="F1130" i="4"/>
  <c r="E1130" i="4"/>
  <c r="F1129" i="4"/>
  <c r="E1129" i="4"/>
  <c r="F1128" i="4"/>
  <c r="E1128" i="4"/>
  <c r="F1127" i="4"/>
  <c r="E1127" i="4"/>
  <c r="F1126" i="4"/>
  <c r="E1126" i="4"/>
  <c r="F1125" i="4"/>
  <c r="E1125" i="4"/>
  <c r="F1124" i="4"/>
  <c r="E1124" i="4"/>
  <c r="F1123" i="4"/>
  <c r="E1123" i="4"/>
  <c r="F1122" i="4"/>
  <c r="E1122" i="4"/>
  <c r="F1121" i="4"/>
  <c r="E1121" i="4"/>
  <c r="F1120" i="4"/>
  <c r="E1120" i="4"/>
  <c r="F1119" i="4"/>
  <c r="E1119" i="4"/>
  <c r="F1118" i="4"/>
  <c r="E1118" i="4"/>
  <c r="F1117" i="4"/>
  <c r="E1117" i="4"/>
  <c r="F1116" i="4"/>
  <c r="E1116" i="4"/>
  <c r="F1115" i="4"/>
  <c r="E1115" i="4"/>
  <c r="F1114" i="4"/>
  <c r="E1114" i="4"/>
  <c r="F1113" i="4"/>
  <c r="E1113" i="4"/>
  <c r="F1112" i="4"/>
  <c r="E1112" i="4"/>
  <c r="F1111" i="4"/>
  <c r="E1111" i="4"/>
  <c r="F1110" i="4"/>
  <c r="E1110" i="4"/>
  <c r="F1109" i="4"/>
  <c r="E1109" i="4"/>
  <c r="F1108" i="4"/>
  <c r="E1108" i="4"/>
  <c r="F1107" i="4"/>
  <c r="E1107" i="4"/>
  <c r="F1106" i="4"/>
  <c r="E1106" i="4"/>
  <c r="F1105" i="4"/>
  <c r="E1105" i="4"/>
  <c r="F1104" i="4"/>
  <c r="E1104" i="4"/>
  <c r="F1103" i="4"/>
  <c r="E1103" i="4"/>
  <c r="F1102" i="4"/>
  <c r="E1102" i="4"/>
  <c r="F1101" i="4"/>
  <c r="E1101" i="4"/>
  <c r="F1100" i="4"/>
  <c r="E1100" i="4"/>
  <c r="F1099" i="4"/>
  <c r="E1099" i="4"/>
  <c r="F1098" i="4"/>
  <c r="E1098" i="4"/>
  <c r="F1097" i="4"/>
  <c r="E1097" i="4"/>
  <c r="F1096" i="4"/>
  <c r="E1096" i="4"/>
  <c r="F1095" i="4"/>
  <c r="E1095" i="4"/>
  <c r="F1094" i="4"/>
  <c r="E1094" i="4"/>
  <c r="F1093" i="4"/>
  <c r="E1093" i="4"/>
  <c r="F1092" i="4"/>
  <c r="E1092" i="4"/>
  <c r="F1091" i="4"/>
  <c r="E1091" i="4"/>
  <c r="F1090" i="4"/>
  <c r="E1090" i="4"/>
  <c r="F1089" i="4"/>
  <c r="E1089" i="4"/>
  <c r="F1088" i="4"/>
  <c r="E1088" i="4"/>
  <c r="F1087" i="4"/>
  <c r="E1087" i="4"/>
  <c r="F1086" i="4"/>
  <c r="E1086" i="4"/>
  <c r="F1085" i="4"/>
  <c r="E1085" i="4"/>
  <c r="F1084" i="4"/>
  <c r="E1084" i="4"/>
  <c r="F1083" i="4"/>
  <c r="E1083" i="4"/>
  <c r="F1082" i="4"/>
  <c r="E1082" i="4"/>
  <c r="F1081" i="4"/>
  <c r="E1081" i="4"/>
  <c r="F1080" i="4"/>
  <c r="E1080" i="4"/>
  <c r="F1079" i="4"/>
  <c r="E1079" i="4"/>
  <c r="F1078" i="4"/>
  <c r="E1078" i="4"/>
  <c r="F1077" i="4"/>
  <c r="E1077" i="4"/>
  <c r="F1076" i="4"/>
  <c r="E1076" i="4"/>
  <c r="F1075" i="4"/>
  <c r="E1075" i="4"/>
  <c r="F1074" i="4"/>
  <c r="E1074" i="4"/>
  <c r="F1073" i="4"/>
  <c r="E1073" i="4"/>
  <c r="F1072" i="4"/>
  <c r="E1072" i="4"/>
  <c r="F1071" i="4"/>
  <c r="E1071" i="4"/>
  <c r="F1070" i="4"/>
  <c r="E1070" i="4"/>
  <c r="F1069" i="4"/>
  <c r="E1069" i="4"/>
  <c r="F1068" i="4"/>
  <c r="E1068" i="4"/>
  <c r="F1067" i="4"/>
  <c r="E1067" i="4"/>
  <c r="F1066" i="4"/>
  <c r="E1066" i="4"/>
  <c r="F1065" i="4"/>
  <c r="E1065" i="4"/>
  <c r="F1064" i="4"/>
  <c r="E1064" i="4"/>
  <c r="F1063" i="4"/>
  <c r="E1063" i="4"/>
  <c r="F1062" i="4"/>
  <c r="E1062" i="4"/>
  <c r="F1061" i="4"/>
  <c r="E1061" i="4"/>
  <c r="F1060" i="4"/>
  <c r="E1060" i="4"/>
  <c r="F1059" i="4"/>
  <c r="E1059" i="4"/>
  <c r="F1058" i="4"/>
  <c r="E1058" i="4"/>
  <c r="F1057" i="4"/>
  <c r="E1057" i="4"/>
  <c r="F1056" i="4"/>
  <c r="E1056" i="4"/>
  <c r="F1055" i="4"/>
  <c r="E1055" i="4"/>
  <c r="F1054" i="4"/>
  <c r="E1054" i="4"/>
  <c r="F1053" i="4"/>
  <c r="E1053" i="4"/>
  <c r="F1052" i="4"/>
  <c r="E1052" i="4"/>
  <c r="F1051" i="4"/>
  <c r="E1051" i="4"/>
  <c r="F1050" i="4"/>
  <c r="E1050" i="4"/>
  <c r="F1049" i="4"/>
  <c r="E1049" i="4"/>
  <c r="F1048" i="4"/>
  <c r="E1048" i="4"/>
  <c r="F1047" i="4"/>
  <c r="E1047" i="4"/>
  <c r="F1046" i="4"/>
  <c r="E1046" i="4"/>
  <c r="F1045" i="4"/>
  <c r="E1045" i="4"/>
  <c r="F1044" i="4"/>
  <c r="E1044" i="4"/>
  <c r="F1043" i="4"/>
  <c r="E1043" i="4"/>
  <c r="F1042" i="4"/>
  <c r="E1042" i="4"/>
  <c r="F1041" i="4"/>
  <c r="E1041" i="4"/>
  <c r="F1040" i="4"/>
  <c r="E1040" i="4"/>
  <c r="F1039" i="4"/>
  <c r="E1039" i="4"/>
  <c r="F1038" i="4"/>
  <c r="E1038" i="4"/>
  <c r="F1037" i="4"/>
  <c r="E1037" i="4"/>
  <c r="F1036" i="4"/>
  <c r="E1036" i="4"/>
  <c r="F1035" i="4"/>
  <c r="E1035" i="4"/>
  <c r="F1034" i="4"/>
  <c r="E1034" i="4"/>
  <c r="F1033" i="4"/>
  <c r="E1033" i="4"/>
  <c r="F1032" i="4"/>
  <c r="E1032" i="4"/>
  <c r="F1031" i="4"/>
  <c r="E1031" i="4"/>
  <c r="F1030" i="4"/>
  <c r="E1030" i="4"/>
  <c r="F1029" i="4"/>
  <c r="E1029" i="4"/>
  <c r="F1028" i="4"/>
  <c r="E1028" i="4"/>
  <c r="F1027" i="4"/>
  <c r="E1027" i="4"/>
  <c r="F1026" i="4"/>
  <c r="E1026" i="4"/>
  <c r="F1025" i="4"/>
  <c r="E1025" i="4"/>
  <c r="F1024" i="4"/>
  <c r="E1024" i="4"/>
  <c r="F1023" i="4"/>
  <c r="E1023" i="4"/>
  <c r="F1022" i="4"/>
  <c r="E1022" i="4"/>
  <c r="F1021" i="4"/>
  <c r="E1021" i="4"/>
  <c r="F1020" i="4"/>
  <c r="E1020" i="4"/>
  <c r="F1019" i="4"/>
  <c r="E1019" i="4"/>
  <c r="F1018" i="4"/>
  <c r="E1018" i="4"/>
  <c r="F1017" i="4"/>
  <c r="E1017" i="4"/>
  <c r="F1016" i="4"/>
  <c r="E1016" i="4"/>
  <c r="F1015" i="4"/>
  <c r="E1015" i="4"/>
  <c r="F1014" i="4"/>
  <c r="E1014" i="4"/>
  <c r="F1013" i="4"/>
  <c r="E1013" i="4"/>
  <c r="F1012" i="4"/>
  <c r="E1012" i="4"/>
  <c r="F1011" i="4"/>
  <c r="E1011" i="4"/>
  <c r="F1010" i="4"/>
  <c r="E1010" i="4"/>
  <c r="F1009" i="4"/>
  <c r="E1009" i="4"/>
  <c r="F1008" i="4"/>
  <c r="E1008" i="4"/>
  <c r="F1007" i="4"/>
  <c r="E1007" i="4"/>
  <c r="F1006" i="4"/>
  <c r="E1006" i="4"/>
  <c r="F1005" i="4"/>
  <c r="E1005" i="4"/>
  <c r="F1004" i="4"/>
  <c r="E1004" i="4"/>
  <c r="F1003" i="4"/>
  <c r="E1003" i="4"/>
  <c r="F1002" i="4"/>
  <c r="E1002" i="4"/>
  <c r="F1001" i="4"/>
  <c r="E1001" i="4"/>
  <c r="F1000" i="4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J51" i="7" s="1"/>
  <c r="E4" i="4"/>
  <c r="F3" i="4"/>
  <c r="E3" i="4"/>
  <c r="F2" i="4"/>
  <c r="E2" i="4"/>
  <c r="D28" i="2"/>
  <c r="D29" i="2" s="1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D24" i="2" l="1"/>
  <c r="D8" i="2"/>
  <c r="D25" i="2"/>
  <c r="D21" i="2"/>
  <c r="D17" i="2"/>
  <c r="D13" i="2"/>
  <c r="D9" i="2"/>
  <c r="D20" i="2"/>
  <c r="D12" i="2"/>
  <c r="D26" i="2"/>
  <c r="D22" i="2"/>
  <c r="D18" i="2"/>
  <c r="D14" i="2"/>
  <c r="D10" i="2"/>
  <c r="D16" i="2"/>
  <c r="D15" i="2"/>
  <c r="D19" i="2"/>
  <c r="D11" i="2"/>
  <c r="D23" i="2"/>
  <c r="J169" i="7"/>
  <c r="P24" i="7"/>
  <c r="T25" i="7"/>
  <c r="J27" i="7"/>
  <c r="V28" i="7"/>
  <c r="N30" i="7"/>
  <c r="F32" i="7"/>
  <c r="R33" i="7"/>
  <c r="J35" i="7"/>
  <c r="V36" i="7"/>
  <c r="N38" i="7"/>
  <c r="F40" i="7"/>
  <c r="R41" i="7"/>
  <c r="J43" i="7"/>
  <c r="V44" i="7"/>
  <c r="N46" i="7"/>
  <c r="F48" i="7"/>
  <c r="R49" i="7"/>
  <c r="F52" i="7"/>
  <c r="Q24" i="7"/>
  <c r="K27" i="7"/>
  <c r="C29" i="7"/>
  <c r="O30" i="7"/>
  <c r="G32" i="7"/>
  <c r="S33" i="7"/>
  <c r="K35" i="7"/>
  <c r="C37" i="7"/>
  <c r="O38" i="7"/>
  <c r="G40" i="7"/>
  <c r="S41" i="7"/>
  <c r="K43" i="7"/>
  <c r="C45" i="7"/>
  <c r="O46" i="7"/>
  <c r="G48" i="7"/>
  <c r="S49" i="7"/>
  <c r="N52" i="7"/>
  <c r="F26" i="7"/>
  <c r="R27" i="7"/>
  <c r="J29" i="7"/>
  <c r="V30" i="7"/>
  <c r="N32" i="7"/>
  <c r="F34" i="7"/>
  <c r="R35" i="7"/>
  <c r="J37" i="7"/>
  <c r="V38" i="7"/>
  <c r="N40" i="7"/>
  <c r="F42" i="7"/>
  <c r="R43" i="7"/>
  <c r="J45" i="7"/>
  <c r="V46" i="7"/>
  <c r="N48" i="7"/>
  <c r="F50" i="7"/>
  <c r="C25" i="7"/>
  <c r="G26" i="7"/>
  <c r="S27" i="7"/>
  <c r="K29" i="7"/>
  <c r="C31" i="7"/>
  <c r="O32" i="7"/>
  <c r="G34" i="7"/>
  <c r="S35" i="7"/>
  <c r="K37" i="7"/>
  <c r="C39" i="7"/>
  <c r="O40" i="7"/>
  <c r="G42" i="7"/>
  <c r="S43" i="7"/>
  <c r="K45" i="7"/>
  <c r="C47" i="7"/>
  <c r="O48" i="7"/>
  <c r="G50" i="7"/>
  <c r="D25" i="7"/>
  <c r="N26" i="7"/>
  <c r="F28" i="7"/>
  <c r="R29" i="7"/>
  <c r="J31" i="7"/>
  <c r="V32" i="7"/>
  <c r="N34" i="7"/>
  <c r="F36" i="7"/>
  <c r="R37" i="7"/>
  <c r="J39" i="7"/>
  <c r="V40" i="7"/>
  <c r="N42" i="7"/>
  <c r="F44" i="7"/>
  <c r="R45" i="7"/>
  <c r="J47" i="7"/>
  <c r="V48" i="7"/>
  <c r="N50" i="7"/>
  <c r="N9" i="7"/>
  <c r="K25" i="7"/>
  <c r="O26" i="7"/>
  <c r="G28" i="7"/>
  <c r="S29" i="7"/>
  <c r="K31" i="7"/>
  <c r="C33" i="7"/>
  <c r="O34" i="7"/>
  <c r="G36" i="7"/>
  <c r="S37" i="7"/>
  <c r="K39" i="7"/>
  <c r="C41" i="7"/>
  <c r="O42" i="7"/>
  <c r="G44" i="7"/>
  <c r="S45" i="7"/>
  <c r="K47" i="7"/>
  <c r="C49" i="7"/>
  <c r="V50" i="7"/>
  <c r="H24" i="7"/>
  <c r="L25" i="7"/>
  <c r="V26" i="7"/>
  <c r="N28" i="7"/>
  <c r="F30" i="7"/>
  <c r="R31" i="7"/>
  <c r="J33" i="7"/>
  <c r="V34" i="7"/>
  <c r="N36" i="7"/>
  <c r="F38" i="7"/>
  <c r="R39" i="7"/>
  <c r="J41" i="7"/>
  <c r="V42" i="7"/>
  <c r="N44" i="7"/>
  <c r="F46" i="7"/>
  <c r="R47" i="7"/>
  <c r="J49" i="7"/>
  <c r="C72" i="7"/>
  <c r="H67" i="7"/>
  <c r="V64" i="7"/>
  <c r="F63" i="7"/>
  <c r="I61" i="7"/>
  <c r="M59" i="7"/>
  <c r="U57" i="7"/>
  <c r="E57" i="7"/>
  <c r="U55" i="7"/>
  <c r="U53" i="7"/>
  <c r="E53" i="7"/>
  <c r="U51" i="7"/>
  <c r="U49" i="7"/>
  <c r="E49" i="7"/>
  <c r="U47" i="7"/>
  <c r="U45" i="7"/>
  <c r="E45" i="7"/>
  <c r="U43" i="7"/>
  <c r="I42" i="7"/>
  <c r="U41" i="7"/>
  <c r="U39" i="7"/>
  <c r="Q38" i="7"/>
  <c r="M37" i="7"/>
  <c r="M35" i="7"/>
  <c r="M33" i="7"/>
  <c r="E31" i="7"/>
  <c r="U29" i="7"/>
  <c r="E29" i="7"/>
  <c r="M27" i="7"/>
  <c r="N25" i="7"/>
  <c r="D55" i="7"/>
  <c r="L51" i="7"/>
  <c r="L49" i="7"/>
  <c r="T47" i="7"/>
  <c r="L45" i="7"/>
  <c r="T43" i="7"/>
  <c r="H42" i="7"/>
  <c r="H40" i="7"/>
  <c r="H38" i="7"/>
  <c r="T37" i="7"/>
  <c r="L35" i="7"/>
  <c r="T33" i="7"/>
  <c r="T31" i="7"/>
  <c r="L29" i="7"/>
  <c r="L27" i="7"/>
  <c r="U25" i="7"/>
  <c r="J24" i="7"/>
  <c r="O73" i="7"/>
  <c r="S68" i="7"/>
  <c r="I68" i="7"/>
  <c r="J66" i="7"/>
  <c r="L65" i="7"/>
  <c r="O63" i="7"/>
  <c r="R61" i="7"/>
  <c r="K60" i="7"/>
  <c r="Q58" i="7"/>
  <c r="I56" i="7"/>
  <c r="I54" i="7"/>
  <c r="Q52" i="7"/>
  <c r="Q50" i="7"/>
  <c r="I48" i="7"/>
  <c r="M47" i="7"/>
  <c r="Q44" i="7"/>
  <c r="Q42" i="7"/>
  <c r="E41" i="7"/>
  <c r="E39" i="7"/>
  <c r="U37" i="7"/>
  <c r="U35" i="7"/>
  <c r="I34" i="7"/>
  <c r="E33" i="7"/>
  <c r="U31" i="7"/>
  <c r="I30" i="7"/>
  <c r="I28" i="7"/>
  <c r="E27" i="7"/>
  <c r="V25" i="7"/>
  <c r="C24" i="7"/>
  <c r="T53" i="7"/>
  <c r="H50" i="7"/>
  <c r="P48" i="7"/>
  <c r="D47" i="7"/>
  <c r="T45" i="7"/>
  <c r="P42" i="7"/>
  <c r="D41" i="7"/>
  <c r="P38" i="7"/>
  <c r="L37" i="7"/>
  <c r="T35" i="7"/>
  <c r="D33" i="7"/>
  <c r="D31" i="7"/>
  <c r="D29" i="7"/>
  <c r="T27" i="7"/>
  <c r="E25" i="7"/>
  <c r="E73" i="7"/>
  <c r="S66" i="7"/>
  <c r="M64" i="7"/>
  <c r="Q62" i="7"/>
  <c r="E59" i="7"/>
  <c r="M57" i="7"/>
  <c r="M55" i="7"/>
  <c r="M53" i="7"/>
  <c r="M51" i="7"/>
  <c r="Q48" i="7"/>
  <c r="I46" i="7"/>
  <c r="I44" i="7"/>
  <c r="M43" i="7"/>
  <c r="Q40" i="7"/>
  <c r="I38" i="7"/>
  <c r="E37" i="7"/>
  <c r="E35" i="7"/>
  <c r="U33" i="7"/>
  <c r="M31" i="7"/>
  <c r="M29" i="7"/>
  <c r="Q26" i="7"/>
  <c r="K24" i="7"/>
  <c r="P54" i="7"/>
  <c r="D51" i="7"/>
  <c r="D49" i="7"/>
  <c r="L47" i="7"/>
  <c r="H44" i="7"/>
  <c r="D43" i="7"/>
  <c r="P40" i="7"/>
  <c r="D39" i="7"/>
  <c r="P36" i="7"/>
  <c r="P34" i="7"/>
  <c r="P32" i="7"/>
  <c r="P30" i="7"/>
  <c r="P28" i="7"/>
  <c r="D27" i="7"/>
  <c r="M25" i="7"/>
  <c r="Q74" i="7"/>
  <c r="E74" i="7"/>
  <c r="M72" i="7"/>
  <c r="U70" i="7"/>
  <c r="K70" i="7"/>
  <c r="U69" i="7"/>
  <c r="I69" i="7"/>
  <c r="Q67" i="7"/>
  <c r="T60" i="7"/>
  <c r="E55" i="7"/>
  <c r="I50" i="7"/>
  <c r="Q46" i="7"/>
  <c r="I40" i="7"/>
  <c r="I36" i="7"/>
  <c r="I32" i="7"/>
  <c r="U27" i="7"/>
  <c r="S24" i="7"/>
  <c r="D53" i="7"/>
  <c r="H46" i="7"/>
  <c r="L41" i="7"/>
  <c r="H36" i="7"/>
  <c r="H32" i="7"/>
  <c r="H28" i="7"/>
  <c r="D73" i="7"/>
  <c r="L72" i="7"/>
  <c r="V71" i="7"/>
  <c r="L71" i="7"/>
  <c r="T70" i="7"/>
  <c r="J70" i="7"/>
  <c r="T69" i="7"/>
  <c r="H69" i="7"/>
  <c r="R68" i="7"/>
  <c r="H68" i="7"/>
  <c r="P67" i="7"/>
  <c r="G67" i="7"/>
  <c r="R66" i="7"/>
  <c r="I66" i="7"/>
  <c r="T65" i="7"/>
  <c r="J65" i="7"/>
  <c r="U64" i="7"/>
  <c r="L64" i="7"/>
  <c r="C64" i="7"/>
  <c r="N63" i="7"/>
  <c r="E63" i="7"/>
  <c r="P62" i="7"/>
  <c r="F62" i="7"/>
  <c r="Q61" i="7"/>
  <c r="H61" i="7"/>
  <c r="S60" i="7"/>
  <c r="J60" i="7"/>
  <c r="U59" i="7"/>
  <c r="L59" i="7"/>
  <c r="D59" i="7"/>
  <c r="P58" i="7"/>
  <c r="H58" i="7"/>
  <c r="T57" i="7"/>
  <c r="L57" i="7"/>
  <c r="D57" i="7"/>
  <c r="P56" i="7"/>
  <c r="H56" i="7"/>
  <c r="T55" i="7"/>
  <c r="L55" i="7"/>
  <c r="L53" i="7"/>
  <c r="P52" i="7"/>
  <c r="H52" i="7"/>
  <c r="T51" i="7"/>
  <c r="T49" i="7"/>
  <c r="P44" i="7"/>
  <c r="T39" i="7"/>
  <c r="H34" i="7"/>
  <c r="H30" i="7"/>
  <c r="H26" i="7"/>
  <c r="M73" i="7"/>
  <c r="U72" i="7"/>
  <c r="K72" i="7"/>
  <c r="U71" i="7"/>
  <c r="I71" i="7"/>
  <c r="S70" i="7"/>
  <c r="I70" i="7"/>
  <c r="Q69" i="7"/>
  <c r="G69" i="7"/>
  <c r="Q68" i="7"/>
  <c r="E68" i="7"/>
  <c r="O67" i="7"/>
  <c r="F67" i="7"/>
  <c r="Q66" i="7"/>
  <c r="H66" i="7"/>
  <c r="R65" i="7"/>
  <c r="I65" i="7"/>
  <c r="T64" i="7"/>
  <c r="K64" i="7"/>
  <c r="V63" i="7"/>
  <c r="M63" i="7"/>
  <c r="D63" i="7"/>
  <c r="N62" i="7"/>
  <c r="E62" i="7"/>
  <c r="P61" i="7"/>
  <c r="G61" i="7"/>
  <c r="R60" i="7"/>
  <c r="I60" i="7"/>
  <c r="T59" i="7"/>
  <c r="K59" i="7"/>
  <c r="C59" i="7"/>
  <c r="O58" i="7"/>
  <c r="G58" i="7"/>
  <c r="S57" i="7"/>
  <c r="K57" i="7"/>
  <c r="C57" i="7"/>
  <c r="O56" i="7"/>
  <c r="G56" i="7"/>
  <c r="S55" i="7"/>
  <c r="K55" i="7"/>
  <c r="C55" i="7"/>
  <c r="O54" i="7"/>
  <c r="G54" i="7"/>
  <c r="S53" i="7"/>
  <c r="K53" i="7"/>
  <c r="C53" i="7"/>
  <c r="O52" i="7"/>
  <c r="G52" i="7"/>
  <c r="S51" i="7"/>
  <c r="K51" i="7"/>
  <c r="C51" i="7"/>
  <c r="O50" i="7"/>
  <c r="N75" i="7"/>
  <c r="D75" i="7"/>
  <c r="L74" i="7"/>
  <c r="V73" i="7"/>
  <c r="L73" i="7"/>
  <c r="T72" i="7"/>
  <c r="J72" i="7"/>
  <c r="T71" i="7"/>
  <c r="H71" i="7"/>
  <c r="R70" i="7"/>
  <c r="H70" i="7"/>
  <c r="P69" i="7"/>
  <c r="F69" i="7"/>
  <c r="P68" i="7"/>
  <c r="D68" i="7"/>
  <c r="N67" i="7"/>
  <c r="E67" i="7"/>
  <c r="P66" i="7"/>
  <c r="F66" i="7"/>
  <c r="Q65" i="7"/>
  <c r="H65" i="7"/>
  <c r="S64" i="7"/>
  <c r="J64" i="7"/>
  <c r="U63" i="7"/>
  <c r="L63" i="7"/>
  <c r="V62" i="7"/>
  <c r="M62" i="7"/>
  <c r="D62" i="7"/>
  <c r="O61" i="7"/>
  <c r="F61" i="7"/>
  <c r="Q60" i="7"/>
  <c r="H60" i="7"/>
  <c r="R59" i="7"/>
  <c r="J59" i="7"/>
  <c r="V58" i="7"/>
  <c r="N58" i="7"/>
  <c r="F58" i="7"/>
  <c r="R57" i="7"/>
  <c r="J57" i="7"/>
  <c r="V56" i="7"/>
  <c r="N56" i="7"/>
  <c r="F56" i="7"/>
  <c r="R55" i="7"/>
  <c r="J55" i="7"/>
  <c r="V54" i="7"/>
  <c r="N54" i="7"/>
  <c r="F54" i="7"/>
  <c r="R53" i="7"/>
  <c r="J53" i="7"/>
  <c r="V52" i="7"/>
  <c r="M71" i="7"/>
  <c r="U65" i="7"/>
  <c r="D64" i="7"/>
  <c r="H62" i="7"/>
  <c r="V59" i="7"/>
  <c r="I58" i="7"/>
  <c r="Q56" i="7"/>
  <c r="Q54" i="7"/>
  <c r="I52" i="7"/>
  <c r="E51" i="7"/>
  <c r="M49" i="7"/>
  <c r="E47" i="7"/>
  <c r="M45" i="7"/>
  <c r="E43" i="7"/>
  <c r="M41" i="7"/>
  <c r="M39" i="7"/>
  <c r="Q36" i="7"/>
  <c r="Q34" i="7"/>
  <c r="Q32" i="7"/>
  <c r="Q30" i="7"/>
  <c r="Q28" i="7"/>
  <c r="I26" i="7"/>
  <c r="F25" i="7"/>
  <c r="H54" i="7"/>
  <c r="P50" i="7"/>
  <c r="H48" i="7"/>
  <c r="P46" i="7"/>
  <c r="D45" i="7"/>
  <c r="L43" i="7"/>
  <c r="T41" i="7"/>
  <c r="L39" i="7"/>
  <c r="D37" i="7"/>
  <c r="D35" i="7"/>
  <c r="L33" i="7"/>
  <c r="L31" i="7"/>
  <c r="T29" i="7"/>
  <c r="P26" i="7"/>
  <c r="R24" i="7"/>
  <c r="I24" i="7"/>
  <c r="S25" i="7"/>
  <c r="C27" i="7"/>
  <c r="O28" i="7"/>
  <c r="G30" i="7"/>
  <c r="S31" i="7"/>
  <c r="K33" i="7"/>
  <c r="C35" i="7"/>
  <c r="O36" i="7"/>
  <c r="G38" i="7"/>
  <c r="S39" i="7"/>
  <c r="K41" i="7"/>
  <c r="C43" i="7"/>
  <c r="O44" i="7"/>
  <c r="G46" i="7"/>
  <c r="S47" i="7"/>
  <c r="K49" i="7"/>
  <c r="R51" i="7"/>
  <c r="B344" i="9"/>
  <c r="B336" i="9"/>
  <c r="B328" i="9"/>
  <c r="B320" i="9"/>
  <c r="B312" i="9"/>
  <c r="B304" i="9"/>
  <c r="B296" i="9"/>
  <c r="B288" i="9"/>
  <c r="B280" i="9"/>
  <c r="B272" i="9"/>
  <c r="B264" i="9"/>
  <c r="B256" i="9"/>
  <c r="B248" i="9"/>
  <c r="B240" i="9"/>
  <c r="B232" i="9"/>
  <c r="B224" i="9"/>
  <c r="B216" i="9"/>
  <c r="B208" i="9"/>
  <c r="B200" i="9"/>
  <c r="B192" i="9"/>
  <c r="B184" i="9"/>
  <c r="B176" i="9"/>
  <c r="B168" i="9"/>
  <c r="B160" i="9"/>
  <c r="B152" i="9"/>
  <c r="B349" i="9"/>
  <c r="B341" i="9"/>
  <c r="B333" i="9"/>
  <c r="B325" i="9"/>
  <c r="B317" i="9"/>
  <c r="B309" i="9"/>
  <c r="B301" i="9"/>
  <c r="B293" i="9"/>
  <c r="B285" i="9"/>
  <c r="B277" i="9"/>
  <c r="B269" i="9"/>
  <c r="B261" i="9"/>
  <c r="B253" i="9"/>
  <c r="B245" i="9"/>
  <c r="B237" i="9"/>
  <c r="B229" i="9"/>
  <c r="B221" i="9"/>
  <c r="B213" i="9"/>
  <c r="B205" i="9"/>
  <c r="B197" i="9"/>
  <c r="B189" i="9"/>
  <c r="B181" i="9"/>
  <c r="B173" i="9"/>
  <c r="B165" i="9"/>
  <c r="B157" i="9"/>
  <c r="B149" i="9"/>
  <c r="B346" i="9"/>
  <c r="B338" i="9"/>
  <c r="B330" i="9"/>
  <c r="B322" i="9"/>
  <c r="B314" i="9"/>
  <c r="B306" i="9"/>
  <c r="B298" i="9"/>
  <c r="B290" i="9"/>
  <c r="B282" i="9"/>
  <c r="B274" i="9"/>
  <c r="B266" i="9"/>
  <c r="B258" i="9"/>
  <c r="B250" i="9"/>
  <c r="B242" i="9"/>
  <c r="B234" i="9"/>
  <c r="B226" i="9"/>
  <c r="B218" i="9"/>
  <c r="B210" i="9"/>
  <c r="B202" i="9"/>
  <c r="B194" i="9"/>
  <c r="B186" i="9"/>
  <c r="B178" i="9"/>
  <c r="B170" i="9"/>
  <c r="B162" i="9"/>
  <c r="B154" i="9"/>
  <c r="B146" i="9"/>
  <c r="B138" i="9"/>
  <c r="B130" i="9"/>
  <c r="B351" i="9"/>
  <c r="B348" i="9"/>
  <c r="B350" i="9"/>
  <c r="C351" i="9" s="1"/>
  <c r="B342" i="9"/>
  <c r="B334" i="9"/>
  <c r="B326" i="9"/>
  <c r="B318" i="9"/>
  <c r="B310" i="9"/>
  <c r="B302" i="9"/>
  <c r="B294" i="9"/>
  <c r="B286" i="9"/>
  <c r="B278" i="9"/>
  <c r="B270" i="9"/>
  <c r="B262" i="9"/>
  <c r="B254" i="9"/>
  <c r="B246" i="9"/>
  <c r="B238" i="9"/>
  <c r="B230" i="9"/>
  <c r="B222" i="9"/>
  <c r="B214" i="9"/>
  <c r="B206" i="9"/>
  <c r="B198" i="9"/>
  <c r="B190" i="9"/>
  <c r="B182" i="9"/>
  <c r="B174" i="9"/>
  <c r="B166" i="9"/>
  <c r="B158" i="9"/>
  <c r="B150" i="9"/>
  <c r="B345" i="9"/>
  <c r="C346" i="9" s="1"/>
  <c r="B329" i="9"/>
  <c r="B313" i="9"/>
  <c r="B297" i="9"/>
  <c r="B281" i="9"/>
  <c r="B265" i="9"/>
  <c r="B249" i="9"/>
  <c r="B233" i="9"/>
  <c r="B217" i="9"/>
  <c r="B201" i="9"/>
  <c r="B185" i="9"/>
  <c r="B169" i="9"/>
  <c r="B153" i="9"/>
  <c r="B135" i="9"/>
  <c r="B132" i="9"/>
  <c r="B129" i="9"/>
  <c r="B126" i="9"/>
  <c r="B118" i="9"/>
  <c r="B110" i="9"/>
  <c r="B102" i="9"/>
  <c r="B94" i="9"/>
  <c r="B86" i="9"/>
  <c r="B78" i="9"/>
  <c r="B70" i="9"/>
  <c r="B62" i="9"/>
  <c r="B54" i="9"/>
  <c r="B46" i="9"/>
  <c r="B38" i="9"/>
  <c r="B30" i="9"/>
  <c r="B339" i="9"/>
  <c r="B323" i="9"/>
  <c r="B307" i="9"/>
  <c r="B291" i="9"/>
  <c r="B275" i="9"/>
  <c r="B259" i="9"/>
  <c r="B243" i="9"/>
  <c r="B227" i="9"/>
  <c r="B211" i="9"/>
  <c r="B195" i="9"/>
  <c r="B179" i="9"/>
  <c r="B163" i="9"/>
  <c r="B144" i="9"/>
  <c r="B141" i="9"/>
  <c r="B123" i="9"/>
  <c r="B115" i="9"/>
  <c r="B107" i="9"/>
  <c r="B99" i="9"/>
  <c r="B91" i="9"/>
  <c r="B83" i="9"/>
  <c r="B75" i="9"/>
  <c r="B67" i="9"/>
  <c r="B59" i="9"/>
  <c r="B51" i="9"/>
  <c r="B43" i="9"/>
  <c r="B35" i="9"/>
  <c r="B27" i="9"/>
  <c r="B343" i="9"/>
  <c r="C344" i="9" s="1"/>
  <c r="B327" i="9"/>
  <c r="B311" i="9"/>
  <c r="B295" i="9"/>
  <c r="B279" i="9"/>
  <c r="B263" i="9"/>
  <c r="B247" i="9"/>
  <c r="B231" i="9"/>
  <c r="B215" i="9"/>
  <c r="B199" i="9"/>
  <c r="B183" i="9"/>
  <c r="B167" i="9"/>
  <c r="B151" i="9"/>
  <c r="B147" i="9"/>
  <c r="B120" i="9"/>
  <c r="B112" i="9"/>
  <c r="B104" i="9"/>
  <c r="B96" i="9"/>
  <c r="B88" i="9"/>
  <c r="B80" i="9"/>
  <c r="B72" i="9"/>
  <c r="B64" i="9"/>
  <c r="B56" i="9"/>
  <c r="B48" i="9"/>
  <c r="B40" i="9"/>
  <c r="B32" i="9"/>
  <c r="B24" i="9"/>
  <c r="C357" i="8"/>
  <c r="C356" i="8"/>
  <c r="C355" i="8"/>
  <c r="C354" i="8"/>
  <c r="I354" i="8" s="1"/>
  <c r="C353" i="8"/>
  <c r="C352" i="8"/>
  <c r="I352" i="8" s="1"/>
  <c r="B340" i="9"/>
  <c r="C341" i="9" s="1"/>
  <c r="B324" i="9"/>
  <c r="B308" i="9"/>
  <c r="B292" i="9"/>
  <c r="B276" i="9"/>
  <c r="B260" i="9"/>
  <c r="B244" i="9"/>
  <c r="B228" i="9"/>
  <c r="B212" i="9"/>
  <c r="B196" i="9"/>
  <c r="B180" i="9"/>
  <c r="B164" i="9"/>
  <c r="B148" i="9"/>
  <c r="B121" i="9"/>
  <c r="B113" i="9"/>
  <c r="B105" i="9"/>
  <c r="B97" i="9"/>
  <c r="B89" i="9"/>
  <c r="B81" i="9"/>
  <c r="B73" i="9"/>
  <c r="B65" i="9"/>
  <c r="B57" i="9"/>
  <c r="B49" i="9"/>
  <c r="B41" i="9"/>
  <c r="B33" i="9"/>
  <c r="B25" i="9"/>
  <c r="B319" i="9"/>
  <c r="B287" i="9"/>
  <c r="B255" i="9"/>
  <c r="B223" i="9"/>
  <c r="B191" i="9"/>
  <c r="B159" i="9"/>
  <c r="B142" i="9"/>
  <c r="B136" i="9"/>
  <c r="B124" i="9"/>
  <c r="B108" i="9"/>
  <c r="B92" i="9"/>
  <c r="B76" i="9"/>
  <c r="B60" i="9"/>
  <c r="B44" i="9"/>
  <c r="B28" i="9"/>
  <c r="B16" i="9"/>
  <c r="B11" i="9"/>
  <c r="F356" i="8"/>
  <c r="D355" i="8"/>
  <c r="F352" i="8"/>
  <c r="E351" i="8"/>
  <c r="E350" i="8"/>
  <c r="K350" i="8" s="1"/>
  <c r="E349" i="8"/>
  <c r="K349" i="8" s="1"/>
  <c r="E348" i="8"/>
  <c r="E347" i="8"/>
  <c r="E346" i="8"/>
  <c r="E345" i="8"/>
  <c r="E344" i="8"/>
  <c r="K344" i="8" s="1"/>
  <c r="E343" i="8"/>
  <c r="E342" i="8"/>
  <c r="K342" i="8" s="1"/>
  <c r="E341" i="8"/>
  <c r="K341" i="8" s="1"/>
  <c r="E340" i="8"/>
  <c r="E339" i="8"/>
  <c r="E338" i="8"/>
  <c r="B316" i="9"/>
  <c r="B284" i="9"/>
  <c r="B252" i="9"/>
  <c r="B220" i="9"/>
  <c r="B188" i="9"/>
  <c r="B156" i="9"/>
  <c r="B140" i="9"/>
  <c r="B134" i="9"/>
  <c r="B128" i="9"/>
  <c r="B117" i="9"/>
  <c r="B101" i="9"/>
  <c r="B85" i="9"/>
  <c r="B69" i="9"/>
  <c r="B53" i="9"/>
  <c r="B37" i="9"/>
  <c r="B23" i="9"/>
  <c r="B19" i="9"/>
  <c r="B15" i="9"/>
  <c r="B6" i="9"/>
  <c r="P357" i="8"/>
  <c r="Q357" i="8" s="1"/>
  <c r="G357" i="8"/>
  <c r="N356" i="8"/>
  <c r="E356" i="8"/>
  <c r="B355" i="8"/>
  <c r="P353" i="8"/>
  <c r="Q353" i="8" s="1"/>
  <c r="G353" i="8"/>
  <c r="N352" i="8"/>
  <c r="E352" i="8"/>
  <c r="K352" i="8" s="1"/>
  <c r="D351" i="8"/>
  <c r="D350" i="8"/>
  <c r="D349" i="8"/>
  <c r="D348" i="8"/>
  <c r="D347" i="8"/>
  <c r="D346" i="8"/>
  <c r="D345" i="8"/>
  <c r="D344" i="8"/>
  <c r="D343" i="8"/>
  <c r="D342" i="8"/>
  <c r="D341" i="8"/>
  <c r="D340" i="8"/>
  <c r="B337" i="9"/>
  <c r="B305" i="9"/>
  <c r="B273" i="9"/>
  <c r="B241" i="9"/>
  <c r="B209" i="9"/>
  <c r="B177" i="9"/>
  <c r="B122" i="9"/>
  <c r="B106" i="9"/>
  <c r="B90" i="9"/>
  <c r="B74" i="9"/>
  <c r="B58" i="9"/>
  <c r="B42" i="9"/>
  <c r="B10" i="9"/>
  <c r="B5" i="9"/>
  <c r="F357" i="8"/>
  <c r="D356" i="8"/>
  <c r="F353" i="8"/>
  <c r="D352" i="8"/>
  <c r="C351" i="8"/>
  <c r="C350" i="8"/>
  <c r="I350" i="8" s="1"/>
  <c r="C349" i="8"/>
  <c r="I349" i="8" s="1"/>
  <c r="C348" i="8"/>
  <c r="C347" i="8"/>
  <c r="C346" i="8"/>
  <c r="C345" i="8"/>
  <c r="C344" i="8"/>
  <c r="I344" i="8" s="1"/>
  <c r="C343" i="8"/>
  <c r="C342" i="8"/>
  <c r="I342" i="8" s="1"/>
  <c r="C341" i="8"/>
  <c r="I341" i="8" s="1"/>
  <c r="C340" i="8"/>
  <c r="C339" i="8"/>
  <c r="C338" i="8"/>
  <c r="C337" i="8"/>
  <c r="C336" i="8"/>
  <c r="I336" i="8" s="1"/>
  <c r="B331" i="9"/>
  <c r="B299" i="9"/>
  <c r="B267" i="9"/>
  <c r="B235" i="9"/>
  <c r="B203" i="9"/>
  <c r="B171" i="9"/>
  <c r="B119" i="9"/>
  <c r="B103" i="9"/>
  <c r="B87" i="9"/>
  <c r="B71" i="9"/>
  <c r="B55" i="9"/>
  <c r="B39" i="9"/>
  <c r="B20" i="9"/>
  <c r="B12" i="9"/>
  <c r="B7" i="9"/>
  <c r="P356" i="8"/>
  <c r="Q356" i="8" s="1"/>
  <c r="G356" i="8"/>
  <c r="N355" i="8"/>
  <c r="O355" i="8" s="1"/>
  <c r="E355" i="8"/>
  <c r="K355" i="8" s="1"/>
  <c r="B354" i="8"/>
  <c r="P352" i="8"/>
  <c r="G352" i="8"/>
  <c r="N351" i="8"/>
  <c r="F351" i="8"/>
  <c r="N350" i="8"/>
  <c r="F350" i="8"/>
  <c r="N349" i="8"/>
  <c r="O349" i="8" s="1"/>
  <c r="F349" i="8"/>
  <c r="B289" i="9"/>
  <c r="B225" i="9"/>
  <c r="B161" i="9"/>
  <c r="B98" i="9"/>
  <c r="B66" i="9"/>
  <c r="B34" i="9"/>
  <c r="B17" i="9"/>
  <c r="B8" i="9"/>
  <c r="G355" i="8"/>
  <c r="E354" i="8"/>
  <c r="B353" i="8"/>
  <c r="P351" i="8"/>
  <c r="Q351" i="8" s="1"/>
  <c r="P350" i="8"/>
  <c r="P349" i="8"/>
  <c r="Q349" i="8" s="1"/>
  <c r="P348" i="8"/>
  <c r="Q348" i="8" s="1"/>
  <c r="B348" i="8"/>
  <c r="G347" i="8"/>
  <c r="N345" i="8"/>
  <c r="P344" i="8"/>
  <c r="Q344" i="8" s="1"/>
  <c r="B344" i="8"/>
  <c r="H344" i="8" s="1"/>
  <c r="G343" i="8"/>
  <c r="N341" i="8"/>
  <c r="O341" i="8" s="1"/>
  <c r="P340" i="8"/>
  <c r="Q340" i="8" s="1"/>
  <c r="B340" i="8"/>
  <c r="G339" i="8"/>
  <c r="F336" i="8"/>
  <c r="E335" i="8"/>
  <c r="E334" i="8"/>
  <c r="K334" i="8" s="1"/>
  <c r="E333" i="8"/>
  <c r="E332" i="8"/>
  <c r="K332" i="8" s="1"/>
  <c r="E331" i="8"/>
  <c r="K331" i="8" s="1"/>
  <c r="E330" i="8"/>
  <c r="E329" i="8"/>
  <c r="E328" i="8"/>
  <c r="E327" i="8"/>
  <c r="E326" i="8"/>
  <c r="K326" i="8" s="1"/>
  <c r="E325" i="8"/>
  <c r="E324" i="8"/>
  <c r="K324" i="8" s="1"/>
  <c r="E323" i="8"/>
  <c r="K323" i="8" s="1"/>
  <c r="E322" i="8"/>
  <c r="E321" i="8"/>
  <c r="E320" i="8"/>
  <c r="E319" i="8"/>
  <c r="E318" i="8"/>
  <c r="K318" i="8" s="1"/>
  <c r="E317" i="8"/>
  <c r="E316" i="8"/>
  <c r="K316" i="8" s="1"/>
  <c r="E315" i="8"/>
  <c r="K315" i="8" s="1"/>
  <c r="E314" i="8"/>
  <c r="E313" i="8"/>
  <c r="E312" i="8"/>
  <c r="E311" i="8"/>
  <c r="E310" i="8"/>
  <c r="K310" i="8" s="1"/>
  <c r="E309" i="8"/>
  <c r="E308" i="8"/>
  <c r="K308" i="8" s="1"/>
  <c r="E307" i="8"/>
  <c r="K307" i="8" s="1"/>
  <c r="E306" i="8"/>
  <c r="E305" i="8"/>
  <c r="E304" i="8"/>
  <c r="E303" i="8"/>
  <c r="E302" i="8"/>
  <c r="K302" i="8" s="1"/>
  <c r="E301" i="8"/>
  <c r="B347" i="9"/>
  <c r="C348" i="9" s="1"/>
  <c r="B283" i="9"/>
  <c r="B219" i="9"/>
  <c r="B155" i="9"/>
  <c r="B127" i="9"/>
  <c r="B95" i="9"/>
  <c r="B63" i="9"/>
  <c r="B31" i="9"/>
  <c r="B22" i="9"/>
  <c r="B14" i="9"/>
  <c r="F355" i="8"/>
  <c r="D354" i="8"/>
  <c r="F347" i="8"/>
  <c r="F343" i="8"/>
  <c r="F339" i="8"/>
  <c r="P337" i="8"/>
  <c r="G337" i="8"/>
  <c r="N336" i="8"/>
  <c r="O336" i="8" s="1"/>
  <c r="E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B303" i="9"/>
  <c r="B239" i="9"/>
  <c r="B175" i="9"/>
  <c r="B139" i="9"/>
  <c r="B116" i="9"/>
  <c r="B84" i="9"/>
  <c r="B52" i="9"/>
  <c r="B21" i="9"/>
  <c r="E357" i="8"/>
  <c r="K357" i="8" s="1"/>
  <c r="B356" i="8"/>
  <c r="P354" i="8"/>
  <c r="Q354" i="8" s="1"/>
  <c r="N353" i="8"/>
  <c r="O353" i="8" s="1"/>
  <c r="N348" i="8"/>
  <c r="P347" i="8"/>
  <c r="B347" i="8"/>
  <c r="G346" i="8"/>
  <c r="N344" i="8"/>
  <c r="O344" i="8" s="1"/>
  <c r="P343" i="8"/>
  <c r="B343" i="8"/>
  <c r="H343" i="8" s="1"/>
  <c r="G342" i="8"/>
  <c r="M342" i="8" s="1"/>
  <c r="N340" i="8"/>
  <c r="P339" i="8"/>
  <c r="D339" i="8"/>
  <c r="F337" i="8"/>
  <c r="D336" i="8"/>
  <c r="C335" i="8"/>
  <c r="C334" i="8"/>
  <c r="I334" i="8" s="1"/>
  <c r="C333" i="8"/>
  <c r="I333" i="8" s="1"/>
  <c r="C332" i="8"/>
  <c r="C331" i="8"/>
  <c r="C330" i="8"/>
  <c r="C329" i="8"/>
  <c r="C328" i="8"/>
  <c r="I328" i="8" s="1"/>
  <c r="C327" i="8"/>
  <c r="C326" i="8"/>
  <c r="I326" i="8" s="1"/>
  <c r="C325" i="8"/>
  <c r="I325" i="8" s="1"/>
  <c r="C324" i="8"/>
  <c r="C323" i="8"/>
  <c r="C322" i="8"/>
  <c r="C321" i="8"/>
  <c r="C320" i="8"/>
  <c r="I320" i="8" s="1"/>
  <c r="C319" i="8"/>
  <c r="C318" i="8"/>
  <c r="I318" i="8" s="1"/>
  <c r="C317" i="8"/>
  <c r="I317" i="8" s="1"/>
  <c r="C316" i="8"/>
  <c r="C315" i="8"/>
  <c r="C314" i="8"/>
  <c r="C313" i="8"/>
  <c r="C312" i="8"/>
  <c r="I312" i="8" s="1"/>
  <c r="C311" i="8"/>
  <c r="C310" i="8"/>
  <c r="I310" i="8" s="1"/>
  <c r="C309" i="8"/>
  <c r="I309" i="8" s="1"/>
  <c r="C308" i="8"/>
  <c r="C307" i="8"/>
  <c r="C306" i="8"/>
  <c r="B300" i="9"/>
  <c r="B236" i="9"/>
  <c r="B172" i="9"/>
  <c r="B137" i="9"/>
  <c r="B321" i="9"/>
  <c r="B257" i="9"/>
  <c r="B193" i="9"/>
  <c r="B114" i="9"/>
  <c r="B315" i="9"/>
  <c r="B251" i="9"/>
  <c r="B187" i="9"/>
  <c r="B335" i="9"/>
  <c r="B271" i="9"/>
  <c r="B207" i="9"/>
  <c r="B145" i="9"/>
  <c r="B332" i="9"/>
  <c r="B268" i="9"/>
  <c r="B204" i="9"/>
  <c r="B143" i="9"/>
  <c r="B131" i="9"/>
  <c r="B109" i="9"/>
  <c r="B77" i="9"/>
  <c r="B45" i="9"/>
  <c r="F354" i="8"/>
  <c r="D353" i="8"/>
  <c r="F348" i="8"/>
  <c r="F344" i="8"/>
  <c r="F340" i="8"/>
  <c r="N338" i="8"/>
  <c r="O338" i="8" s="1"/>
  <c r="B338" i="8"/>
  <c r="P336" i="8"/>
  <c r="G336" i="8"/>
  <c r="N335" i="8"/>
  <c r="F335" i="8"/>
  <c r="N334" i="8"/>
  <c r="F334" i="8"/>
  <c r="N333" i="8"/>
  <c r="O333" i="8" s="1"/>
  <c r="F333" i="8"/>
  <c r="N332" i="8"/>
  <c r="F332" i="8"/>
  <c r="N331" i="8"/>
  <c r="F331" i="8"/>
  <c r="N330" i="8"/>
  <c r="F330" i="8"/>
  <c r="N329" i="8"/>
  <c r="O329" i="8" s="1"/>
  <c r="F329" i="8"/>
  <c r="N328" i="8"/>
  <c r="F328" i="8"/>
  <c r="N327" i="8"/>
  <c r="F327" i="8"/>
  <c r="N326" i="8"/>
  <c r="F326" i="8"/>
  <c r="N325" i="8"/>
  <c r="O325" i="8" s="1"/>
  <c r="F325" i="8"/>
  <c r="N324" i="8"/>
  <c r="F324" i="8"/>
  <c r="N323" i="8"/>
  <c r="F323" i="8"/>
  <c r="N322" i="8"/>
  <c r="F322" i="8"/>
  <c r="N321" i="8"/>
  <c r="O321" i="8" s="1"/>
  <c r="F321" i="8"/>
  <c r="N320" i="8"/>
  <c r="F320" i="8"/>
  <c r="N319" i="8"/>
  <c r="F319" i="8"/>
  <c r="N318" i="8"/>
  <c r="F318" i="8"/>
  <c r="B82" i="9"/>
  <c r="G354" i="8"/>
  <c r="B352" i="8"/>
  <c r="B350" i="8"/>
  <c r="G348" i="8"/>
  <c r="N346" i="8"/>
  <c r="O346" i="8" s="1"/>
  <c r="B345" i="8"/>
  <c r="P341" i="8"/>
  <c r="Q341" i="8" s="1"/>
  <c r="G340" i="8"/>
  <c r="M340" i="8" s="1"/>
  <c r="G335" i="8"/>
  <c r="G334" i="8"/>
  <c r="G333" i="8"/>
  <c r="G332" i="8"/>
  <c r="G331" i="8"/>
  <c r="M331" i="8" s="1"/>
  <c r="G330" i="8"/>
  <c r="G329" i="8"/>
  <c r="M329" i="8" s="1"/>
  <c r="G328" i="8"/>
  <c r="M328" i="8" s="1"/>
  <c r="G327" i="8"/>
  <c r="G326" i="8"/>
  <c r="G325" i="8"/>
  <c r="G324" i="8"/>
  <c r="G323" i="8"/>
  <c r="M323" i="8" s="1"/>
  <c r="G322" i="8"/>
  <c r="G321" i="8"/>
  <c r="M321" i="8" s="1"/>
  <c r="G320" i="8"/>
  <c r="M320" i="8" s="1"/>
  <c r="G319" i="8"/>
  <c r="G318" i="8"/>
  <c r="F314" i="8"/>
  <c r="F310" i="8"/>
  <c r="F306" i="8"/>
  <c r="C304" i="8"/>
  <c r="C302" i="8"/>
  <c r="I302" i="8" s="1"/>
  <c r="F300" i="8"/>
  <c r="N299" i="8"/>
  <c r="F299" i="8"/>
  <c r="N298" i="8"/>
  <c r="F298" i="8"/>
  <c r="N297" i="8"/>
  <c r="O297" i="8" s="1"/>
  <c r="F297" i="8"/>
  <c r="N296" i="8"/>
  <c r="O296" i="8" s="1"/>
  <c r="F296" i="8"/>
  <c r="N295" i="8"/>
  <c r="F295" i="8"/>
  <c r="N294" i="8"/>
  <c r="F294" i="8"/>
  <c r="N293" i="8"/>
  <c r="O293" i="8" s="1"/>
  <c r="F293" i="8"/>
  <c r="N292" i="8"/>
  <c r="O292" i="8" s="1"/>
  <c r="F292" i="8"/>
  <c r="N291" i="8"/>
  <c r="F291" i="8"/>
  <c r="N290" i="8"/>
  <c r="F290" i="8"/>
  <c r="N289" i="8"/>
  <c r="O289" i="8" s="1"/>
  <c r="F289" i="8"/>
  <c r="N288" i="8"/>
  <c r="O288" i="8" s="1"/>
  <c r="F288" i="8"/>
  <c r="N287" i="8"/>
  <c r="F287" i="8"/>
  <c r="N286" i="8"/>
  <c r="F286" i="8"/>
  <c r="N285" i="8"/>
  <c r="O285" i="8" s="1"/>
  <c r="F285" i="8"/>
  <c r="N284" i="8"/>
  <c r="O284" i="8" s="1"/>
  <c r="F284" i="8"/>
  <c r="N283" i="8"/>
  <c r="F283" i="8"/>
  <c r="N282" i="8"/>
  <c r="F282" i="8"/>
  <c r="N281" i="8"/>
  <c r="O281" i="8" s="1"/>
  <c r="F281" i="8"/>
  <c r="N280" i="8"/>
  <c r="O280" i="8" s="1"/>
  <c r="F280" i="8"/>
  <c r="B133" i="9"/>
  <c r="B79" i="9"/>
  <c r="B18" i="9"/>
  <c r="F346" i="8"/>
  <c r="E337" i="8"/>
  <c r="K337" i="8" s="1"/>
  <c r="B336" i="8"/>
  <c r="B335" i="8"/>
  <c r="H335" i="8" s="1"/>
  <c r="B334" i="8"/>
  <c r="H334" i="8" s="1"/>
  <c r="B333" i="8"/>
  <c r="B332" i="8"/>
  <c r="B331" i="8"/>
  <c r="B330" i="8"/>
  <c r="B329" i="8"/>
  <c r="H329" i="8" s="1"/>
  <c r="B328" i="8"/>
  <c r="B327" i="8"/>
  <c r="H327" i="8" s="1"/>
  <c r="B326" i="8"/>
  <c r="H326" i="8" s="1"/>
  <c r="B325" i="8"/>
  <c r="B324" i="8"/>
  <c r="B323" i="8"/>
  <c r="B322" i="8"/>
  <c r="B321" i="8"/>
  <c r="H321" i="8" s="1"/>
  <c r="B320" i="8"/>
  <c r="B319" i="8"/>
  <c r="H319" i="8" s="1"/>
  <c r="B318" i="8"/>
  <c r="H318" i="8" s="1"/>
  <c r="G317" i="8"/>
  <c r="N315" i="8"/>
  <c r="P314" i="8"/>
  <c r="B314" i="8"/>
  <c r="G313" i="8"/>
  <c r="M313" i="8" s="1"/>
  <c r="N311" i="8"/>
  <c r="P310" i="8"/>
  <c r="Q310" i="8" s="1"/>
  <c r="B310" i="8"/>
  <c r="H310" i="8" s="1"/>
  <c r="G309" i="8"/>
  <c r="N307" i="8"/>
  <c r="P306" i="8"/>
  <c r="B306" i="8"/>
  <c r="N304" i="8"/>
  <c r="O304" i="8" s="1"/>
  <c r="B304" i="8"/>
  <c r="N302" i="8"/>
  <c r="O302" i="8" s="1"/>
  <c r="B302" i="8"/>
  <c r="H302" i="8" s="1"/>
  <c r="N300" i="8"/>
  <c r="E300" i="8"/>
  <c r="E299" i="8"/>
  <c r="E298" i="8"/>
  <c r="E297" i="8"/>
  <c r="K297" i="8" s="1"/>
  <c r="E296" i="8"/>
  <c r="E295" i="8"/>
  <c r="K295" i="8" s="1"/>
  <c r="E294" i="8"/>
  <c r="K294" i="8" s="1"/>
  <c r="E293" i="8"/>
  <c r="E292" i="8"/>
  <c r="E291" i="8"/>
  <c r="E290" i="8"/>
  <c r="E289" i="8"/>
  <c r="K289" i="8" s="1"/>
  <c r="E288" i="8"/>
  <c r="E287" i="8"/>
  <c r="K287" i="8" s="1"/>
  <c r="E286" i="8"/>
  <c r="K286" i="8" s="1"/>
  <c r="E285" i="8"/>
  <c r="E284" i="8"/>
  <c r="E283" i="8"/>
  <c r="E282" i="8"/>
  <c r="E281" i="8"/>
  <c r="K281" i="8" s="1"/>
  <c r="E280" i="8"/>
  <c r="E279" i="8"/>
  <c r="K279" i="8" s="1"/>
  <c r="E278" i="8"/>
  <c r="K278" i="8" s="1"/>
  <c r="E277" i="8"/>
  <c r="E276" i="8"/>
  <c r="E275" i="8"/>
  <c r="E274" i="8"/>
  <c r="E273" i="8"/>
  <c r="K273" i="8" s="1"/>
  <c r="E272" i="8"/>
  <c r="E271" i="8"/>
  <c r="K271" i="8" s="1"/>
  <c r="E270" i="8"/>
  <c r="K270" i="8" s="1"/>
  <c r="E269" i="8"/>
  <c r="E268" i="8"/>
  <c r="E267" i="8"/>
  <c r="E266" i="8"/>
  <c r="E265" i="8"/>
  <c r="K265" i="8" s="1"/>
  <c r="B125" i="9"/>
  <c r="B100" i="9"/>
  <c r="B36" i="9"/>
  <c r="P355" i="8"/>
  <c r="N347" i="8"/>
  <c r="B346" i="8"/>
  <c r="P342" i="8"/>
  <c r="Q342" i="8" s="1"/>
  <c r="G341" i="8"/>
  <c r="M341" i="8" s="1"/>
  <c r="N339" i="8"/>
  <c r="G338" i="8"/>
  <c r="M338" i="8" s="1"/>
  <c r="D337" i="8"/>
  <c r="F317" i="8"/>
  <c r="F313" i="8"/>
  <c r="F309" i="8"/>
  <c r="G305" i="8"/>
  <c r="G303" i="8"/>
  <c r="M303" i="8" s="1"/>
  <c r="G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B93" i="9"/>
  <c r="B29" i="9"/>
  <c r="B61" i="9"/>
  <c r="G350" i="8"/>
  <c r="F345" i="8"/>
  <c r="P338" i="8"/>
  <c r="N316" i="8"/>
  <c r="P315" i="8"/>
  <c r="Q315" i="8" s="1"/>
  <c r="B315" i="8"/>
  <c r="G314" i="8"/>
  <c r="M314" i="8" s="1"/>
  <c r="N312" i="8"/>
  <c r="O312" i="8" s="1"/>
  <c r="P311" i="8"/>
  <c r="B311" i="8"/>
  <c r="G310" i="8"/>
  <c r="N308" i="8"/>
  <c r="P307" i="8"/>
  <c r="Q307" i="8" s="1"/>
  <c r="B307" i="8"/>
  <c r="G306" i="8"/>
  <c r="M306" i="8" s="1"/>
  <c r="P304" i="8"/>
  <c r="Q304" i="8" s="1"/>
  <c r="F304" i="8"/>
  <c r="P302" i="8"/>
  <c r="F302" i="8"/>
  <c r="P300" i="8"/>
  <c r="Q300" i="8" s="1"/>
  <c r="G300" i="8"/>
  <c r="M300" i="8" s="1"/>
  <c r="G299" i="8"/>
  <c r="G298" i="8"/>
  <c r="M298" i="8" s="1"/>
  <c r="G297" i="8"/>
  <c r="M297" i="8" s="1"/>
  <c r="G296" i="8"/>
  <c r="G295" i="8"/>
  <c r="G294" i="8"/>
  <c r="G293" i="8"/>
  <c r="G292" i="8"/>
  <c r="M292" i="8" s="1"/>
  <c r="G291" i="8"/>
  <c r="G290" i="8"/>
  <c r="M290" i="8" s="1"/>
  <c r="G289" i="8"/>
  <c r="M289" i="8" s="1"/>
  <c r="G288" i="8"/>
  <c r="G287" i="8"/>
  <c r="G286" i="8"/>
  <c r="G285" i="8"/>
  <c r="G284" i="8"/>
  <c r="M284" i="8" s="1"/>
  <c r="G283" i="8"/>
  <c r="G282" i="8"/>
  <c r="M282" i="8" s="1"/>
  <c r="G281" i="8"/>
  <c r="M281" i="8" s="1"/>
  <c r="G280" i="8"/>
  <c r="G279" i="8"/>
  <c r="G278" i="8"/>
  <c r="G277" i="8"/>
  <c r="G276" i="8"/>
  <c r="M276" i="8" s="1"/>
  <c r="G275" i="8"/>
  <c r="G274" i="8"/>
  <c r="M274" i="8" s="1"/>
  <c r="G273" i="8"/>
  <c r="M273" i="8" s="1"/>
  <c r="G272" i="8"/>
  <c r="G271" i="8"/>
  <c r="G270" i="8"/>
  <c r="G269" i="8"/>
  <c r="G268" i="8"/>
  <c r="M268" i="8" s="1"/>
  <c r="G267" i="8"/>
  <c r="G266" i="8"/>
  <c r="M266" i="8" s="1"/>
  <c r="G265" i="8"/>
  <c r="M265" i="8" s="1"/>
  <c r="G264" i="8"/>
  <c r="G263" i="8"/>
  <c r="G262" i="8"/>
  <c r="G261" i="8"/>
  <c r="G260" i="8"/>
  <c r="M260" i="8" s="1"/>
  <c r="G259" i="8"/>
  <c r="G258" i="8"/>
  <c r="M258" i="8" s="1"/>
  <c r="G257" i="8"/>
  <c r="M257" i="8" s="1"/>
  <c r="G256" i="8"/>
  <c r="G255" i="8"/>
  <c r="G254" i="8"/>
  <c r="B13" i="9"/>
  <c r="G349" i="8"/>
  <c r="M349" i="8" s="1"/>
  <c r="B337" i="8"/>
  <c r="P334" i="8"/>
  <c r="Q334" i="8" s="1"/>
  <c r="P332" i="8"/>
  <c r="Q332" i="8" s="1"/>
  <c r="P330" i="8"/>
  <c r="P328" i="8"/>
  <c r="P326" i="8"/>
  <c r="P324" i="8"/>
  <c r="Q324" i="8" s="1"/>
  <c r="P322" i="8"/>
  <c r="Q322" i="8" s="1"/>
  <c r="P320" i="8"/>
  <c r="P318" i="8"/>
  <c r="Q318" i="8" s="1"/>
  <c r="B317" i="8"/>
  <c r="H317" i="8" s="1"/>
  <c r="P313" i="8"/>
  <c r="G312" i="8"/>
  <c r="N310" i="8"/>
  <c r="B309" i="8"/>
  <c r="P305" i="8"/>
  <c r="Q305" i="8" s="1"/>
  <c r="F303" i="8"/>
  <c r="P301" i="8"/>
  <c r="Q301" i="8" s="1"/>
  <c r="N279" i="8"/>
  <c r="O279" i="8" s="1"/>
  <c r="C278" i="8"/>
  <c r="N275" i="8"/>
  <c r="C274" i="8"/>
  <c r="N271" i="8"/>
  <c r="C270" i="8"/>
  <c r="I270" i="8" s="1"/>
  <c r="N267" i="8"/>
  <c r="C266" i="8"/>
  <c r="I266" i="8" s="1"/>
  <c r="F263" i="8"/>
  <c r="F261" i="8"/>
  <c r="F259" i="8"/>
  <c r="F257" i="8"/>
  <c r="F255" i="8"/>
  <c r="F252" i="8"/>
  <c r="C251" i="8"/>
  <c r="F248" i="8"/>
  <c r="C247" i="8"/>
  <c r="I247" i="8" s="1"/>
  <c r="P244" i="8"/>
  <c r="P243" i="8"/>
  <c r="P242" i="8"/>
  <c r="P241" i="8"/>
  <c r="Q241" i="8" s="1"/>
  <c r="P240" i="8"/>
  <c r="Q240" i="8" s="1"/>
  <c r="P239" i="8"/>
  <c r="P238" i="8"/>
  <c r="Q238" i="8" s="1"/>
  <c r="P237" i="8"/>
  <c r="Q237" i="8" s="1"/>
  <c r="P236" i="8"/>
  <c r="P235" i="8"/>
  <c r="P234" i="8"/>
  <c r="P233" i="8"/>
  <c r="Q233" i="8" s="1"/>
  <c r="P232" i="8"/>
  <c r="Q232" i="8" s="1"/>
  <c r="P231" i="8"/>
  <c r="P230" i="8"/>
  <c r="Q230" i="8" s="1"/>
  <c r="P229" i="8"/>
  <c r="Q229" i="8" s="1"/>
  <c r="P228" i="8"/>
  <c r="P227" i="8"/>
  <c r="P226" i="8"/>
  <c r="P225" i="8"/>
  <c r="Q225" i="8" s="1"/>
  <c r="P224" i="8"/>
  <c r="Q224" i="8" s="1"/>
  <c r="P223" i="8"/>
  <c r="P222" i="8"/>
  <c r="Q222" i="8" s="1"/>
  <c r="P221" i="8"/>
  <c r="Q221" i="8" s="1"/>
  <c r="P220" i="8"/>
  <c r="P219" i="8"/>
  <c r="P218" i="8"/>
  <c r="P217" i="8"/>
  <c r="Q217" i="8" s="1"/>
  <c r="P216" i="8"/>
  <c r="Q216" i="8" s="1"/>
  <c r="P215" i="8"/>
  <c r="P214" i="8"/>
  <c r="Q214" i="8" s="1"/>
  <c r="P213" i="8"/>
  <c r="Q213" i="8" s="1"/>
  <c r="P212" i="8"/>
  <c r="P211" i="8"/>
  <c r="P210" i="8"/>
  <c r="B68" i="9"/>
  <c r="N357" i="8"/>
  <c r="O357" i="8" s="1"/>
  <c r="E353" i="8"/>
  <c r="B349" i="8"/>
  <c r="H349" i="8" s="1"/>
  <c r="P345" i="8"/>
  <c r="Q345" i="8" s="1"/>
  <c r="N342" i="8"/>
  <c r="F312" i="8"/>
  <c r="C303" i="8"/>
  <c r="P278" i="8"/>
  <c r="Q278" i="8" s="1"/>
  <c r="B278" i="8"/>
  <c r="H278" i="8" s="1"/>
  <c r="F277" i="8"/>
  <c r="P274" i="8"/>
  <c r="Q274" i="8" s="1"/>
  <c r="B274" i="8"/>
  <c r="H274" i="8" s="1"/>
  <c r="F273" i="8"/>
  <c r="P270" i="8"/>
  <c r="B270" i="8"/>
  <c r="F269" i="8"/>
  <c r="P266" i="8"/>
  <c r="Q266" i="8" s="1"/>
  <c r="B266" i="8"/>
  <c r="F265" i="8"/>
  <c r="P263" i="8"/>
  <c r="Q263" i="8" s="1"/>
  <c r="E263" i="8"/>
  <c r="P261" i="8"/>
  <c r="E261" i="8"/>
  <c r="P259" i="8"/>
  <c r="Q259" i="8" s="1"/>
  <c r="E259" i="8"/>
  <c r="K259" i="8" s="1"/>
  <c r="P257" i="8"/>
  <c r="E257" i="8"/>
  <c r="K257" i="8" s="1"/>
  <c r="P255" i="8"/>
  <c r="Q255" i="8" s="1"/>
  <c r="E255" i="8"/>
  <c r="P253" i="8"/>
  <c r="G253" i="8"/>
  <c r="N252" i="8"/>
  <c r="E252" i="8"/>
  <c r="K252" i="8" s="1"/>
  <c r="B251" i="8"/>
  <c r="P249" i="8"/>
  <c r="Q249" i="8" s="1"/>
  <c r="G249" i="8"/>
  <c r="M249" i="8" s="1"/>
  <c r="N248" i="8"/>
  <c r="E248" i="8"/>
  <c r="B247" i="8"/>
  <c r="P245" i="8"/>
  <c r="Q245" i="8" s="1"/>
  <c r="G245" i="8"/>
  <c r="M245" i="8" s="1"/>
  <c r="G244" i="8"/>
  <c r="G243" i="8"/>
  <c r="M243" i="8" s="1"/>
  <c r="G242" i="8"/>
  <c r="M242" i="8" s="1"/>
  <c r="G241" i="8"/>
  <c r="G240" i="8"/>
  <c r="G239" i="8"/>
  <c r="G238" i="8"/>
  <c r="G237" i="8"/>
  <c r="M237" i="8" s="1"/>
  <c r="G236" i="8"/>
  <c r="G235" i="8"/>
  <c r="M235" i="8" s="1"/>
  <c r="B111" i="9"/>
  <c r="B50" i="9"/>
  <c r="D357" i="8"/>
  <c r="F342" i="8"/>
  <c r="B339" i="8"/>
  <c r="P316" i="8"/>
  <c r="Q316" i="8" s="1"/>
  <c r="G315" i="8"/>
  <c r="N313" i="8"/>
  <c r="O313" i="8" s="1"/>
  <c r="B312" i="8"/>
  <c r="H312" i="8" s="1"/>
  <c r="P308" i="8"/>
  <c r="G307" i="8"/>
  <c r="N305" i="8"/>
  <c r="B303" i="8"/>
  <c r="N301" i="8"/>
  <c r="O301" i="8" s="1"/>
  <c r="N278" i="8"/>
  <c r="C277" i="8"/>
  <c r="I277" i="8" s="1"/>
  <c r="N274" i="8"/>
  <c r="O274" i="8" s="1"/>
  <c r="C273" i="8"/>
  <c r="N270" i="8"/>
  <c r="C269" i="8"/>
  <c r="N266" i="8"/>
  <c r="C265" i="8"/>
  <c r="I265" i="8" s="1"/>
  <c r="N263" i="8"/>
  <c r="C263" i="8"/>
  <c r="I263" i="8" s="1"/>
  <c r="N261" i="8"/>
  <c r="O261" i="8" s="1"/>
  <c r="C261" i="8"/>
  <c r="N259" i="8"/>
  <c r="C259" i="8"/>
  <c r="N257" i="8"/>
  <c r="C257" i="8"/>
  <c r="I257" i="8" s="1"/>
  <c r="N255" i="8"/>
  <c r="C255" i="8"/>
  <c r="I255" i="8" s="1"/>
  <c r="F253" i="8"/>
  <c r="C252" i="8"/>
  <c r="F249" i="8"/>
  <c r="C248" i="8"/>
  <c r="F245" i="8"/>
  <c r="N244" i="8"/>
  <c r="O244" i="8" s="1"/>
  <c r="F244" i="8"/>
  <c r="N243" i="8"/>
  <c r="O243" i="8" s="1"/>
  <c r="F243" i="8"/>
  <c r="N242" i="8"/>
  <c r="F242" i="8"/>
  <c r="N241" i="8"/>
  <c r="F241" i="8"/>
  <c r="N240" i="8"/>
  <c r="O240" i="8" s="1"/>
  <c r="F240" i="8"/>
  <c r="N239" i="8"/>
  <c r="O239" i="8" s="1"/>
  <c r="B47" i="9"/>
  <c r="B9" i="9"/>
  <c r="B357" i="8"/>
  <c r="G345" i="8"/>
  <c r="B342" i="8"/>
  <c r="F315" i="8"/>
  <c r="G351" i="8"/>
  <c r="F341" i="8"/>
  <c r="F338" i="8"/>
  <c r="P335" i="8"/>
  <c r="P333" i="8"/>
  <c r="P331" i="8"/>
  <c r="P329" i="8"/>
  <c r="Q329" i="8" s="1"/>
  <c r="P327" i="8"/>
  <c r="Q327" i="8" s="1"/>
  <c r="P325" i="8"/>
  <c r="B351" i="8"/>
  <c r="H351" i="8" s="1"/>
  <c r="G344" i="8"/>
  <c r="M344" i="8" s="1"/>
  <c r="B341" i="8"/>
  <c r="D338" i="8"/>
  <c r="F316" i="8"/>
  <c r="B26" i="9"/>
  <c r="N337" i="8"/>
  <c r="O337" i="8" s="1"/>
  <c r="N317" i="8"/>
  <c r="B316" i="8"/>
  <c r="H316" i="8" s="1"/>
  <c r="N354" i="8"/>
  <c r="O354" i="8" s="1"/>
  <c r="P346" i="8"/>
  <c r="N343" i="8"/>
  <c r="F311" i="8"/>
  <c r="G302" i="8"/>
  <c r="P299" i="8"/>
  <c r="Q299" i="8" s="1"/>
  <c r="P298" i="8"/>
  <c r="P297" i="8"/>
  <c r="Q297" i="8" s="1"/>
  <c r="P296" i="8"/>
  <c r="Q296" i="8" s="1"/>
  <c r="P295" i="8"/>
  <c r="P294" i="8"/>
  <c r="P293" i="8"/>
  <c r="P292" i="8"/>
  <c r="Q292" i="8" s="1"/>
  <c r="P291" i="8"/>
  <c r="Q291" i="8" s="1"/>
  <c r="P290" i="8"/>
  <c r="P289" i="8"/>
  <c r="Q289" i="8" s="1"/>
  <c r="P288" i="8"/>
  <c r="Q288" i="8" s="1"/>
  <c r="P287" i="8"/>
  <c r="P286" i="8"/>
  <c r="P285" i="8"/>
  <c r="P284" i="8"/>
  <c r="Q284" i="8" s="1"/>
  <c r="P283" i="8"/>
  <c r="Q283" i="8" s="1"/>
  <c r="P282" i="8"/>
  <c r="P281" i="8"/>
  <c r="Q281" i="8" s="1"/>
  <c r="P280" i="8"/>
  <c r="Q280" i="8" s="1"/>
  <c r="P279" i="8"/>
  <c r="B279" i="8"/>
  <c r="F278" i="8"/>
  <c r="P275" i="8"/>
  <c r="Q275" i="8" s="1"/>
  <c r="B275" i="8"/>
  <c r="H275" i="8" s="1"/>
  <c r="F274" i="8"/>
  <c r="P271" i="8"/>
  <c r="Q271" i="8" s="1"/>
  <c r="B271" i="8"/>
  <c r="H271" i="8" s="1"/>
  <c r="F270" i="8"/>
  <c r="P267" i="8"/>
  <c r="B267" i="8"/>
  <c r="F266" i="8"/>
  <c r="B264" i="8"/>
  <c r="H264" i="8" s="1"/>
  <c r="B262" i="8"/>
  <c r="B260" i="8"/>
  <c r="H260" i="8" s="1"/>
  <c r="B258" i="8"/>
  <c r="H258" i="8" s="1"/>
  <c r="B256" i="8"/>
  <c r="B254" i="8"/>
  <c r="P252" i="8"/>
  <c r="G252" i="8"/>
  <c r="N251" i="8"/>
  <c r="O251" i="8" s="1"/>
  <c r="E251" i="8"/>
  <c r="B250" i="8"/>
  <c r="H250" i="8" s="1"/>
  <c r="P248" i="8"/>
  <c r="Q248" i="8" s="1"/>
  <c r="G248" i="8"/>
  <c r="N247" i="8"/>
  <c r="E247" i="8"/>
  <c r="P319" i="8"/>
  <c r="Q319" i="8" s="1"/>
  <c r="P312" i="8"/>
  <c r="Q312" i="8" s="1"/>
  <c r="N309" i="8"/>
  <c r="N303" i="8"/>
  <c r="O303" i="8" s="1"/>
  <c r="B301" i="8"/>
  <c r="H301" i="8" s="1"/>
  <c r="C279" i="8"/>
  <c r="N272" i="8"/>
  <c r="C271" i="8"/>
  <c r="N264" i="8"/>
  <c r="C262" i="8"/>
  <c r="I262" i="8" s="1"/>
  <c r="N260" i="8"/>
  <c r="C258" i="8"/>
  <c r="I258" i="8" s="1"/>
  <c r="N256" i="8"/>
  <c r="O256" i="8" s="1"/>
  <c r="C254" i="8"/>
  <c r="F247" i="8"/>
  <c r="E246" i="8"/>
  <c r="E245" i="8"/>
  <c r="C242" i="8"/>
  <c r="I242" i="8" s="1"/>
  <c r="E241" i="8"/>
  <c r="B239" i="8"/>
  <c r="H239" i="8" s="1"/>
  <c r="F238" i="8"/>
  <c r="B237" i="8"/>
  <c r="F236" i="8"/>
  <c r="B235" i="8"/>
  <c r="F233" i="8"/>
  <c r="D232" i="8"/>
  <c r="B231" i="8"/>
  <c r="F229" i="8"/>
  <c r="D228" i="8"/>
  <c r="B227" i="8"/>
  <c r="F225" i="8"/>
  <c r="D224" i="8"/>
  <c r="B223" i="8"/>
  <c r="F221" i="8"/>
  <c r="D220" i="8"/>
  <c r="B219" i="8"/>
  <c r="H219" i="8" s="1"/>
  <c r="F217" i="8"/>
  <c r="D216" i="8"/>
  <c r="B215" i="8"/>
  <c r="F213" i="8"/>
  <c r="D212" i="8"/>
  <c r="B211" i="8"/>
  <c r="H211" i="8" s="1"/>
  <c r="P209" i="8"/>
  <c r="P208" i="8"/>
  <c r="Q208" i="8" s="1"/>
  <c r="P207" i="8"/>
  <c r="Q207" i="8" s="1"/>
  <c r="P206" i="8"/>
  <c r="P205" i="8"/>
  <c r="P204" i="8"/>
  <c r="P203" i="8"/>
  <c r="Q203" i="8" s="1"/>
  <c r="P202" i="8"/>
  <c r="Q202" i="8" s="1"/>
  <c r="P201" i="8"/>
  <c r="P200" i="8"/>
  <c r="Q200" i="8" s="1"/>
  <c r="P199" i="8"/>
  <c r="Q199" i="8" s="1"/>
  <c r="P198" i="8"/>
  <c r="P197" i="8"/>
  <c r="P196" i="8"/>
  <c r="P195" i="8"/>
  <c r="Q195" i="8" s="1"/>
  <c r="P194" i="8"/>
  <c r="Q194" i="8" s="1"/>
  <c r="P193" i="8"/>
  <c r="P192" i="8"/>
  <c r="Q192" i="8" s="1"/>
  <c r="P191" i="8"/>
  <c r="Q191" i="8" s="1"/>
  <c r="P190" i="8"/>
  <c r="P189" i="8"/>
  <c r="P188" i="8"/>
  <c r="P187" i="8"/>
  <c r="Q187" i="8" s="1"/>
  <c r="P186" i="8"/>
  <c r="Q186" i="8" s="1"/>
  <c r="P185" i="8"/>
  <c r="P184" i="8"/>
  <c r="Q184" i="8" s="1"/>
  <c r="P183" i="8"/>
  <c r="Q183" i="8" s="1"/>
  <c r="P182" i="8"/>
  <c r="P317" i="8"/>
  <c r="B277" i="8"/>
  <c r="P273" i="8"/>
  <c r="Q273" i="8" s="1"/>
  <c r="F272" i="8"/>
  <c r="B269" i="8"/>
  <c r="P265" i="8"/>
  <c r="Q265" i="8" s="1"/>
  <c r="B263" i="8"/>
  <c r="H263" i="8" s="1"/>
  <c r="B259" i="8"/>
  <c r="B255" i="8"/>
  <c r="N253" i="8"/>
  <c r="G250" i="8"/>
  <c r="E249" i="8"/>
  <c r="K249" i="8" s="1"/>
  <c r="B248" i="8"/>
  <c r="P246" i="8"/>
  <c r="Q246" i="8" s="1"/>
  <c r="C246" i="8"/>
  <c r="I246" i="8" s="1"/>
  <c r="D245" i="8"/>
  <c r="B242" i="8"/>
  <c r="D241" i="8"/>
  <c r="E238" i="8"/>
  <c r="E236" i="8"/>
  <c r="K236" i="8" s="1"/>
  <c r="G234" i="8"/>
  <c r="N233" i="8"/>
  <c r="O233" i="8" s="1"/>
  <c r="E233" i="8"/>
  <c r="K233" i="8" s="1"/>
  <c r="C232" i="8"/>
  <c r="G230" i="8"/>
  <c r="N229" i="8"/>
  <c r="E229" i="8"/>
  <c r="C228" i="8"/>
  <c r="I228" i="8" s="1"/>
  <c r="G226" i="8"/>
  <c r="N225" i="8"/>
  <c r="O225" i="8" s="1"/>
  <c r="E225" i="8"/>
  <c r="K225" i="8" s="1"/>
  <c r="C224" i="8"/>
  <c r="G222" i="8"/>
  <c r="N221" i="8"/>
  <c r="E221" i="8"/>
  <c r="C220" i="8"/>
  <c r="I220" i="8" s="1"/>
  <c r="G218" i="8"/>
  <c r="N217" i="8"/>
  <c r="O217" i="8" s="1"/>
  <c r="E217" i="8"/>
  <c r="K217" i="8" s="1"/>
  <c r="C216" i="8"/>
  <c r="G214" i="8"/>
  <c r="N213" i="8"/>
  <c r="E213" i="8"/>
  <c r="C212" i="8"/>
  <c r="I212" i="8" s="1"/>
  <c r="G210" i="8"/>
  <c r="G209" i="8"/>
  <c r="M209" i="8" s="1"/>
  <c r="G208" i="8"/>
  <c r="M208" i="8" s="1"/>
  <c r="G207" i="8"/>
  <c r="G206" i="8"/>
  <c r="G205" i="8"/>
  <c r="G204" i="8"/>
  <c r="G203" i="8"/>
  <c r="M203" i="8" s="1"/>
  <c r="G202" i="8"/>
  <c r="G201" i="8"/>
  <c r="M201" i="8" s="1"/>
  <c r="G200" i="8"/>
  <c r="M200" i="8" s="1"/>
  <c r="G199" i="8"/>
  <c r="G198" i="8"/>
  <c r="G197" i="8"/>
  <c r="G196" i="8"/>
  <c r="G195" i="8"/>
  <c r="M195" i="8" s="1"/>
  <c r="G194" i="8"/>
  <c r="G193" i="8"/>
  <c r="M193" i="8" s="1"/>
  <c r="G192" i="8"/>
  <c r="M192" i="8" s="1"/>
  <c r="G191" i="8"/>
  <c r="G190" i="8"/>
  <c r="G189" i="8"/>
  <c r="G188" i="8"/>
  <c r="G187" i="8"/>
  <c r="M187" i="8" s="1"/>
  <c r="G186" i="8"/>
  <c r="G185" i="8"/>
  <c r="M185" i="8" s="1"/>
  <c r="G184" i="8"/>
  <c r="M184" i="8" s="1"/>
  <c r="G183" i="8"/>
  <c r="G182" i="8"/>
  <c r="G181" i="8"/>
  <c r="G316" i="8"/>
  <c r="G308" i="8"/>
  <c r="M308" i="8" s="1"/>
  <c r="F305" i="8"/>
  <c r="C300" i="8"/>
  <c r="I300" i="8" s="1"/>
  <c r="C298" i="8"/>
  <c r="I298" i="8" s="1"/>
  <c r="C296" i="8"/>
  <c r="C294" i="8"/>
  <c r="C292" i="8"/>
  <c r="C290" i="8"/>
  <c r="I290" i="8" s="1"/>
  <c r="C288" i="8"/>
  <c r="I288" i="8" s="1"/>
  <c r="C286" i="8"/>
  <c r="C284" i="8"/>
  <c r="I284" i="8" s="1"/>
  <c r="C282" i="8"/>
  <c r="I282" i="8" s="1"/>
  <c r="C280" i="8"/>
  <c r="N273" i="8"/>
  <c r="C272" i="8"/>
  <c r="N265" i="8"/>
  <c r="F264" i="8"/>
  <c r="F260" i="8"/>
  <c r="F256" i="8"/>
  <c r="F250" i="8"/>
  <c r="C249" i="8"/>
  <c r="B246" i="8"/>
  <c r="C245" i="8"/>
  <c r="E244" i="8"/>
  <c r="C241" i="8"/>
  <c r="I241" i="8" s="1"/>
  <c r="E240" i="8"/>
  <c r="N238" i="8"/>
  <c r="O238" i="8" s="1"/>
  <c r="D238" i="8"/>
  <c r="N236" i="8"/>
  <c r="D236" i="8"/>
  <c r="F234" i="8"/>
  <c r="D233" i="8"/>
  <c r="B232" i="8"/>
  <c r="H232" i="8" s="1"/>
  <c r="F230" i="8"/>
  <c r="D229" i="8"/>
  <c r="B228" i="8"/>
  <c r="H228" i="8" s="1"/>
  <c r="F226" i="8"/>
  <c r="D225" i="8"/>
  <c r="B224" i="8"/>
  <c r="F222" i="8"/>
  <c r="D221" i="8"/>
  <c r="B220" i="8"/>
  <c r="F218" i="8"/>
  <c r="D217" i="8"/>
  <c r="B216" i="8"/>
  <c r="F214" i="8"/>
  <c r="D213" i="8"/>
  <c r="B212" i="8"/>
  <c r="F210" i="8"/>
  <c r="N209" i="8"/>
  <c r="F209" i="8"/>
  <c r="N208" i="8"/>
  <c r="O208" i="8" s="1"/>
  <c r="F208" i="8"/>
  <c r="N207" i="8"/>
  <c r="F207" i="8"/>
  <c r="N206" i="8"/>
  <c r="F206" i="8"/>
  <c r="N205" i="8"/>
  <c r="F205" i="8"/>
  <c r="N204" i="8"/>
  <c r="O204" i="8" s="1"/>
  <c r="F204" i="8"/>
  <c r="N203" i="8"/>
  <c r="F203" i="8"/>
  <c r="N202" i="8"/>
  <c r="F202" i="8"/>
  <c r="N201" i="8"/>
  <c r="F201" i="8"/>
  <c r="N200" i="8"/>
  <c r="O200" i="8" s="1"/>
  <c r="F200" i="8"/>
  <c r="N199" i="8"/>
  <c r="F199" i="8"/>
  <c r="N198" i="8"/>
  <c r="F198" i="8"/>
  <c r="N197" i="8"/>
  <c r="N314" i="8"/>
  <c r="O314" i="8" s="1"/>
  <c r="F308" i="8"/>
  <c r="C305" i="8"/>
  <c r="B300" i="8"/>
  <c r="B298" i="8"/>
  <c r="B296" i="8"/>
  <c r="B294" i="8"/>
  <c r="H294" i="8" s="1"/>
  <c r="B292" i="8"/>
  <c r="B290" i="8"/>
  <c r="H290" i="8" s="1"/>
  <c r="B288" i="8"/>
  <c r="H288" i="8" s="1"/>
  <c r="B286" i="8"/>
  <c r="B284" i="8"/>
  <c r="B282" i="8"/>
  <c r="B280" i="8"/>
  <c r="P276" i="8"/>
  <c r="Q276" i="8" s="1"/>
  <c r="F275" i="8"/>
  <c r="B272" i="8"/>
  <c r="H272" i="8" s="1"/>
  <c r="P268" i="8"/>
  <c r="Q268" i="8" s="1"/>
  <c r="F267" i="8"/>
  <c r="E264" i="8"/>
  <c r="P262" i="8"/>
  <c r="G311" i="8"/>
  <c r="B308" i="8"/>
  <c r="H308" i="8" s="1"/>
  <c r="B305" i="8"/>
  <c r="P321" i="8"/>
  <c r="Q321" i="8" s="1"/>
  <c r="C301" i="8"/>
  <c r="I301" i="8" s="1"/>
  <c r="B299" i="8"/>
  <c r="B297" i="8"/>
  <c r="B295" i="8"/>
  <c r="B293" i="8"/>
  <c r="B291" i="8"/>
  <c r="H291" i="8" s="1"/>
  <c r="B289" i="8"/>
  <c r="B287" i="8"/>
  <c r="H287" i="8" s="1"/>
  <c r="B285" i="8"/>
  <c r="H285" i="8" s="1"/>
  <c r="B283" i="8"/>
  <c r="B281" i="8"/>
  <c r="F279" i="8"/>
  <c r="B276" i="8"/>
  <c r="P272" i="8"/>
  <c r="Q272" i="8" s="1"/>
  <c r="F271" i="8"/>
  <c r="B268" i="8"/>
  <c r="H268" i="8" s="1"/>
  <c r="P264" i="8"/>
  <c r="Q264" i="8" s="1"/>
  <c r="E262" i="8"/>
  <c r="P260" i="8"/>
  <c r="E258" i="8"/>
  <c r="P256" i="8"/>
  <c r="Q256" i="8" s="1"/>
  <c r="E254" i="8"/>
  <c r="K254" i="8" s="1"/>
  <c r="B253" i="8"/>
  <c r="P251" i="8"/>
  <c r="Q251" i="8" s="1"/>
  <c r="N250" i="8"/>
  <c r="O250" i="8" s="1"/>
  <c r="G247" i="8"/>
  <c r="F246" i="8"/>
  <c r="B243" i="8"/>
  <c r="D242" i="8"/>
  <c r="C239" i="8"/>
  <c r="I239" i="8" s="1"/>
  <c r="C237" i="8"/>
  <c r="C235" i="8"/>
  <c r="I235" i="8" s="1"/>
  <c r="G233" i="8"/>
  <c r="M233" i="8" s="1"/>
  <c r="N232" i="8"/>
  <c r="E232" i="8"/>
  <c r="C231" i="8"/>
  <c r="G229" i="8"/>
  <c r="N228" i="8"/>
  <c r="O228" i="8" s="1"/>
  <c r="E228" i="8"/>
  <c r="C227" i="8"/>
  <c r="I227" i="8" s="1"/>
  <c r="G225" i="8"/>
  <c r="M225" i="8" s="1"/>
  <c r="N224" i="8"/>
  <c r="E224" i="8"/>
  <c r="C223" i="8"/>
  <c r="G221" i="8"/>
  <c r="N220" i="8"/>
  <c r="O220" i="8" s="1"/>
  <c r="E220" i="8"/>
  <c r="C219" i="8"/>
  <c r="I219" i="8" s="1"/>
  <c r="G217" i="8"/>
  <c r="M217" i="8" s="1"/>
  <c r="N216" i="8"/>
  <c r="E216" i="8"/>
  <c r="C215" i="8"/>
  <c r="G213" i="8"/>
  <c r="N212" i="8"/>
  <c r="O212" i="8" s="1"/>
  <c r="E212" i="8"/>
  <c r="C211" i="8"/>
  <c r="I211" i="8" s="1"/>
  <c r="B313" i="8"/>
  <c r="H313" i="8" s="1"/>
  <c r="F301" i="8"/>
  <c r="C285" i="8"/>
  <c r="C275" i="8"/>
  <c r="N262" i="8"/>
  <c r="C260" i="8"/>
  <c r="I260" i="8" s="1"/>
  <c r="N254" i="8"/>
  <c r="C250" i="8"/>
  <c r="I250" i="8" s="1"/>
  <c r="C244" i="8"/>
  <c r="I244" i="8" s="1"/>
  <c r="F239" i="8"/>
  <c r="B238" i="8"/>
  <c r="F235" i="8"/>
  <c r="D234" i="8"/>
  <c r="B233" i="8"/>
  <c r="H233" i="8" s="1"/>
  <c r="F227" i="8"/>
  <c r="D226" i="8"/>
  <c r="B225" i="8"/>
  <c r="H225" i="8" s="1"/>
  <c r="F219" i="8"/>
  <c r="D218" i="8"/>
  <c r="B217" i="8"/>
  <c r="F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E197" i="8"/>
  <c r="N194" i="8"/>
  <c r="C194" i="8"/>
  <c r="I194" i="8" s="1"/>
  <c r="E193" i="8"/>
  <c r="K193" i="8" s="1"/>
  <c r="N190" i="8"/>
  <c r="C190" i="8"/>
  <c r="I190" i="8" s="1"/>
  <c r="E189" i="8"/>
  <c r="K189" i="8" s="1"/>
  <c r="N186" i="8"/>
  <c r="C186" i="8"/>
  <c r="E185" i="8"/>
  <c r="N182" i="8"/>
  <c r="D182" i="8"/>
  <c r="N180" i="8"/>
  <c r="E180" i="8"/>
  <c r="K180" i="8" s="1"/>
  <c r="C179" i="8"/>
  <c r="I179" i="8" s="1"/>
  <c r="P177" i="8"/>
  <c r="G177" i="8"/>
  <c r="N176" i="8"/>
  <c r="E176" i="8"/>
  <c r="C175" i="8"/>
  <c r="I175" i="8" s="1"/>
  <c r="B174" i="8"/>
  <c r="B173" i="8"/>
  <c r="H173" i="8" s="1"/>
  <c r="B172" i="8"/>
  <c r="H172" i="8" s="1"/>
  <c r="B171" i="8"/>
  <c r="B170" i="8"/>
  <c r="B169" i="8"/>
  <c r="B168" i="8"/>
  <c r="B167" i="8"/>
  <c r="H167" i="8" s="1"/>
  <c r="B166" i="8"/>
  <c r="B165" i="8"/>
  <c r="H165" i="8" s="1"/>
  <c r="B164" i="8"/>
  <c r="H164" i="8" s="1"/>
  <c r="B163" i="8"/>
  <c r="B162" i="8"/>
  <c r="B161" i="8"/>
  <c r="B160" i="8"/>
  <c r="B159" i="8"/>
  <c r="H159" i="8" s="1"/>
  <c r="C295" i="8"/>
  <c r="B257" i="8"/>
  <c r="H257" i="8" s="1"/>
  <c r="B252" i="8"/>
  <c r="H252" i="8" s="1"/>
  <c r="N249" i="8"/>
  <c r="B244" i="8"/>
  <c r="E239" i="8"/>
  <c r="E235" i="8"/>
  <c r="C234" i="8"/>
  <c r="I234" i="8" s="1"/>
  <c r="N231" i="8"/>
  <c r="G228" i="8"/>
  <c r="M228" i="8" s="1"/>
  <c r="E227" i="8"/>
  <c r="K227" i="8" s="1"/>
  <c r="C226" i="8"/>
  <c r="N223" i="8"/>
  <c r="G220" i="8"/>
  <c r="E219" i="8"/>
  <c r="C218" i="8"/>
  <c r="I218" i="8" s="1"/>
  <c r="N215" i="8"/>
  <c r="G212" i="8"/>
  <c r="M212" i="8" s="1"/>
  <c r="E211" i="8"/>
  <c r="K211" i="8" s="1"/>
  <c r="C210" i="8"/>
  <c r="C209" i="8"/>
  <c r="C208" i="8"/>
  <c r="C207" i="8"/>
  <c r="I207" i="8" s="1"/>
  <c r="C206" i="8"/>
  <c r="I206" i="8" s="1"/>
  <c r="C205" i="8"/>
  <c r="C204" i="8"/>
  <c r="I204" i="8" s="1"/>
  <c r="C203" i="8"/>
  <c r="I203" i="8" s="1"/>
  <c r="C202" i="8"/>
  <c r="C201" i="8"/>
  <c r="C200" i="8"/>
  <c r="C199" i="8"/>
  <c r="I199" i="8" s="1"/>
  <c r="C198" i="8"/>
  <c r="I198" i="8" s="1"/>
  <c r="D197" i="8"/>
  <c r="F196" i="8"/>
  <c r="B194" i="8"/>
  <c r="H194" i="8" s="1"/>
  <c r="D193" i="8"/>
  <c r="F192" i="8"/>
  <c r="B190" i="8"/>
  <c r="D189" i="8"/>
  <c r="F188" i="8"/>
  <c r="B186" i="8"/>
  <c r="D185" i="8"/>
  <c r="F184" i="8"/>
  <c r="C182" i="8"/>
  <c r="D180" i="8"/>
  <c r="B179" i="8"/>
  <c r="F177" i="8"/>
  <c r="D176" i="8"/>
  <c r="B175" i="8"/>
  <c r="P309" i="8"/>
  <c r="Q309" i="8" s="1"/>
  <c r="C289" i="8"/>
  <c r="I289" i="8" s="1"/>
  <c r="P269" i="8"/>
  <c r="F262" i="8"/>
  <c r="F254" i="8"/>
  <c r="E242" i="8"/>
  <c r="D239" i="8"/>
  <c r="N237" i="8"/>
  <c r="D235" i="8"/>
  <c r="B234" i="8"/>
  <c r="H234" i="8" s="1"/>
  <c r="F228" i="8"/>
  <c r="D227" i="8"/>
  <c r="B226" i="8"/>
  <c r="F220" i="8"/>
  <c r="D219" i="8"/>
  <c r="B218" i="8"/>
  <c r="F212" i="8"/>
  <c r="D211" i="8"/>
  <c r="B210" i="8"/>
  <c r="B209" i="8"/>
  <c r="B208" i="8"/>
  <c r="B207" i="8"/>
  <c r="B206" i="8"/>
  <c r="H206" i="8" s="1"/>
  <c r="B205" i="8"/>
  <c r="B204" i="8"/>
  <c r="H204" i="8" s="1"/>
  <c r="B203" i="8"/>
  <c r="H203" i="8" s="1"/>
  <c r="B202" i="8"/>
  <c r="B201" i="8"/>
  <c r="B200" i="8"/>
  <c r="B199" i="8"/>
  <c r="B198" i="8"/>
  <c r="H198" i="8" s="1"/>
  <c r="C197" i="8"/>
  <c r="E196" i="8"/>
  <c r="K196" i="8" s="1"/>
  <c r="N193" i="8"/>
  <c r="O193" i="8" s="1"/>
  <c r="C193" i="8"/>
  <c r="E192" i="8"/>
  <c r="N189" i="8"/>
  <c r="C189" i="8"/>
  <c r="I189" i="8" s="1"/>
  <c r="E188" i="8"/>
  <c r="K188" i="8" s="1"/>
  <c r="N185" i="8"/>
  <c r="C185" i="8"/>
  <c r="I185" i="8" s="1"/>
  <c r="E184" i="8"/>
  <c r="K184" i="8" s="1"/>
  <c r="B182" i="8"/>
  <c r="F181" i="8"/>
  <c r="C180" i="8"/>
  <c r="P178" i="8"/>
  <c r="Q178" i="8" s="1"/>
  <c r="G178" i="8"/>
  <c r="M178" i="8" s="1"/>
  <c r="N177" i="8"/>
  <c r="E177" i="8"/>
  <c r="K177" i="8" s="1"/>
  <c r="C176" i="8"/>
  <c r="I176" i="8" s="1"/>
  <c r="P174" i="8"/>
  <c r="P173" i="8"/>
  <c r="P172" i="8"/>
  <c r="P171" i="8"/>
  <c r="Q171" i="8" s="1"/>
  <c r="P170" i="8"/>
  <c r="Q170" i="8" s="1"/>
  <c r="P169" i="8"/>
  <c r="P168" i="8"/>
  <c r="Q168" i="8" s="1"/>
  <c r="P167" i="8"/>
  <c r="Q167" i="8" s="1"/>
  <c r="P166" i="8"/>
  <c r="P165" i="8"/>
  <c r="P164" i="8"/>
  <c r="F307" i="8"/>
  <c r="C299" i="8"/>
  <c r="I299" i="8" s="1"/>
  <c r="C283" i="8"/>
  <c r="P277" i="8"/>
  <c r="Q277" i="8" s="1"/>
  <c r="N269" i="8"/>
  <c r="O269" i="8" s="1"/>
  <c r="B265" i="8"/>
  <c r="P258" i="8"/>
  <c r="E256" i="8"/>
  <c r="G251" i="8"/>
  <c r="B249" i="8"/>
  <c r="H249" i="8" s="1"/>
  <c r="N246" i="8"/>
  <c r="B245" i="8"/>
  <c r="H245" i="8" s="1"/>
  <c r="N306" i="8"/>
  <c r="O306" i="8" s="1"/>
  <c r="C293" i="8"/>
  <c r="N277" i="8"/>
  <c r="B273" i="8"/>
  <c r="N268" i="8"/>
  <c r="N258" i="8"/>
  <c r="O258" i="8" s="1"/>
  <c r="C256" i="8"/>
  <c r="F251" i="8"/>
  <c r="E243" i="8"/>
  <c r="K243" i="8" s="1"/>
  <c r="C240" i="8"/>
  <c r="G304" i="8"/>
  <c r="C287" i="8"/>
  <c r="N276" i="8"/>
  <c r="F268" i="8"/>
  <c r="C264" i="8"/>
  <c r="B261" i="8"/>
  <c r="H261" i="8" s="1"/>
  <c r="E253" i="8"/>
  <c r="K253" i="8" s="1"/>
  <c r="P250" i="8"/>
  <c r="D243" i="8"/>
  <c r="B240" i="8"/>
  <c r="P323" i="8"/>
  <c r="Q323" i="8" s="1"/>
  <c r="P303" i="8"/>
  <c r="Q303" i="8" s="1"/>
  <c r="C297" i="8"/>
  <c r="C281" i="8"/>
  <c r="I281" i="8" s="1"/>
  <c r="F276" i="8"/>
  <c r="C268" i="8"/>
  <c r="F258" i="8"/>
  <c r="C253" i="8"/>
  <c r="G246" i="8"/>
  <c r="C243" i="8"/>
  <c r="I243" i="8" s="1"/>
  <c r="C291" i="8"/>
  <c r="C276" i="8"/>
  <c r="I276" i="8" s="1"/>
  <c r="C267" i="8"/>
  <c r="I267" i="8" s="1"/>
  <c r="E260" i="8"/>
  <c r="P254" i="8"/>
  <c r="E250" i="8"/>
  <c r="P247" i="8"/>
  <c r="Q247" i="8" s="1"/>
  <c r="N245" i="8"/>
  <c r="O245" i="8" s="1"/>
  <c r="D244" i="8"/>
  <c r="B241" i="8"/>
  <c r="H241" i="8" s="1"/>
  <c r="C238" i="8"/>
  <c r="I238" i="8" s="1"/>
  <c r="E234" i="8"/>
  <c r="C233" i="8"/>
  <c r="N230" i="8"/>
  <c r="G227" i="8"/>
  <c r="E226" i="8"/>
  <c r="K226" i="8" s="1"/>
  <c r="C225" i="8"/>
  <c r="N222" i="8"/>
  <c r="O222" i="8" s="1"/>
  <c r="G219" i="8"/>
  <c r="M219" i="8" s="1"/>
  <c r="E218" i="8"/>
  <c r="C217" i="8"/>
  <c r="N214" i="8"/>
  <c r="G211" i="8"/>
  <c r="E210" i="8"/>
  <c r="K210" i="8" s="1"/>
  <c r="E209" i="8"/>
  <c r="E208" i="8"/>
  <c r="K208" i="8" s="1"/>
  <c r="E207" i="8"/>
  <c r="K207" i="8" s="1"/>
  <c r="E206" i="8"/>
  <c r="E205" i="8"/>
  <c r="E204" i="8"/>
  <c r="E203" i="8"/>
  <c r="E202" i="8"/>
  <c r="K202" i="8" s="1"/>
  <c r="E201" i="8"/>
  <c r="E200" i="8"/>
  <c r="K200" i="8" s="1"/>
  <c r="E199" i="8"/>
  <c r="K199" i="8" s="1"/>
  <c r="E198" i="8"/>
  <c r="F197" i="8"/>
  <c r="B195" i="8"/>
  <c r="D194" i="8"/>
  <c r="F193" i="8"/>
  <c r="B191" i="8"/>
  <c r="D190" i="8"/>
  <c r="F189" i="8"/>
  <c r="B187" i="8"/>
  <c r="D186" i="8"/>
  <c r="F185" i="8"/>
  <c r="B183" i="8"/>
  <c r="E182" i="8"/>
  <c r="K182" i="8" s="1"/>
  <c r="P180" i="8"/>
  <c r="F180" i="8"/>
  <c r="D179" i="8"/>
  <c r="B178" i="8"/>
  <c r="F176" i="8"/>
  <c r="D175" i="8"/>
  <c r="C174" i="8"/>
  <c r="I174" i="8" s="1"/>
  <c r="C173" i="8"/>
  <c r="I173" i="8" s="1"/>
  <c r="C172" i="8"/>
  <c r="C171" i="8"/>
  <c r="I171" i="8" s="1"/>
  <c r="C170" i="8"/>
  <c r="I170" i="8" s="1"/>
  <c r="C169" i="8"/>
  <c r="C168" i="8"/>
  <c r="C167" i="8"/>
  <c r="C166" i="8"/>
  <c r="I166" i="8" s="1"/>
  <c r="D240" i="8"/>
  <c r="E237" i="8"/>
  <c r="G232" i="8"/>
  <c r="M232" i="8" s="1"/>
  <c r="C230" i="8"/>
  <c r="I230" i="8" s="1"/>
  <c r="N227" i="8"/>
  <c r="E223" i="8"/>
  <c r="G216" i="8"/>
  <c r="C214" i="8"/>
  <c r="I214" i="8" s="1"/>
  <c r="N211" i="8"/>
  <c r="O211" i="8" s="1"/>
  <c r="B196" i="8"/>
  <c r="F194" i="8"/>
  <c r="D191" i="8"/>
  <c r="B188" i="8"/>
  <c r="F186" i="8"/>
  <c r="D183" i="8"/>
  <c r="F179" i="8"/>
  <c r="D178" i="8"/>
  <c r="B177" i="8"/>
  <c r="D164" i="8"/>
  <c r="N162" i="8"/>
  <c r="O162" i="8" s="1"/>
  <c r="D162" i="8"/>
  <c r="N160" i="8"/>
  <c r="D160" i="8"/>
  <c r="N158" i="8"/>
  <c r="D158" i="8"/>
  <c r="B157" i="8"/>
  <c r="F155" i="8"/>
  <c r="D154" i="8"/>
  <c r="B153" i="8"/>
  <c r="F151" i="8"/>
  <c r="D150" i="8"/>
  <c r="B149" i="8"/>
  <c r="F147" i="8"/>
  <c r="D146" i="8"/>
  <c r="B145" i="8"/>
  <c r="H145" i="8" s="1"/>
  <c r="F143" i="8"/>
  <c r="D142" i="8"/>
  <c r="B141" i="8"/>
  <c r="F139" i="8"/>
  <c r="D138" i="8"/>
  <c r="B137" i="8"/>
  <c r="H137" i="8" s="1"/>
  <c r="F135" i="8"/>
  <c r="E134" i="8"/>
  <c r="K134" i="8" s="1"/>
  <c r="E133" i="8"/>
  <c r="K133" i="8" s="1"/>
  <c r="E132" i="8"/>
  <c r="E131" i="8"/>
  <c r="E130" i="8"/>
  <c r="D237" i="8"/>
  <c r="F232" i="8"/>
  <c r="B230" i="8"/>
  <c r="D223" i="8"/>
  <c r="F216" i="8"/>
  <c r="B214" i="8"/>
  <c r="N195" i="8"/>
  <c r="E194" i="8"/>
  <c r="C191" i="8"/>
  <c r="I191" i="8" s="1"/>
  <c r="N187" i="8"/>
  <c r="O187" i="8" s="1"/>
  <c r="E186" i="8"/>
  <c r="C183" i="8"/>
  <c r="I183" i="8" s="1"/>
  <c r="G180" i="8"/>
  <c r="M180" i="8" s="1"/>
  <c r="E179" i="8"/>
  <c r="C178" i="8"/>
  <c r="P176" i="8"/>
  <c r="N175" i="8"/>
  <c r="N164" i="8"/>
  <c r="O164" i="8" s="1"/>
  <c r="C164" i="8"/>
  <c r="G163" i="8"/>
  <c r="M163" i="8" s="1"/>
  <c r="C162" i="8"/>
  <c r="I162" i="8" s="1"/>
  <c r="G161" i="8"/>
  <c r="C160" i="8"/>
  <c r="G159" i="8"/>
  <c r="C158" i="8"/>
  <c r="I158" i="8" s="1"/>
  <c r="P156" i="8"/>
  <c r="Q156" i="8" s="1"/>
  <c r="G156" i="8"/>
  <c r="N155" i="8"/>
  <c r="O155" i="8" s="1"/>
  <c r="E155" i="8"/>
  <c r="K155" i="8" s="1"/>
  <c r="C154" i="8"/>
  <c r="P152" i="8"/>
  <c r="G152" i="8"/>
  <c r="N151" i="8"/>
  <c r="E151" i="8"/>
  <c r="K151" i="8" s="1"/>
  <c r="C150" i="8"/>
  <c r="P148" i="8"/>
  <c r="Q148" i="8" s="1"/>
  <c r="G148" i="8"/>
  <c r="M148" i="8" s="1"/>
  <c r="N147" i="8"/>
  <c r="E147" i="8"/>
  <c r="C146" i="8"/>
  <c r="P144" i="8"/>
  <c r="Q144" i="8" s="1"/>
  <c r="G144" i="8"/>
  <c r="M144" i="8" s="1"/>
  <c r="N143" i="8"/>
  <c r="E143" i="8"/>
  <c r="K143" i="8" s="1"/>
  <c r="C142" i="8"/>
  <c r="I142" i="8" s="1"/>
  <c r="P140" i="8"/>
  <c r="G140" i="8"/>
  <c r="N139" i="8"/>
  <c r="E139" i="8"/>
  <c r="C138" i="8"/>
  <c r="I138" i="8" s="1"/>
  <c r="P136" i="8"/>
  <c r="Q136" i="8" s="1"/>
  <c r="G136" i="8"/>
  <c r="M136" i="8" s="1"/>
  <c r="N135" i="8"/>
  <c r="O135" i="8" s="1"/>
  <c r="C236" i="8"/>
  <c r="G231" i="8"/>
  <c r="C229" i="8"/>
  <c r="N226" i="8"/>
  <c r="E222" i="8"/>
  <c r="K222" i="8" s="1"/>
  <c r="G215" i="8"/>
  <c r="C213" i="8"/>
  <c r="I213" i="8" s="1"/>
  <c r="N210" i="8"/>
  <c r="O210" i="8" s="1"/>
  <c r="B197" i="8"/>
  <c r="F195" i="8"/>
  <c r="D192" i="8"/>
  <c r="B189" i="8"/>
  <c r="F187" i="8"/>
  <c r="D184" i="8"/>
  <c r="E181" i="8"/>
  <c r="K181" i="8" s="1"/>
  <c r="B180" i="8"/>
  <c r="H180" i="8" s="1"/>
  <c r="G174" i="8"/>
  <c r="G173" i="8"/>
  <c r="G172" i="8"/>
  <c r="G171" i="8"/>
  <c r="G170" i="8"/>
  <c r="M170" i="8" s="1"/>
  <c r="G169" i="8"/>
  <c r="G168" i="8"/>
  <c r="M168" i="8" s="1"/>
  <c r="G167" i="8"/>
  <c r="M167" i="8" s="1"/>
  <c r="G166" i="8"/>
  <c r="P163" i="8"/>
  <c r="F163" i="8"/>
  <c r="P161" i="8"/>
  <c r="Q161" i="8" s="1"/>
  <c r="F161" i="8"/>
  <c r="P159" i="8"/>
  <c r="Q159" i="8" s="1"/>
  <c r="F159" i="8"/>
  <c r="B158" i="8"/>
  <c r="H158" i="8" s="1"/>
  <c r="F156" i="8"/>
  <c r="D155" i="8"/>
  <c r="B154" i="8"/>
  <c r="F152" i="8"/>
  <c r="D151" i="8"/>
  <c r="B150" i="8"/>
  <c r="F148" i="8"/>
  <c r="D147" i="8"/>
  <c r="B146" i="8"/>
  <c r="F144" i="8"/>
  <c r="N234" i="8"/>
  <c r="E230" i="8"/>
  <c r="G223" i="8"/>
  <c r="M223" i="8" s="1"/>
  <c r="C221" i="8"/>
  <c r="N218" i="8"/>
  <c r="O218" i="8" s="1"/>
  <c r="E214" i="8"/>
  <c r="K214" i="8" s="1"/>
  <c r="D196" i="8"/>
  <c r="B193" i="8"/>
  <c r="F191" i="8"/>
  <c r="D188" i="8"/>
  <c r="B185" i="8"/>
  <c r="H185" i="8" s="1"/>
  <c r="F183" i="8"/>
  <c r="P181" i="8"/>
  <c r="Q181" i="8" s="1"/>
  <c r="F178" i="8"/>
  <c r="D177" i="8"/>
  <c r="B176" i="8"/>
  <c r="D165" i="8"/>
  <c r="F164" i="8"/>
  <c r="P162" i="8"/>
  <c r="Q162" i="8" s="1"/>
  <c r="F162" i="8"/>
  <c r="P160" i="8"/>
  <c r="Q160" i="8" s="1"/>
  <c r="F160" i="8"/>
  <c r="P158" i="8"/>
  <c r="F158" i="8"/>
  <c r="D157" i="8"/>
  <c r="B156" i="8"/>
  <c r="F154" i="8"/>
  <c r="D153" i="8"/>
  <c r="B152" i="8"/>
  <c r="H152" i="8" s="1"/>
  <c r="F150" i="8"/>
  <c r="D149" i="8"/>
  <c r="B148" i="8"/>
  <c r="F146" i="8"/>
  <c r="D145" i="8"/>
  <c r="B144" i="8"/>
  <c r="H144" i="8" s="1"/>
  <c r="F142" i="8"/>
  <c r="G224" i="8"/>
  <c r="M224" i="8" s="1"/>
  <c r="N219" i="8"/>
  <c r="O219" i="8" s="1"/>
  <c r="E215" i="8"/>
  <c r="D195" i="8"/>
  <c r="B192" i="8"/>
  <c r="F175" i="8"/>
  <c r="E173" i="8"/>
  <c r="K173" i="8" s="1"/>
  <c r="E171" i="8"/>
  <c r="E169" i="8"/>
  <c r="K169" i="8" s="1"/>
  <c r="E167" i="8"/>
  <c r="K167" i="8" s="1"/>
  <c r="F165" i="8"/>
  <c r="N163" i="8"/>
  <c r="D161" i="8"/>
  <c r="N159" i="8"/>
  <c r="F157" i="8"/>
  <c r="D156" i="8"/>
  <c r="B155" i="8"/>
  <c r="H155" i="8" s="1"/>
  <c r="F149" i="8"/>
  <c r="D148" i="8"/>
  <c r="B147" i="8"/>
  <c r="N141" i="8"/>
  <c r="D140" i="8"/>
  <c r="D137" i="8"/>
  <c r="F136" i="8"/>
  <c r="P134" i="8"/>
  <c r="Q134" i="8" s="1"/>
  <c r="G134" i="8"/>
  <c r="M134" i="8" s="1"/>
  <c r="N133" i="8"/>
  <c r="D133" i="8"/>
  <c r="B132" i="8"/>
  <c r="P130" i="8"/>
  <c r="Q130" i="8" s="1"/>
  <c r="G130" i="8"/>
  <c r="M130" i="8" s="1"/>
  <c r="N129" i="8"/>
  <c r="F129" i="8"/>
  <c r="L129" i="8" s="1"/>
  <c r="N128" i="8"/>
  <c r="O128" i="8" s="1"/>
  <c r="F128" i="8"/>
  <c r="N127" i="8"/>
  <c r="F127" i="8"/>
  <c r="N126" i="8"/>
  <c r="F126" i="8"/>
  <c r="N125" i="8"/>
  <c r="F125" i="8"/>
  <c r="L125" i="8" s="1"/>
  <c r="N124" i="8"/>
  <c r="O124" i="8" s="1"/>
  <c r="F124" i="8"/>
  <c r="N123" i="8"/>
  <c r="F123" i="8"/>
  <c r="N122" i="8"/>
  <c r="F122" i="8"/>
  <c r="N121" i="8"/>
  <c r="F121" i="8"/>
  <c r="L121" i="8" s="1"/>
  <c r="N120" i="8"/>
  <c r="O120" i="8" s="1"/>
  <c r="F120" i="8"/>
  <c r="N119" i="8"/>
  <c r="F119" i="8"/>
  <c r="N118" i="8"/>
  <c r="F118" i="8"/>
  <c r="N117" i="8"/>
  <c r="F117" i="8"/>
  <c r="L117" i="8" s="1"/>
  <c r="N116" i="8"/>
  <c r="O116" i="8" s="1"/>
  <c r="F116" i="8"/>
  <c r="N115" i="8"/>
  <c r="F115" i="8"/>
  <c r="N114" i="8"/>
  <c r="F114" i="8"/>
  <c r="N113" i="8"/>
  <c r="F113" i="8"/>
  <c r="L113" i="8" s="1"/>
  <c r="N112" i="8"/>
  <c r="O112" i="8" s="1"/>
  <c r="F112" i="8"/>
  <c r="N111" i="8"/>
  <c r="F111" i="8"/>
  <c r="N110" i="8"/>
  <c r="O110" i="8" s="1"/>
  <c r="F110" i="8"/>
  <c r="L110" i="8" s="1"/>
  <c r="N109" i="8"/>
  <c r="F109" i="8"/>
  <c r="L109" i="8" s="1"/>
  <c r="N108" i="8"/>
  <c r="O108" i="8" s="1"/>
  <c r="F108" i="8"/>
  <c r="N107" i="8"/>
  <c r="F107" i="8"/>
  <c r="N106" i="8"/>
  <c r="O106" i="8" s="1"/>
  <c r="F106" i="8"/>
  <c r="L106" i="8" s="1"/>
  <c r="N105" i="8"/>
  <c r="F105" i="8"/>
  <c r="L105" i="8" s="1"/>
  <c r="N104" i="8"/>
  <c r="O104" i="8" s="1"/>
  <c r="F104" i="8"/>
  <c r="N103" i="8"/>
  <c r="F103" i="8"/>
  <c r="N102" i="8"/>
  <c r="O102" i="8" s="1"/>
  <c r="F102" i="8"/>
  <c r="L102" i="8" s="1"/>
  <c r="N101" i="8"/>
  <c r="F101" i="8"/>
  <c r="L101" i="8" s="1"/>
  <c r="N100" i="8"/>
  <c r="O100" i="8" s="1"/>
  <c r="F100" i="8"/>
  <c r="N99" i="8"/>
  <c r="F99" i="8"/>
  <c r="N98" i="8"/>
  <c r="O98" i="8" s="1"/>
  <c r="F98" i="8"/>
  <c r="L98" i="8" s="1"/>
  <c r="N97" i="8"/>
  <c r="F97" i="8"/>
  <c r="L97" i="8" s="1"/>
  <c r="N96" i="8"/>
  <c r="O96" i="8" s="1"/>
  <c r="F96" i="8"/>
  <c r="N95" i="8"/>
  <c r="F95" i="8"/>
  <c r="N94" i="8"/>
  <c r="O94" i="8" s="1"/>
  <c r="F94" i="8"/>
  <c r="L94" i="8" s="1"/>
  <c r="N93" i="8"/>
  <c r="F93" i="8"/>
  <c r="L93" i="8" s="1"/>
  <c r="N92" i="8"/>
  <c r="O92" i="8" s="1"/>
  <c r="F92" i="8"/>
  <c r="N91" i="8"/>
  <c r="F91" i="8"/>
  <c r="N90" i="8"/>
  <c r="O90" i="8" s="1"/>
  <c r="F90" i="8"/>
  <c r="L90" i="8" s="1"/>
  <c r="N89" i="8"/>
  <c r="F89" i="8"/>
  <c r="L89" i="8" s="1"/>
  <c r="F224" i="8"/>
  <c r="L224" i="8" s="1"/>
  <c r="D215" i="8"/>
  <c r="C195" i="8"/>
  <c r="N191" i="8"/>
  <c r="F182" i="8"/>
  <c r="N179" i="8"/>
  <c r="O179" i="8" s="1"/>
  <c r="E175" i="8"/>
  <c r="D173" i="8"/>
  <c r="D171" i="8"/>
  <c r="D169" i="8"/>
  <c r="D167" i="8"/>
  <c r="E165" i="8"/>
  <c r="G162" i="8"/>
  <c r="C161" i="8"/>
  <c r="I161" i="8" s="1"/>
  <c r="G158" i="8"/>
  <c r="E157" i="8"/>
  <c r="K157" i="8" s="1"/>
  <c r="C156" i="8"/>
  <c r="I156" i="8" s="1"/>
  <c r="P154" i="8"/>
  <c r="N153" i="8"/>
  <c r="G150" i="8"/>
  <c r="E149" i="8"/>
  <c r="C148" i="8"/>
  <c r="I148" i="8" s="1"/>
  <c r="P146" i="8"/>
  <c r="Q146" i="8" s="1"/>
  <c r="N145" i="8"/>
  <c r="O145" i="8" s="1"/>
  <c r="N140" i="8"/>
  <c r="O140" i="8" s="1"/>
  <c r="C140" i="8"/>
  <c r="G139" i="8"/>
  <c r="N137" i="8"/>
  <c r="C137" i="8"/>
  <c r="I137" i="8" s="1"/>
  <c r="E136" i="8"/>
  <c r="K136" i="8" s="1"/>
  <c r="F134" i="8"/>
  <c r="C133" i="8"/>
  <c r="I133" i="8" s="1"/>
  <c r="F130" i="8"/>
  <c r="L130" i="8" s="1"/>
  <c r="E129" i="8"/>
  <c r="E128" i="8"/>
  <c r="E127" i="8"/>
  <c r="E126" i="8"/>
  <c r="E125" i="8"/>
  <c r="K125" i="8" s="1"/>
  <c r="E124" i="8"/>
  <c r="E123" i="8"/>
  <c r="K123" i="8" s="1"/>
  <c r="E122" i="8"/>
  <c r="K122" i="8" s="1"/>
  <c r="E121" i="8"/>
  <c r="E120" i="8"/>
  <c r="E119" i="8"/>
  <c r="E118" i="8"/>
  <c r="E117" i="8"/>
  <c r="K117" i="8" s="1"/>
  <c r="E116" i="8"/>
  <c r="E115" i="8"/>
  <c r="K115" i="8" s="1"/>
  <c r="E114" i="8"/>
  <c r="K114" i="8" s="1"/>
  <c r="E113" i="8"/>
  <c r="E112" i="8"/>
  <c r="E111" i="8"/>
  <c r="E110" i="8"/>
  <c r="K110" i="8" s="1"/>
  <c r="E109" i="8"/>
  <c r="K109" i="8" s="1"/>
  <c r="E108" i="8"/>
  <c r="E107" i="8"/>
  <c r="K107" i="8" s="1"/>
  <c r="E106" i="8"/>
  <c r="K106" i="8" s="1"/>
  <c r="E105" i="8"/>
  <c r="E104" i="8"/>
  <c r="E103" i="8"/>
  <c r="E102" i="8"/>
  <c r="K102" i="8" s="1"/>
  <c r="E101" i="8"/>
  <c r="K101" i="8" s="1"/>
  <c r="E100" i="8"/>
  <c r="E99" i="8"/>
  <c r="K99" i="8" s="1"/>
  <c r="E98" i="8"/>
  <c r="K98" i="8" s="1"/>
  <c r="E97" i="8"/>
  <c r="E96" i="8"/>
  <c r="E95" i="8"/>
  <c r="E94" i="8"/>
  <c r="K94" i="8" s="1"/>
  <c r="E93" i="8"/>
  <c r="K93" i="8" s="1"/>
  <c r="E92" i="8"/>
  <c r="E91" i="8"/>
  <c r="K91" i="8" s="1"/>
  <c r="E90" i="8"/>
  <c r="K90" i="8" s="1"/>
  <c r="E89" i="8"/>
  <c r="E88" i="8"/>
  <c r="E87" i="8"/>
  <c r="E86" i="8"/>
  <c r="K86" i="8" s="1"/>
  <c r="E85" i="8"/>
  <c r="K85" i="8" s="1"/>
  <c r="E84" i="8"/>
  <c r="E83" i="8"/>
  <c r="K83" i="8" s="1"/>
  <c r="E82" i="8"/>
  <c r="K82" i="8" s="1"/>
  <c r="E81" i="8"/>
  <c r="E80" i="8"/>
  <c r="E79" i="8"/>
  <c r="E78" i="8"/>
  <c r="K78" i="8" s="1"/>
  <c r="E77" i="8"/>
  <c r="K77" i="8" s="1"/>
  <c r="E76" i="8"/>
  <c r="E75" i="8"/>
  <c r="K75" i="8" s="1"/>
  <c r="F237" i="8"/>
  <c r="L237" i="8" s="1"/>
  <c r="F223" i="8"/>
  <c r="D214" i="8"/>
  <c r="E191" i="8"/>
  <c r="C188" i="8"/>
  <c r="I188" i="8" s="1"/>
  <c r="N184" i="8"/>
  <c r="O184" i="8" s="1"/>
  <c r="N181" i="8"/>
  <c r="G179" i="8"/>
  <c r="M179" i="8" s="1"/>
  <c r="C177" i="8"/>
  <c r="I177" i="8" s="1"/>
  <c r="N174" i="8"/>
  <c r="N172" i="8"/>
  <c r="N170" i="8"/>
  <c r="N168" i="8"/>
  <c r="O168" i="8" s="1"/>
  <c r="N166" i="8"/>
  <c r="O166" i="8" s="1"/>
  <c r="C165" i="8"/>
  <c r="I165" i="8" s="1"/>
  <c r="E162" i="8"/>
  <c r="K162" i="8" s="1"/>
  <c r="E158" i="8"/>
  <c r="K158" i="8" s="1"/>
  <c r="C157" i="8"/>
  <c r="P155" i="8"/>
  <c r="N154" i="8"/>
  <c r="G151" i="8"/>
  <c r="E150" i="8"/>
  <c r="K150" i="8" s="1"/>
  <c r="C149" i="8"/>
  <c r="I149" i="8" s="1"/>
  <c r="P147" i="8"/>
  <c r="Q147" i="8" s="1"/>
  <c r="N146" i="8"/>
  <c r="O146" i="8" s="1"/>
  <c r="G143" i="8"/>
  <c r="B140" i="8"/>
  <c r="D139" i="8"/>
  <c r="D136" i="8"/>
  <c r="N134" i="8"/>
  <c r="O134" i="8" s="1"/>
  <c r="D134" i="8"/>
  <c r="B133" i="8"/>
  <c r="H133" i="8" s="1"/>
  <c r="P131" i="8"/>
  <c r="Q131" i="8" s="1"/>
  <c r="G131" i="8"/>
  <c r="N130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J110" i="8" s="1"/>
  <c r="D109" i="8"/>
  <c r="D108" i="8"/>
  <c r="D107" i="8"/>
  <c r="D106" i="8"/>
  <c r="D105" i="8"/>
  <c r="D104" i="8"/>
  <c r="D103" i="8"/>
  <c r="D102" i="8"/>
  <c r="J102" i="8" s="1"/>
  <c r="D101" i="8"/>
  <c r="D100" i="8"/>
  <c r="D99" i="8"/>
  <c r="D98" i="8"/>
  <c r="D97" i="8"/>
  <c r="D96" i="8"/>
  <c r="D95" i="8"/>
  <c r="D94" i="8"/>
  <c r="J94" i="8" s="1"/>
  <c r="D93" i="8"/>
  <c r="D92" i="8"/>
  <c r="D91" i="8"/>
  <c r="D90" i="8"/>
  <c r="D89" i="8"/>
  <c r="D88" i="8"/>
  <c r="D87" i="8"/>
  <c r="D86" i="8"/>
  <c r="J86" i="8" s="1"/>
  <c r="D85" i="8"/>
  <c r="D84" i="8"/>
  <c r="D83" i="8"/>
  <c r="D82" i="8"/>
  <c r="D81" i="8"/>
  <c r="D80" i="8"/>
  <c r="D79" i="8"/>
  <c r="D78" i="8"/>
  <c r="J78" i="8" s="1"/>
  <c r="D77" i="8"/>
  <c r="D76" i="8"/>
  <c r="D75" i="8"/>
  <c r="D74" i="8"/>
  <c r="D73" i="8"/>
  <c r="D72" i="8"/>
  <c r="B236" i="8"/>
  <c r="F231" i="8"/>
  <c r="L231" i="8" s="1"/>
  <c r="D222" i="8"/>
  <c r="B213" i="8"/>
  <c r="N196" i="8"/>
  <c r="E187" i="8"/>
  <c r="C184" i="8"/>
  <c r="I184" i="8" s="1"/>
  <c r="D181" i="8"/>
  <c r="N178" i="8"/>
  <c r="F174" i="8"/>
  <c r="L174" i="8" s="1"/>
  <c r="F172" i="8"/>
  <c r="L172" i="8" s="1"/>
  <c r="F170" i="8"/>
  <c r="F168" i="8"/>
  <c r="F166" i="8"/>
  <c r="E163" i="8"/>
  <c r="K163" i="8" s="1"/>
  <c r="E159" i="8"/>
  <c r="K159" i="8" s="1"/>
  <c r="P157" i="8"/>
  <c r="Q157" i="8" s="1"/>
  <c r="N156" i="8"/>
  <c r="O156" i="8" s="1"/>
  <c r="G153" i="8"/>
  <c r="M153" i="8" s="1"/>
  <c r="E152" i="8"/>
  <c r="C151" i="8"/>
  <c r="P149" i="8"/>
  <c r="N148" i="8"/>
  <c r="O148" i="8" s="1"/>
  <c r="G145" i="8"/>
  <c r="M145" i="8" s="1"/>
  <c r="E144" i="8"/>
  <c r="D143" i="8"/>
  <c r="J143" i="8" s="1"/>
  <c r="G142" i="8"/>
  <c r="M142" i="8" s="1"/>
  <c r="G141" i="8"/>
  <c r="P139" i="8"/>
  <c r="C139" i="8"/>
  <c r="G138" i="8"/>
  <c r="N136" i="8"/>
  <c r="O136" i="8" s="1"/>
  <c r="C136" i="8"/>
  <c r="I136" i="8" s="1"/>
  <c r="G135" i="8"/>
  <c r="M135" i="8" s="1"/>
  <c r="E231" i="8"/>
  <c r="K231" i="8" s="1"/>
  <c r="C222" i="8"/>
  <c r="F190" i="8"/>
  <c r="D187" i="8"/>
  <c r="B184" i="8"/>
  <c r="C181" i="8"/>
  <c r="I181" i="8" s="1"/>
  <c r="E174" i="8"/>
  <c r="E172" i="8"/>
  <c r="K172" i="8" s="1"/>
  <c r="E170" i="8"/>
  <c r="K170" i="8" s="1"/>
  <c r="E168" i="8"/>
  <c r="E166" i="8"/>
  <c r="D163" i="8"/>
  <c r="N161" i="8"/>
  <c r="O161" i="8" s="1"/>
  <c r="D159" i="8"/>
  <c r="J159" i="8" s="1"/>
  <c r="F153" i="8"/>
  <c r="D152" i="8"/>
  <c r="J152" i="8" s="1"/>
  <c r="B151" i="8"/>
  <c r="H151" i="8" s="1"/>
  <c r="F145" i="8"/>
  <c r="D144" i="8"/>
  <c r="C143" i="8"/>
  <c r="E142" i="8"/>
  <c r="K142" i="8" s="1"/>
  <c r="F141" i="8"/>
  <c r="L141" i="8" s="1"/>
  <c r="B139" i="8"/>
  <c r="F138" i="8"/>
  <c r="L138" i="8" s="1"/>
  <c r="B136" i="8"/>
  <c r="H136" i="8" s="1"/>
  <c r="E135" i="8"/>
  <c r="B134" i="8"/>
  <c r="P132" i="8"/>
  <c r="N235" i="8"/>
  <c r="O235" i="8" s="1"/>
  <c r="D231" i="8"/>
  <c r="J231" i="8" s="1"/>
  <c r="B222" i="8"/>
  <c r="E190" i="8"/>
  <c r="K190" i="8" s="1"/>
  <c r="C187" i="8"/>
  <c r="I187" i="8" s="1"/>
  <c r="N183" i="8"/>
  <c r="B181" i="8"/>
  <c r="G176" i="8"/>
  <c r="D174" i="8"/>
  <c r="D172" i="8"/>
  <c r="J172" i="8" s="1"/>
  <c r="D170" i="8"/>
  <c r="D168" i="8"/>
  <c r="J168" i="8" s="1"/>
  <c r="D166" i="8"/>
  <c r="J166" i="8" s="1"/>
  <c r="G164" i="8"/>
  <c r="C163" i="8"/>
  <c r="D230" i="8"/>
  <c r="B221" i="8"/>
  <c r="C196" i="8"/>
  <c r="I196" i="8" s="1"/>
  <c r="N192" i="8"/>
  <c r="E183" i="8"/>
  <c r="K183" i="8" s="1"/>
  <c r="E178" i="8"/>
  <c r="K178" i="8" s="1"/>
  <c r="P175" i="8"/>
  <c r="N173" i="8"/>
  <c r="N171" i="8"/>
  <c r="N169" i="8"/>
  <c r="O169" i="8" s="1"/>
  <c r="N167" i="8"/>
  <c r="O167" i="8" s="1"/>
  <c r="N165" i="8"/>
  <c r="E164" i="8"/>
  <c r="K164" i="8" s="1"/>
  <c r="E160" i="8"/>
  <c r="K160" i="8" s="1"/>
  <c r="G155" i="8"/>
  <c r="E154" i="8"/>
  <c r="C153" i="8"/>
  <c r="P151" i="8"/>
  <c r="Q151" i="8" s="1"/>
  <c r="N150" i="8"/>
  <c r="O150" i="8" s="1"/>
  <c r="G147" i="8"/>
  <c r="E146" i="8"/>
  <c r="K146" i="8" s="1"/>
  <c r="C145" i="8"/>
  <c r="I145" i="8" s="1"/>
  <c r="P143" i="8"/>
  <c r="P142" i="8"/>
  <c r="P141" i="8"/>
  <c r="D141" i="8"/>
  <c r="F140" i="8"/>
  <c r="L140" i="8" s="1"/>
  <c r="B138" i="8"/>
  <c r="F137" i="8"/>
  <c r="L137" i="8" s="1"/>
  <c r="C135" i="8"/>
  <c r="I135" i="8" s="1"/>
  <c r="P133" i="8"/>
  <c r="G133" i="8"/>
  <c r="N132" i="8"/>
  <c r="D132" i="8"/>
  <c r="B131" i="8"/>
  <c r="H131" i="8" s="1"/>
  <c r="P129" i="8"/>
  <c r="Q129" i="8" s="1"/>
  <c r="P128" i="8"/>
  <c r="Q128" i="8" s="1"/>
  <c r="P127" i="8"/>
  <c r="Q127" i="8" s="1"/>
  <c r="P126" i="8"/>
  <c r="P125" i="8"/>
  <c r="P124" i="8"/>
  <c r="P123" i="8"/>
  <c r="Q123" i="8" s="1"/>
  <c r="P122" i="8"/>
  <c r="Q122" i="8" s="1"/>
  <c r="P121" i="8"/>
  <c r="Q121" i="8" s="1"/>
  <c r="P120" i="8"/>
  <c r="Q120" i="8" s="1"/>
  <c r="P119" i="8"/>
  <c r="Q119" i="8" s="1"/>
  <c r="P118" i="8"/>
  <c r="P117" i="8"/>
  <c r="P116" i="8"/>
  <c r="P115" i="8"/>
  <c r="Q115" i="8" s="1"/>
  <c r="P114" i="8"/>
  <c r="Q114" i="8" s="1"/>
  <c r="P113" i="8"/>
  <c r="Q113" i="8" s="1"/>
  <c r="P112" i="8"/>
  <c r="Q112" i="8" s="1"/>
  <c r="P111" i="8"/>
  <c r="Q111" i="8" s="1"/>
  <c r="P110" i="8"/>
  <c r="Q110" i="8" s="1"/>
  <c r="P109" i="8"/>
  <c r="P108" i="8"/>
  <c r="P107" i="8"/>
  <c r="Q107" i="8" s="1"/>
  <c r="P106" i="8"/>
  <c r="Q106" i="8" s="1"/>
  <c r="P105" i="8"/>
  <c r="Q105" i="8" s="1"/>
  <c r="P104" i="8"/>
  <c r="Q104" i="8" s="1"/>
  <c r="P103" i="8"/>
  <c r="Q103" i="8" s="1"/>
  <c r="P102" i="8"/>
  <c r="Q102" i="8" s="1"/>
  <c r="P101" i="8"/>
  <c r="P100" i="8"/>
  <c r="P99" i="8"/>
  <c r="Q99" i="8" s="1"/>
  <c r="P98" i="8"/>
  <c r="Q98" i="8" s="1"/>
  <c r="P97" i="8"/>
  <c r="Q97" i="8" s="1"/>
  <c r="P96" i="8"/>
  <c r="Q96" i="8" s="1"/>
  <c r="P95" i="8"/>
  <c r="Q95" i="8" s="1"/>
  <c r="P94" i="8"/>
  <c r="Q94" i="8" s="1"/>
  <c r="P93" i="8"/>
  <c r="P92" i="8"/>
  <c r="P91" i="8"/>
  <c r="Q91" i="8" s="1"/>
  <c r="P90" i="8"/>
  <c r="Q90" i="8" s="1"/>
  <c r="P89" i="8"/>
  <c r="Q89" i="8" s="1"/>
  <c r="P88" i="8"/>
  <c r="Q88" i="8" s="1"/>
  <c r="P87" i="8"/>
  <c r="Q87" i="8" s="1"/>
  <c r="P86" i="8"/>
  <c r="Q86" i="8" s="1"/>
  <c r="P85" i="8"/>
  <c r="Q85" i="8" s="1"/>
  <c r="P84" i="8"/>
  <c r="P83" i="8"/>
  <c r="Q83" i="8" s="1"/>
  <c r="P82" i="8"/>
  <c r="Q82" i="8" s="1"/>
  <c r="P81" i="8"/>
  <c r="Q81" i="8" s="1"/>
  <c r="P80" i="8"/>
  <c r="Q80" i="8" s="1"/>
  <c r="P79" i="8"/>
  <c r="Q79" i="8" s="1"/>
  <c r="P78" i="8"/>
  <c r="Q78" i="8" s="1"/>
  <c r="P77" i="8"/>
  <c r="Q77" i="8" s="1"/>
  <c r="P76" i="8"/>
  <c r="P75" i="8"/>
  <c r="Q75" i="8" s="1"/>
  <c r="B229" i="8"/>
  <c r="H229" i="8" s="1"/>
  <c r="E195" i="8"/>
  <c r="F173" i="8"/>
  <c r="L173" i="8" s="1"/>
  <c r="G160" i="8"/>
  <c r="M160" i="8" s="1"/>
  <c r="P150" i="8"/>
  <c r="Q150" i="8" s="1"/>
  <c r="G146" i="8"/>
  <c r="B142" i="8"/>
  <c r="P138" i="8"/>
  <c r="Q138" i="8" s="1"/>
  <c r="P135" i="8"/>
  <c r="Q135" i="8" s="1"/>
  <c r="G132" i="8"/>
  <c r="D131" i="8"/>
  <c r="J131" i="8" s="1"/>
  <c r="B130" i="8"/>
  <c r="H130" i="8" s="1"/>
  <c r="B129" i="8"/>
  <c r="B128" i="8"/>
  <c r="B127" i="8"/>
  <c r="B126" i="8"/>
  <c r="B125" i="8"/>
  <c r="H125" i="8" s="1"/>
  <c r="B124" i="8"/>
  <c r="B123" i="8"/>
  <c r="H123" i="8" s="1"/>
  <c r="B122" i="8"/>
  <c r="H122" i="8" s="1"/>
  <c r="B121" i="8"/>
  <c r="B120" i="8"/>
  <c r="B119" i="8"/>
  <c r="B118" i="8"/>
  <c r="B117" i="8"/>
  <c r="H117" i="8" s="1"/>
  <c r="B116" i="8"/>
  <c r="B115" i="8"/>
  <c r="H115" i="8" s="1"/>
  <c r="B114" i="8"/>
  <c r="H114" i="8" s="1"/>
  <c r="B113" i="8"/>
  <c r="B112" i="8"/>
  <c r="B111" i="8"/>
  <c r="B110" i="8"/>
  <c r="H110" i="8" s="1"/>
  <c r="B109" i="8"/>
  <c r="H109" i="8" s="1"/>
  <c r="B108" i="8"/>
  <c r="B107" i="8"/>
  <c r="H107" i="8" s="1"/>
  <c r="B106" i="8"/>
  <c r="H106" i="8" s="1"/>
  <c r="B105" i="8"/>
  <c r="B104" i="8"/>
  <c r="B103" i="8"/>
  <c r="B102" i="8"/>
  <c r="H102" i="8" s="1"/>
  <c r="B101" i="8"/>
  <c r="H101" i="8" s="1"/>
  <c r="B100" i="8"/>
  <c r="B99" i="8"/>
  <c r="H99" i="8" s="1"/>
  <c r="B98" i="8"/>
  <c r="H98" i="8" s="1"/>
  <c r="B97" i="8"/>
  <c r="B96" i="8"/>
  <c r="B95" i="8"/>
  <c r="B94" i="8"/>
  <c r="H94" i="8" s="1"/>
  <c r="B93" i="8"/>
  <c r="H93" i="8" s="1"/>
  <c r="B92" i="8"/>
  <c r="B91" i="8"/>
  <c r="H91" i="8" s="1"/>
  <c r="B90" i="8"/>
  <c r="H90" i="8" s="1"/>
  <c r="B89" i="8"/>
  <c r="F88" i="8"/>
  <c r="B85" i="8"/>
  <c r="F84" i="8"/>
  <c r="B81" i="8"/>
  <c r="H81" i="8" s="1"/>
  <c r="F80" i="8"/>
  <c r="B77" i="8"/>
  <c r="H77" i="8" s="1"/>
  <c r="F76" i="8"/>
  <c r="L76" i="8" s="1"/>
  <c r="N74" i="8"/>
  <c r="E74" i="8"/>
  <c r="B73" i="8"/>
  <c r="P71" i="8"/>
  <c r="Q71" i="8" s="1"/>
  <c r="P70" i="8"/>
  <c r="Q70" i="8" s="1"/>
  <c r="P69" i="8"/>
  <c r="Q69" i="8" s="1"/>
  <c r="P68" i="8"/>
  <c r="Q68" i="8" s="1"/>
  <c r="P67" i="8"/>
  <c r="Q67" i="8" s="1"/>
  <c r="P66" i="8"/>
  <c r="Q66" i="8" s="1"/>
  <c r="P65" i="8"/>
  <c r="Q65" i="8" s="1"/>
  <c r="P64" i="8"/>
  <c r="P63" i="8"/>
  <c r="Q63" i="8" s="1"/>
  <c r="P62" i="8"/>
  <c r="Q62" i="8" s="1"/>
  <c r="P61" i="8"/>
  <c r="Q61" i="8" s="1"/>
  <c r="P60" i="8"/>
  <c r="Q60" i="8" s="1"/>
  <c r="P59" i="8"/>
  <c r="Q59" i="8" s="1"/>
  <c r="P58" i="8"/>
  <c r="Q58" i="8" s="1"/>
  <c r="P57" i="8"/>
  <c r="Q57" i="8" s="1"/>
  <c r="P56" i="8"/>
  <c r="P55" i="8"/>
  <c r="Q55" i="8" s="1"/>
  <c r="P54" i="8"/>
  <c r="Q54" i="8" s="1"/>
  <c r="P53" i="8"/>
  <c r="Q53" i="8" s="1"/>
  <c r="P52" i="8"/>
  <c r="Q52" i="8" s="1"/>
  <c r="P51" i="8"/>
  <c r="Q51" i="8" s="1"/>
  <c r="P50" i="8"/>
  <c r="Q50" i="8" s="1"/>
  <c r="P49" i="8"/>
  <c r="Q49" i="8" s="1"/>
  <c r="P48" i="8"/>
  <c r="P47" i="8"/>
  <c r="Q47" i="8" s="1"/>
  <c r="P46" i="8"/>
  <c r="Q46" i="8" s="1"/>
  <c r="P45" i="8"/>
  <c r="Q45" i="8" s="1"/>
  <c r="P44" i="8"/>
  <c r="Q44" i="8" s="1"/>
  <c r="P43" i="8"/>
  <c r="Q43" i="8" s="1"/>
  <c r="P42" i="8"/>
  <c r="Q42" i="8" s="1"/>
  <c r="P41" i="8"/>
  <c r="Q41" i="8" s="1"/>
  <c r="P40" i="8"/>
  <c r="P39" i="8"/>
  <c r="Q39" i="8" s="1"/>
  <c r="P38" i="8"/>
  <c r="Q38" i="8" s="1"/>
  <c r="P37" i="8"/>
  <c r="Q37" i="8" s="1"/>
  <c r="P36" i="8"/>
  <c r="Q36" i="8" s="1"/>
  <c r="P35" i="8"/>
  <c r="Q35" i="8" s="1"/>
  <c r="P34" i="8"/>
  <c r="Q34" i="8" s="1"/>
  <c r="P33" i="8"/>
  <c r="Q33" i="8" s="1"/>
  <c r="P32" i="8"/>
  <c r="P31" i="8"/>
  <c r="Q31" i="8" s="1"/>
  <c r="P30" i="8"/>
  <c r="Q30" i="8" s="1"/>
  <c r="P29" i="8"/>
  <c r="Q29" i="8" s="1"/>
  <c r="P28" i="8"/>
  <c r="Q28" i="8" s="1"/>
  <c r="P27" i="8"/>
  <c r="Q27" i="8" s="1"/>
  <c r="P26" i="8"/>
  <c r="Q26" i="8" s="1"/>
  <c r="P25" i="8"/>
  <c r="Q25" i="8" s="1"/>
  <c r="P24" i="8"/>
  <c r="P23" i="8"/>
  <c r="Q23" i="8" s="1"/>
  <c r="P22" i="8"/>
  <c r="Q22" i="8" s="1"/>
  <c r="P21" i="8"/>
  <c r="Q21" i="8" s="1"/>
  <c r="P20" i="8"/>
  <c r="Q20" i="8" s="1"/>
  <c r="P19" i="8"/>
  <c r="Q19" i="8" s="1"/>
  <c r="P18" i="8"/>
  <c r="Q18" i="8" s="1"/>
  <c r="P17" i="8"/>
  <c r="Q17" i="8" s="1"/>
  <c r="P16" i="8"/>
  <c r="P15" i="8"/>
  <c r="Q15" i="8" s="1"/>
  <c r="P14" i="8"/>
  <c r="Q14" i="8" s="1"/>
  <c r="P13" i="8"/>
  <c r="Q13" i="8" s="1"/>
  <c r="P12" i="8"/>
  <c r="Q12" i="8" s="1"/>
  <c r="P11" i="8"/>
  <c r="Q11" i="8" s="1"/>
  <c r="P10" i="8"/>
  <c r="Q10" i="8" s="1"/>
  <c r="P9" i="8"/>
  <c r="Q9" i="8" s="1"/>
  <c r="P8" i="8"/>
  <c r="P7" i="8"/>
  <c r="Q7" i="8" s="1"/>
  <c r="P6" i="8"/>
  <c r="Q6" i="8" s="1"/>
  <c r="P5" i="8"/>
  <c r="Q5" i="8" s="1"/>
  <c r="P4" i="8"/>
  <c r="Q4" i="8" s="1"/>
  <c r="P3" i="8"/>
  <c r="Q3" i="8" s="1"/>
  <c r="P2" i="8"/>
  <c r="Q2" i="8" s="1"/>
  <c r="C192" i="8"/>
  <c r="F171" i="8"/>
  <c r="C155" i="8"/>
  <c r="I155" i="8" s="1"/>
  <c r="P145" i="8"/>
  <c r="Q145" i="8" s="1"/>
  <c r="N138" i="8"/>
  <c r="F132" i="8"/>
  <c r="L132" i="8" s="1"/>
  <c r="C131" i="8"/>
  <c r="I131" i="8" s="1"/>
  <c r="C88" i="8"/>
  <c r="G87" i="8"/>
  <c r="N85" i="8"/>
  <c r="C84" i="8"/>
  <c r="I84" i="8" s="1"/>
  <c r="G83" i="8"/>
  <c r="M83" i="8" s="1"/>
  <c r="N81" i="8"/>
  <c r="C80" i="8"/>
  <c r="I80" i="8" s="1"/>
  <c r="G79" i="8"/>
  <c r="M79" i="8" s="1"/>
  <c r="N77" i="8"/>
  <c r="C76" i="8"/>
  <c r="G75" i="8"/>
  <c r="C74" i="8"/>
  <c r="I74" i="8" s="1"/>
  <c r="G71" i="8"/>
  <c r="M71" i="8" s="1"/>
  <c r="G70" i="8"/>
  <c r="G69" i="8"/>
  <c r="M69" i="8" s="1"/>
  <c r="G68" i="8"/>
  <c r="M68" i="8" s="1"/>
  <c r="G67" i="8"/>
  <c r="G66" i="8"/>
  <c r="G65" i="8"/>
  <c r="G64" i="8"/>
  <c r="G63" i="8"/>
  <c r="M63" i="8" s="1"/>
  <c r="G62" i="8"/>
  <c r="G61" i="8"/>
  <c r="M61" i="8" s="1"/>
  <c r="G60" i="8"/>
  <c r="M60" i="8" s="1"/>
  <c r="G59" i="8"/>
  <c r="G58" i="8"/>
  <c r="G57" i="8"/>
  <c r="G56" i="8"/>
  <c r="G55" i="8"/>
  <c r="M55" i="8" s="1"/>
  <c r="G54" i="8"/>
  <c r="G53" i="8"/>
  <c r="M53" i="8" s="1"/>
  <c r="G52" i="8"/>
  <c r="M52" i="8" s="1"/>
  <c r="G51" i="8"/>
  <c r="G50" i="8"/>
  <c r="G49" i="8"/>
  <c r="G48" i="8"/>
  <c r="G47" i="8"/>
  <c r="M47" i="8" s="1"/>
  <c r="G46" i="8"/>
  <c r="G45" i="8"/>
  <c r="M45" i="8" s="1"/>
  <c r="G44" i="8"/>
  <c r="M44" i="8" s="1"/>
  <c r="G43" i="8"/>
  <c r="G42" i="8"/>
  <c r="G41" i="8"/>
  <c r="G40" i="8"/>
  <c r="G39" i="8"/>
  <c r="M39" i="8" s="1"/>
  <c r="G38" i="8"/>
  <c r="G37" i="8"/>
  <c r="M37" i="8" s="1"/>
  <c r="G36" i="8"/>
  <c r="M36" i="8" s="1"/>
  <c r="G35" i="8"/>
  <c r="G34" i="8"/>
  <c r="G33" i="8"/>
  <c r="G32" i="8"/>
  <c r="G31" i="8"/>
  <c r="M31" i="8" s="1"/>
  <c r="G30" i="8"/>
  <c r="G29" i="8"/>
  <c r="M29" i="8" s="1"/>
  <c r="G28" i="8"/>
  <c r="M28" i="8" s="1"/>
  <c r="G27" i="8"/>
  <c r="G26" i="8"/>
  <c r="G25" i="8"/>
  <c r="G24" i="8"/>
  <c r="G23" i="8"/>
  <c r="M23" i="8" s="1"/>
  <c r="G22" i="8"/>
  <c r="G21" i="8"/>
  <c r="M21" i="8" s="1"/>
  <c r="G20" i="8"/>
  <c r="M20" i="8" s="1"/>
  <c r="G19" i="8"/>
  <c r="G18" i="8"/>
  <c r="G17" i="8"/>
  <c r="G16" i="8"/>
  <c r="G15" i="8"/>
  <c r="M15" i="8" s="1"/>
  <c r="G14" i="8"/>
  <c r="G13" i="8"/>
  <c r="M13" i="8" s="1"/>
  <c r="G12" i="8"/>
  <c r="M12" i="8" s="1"/>
  <c r="G11" i="8"/>
  <c r="G10" i="8"/>
  <c r="G9" i="8"/>
  <c r="G8" i="8"/>
  <c r="G7" i="8"/>
  <c r="M7" i="8" s="1"/>
  <c r="G6" i="8"/>
  <c r="G5" i="8"/>
  <c r="M5" i="8" s="1"/>
  <c r="G4" i="8"/>
  <c r="M4" i="8" s="1"/>
  <c r="G3" i="8"/>
  <c r="G2" i="8"/>
  <c r="N188" i="8"/>
  <c r="F169" i="8"/>
  <c r="C159" i="8"/>
  <c r="I159" i="8" s="1"/>
  <c r="G154" i="8"/>
  <c r="N149" i="8"/>
  <c r="O149" i="8" s="1"/>
  <c r="E145" i="8"/>
  <c r="K145" i="8" s="1"/>
  <c r="E141" i="8"/>
  <c r="E138" i="8"/>
  <c r="D135" i="8"/>
  <c r="C132" i="8"/>
  <c r="I132" i="8" s="1"/>
  <c r="B88" i="8"/>
  <c r="H88" i="8" s="1"/>
  <c r="F87" i="8"/>
  <c r="B84" i="8"/>
  <c r="H84" i="8" s="1"/>
  <c r="F83" i="8"/>
  <c r="L83" i="8" s="1"/>
  <c r="B80" i="8"/>
  <c r="F79" i="8"/>
  <c r="B76" i="8"/>
  <c r="F75" i="8"/>
  <c r="B74" i="8"/>
  <c r="H74" i="8" s="1"/>
  <c r="P72" i="8"/>
  <c r="Q72" i="8" s="1"/>
  <c r="G72" i="8"/>
  <c r="M72" i="8" s="1"/>
  <c r="N71" i="8"/>
  <c r="O71" i="8" s="1"/>
  <c r="F71" i="8"/>
  <c r="N70" i="8"/>
  <c r="F70" i="8"/>
  <c r="N69" i="8"/>
  <c r="O69" i="8" s="1"/>
  <c r="F69" i="8"/>
  <c r="L69" i="8" s="1"/>
  <c r="N68" i="8"/>
  <c r="O68" i="8" s="1"/>
  <c r="F68" i="8"/>
  <c r="L68" i="8" s="1"/>
  <c r="N67" i="8"/>
  <c r="O67" i="8" s="1"/>
  <c r="F67" i="8"/>
  <c r="N66" i="8"/>
  <c r="F66" i="8"/>
  <c r="N65" i="8"/>
  <c r="O65" i="8" s="1"/>
  <c r="F65" i="8"/>
  <c r="L65" i="8" s="1"/>
  <c r="N64" i="8"/>
  <c r="O64" i="8" s="1"/>
  <c r="F64" i="8"/>
  <c r="L64" i="8" s="1"/>
  <c r="N63" i="8"/>
  <c r="O63" i="8" s="1"/>
  <c r="F63" i="8"/>
  <c r="N62" i="8"/>
  <c r="F62" i="8"/>
  <c r="N61" i="8"/>
  <c r="O61" i="8" s="1"/>
  <c r="F61" i="8"/>
  <c r="L61" i="8" s="1"/>
  <c r="N60" i="8"/>
  <c r="O60" i="8" s="1"/>
  <c r="F60" i="8"/>
  <c r="L60" i="8" s="1"/>
  <c r="N59" i="8"/>
  <c r="O59" i="8" s="1"/>
  <c r="F59" i="8"/>
  <c r="N58" i="8"/>
  <c r="F58" i="8"/>
  <c r="N57" i="8"/>
  <c r="O57" i="8" s="1"/>
  <c r="F57" i="8"/>
  <c r="L57" i="8" s="1"/>
  <c r="N56" i="8"/>
  <c r="O56" i="8" s="1"/>
  <c r="F56" i="8"/>
  <c r="L56" i="8" s="1"/>
  <c r="N55" i="8"/>
  <c r="O55" i="8" s="1"/>
  <c r="F55" i="8"/>
  <c r="N54" i="8"/>
  <c r="F54" i="8"/>
  <c r="N53" i="8"/>
  <c r="O53" i="8" s="1"/>
  <c r="F53" i="8"/>
  <c r="L53" i="8" s="1"/>
  <c r="N52" i="8"/>
  <c r="O52" i="8" s="1"/>
  <c r="F52" i="8"/>
  <c r="L52" i="8" s="1"/>
  <c r="N51" i="8"/>
  <c r="O51" i="8" s="1"/>
  <c r="F51" i="8"/>
  <c r="N50" i="8"/>
  <c r="F50" i="8"/>
  <c r="N49" i="8"/>
  <c r="O49" i="8" s="1"/>
  <c r="F49" i="8"/>
  <c r="L49" i="8" s="1"/>
  <c r="N48" i="8"/>
  <c r="O48" i="8" s="1"/>
  <c r="F48" i="8"/>
  <c r="L48" i="8" s="1"/>
  <c r="N47" i="8"/>
  <c r="O47" i="8" s="1"/>
  <c r="F47" i="8"/>
  <c r="N46" i="8"/>
  <c r="F46" i="8"/>
  <c r="N45" i="8"/>
  <c r="O45" i="8" s="1"/>
  <c r="F45" i="8"/>
  <c r="L45" i="8" s="1"/>
  <c r="N44" i="8"/>
  <c r="O44" i="8" s="1"/>
  <c r="F44" i="8"/>
  <c r="L44" i="8" s="1"/>
  <c r="N43" i="8"/>
  <c r="O43" i="8" s="1"/>
  <c r="F43" i="8"/>
  <c r="N42" i="8"/>
  <c r="F42" i="8"/>
  <c r="N41" i="8"/>
  <c r="O41" i="8" s="1"/>
  <c r="F41" i="8"/>
  <c r="L41" i="8" s="1"/>
  <c r="N40" i="8"/>
  <c r="O40" i="8" s="1"/>
  <c r="F40" i="8"/>
  <c r="L40" i="8" s="1"/>
  <c r="N39" i="8"/>
  <c r="O39" i="8" s="1"/>
  <c r="F39" i="8"/>
  <c r="N38" i="8"/>
  <c r="F38" i="8"/>
  <c r="N37" i="8"/>
  <c r="O37" i="8" s="1"/>
  <c r="F37" i="8"/>
  <c r="L37" i="8" s="1"/>
  <c r="N36" i="8"/>
  <c r="O36" i="8" s="1"/>
  <c r="F36" i="8"/>
  <c r="L36" i="8" s="1"/>
  <c r="N35" i="8"/>
  <c r="O35" i="8" s="1"/>
  <c r="F35" i="8"/>
  <c r="N34" i="8"/>
  <c r="F34" i="8"/>
  <c r="N33" i="8"/>
  <c r="O33" i="8" s="1"/>
  <c r="F33" i="8"/>
  <c r="L33" i="8" s="1"/>
  <c r="N32" i="8"/>
  <c r="O32" i="8" s="1"/>
  <c r="F32" i="8"/>
  <c r="L32" i="8" s="1"/>
  <c r="N31" i="8"/>
  <c r="O31" i="8" s="1"/>
  <c r="F31" i="8"/>
  <c r="N30" i="8"/>
  <c r="F30" i="8"/>
  <c r="N29" i="8"/>
  <c r="O29" i="8" s="1"/>
  <c r="F29" i="8"/>
  <c r="L29" i="8" s="1"/>
  <c r="N28" i="8"/>
  <c r="O28" i="8" s="1"/>
  <c r="F28" i="8"/>
  <c r="L28" i="8" s="1"/>
  <c r="N27" i="8"/>
  <c r="O27" i="8" s="1"/>
  <c r="F27" i="8"/>
  <c r="N26" i="8"/>
  <c r="F26" i="8"/>
  <c r="N25" i="8"/>
  <c r="O25" i="8" s="1"/>
  <c r="F25" i="8"/>
  <c r="L25" i="8" s="1"/>
  <c r="N24" i="8"/>
  <c r="O24" i="8" s="1"/>
  <c r="F24" i="8"/>
  <c r="L24" i="8" s="1"/>
  <c r="N23" i="8"/>
  <c r="O23" i="8" s="1"/>
  <c r="F23" i="8"/>
  <c r="N22" i="8"/>
  <c r="F22" i="8"/>
  <c r="N21" i="8"/>
  <c r="O21" i="8" s="1"/>
  <c r="F21" i="8"/>
  <c r="L21" i="8" s="1"/>
  <c r="N20" i="8"/>
  <c r="O20" i="8" s="1"/>
  <c r="F20" i="8"/>
  <c r="L20" i="8" s="1"/>
  <c r="N19" i="8"/>
  <c r="O19" i="8" s="1"/>
  <c r="F19" i="8"/>
  <c r="N18" i="8"/>
  <c r="F18" i="8"/>
  <c r="N17" i="8"/>
  <c r="O17" i="8" s="1"/>
  <c r="F17" i="8"/>
  <c r="L17" i="8" s="1"/>
  <c r="N16" i="8"/>
  <c r="O16" i="8" s="1"/>
  <c r="F16" i="8"/>
  <c r="L16" i="8" s="1"/>
  <c r="N15" i="8"/>
  <c r="O15" i="8" s="1"/>
  <c r="F15" i="8"/>
  <c r="N14" i="8"/>
  <c r="F14" i="8"/>
  <c r="N13" i="8"/>
  <c r="O13" i="8" s="1"/>
  <c r="F13" i="8"/>
  <c r="L13" i="8" s="1"/>
  <c r="N12" i="8"/>
  <c r="O12" i="8" s="1"/>
  <c r="F12" i="8"/>
  <c r="L12" i="8" s="1"/>
  <c r="N11" i="8"/>
  <c r="O11" i="8" s="1"/>
  <c r="F11" i="8"/>
  <c r="N10" i="8"/>
  <c r="F10" i="8"/>
  <c r="N9" i="8"/>
  <c r="O9" i="8" s="1"/>
  <c r="F9" i="8"/>
  <c r="L9" i="8" s="1"/>
  <c r="N8" i="8"/>
  <c r="O8" i="8" s="1"/>
  <c r="F8" i="8"/>
  <c r="L8" i="8" s="1"/>
  <c r="N7" i="8"/>
  <c r="O7" i="8" s="1"/>
  <c r="F7" i="8"/>
  <c r="N6" i="8"/>
  <c r="F215" i="8"/>
  <c r="F167" i="8"/>
  <c r="P153" i="8"/>
  <c r="Q153" i="8" s="1"/>
  <c r="G149" i="8"/>
  <c r="N144" i="8"/>
  <c r="O144" i="8" s="1"/>
  <c r="C141" i="8"/>
  <c r="I141" i="8" s="1"/>
  <c r="P137" i="8"/>
  <c r="Q137" i="8" s="1"/>
  <c r="B135" i="8"/>
  <c r="F133" i="8"/>
  <c r="N88" i="8"/>
  <c r="O88" i="8" s="1"/>
  <c r="C87" i="8"/>
  <c r="I87" i="8" s="1"/>
  <c r="G86" i="8"/>
  <c r="N84" i="8"/>
  <c r="O84" i="8" s="1"/>
  <c r="C83" i="8"/>
  <c r="I83" i="8" s="1"/>
  <c r="G82" i="8"/>
  <c r="N80" i="8"/>
  <c r="C79" i="8"/>
  <c r="G78" i="8"/>
  <c r="M78" i="8" s="1"/>
  <c r="N76" i="8"/>
  <c r="O76" i="8" s="1"/>
  <c r="C75" i="8"/>
  <c r="I75" i="8" s="1"/>
  <c r="F72" i="8"/>
  <c r="L72" i="8" s="1"/>
  <c r="E71" i="8"/>
  <c r="K71" i="8" s="1"/>
  <c r="G165" i="8"/>
  <c r="N157" i="8"/>
  <c r="E153" i="8"/>
  <c r="C144" i="8"/>
  <c r="I144" i="8" s="1"/>
  <c r="G137" i="8"/>
  <c r="M137" i="8" s="1"/>
  <c r="N131" i="8"/>
  <c r="O131" i="8" s="1"/>
  <c r="B87" i="8"/>
  <c r="H87" i="8" s="1"/>
  <c r="F86" i="8"/>
  <c r="L86" i="8" s="1"/>
  <c r="B83" i="8"/>
  <c r="F82" i="8"/>
  <c r="B79" i="8"/>
  <c r="F78" i="8"/>
  <c r="B75" i="8"/>
  <c r="H75" i="8" s="1"/>
  <c r="P73" i="8"/>
  <c r="Q73" i="8" s="1"/>
  <c r="G73" i="8"/>
  <c r="M73" i="8" s="1"/>
  <c r="N72" i="8"/>
  <c r="O72" i="8" s="1"/>
  <c r="E72" i="8"/>
  <c r="D71" i="8"/>
  <c r="D70" i="8"/>
  <c r="D69" i="8"/>
  <c r="D68" i="8"/>
  <c r="J68" i="8" s="1"/>
  <c r="P179" i="8"/>
  <c r="Q179" i="8" s="1"/>
  <c r="G157" i="8"/>
  <c r="M157" i="8" s="1"/>
  <c r="N152" i="8"/>
  <c r="O152" i="8" s="1"/>
  <c r="E148" i="8"/>
  <c r="E140" i="8"/>
  <c r="E137" i="8"/>
  <c r="N87" i="8"/>
  <c r="O87" i="8" s="1"/>
  <c r="C86" i="8"/>
  <c r="I86" i="8" s="1"/>
  <c r="G85" i="8"/>
  <c r="N83" i="8"/>
  <c r="O83" i="8" s="1"/>
  <c r="C82" i="8"/>
  <c r="I82" i="8" s="1"/>
  <c r="G81" i="8"/>
  <c r="N79" i="8"/>
  <c r="C78" i="8"/>
  <c r="G77" i="8"/>
  <c r="M77" i="8" s="1"/>
  <c r="N75" i="8"/>
  <c r="O75" i="8" s="1"/>
  <c r="F73" i="8"/>
  <c r="C72" i="8"/>
  <c r="I72" i="8" s="1"/>
  <c r="C152" i="8"/>
  <c r="I152" i="8" s="1"/>
  <c r="B143" i="8"/>
  <c r="C134" i="8"/>
  <c r="G129" i="8"/>
  <c r="G128" i="8"/>
  <c r="M128" i="8" s="1"/>
  <c r="G127" i="8"/>
  <c r="M127" i="8" s="1"/>
  <c r="G126" i="8"/>
  <c r="G125" i="8"/>
  <c r="M125" i="8" s="1"/>
  <c r="G124" i="8"/>
  <c r="M124" i="8" s="1"/>
  <c r="G123" i="8"/>
  <c r="G122" i="8"/>
  <c r="G121" i="8"/>
  <c r="G120" i="8"/>
  <c r="M120" i="8" s="1"/>
  <c r="G119" i="8"/>
  <c r="M119" i="8" s="1"/>
  <c r="G118" i="8"/>
  <c r="G117" i="8"/>
  <c r="M117" i="8" s="1"/>
  <c r="G116" i="8"/>
  <c r="M116" i="8" s="1"/>
  <c r="G115" i="8"/>
  <c r="G114" i="8"/>
  <c r="G113" i="8"/>
  <c r="G112" i="8"/>
  <c r="M112" i="8" s="1"/>
  <c r="G111" i="8"/>
  <c r="M111" i="8" s="1"/>
  <c r="G110" i="8"/>
  <c r="M110" i="8" s="1"/>
  <c r="G109" i="8"/>
  <c r="M109" i="8" s="1"/>
  <c r="G108" i="8"/>
  <c r="M108" i="8" s="1"/>
  <c r="G107" i="8"/>
  <c r="G106" i="8"/>
  <c r="G105" i="8"/>
  <c r="G104" i="8"/>
  <c r="M104" i="8" s="1"/>
  <c r="G103" i="8"/>
  <c r="M103" i="8" s="1"/>
  <c r="G102" i="8"/>
  <c r="M102" i="8" s="1"/>
  <c r="G101" i="8"/>
  <c r="M101" i="8" s="1"/>
  <c r="G100" i="8"/>
  <c r="M100" i="8" s="1"/>
  <c r="G99" i="8"/>
  <c r="G98" i="8"/>
  <c r="G97" i="8"/>
  <c r="G96" i="8"/>
  <c r="M96" i="8" s="1"/>
  <c r="G95" i="8"/>
  <c r="M95" i="8" s="1"/>
  <c r="G94" i="8"/>
  <c r="M94" i="8" s="1"/>
  <c r="G93" i="8"/>
  <c r="M93" i="8" s="1"/>
  <c r="G92" i="8"/>
  <c r="M92" i="8" s="1"/>
  <c r="G91" i="8"/>
  <c r="G90" i="8"/>
  <c r="G89" i="8"/>
  <c r="B86" i="8"/>
  <c r="H86" i="8" s="1"/>
  <c r="F85" i="8"/>
  <c r="L85" i="8" s="1"/>
  <c r="B82" i="8"/>
  <c r="H82" i="8" s="1"/>
  <c r="F81" i="8"/>
  <c r="L81" i="8" s="1"/>
  <c r="B78" i="8"/>
  <c r="H78" i="8" s="1"/>
  <c r="F77" i="8"/>
  <c r="P74" i="8"/>
  <c r="Q74" i="8" s="1"/>
  <c r="G74" i="8"/>
  <c r="N73" i="8"/>
  <c r="O73" i="8" s="1"/>
  <c r="E73" i="8"/>
  <c r="K73" i="8" s="1"/>
  <c r="B72" i="8"/>
  <c r="H72" i="8" s="1"/>
  <c r="B71" i="8"/>
  <c r="H71" i="8" s="1"/>
  <c r="B70" i="8"/>
  <c r="H70" i="8" s="1"/>
  <c r="B69" i="8"/>
  <c r="B68" i="8"/>
  <c r="B67" i="8"/>
  <c r="B66" i="8"/>
  <c r="H66" i="8" s="1"/>
  <c r="B65" i="8"/>
  <c r="H65" i="8" s="1"/>
  <c r="B64" i="8"/>
  <c r="H64" i="8" s="1"/>
  <c r="B63" i="8"/>
  <c r="H63" i="8" s="1"/>
  <c r="B62" i="8"/>
  <c r="H62" i="8" s="1"/>
  <c r="B61" i="8"/>
  <c r="B60" i="8"/>
  <c r="B59" i="8"/>
  <c r="B58" i="8"/>
  <c r="H58" i="8" s="1"/>
  <c r="B57" i="8"/>
  <c r="H57" i="8" s="1"/>
  <c r="B56" i="8"/>
  <c r="H56" i="8" s="1"/>
  <c r="B55" i="8"/>
  <c r="H55" i="8" s="1"/>
  <c r="B54" i="8"/>
  <c r="H54" i="8" s="1"/>
  <c r="B53" i="8"/>
  <c r="B52" i="8"/>
  <c r="B51" i="8"/>
  <c r="B50" i="8"/>
  <c r="H50" i="8" s="1"/>
  <c r="B49" i="8"/>
  <c r="H49" i="8" s="1"/>
  <c r="B48" i="8"/>
  <c r="H48" i="8" s="1"/>
  <c r="B47" i="8"/>
  <c r="H47" i="8" s="1"/>
  <c r="B46" i="8"/>
  <c r="H46" i="8" s="1"/>
  <c r="B45" i="8"/>
  <c r="B44" i="8"/>
  <c r="B43" i="8"/>
  <c r="B42" i="8"/>
  <c r="H42" i="8" s="1"/>
  <c r="B41" i="8"/>
  <c r="H41" i="8" s="1"/>
  <c r="B40" i="8"/>
  <c r="H40" i="8" s="1"/>
  <c r="B39" i="8"/>
  <c r="H39" i="8" s="1"/>
  <c r="B38" i="8"/>
  <c r="H38" i="8" s="1"/>
  <c r="B37" i="8"/>
  <c r="B36" i="8"/>
  <c r="B35" i="8"/>
  <c r="B34" i="8"/>
  <c r="H34" i="8" s="1"/>
  <c r="B33" i="8"/>
  <c r="H33" i="8" s="1"/>
  <c r="B32" i="8"/>
  <c r="H32" i="8" s="1"/>
  <c r="B31" i="8"/>
  <c r="H31" i="8" s="1"/>
  <c r="B30" i="8"/>
  <c r="H30" i="8" s="1"/>
  <c r="B29" i="8"/>
  <c r="B28" i="8"/>
  <c r="B27" i="8"/>
  <c r="B26" i="8"/>
  <c r="H26" i="8" s="1"/>
  <c r="B25" i="8"/>
  <c r="H25" i="8" s="1"/>
  <c r="B24" i="8"/>
  <c r="H24" i="8" s="1"/>
  <c r="B23" i="8"/>
  <c r="H23" i="8" s="1"/>
  <c r="B22" i="8"/>
  <c r="H22" i="8" s="1"/>
  <c r="B21" i="8"/>
  <c r="B20" i="8"/>
  <c r="B19" i="8"/>
  <c r="B18" i="8"/>
  <c r="H18" i="8" s="1"/>
  <c r="B17" i="8"/>
  <c r="H17" i="8" s="1"/>
  <c r="B16" i="8"/>
  <c r="H16" i="8" s="1"/>
  <c r="B15" i="8"/>
  <c r="H15" i="8" s="1"/>
  <c r="B14" i="8"/>
  <c r="H14" i="8" s="1"/>
  <c r="B13" i="8"/>
  <c r="B12" i="8"/>
  <c r="B11" i="8"/>
  <c r="B10" i="8"/>
  <c r="H10" i="8" s="1"/>
  <c r="B9" i="8"/>
  <c r="H9" i="8" s="1"/>
  <c r="B8" i="8"/>
  <c r="H8" i="8" s="1"/>
  <c r="B7" i="8"/>
  <c r="H7" i="8" s="1"/>
  <c r="B6" i="8"/>
  <c r="H6" i="8" s="1"/>
  <c r="B5" i="8"/>
  <c r="B4" i="8"/>
  <c r="B3" i="8"/>
  <c r="B2" i="8"/>
  <c r="H2" i="8" s="1"/>
  <c r="G175" i="8"/>
  <c r="M175" i="8" s="1"/>
  <c r="E161" i="8"/>
  <c r="K161" i="8" s="1"/>
  <c r="E156" i="8"/>
  <c r="K156" i="8" s="1"/>
  <c r="C147" i="8"/>
  <c r="I147" i="8" s="1"/>
  <c r="N142" i="8"/>
  <c r="F131" i="8"/>
  <c r="C130" i="8"/>
  <c r="C129" i="8"/>
  <c r="I129" i="8" s="1"/>
  <c r="C128" i="8"/>
  <c r="I128" i="8" s="1"/>
  <c r="C127" i="8"/>
  <c r="I127" i="8" s="1"/>
  <c r="C126" i="8"/>
  <c r="I126" i="8" s="1"/>
  <c r="C125" i="8"/>
  <c r="I125" i="8" s="1"/>
  <c r="C124" i="8"/>
  <c r="C123" i="8"/>
  <c r="C122" i="8"/>
  <c r="C121" i="8"/>
  <c r="I121" i="8" s="1"/>
  <c r="C120" i="8"/>
  <c r="I120" i="8" s="1"/>
  <c r="C119" i="8"/>
  <c r="I119" i="8" s="1"/>
  <c r="C118" i="8"/>
  <c r="I118" i="8" s="1"/>
  <c r="C117" i="8"/>
  <c r="I117" i="8" s="1"/>
  <c r="C116" i="8"/>
  <c r="C115" i="8"/>
  <c r="C114" i="8"/>
  <c r="C111" i="8"/>
  <c r="I111" i="8" s="1"/>
  <c r="C103" i="8"/>
  <c r="I103" i="8" s="1"/>
  <c r="C95" i="8"/>
  <c r="I95" i="8" s="1"/>
  <c r="C81" i="8"/>
  <c r="I81" i="8" s="1"/>
  <c r="C71" i="8"/>
  <c r="I71" i="8" s="1"/>
  <c r="E67" i="8"/>
  <c r="E66" i="8"/>
  <c r="E65" i="8"/>
  <c r="E64" i="8"/>
  <c r="K64" i="8" s="1"/>
  <c r="E63" i="8"/>
  <c r="K63" i="8" s="1"/>
  <c r="E62" i="8"/>
  <c r="K62" i="8" s="1"/>
  <c r="E61" i="8"/>
  <c r="K61" i="8" s="1"/>
  <c r="E60" i="8"/>
  <c r="K60" i="8" s="1"/>
  <c r="E59" i="8"/>
  <c r="E58" i="8"/>
  <c r="E57" i="8"/>
  <c r="E56" i="8"/>
  <c r="K56" i="8" s="1"/>
  <c r="E55" i="8"/>
  <c r="K55" i="8" s="1"/>
  <c r="E54" i="8"/>
  <c r="K54" i="8" s="1"/>
  <c r="E53" i="8"/>
  <c r="K53" i="8" s="1"/>
  <c r="E52" i="8"/>
  <c r="K52" i="8" s="1"/>
  <c r="E51" i="8"/>
  <c r="E50" i="8"/>
  <c r="E49" i="8"/>
  <c r="E48" i="8"/>
  <c r="K48" i="8" s="1"/>
  <c r="E47" i="8"/>
  <c r="K47" i="8" s="1"/>
  <c r="E46" i="8"/>
  <c r="K46" i="8" s="1"/>
  <c r="E45" i="8"/>
  <c r="K45" i="8" s="1"/>
  <c r="E44" i="8"/>
  <c r="K44" i="8" s="1"/>
  <c r="E43" i="8"/>
  <c r="E42" i="8"/>
  <c r="E41" i="8"/>
  <c r="E40" i="8"/>
  <c r="K40" i="8" s="1"/>
  <c r="E39" i="8"/>
  <c r="K39" i="8" s="1"/>
  <c r="E38" i="8"/>
  <c r="K38" i="8" s="1"/>
  <c r="E37" i="8"/>
  <c r="K37" i="8" s="1"/>
  <c r="E36" i="8"/>
  <c r="K36" i="8" s="1"/>
  <c r="E35" i="8"/>
  <c r="E34" i="8"/>
  <c r="E33" i="8"/>
  <c r="E32" i="8"/>
  <c r="K32" i="8" s="1"/>
  <c r="E31" i="8"/>
  <c r="K31" i="8" s="1"/>
  <c r="E30" i="8"/>
  <c r="K30" i="8" s="1"/>
  <c r="E29" i="8"/>
  <c r="K29" i="8" s="1"/>
  <c r="E28" i="8"/>
  <c r="K28" i="8" s="1"/>
  <c r="E27" i="8"/>
  <c r="E26" i="8"/>
  <c r="E25" i="8"/>
  <c r="E24" i="8"/>
  <c r="K24" i="8" s="1"/>
  <c r="E23" i="8"/>
  <c r="K23" i="8" s="1"/>
  <c r="E22" i="8"/>
  <c r="K22" i="8" s="1"/>
  <c r="E21" i="8"/>
  <c r="K21" i="8" s="1"/>
  <c r="E20" i="8"/>
  <c r="K20" i="8" s="1"/>
  <c r="E19" i="8"/>
  <c r="E18" i="8"/>
  <c r="E17" i="8"/>
  <c r="E16" i="8"/>
  <c r="K16" i="8" s="1"/>
  <c r="E15" i="8"/>
  <c r="K15" i="8" s="1"/>
  <c r="E14" i="8"/>
  <c r="K14" i="8" s="1"/>
  <c r="E13" i="8"/>
  <c r="K13" i="8" s="1"/>
  <c r="E12" i="8"/>
  <c r="K12" i="8" s="1"/>
  <c r="E11" i="8"/>
  <c r="E10" i="8"/>
  <c r="E9" i="8"/>
  <c r="E8" i="8"/>
  <c r="K8" i="8" s="1"/>
  <c r="E7" i="8"/>
  <c r="K7" i="8" s="1"/>
  <c r="F6" i="8"/>
  <c r="D3" i="8"/>
  <c r="J3" i="8" s="1"/>
  <c r="F2" i="8"/>
  <c r="L2" i="8" s="1"/>
  <c r="C110" i="8"/>
  <c r="I110" i="8" s="1"/>
  <c r="C102" i="8"/>
  <c r="C94" i="8"/>
  <c r="N86" i="8"/>
  <c r="O86" i="8" s="1"/>
  <c r="G80" i="8"/>
  <c r="M80" i="8" s="1"/>
  <c r="F74" i="8"/>
  <c r="E68" i="8"/>
  <c r="K68" i="8" s="1"/>
  <c r="D67" i="8"/>
  <c r="J67" i="8" s="1"/>
  <c r="D66" i="8"/>
  <c r="D65" i="8"/>
  <c r="D64" i="8"/>
  <c r="D63" i="8"/>
  <c r="D62" i="8"/>
  <c r="J62" i="8" s="1"/>
  <c r="D61" i="8"/>
  <c r="D60" i="8"/>
  <c r="J60" i="8" s="1"/>
  <c r="D59" i="8"/>
  <c r="J59" i="8" s="1"/>
  <c r="D58" i="8"/>
  <c r="D57" i="8"/>
  <c r="D56" i="8"/>
  <c r="D55" i="8"/>
  <c r="D54" i="8"/>
  <c r="J54" i="8" s="1"/>
  <c r="D53" i="8"/>
  <c r="D52" i="8"/>
  <c r="J52" i="8" s="1"/>
  <c r="D51" i="8"/>
  <c r="J51" i="8" s="1"/>
  <c r="D50" i="8"/>
  <c r="D49" i="8"/>
  <c r="D48" i="8"/>
  <c r="D47" i="8"/>
  <c r="D46" i="8"/>
  <c r="J46" i="8" s="1"/>
  <c r="D45" i="8"/>
  <c r="D44" i="8"/>
  <c r="J44" i="8" s="1"/>
  <c r="D43" i="8"/>
  <c r="J43" i="8" s="1"/>
  <c r="D42" i="8"/>
  <c r="D41" i="8"/>
  <c r="D40" i="8"/>
  <c r="D39" i="8"/>
  <c r="D38" i="8"/>
  <c r="J38" i="8" s="1"/>
  <c r="D37" i="8"/>
  <c r="D36" i="8"/>
  <c r="J36" i="8" s="1"/>
  <c r="D35" i="8"/>
  <c r="J35" i="8" s="1"/>
  <c r="D34" i="8"/>
  <c r="D33" i="8"/>
  <c r="D32" i="8"/>
  <c r="D31" i="8"/>
  <c r="D30" i="8"/>
  <c r="J30" i="8" s="1"/>
  <c r="D29" i="8"/>
  <c r="D28" i="8"/>
  <c r="J28" i="8" s="1"/>
  <c r="D27" i="8"/>
  <c r="J27" i="8" s="1"/>
  <c r="D26" i="8"/>
  <c r="D25" i="8"/>
  <c r="D24" i="8"/>
  <c r="D23" i="8"/>
  <c r="D22" i="8"/>
  <c r="J22" i="8" s="1"/>
  <c r="D21" i="8"/>
  <c r="D20" i="8"/>
  <c r="J20" i="8" s="1"/>
  <c r="D19" i="8"/>
  <c r="J19" i="8" s="1"/>
  <c r="D18" i="8"/>
  <c r="D17" i="8"/>
  <c r="D16" i="8"/>
  <c r="D15" i="8"/>
  <c r="D14" i="8"/>
  <c r="J14" i="8" s="1"/>
  <c r="D13" i="8"/>
  <c r="D12" i="8"/>
  <c r="J12" i="8" s="1"/>
  <c r="D11" i="8"/>
  <c r="J11" i="8" s="1"/>
  <c r="D10" i="8"/>
  <c r="D9" i="8"/>
  <c r="D8" i="8"/>
  <c r="D7" i="8"/>
  <c r="E6" i="8"/>
  <c r="K6" i="8" s="1"/>
  <c r="N3" i="8"/>
  <c r="O3" i="8" s="1"/>
  <c r="C3" i="8"/>
  <c r="I3" i="8" s="1"/>
  <c r="E2" i="8"/>
  <c r="K2" i="8" s="1"/>
  <c r="C109" i="8"/>
  <c r="I109" i="8" s="1"/>
  <c r="C101" i="8"/>
  <c r="I101" i="8" s="1"/>
  <c r="C93" i="8"/>
  <c r="C68" i="8"/>
  <c r="I68" i="8" s="1"/>
  <c r="C67" i="8"/>
  <c r="I67" i="8" s="1"/>
  <c r="C66" i="8"/>
  <c r="I66" i="8" s="1"/>
  <c r="C65" i="8"/>
  <c r="I65" i="8" s="1"/>
  <c r="C64" i="8"/>
  <c r="I64" i="8" s="1"/>
  <c r="C63" i="8"/>
  <c r="I63" i="8" s="1"/>
  <c r="C62" i="8"/>
  <c r="I62" i="8" s="1"/>
  <c r="C61" i="8"/>
  <c r="C60" i="8"/>
  <c r="I60" i="8" s="1"/>
  <c r="C59" i="8"/>
  <c r="I59" i="8" s="1"/>
  <c r="C58" i="8"/>
  <c r="I58" i="8" s="1"/>
  <c r="C57" i="8"/>
  <c r="I57" i="8" s="1"/>
  <c r="C56" i="8"/>
  <c r="I56" i="8" s="1"/>
  <c r="C55" i="8"/>
  <c r="I55" i="8" s="1"/>
  <c r="C54" i="8"/>
  <c r="I54" i="8" s="1"/>
  <c r="C53" i="8"/>
  <c r="C52" i="8"/>
  <c r="I52" i="8" s="1"/>
  <c r="C51" i="8"/>
  <c r="I51" i="8" s="1"/>
  <c r="C50" i="8"/>
  <c r="I50" i="8" s="1"/>
  <c r="C49" i="8"/>
  <c r="I49" i="8" s="1"/>
  <c r="C48" i="8"/>
  <c r="I48" i="8" s="1"/>
  <c r="C47" i="8"/>
  <c r="I47" i="8" s="1"/>
  <c r="C46" i="8"/>
  <c r="I46" i="8" s="1"/>
  <c r="C45" i="8"/>
  <c r="C44" i="8"/>
  <c r="I44" i="8" s="1"/>
  <c r="C43" i="8"/>
  <c r="I43" i="8" s="1"/>
  <c r="C42" i="8"/>
  <c r="I42" i="8" s="1"/>
  <c r="C41" i="8"/>
  <c r="I41" i="8" s="1"/>
  <c r="C40" i="8"/>
  <c r="I40" i="8" s="1"/>
  <c r="C39" i="8"/>
  <c r="I39" i="8" s="1"/>
  <c r="C38" i="8"/>
  <c r="I38" i="8" s="1"/>
  <c r="C37" i="8"/>
  <c r="C36" i="8"/>
  <c r="I36" i="8" s="1"/>
  <c r="C35" i="8"/>
  <c r="I35" i="8" s="1"/>
  <c r="C34" i="8"/>
  <c r="I34" i="8" s="1"/>
  <c r="C33" i="8"/>
  <c r="I33" i="8" s="1"/>
  <c r="C32" i="8"/>
  <c r="I32" i="8" s="1"/>
  <c r="C31" i="8"/>
  <c r="I31" i="8" s="1"/>
  <c r="C30" i="8"/>
  <c r="I30" i="8" s="1"/>
  <c r="C29" i="8"/>
  <c r="C28" i="8"/>
  <c r="I28" i="8" s="1"/>
  <c r="C27" i="8"/>
  <c r="I27" i="8" s="1"/>
  <c r="C26" i="8"/>
  <c r="I26" i="8" s="1"/>
  <c r="C25" i="8"/>
  <c r="I25" i="8" s="1"/>
  <c r="C24" i="8"/>
  <c r="I24" i="8" s="1"/>
  <c r="C23" i="8"/>
  <c r="I23" i="8" s="1"/>
  <c r="C22" i="8"/>
  <c r="I22" i="8" s="1"/>
  <c r="C21" i="8"/>
  <c r="C20" i="8"/>
  <c r="I20" i="8" s="1"/>
  <c r="C19" i="8"/>
  <c r="I19" i="8" s="1"/>
  <c r="C18" i="8"/>
  <c r="I18" i="8" s="1"/>
  <c r="C17" i="8"/>
  <c r="I17" i="8" s="1"/>
  <c r="C16" i="8"/>
  <c r="I16" i="8" s="1"/>
  <c r="C15" i="8"/>
  <c r="I15" i="8" s="1"/>
  <c r="C14" i="8"/>
  <c r="I14" i="8" s="1"/>
  <c r="C13" i="8"/>
  <c r="C12" i="8"/>
  <c r="I12" i="8" s="1"/>
  <c r="C11" i="8"/>
  <c r="I11" i="8" s="1"/>
  <c r="C10" i="8"/>
  <c r="I10" i="8" s="1"/>
  <c r="C9" i="8"/>
  <c r="I9" i="8" s="1"/>
  <c r="C8" i="8"/>
  <c r="I8" i="8" s="1"/>
  <c r="C7" i="8"/>
  <c r="I7" i="8" s="1"/>
  <c r="D6" i="8"/>
  <c r="F5" i="8"/>
  <c r="D2" i="8"/>
  <c r="C108" i="8"/>
  <c r="I108" i="8" s="1"/>
  <c r="C100" i="8"/>
  <c r="I100" i="8" s="1"/>
  <c r="C92" i="8"/>
  <c r="I92" i="8" s="1"/>
  <c r="C85" i="8"/>
  <c r="I85" i="8" s="1"/>
  <c r="N78" i="8"/>
  <c r="C73" i="8"/>
  <c r="I73" i="8" s="1"/>
  <c r="E69" i="8"/>
  <c r="C6" i="8"/>
  <c r="I6" i="8" s="1"/>
  <c r="E5" i="8"/>
  <c r="K5" i="8" s="1"/>
  <c r="N2" i="8"/>
  <c r="O2" i="8" s="1"/>
  <c r="C2" i="8"/>
  <c r="I2" i="8" s="1"/>
  <c r="C107" i="8"/>
  <c r="I107" i="8" s="1"/>
  <c r="C99" i="8"/>
  <c r="I99" i="8" s="1"/>
  <c r="C91" i="8"/>
  <c r="I91" i="8" s="1"/>
  <c r="G84" i="8"/>
  <c r="C69" i="8"/>
  <c r="I69" i="8" s="1"/>
  <c r="D5" i="8"/>
  <c r="J5" i="8" s="1"/>
  <c r="F4" i="8"/>
  <c r="C106" i="8"/>
  <c r="I106" i="8" s="1"/>
  <c r="C98" i="8"/>
  <c r="I98" i="8" s="1"/>
  <c r="C90" i="8"/>
  <c r="I90" i="8" s="1"/>
  <c r="C77" i="8"/>
  <c r="I77" i="8" s="1"/>
  <c r="E70" i="8"/>
  <c r="N5" i="8"/>
  <c r="O5" i="8" s="1"/>
  <c r="C5" i="8"/>
  <c r="I5" i="8" s="1"/>
  <c r="E4" i="8"/>
  <c r="K4" i="8" s="1"/>
  <c r="C113" i="8"/>
  <c r="I113" i="8" s="1"/>
  <c r="C105" i="8"/>
  <c r="I105" i="8" s="1"/>
  <c r="C97" i="8"/>
  <c r="I97" i="8" s="1"/>
  <c r="C89" i="8"/>
  <c r="I89" i="8" s="1"/>
  <c r="N82" i="8"/>
  <c r="G76" i="8"/>
  <c r="M76" i="8" s="1"/>
  <c r="C70" i="8"/>
  <c r="I70" i="8" s="1"/>
  <c r="D4" i="8"/>
  <c r="F3" i="8"/>
  <c r="L3" i="8" s="1"/>
  <c r="C112" i="8"/>
  <c r="I112" i="8" s="1"/>
  <c r="C104" i="8"/>
  <c r="I104" i="8" s="1"/>
  <c r="C96" i="8"/>
  <c r="I96" i="8" s="1"/>
  <c r="G88" i="8"/>
  <c r="N4" i="8"/>
  <c r="O4" i="8" s="1"/>
  <c r="C4" i="8"/>
  <c r="I4" i="8" s="1"/>
  <c r="E3" i="8"/>
  <c r="K3" i="8" s="1"/>
  <c r="G24" i="7"/>
  <c r="O24" i="7"/>
  <c r="J25" i="7"/>
  <c r="R25" i="7"/>
  <c r="E26" i="7"/>
  <c r="M26" i="7"/>
  <c r="U26" i="7"/>
  <c r="I27" i="7"/>
  <c r="Q27" i="7"/>
  <c r="E28" i="7"/>
  <c r="M28" i="7"/>
  <c r="U28" i="7"/>
  <c r="I29" i="7"/>
  <c r="Q29" i="7"/>
  <c r="E30" i="7"/>
  <c r="M30" i="7"/>
  <c r="U30" i="7"/>
  <c r="I31" i="7"/>
  <c r="Q31" i="7"/>
  <c r="E32" i="7"/>
  <c r="M32" i="7"/>
  <c r="U32" i="7"/>
  <c r="I33" i="7"/>
  <c r="Q33" i="7"/>
  <c r="E34" i="7"/>
  <c r="M34" i="7"/>
  <c r="U34" i="7"/>
  <c r="I35" i="7"/>
  <c r="Q35" i="7"/>
  <c r="E36" i="7"/>
  <c r="M36" i="7"/>
  <c r="U36" i="7"/>
  <c r="I37" i="7"/>
  <c r="Q37" i="7"/>
  <c r="E38" i="7"/>
  <c r="M38" i="7"/>
  <c r="U38" i="7"/>
  <c r="I39" i="7"/>
  <c r="Q39" i="7"/>
  <c r="E40" i="7"/>
  <c r="M40" i="7"/>
  <c r="U40" i="7"/>
  <c r="I41" i="7"/>
  <c r="Q41" i="7"/>
  <c r="E42" i="7"/>
  <c r="M42" i="7"/>
  <c r="U42" i="7"/>
  <c r="I43" i="7"/>
  <c r="Q43" i="7"/>
  <c r="E44" i="7"/>
  <c r="M44" i="7"/>
  <c r="U44" i="7"/>
  <c r="I45" i="7"/>
  <c r="Q45" i="7"/>
  <c r="E46" i="7"/>
  <c r="M46" i="7"/>
  <c r="U46" i="7"/>
  <c r="I47" i="7"/>
  <c r="Q47" i="7"/>
  <c r="E48" i="7"/>
  <c r="M48" i="7"/>
  <c r="U48" i="7"/>
  <c r="I49" i="7"/>
  <c r="Q49" i="7"/>
  <c r="E50" i="7"/>
  <c r="M50" i="7"/>
  <c r="U50" i="7"/>
  <c r="I51" i="7"/>
  <c r="Q51" i="7"/>
  <c r="E52" i="7"/>
  <c r="M52" i="7"/>
  <c r="U52" i="7"/>
  <c r="I53" i="7"/>
  <c r="Q53" i="7"/>
  <c r="E54" i="7"/>
  <c r="M54" i="7"/>
  <c r="U54" i="7"/>
  <c r="I55" i="7"/>
  <c r="Q55" i="7"/>
  <c r="E56" i="7"/>
  <c r="M56" i="7"/>
  <c r="U56" i="7"/>
  <c r="I57" i="7"/>
  <c r="Q57" i="7"/>
  <c r="E58" i="7"/>
  <c r="M58" i="7"/>
  <c r="U58" i="7"/>
  <c r="I59" i="7"/>
  <c r="Q59" i="7"/>
  <c r="F60" i="7"/>
  <c r="P60" i="7"/>
  <c r="E61" i="7"/>
  <c r="N61" i="7"/>
  <c r="C62" i="7"/>
  <c r="L62" i="7"/>
  <c r="U62" i="7"/>
  <c r="J63" i="7"/>
  <c r="T63" i="7"/>
  <c r="I64" i="7"/>
  <c r="R64" i="7"/>
  <c r="G65" i="7"/>
  <c r="P65" i="7"/>
  <c r="E66" i="7"/>
  <c r="N66" i="7"/>
  <c r="D67" i="7"/>
  <c r="M67" i="7"/>
  <c r="C68" i="7"/>
  <c r="M68" i="7"/>
  <c r="E69" i="7"/>
  <c r="O69" i="7"/>
  <c r="E70" i="7"/>
  <c r="Q70" i="7"/>
  <c r="G71" i="7"/>
  <c r="Q71" i="7"/>
  <c r="I72" i="7"/>
  <c r="S72" i="7"/>
  <c r="I73" i="7"/>
  <c r="U73" i="7"/>
  <c r="K74" i="7"/>
  <c r="U74" i="7"/>
  <c r="M75" i="7"/>
  <c r="C76" i="7"/>
  <c r="M76" i="7"/>
  <c r="E77" i="7"/>
  <c r="O77" i="7"/>
  <c r="E78" i="7"/>
  <c r="Q78" i="7"/>
  <c r="G79" i="7"/>
  <c r="Q79" i="7"/>
  <c r="I80" i="7"/>
  <c r="S80" i="7"/>
  <c r="I81" i="7"/>
  <c r="U81" i="7"/>
  <c r="K82" i="7"/>
  <c r="U82" i="7"/>
  <c r="M83" i="7"/>
  <c r="C84" i="7"/>
  <c r="Q84" i="7"/>
  <c r="H85" i="7"/>
  <c r="V85" i="7"/>
  <c r="Q86" i="7"/>
  <c r="M87" i="7"/>
  <c r="I88" i="7"/>
  <c r="E89" i="7"/>
  <c r="U89" i="7"/>
  <c r="Q90" i="7"/>
  <c r="M91" i="7"/>
  <c r="I92" i="7"/>
  <c r="E93" i="7"/>
  <c r="U93" i="7"/>
  <c r="Q94" i="7"/>
  <c r="M95" i="7"/>
  <c r="I96" i="7"/>
  <c r="E97" i="7"/>
  <c r="U97" i="7"/>
  <c r="Q98" i="7"/>
  <c r="M99" i="7"/>
  <c r="I100" i="7"/>
  <c r="E101" i="7"/>
  <c r="U101" i="7"/>
  <c r="Q102" i="7"/>
  <c r="M103" i="7"/>
  <c r="I104" i="7"/>
  <c r="E105" i="7"/>
  <c r="U105" i="7"/>
  <c r="Q106" i="7"/>
  <c r="M107" i="7"/>
  <c r="I108" i="7"/>
  <c r="E109" i="7"/>
  <c r="U109" i="7"/>
  <c r="Q110" i="7"/>
  <c r="M111" i="7"/>
  <c r="I112" i="7"/>
  <c r="E113" i="7"/>
  <c r="U113" i="7"/>
  <c r="Q114" i="7"/>
  <c r="M115" i="7"/>
  <c r="I116" i="7"/>
  <c r="E117" i="7"/>
  <c r="U117" i="7"/>
  <c r="Q118" i="7"/>
  <c r="M119" i="7"/>
  <c r="I120" i="7"/>
  <c r="E121" i="7"/>
  <c r="U121" i="7"/>
  <c r="Q122" i="7"/>
  <c r="M123" i="7"/>
  <c r="I124" i="7"/>
  <c r="E125" i="7"/>
  <c r="U125" i="7"/>
  <c r="Q126" i="7"/>
  <c r="M127" i="7"/>
  <c r="I128" i="7"/>
  <c r="E129" i="7"/>
  <c r="U129" i="7"/>
  <c r="Q130" i="7"/>
  <c r="M131" i="7"/>
  <c r="I132" i="7"/>
  <c r="E133" i="7"/>
  <c r="U133" i="7"/>
  <c r="Q134" i="7"/>
  <c r="M135" i="7"/>
  <c r="I136" i="7"/>
  <c r="E137" i="7"/>
  <c r="U137" i="7"/>
  <c r="Q138" i="7"/>
  <c r="M139" i="7"/>
  <c r="I140" i="7"/>
  <c r="E141" i="7"/>
  <c r="U141" i="7"/>
  <c r="Q142" i="7"/>
  <c r="M143" i="7"/>
  <c r="I144" i="7"/>
  <c r="E145" i="7"/>
  <c r="U145" i="7"/>
  <c r="Q146" i="7"/>
  <c r="M147" i="7"/>
  <c r="I148" i="7"/>
  <c r="E149" i="7"/>
  <c r="U149" i="7"/>
  <c r="Q150" i="7"/>
  <c r="M151" i="7"/>
  <c r="I152" i="7"/>
  <c r="E153" i="7"/>
  <c r="U153" i="7"/>
  <c r="S154" i="7"/>
  <c r="Q155" i="7"/>
  <c r="O156" i="7"/>
  <c r="O157" i="7"/>
  <c r="U158" i="7"/>
  <c r="V159" i="7"/>
  <c r="H161" i="7"/>
  <c r="N162" i="7"/>
  <c r="O163" i="7"/>
  <c r="F166" i="7"/>
  <c r="N172" i="7"/>
  <c r="D76" i="7"/>
  <c r="P76" i="7"/>
  <c r="F77" i="7"/>
  <c r="P77" i="7"/>
  <c r="H78" i="7"/>
  <c r="R78" i="7"/>
  <c r="H79" i="7"/>
  <c r="T79" i="7"/>
  <c r="J80" i="7"/>
  <c r="T80" i="7"/>
  <c r="L81" i="7"/>
  <c r="V81" i="7"/>
  <c r="L82" i="7"/>
  <c r="D83" i="7"/>
  <c r="N83" i="7"/>
  <c r="D84" i="7"/>
  <c r="R84" i="7"/>
  <c r="I85" i="7"/>
  <c r="C86" i="7"/>
  <c r="R86" i="7"/>
  <c r="N87" i="7"/>
  <c r="J88" i="7"/>
  <c r="F89" i="7"/>
  <c r="V89" i="7"/>
  <c r="R90" i="7"/>
  <c r="N91" i="7"/>
  <c r="J92" i="7"/>
  <c r="F93" i="7"/>
  <c r="V93" i="7"/>
  <c r="R94" i="7"/>
  <c r="N95" i="7"/>
  <c r="J96" i="7"/>
  <c r="F97" i="7"/>
  <c r="V97" i="7"/>
  <c r="R98" i="7"/>
  <c r="N99" i="7"/>
  <c r="J100" i="7"/>
  <c r="F101" i="7"/>
  <c r="V101" i="7"/>
  <c r="R102" i="7"/>
  <c r="N103" i="7"/>
  <c r="J104" i="7"/>
  <c r="F105" i="7"/>
  <c r="V105" i="7"/>
  <c r="R106" i="7"/>
  <c r="N107" i="7"/>
  <c r="J108" i="7"/>
  <c r="F109" i="7"/>
  <c r="V109" i="7"/>
  <c r="R110" i="7"/>
  <c r="N111" i="7"/>
  <c r="J112" i="7"/>
  <c r="F113" i="7"/>
  <c r="V113" i="7"/>
  <c r="R114" i="7"/>
  <c r="N115" i="7"/>
  <c r="J116" i="7"/>
  <c r="F117" i="7"/>
  <c r="V117" i="7"/>
  <c r="R118" i="7"/>
  <c r="N119" i="7"/>
  <c r="J120" i="7"/>
  <c r="F121" i="7"/>
  <c r="V121" i="7"/>
  <c r="R122" i="7"/>
  <c r="N123" i="7"/>
  <c r="J124" i="7"/>
  <c r="F125" i="7"/>
  <c r="V125" i="7"/>
  <c r="R126" i="7"/>
  <c r="N127" i="7"/>
  <c r="J128" i="7"/>
  <c r="F129" i="7"/>
  <c r="V129" i="7"/>
  <c r="R130" i="7"/>
  <c r="N131" i="7"/>
  <c r="J132" i="7"/>
  <c r="F133" i="7"/>
  <c r="V133" i="7"/>
  <c r="R134" i="7"/>
  <c r="N135" i="7"/>
  <c r="J136" i="7"/>
  <c r="F137" i="7"/>
  <c r="V137" i="7"/>
  <c r="R138" i="7"/>
  <c r="N139" i="7"/>
  <c r="J140" i="7"/>
  <c r="F141" i="7"/>
  <c r="V141" i="7"/>
  <c r="R142" i="7"/>
  <c r="N143" i="7"/>
  <c r="J144" i="7"/>
  <c r="F145" i="7"/>
  <c r="V145" i="7"/>
  <c r="R146" i="7"/>
  <c r="N147" i="7"/>
  <c r="J148" i="7"/>
  <c r="F149" i="7"/>
  <c r="V149" i="7"/>
  <c r="R150" i="7"/>
  <c r="N151" i="7"/>
  <c r="J152" i="7"/>
  <c r="F153" i="7"/>
  <c r="V153" i="7"/>
  <c r="T154" i="7"/>
  <c r="R155" i="7"/>
  <c r="P156" i="7"/>
  <c r="P157" i="7"/>
  <c r="V158" i="7"/>
  <c r="H160" i="7"/>
  <c r="I161" i="7"/>
  <c r="O162" i="7"/>
  <c r="C164" i="7"/>
  <c r="V166" i="7"/>
  <c r="J173" i="7"/>
  <c r="C74" i="7"/>
  <c r="M74" i="7"/>
  <c r="E75" i="7"/>
  <c r="O75" i="7"/>
  <c r="E76" i="7"/>
  <c r="Q76" i="7"/>
  <c r="G77" i="7"/>
  <c r="Q77" i="7"/>
  <c r="I78" i="7"/>
  <c r="S78" i="7"/>
  <c r="I79" i="7"/>
  <c r="U79" i="7"/>
  <c r="K80" i="7"/>
  <c r="U80" i="7"/>
  <c r="M81" i="7"/>
  <c r="C82" i="7"/>
  <c r="M82" i="7"/>
  <c r="E83" i="7"/>
  <c r="O83" i="7"/>
  <c r="E84" i="7"/>
  <c r="S84" i="7"/>
  <c r="M85" i="7"/>
  <c r="D86" i="7"/>
  <c r="S86" i="7"/>
  <c r="O87" i="7"/>
  <c r="K88" i="7"/>
  <c r="G89" i="7"/>
  <c r="C90" i="7"/>
  <c r="S90" i="7"/>
  <c r="O91" i="7"/>
  <c r="K92" i="7"/>
  <c r="G93" i="7"/>
  <c r="C94" i="7"/>
  <c r="S94" i="7"/>
  <c r="O95" i="7"/>
  <c r="K96" i="7"/>
  <c r="G97" i="7"/>
  <c r="C98" i="7"/>
  <c r="S98" i="7"/>
  <c r="O99" i="7"/>
  <c r="K100" i="7"/>
  <c r="G101" i="7"/>
  <c r="C102" i="7"/>
  <c r="S102" i="7"/>
  <c r="O103" i="7"/>
  <c r="K104" i="7"/>
  <c r="G105" i="7"/>
  <c r="C106" i="7"/>
  <c r="S106" i="7"/>
  <c r="O107" i="7"/>
  <c r="K108" i="7"/>
  <c r="G109" i="7"/>
  <c r="C110" i="7"/>
  <c r="S110" i="7"/>
  <c r="O111" i="7"/>
  <c r="K112" i="7"/>
  <c r="G113" i="7"/>
  <c r="C114" i="7"/>
  <c r="S114" i="7"/>
  <c r="O115" i="7"/>
  <c r="K116" i="7"/>
  <c r="G117" i="7"/>
  <c r="C118" i="7"/>
  <c r="S118" i="7"/>
  <c r="O119" i="7"/>
  <c r="K120" i="7"/>
  <c r="G121" i="7"/>
  <c r="C122" i="7"/>
  <c r="S122" i="7"/>
  <c r="O123" i="7"/>
  <c r="K124" i="7"/>
  <c r="G125" i="7"/>
  <c r="C126" i="7"/>
  <c r="S126" i="7"/>
  <c r="O127" i="7"/>
  <c r="K128" i="7"/>
  <c r="G129" i="7"/>
  <c r="C130" i="7"/>
  <c r="S130" i="7"/>
  <c r="O131" i="7"/>
  <c r="K132" i="7"/>
  <c r="G133" i="7"/>
  <c r="C134" i="7"/>
  <c r="S134" i="7"/>
  <c r="O135" i="7"/>
  <c r="K136" i="7"/>
  <c r="G137" i="7"/>
  <c r="C138" i="7"/>
  <c r="S138" i="7"/>
  <c r="O139" i="7"/>
  <c r="K140" i="7"/>
  <c r="G141" i="7"/>
  <c r="C142" i="7"/>
  <c r="S142" i="7"/>
  <c r="O143" i="7"/>
  <c r="K144" i="7"/>
  <c r="G145" i="7"/>
  <c r="C146" i="7"/>
  <c r="S146" i="7"/>
  <c r="O147" i="7"/>
  <c r="K148" i="7"/>
  <c r="G149" i="7"/>
  <c r="C150" i="7"/>
  <c r="S150" i="7"/>
  <c r="O151" i="7"/>
  <c r="K152" i="7"/>
  <c r="G153" i="7"/>
  <c r="C154" i="7"/>
  <c r="U154" i="7"/>
  <c r="S155" i="7"/>
  <c r="R156" i="7"/>
  <c r="C158" i="7"/>
  <c r="C159" i="7"/>
  <c r="J160" i="7"/>
  <c r="P161" i="7"/>
  <c r="P162" i="7"/>
  <c r="D164" i="7"/>
  <c r="R167" i="7"/>
  <c r="N73" i="7"/>
  <c r="D74" i="7"/>
  <c r="P74" i="7"/>
  <c r="F75" i="7"/>
  <c r="P75" i="7"/>
  <c r="H76" i="7"/>
  <c r="R76" i="7"/>
  <c r="H77" i="7"/>
  <c r="T77" i="7"/>
  <c r="J78" i="7"/>
  <c r="T78" i="7"/>
  <c r="L79" i="7"/>
  <c r="V79" i="7"/>
  <c r="L80" i="7"/>
  <c r="D81" i="7"/>
  <c r="N81" i="7"/>
  <c r="D82" i="7"/>
  <c r="P82" i="7"/>
  <c r="F83" i="7"/>
  <c r="P83" i="7"/>
  <c r="I84" i="7"/>
  <c r="T84" i="7"/>
  <c r="N85" i="7"/>
  <c r="E86" i="7"/>
  <c r="T86" i="7"/>
  <c r="P87" i="7"/>
  <c r="L88" i="7"/>
  <c r="H89" i="7"/>
  <c r="D90" i="7"/>
  <c r="T90" i="7"/>
  <c r="P91" i="7"/>
  <c r="L92" i="7"/>
  <c r="H93" i="7"/>
  <c r="D94" i="7"/>
  <c r="T94" i="7"/>
  <c r="P95" i="7"/>
  <c r="L96" i="7"/>
  <c r="H97" i="7"/>
  <c r="D98" i="7"/>
  <c r="T98" i="7"/>
  <c r="P99" i="7"/>
  <c r="L100" i="7"/>
  <c r="H101" i="7"/>
  <c r="D102" i="7"/>
  <c r="T102" i="7"/>
  <c r="P103" i="7"/>
  <c r="L104" i="7"/>
  <c r="H105" i="7"/>
  <c r="D106" i="7"/>
  <c r="T106" i="7"/>
  <c r="P107" i="7"/>
  <c r="L108" i="7"/>
  <c r="H109" i="7"/>
  <c r="D110" i="7"/>
  <c r="T110" i="7"/>
  <c r="P111" i="7"/>
  <c r="L112" i="7"/>
  <c r="H113" i="7"/>
  <c r="D114" i="7"/>
  <c r="T114" i="7"/>
  <c r="P115" i="7"/>
  <c r="L116" i="7"/>
  <c r="H117" i="7"/>
  <c r="D118" i="7"/>
  <c r="T118" i="7"/>
  <c r="P119" i="7"/>
  <c r="L120" i="7"/>
  <c r="H121" i="7"/>
  <c r="D122" i="7"/>
  <c r="T122" i="7"/>
  <c r="P123" i="7"/>
  <c r="L124" i="7"/>
  <c r="H125" i="7"/>
  <c r="D126" i="7"/>
  <c r="T126" i="7"/>
  <c r="P127" i="7"/>
  <c r="L128" i="7"/>
  <c r="H129" i="7"/>
  <c r="D130" i="7"/>
  <c r="T130" i="7"/>
  <c r="P131" i="7"/>
  <c r="L132" i="7"/>
  <c r="H133" i="7"/>
  <c r="D134" i="7"/>
  <c r="T134" i="7"/>
  <c r="P135" i="7"/>
  <c r="L136" i="7"/>
  <c r="H137" i="7"/>
  <c r="D138" i="7"/>
  <c r="T138" i="7"/>
  <c r="P139" i="7"/>
  <c r="L140" i="7"/>
  <c r="H141" i="7"/>
  <c r="D142" i="7"/>
  <c r="T142" i="7"/>
  <c r="P143" i="7"/>
  <c r="L144" i="7"/>
  <c r="H145" i="7"/>
  <c r="D146" i="7"/>
  <c r="T146" i="7"/>
  <c r="P147" i="7"/>
  <c r="L148" i="7"/>
  <c r="H149" i="7"/>
  <c r="D150" i="7"/>
  <c r="T150" i="7"/>
  <c r="P151" i="7"/>
  <c r="L152" i="7"/>
  <c r="H153" i="7"/>
  <c r="D154" i="7"/>
  <c r="V154" i="7"/>
  <c r="T155" i="7"/>
  <c r="S156" i="7"/>
  <c r="D158" i="7"/>
  <c r="J159" i="7"/>
  <c r="K160" i="7"/>
  <c r="Q161" i="7"/>
  <c r="C163" i="7"/>
  <c r="E164" i="7"/>
  <c r="N168" i="7"/>
  <c r="G75" i="7"/>
  <c r="Q75" i="7"/>
  <c r="I76" i="7"/>
  <c r="S76" i="7"/>
  <c r="I77" i="7"/>
  <c r="U77" i="7"/>
  <c r="K78" i="7"/>
  <c r="U78" i="7"/>
  <c r="M79" i="7"/>
  <c r="C80" i="7"/>
  <c r="M80" i="7"/>
  <c r="E81" i="7"/>
  <c r="O81" i="7"/>
  <c r="E82" i="7"/>
  <c r="Q82" i="7"/>
  <c r="G83" i="7"/>
  <c r="Q83" i="7"/>
  <c r="J84" i="7"/>
  <c r="U84" i="7"/>
  <c r="O85" i="7"/>
  <c r="I86" i="7"/>
  <c r="E87" i="7"/>
  <c r="U87" i="7"/>
  <c r="Q88" i="7"/>
  <c r="M89" i="7"/>
  <c r="I90" i="7"/>
  <c r="E91" i="7"/>
  <c r="U91" i="7"/>
  <c r="Q92" i="7"/>
  <c r="M93" i="7"/>
  <c r="I94" i="7"/>
  <c r="E95" i="7"/>
  <c r="U95" i="7"/>
  <c r="Q96" i="7"/>
  <c r="M97" i="7"/>
  <c r="I98" i="7"/>
  <c r="E99" i="7"/>
  <c r="U99" i="7"/>
  <c r="Q100" i="7"/>
  <c r="M101" i="7"/>
  <c r="I102" i="7"/>
  <c r="E103" i="7"/>
  <c r="U103" i="7"/>
  <c r="Q104" i="7"/>
  <c r="M105" i="7"/>
  <c r="I106" i="7"/>
  <c r="E107" i="7"/>
  <c r="U107" i="7"/>
  <c r="Q108" i="7"/>
  <c r="M109" i="7"/>
  <c r="I110" i="7"/>
  <c r="E111" i="7"/>
  <c r="U111" i="7"/>
  <c r="Q112" i="7"/>
  <c r="M113" i="7"/>
  <c r="I114" i="7"/>
  <c r="E115" i="7"/>
  <c r="U115" i="7"/>
  <c r="Q116" i="7"/>
  <c r="M117" i="7"/>
  <c r="I118" i="7"/>
  <c r="E119" i="7"/>
  <c r="U119" i="7"/>
  <c r="Q120" i="7"/>
  <c r="M121" i="7"/>
  <c r="I122" i="7"/>
  <c r="E123" i="7"/>
  <c r="U123" i="7"/>
  <c r="Q124" i="7"/>
  <c r="M125" i="7"/>
  <c r="I126" i="7"/>
  <c r="E127" i="7"/>
  <c r="U127" i="7"/>
  <c r="Q128" i="7"/>
  <c r="M129" i="7"/>
  <c r="I130" i="7"/>
  <c r="E131" i="7"/>
  <c r="U131" i="7"/>
  <c r="Q132" i="7"/>
  <c r="M133" i="7"/>
  <c r="I134" i="7"/>
  <c r="E135" i="7"/>
  <c r="U135" i="7"/>
  <c r="Q136" i="7"/>
  <c r="M137" i="7"/>
  <c r="I138" i="7"/>
  <c r="E139" i="7"/>
  <c r="U139" i="7"/>
  <c r="Q140" i="7"/>
  <c r="M141" i="7"/>
  <c r="I142" i="7"/>
  <c r="E143" i="7"/>
  <c r="U143" i="7"/>
  <c r="Q144" i="7"/>
  <c r="M145" i="7"/>
  <c r="I146" i="7"/>
  <c r="E147" i="7"/>
  <c r="U147" i="7"/>
  <c r="Q148" i="7"/>
  <c r="M149" i="7"/>
  <c r="I150" i="7"/>
  <c r="E151" i="7"/>
  <c r="U151" i="7"/>
  <c r="Q152" i="7"/>
  <c r="M153" i="7"/>
  <c r="J154" i="7"/>
  <c r="H155" i="7"/>
  <c r="F156" i="7"/>
  <c r="D157" i="7"/>
  <c r="E158" i="7"/>
  <c r="K159" i="7"/>
  <c r="R160" i="7"/>
  <c r="R161" i="7"/>
  <c r="D163" i="7"/>
  <c r="N164" i="7"/>
  <c r="U393" i="7"/>
  <c r="U9" i="7" s="1"/>
  <c r="J393" i="7"/>
  <c r="V392" i="7"/>
  <c r="K392" i="7"/>
  <c r="C392" i="7"/>
  <c r="O391" i="7"/>
  <c r="D391" i="7"/>
  <c r="P390" i="7"/>
  <c r="E390" i="7"/>
  <c r="Q389" i="7"/>
  <c r="F389" i="7"/>
  <c r="R388" i="7"/>
  <c r="G388" i="7"/>
  <c r="S387" i="7"/>
  <c r="H387" i="7"/>
  <c r="T386" i="7"/>
  <c r="I386" i="7"/>
  <c r="U385" i="7"/>
  <c r="J385" i="7"/>
  <c r="V384" i="7"/>
  <c r="K384" i="7"/>
  <c r="C384" i="7"/>
  <c r="O383" i="7"/>
  <c r="D383" i="7"/>
  <c r="P382" i="7"/>
  <c r="E382" i="7"/>
  <c r="Q381" i="7"/>
  <c r="F381" i="7"/>
  <c r="T393" i="7"/>
  <c r="I393" i="7"/>
  <c r="U392" i="7"/>
  <c r="J392" i="7"/>
  <c r="V391" i="7"/>
  <c r="K391" i="7"/>
  <c r="C391" i="7"/>
  <c r="O390" i="7"/>
  <c r="D390" i="7"/>
  <c r="P389" i="7"/>
  <c r="E389" i="7"/>
  <c r="Q388" i="7"/>
  <c r="F388" i="7"/>
  <c r="R387" i="7"/>
  <c r="G387" i="7"/>
  <c r="S386" i="7"/>
  <c r="H386" i="7"/>
  <c r="T385" i="7"/>
  <c r="I385" i="7"/>
  <c r="U384" i="7"/>
  <c r="J384" i="7"/>
  <c r="V383" i="7"/>
  <c r="K383" i="7"/>
  <c r="C383" i="7"/>
  <c r="O382" i="7"/>
  <c r="D382" i="7"/>
  <c r="P381" i="7"/>
  <c r="E381" i="7"/>
  <c r="Q380" i="7"/>
  <c r="F380" i="7"/>
  <c r="R379" i="7"/>
  <c r="G379" i="7"/>
  <c r="S378" i="7"/>
  <c r="H378" i="7"/>
  <c r="T377" i="7"/>
  <c r="I377" i="7"/>
  <c r="U376" i="7"/>
  <c r="J376" i="7"/>
  <c r="V375" i="7"/>
  <c r="K375" i="7"/>
  <c r="C375" i="7"/>
  <c r="O374" i="7"/>
  <c r="E374" i="7"/>
  <c r="Q373" i="7"/>
  <c r="H373" i="7"/>
  <c r="T372" i="7"/>
  <c r="K372" i="7"/>
  <c r="C372" i="7"/>
  <c r="O371" i="7"/>
  <c r="F371" i="7"/>
  <c r="R370" i="7"/>
  <c r="I370" i="7"/>
  <c r="U369" i="7"/>
  <c r="M369" i="7"/>
  <c r="D369" i="7"/>
  <c r="P368" i="7"/>
  <c r="H368" i="7"/>
  <c r="T367" i="7"/>
  <c r="L367" i="7"/>
  <c r="D367" i="7"/>
  <c r="P366" i="7"/>
  <c r="H366" i="7"/>
  <c r="T365" i="7"/>
  <c r="L365" i="7"/>
  <c r="D365" i="7"/>
  <c r="P364" i="7"/>
  <c r="H364" i="7"/>
  <c r="T363" i="7"/>
  <c r="L363" i="7"/>
  <c r="D363" i="7"/>
  <c r="O393" i="7"/>
  <c r="D393" i="7"/>
  <c r="P392" i="7"/>
  <c r="E392" i="7"/>
  <c r="Q391" i="7"/>
  <c r="F391" i="7"/>
  <c r="R390" i="7"/>
  <c r="G390" i="7"/>
  <c r="S389" i="7"/>
  <c r="H389" i="7"/>
  <c r="T388" i="7"/>
  <c r="I388" i="7"/>
  <c r="U387" i="7"/>
  <c r="J387" i="7"/>
  <c r="V386" i="7"/>
  <c r="K386" i="7"/>
  <c r="C386" i="7"/>
  <c r="O385" i="7"/>
  <c r="D385" i="7"/>
  <c r="P384" i="7"/>
  <c r="E384" i="7"/>
  <c r="Q383" i="7"/>
  <c r="F383" i="7"/>
  <c r="R382" i="7"/>
  <c r="P393" i="7"/>
  <c r="S392" i="7"/>
  <c r="D392" i="7"/>
  <c r="H391" i="7"/>
  <c r="K390" i="7"/>
  <c r="T389" i="7"/>
  <c r="C389" i="7"/>
  <c r="H388" i="7"/>
  <c r="O387" i="7"/>
  <c r="R386" i="7"/>
  <c r="D386" i="7"/>
  <c r="G385" i="7"/>
  <c r="O384" i="7"/>
  <c r="S383" i="7"/>
  <c r="V382" i="7"/>
  <c r="H382" i="7"/>
  <c r="R381" i="7"/>
  <c r="C381" i="7"/>
  <c r="K380" i="7"/>
  <c r="V379" i="7"/>
  <c r="J379" i="7"/>
  <c r="U378" i="7"/>
  <c r="I378" i="7"/>
  <c r="S377" i="7"/>
  <c r="G377" i="7"/>
  <c r="R376" i="7"/>
  <c r="F376" i="7"/>
  <c r="Q375" i="7"/>
  <c r="E375" i="7"/>
  <c r="P374" i="7"/>
  <c r="D374" i="7"/>
  <c r="O373" i="7"/>
  <c r="E373" i="7"/>
  <c r="P372" i="7"/>
  <c r="F372" i="7"/>
  <c r="Q371" i="7"/>
  <c r="G371" i="7"/>
  <c r="Q370" i="7"/>
  <c r="G370" i="7"/>
  <c r="R369" i="7"/>
  <c r="H369" i="7"/>
  <c r="S368" i="7"/>
  <c r="J368" i="7"/>
  <c r="U367" i="7"/>
  <c r="K367" i="7"/>
  <c r="V366" i="7"/>
  <c r="M366" i="7"/>
  <c r="D366" i="7"/>
  <c r="O365" i="7"/>
  <c r="F365" i="7"/>
  <c r="Q364" i="7"/>
  <c r="G364" i="7"/>
  <c r="R363" i="7"/>
  <c r="I363" i="7"/>
  <c r="T362" i="7"/>
  <c r="L362" i="7"/>
  <c r="D362" i="7"/>
  <c r="P361" i="7"/>
  <c r="H361" i="7"/>
  <c r="T360" i="7"/>
  <c r="L360" i="7"/>
  <c r="D360" i="7"/>
  <c r="P359" i="7"/>
  <c r="H359" i="7"/>
  <c r="T358" i="7"/>
  <c r="L358" i="7"/>
  <c r="D358" i="7"/>
  <c r="P357" i="7"/>
  <c r="H357" i="7"/>
  <c r="T356" i="7"/>
  <c r="L356" i="7"/>
  <c r="D356" i="7"/>
  <c r="P355" i="7"/>
  <c r="H355" i="7"/>
  <c r="T354" i="7"/>
  <c r="L354" i="7"/>
  <c r="D354" i="7"/>
  <c r="P353" i="7"/>
  <c r="H353" i="7"/>
  <c r="T352" i="7"/>
  <c r="L352" i="7"/>
  <c r="D352" i="7"/>
  <c r="P351" i="7"/>
  <c r="H351" i="7"/>
  <c r="T350" i="7"/>
  <c r="L350" i="7"/>
  <c r="D350" i="7"/>
  <c r="P349" i="7"/>
  <c r="H349" i="7"/>
  <c r="T348" i="7"/>
  <c r="L348" i="7"/>
  <c r="D348" i="7"/>
  <c r="P347" i="7"/>
  <c r="H347" i="7"/>
  <c r="T346" i="7"/>
  <c r="L346" i="7"/>
  <c r="D346" i="7"/>
  <c r="P345" i="7"/>
  <c r="K393" i="7"/>
  <c r="R392" i="7"/>
  <c r="U391" i="7"/>
  <c r="G391" i="7"/>
  <c r="J390" i="7"/>
  <c r="R389" i="7"/>
  <c r="V388" i="7"/>
  <c r="E388" i="7"/>
  <c r="K387" i="7"/>
  <c r="Q386" i="7"/>
  <c r="V385" i="7"/>
  <c r="F385" i="7"/>
  <c r="I384" i="7"/>
  <c r="R383" i="7"/>
  <c r="U382" i="7"/>
  <c r="G382" i="7"/>
  <c r="O381" i="7"/>
  <c r="V380" i="7"/>
  <c r="J380" i="7"/>
  <c r="U379" i="7"/>
  <c r="I379" i="7"/>
  <c r="T378" i="7"/>
  <c r="G378" i="7"/>
  <c r="R377" i="7"/>
  <c r="F377" i="7"/>
  <c r="Q376" i="7"/>
  <c r="E376" i="7"/>
  <c r="P375" i="7"/>
  <c r="D375" i="7"/>
  <c r="M374" i="7"/>
  <c r="C374" i="7"/>
  <c r="N373" i="7"/>
  <c r="D373" i="7"/>
  <c r="O372" i="7"/>
  <c r="E372" i="7"/>
  <c r="P371" i="7"/>
  <c r="E371" i="7"/>
  <c r="P370" i="7"/>
  <c r="F370" i="7"/>
  <c r="Q369" i="7"/>
  <c r="G369" i="7"/>
  <c r="R368" i="7"/>
  <c r="I368" i="7"/>
  <c r="S367" i="7"/>
  <c r="J367" i="7"/>
  <c r="U366" i="7"/>
  <c r="L366" i="7"/>
  <c r="C366" i="7"/>
  <c r="N365" i="7"/>
  <c r="E365" i="7"/>
  <c r="O364" i="7"/>
  <c r="F364" i="7"/>
  <c r="Q363" i="7"/>
  <c r="H363" i="7"/>
  <c r="S362" i="7"/>
  <c r="K362" i="7"/>
  <c r="C362" i="7"/>
  <c r="O361" i="7"/>
  <c r="G361" i="7"/>
  <c r="S360" i="7"/>
  <c r="K360" i="7"/>
  <c r="C360" i="7"/>
  <c r="O359" i="7"/>
  <c r="G359" i="7"/>
  <c r="S358" i="7"/>
  <c r="K358" i="7"/>
  <c r="C358" i="7"/>
  <c r="O357" i="7"/>
  <c r="G357" i="7"/>
  <c r="S356" i="7"/>
  <c r="K356" i="7"/>
  <c r="C356" i="7"/>
  <c r="O355" i="7"/>
  <c r="G355" i="7"/>
  <c r="S354" i="7"/>
  <c r="K354" i="7"/>
  <c r="C354" i="7"/>
  <c r="O353" i="7"/>
  <c r="G353" i="7"/>
  <c r="S352" i="7"/>
  <c r="K352" i="7"/>
  <c r="C352" i="7"/>
  <c r="O351" i="7"/>
  <c r="G351" i="7"/>
  <c r="S350" i="7"/>
  <c r="K350" i="7"/>
  <c r="C350" i="7"/>
  <c r="O349" i="7"/>
  <c r="G349" i="7"/>
  <c r="H393" i="7"/>
  <c r="Q392" i="7"/>
  <c r="T391" i="7"/>
  <c r="E391" i="7"/>
  <c r="I390" i="7"/>
  <c r="O389" i="7"/>
  <c r="U388" i="7"/>
  <c r="D388" i="7"/>
  <c r="I387" i="7"/>
  <c r="P386" i="7"/>
  <c r="S385" i="7"/>
  <c r="E385" i="7"/>
  <c r="H384" i="7"/>
  <c r="P383" i="7"/>
  <c r="T382" i="7"/>
  <c r="F382" i="7"/>
  <c r="K381" i="7"/>
  <c r="U380" i="7"/>
  <c r="I380" i="7"/>
  <c r="T379" i="7"/>
  <c r="H379" i="7"/>
  <c r="R378" i="7"/>
  <c r="F378" i="7"/>
  <c r="Q377" i="7"/>
  <c r="E377" i="7"/>
  <c r="P376" i="7"/>
  <c r="D376" i="7"/>
  <c r="O375" i="7"/>
  <c r="V374" i="7"/>
  <c r="K374" i="7"/>
  <c r="V373" i="7"/>
  <c r="M373" i="7"/>
  <c r="C373" i="7"/>
  <c r="N372" i="7"/>
  <c r="D372" i="7"/>
  <c r="N371" i="7"/>
  <c r="D371" i="7"/>
  <c r="O370" i="7"/>
  <c r="E370" i="7"/>
  <c r="P369" i="7"/>
  <c r="F369" i="7"/>
  <c r="Q368" i="7"/>
  <c r="G368" i="7"/>
  <c r="R367" i="7"/>
  <c r="I367" i="7"/>
  <c r="T366" i="7"/>
  <c r="K366" i="7"/>
  <c r="V365" i="7"/>
  <c r="M365" i="7"/>
  <c r="C365" i="7"/>
  <c r="N364" i="7"/>
  <c r="E364" i="7"/>
  <c r="P363" i="7"/>
  <c r="G363" i="7"/>
  <c r="R362" i="7"/>
  <c r="J362" i="7"/>
  <c r="V361" i="7"/>
  <c r="N361" i="7"/>
  <c r="F361" i="7"/>
  <c r="R360" i="7"/>
  <c r="J360" i="7"/>
  <c r="V359" i="7"/>
  <c r="N359" i="7"/>
  <c r="F359" i="7"/>
  <c r="R358" i="7"/>
  <c r="J358" i="7"/>
  <c r="V357" i="7"/>
  <c r="N357" i="7"/>
  <c r="F357" i="7"/>
  <c r="R356" i="7"/>
  <c r="J356" i="7"/>
  <c r="V355" i="7"/>
  <c r="N355" i="7"/>
  <c r="F355" i="7"/>
  <c r="R354" i="7"/>
  <c r="J354" i="7"/>
  <c r="G393" i="7"/>
  <c r="O392" i="7"/>
  <c r="S391" i="7"/>
  <c r="V390" i="7"/>
  <c r="H390" i="7"/>
  <c r="K389" i="7"/>
  <c r="S388" i="7"/>
  <c r="C388" i="7"/>
  <c r="F387" i="7"/>
  <c r="V393" i="7"/>
  <c r="F393" i="7"/>
  <c r="I392" i="7"/>
  <c r="R391" i="7"/>
  <c r="U390" i="7"/>
  <c r="F390" i="7"/>
  <c r="J389" i="7"/>
  <c r="P388" i="7"/>
  <c r="V387" i="7"/>
  <c r="E387" i="7"/>
  <c r="J386" i="7"/>
  <c r="S393" i="7"/>
  <c r="E393" i="7"/>
  <c r="E9" i="7" s="1"/>
  <c r="H392" i="7"/>
  <c r="P391" i="7"/>
  <c r="T390" i="7"/>
  <c r="C390" i="7"/>
  <c r="I389" i="7"/>
  <c r="O388" i="7"/>
  <c r="T387" i="7"/>
  <c r="R393" i="7"/>
  <c r="C393" i="7"/>
  <c r="G392" i="7"/>
  <c r="J391" i="7"/>
  <c r="S390" i="7"/>
  <c r="V389" i="7"/>
  <c r="G389" i="7"/>
  <c r="K388" i="7"/>
  <c r="Q387" i="7"/>
  <c r="Q393" i="7"/>
  <c r="T392" i="7"/>
  <c r="F392" i="7"/>
  <c r="I391" i="7"/>
  <c r="Q390" i="7"/>
  <c r="U389" i="7"/>
  <c r="D389" i="7"/>
  <c r="J388" i="7"/>
  <c r="P387" i="7"/>
  <c r="U386" i="7"/>
  <c r="E386" i="7"/>
  <c r="H385" i="7"/>
  <c r="Q384" i="7"/>
  <c r="T383" i="7"/>
  <c r="E383" i="7"/>
  <c r="I382" i="7"/>
  <c r="S381" i="7"/>
  <c r="D381" i="7"/>
  <c r="O380" i="7"/>
  <c r="C380" i="7"/>
  <c r="K379" i="7"/>
  <c r="V378" i="7"/>
  <c r="J378" i="7"/>
  <c r="U377" i="7"/>
  <c r="H377" i="7"/>
  <c r="S376" i="7"/>
  <c r="G376" i="7"/>
  <c r="R375" i="7"/>
  <c r="F375" i="7"/>
  <c r="Q374" i="7"/>
  <c r="F374" i="7"/>
  <c r="P373" i="7"/>
  <c r="F373" i="7"/>
  <c r="Q372" i="7"/>
  <c r="G372" i="7"/>
  <c r="R371" i="7"/>
  <c r="H371" i="7"/>
  <c r="S370" i="7"/>
  <c r="H370" i="7"/>
  <c r="S369" i="7"/>
  <c r="I369" i="7"/>
  <c r="T368" i="7"/>
  <c r="K368" i="7"/>
  <c r="V367" i="7"/>
  <c r="M367" i="7"/>
  <c r="C367" i="7"/>
  <c r="N366" i="7"/>
  <c r="E366" i="7"/>
  <c r="P365" i="7"/>
  <c r="G365" i="7"/>
  <c r="R364" i="7"/>
  <c r="I364" i="7"/>
  <c r="S363" i="7"/>
  <c r="J363" i="7"/>
  <c r="U362" i="7"/>
  <c r="M362" i="7"/>
  <c r="E362" i="7"/>
  <c r="Q361" i="7"/>
  <c r="I361" i="7"/>
  <c r="U360" i="7"/>
  <c r="M360" i="7"/>
  <c r="E360" i="7"/>
  <c r="Q359" i="7"/>
  <c r="I359" i="7"/>
  <c r="U358" i="7"/>
  <c r="M358" i="7"/>
  <c r="E358" i="7"/>
  <c r="Q357" i="7"/>
  <c r="I357" i="7"/>
  <c r="U356" i="7"/>
  <c r="M356" i="7"/>
  <c r="E356" i="7"/>
  <c r="Q355" i="7"/>
  <c r="I355" i="7"/>
  <c r="U354" i="7"/>
  <c r="M354" i="7"/>
  <c r="E354" i="7"/>
  <c r="Q353" i="7"/>
  <c r="I353" i="7"/>
  <c r="U352" i="7"/>
  <c r="M352" i="7"/>
  <c r="E352" i="7"/>
  <c r="Q351" i="7"/>
  <c r="I351" i="7"/>
  <c r="U350" i="7"/>
  <c r="M350" i="7"/>
  <c r="E350" i="7"/>
  <c r="Q349" i="7"/>
  <c r="I349" i="7"/>
  <c r="U348" i="7"/>
  <c r="M348" i="7"/>
  <c r="E348" i="7"/>
  <c r="Q347" i="7"/>
  <c r="I347" i="7"/>
  <c r="O386" i="7"/>
  <c r="T384" i="7"/>
  <c r="I383" i="7"/>
  <c r="V381" i="7"/>
  <c r="S380" i="7"/>
  <c r="Q379" i="7"/>
  <c r="P378" i="7"/>
  <c r="O377" i="7"/>
  <c r="K376" i="7"/>
  <c r="I375" i="7"/>
  <c r="I374" i="7"/>
  <c r="J373" i="7"/>
  <c r="J372" i="7"/>
  <c r="K371" i="7"/>
  <c r="M370" i="7"/>
  <c r="N369" i="7"/>
  <c r="N368" i="7"/>
  <c r="P367" i="7"/>
  <c r="R366" i="7"/>
  <c r="S365" i="7"/>
  <c r="U364" i="7"/>
  <c r="C364" i="7"/>
  <c r="E363" i="7"/>
  <c r="H362" i="7"/>
  <c r="L361" i="7"/>
  <c r="P360" i="7"/>
  <c r="T359" i="7"/>
  <c r="D359" i="7"/>
  <c r="H358" i="7"/>
  <c r="L357" i="7"/>
  <c r="P356" i="7"/>
  <c r="T355" i="7"/>
  <c r="D355" i="7"/>
  <c r="H354" i="7"/>
  <c r="N353" i="7"/>
  <c r="C353" i="7"/>
  <c r="I352" i="7"/>
  <c r="R351" i="7"/>
  <c r="D351" i="7"/>
  <c r="J350" i="7"/>
  <c r="S349" i="7"/>
  <c r="E349" i="7"/>
  <c r="O348" i="7"/>
  <c r="C348" i="7"/>
  <c r="M347" i="7"/>
  <c r="C347" i="7"/>
  <c r="N346" i="7"/>
  <c r="E346" i="7"/>
  <c r="O345" i="7"/>
  <c r="G345" i="7"/>
  <c r="S344" i="7"/>
  <c r="K344" i="7"/>
  <c r="C344" i="7"/>
  <c r="O343" i="7"/>
  <c r="G343" i="7"/>
  <c r="S342" i="7"/>
  <c r="K342" i="7"/>
  <c r="C342" i="7"/>
  <c r="O341" i="7"/>
  <c r="G341" i="7"/>
  <c r="S340" i="7"/>
  <c r="K340" i="7"/>
  <c r="C340" i="7"/>
  <c r="O339" i="7"/>
  <c r="G339" i="7"/>
  <c r="S338" i="7"/>
  <c r="K338" i="7"/>
  <c r="C338" i="7"/>
  <c r="O337" i="7"/>
  <c r="G337" i="7"/>
  <c r="S336" i="7"/>
  <c r="K336" i="7"/>
  <c r="C336" i="7"/>
  <c r="O335" i="7"/>
  <c r="G335" i="7"/>
  <c r="S334" i="7"/>
  <c r="K334" i="7"/>
  <c r="C334" i="7"/>
  <c r="O333" i="7"/>
  <c r="G333" i="7"/>
  <c r="S332" i="7"/>
  <c r="K332" i="7"/>
  <c r="C332" i="7"/>
  <c r="O331" i="7"/>
  <c r="G331" i="7"/>
  <c r="S330" i="7"/>
  <c r="K330" i="7"/>
  <c r="C330" i="7"/>
  <c r="O329" i="7"/>
  <c r="G329" i="7"/>
  <c r="S328" i="7"/>
  <c r="K328" i="7"/>
  <c r="C328" i="7"/>
  <c r="O327" i="7"/>
  <c r="G327" i="7"/>
  <c r="S326" i="7"/>
  <c r="K326" i="7"/>
  <c r="C326" i="7"/>
  <c r="O325" i="7"/>
  <c r="G325" i="7"/>
  <c r="S324" i="7"/>
  <c r="K324" i="7"/>
  <c r="C324" i="7"/>
  <c r="O323" i="7"/>
  <c r="G323" i="7"/>
  <c r="S322" i="7"/>
  <c r="K322" i="7"/>
  <c r="C322" i="7"/>
  <c r="O321" i="7"/>
  <c r="G321" i="7"/>
  <c r="S320" i="7"/>
  <c r="K320" i="7"/>
  <c r="C320" i="7"/>
  <c r="O319" i="7"/>
  <c r="G319" i="7"/>
  <c r="S318" i="7"/>
  <c r="K318" i="7"/>
  <c r="C318" i="7"/>
  <c r="O317" i="7"/>
  <c r="G317" i="7"/>
  <c r="S316" i="7"/>
  <c r="K316" i="7"/>
  <c r="C316" i="7"/>
  <c r="O315" i="7"/>
  <c r="G315" i="7"/>
  <c r="S314" i="7"/>
  <c r="K314" i="7"/>
  <c r="C314" i="7"/>
  <c r="O313" i="7"/>
  <c r="G313" i="7"/>
  <c r="S312" i="7"/>
  <c r="K312" i="7"/>
  <c r="C312" i="7"/>
  <c r="O311" i="7"/>
  <c r="G311" i="7"/>
  <c r="S310" i="7"/>
  <c r="K310" i="7"/>
  <c r="C310" i="7"/>
  <c r="O309" i="7"/>
  <c r="G309" i="7"/>
  <c r="S308" i="7"/>
  <c r="K308" i="7"/>
  <c r="C308" i="7"/>
  <c r="O307" i="7"/>
  <c r="G307" i="7"/>
  <c r="S306" i="7"/>
  <c r="K306" i="7"/>
  <c r="C306" i="7"/>
  <c r="O305" i="7"/>
  <c r="G305" i="7"/>
  <c r="S304" i="7"/>
  <c r="K304" i="7"/>
  <c r="C304" i="7"/>
  <c r="O303" i="7"/>
  <c r="G303" i="7"/>
  <c r="S302" i="7"/>
  <c r="K302" i="7"/>
  <c r="C302" i="7"/>
  <c r="O301" i="7"/>
  <c r="G301" i="7"/>
  <c r="S300" i="7"/>
  <c r="K300" i="7"/>
  <c r="C300" i="7"/>
  <c r="O299" i="7"/>
  <c r="G299" i="7"/>
  <c r="S298" i="7"/>
  <c r="K298" i="7"/>
  <c r="C298" i="7"/>
  <c r="O297" i="7"/>
  <c r="G297" i="7"/>
  <c r="S296" i="7"/>
  <c r="K296" i="7"/>
  <c r="C296" i="7"/>
  <c r="O295" i="7"/>
  <c r="G295" i="7"/>
  <c r="S294" i="7"/>
  <c r="K294" i="7"/>
  <c r="C294" i="7"/>
  <c r="O293" i="7"/>
  <c r="G293" i="7"/>
  <c r="S292" i="7"/>
  <c r="K292" i="7"/>
  <c r="C292" i="7"/>
  <c r="O291" i="7"/>
  <c r="G291" i="7"/>
  <c r="S290" i="7"/>
  <c r="K290" i="7"/>
  <c r="C290" i="7"/>
  <c r="O289" i="7"/>
  <c r="G289" i="7"/>
  <c r="S288" i="7"/>
  <c r="K288" i="7"/>
  <c r="C288" i="7"/>
  <c r="O287" i="7"/>
  <c r="G287" i="7"/>
  <c r="S286" i="7"/>
  <c r="K286" i="7"/>
  <c r="C286" i="7"/>
  <c r="O285" i="7"/>
  <c r="G285" i="7"/>
  <c r="S284" i="7"/>
  <c r="K284" i="7"/>
  <c r="C284" i="7"/>
  <c r="O283" i="7"/>
  <c r="G283" i="7"/>
  <c r="S282" i="7"/>
  <c r="K282" i="7"/>
  <c r="C282" i="7"/>
  <c r="O281" i="7"/>
  <c r="G281" i="7"/>
  <c r="S280" i="7"/>
  <c r="K280" i="7"/>
  <c r="C280" i="7"/>
  <c r="O279" i="7"/>
  <c r="G279" i="7"/>
  <c r="S278" i="7"/>
  <c r="K278" i="7"/>
  <c r="C278" i="7"/>
  <c r="O277" i="7"/>
  <c r="G277" i="7"/>
  <c r="S276" i="7"/>
  <c r="K276" i="7"/>
  <c r="C276" i="7"/>
  <c r="O275" i="7"/>
  <c r="G275" i="7"/>
  <c r="S274" i="7"/>
  <c r="K274" i="7"/>
  <c r="C274" i="7"/>
  <c r="O273" i="7"/>
  <c r="G273" i="7"/>
  <c r="S272" i="7"/>
  <c r="K272" i="7"/>
  <c r="C272" i="7"/>
  <c r="O271" i="7"/>
  <c r="G271" i="7"/>
  <c r="S270" i="7"/>
  <c r="K270" i="7"/>
  <c r="C270" i="7"/>
  <c r="O269" i="7"/>
  <c r="G269" i="7"/>
  <c r="S268" i="7"/>
  <c r="K268" i="7"/>
  <c r="C268" i="7"/>
  <c r="O267" i="7"/>
  <c r="G267" i="7"/>
  <c r="S266" i="7"/>
  <c r="K266" i="7"/>
  <c r="C266" i="7"/>
  <c r="O265" i="7"/>
  <c r="G265" i="7"/>
  <c r="S264" i="7"/>
  <c r="K264" i="7"/>
  <c r="C264" i="7"/>
  <c r="O263" i="7"/>
  <c r="G263" i="7"/>
  <c r="S262" i="7"/>
  <c r="K262" i="7"/>
  <c r="C262" i="7"/>
  <c r="O261" i="7"/>
  <c r="G261" i="7"/>
  <c r="S260" i="7"/>
  <c r="K260" i="7"/>
  <c r="C260" i="7"/>
  <c r="O259" i="7"/>
  <c r="G259" i="7"/>
  <c r="S258" i="7"/>
  <c r="K258" i="7"/>
  <c r="C258" i="7"/>
  <c r="O257" i="7"/>
  <c r="G257" i="7"/>
  <c r="S256" i="7"/>
  <c r="K256" i="7"/>
  <c r="C256" i="7"/>
  <c r="O255" i="7"/>
  <c r="G255" i="7"/>
  <c r="S254" i="7"/>
  <c r="K254" i="7"/>
  <c r="C254" i="7"/>
  <c r="O253" i="7"/>
  <c r="G253" i="7"/>
  <c r="S252" i="7"/>
  <c r="K252" i="7"/>
  <c r="C252" i="7"/>
  <c r="O251" i="7"/>
  <c r="G251" i="7"/>
  <c r="S250" i="7"/>
  <c r="K250" i="7"/>
  <c r="C250" i="7"/>
  <c r="O249" i="7"/>
  <c r="G249" i="7"/>
  <c r="S248" i="7"/>
  <c r="K248" i="7"/>
  <c r="C248" i="7"/>
  <c r="O247" i="7"/>
  <c r="G247" i="7"/>
  <c r="S246" i="7"/>
  <c r="K246" i="7"/>
  <c r="C246" i="7"/>
  <c r="O245" i="7"/>
  <c r="G245" i="7"/>
  <c r="S244" i="7"/>
  <c r="K244" i="7"/>
  <c r="C244" i="7"/>
  <c r="O243" i="7"/>
  <c r="G243" i="7"/>
  <c r="S242" i="7"/>
  <c r="K242" i="7"/>
  <c r="C242" i="7"/>
  <c r="O241" i="7"/>
  <c r="G241" i="7"/>
  <c r="S240" i="7"/>
  <c r="K240" i="7"/>
  <c r="C240" i="7"/>
  <c r="O239" i="7"/>
  <c r="G239" i="7"/>
  <c r="S238" i="7"/>
  <c r="K238" i="7"/>
  <c r="C238" i="7"/>
  <c r="O237" i="7"/>
  <c r="G237" i="7"/>
  <c r="S236" i="7"/>
  <c r="K236" i="7"/>
  <c r="G386" i="7"/>
  <c r="S384" i="7"/>
  <c r="H383" i="7"/>
  <c r="U381" i="7"/>
  <c r="R380" i="7"/>
  <c r="P379" i="7"/>
  <c r="O378" i="7"/>
  <c r="K377" i="7"/>
  <c r="I376" i="7"/>
  <c r="H375" i="7"/>
  <c r="H374" i="7"/>
  <c r="I373" i="7"/>
  <c r="I372" i="7"/>
  <c r="J371" i="7"/>
  <c r="K370" i="7"/>
  <c r="K369" i="7"/>
  <c r="M368" i="7"/>
  <c r="O367" i="7"/>
  <c r="Q366" i="7"/>
  <c r="R365" i="7"/>
  <c r="T364" i="7"/>
  <c r="V363" i="7"/>
  <c r="C363" i="7"/>
  <c r="G362" i="7"/>
  <c r="K361" i="7"/>
  <c r="O360" i="7"/>
  <c r="S359" i="7"/>
  <c r="C359" i="7"/>
  <c r="G358" i="7"/>
  <c r="K357" i="7"/>
  <c r="O356" i="7"/>
  <c r="S355" i="7"/>
  <c r="C355" i="7"/>
  <c r="G354" i="7"/>
  <c r="M353" i="7"/>
  <c r="V352" i="7"/>
  <c r="H352" i="7"/>
  <c r="N351" i="7"/>
  <c r="C351" i="7"/>
  <c r="I350" i="7"/>
  <c r="R349" i="7"/>
  <c r="D349" i="7"/>
  <c r="N348" i="7"/>
  <c r="V347" i="7"/>
  <c r="L347" i="7"/>
  <c r="V346" i="7"/>
  <c r="M346" i="7"/>
  <c r="C346" i="7"/>
  <c r="N345" i="7"/>
  <c r="F345" i="7"/>
  <c r="R344" i="7"/>
  <c r="J344" i="7"/>
  <c r="V343" i="7"/>
  <c r="N343" i="7"/>
  <c r="F343" i="7"/>
  <c r="R342" i="7"/>
  <c r="J342" i="7"/>
  <c r="V341" i="7"/>
  <c r="N341" i="7"/>
  <c r="F341" i="7"/>
  <c r="R340" i="7"/>
  <c r="J340" i="7"/>
  <c r="V339" i="7"/>
  <c r="N339" i="7"/>
  <c r="F339" i="7"/>
  <c r="R338" i="7"/>
  <c r="J338" i="7"/>
  <c r="V337" i="7"/>
  <c r="N337" i="7"/>
  <c r="F337" i="7"/>
  <c r="R336" i="7"/>
  <c r="J336" i="7"/>
  <c r="V335" i="7"/>
  <c r="N335" i="7"/>
  <c r="F335" i="7"/>
  <c r="R334" i="7"/>
  <c r="J334" i="7"/>
  <c r="V333" i="7"/>
  <c r="N333" i="7"/>
  <c r="F333" i="7"/>
  <c r="R332" i="7"/>
  <c r="J332" i="7"/>
  <c r="V331" i="7"/>
  <c r="N331" i="7"/>
  <c r="F331" i="7"/>
  <c r="R330" i="7"/>
  <c r="J330" i="7"/>
  <c r="V329" i="7"/>
  <c r="N329" i="7"/>
  <c r="F329" i="7"/>
  <c r="R328" i="7"/>
  <c r="J328" i="7"/>
  <c r="V327" i="7"/>
  <c r="N327" i="7"/>
  <c r="F327" i="7"/>
  <c r="R326" i="7"/>
  <c r="J326" i="7"/>
  <c r="V325" i="7"/>
  <c r="N325" i="7"/>
  <c r="F325" i="7"/>
  <c r="R324" i="7"/>
  <c r="J324" i="7"/>
  <c r="V323" i="7"/>
  <c r="N323" i="7"/>
  <c r="F323" i="7"/>
  <c r="R322" i="7"/>
  <c r="J322" i="7"/>
  <c r="V321" i="7"/>
  <c r="N321" i="7"/>
  <c r="F321" i="7"/>
  <c r="R320" i="7"/>
  <c r="J320" i="7"/>
  <c r="V319" i="7"/>
  <c r="N319" i="7"/>
  <c r="F319" i="7"/>
  <c r="R318" i="7"/>
  <c r="J318" i="7"/>
  <c r="V317" i="7"/>
  <c r="N317" i="7"/>
  <c r="F317" i="7"/>
  <c r="R316" i="7"/>
  <c r="J316" i="7"/>
  <c r="V315" i="7"/>
  <c r="N315" i="7"/>
  <c r="F315" i="7"/>
  <c r="R314" i="7"/>
  <c r="J314" i="7"/>
  <c r="V313" i="7"/>
  <c r="N313" i="7"/>
  <c r="F313" i="7"/>
  <c r="R312" i="7"/>
  <c r="J312" i="7"/>
  <c r="V311" i="7"/>
  <c r="N311" i="7"/>
  <c r="F311" i="7"/>
  <c r="R310" i="7"/>
  <c r="J310" i="7"/>
  <c r="V309" i="7"/>
  <c r="N309" i="7"/>
  <c r="F309" i="7"/>
  <c r="R308" i="7"/>
  <c r="J308" i="7"/>
  <c r="V307" i="7"/>
  <c r="N307" i="7"/>
  <c r="F307" i="7"/>
  <c r="R306" i="7"/>
  <c r="J306" i="7"/>
  <c r="V305" i="7"/>
  <c r="N305" i="7"/>
  <c r="F305" i="7"/>
  <c r="R304" i="7"/>
  <c r="J304" i="7"/>
  <c r="V303" i="7"/>
  <c r="N303" i="7"/>
  <c r="F303" i="7"/>
  <c r="R302" i="7"/>
  <c r="J302" i="7"/>
  <c r="V301" i="7"/>
  <c r="N301" i="7"/>
  <c r="F301" i="7"/>
  <c r="R300" i="7"/>
  <c r="J300" i="7"/>
  <c r="V299" i="7"/>
  <c r="N299" i="7"/>
  <c r="F299" i="7"/>
  <c r="R298" i="7"/>
  <c r="J298" i="7"/>
  <c r="V297" i="7"/>
  <c r="N297" i="7"/>
  <c r="F297" i="7"/>
  <c r="R296" i="7"/>
  <c r="J296" i="7"/>
  <c r="V295" i="7"/>
  <c r="N295" i="7"/>
  <c r="F295" i="7"/>
  <c r="R294" i="7"/>
  <c r="J294" i="7"/>
  <c r="V293" i="7"/>
  <c r="N293" i="7"/>
  <c r="F293" i="7"/>
  <c r="R292" i="7"/>
  <c r="J292" i="7"/>
  <c r="V291" i="7"/>
  <c r="N291" i="7"/>
  <c r="F291" i="7"/>
  <c r="R290" i="7"/>
  <c r="J290" i="7"/>
  <c r="V289" i="7"/>
  <c r="N289" i="7"/>
  <c r="F289" i="7"/>
  <c r="R288" i="7"/>
  <c r="J288" i="7"/>
  <c r="V287" i="7"/>
  <c r="N287" i="7"/>
  <c r="F287" i="7"/>
  <c r="R286" i="7"/>
  <c r="J286" i="7"/>
  <c r="V285" i="7"/>
  <c r="N285" i="7"/>
  <c r="F285" i="7"/>
  <c r="R284" i="7"/>
  <c r="J284" i="7"/>
  <c r="V283" i="7"/>
  <c r="N283" i="7"/>
  <c r="F283" i="7"/>
  <c r="R282" i="7"/>
  <c r="J282" i="7"/>
  <c r="V281" i="7"/>
  <c r="N281" i="7"/>
  <c r="F281" i="7"/>
  <c r="R280" i="7"/>
  <c r="J280" i="7"/>
  <c r="V279" i="7"/>
  <c r="N279" i="7"/>
  <c r="F279" i="7"/>
  <c r="R278" i="7"/>
  <c r="J278" i="7"/>
  <c r="V277" i="7"/>
  <c r="N277" i="7"/>
  <c r="F277" i="7"/>
  <c r="R276" i="7"/>
  <c r="J276" i="7"/>
  <c r="V275" i="7"/>
  <c r="N275" i="7"/>
  <c r="F275" i="7"/>
  <c r="R274" i="7"/>
  <c r="J274" i="7"/>
  <c r="V273" i="7"/>
  <c r="N273" i="7"/>
  <c r="F273" i="7"/>
  <c r="R272" i="7"/>
  <c r="J272" i="7"/>
  <c r="V271" i="7"/>
  <c r="N271" i="7"/>
  <c r="F271" i="7"/>
  <c r="R270" i="7"/>
  <c r="J270" i="7"/>
  <c r="V269" i="7"/>
  <c r="N269" i="7"/>
  <c r="F269" i="7"/>
  <c r="R268" i="7"/>
  <c r="J268" i="7"/>
  <c r="V267" i="7"/>
  <c r="N267" i="7"/>
  <c r="F267" i="7"/>
  <c r="R266" i="7"/>
  <c r="J266" i="7"/>
  <c r="V265" i="7"/>
  <c r="N265" i="7"/>
  <c r="F265" i="7"/>
  <c r="R264" i="7"/>
  <c r="J264" i="7"/>
  <c r="V263" i="7"/>
  <c r="N263" i="7"/>
  <c r="F263" i="7"/>
  <c r="R262" i="7"/>
  <c r="J262" i="7"/>
  <c r="V261" i="7"/>
  <c r="N261" i="7"/>
  <c r="F261" i="7"/>
  <c r="R260" i="7"/>
  <c r="J260" i="7"/>
  <c r="V259" i="7"/>
  <c r="N259" i="7"/>
  <c r="F259" i="7"/>
  <c r="R258" i="7"/>
  <c r="J258" i="7"/>
  <c r="V257" i="7"/>
  <c r="N257" i="7"/>
  <c r="F257" i="7"/>
  <c r="R256" i="7"/>
  <c r="J256" i="7"/>
  <c r="V255" i="7"/>
  <c r="N255" i="7"/>
  <c r="F255" i="7"/>
  <c r="R254" i="7"/>
  <c r="J254" i="7"/>
  <c r="V253" i="7"/>
  <c r="N253" i="7"/>
  <c r="F253" i="7"/>
  <c r="R252" i="7"/>
  <c r="J252" i="7"/>
  <c r="V251" i="7"/>
  <c r="N251" i="7"/>
  <c r="F251" i="7"/>
  <c r="R250" i="7"/>
  <c r="J250" i="7"/>
  <c r="V249" i="7"/>
  <c r="N249" i="7"/>
  <c r="F249" i="7"/>
  <c r="R248" i="7"/>
  <c r="J248" i="7"/>
  <c r="V247" i="7"/>
  <c r="F386" i="7"/>
  <c r="R384" i="7"/>
  <c r="G383" i="7"/>
  <c r="T381" i="7"/>
  <c r="P380" i="7"/>
  <c r="O379" i="7"/>
  <c r="K378" i="7"/>
  <c r="J377" i="7"/>
  <c r="H376" i="7"/>
  <c r="G375" i="7"/>
  <c r="G374" i="7"/>
  <c r="G373" i="7"/>
  <c r="H372" i="7"/>
  <c r="I371" i="7"/>
  <c r="J370" i="7"/>
  <c r="J369" i="7"/>
  <c r="L368" i="7"/>
  <c r="N367" i="7"/>
  <c r="O366" i="7"/>
  <c r="Q365" i="7"/>
  <c r="S364" i="7"/>
  <c r="U363" i="7"/>
  <c r="V362" i="7"/>
  <c r="F362" i="7"/>
  <c r="J361" i="7"/>
  <c r="N360" i="7"/>
  <c r="R359" i="7"/>
  <c r="V358" i="7"/>
  <c r="F358" i="7"/>
  <c r="J357" i="7"/>
  <c r="N356" i="7"/>
  <c r="R355" i="7"/>
  <c r="V354" i="7"/>
  <c r="F354" i="7"/>
  <c r="L353" i="7"/>
  <c r="R352" i="7"/>
  <c r="G352" i="7"/>
  <c r="M351" i="7"/>
  <c r="V350" i="7"/>
  <c r="H350" i="7"/>
  <c r="N349" i="7"/>
  <c r="C349" i="7"/>
  <c r="K348" i="7"/>
  <c r="U347" i="7"/>
  <c r="K347" i="7"/>
  <c r="U346" i="7"/>
  <c r="K346" i="7"/>
  <c r="V345" i="7"/>
  <c r="M345" i="7"/>
  <c r="E345" i="7"/>
  <c r="Q344" i="7"/>
  <c r="I344" i="7"/>
  <c r="U343" i="7"/>
  <c r="M343" i="7"/>
  <c r="E343" i="7"/>
  <c r="Q342" i="7"/>
  <c r="I342" i="7"/>
  <c r="U341" i="7"/>
  <c r="M341" i="7"/>
  <c r="E341" i="7"/>
  <c r="Q340" i="7"/>
  <c r="I340" i="7"/>
  <c r="U339" i="7"/>
  <c r="M339" i="7"/>
  <c r="E339" i="7"/>
  <c r="Q338" i="7"/>
  <c r="I338" i="7"/>
  <c r="U337" i="7"/>
  <c r="M337" i="7"/>
  <c r="E337" i="7"/>
  <c r="Q336" i="7"/>
  <c r="I336" i="7"/>
  <c r="U335" i="7"/>
  <c r="M335" i="7"/>
  <c r="E335" i="7"/>
  <c r="Q334" i="7"/>
  <c r="I334" i="7"/>
  <c r="U333" i="7"/>
  <c r="M333" i="7"/>
  <c r="E333" i="7"/>
  <c r="Q332" i="7"/>
  <c r="I332" i="7"/>
  <c r="U331" i="7"/>
  <c r="M331" i="7"/>
  <c r="E331" i="7"/>
  <c r="Q330" i="7"/>
  <c r="I330" i="7"/>
  <c r="U329" i="7"/>
  <c r="M329" i="7"/>
  <c r="E329" i="7"/>
  <c r="Q328" i="7"/>
  <c r="I328" i="7"/>
  <c r="U327" i="7"/>
  <c r="M327" i="7"/>
  <c r="E327" i="7"/>
  <c r="Q326" i="7"/>
  <c r="I326" i="7"/>
  <c r="U325" i="7"/>
  <c r="M325" i="7"/>
  <c r="E325" i="7"/>
  <c r="Q324" i="7"/>
  <c r="I324" i="7"/>
  <c r="U323" i="7"/>
  <c r="M323" i="7"/>
  <c r="E323" i="7"/>
  <c r="Q322" i="7"/>
  <c r="I322" i="7"/>
  <c r="U321" i="7"/>
  <c r="M321" i="7"/>
  <c r="E321" i="7"/>
  <c r="Q320" i="7"/>
  <c r="I320" i="7"/>
  <c r="U319" i="7"/>
  <c r="M319" i="7"/>
  <c r="E319" i="7"/>
  <c r="Q318" i="7"/>
  <c r="I318" i="7"/>
  <c r="U317" i="7"/>
  <c r="M317" i="7"/>
  <c r="E317" i="7"/>
  <c r="Q316" i="7"/>
  <c r="I316" i="7"/>
  <c r="U315" i="7"/>
  <c r="M315" i="7"/>
  <c r="E315" i="7"/>
  <c r="Q314" i="7"/>
  <c r="I314" i="7"/>
  <c r="U313" i="7"/>
  <c r="M313" i="7"/>
  <c r="E313" i="7"/>
  <c r="Q312" i="7"/>
  <c r="I312" i="7"/>
  <c r="U311" i="7"/>
  <c r="M311" i="7"/>
  <c r="E311" i="7"/>
  <c r="Q310" i="7"/>
  <c r="I310" i="7"/>
  <c r="U309" i="7"/>
  <c r="M309" i="7"/>
  <c r="E309" i="7"/>
  <c r="Q308" i="7"/>
  <c r="I308" i="7"/>
  <c r="U307" i="7"/>
  <c r="M307" i="7"/>
  <c r="E307" i="7"/>
  <c r="Q306" i="7"/>
  <c r="I306" i="7"/>
  <c r="U305" i="7"/>
  <c r="M305" i="7"/>
  <c r="E305" i="7"/>
  <c r="Q304" i="7"/>
  <c r="I304" i="7"/>
  <c r="U303" i="7"/>
  <c r="M303" i="7"/>
  <c r="E303" i="7"/>
  <c r="Q302" i="7"/>
  <c r="I302" i="7"/>
  <c r="U301" i="7"/>
  <c r="M301" i="7"/>
  <c r="E301" i="7"/>
  <c r="Q300" i="7"/>
  <c r="I300" i="7"/>
  <c r="U299" i="7"/>
  <c r="M299" i="7"/>
  <c r="E299" i="7"/>
  <c r="Q298" i="7"/>
  <c r="I298" i="7"/>
  <c r="U297" i="7"/>
  <c r="M297" i="7"/>
  <c r="E297" i="7"/>
  <c r="Q296" i="7"/>
  <c r="I296" i="7"/>
  <c r="U295" i="7"/>
  <c r="M295" i="7"/>
  <c r="E295" i="7"/>
  <c r="Q294" i="7"/>
  <c r="I294" i="7"/>
  <c r="U293" i="7"/>
  <c r="M293" i="7"/>
  <c r="E293" i="7"/>
  <c r="Q292" i="7"/>
  <c r="I292" i="7"/>
  <c r="U291" i="7"/>
  <c r="M291" i="7"/>
  <c r="E291" i="7"/>
  <c r="Q290" i="7"/>
  <c r="I290" i="7"/>
  <c r="U289" i="7"/>
  <c r="M289" i="7"/>
  <c r="E289" i="7"/>
  <c r="Q288" i="7"/>
  <c r="I288" i="7"/>
  <c r="U287" i="7"/>
  <c r="M287" i="7"/>
  <c r="E287" i="7"/>
  <c r="Q286" i="7"/>
  <c r="I286" i="7"/>
  <c r="U285" i="7"/>
  <c r="M285" i="7"/>
  <c r="E285" i="7"/>
  <c r="Q284" i="7"/>
  <c r="I284" i="7"/>
  <c r="U283" i="7"/>
  <c r="M283" i="7"/>
  <c r="E283" i="7"/>
  <c r="Q282" i="7"/>
  <c r="I282" i="7"/>
  <c r="U281" i="7"/>
  <c r="M281" i="7"/>
  <c r="E281" i="7"/>
  <c r="Q280" i="7"/>
  <c r="I280" i="7"/>
  <c r="U279" i="7"/>
  <c r="M279" i="7"/>
  <c r="E279" i="7"/>
  <c r="Q278" i="7"/>
  <c r="I278" i="7"/>
  <c r="U277" i="7"/>
  <c r="M277" i="7"/>
  <c r="E277" i="7"/>
  <c r="Q276" i="7"/>
  <c r="I276" i="7"/>
  <c r="U275" i="7"/>
  <c r="M275" i="7"/>
  <c r="E275" i="7"/>
  <c r="Q274" i="7"/>
  <c r="I274" i="7"/>
  <c r="U273" i="7"/>
  <c r="M273" i="7"/>
  <c r="E273" i="7"/>
  <c r="Q272" i="7"/>
  <c r="I272" i="7"/>
  <c r="U271" i="7"/>
  <c r="M271" i="7"/>
  <c r="E271" i="7"/>
  <c r="Q270" i="7"/>
  <c r="I270" i="7"/>
  <c r="U269" i="7"/>
  <c r="M269" i="7"/>
  <c r="E269" i="7"/>
  <c r="Q268" i="7"/>
  <c r="I268" i="7"/>
  <c r="U267" i="7"/>
  <c r="M267" i="7"/>
  <c r="E267" i="7"/>
  <c r="Q266" i="7"/>
  <c r="I266" i="7"/>
  <c r="U265" i="7"/>
  <c r="M265" i="7"/>
  <c r="R385" i="7"/>
  <c r="G384" i="7"/>
  <c r="S382" i="7"/>
  <c r="J381" i="7"/>
  <c r="H380" i="7"/>
  <c r="F379" i="7"/>
  <c r="E378" i="7"/>
  <c r="D377" i="7"/>
  <c r="C376" i="7"/>
  <c r="U374" i="7"/>
  <c r="U373" i="7"/>
  <c r="V372" i="7"/>
  <c r="V371" i="7"/>
  <c r="C371" i="7"/>
  <c r="D370" i="7"/>
  <c r="E369" i="7"/>
  <c r="F368" i="7"/>
  <c r="H367" i="7"/>
  <c r="J366" i="7"/>
  <c r="K365" i="7"/>
  <c r="M364" i="7"/>
  <c r="O363" i="7"/>
  <c r="Q362" i="7"/>
  <c r="U361" i="7"/>
  <c r="E361" i="7"/>
  <c r="I360" i="7"/>
  <c r="M359" i="7"/>
  <c r="Q358" i="7"/>
  <c r="U357" i="7"/>
  <c r="E357" i="7"/>
  <c r="I356" i="7"/>
  <c r="M355" i="7"/>
  <c r="Q354" i="7"/>
  <c r="V353" i="7"/>
  <c r="K353" i="7"/>
  <c r="Q352" i="7"/>
  <c r="F352" i="7"/>
  <c r="L351" i="7"/>
  <c r="R350" i="7"/>
  <c r="G350" i="7"/>
  <c r="M349" i="7"/>
  <c r="V348" i="7"/>
  <c r="J348" i="7"/>
  <c r="T347" i="7"/>
  <c r="J347" i="7"/>
  <c r="S346" i="7"/>
  <c r="J346" i="7"/>
  <c r="U345" i="7"/>
  <c r="L345" i="7"/>
  <c r="D345" i="7"/>
  <c r="P344" i="7"/>
  <c r="H344" i="7"/>
  <c r="T343" i="7"/>
  <c r="L343" i="7"/>
  <c r="D343" i="7"/>
  <c r="P342" i="7"/>
  <c r="H342" i="7"/>
  <c r="T341" i="7"/>
  <c r="L341" i="7"/>
  <c r="D341" i="7"/>
  <c r="P340" i="7"/>
  <c r="H340" i="7"/>
  <c r="T339" i="7"/>
  <c r="L339" i="7"/>
  <c r="D339" i="7"/>
  <c r="P338" i="7"/>
  <c r="H338" i="7"/>
  <c r="T337" i="7"/>
  <c r="L337" i="7"/>
  <c r="D337" i="7"/>
  <c r="P336" i="7"/>
  <c r="H336" i="7"/>
  <c r="T335" i="7"/>
  <c r="L335" i="7"/>
  <c r="D335" i="7"/>
  <c r="P334" i="7"/>
  <c r="H334" i="7"/>
  <c r="T333" i="7"/>
  <c r="L333" i="7"/>
  <c r="D333" i="7"/>
  <c r="P332" i="7"/>
  <c r="H332" i="7"/>
  <c r="T331" i="7"/>
  <c r="L331" i="7"/>
  <c r="D331" i="7"/>
  <c r="P330" i="7"/>
  <c r="H330" i="7"/>
  <c r="T329" i="7"/>
  <c r="L329" i="7"/>
  <c r="D329" i="7"/>
  <c r="P328" i="7"/>
  <c r="H328" i="7"/>
  <c r="T327" i="7"/>
  <c r="L327" i="7"/>
  <c r="D327" i="7"/>
  <c r="P326" i="7"/>
  <c r="H326" i="7"/>
  <c r="T325" i="7"/>
  <c r="L325" i="7"/>
  <c r="D325" i="7"/>
  <c r="P324" i="7"/>
  <c r="H324" i="7"/>
  <c r="T323" i="7"/>
  <c r="L323" i="7"/>
  <c r="D323" i="7"/>
  <c r="Q385" i="7"/>
  <c r="F384" i="7"/>
  <c r="Q382" i="7"/>
  <c r="I381" i="7"/>
  <c r="G380" i="7"/>
  <c r="E379" i="7"/>
  <c r="D378" i="7"/>
  <c r="C377" i="7"/>
  <c r="U375" i="7"/>
  <c r="T374" i="7"/>
  <c r="T373" i="7"/>
  <c r="U372" i="7"/>
  <c r="U371" i="7"/>
  <c r="V370" i="7"/>
  <c r="C370" i="7"/>
  <c r="C369" i="7"/>
  <c r="E368" i="7"/>
  <c r="G367" i="7"/>
  <c r="I366" i="7"/>
  <c r="J365" i="7"/>
  <c r="L364" i="7"/>
  <c r="N363" i="7"/>
  <c r="P362" i="7"/>
  <c r="T361" i="7"/>
  <c r="D361" i="7"/>
  <c r="H360" i="7"/>
  <c r="L359" i="7"/>
  <c r="P358" i="7"/>
  <c r="T357" i="7"/>
  <c r="D357" i="7"/>
  <c r="H356" i="7"/>
  <c r="L355" i="7"/>
  <c r="P354" i="7"/>
  <c r="U353" i="7"/>
  <c r="J353" i="7"/>
  <c r="P352" i="7"/>
  <c r="V351" i="7"/>
  <c r="K351" i="7"/>
  <c r="Q350" i="7"/>
  <c r="F350" i="7"/>
  <c r="L349" i="7"/>
  <c r="S348" i="7"/>
  <c r="I348" i="7"/>
  <c r="S347" i="7"/>
  <c r="G347" i="7"/>
  <c r="R346" i="7"/>
  <c r="I346" i="7"/>
  <c r="T345" i="7"/>
  <c r="K345" i="7"/>
  <c r="C345" i="7"/>
  <c r="O344" i="7"/>
  <c r="G344" i="7"/>
  <c r="S343" i="7"/>
  <c r="K343" i="7"/>
  <c r="C343" i="7"/>
  <c r="O342" i="7"/>
  <c r="G342" i="7"/>
  <c r="S341" i="7"/>
  <c r="K341" i="7"/>
  <c r="C341" i="7"/>
  <c r="O340" i="7"/>
  <c r="G340" i="7"/>
  <c r="S339" i="7"/>
  <c r="K339" i="7"/>
  <c r="C339" i="7"/>
  <c r="O338" i="7"/>
  <c r="G338" i="7"/>
  <c r="S337" i="7"/>
  <c r="K337" i="7"/>
  <c r="C337" i="7"/>
  <c r="O336" i="7"/>
  <c r="G336" i="7"/>
  <c r="S335" i="7"/>
  <c r="K335" i="7"/>
  <c r="C335" i="7"/>
  <c r="O334" i="7"/>
  <c r="G334" i="7"/>
  <c r="S333" i="7"/>
  <c r="K333" i="7"/>
  <c r="C333" i="7"/>
  <c r="O332" i="7"/>
  <c r="G332" i="7"/>
  <c r="S331" i="7"/>
  <c r="K331" i="7"/>
  <c r="C331" i="7"/>
  <c r="O330" i="7"/>
  <c r="G330" i="7"/>
  <c r="S329" i="7"/>
  <c r="K329" i="7"/>
  <c r="C329" i="7"/>
  <c r="P385" i="7"/>
  <c r="D384" i="7"/>
  <c r="K382" i="7"/>
  <c r="H381" i="7"/>
  <c r="E380" i="7"/>
  <c r="D379" i="7"/>
  <c r="C378" i="7"/>
  <c r="V376" i="7"/>
  <c r="T375" i="7"/>
  <c r="S374" i="7"/>
  <c r="S373" i="7"/>
  <c r="S372" i="7"/>
  <c r="T371" i="7"/>
  <c r="U370" i="7"/>
  <c r="V369" i="7"/>
  <c r="V368" i="7"/>
  <c r="D368" i="7"/>
  <c r="F367" i="7"/>
  <c r="G366" i="7"/>
  <c r="I365" i="7"/>
  <c r="K364" i="7"/>
  <c r="M363" i="7"/>
  <c r="O362" i="7"/>
  <c r="S361" i="7"/>
  <c r="C361" i="7"/>
  <c r="G360" i="7"/>
  <c r="K359" i="7"/>
  <c r="O358" i="7"/>
  <c r="S357" i="7"/>
  <c r="C357" i="7"/>
  <c r="G356" i="7"/>
  <c r="K355" i="7"/>
  <c r="O354" i="7"/>
  <c r="T353" i="7"/>
  <c r="F353" i="7"/>
  <c r="O352" i="7"/>
  <c r="U351" i="7"/>
  <c r="J351" i="7"/>
  <c r="P350" i="7"/>
  <c r="V349" i="7"/>
  <c r="K349" i="7"/>
  <c r="R348" i="7"/>
  <c r="H348" i="7"/>
  <c r="R347" i="7"/>
  <c r="F347" i="7"/>
  <c r="Q346" i="7"/>
  <c r="H346" i="7"/>
  <c r="S345" i="7"/>
  <c r="J345" i="7"/>
  <c r="V344" i="7"/>
  <c r="N344" i="7"/>
  <c r="F344" i="7"/>
  <c r="R343" i="7"/>
  <c r="J343" i="7"/>
  <c r="V342" i="7"/>
  <c r="N342" i="7"/>
  <c r="F342" i="7"/>
  <c r="R341" i="7"/>
  <c r="J341" i="7"/>
  <c r="V340" i="7"/>
  <c r="N340" i="7"/>
  <c r="F340" i="7"/>
  <c r="R339" i="7"/>
  <c r="J339" i="7"/>
  <c r="V338" i="7"/>
  <c r="N338" i="7"/>
  <c r="F338" i="7"/>
  <c r="R337" i="7"/>
  <c r="J337" i="7"/>
  <c r="V336" i="7"/>
  <c r="N336" i="7"/>
  <c r="F336" i="7"/>
  <c r="R335" i="7"/>
  <c r="J335" i="7"/>
  <c r="V334" i="7"/>
  <c r="N334" i="7"/>
  <c r="F334" i="7"/>
  <c r="R333" i="7"/>
  <c r="J333" i="7"/>
  <c r="V332" i="7"/>
  <c r="N332" i="7"/>
  <c r="F332" i="7"/>
  <c r="R331" i="7"/>
  <c r="J331" i="7"/>
  <c r="V330" i="7"/>
  <c r="D387" i="7"/>
  <c r="K385" i="7"/>
  <c r="U383" i="7"/>
  <c r="J382" i="7"/>
  <c r="G381" i="7"/>
  <c r="D380" i="7"/>
  <c r="C379" i="7"/>
  <c r="V377" i="7"/>
  <c r="T376" i="7"/>
  <c r="S375" i="7"/>
  <c r="R374" i="7"/>
  <c r="R373" i="7"/>
  <c r="R372" i="7"/>
  <c r="S371" i="7"/>
  <c r="T370" i="7"/>
  <c r="T369" i="7"/>
  <c r="U368" i="7"/>
  <c r="C368" i="7"/>
  <c r="E367" i="7"/>
  <c r="F366" i="7"/>
  <c r="H365" i="7"/>
  <c r="J364" i="7"/>
  <c r="K363" i="7"/>
  <c r="N362" i="7"/>
  <c r="R361" i="7"/>
  <c r="V360" i="7"/>
  <c r="F360" i="7"/>
  <c r="J359" i="7"/>
  <c r="N358" i="7"/>
  <c r="R357" i="7"/>
  <c r="V356" i="7"/>
  <c r="F356" i="7"/>
  <c r="J355" i="7"/>
  <c r="N354" i="7"/>
  <c r="S353" i="7"/>
  <c r="E353" i="7"/>
  <c r="N352" i="7"/>
  <c r="T351" i="7"/>
  <c r="F351" i="7"/>
  <c r="O350" i="7"/>
  <c r="U349" i="7"/>
  <c r="J349" i="7"/>
  <c r="Q348" i="7"/>
  <c r="G348" i="7"/>
  <c r="O347" i="7"/>
  <c r="E347" i="7"/>
  <c r="P346" i="7"/>
  <c r="G346" i="7"/>
  <c r="R345" i="7"/>
  <c r="I345" i="7"/>
  <c r="U344" i="7"/>
  <c r="M344" i="7"/>
  <c r="E344" i="7"/>
  <c r="Q343" i="7"/>
  <c r="I343" i="7"/>
  <c r="U342" i="7"/>
  <c r="M342" i="7"/>
  <c r="E342" i="7"/>
  <c r="Q341" i="7"/>
  <c r="I341" i="7"/>
  <c r="U340" i="7"/>
  <c r="M340" i="7"/>
  <c r="E340" i="7"/>
  <c r="Q339" i="7"/>
  <c r="I339" i="7"/>
  <c r="U338" i="7"/>
  <c r="M338" i="7"/>
  <c r="E338" i="7"/>
  <c r="Q337" i="7"/>
  <c r="I337" i="7"/>
  <c r="U336" i="7"/>
  <c r="M336" i="7"/>
  <c r="E336" i="7"/>
  <c r="Q335" i="7"/>
  <c r="I335" i="7"/>
  <c r="U334" i="7"/>
  <c r="M334" i="7"/>
  <c r="E334" i="7"/>
  <c r="Q333" i="7"/>
  <c r="C387" i="7"/>
  <c r="C385" i="7"/>
  <c r="J383" i="7"/>
  <c r="C382" i="7"/>
  <c r="T380" i="7"/>
  <c r="S379" i="7"/>
  <c r="Q378" i="7"/>
  <c r="P377" i="7"/>
  <c r="O376" i="7"/>
  <c r="J375" i="7"/>
  <c r="J374" i="7"/>
  <c r="K373" i="7"/>
  <c r="M372" i="7"/>
  <c r="M371" i="7"/>
  <c r="N370" i="7"/>
  <c r="O369" i="7"/>
  <c r="O368" i="7"/>
  <c r="Q367" i="7"/>
  <c r="S366" i="7"/>
  <c r="U365" i="7"/>
  <c r="V364" i="7"/>
  <c r="D364" i="7"/>
  <c r="F363" i="7"/>
  <c r="I362" i="7"/>
  <c r="M361" i="7"/>
  <c r="Q360" i="7"/>
  <c r="U359" i="7"/>
  <c r="E359" i="7"/>
  <c r="I358" i="7"/>
  <c r="M357" i="7"/>
  <c r="Q356" i="7"/>
  <c r="U355" i="7"/>
  <c r="E355" i="7"/>
  <c r="I354" i="7"/>
  <c r="R353" i="7"/>
  <c r="D353" i="7"/>
  <c r="J352" i="7"/>
  <c r="S351" i="7"/>
  <c r="E351" i="7"/>
  <c r="N350" i="7"/>
  <c r="T349" i="7"/>
  <c r="F349" i="7"/>
  <c r="P348" i="7"/>
  <c r="F348" i="7"/>
  <c r="N347" i="7"/>
  <c r="D347" i="7"/>
  <c r="O346" i="7"/>
  <c r="F346" i="7"/>
  <c r="Q345" i="7"/>
  <c r="H345" i="7"/>
  <c r="T344" i="7"/>
  <c r="L344" i="7"/>
  <c r="D344" i="7"/>
  <c r="P343" i="7"/>
  <c r="H343" i="7"/>
  <c r="T342" i="7"/>
  <c r="L342" i="7"/>
  <c r="D342" i="7"/>
  <c r="P341" i="7"/>
  <c r="H341" i="7"/>
  <c r="T340" i="7"/>
  <c r="L340" i="7"/>
  <c r="D340" i="7"/>
  <c r="P339" i="7"/>
  <c r="H339" i="7"/>
  <c r="T338" i="7"/>
  <c r="L338" i="7"/>
  <c r="D338" i="7"/>
  <c r="P337" i="7"/>
  <c r="H337" i="7"/>
  <c r="T336" i="7"/>
  <c r="L336" i="7"/>
  <c r="D336" i="7"/>
  <c r="P335" i="7"/>
  <c r="H335" i="7"/>
  <c r="T334" i="7"/>
  <c r="L334" i="7"/>
  <c r="D334" i="7"/>
  <c r="P333" i="7"/>
  <c r="H333" i="7"/>
  <c r="T332" i="7"/>
  <c r="L332" i="7"/>
  <c r="D332" i="7"/>
  <c r="P331" i="7"/>
  <c r="H331" i="7"/>
  <c r="T330" i="7"/>
  <c r="L330" i="7"/>
  <c r="D330" i="7"/>
  <c r="P329" i="7"/>
  <c r="H329" i="7"/>
  <c r="T328" i="7"/>
  <c r="L328" i="7"/>
  <c r="D328" i="7"/>
  <c r="P327" i="7"/>
  <c r="H327" i="7"/>
  <c r="T326" i="7"/>
  <c r="L326" i="7"/>
  <c r="D326" i="7"/>
  <c r="P325" i="7"/>
  <c r="H325" i="7"/>
  <c r="T324" i="7"/>
  <c r="L324" i="7"/>
  <c r="D324" i="7"/>
  <c r="P323" i="7"/>
  <c r="H323" i="7"/>
  <c r="T322" i="7"/>
  <c r="L322" i="7"/>
  <c r="D322" i="7"/>
  <c r="P321" i="7"/>
  <c r="H321" i="7"/>
  <c r="T320" i="7"/>
  <c r="L320" i="7"/>
  <c r="D320" i="7"/>
  <c r="P319" i="7"/>
  <c r="H319" i="7"/>
  <c r="T318" i="7"/>
  <c r="L318" i="7"/>
  <c r="D318" i="7"/>
  <c r="P317" i="7"/>
  <c r="H317" i="7"/>
  <c r="T316" i="7"/>
  <c r="L316" i="7"/>
  <c r="D316" i="7"/>
  <c r="P315" i="7"/>
  <c r="H315" i="7"/>
  <c r="T314" i="7"/>
  <c r="L314" i="7"/>
  <c r="D314" i="7"/>
  <c r="P313" i="7"/>
  <c r="H313" i="7"/>
  <c r="T312" i="7"/>
  <c r="L312" i="7"/>
  <c r="D312" i="7"/>
  <c r="P311" i="7"/>
  <c r="H311" i="7"/>
  <c r="T310" i="7"/>
  <c r="L310" i="7"/>
  <c r="D310" i="7"/>
  <c r="P309" i="7"/>
  <c r="H309" i="7"/>
  <c r="T308" i="7"/>
  <c r="L308" i="7"/>
  <c r="D308" i="7"/>
  <c r="P307" i="7"/>
  <c r="H307" i="7"/>
  <c r="T306" i="7"/>
  <c r="L306" i="7"/>
  <c r="D306" i="7"/>
  <c r="P305" i="7"/>
  <c r="H305" i="7"/>
  <c r="T304" i="7"/>
  <c r="L304" i="7"/>
  <c r="D304" i="7"/>
  <c r="P303" i="7"/>
  <c r="H303" i="7"/>
  <c r="T302" i="7"/>
  <c r="L302" i="7"/>
  <c r="D302" i="7"/>
  <c r="P301" i="7"/>
  <c r="H301" i="7"/>
  <c r="T300" i="7"/>
  <c r="L300" i="7"/>
  <c r="D300" i="7"/>
  <c r="P299" i="7"/>
  <c r="H299" i="7"/>
  <c r="T298" i="7"/>
  <c r="L298" i="7"/>
  <c r="D298" i="7"/>
  <c r="P297" i="7"/>
  <c r="H297" i="7"/>
  <c r="T296" i="7"/>
  <c r="L296" i="7"/>
  <c r="D296" i="7"/>
  <c r="P295" i="7"/>
  <c r="H295" i="7"/>
  <c r="T294" i="7"/>
  <c r="L294" i="7"/>
  <c r="D294" i="7"/>
  <c r="P293" i="7"/>
  <c r="H293" i="7"/>
  <c r="T292" i="7"/>
  <c r="L292" i="7"/>
  <c r="D292" i="7"/>
  <c r="P291" i="7"/>
  <c r="H291" i="7"/>
  <c r="T290" i="7"/>
  <c r="L290" i="7"/>
  <c r="D290" i="7"/>
  <c r="P289" i="7"/>
  <c r="H289" i="7"/>
  <c r="T288" i="7"/>
  <c r="L288" i="7"/>
  <c r="D288" i="7"/>
  <c r="P287" i="7"/>
  <c r="H287" i="7"/>
  <c r="T286" i="7"/>
  <c r="L286" i="7"/>
  <c r="D286" i="7"/>
  <c r="P285" i="7"/>
  <c r="H285" i="7"/>
  <c r="T284" i="7"/>
  <c r="L284" i="7"/>
  <c r="D284" i="7"/>
  <c r="P283" i="7"/>
  <c r="H283" i="7"/>
  <c r="T282" i="7"/>
  <c r="L282" i="7"/>
  <c r="D282" i="7"/>
  <c r="P281" i="7"/>
  <c r="H281" i="7"/>
  <c r="T280" i="7"/>
  <c r="L280" i="7"/>
  <c r="D280" i="7"/>
  <c r="P279" i="7"/>
  <c r="H279" i="7"/>
  <c r="T278" i="7"/>
  <c r="L278" i="7"/>
  <c r="D278" i="7"/>
  <c r="P277" i="7"/>
  <c r="H277" i="7"/>
  <c r="T276" i="7"/>
  <c r="L276" i="7"/>
  <c r="D276" i="7"/>
  <c r="P275" i="7"/>
  <c r="H275" i="7"/>
  <c r="T274" i="7"/>
  <c r="L274" i="7"/>
  <c r="D274" i="7"/>
  <c r="P273" i="7"/>
  <c r="H273" i="7"/>
  <c r="T272" i="7"/>
  <c r="L272" i="7"/>
  <c r="D272" i="7"/>
  <c r="P271" i="7"/>
  <c r="H271" i="7"/>
  <c r="T270" i="7"/>
  <c r="L270" i="7"/>
  <c r="D270" i="7"/>
  <c r="P269" i="7"/>
  <c r="H269" i="7"/>
  <c r="T268" i="7"/>
  <c r="L268" i="7"/>
  <c r="D268" i="7"/>
  <c r="P267" i="7"/>
  <c r="H267" i="7"/>
  <c r="T266" i="7"/>
  <c r="L266" i="7"/>
  <c r="D266" i="7"/>
  <c r="P265" i="7"/>
  <c r="H265" i="7"/>
  <c r="T264" i="7"/>
  <c r="L264" i="7"/>
  <c r="D264" i="7"/>
  <c r="P263" i="7"/>
  <c r="H263" i="7"/>
  <c r="T262" i="7"/>
  <c r="L262" i="7"/>
  <c r="D262" i="7"/>
  <c r="P261" i="7"/>
  <c r="H261" i="7"/>
  <c r="T260" i="7"/>
  <c r="L260" i="7"/>
  <c r="D260" i="7"/>
  <c r="P259" i="7"/>
  <c r="H259" i="7"/>
  <c r="T258" i="7"/>
  <c r="L258" i="7"/>
  <c r="M332" i="7"/>
  <c r="E330" i="7"/>
  <c r="N328" i="7"/>
  <c r="K327" i="7"/>
  <c r="M326" i="7"/>
  <c r="J325" i="7"/>
  <c r="G324" i="7"/>
  <c r="I323" i="7"/>
  <c r="H322" i="7"/>
  <c r="L321" i="7"/>
  <c r="P320" i="7"/>
  <c r="T319" i="7"/>
  <c r="D319" i="7"/>
  <c r="H318" i="7"/>
  <c r="L317" i="7"/>
  <c r="P316" i="7"/>
  <c r="T315" i="7"/>
  <c r="D315" i="7"/>
  <c r="H314" i="7"/>
  <c r="L313" i="7"/>
  <c r="P312" i="7"/>
  <c r="T311" i="7"/>
  <c r="D311" i="7"/>
  <c r="H310" i="7"/>
  <c r="L309" i="7"/>
  <c r="P308" i="7"/>
  <c r="T307" i="7"/>
  <c r="D307" i="7"/>
  <c r="H306" i="7"/>
  <c r="L305" i="7"/>
  <c r="P304" i="7"/>
  <c r="T303" i="7"/>
  <c r="D303" i="7"/>
  <c r="H302" i="7"/>
  <c r="L301" i="7"/>
  <c r="P300" i="7"/>
  <c r="T299" i="7"/>
  <c r="D299" i="7"/>
  <c r="H298" i="7"/>
  <c r="L297" i="7"/>
  <c r="P296" i="7"/>
  <c r="T295" i="7"/>
  <c r="D295" i="7"/>
  <c r="H294" i="7"/>
  <c r="L293" i="7"/>
  <c r="P292" i="7"/>
  <c r="T291" i="7"/>
  <c r="D291" i="7"/>
  <c r="H290" i="7"/>
  <c r="L289" i="7"/>
  <c r="P288" i="7"/>
  <c r="T287" i="7"/>
  <c r="D287" i="7"/>
  <c r="H286" i="7"/>
  <c r="L285" i="7"/>
  <c r="P284" i="7"/>
  <c r="T283" i="7"/>
  <c r="D283" i="7"/>
  <c r="H282" i="7"/>
  <c r="L281" i="7"/>
  <c r="P280" i="7"/>
  <c r="T279" i="7"/>
  <c r="D279" i="7"/>
  <c r="H278" i="7"/>
  <c r="L277" i="7"/>
  <c r="P276" i="7"/>
  <c r="T275" i="7"/>
  <c r="D275" i="7"/>
  <c r="H274" i="7"/>
  <c r="L273" i="7"/>
  <c r="P272" i="7"/>
  <c r="T271" i="7"/>
  <c r="D271" i="7"/>
  <c r="H270" i="7"/>
  <c r="L269" i="7"/>
  <c r="P268" i="7"/>
  <c r="T267" i="7"/>
  <c r="D267" i="7"/>
  <c r="H266" i="7"/>
  <c r="L265" i="7"/>
  <c r="U264" i="7"/>
  <c r="G264" i="7"/>
  <c r="M263" i="7"/>
  <c r="V262" i="7"/>
  <c r="H262" i="7"/>
  <c r="Q261" i="7"/>
  <c r="C261" i="7"/>
  <c r="I260" i="7"/>
  <c r="R259" i="7"/>
  <c r="D259" i="7"/>
  <c r="M258" i="7"/>
  <c r="T257" i="7"/>
  <c r="J257" i="7"/>
  <c r="T256" i="7"/>
  <c r="H256" i="7"/>
  <c r="R255" i="7"/>
  <c r="H255" i="7"/>
  <c r="P254" i="7"/>
  <c r="F254" i="7"/>
  <c r="P253" i="7"/>
  <c r="D253" i="7"/>
  <c r="N252" i="7"/>
  <c r="D252" i="7"/>
  <c r="L251" i="7"/>
  <c r="V250" i="7"/>
  <c r="L250" i="7"/>
  <c r="T249" i="7"/>
  <c r="J249" i="7"/>
  <c r="T248" i="7"/>
  <c r="H248" i="7"/>
  <c r="R247" i="7"/>
  <c r="I247" i="7"/>
  <c r="T246" i="7"/>
  <c r="J246" i="7"/>
  <c r="U245" i="7"/>
  <c r="L245" i="7"/>
  <c r="C245" i="7"/>
  <c r="N244" i="7"/>
  <c r="E244" i="7"/>
  <c r="P243" i="7"/>
  <c r="F243" i="7"/>
  <c r="Q242" i="7"/>
  <c r="H242" i="7"/>
  <c r="S241" i="7"/>
  <c r="J241" i="7"/>
  <c r="U240" i="7"/>
  <c r="L240" i="7"/>
  <c r="V239" i="7"/>
  <c r="M239" i="7"/>
  <c r="D239" i="7"/>
  <c r="O238" i="7"/>
  <c r="F238" i="7"/>
  <c r="Q237" i="7"/>
  <c r="H237" i="7"/>
  <c r="R236" i="7"/>
  <c r="I236" i="7"/>
  <c r="U235" i="7"/>
  <c r="M235" i="7"/>
  <c r="E235" i="7"/>
  <c r="Q234" i="7"/>
  <c r="I234" i="7"/>
  <c r="U233" i="7"/>
  <c r="M233" i="7"/>
  <c r="E233" i="7"/>
  <c r="Q232" i="7"/>
  <c r="I232" i="7"/>
  <c r="U231" i="7"/>
  <c r="M231" i="7"/>
  <c r="E231" i="7"/>
  <c r="Q230" i="7"/>
  <c r="I230" i="7"/>
  <c r="U229" i="7"/>
  <c r="M229" i="7"/>
  <c r="E229" i="7"/>
  <c r="Q228" i="7"/>
  <c r="I228" i="7"/>
  <c r="U227" i="7"/>
  <c r="M227" i="7"/>
  <c r="E227" i="7"/>
  <c r="Q226" i="7"/>
  <c r="I226" i="7"/>
  <c r="U225" i="7"/>
  <c r="M225" i="7"/>
  <c r="E225" i="7"/>
  <c r="Q224" i="7"/>
  <c r="I224" i="7"/>
  <c r="U223" i="7"/>
  <c r="M223" i="7"/>
  <c r="E223" i="7"/>
  <c r="Q222" i="7"/>
  <c r="I222" i="7"/>
  <c r="U221" i="7"/>
  <c r="M221" i="7"/>
  <c r="E221" i="7"/>
  <c r="Q220" i="7"/>
  <c r="I220" i="7"/>
  <c r="U219" i="7"/>
  <c r="M219" i="7"/>
  <c r="E219" i="7"/>
  <c r="Q218" i="7"/>
  <c r="I218" i="7"/>
  <c r="U217" i="7"/>
  <c r="M217" i="7"/>
  <c r="E217" i="7"/>
  <c r="Q216" i="7"/>
  <c r="I216" i="7"/>
  <c r="U215" i="7"/>
  <c r="M215" i="7"/>
  <c r="E215" i="7"/>
  <c r="Q214" i="7"/>
  <c r="I214" i="7"/>
  <c r="U213" i="7"/>
  <c r="M213" i="7"/>
  <c r="E213" i="7"/>
  <c r="Q212" i="7"/>
  <c r="I212" i="7"/>
  <c r="U211" i="7"/>
  <c r="M211" i="7"/>
  <c r="E211" i="7"/>
  <c r="Q210" i="7"/>
  <c r="I210" i="7"/>
  <c r="U209" i="7"/>
  <c r="M209" i="7"/>
  <c r="E209" i="7"/>
  <c r="Q208" i="7"/>
  <c r="I208" i="7"/>
  <c r="U207" i="7"/>
  <c r="M207" i="7"/>
  <c r="E207" i="7"/>
  <c r="Q206" i="7"/>
  <c r="I206" i="7"/>
  <c r="U205" i="7"/>
  <c r="M205" i="7"/>
  <c r="E205" i="7"/>
  <c r="Q204" i="7"/>
  <c r="I204" i="7"/>
  <c r="U203" i="7"/>
  <c r="M203" i="7"/>
  <c r="E203" i="7"/>
  <c r="Q202" i="7"/>
  <c r="I202" i="7"/>
  <c r="U201" i="7"/>
  <c r="M201" i="7"/>
  <c r="E201" i="7"/>
  <c r="Q200" i="7"/>
  <c r="I200" i="7"/>
  <c r="U199" i="7"/>
  <c r="M199" i="7"/>
  <c r="E199" i="7"/>
  <c r="Q198" i="7"/>
  <c r="I198" i="7"/>
  <c r="U197" i="7"/>
  <c r="M197" i="7"/>
  <c r="E197" i="7"/>
  <c r="Q196" i="7"/>
  <c r="I196" i="7"/>
  <c r="U195" i="7"/>
  <c r="M195" i="7"/>
  <c r="E195" i="7"/>
  <c r="Q194" i="7"/>
  <c r="I194" i="7"/>
  <c r="U193" i="7"/>
  <c r="M193" i="7"/>
  <c r="E193" i="7"/>
  <c r="Q192" i="7"/>
  <c r="I192" i="7"/>
  <c r="U191" i="7"/>
  <c r="M191" i="7"/>
  <c r="E191" i="7"/>
  <c r="Q190" i="7"/>
  <c r="I190" i="7"/>
  <c r="U189" i="7"/>
  <c r="M189" i="7"/>
  <c r="E189" i="7"/>
  <c r="Q188" i="7"/>
  <c r="I188" i="7"/>
  <c r="U187" i="7"/>
  <c r="M187" i="7"/>
  <c r="E187" i="7"/>
  <c r="Q186" i="7"/>
  <c r="I186" i="7"/>
  <c r="U185" i="7"/>
  <c r="M185" i="7"/>
  <c r="E185" i="7"/>
  <c r="Q184" i="7"/>
  <c r="I184" i="7"/>
  <c r="U183" i="7"/>
  <c r="M183" i="7"/>
  <c r="E183" i="7"/>
  <c r="Q182" i="7"/>
  <c r="I182" i="7"/>
  <c r="U181" i="7"/>
  <c r="M181" i="7"/>
  <c r="E181" i="7"/>
  <c r="Q180" i="7"/>
  <c r="I180" i="7"/>
  <c r="U179" i="7"/>
  <c r="M179" i="7"/>
  <c r="E179" i="7"/>
  <c r="Q178" i="7"/>
  <c r="I178" i="7"/>
  <c r="U177" i="7"/>
  <c r="M177" i="7"/>
  <c r="E177" i="7"/>
  <c r="Q176" i="7"/>
  <c r="I176" i="7"/>
  <c r="U175" i="7"/>
  <c r="M175" i="7"/>
  <c r="E175" i="7"/>
  <c r="Q174" i="7"/>
  <c r="I174" i="7"/>
  <c r="U173" i="7"/>
  <c r="M173" i="7"/>
  <c r="E173" i="7"/>
  <c r="Q172" i="7"/>
  <c r="I172" i="7"/>
  <c r="U171" i="7"/>
  <c r="M171" i="7"/>
  <c r="E171" i="7"/>
  <c r="Q170" i="7"/>
  <c r="I170" i="7"/>
  <c r="U169" i="7"/>
  <c r="M169" i="7"/>
  <c r="E169" i="7"/>
  <c r="Q168" i="7"/>
  <c r="I168" i="7"/>
  <c r="U167" i="7"/>
  <c r="M167" i="7"/>
  <c r="E167" i="7"/>
  <c r="Q166" i="7"/>
  <c r="I166" i="7"/>
  <c r="U165" i="7"/>
  <c r="M165" i="7"/>
  <c r="E165" i="7"/>
  <c r="Q164" i="7"/>
  <c r="I164" i="7"/>
  <c r="U163" i="7"/>
  <c r="M163" i="7"/>
  <c r="E163" i="7"/>
  <c r="Q162" i="7"/>
  <c r="I162" i="7"/>
  <c r="U161" i="7"/>
  <c r="M161" i="7"/>
  <c r="E161" i="7"/>
  <c r="Q160" i="7"/>
  <c r="I160" i="7"/>
  <c r="U159" i="7"/>
  <c r="M159" i="7"/>
  <c r="E159" i="7"/>
  <c r="Q158" i="7"/>
  <c r="I158" i="7"/>
  <c r="U157" i="7"/>
  <c r="M157" i="7"/>
  <c r="E157" i="7"/>
  <c r="Q156" i="7"/>
  <c r="I156" i="7"/>
  <c r="U155" i="7"/>
  <c r="M155" i="7"/>
  <c r="E155" i="7"/>
  <c r="Q154" i="7"/>
  <c r="I154" i="7"/>
  <c r="E332" i="7"/>
  <c r="R329" i="7"/>
  <c r="M328" i="7"/>
  <c r="J327" i="7"/>
  <c r="G326" i="7"/>
  <c r="I325" i="7"/>
  <c r="F324" i="7"/>
  <c r="C323" i="7"/>
  <c r="G322" i="7"/>
  <c r="K321" i="7"/>
  <c r="O320" i="7"/>
  <c r="S319" i="7"/>
  <c r="C319" i="7"/>
  <c r="G318" i="7"/>
  <c r="K317" i="7"/>
  <c r="O316" i="7"/>
  <c r="S315" i="7"/>
  <c r="C315" i="7"/>
  <c r="G314" i="7"/>
  <c r="K313" i="7"/>
  <c r="O312" i="7"/>
  <c r="S311" i="7"/>
  <c r="C311" i="7"/>
  <c r="G310" i="7"/>
  <c r="K309" i="7"/>
  <c r="O308" i="7"/>
  <c r="S307" i="7"/>
  <c r="C307" i="7"/>
  <c r="G306" i="7"/>
  <c r="K305" i="7"/>
  <c r="O304" i="7"/>
  <c r="S303" i="7"/>
  <c r="C303" i="7"/>
  <c r="G302" i="7"/>
  <c r="K301" i="7"/>
  <c r="O300" i="7"/>
  <c r="S299" i="7"/>
  <c r="C299" i="7"/>
  <c r="G298" i="7"/>
  <c r="K297" i="7"/>
  <c r="O296" i="7"/>
  <c r="S295" i="7"/>
  <c r="C295" i="7"/>
  <c r="G294" i="7"/>
  <c r="K293" i="7"/>
  <c r="O292" i="7"/>
  <c r="S291" i="7"/>
  <c r="C291" i="7"/>
  <c r="G290" i="7"/>
  <c r="K289" i="7"/>
  <c r="O288" i="7"/>
  <c r="S287" i="7"/>
  <c r="C287" i="7"/>
  <c r="G286" i="7"/>
  <c r="K285" i="7"/>
  <c r="O284" i="7"/>
  <c r="S283" i="7"/>
  <c r="C283" i="7"/>
  <c r="G282" i="7"/>
  <c r="K281" i="7"/>
  <c r="O280" i="7"/>
  <c r="S279" i="7"/>
  <c r="C279" i="7"/>
  <c r="G278" i="7"/>
  <c r="K277" i="7"/>
  <c r="O276" i="7"/>
  <c r="S275" i="7"/>
  <c r="C275" i="7"/>
  <c r="G274" i="7"/>
  <c r="K273" i="7"/>
  <c r="O272" i="7"/>
  <c r="S271" i="7"/>
  <c r="C271" i="7"/>
  <c r="G270" i="7"/>
  <c r="K269" i="7"/>
  <c r="O268" i="7"/>
  <c r="S267" i="7"/>
  <c r="C267" i="7"/>
  <c r="G266" i="7"/>
  <c r="K265" i="7"/>
  <c r="Q264" i="7"/>
  <c r="F264" i="7"/>
  <c r="L263" i="7"/>
  <c r="U262" i="7"/>
  <c r="G262" i="7"/>
  <c r="M261" i="7"/>
  <c r="V260" i="7"/>
  <c r="H260" i="7"/>
  <c r="Q259" i="7"/>
  <c r="C259" i="7"/>
  <c r="I258" i="7"/>
  <c r="S257" i="7"/>
  <c r="I257" i="7"/>
  <c r="Q256" i="7"/>
  <c r="G256" i="7"/>
  <c r="Q255" i="7"/>
  <c r="E255" i="7"/>
  <c r="O254" i="7"/>
  <c r="E254" i="7"/>
  <c r="M253" i="7"/>
  <c r="C253" i="7"/>
  <c r="M252" i="7"/>
  <c r="U251" i="7"/>
  <c r="K251" i="7"/>
  <c r="U250" i="7"/>
  <c r="I250" i="7"/>
  <c r="S249" i="7"/>
  <c r="I249" i="7"/>
  <c r="Q248" i="7"/>
  <c r="G248" i="7"/>
  <c r="Q247" i="7"/>
  <c r="H247" i="7"/>
  <c r="R246" i="7"/>
  <c r="I246" i="7"/>
  <c r="T245" i="7"/>
  <c r="K245" i="7"/>
  <c r="V244" i="7"/>
  <c r="M244" i="7"/>
  <c r="D244" i="7"/>
  <c r="N243" i="7"/>
  <c r="E243" i="7"/>
  <c r="P242" i="7"/>
  <c r="G242" i="7"/>
  <c r="R241" i="7"/>
  <c r="I241" i="7"/>
  <c r="T240" i="7"/>
  <c r="J240" i="7"/>
  <c r="U239" i="7"/>
  <c r="L239" i="7"/>
  <c r="C239" i="7"/>
  <c r="N238" i="7"/>
  <c r="E238" i="7"/>
  <c r="P237" i="7"/>
  <c r="F237" i="7"/>
  <c r="Q236" i="7"/>
  <c r="H236" i="7"/>
  <c r="T235" i="7"/>
  <c r="L235" i="7"/>
  <c r="D235" i="7"/>
  <c r="P234" i="7"/>
  <c r="H234" i="7"/>
  <c r="T233" i="7"/>
  <c r="L233" i="7"/>
  <c r="D233" i="7"/>
  <c r="P232" i="7"/>
  <c r="H232" i="7"/>
  <c r="T231" i="7"/>
  <c r="L231" i="7"/>
  <c r="D231" i="7"/>
  <c r="P230" i="7"/>
  <c r="H230" i="7"/>
  <c r="T229" i="7"/>
  <c r="L229" i="7"/>
  <c r="D229" i="7"/>
  <c r="P228" i="7"/>
  <c r="H228" i="7"/>
  <c r="T227" i="7"/>
  <c r="L227" i="7"/>
  <c r="D227" i="7"/>
  <c r="P226" i="7"/>
  <c r="H226" i="7"/>
  <c r="T225" i="7"/>
  <c r="L225" i="7"/>
  <c r="D225" i="7"/>
  <c r="P224" i="7"/>
  <c r="H224" i="7"/>
  <c r="T223" i="7"/>
  <c r="L223" i="7"/>
  <c r="D223" i="7"/>
  <c r="P222" i="7"/>
  <c r="H222" i="7"/>
  <c r="T221" i="7"/>
  <c r="L221" i="7"/>
  <c r="D221" i="7"/>
  <c r="P220" i="7"/>
  <c r="H220" i="7"/>
  <c r="T219" i="7"/>
  <c r="L219" i="7"/>
  <c r="D219" i="7"/>
  <c r="P218" i="7"/>
  <c r="H218" i="7"/>
  <c r="T217" i="7"/>
  <c r="L217" i="7"/>
  <c r="D217" i="7"/>
  <c r="P216" i="7"/>
  <c r="H216" i="7"/>
  <c r="T215" i="7"/>
  <c r="L215" i="7"/>
  <c r="D215" i="7"/>
  <c r="P214" i="7"/>
  <c r="H214" i="7"/>
  <c r="T213" i="7"/>
  <c r="L213" i="7"/>
  <c r="D213" i="7"/>
  <c r="P212" i="7"/>
  <c r="H212" i="7"/>
  <c r="T211" i="7"/>
  <c r="L211" i="7"/>
  <c r="D211" i="7"/>
  <c r="P210" i="7"/>
  <c r="H210" i="7"/>
  <c r="T209" i="7"/>
  <c r="L209" i="7"/>
  <c r="D209" i="7"/>
  <c r="P208" i="7"/>
  <c r="H208" i="7"/>
  <c r="T207" i="7"/>
  <c r="L207" i="7"/>
  <c r="D207" i="7"/>
  <c r="P206" i="7"/>
  <c r="H206" i="7"/>
  <c r="T205" i="7"/>
  <c r="L205" i="7"/>
  <c r="D205" i="7"/>
  <c r="P204" i="7"/>
  <c r="H204" i="7"/>
  <c r="T203" i="7"/>
  <c r="L203" i="7"/>
  <c r="D203" i="7"/>
  <c r="P202" i="7"/>
  <c r="H202" i="7"/>
  <c r="T201" i="7"/>
  <c r="L201" i="7"/>
  <c r="D201" i="7"/>
  <c r="P200" i="7"/>
  <c r="H200" i="7"/>
  <c r="T199" i="7"/>
  <c r="L199" i="7"/>
  <c r="D199" i="7"/>
  <c r="P198" i="7"/>
  <c r="H198" i="7"/>
  <c r="T197" i="7"/>
  <c r="L197" i="7"/>
  <c r="D197" i="7"/>
  <c r="P196" i="7"/>
  <c r="H196" i="7"/>
  <c r="T195" i="7"/>
  <c r="L195" i="7"/>
  <c r="D195" i="7"/>
  <c r="P194" i="7"/>
  <c r="H194" i="7"/>
  <c r="T193" i="7"/>
  <c r="L193" i="7"/>
  <c r="D193" i="7"/>
  <c r="P192" i="7"/>
  <c r="H192" i="7"/>
  <c r="T191" i="7"/>
  <c r="L191" i="7"/>
  <c r="D191" i="7"/>
  <c r="P190" i="7"/>
  <c r="H190" i="7"/>
  <c r="T189" i="7"/>
  <c r="L189" i="7"/>
  <c r="D189" i="7"/>
  <c r="P188" i="7"/>
  <c r="H188" i="7"/>
  <c r="T187" i="7"/>
  <c r="L187" i="7"/>
  <c r="D187" i="7"/>
  <c r="P186" i="7"/>
  <c r="H186" i="7"/>
  <c r="T185" i="7"/>
  <c r="L185" i="7"/>
  <c r="D185" i="7"/>
  <c r="P184" i="7"/>
  <c r="H184" i="7"/>
  <c r="T183" i="7"/>
  <c r="L183" i="7"/>
  <c r="D183" i="7"/>
  <c r="P182" i="7"/>
  <c r="H182" i="7"/>
  <c r="T181" i="7"/>
  <c r="L181" i="7"/>
  <c r="D181" i="7"/>
  <c r="P180" i="7"/>
  <c r="H180" i="7"/>
  <c r="T179" i="7"/>
  <c r="L179" i="7"/>
  <c r="D179" i="7"/>
  <c r="P178" i="7"/>
  <c r="H178" i="7"/>
  <c r="T177" i="7"/>
  <c r="L177" i="7"/>
  <c r="D177" i="7"/>
  <c r="P176" i="7"/>
  <c r="H176" i="7"/>
  <c r="T175" i="7"/>
  <c r="L175" i="7"/>
  <c r="D175" i="7"/>
  <c r="P174" i="7"/>
  <c r="H174" i="7"/>
  <c r="T173" i="7"/>
  <c r="L173" i="7"/>
  <c r="D173" i="7"/>
  <c r="P172" i="7"/>
  <c r="H172" i="7"/>
  <c r="T171" i="7"/>
  <c r="L171" i="7"/>
  <c r="D171" i="7"/>
  <c r="P170" i="7"/>
  <c r="H170" i="7"/>
  <c r="T169" i="7"/>
  <c r="L169" i="7"/>
  <c r="D169" i="7"/>
  <c r="P168" i="7"/>
  <c r="H168" i="7"/>
  <c r="T167" i="7"/>
  <c r="L167" i="7"/>
  <c r="D167" i="7"/>
  <c r="P166" i="7"/>
  <c r="H166" i="7"/>
  <c r="T165" i="7"/>
  <c r="L165" i="7"/>
  <c r="D165" i="7"/>
  <c r="P164" i="7"/>
  <c r="H164" i="7"/>
  <c r="T163" i="7"/>
  <c r="Q331" i="7"/>
  <c r="Q329" i="7"/>
  <c r="G328" i="7"/>
  <c r="I327" i="7"/>
  <c r="F326" i="7"/>
  <c r="C325" i="7"/>
  <c r="E324" i="7"/>
  <c r="V322" i="7"/>
  <c r="F322" i="7"/>
  <c r="J321" i="7"/>
  <c r="N320" i="7"/>
  <c r="R319" i="7"/>
  <c r="V318" i="7"/>
  <c r="F318" i="7"/>
  <c r="J317" i="7"/>
  <c r="N316" i="7"/>
  <c r="R315" i="7"/>
  <c r="V314" i="7"/>
  <c r="F314" i="7"/>
  <c r="J313" i="7"/>
  <c r="N312" i="7"/>
  <c r="R311" i="7"/>
  <c r="V310" i="7"/>
  <c r="F310" i="7"/>
  <c r="J309" i="7"/>
  <c r="N308" i="7"/>
  <c r="R307" i="7"/>
  <c r="V306" i="7"/>
  <c r="F306" i="7"/>
  <c r="J305" i="7"/>
  <c r="N304" i="7"/>
  <c r="R303" i="7"/>
  <c r="V302" i="7"/>
  <c r="F302" i="7"/>
  <c r="J301" i="7"/>
  <c r="N300" i="7"/>
  <c r="R299" i="7"/>
  <c r="V298" i="7"/>
  <c r="F298" i="7"/>
  <c r="J297" i="7"/>
  <c r="N296" i="7"/>
  <c r="R295" i="7"/>
  <c r="V294" i="7"/>
  <c r="F294" i="7"/>
  <c r="J293" i="7"/>
  <c r="N292" i="7"/>
  <c r="R291" i="7"/>
  <c r="V290" i="7"/>
  <c r="F290" i="7"/>
  <c r="J289" i="7"/>
  <c r="N288" i="7"/>
  <c r="R287" i="7"/>
  <c r="V286" i="7"/>
  <c r="F286" i="7"/>
  <c r="J285" i="7"/>
  <c r="N284" i="7"/>
  <c r="R283" i="7"/>
  <c r="V282" i="7"/>
  <c r="F282" i="7"/>
  <c r="J281" i="7"/>
  <c r="N280" i="7"/>
  <c r="R279" i="7"/>
  <c r="V278" i="7"/>
  <c r="F278" i="7"/>
  <c r="J277" i="7"/>
  <c r="N276" i="7"/>
  <c r="R275" i="7"/>
  <c r="V274" i="7"/>
  <c r="F274" i="7"/>
  <c r="J273" i="7"/>
  <c r="N272" i="7"/>
  <c r="R271" i="7"/>
  <c r="V270" i="7"/>
  <c r="F270" i="7"/>
  <c r="J269" i="7"/>
  <c r="N268" i="7"/>
  <c r="R267" i="7"/>
  <c r="V266" i="7"/>
  <c r="F266" i="7"/>
  <c r="J265" i="7"/>
  <c r="P264" i="7"/>
  <c r="E264" i="7"/>
  <c r="K263" i="7"/>
  <c r="Q262" i="7"/>
  <c r="F262" i="7"/>
  <c r="L261" i="7"/>
  <c r="U260" i="7"/>
  <c r="G260" i="7"/>
  <c r="M259" i="7"/>
  <c r="V258" i="7"/>
  <c r="H258" i="7"/>
  <c r="R257" i="7"/>
  <c r="H257" i="7"/>
  <c r="P256" i="7"/>
  <c r="F256" i="7"/>
  <c r="P255" i="7"/>
  <c r="D255" i="7"/>
  <c r="N254" i="7"/>
  <c r="D254" i="7"/>
  <c r="L253" i="7"/>
  <c r="V252" i="7"/>
  <c r="L252" i="7"/>
  <c r="T251" i="7"/>
  <c r="J251" i="7"/>
  <c r="T250" i="7"/>
  <c r="H250" i="7"/>
  <c r="R249" i="7"/>
  <c r="H249" i="7"/>
  <c r="P248" i="7"/>
  <c r="F248" i="7"/>
  <c r="P247" i="7"/>
  <c r="F247" i="7"/>
  <c r="Q246" i="7"/>
  <c r="H246" i="7"/>
  <c r="S245" i="7"/>
  <c r="J245" i="7"/>
  <c r="U244" i="7"/>
  <c r="L244" i="7"/>
  <c r="V243" i="7"/>
  <c r="M243" i="7"/>
  <c r="D243" i="7"/>
  <c r="O242" i="7"/>
  <c r="F242" i="7"/>
  <c r="Q241" i="7"/>
  <c r="H241" i="7"/>
  <c r="R240" i="7"/>
  <c r="I240" i="7"/>
  <c r="T239" i="7"/>
  <c r="K239" i="7"/>
  <c r="V238" i="7"/>
  <c r="M238" i="7"/>
  <c r="D238" i="7"/>
  <c r="N237" i="7"/>
  <c r="E237" i="7"/>
  <c r="P236" i="7"/>
  <c r="G236" i="7"/>
  <c r="S235" i="7"/>
  <c r="K235" i="7"/>
  <c r="C235" i="7"/>
  <c r="O234" i="7"/>
  <c r="G234" i="7"/>
  <c r="S233" i="7"/>
  <c r="K233" i="7"/>
  <c r="C233" i="7"/>
  <c r="O232" i="7"/>
  <c r="G232" i="7"/>
  <c r="S231" i="7"/>
  <c r="K231" i="7"/>
  <c r="C231" i="7"/>
  <c r="O230" i="7"/>
  <c r="G230" i="7"/>
  <c r="S229" i="7"/>
  <c r="K229" i="7"/>
  <c r="C229" i="7"/>
  <c r="O228" i="7"/>
  <c r="G228" i="7"/>
  <c r="S227" i="7"/>
  <c r="K227" i="7"/>
  <c r="C227" i="7"/>
  <c r="O226" i="7"/>
  <c r="G226" i="7"/>
  <c r="S225" i="7"/>
  <c r="K225" i="7"/>
  <c r="C225" i="7"/>
  <c r="O224" i="7"/>
  <c r="G224" i="7"/>
  <c r="S223" i="7"/>
  <c r="K223" i="7"/>
  <c r="C223" i="7"/>
  <c r="O222" i="7"/>
  <c r="G222" i="7"/>
  <c r="S221" i="7"/>
  <c r="K221" i="7"/>
  <c r="C221" i="7"/>
  <c r="O220" i="7"/>
  <c r="G220" i="7"/>
  <c r="S219" i="7"/>
  <c r="K219" i="7"/>
  <c r="C219" i="7"/>
  <c r="O218" i="7"/>
  <c r="G218" i="7"/>
  <c r="S217" i="7"/>
  <c r="K217" i="7"/>
  <c r="C217" i="7"/>
  <c r="O216" i="7"/>
  <c r="G216" i="7"/>
  <c r="S215" i="7"/>
  <c r="K215" i="7"/>
  <c r="C215" i="7"/>
  <c r="O214" i="7"/>
  <c r="G214" i="7"/>
  <c r="S213" i="7"/>
  <c r="K213" i="7"/>
  <c r="C213" i="7"/>
  <c r="O212" i="7"/>
  <c r="G212" i="7"/>
  <c r="S211" i="7"/>
  <c r="K211" i="7"/>
  <c r="C211" i="7"/>
  <c r="O210" i="7"/>
  <c r="G210" i="7"/>
  <c r="S209" i="7"/>
  <c r="K209" i="7"/>
  <c r="C209" i="7"/>
  <c r="O208" i="7"/>
  <c r="G208" i="7"/>
  <c r="S207" i="7"/>
  <c r="K207" i="7"/>
  <c r="C207" i="7"/>
  <c r="O206" i="7"/>
  <c r="G206" i="7"/>
  <c r="S205" i="7"/>
  <c r="K205" i="7"/>
  <c r="C205" i="7"/>
  <c r="O204" i="7"/>
  <c r="G204" i="7"/>
  <c r="S203" i="7"/>
  <c r="K203" i="7"/>
  <c r="C203" i="7"/>
  <c r="O202" i="7"/>
  <c r="G202" i="7"/>
  <c r="S201" i="7"/>
  <c r="K201" i="7"/>
  <c r="C201" i="7"/>
  <c r="O200" i="7"/>
  <c r="G200" i="7"/>
  <c r="S199" i="7"/>
  <c r="K199" i="7"/>
  <c r="C199" i="7"/>
  <c r="O198" i="7"/>
  <c r="G198" i="7"/>
  <c r="S197" i="7"/>
  <c r="K197" i="7"/>
  <c r="C197" i="7"/>
  <c r="O196" i="7"/>
  <c r="G196" i="7"/>
  <c r="S195" i="7"/>
  <c r="K195" i="7"/>
  <c r="C195" i="7"/>
  <c r="O194" i="7"/>
  <c r="G194" i="7"/>
  <c r="S193" i="7"/>
  <c r="K193" i="7"/>
  <c r="C193" i="7"/>
  <c r="O192" i="7"/>
  <c r="G192" i="7"/>
  <c r="S191" i="7"/>
  <c r="K191" i="7"/>
  <c r="C191" i="7"/>
  <c r="O190" i="7"/>
  <c r="G190" i="7"/>
  <c r="S189" i="7"/>
  <c r="K189" i="7"/>
  <c r="C189" i="7"/>
  <c r="O188" i="7"/>
  <c r="G188" i="7"/>
  <c r="S187" i="7"/>
  <c r="K187" i="7"/>
  <c r="C187" i="7"/>
  <c r="O186" i="7"/>
  <c r="G186" i="7"/>
  <c r="S185" i="7"/>
  <c r="K185" i="7"/>
  <c r="C185" i="7"/>
  <c r="O184" i="7"/>
  <c r="G184" i="7"/>
  <c r="S183" i="7"/>
  <c r="K183" i="7"/>
  <c r="C183" i="7"/>
  <c r="O182" i="7"/>
  <c r="G182" i="7"/>
  <c r="S181" i="7"/>
  <c r="K181" i="7"/>
  <c r="C181" i="7"/>
  <c r="O180" i="7"/>
  <c r="G180" i="7"/>
  <c r="S179" i="7"/>
  <c r="K179" i="7"/>
  <c r="C179" i="7"/>
  <c r="O178" i="7"/>
  <c r="G178" i="7"/>
  <c r="S177" i="7"/>
  <c r="K177" i="7"/>
  <c r="C177" i="7"/>
  <c r="O176" i="7"/>
  <c r="G176" i="7"/>
  <c r="S175" i="7"/>
  <c r="K175" i="7"/>
  <c r="C175" i="7"/>
  <c r="O174" i="7"/>
  <c r="G174" i="7"/>
  <c r="S173" i="7"/>
  <c r="K173" i="7"/>
  <c r="C173" i="7"/>
  <c r="O172" i="7"/>
  <c r="G172" i="7"/>
  <c r="S171" i="7"/>
  <c r="K171" i="7"/>
  <c r="C171" i="7"/>
  <c r="O170" i="7"/>
  <c r="G170" i="7"/>
  <c r="S169" i="7"/>
  <c r="K169" i="7"/>
  <c r="C169" i="7"/>
  <c r="O168" i="7"/>
  <c r="G168" i="7"/>
  <c r="S167" i="7"/>
  <c r="K167" i="7"/>
  <c r="C167" i="7"/>
  <c r="O166" i="7"/>
  <c r="G166" i="7"/>
  <c r="S165" i="7"/>
  <c r="K165" i="7"/>
  <c r="C165" i="7"/>
  <c r="O164" i="7"/>
  <c r="I331" i="7"/>
  <c r="J329" i="7"/>
  <c r="F328" i="7"/>
  <c r="C327" i="7"/>
  <c r="E326" i="7"/>
  <c r="V324" i="7"/>
  <c r="S323" i="7"/>
  <c r="U322" i="7"/>
  <c r="E322" i="7"/>
  <c r="I321" i="7"/>
  <c r="M320" i="7"/>
  <c r="Q319" i="7"/>
  <c r="U318" i="7"/>
  <c r="E318" i="7"/>
  <c r="I317" i="7"/>
  <c r="M316" i="7"/>
  <c r="Q315" i="7"/>
  <c r="U314" i="7"/>
  <c r="E314" i="7"/>
  <c r="I313" i="7"/>
  <c r="M312" i="7"/>
  <c r="Q311" i="7"/>
  <c r="U310" i="7"/>
  <c r="E310" i="7"/>
  <c r="I309" i="7"/>
  <c r="M308" i="7"/>
  <c r="Q307" i="7"/>
  <c r="U306" i="7"/>
  <c r="E306" i="7"/>
  <c r="I305" i="7"/>
  <c r="M304" i="7"/>
  <c r="Q303" i="7"/>
  <c r="U302" i="7"/>
  <c r="E302" i="7"/>
  <c r="I301" i="7"/>
  <c r="M300" i="7"/>
  <c r="Q299" i="7"/>
  <c r="U298" i="7"/>
  <c r="E298" i="7"/>
  <c r="I297" i="7"/>
  <c r="M296" i="7"/>
  <c r="Q295" i="7"/>
  <c r="U294" i="7"/>
  <c r="E294" i="7"/>
  <c r="I293" i="7"/>
  <c r="M292" i="7"/>
  <c r="Q291" i="7"/>
  <c r="U290" i="7"/>
  <c r="E290" i="7"/>
  <c r="I289" i="7"/>
  <c r="M288" i="7"/>
  <c r="Q287" i="7"/>
  <c r="U286" i="7"/>
  <c r="E286" i="7"/>
  <c r="I285" i="7"/>
  <c r="M284" i="7"/>
  <c r="Q283" i="7"/>
  <c r="U282" i="7"/>
  <c r="E282" i="7"/>
  <c r="I281" i="7"/>
  <c r="M280" i="7"/>
  <c r="Q279" i="7"/>
  <c r="U278" i="7"/>
  <c r="E278" i="7"/>
  <c r="I277" i="7"/>
  <c r="M276" i="7"/>
  <c r="Q275" i="7"/>
  <c r="U274" i="7"/>
  <c r="E274" i="7"/>
  <c r="I273" i="7"/>
  <c r="M272" i="7"/>
  <c r="Q271" i="7"/>
  <c r="U270" i="7"/>
  <c r="E270" i="7"/>
  <c r="I269" i="7"/>
  <c r="M268" i="7"/>
  <c r="Q267" i="7"/>
  <c r="U266" i="7"/>
  <c r="E266" i="7"/>
  <c r="I265" i="7"/>
  <c r="O264" i="7"/>
  <c r="U263" i="7"/>
  <c r="J263" i="7"/>
  <c r="P262" i="7"/>
  <c r="E262" i="7"/>
  <c r="K261" i="7"/>
  <c r="Q260" i="7"/>
  <c r="F260" i="7"/>
  <c r="L259" i="7"/>
  <c r="U258" i="7"/>
  <c r="G258" i="7"/>
  <c r="Q257" i="7"/>
  <c r="E257" i="7"/>
  <c r="O256" i="7"/>
  <c r="E256" i="7"/>
  <c r="M255" i="7"/>
  <c r="C255" i="7"/>
  <c r="M254" i="7"/>
  <c r="U253" i="7"/>
  <c r="K253" i="7"/>
  <c r="U252" i="7"/>
  <c r="I252" i="7"/>
  <c r="S251" i="7"/>
  <c r="I251" i="7"/>
  <c r="Q250" i="7"/>
  <c r="G250" i="7"/>
  <c r="Q249" i="7"/>
  <c r="E249" i="7"/>
  <c r="O248" i="7"/>
  <c r="E248" i="7"/>
  <c r="N247" i="7"/>
  <c r="U330" i="7"/>
  <c r="I329" i="7"/>
  <c r="E328" i="7"/>
  <c r="V326" i="7"/>
  <c r="S325" i="7"/>
  <c r="U324" i="7"/>
  <c r="R323" i="7"/>
  <c r="P322" i="7"/>
  <c r="T321" i="7"/>
  <c r="D321" i="7"/>
  <c r="H320" i="7"/>
  <c r="L319" i="7"/>
  <c r="P318" i="7"/>
  <c r="T317" i="7"/>
  <c r="D317" i="7"/>
  <c r="H316" i="7"/>
  <c r="L315" i="7"/>
  <c r="P314" i="7"/>
  <c r="T313" i="7"/>
  <c r="D313" i="7"/>
  <c r="H312" i="7"/>
  <c r="L311" i="7"/>
  <c r="P310" i="7"/>
  <c r="T309" i="7"/>
  <c r="D309" i="7"/>
  <c r="H308" i="7"/>
  <c r="L307" i="7"/>
  <c r="P306" i="7"/>
  <c r="T305" i="7"/>
  <c r="D305" i="7"/>
  <c r="H304" i="7"/>
  <c r="L303" i="7"/>
  <c r="P302" i="7"/>
  <c r="T301" i="7"/>
  <c r="D301" i="7"/>
  <c r="H300" i="7"/>
  <c r="L299" i="7"/>
  <c r="P298" i="7"/>
  <c r="T297" i="7"/>
  <c r="D297" i="7"/>
  <c r="H296" i="7"/>
  <c r="L295" i="7"/>
  <c r="P294" i="7"/>
  <c r="T293" i="7"/>
  <c r="D293" i="7"/>
  <c r="H292" i="7"/>
  <c r="L291" i="7"/>
  <c r="P290" i="7"/>
  <c r="T289" i="7"/>
  <c r="D289" i="7"/>
  <c r="H288" i="7"/>
  <c r="L287" i="7"/>
  <c r="P286" i="7"/>
  <c r="T285" i="7"/>
  <c r="D285" i="7"/>
  <c r="H284" i="7"/>
  <c r="L283" i="7"/>
  <c r="P282" i="7"/>
  <c r="T281" i="7"/>
  <c r="D281" i="7"/>
  <c r="H280" i="7"/>
  <c r="L279" i="7"/>
  <c r="P278" i="7"/>
  <c r="T277" i="7"/>
  <c r="D277" i="7"/>
  <c r="H276" i="7"/>
  <c r="L275" i="7"/>
  <c r="P274" i="7"/>
  <c r="T273" i="7"/>
  <c r="D273" i="7"/>
  <c r="H272" i="7"/>
  <c r="L271" i="7"/>
  <c r="P270" i="7"/>
  <c r="T269" i="7"/>
  <c r="D269" i="7"/>
  <c r="H268" i="7"/>
  <c r="L267" i="7"/>
  <c r="P266" i="7"/>
  <c r="T265" i="7"/>
  <c r="E265" i="7"/>
  <c r="N264" i="7"/>
  <c r="T263" i="7"/>
  <c r="I263" i="7"/>
  <c r="O262" i="7"/>
  <c r="U261" i="7"/>
  <c r="J261" i="7"/>
  <c r="P260" i="7"/>
  <c r="E260" i="7"/>
  <c r="K259" i="7"/>
  <c r="Q258" i="7"/>
  <c r="F258" i="7"/>
  <c r="P257" i="7"/>
  <c r="D257" i="7"/>
  <c r="N256" i="7"/>
  <c r="D256" i="7"/>
  <c r="L255" i="7"/>
  <c r="V254" i="7"/>
  <c r="L254" i="7"/>
  <c r="T253" i="7"/>
  <c r="J253" i="7"/>
  <c r="T252" i="7"/>
  <c r="H252" i="7"/>
  <c r="R251" i="7"/>
  <c r="H251" i="7"/>
  <c r="P250" i="7"/>
  <c r="F250" i="7"/>
  <c r="P249" i="7"/>
  <c r="D249" i="7"/>
  <c r="N248" i="7"/>
  <c r="D248" i="7"/>
  <c r="M247" i="7"/>
  <c r="D247" i="7"/>
  <c r="O246" i="7"/>
  <c r="F246" i="7"/>
  <c r="N330" i="7"/>
  <c r="V328" i="7"/>
  <c r="S327" i="7"/>
  <c r="U326" i="7"/>
  <c r="R325" i="7"/>
  <c r="O324" i="7"/>
  <c r="Q323" i="7"/>
  <c r="O322" i="7"/>
  <c r="S321" i="7"/>
  <c r="C321" i="7"/>
  <c r="G320" i="7"/>
  <c r="K319" i="7"/>
  <c r="O318" i="7"/>
  <c r="S317" i="7"/>
  <c r="C317" i="7"/>
  <c r="G316" i="7"/>
  <c r="K315" i="7"/>
  <c r="O314" i="7"/>
  <c r="S313" i="7"/>
  <c r="C313" i="7"/>
  <c r="G312" i="7"/>
  <c r="K311" i="7"/>
  <c r="O310" i="7"/>
  <c r="S309" i="7"/>
  <c r="C309" i="7"/>
  <c r="G308" i="7"/>
  <c r="K307" i="7"/>
  <c r="O306" i="7"/>
  <c r="S305" i="7"/>
  <c r="C305" i="7"/>
  <c r="G304" i="7"/>
  <c r="K303" i="7"/>
  <c r="O302" i="7"/>
  <c r="S301" i="7"/>
  <c r="C301" i="7"/>
  <c r="G300" i="7"/>
  <c r="K299" i="7"/>
  <c r="O298" i="7"/>
  <c r="S297" i="7"/>
  <c r="C297" i="7"/>
  <c r="G296" i="7"/>
  <c r="K295" i="7"/>
  <c r="O294" i="7"/>
  <c r="S293" i="7"/>
  <c r="C293" i="7"/>
  <c r="G292" i="7"/>
  <c r="K291" i="7"/>
  <c r="O290" i="7"/>
  <c r="S289" i="7"/>
  <c r="C289" i="7"/>
  <c r="G288" i="7"/>
  <c r="K287" i="7"/>
  <c r="O286" i="7"/>
  <c r="S285" i="7"/>
  <c r="C285" i="7"/>
  <c r="G284" i="7"/>
  <c r="K283" i="7"/>
  <c r="O282" i="7"/>
  <c r="S281" i="7"/>
  <c r="C281" i="7"/>
  <c r="G280" i="7"/>
  <c r="K279" i="7"/>
  <c r="O278" i="7"/>
  <c r="S277" i="7"/>
  <c r="C277" i="7"/>
  <c r="G276" i="7"/>
  <c r="K275" i="7"/>
  <c r="O274" i="7"/>
  <c r="S273" i="7"/>
  <c r="C273" i="7"/>
  <c r="G272" i="7"/>
  <c r="K271" i="7"/>
  <c r="O270" i="7"/>
  <c r="S269" i="7"/>
  <c r="C269" i="7"/>
  <c r="G268" i="7"/>
  <c r="K267" i="7"/>
  <c r="O266" i="7"/>
  <c r="S265" i="7"/>
  <c r="D265" i="7"/>
  <c r="M264" i="7"/>
  <c r="S263" i="7"/>
  <c r="E263" i="7"/>
  <c r="N262" i="7"/>
  <c r="T261" i="7"/>
  <c r="I261" i="7"/>
  <c r="O260" i="7"/>
  <c r="U259" i="7"/>
  <c r="J259" i="7"/>
  <c r="P258" i="7"/>
  <c r="E258" i="7"/>
  <c r="M257" i="7"/>
  <c r="C257" i="7"/>
  <c r="M256" i="7"/>
  <c r="U255" i="7"/>
  <c r="K255" i="7"/>
  <c r="U254" i="7"/>
  <c r="I254" i="7"/>
  <c r="S253" i="7"/>
  <c r="I253" i="7"/>
  <c r="Q252" i="7"/>
  <c r="G252" i="7"/>
  <c r="Q251" i="7"/>
  <c r="E251" i="7"/>
  <c r="O250" i="7"/>
  <c r="E250" i="7"/>
  <c r="M249" i="7"/>
  <c r="C249" i="7"/>
  <c r="M248" i="7"/>
  <c r="U247" i="7"/>
  <c r="L247" i="7"/>
  <c r="C247" i="7"/>
  <c r="I333" i="7"/>
  <c r="M330" i="7"/>
  <c r="U328" i="7"/>
  <c r="R327" i="7"/>
  <c r="O326" i="7"/>
  <c r="Q325" i="7"/>
  <c r="N324" i="7"/>
  <c r="K323" i="7"/>
  <c r="N322" i="7"/>
  <c r="R321" i="7"/>
  <c r="V320" i="7"/>
  <c r="F320" i="7"/>
  <c r="J319" i="7"/>
  <c r="N318" i="7"/>
  <c r="R317" i="7"/>
  <c r="V316" i="7"/>
  <c r="F316" i="7"/>
  <c r="J315" i="7"/>
  <c r="N314" i="7"/>
  <c r="R313" i="7"/>
  <c r="V312" i="7"/>
  <c r="F312" i="7"/>
  <c r="J311" i="7"/>
  <c r="N310" i="7"/>
  <c r="R309" i="7"/>
  <c r="V308" i="7"/>
  <c r="F308" i="7"/>
  <c r="J307" i="7"/>
  <c r="N306" i="7"/>
  <c r="R305" i="7"/>
  <c r="V304" i="7"/>
  <c r="F304" i="7"/>
  <c r="J303" i="7"/>
  <c r="N302" i="7"/>
  <c r="R301" i="7"/>
  <c r="V300" i="7"/>
  <c r="F300" i="7"/>
  <c r="J299" i="7"/>
  <c r="N298" i="7"/>
  <c r="R297" i="7"/>
  <c r="V296" i="7"/>
  <c r="F296" i="7"/>
  <c r="J295" i="7"/>
  <c r="N294" i="7"/>
  <c r="R293" i="7"/>
  <c r="V292" i="7"/>
  <c r="F292" i="7"/>
  <c r="J291" i="7"/>
  <c r="N290" i="7"/>
  <c r="R289" i="7"/>
  <c r="V288" i="7"/>
  <c r="F288" i="7"/>
  <c r="J287" i="7"/>
  <c r="N286" i="7"/>
  <c r="R285" i="7"/>
  <c r="V284" i="7"/>
  <c r="F284" i="7"/>
  <c r="J283" i="7"/>
  <c r="N282" i="7"/>
  <c r="R281" i="7"/>
  <c r="V280" i="7"/>
  <c r="F280" i="7"/>
  <c r="J279" i="7"/>
  <c r="N278" i="7"/>
  <c r="R277" i="7"/>
  <c r="V276" i="7"/>
  <c r="F276" i="7"/>
  <c r="J275" i="7"/>
  <c r="N274" i="7"/>
  <c r="R273" i="7"/>
  <c r="V272" i="7"/>
  <c r="F272" i="7"/>
  <c r="J271" i="7"/>
  <c r="N270" i="7"/>
  <c r="R269" i="7"/>
  <c r="V268" i="7"/>
  <c r="F268" i="7"/>
  <c r="J267" i="7"/>
  <c r="N266" i="7"/>
  <c r="R265" i="7"/>
  <c r="C265" i="7"/>
  <c r="I264" i="7"/>
  <c r="R263" i="7"/>
  <c r="D263" i="7"/>
  <c r="M262" i="7"/>
  <c r="S261" i="7"/>
  <c r="E261" i="7"/>
  <c r="N260" i="7"/>
  <c r="T259" i="7"/>
  <c r="I259" i="7"/>
  <c r="O258" i="7"/>
  <c r="D258" i="7"/>
  <c r="L257" i="7"/>
  <c r="V256" i="7"/>
  <c r="L256" i="7"/>
  <c r="T255" i="7"/>
  <c r="J255" i="7"/>
  <c r="T254" i="7"/>
  <c r="H254" i="7"/>
  <c r="R253" i="7"/>
  <c r="H253" i="7"/>
  <c r="P252" i="7"/>
  <c r="F252" i="7"/>
  <c r="P251" i="7"/>
  <c r="D251" i="7"/>
  <c r="N250" i="7"/>
  <c r="D250" i="7"/>
  <c r="L249" i="7"/>
  <c r="V248" i="7"/>
  <c r="L248" i="7"/>
  <c r="T247" i="7"/>
  <c r="K247" i="7"/>
  <c r="V246" i="7"/>
  <c r="M246" i="7"/>
  <c r="D246" i="7"/>
  <c r="N245" i="7"/>
  <c r="E245" i="7"/>
  <c r="P244" i="7"/>
  <c r="G244" i="7"/>
  <c r="R243" i="7"/>
  <c r="I243" i="7"/>
  <c r="T242" i="7"/>
  <c r="J242" i="7"/>
  <c r="U241" i="7"/>
  <c r="L241" i="7"/>
  <c r="C241" i="7"/>
  <c r="N240" i="7"/>
  <c r="E240" i="7"/>
  <c r="P239" i="7"/>
  <c r="F239" i="7"/>
  <c r="Q238" i="7"/>
  <c r="H238" i="7"/>
  <c r="S237" i="7"/>
  <c r="J237" i="7"/>
  <c r="U236" i="7"/>
  <c r="L236" i="7"/>
  <c r="C236" i="7"/>
  <c r="O235" i="7"/>
  <c r="G235" i="7"/>
  <c r="S234" i="7"/>
  <c r="K234" i="7"/>
  <c r="C234" i="7"/>
  <c r="O233" i="7"/>
  <c r="G233" i="7"/>
  <c r="S232" i="7"/>
  <c r="K232" i="7"/>
  <c r="C232" i="7"/>
  <c r="O231" i="7"/>
  <c r="G231" i="7"/>
  <c r="S230" i="7"/>
  <c r="K230" i="7"/>
  <c r="C230" i="7"/>
  <c r="O229" i="7"/>
  <c r="G229" i="7"/>
  <c r="S228" i="7"/>
  <c r="K228" i="7"/>
  <c r="C228" i="7"/>
  <c r="O227" i="7"/>
  <c r="G227" i="7"/>
  <c r="S226" i="7"/>
  <c r="K226" i="7"/>
  <c r="C226" i="7"/>
  <c r="O225" i="7"/>
  <c r="G225" i="7"/>
  <c r="S224" i="7"/>
  <c r="K224" i="7"/>
  <c r="C224" i="7"/>
  <c r="O223" i="7"/>
  <c r="G223" i="7"/>
  <c r="S222" i="7"/>
  <c r="K222" i="7"/>
  <c r="C222" i="7"/>
  <c r="O221" i="7"/>
  <c r="G221" i="7"/>
  <c r="S220" i="7"/>
  <c r="K220" i="7"/>
  <c r="C220" i="7"/>
  <c r="O219" i="7"/>
  <c r="G219" i="7"/>
  <c r="S218" i="7"/>
  <c r="K218" i="7"/>
  <c r="C218" i="7"/>
  <c r="O217" i="7"/>
  <c r="G217" i="7"/>
  <c r="S216" i="7"/>
  <c r="K216" i="7"/>
  <c r="C216" i="7"/>
  <c r="O215" i="7"/>
  <c r="G215" i="7"/>
  <c r="S214" i="7"/>
  <c r="K214" i="7"/>
  <c r="C214" i="7"/>
  <c r="O213" i="7"/>
  <c r="G213" i="7"/>
  <c r="S212" i="7"/>
  <c r="K212" i="7"/>
  <c r="C212" i="7"/>
  <c r="O211" i="7"/>
  <c r="G211" i="7"/>
  <c r="S210" i="7"/>
  <c r="K210" i="7"/>
  <c r="C210" i="7"/>
  <c r="O209" i="7"/>
  <c r="G209" i="7"/>
  <c r="S208" i="7"/>
  <c r="K208" i="7"/>
  <c r="C208" i="7"/>
  <c r="O207" i="7"/>
  <c r="G207" i="7"/>
  <c r="S206" i="7"/>
  <c r="K206" i="7"/>
  <c r="C206" i="7"/>
  <c r="O205" i="7"/>
  <c r="G205" i="7"/>
  <c r="S204" i="7"/>
  <c r="K204" i="7"/>
  <c r="C204" i="7"/>
  <c r="O203" i="7"/>
  <c r="G203" i="7"/>
  <c r="S202" i="7"/>
  <c r="K202" i="7"/>
  <c r="C202" i="7"/>
  <c r="O201" i="7"/>
  <c r="G201" i="7"/>
  <c r="S200" i="7"/>
  <c r="K200" i="7"/>
  <c r="C200" i="7"/>
  <c r="O199" i="7"/>
  <c r="G199" i="7"/>
  <c r="S198" i="7"/>
  <c r="K198" i="7"/>
  <c r="C198" i="7"/>
  <c r="O197" i="7"/>
  <c r="G197" i="7"/>
  <c r="S196" i="7"/>
  <c r="K196" i="7"/>
  <c r="C196" i="7"/>
  <c r="O195" i="7"/>
  <c r="G195" i="7"/>
  <c r="S194" i="7"/>
  <c r="K194" i="7"/>
  <c r="C194" i="7"/>
  <c r="O193" i="7"/>
  <c r="G193" i="7"/>
  <c r="S192" i="7"/>
  <c r="K192" i="7"/>
  <c r="C192" i="7"/>
  <c r="O191" i="7"/>
  <c r="G191" i="7"/>
  <c r="S190" i="7"/>
  <c r="K190" i="7"/>
  <c r="C190" i="7"/>
  <c r="O189" i="7"/>
  <c r="G189" i="7"/>
  <c r="S188" i="7"/>
  <c r="K188" i="7"/>
  <c r="C188" i="7"/>
  <c r="O187" i="7"/>
  <c r="G187" i="7"/>
  <c r="S186" i="7"/>
  <c r="K186" i="7"/>
  <c r="C186" i="7"/>
  <c r="O185" i="7"/>
  <c r="G185" i="7"/>
  <c r="S184" i="7"/>
  <c r="K184" i="7"/>
  <c r="C184" i="7"/>
  <c r="O183" i="7"/>
  <c r="G183" i="7"/>
  <c r="S182" i="7"/>
  <c r="K182" i="7"/>
  <c r="C182" i="7"/>
  <c r="O181" i="7"/>
  <c r="G181" i="7"/>
  <c r="S180" i="7"/>
  <c r="K180" i="7"/>
  <c r="C180" i="7"/>
  <c r="O179" i="7"/>
  <c r="G179" i="7"/>
  <c r="S178" i="7"/>
  <c r="K178" i="7"/>
  <c r="C178" i="7"/>
  <c r="O177" i="7"/>
  <c r="G177" i="7"/>
  <c r="S176" i="7"/>
  <c r="K176" i="7"/>
  <c r="C176" i="7"/>
  <c r="O175" i="7"/>
  <c r="G175" i="7"/>
  <c r="S174" i="7"/>
  <c r="K174" i="7"/>
  <c r="C174" i="7"/>
  <c r="O173" i="7"/>
  <c r="G173" i="7"/>
  <c r="S172" i="7"/>
  <c r="K172" i="7"/>
  <c r="C172" i="7"/>
  <c r="O171" i="7"/>
  <c r="G171" i="7"/>
  <c r="S170" i="7"/>
  <c r="K170" i="7"/>
  <c r="C170" i="7"/>
  <c r="O169" i="7"/>
  <c r="G169" i="7"/>
  <c r="S168" i="7"/>
  <c r="K168" i="7"/>
  <c r="C168" i="7"/>
  <c r="O167" i="7"/>
  <c r="G167" i="7"/>
  <c r="S166" i="7"/>
  <c r="K166" i="7"/>
  <c r="C166" i="7"/>
  <c r="O165" i="7"/>
  <c r="G165" i="7"/>
  <c r="S164" i="7"/>
  <c r="K164" i="7"/>
  <c r="U332" i="7"/>
  <c r="F330" i="7"/>
  <c r="O328" i="7"/>
  <c r="Q327" i="7"/>
  <c r="N326" i="7"/>
  <c r="K325" i="7"/>
  <c r="M324" i="7"/>
  <c r="J323" i="7"/>
  <c r="M322" i="7"/>
  <c r="Q321" i="7"/>
  <c r="U320" i="7"/>
  <c r="E320" i="7"/>
  <c r="I319" i="7"/>
  <c r="M318" i="7"/>
  <c r="Q317" i="7"/>
  <c r="U316" i="7"/>
  <c r="E316" i="7"/>
  <c r="I315" i="7"/>
  <c r="M314" i="7"/>
  <c r="Q313" i="7"/>
  <c r="U312" i="7"/>
  <c r="E312" i="7"/>
  <c r="I311" i="7"/>
  <c r="M310" i="7"/>
  <c r="Q309" i="7"/>
  <c r="U308" i="7"/>
  <c r="E308" i="7"/>
  <c r="I307" i="7"/>
  <c r="M306" i="7"/>
  <c r="Q305" i="7"/>
  <c r="U304" i="7"/>
  <c r="E304" i="7"/>
  <c r="I303" i="7"/>
  <c r="M302" i="7"/>
  <c r="Q301" i="7"/>
  <c r="U300" i="7"/>
  <c r="E300" i="7"/>
  <c r="I299" i="7"/>
  <c r="M298" i="7"/>
  <c r="Q297" i="7"/>
  <c r="U296" i="7"/>
  <c r="E296" i="7"/>
  <c r="I295" i="7"/>
  <c r="M294" i="7"/>
  <c r="Q293" i="7"/>
  <c r="U292" i="7"/>
  <c r="E292" i="7"/>
  <c r="I291" i="7"/>
  <c r="M290" i="7"/>
  <c r="Q289" i="7"/>
  <c r="U288" i="7"/>
  <c r="E288" i="7"/>
  <c r="I287" i="7"/>
  <c r="M286" i="7"/>
  <c r="Q285" i="7"/>
  <c r="U284" i="7"/>
  <c r="E284" i="7"/>
  <c r="I283" i="7"/>
  <c r="M282" i="7"/>
  <c r="Q281" i="7"/>
  <c r="U280" i="7"/>
  <c r="E280" i="7"/>
  <c r="I279" i="7"/>
  <c r="M278" i="7"/>
  <c r="Q277" i="7"/>
  <c r="U276" i="7"/>
  <c r="E276" i="7"/>
  <c r="I275" i="7"/>
  <c r="M274" i="7"/>
  <c r="Q273" i="7"/>
  <c r="U272" i="7"/>
  <c r="E272" i="7"/>
  <c r="I271" i="7"/>
  <c r="M270" i="7"/>
  <c r="Q269" i="7"/>
  <c r="U268" i="7"/>
  <c r="E268" i="7"/>
  <c r="I267" i="7"/>
  <c r="M266" i="7"/>
  <c r="Q265" i="7"/>
  <c r="V264" i="7"/>
  <c r="H264" i="7"/>
  <c r="Q263" i="7"/>
  <c r="C263" i="7"/>
  <c r="I262" i="7"/>
  <c r="R261" i="7"/>
  <c r="D261" i="7"/>
  <c r="M260" i="7"/>
  <c r="S259" i="7"/>
  <c r="E259" i="7"/>
  <c r="N258" i="7"/>
  <c r="U257" i="7"/>
  <c r="K257" i="7"/>
  <c r="U256" i="7"/>
  <c r="I256" i="7"/>
  <c r="S255" i="7"/>
  <c r="I255" i="7"/>
  <c r="Q254" i="7"/>
  <c r="G254" i="7"/>
  <c r="Q253" i="7"/>
  <c r="E253" i="7"/>
  <c r="O252" i="7"/>
  <c r="E252" i="7"/>
  <c r="M251" i="7"/>
  <c r="U249" i="7"/>
  <c r="P246" i="7"/>
  <c r="P245" i="7"/>
  <c r="Q244" i="7"/>
  <c r="S243" i="7"/>
  <c r="U242" i="7"/>
  <c r="V241" i="7"/>
  <c r="D241" i="7"/>
  <c r="F240" i="7"/>
  <c r="H239" i="7"/>
  <c r="I238" i="7"/>
  <c r="K237" i="7"/>
  <c r="M236" i="7"/>
  <c r="P235" i="7"/>
  <c r="T234" i="7"/>
  <c r="D234" i="7"/>
  <c r="H233" i="7"/>
  <c r="L232" i="7"/>
  <c r="P231" i="7"/>
  <c r="T230" i="7"/>
  <c r="D230" i="7"/>
  <c r="H229" i="7"/>
  <c r="L228" i="7"/>
  <c r="P227" i="7"/>
  <c r="T226" i="7"/>
  <c r="D226" i="7"/>
  <c r="H225" i="7"/>
  <c r="L224" i="7"/>
  <c r="P223" i="7"/>
  <c r="T222" i="7"/>
  <c r="D222" i="7"/>
  <c r="H221" i="7"/>
  <c r="L220" i="7"/>
  <c r="P219" i="7"/>
  <c r="T218" i="7"/>
  <c r="D218" i="7"/>
  <c r="H217" i="7"/>
  <c r="L216" i="7"/>
  <c r="P215" i="7"/>
  <c r="T214" i="7"/>
  <c r="D214" i="7"/>
  <c r="H213" i="7"/>
  <c r="L212" i="7"/>
  <c r="P211" i="7"/>
  <c r="T210" i="7"/>
  <c r="D210" i="7"/>
  <c r="H209" i="7"/>
  <c r="L208" i="7"/>
  <c r="P207" i="7"/>
  <c r="T206" i="7"/>
  <c r="D206" i="7"/>
  <c r="H205" i="7"/>
  <c r="L204" i="7"/>
  <c r="P203" i="7"/>
  <c r="T202" i="7"/>
  <c r="D202" i="7"/>
  <c r="H201" i="7"/>
  <c r="L200" i="7"/>
  <c r="P199" i="7"/>
  <c r="T198" i="7"/>
  <c r="D198" i="7"/>
  <c r="H197" i="7"/>
  <c r="L196" i="7"/>
  <c r="P195" i="7"/>
  <c r="T194" i="7"/>
  <c r="D194" i="7"/>
  <c r="H193" i="7"/>
  <c r="L192" i="7"/>
  <c r="P191" i="7"/>
  <c r="T190" i="7"/>
  <c r="D190" i="7"/>
  <c r="H189" i="7"/>
  <c r="L188" i="7"/>
  <c r="P187" i="7"/>
  <c r="T186" i="7"/>
  <c r="D186" i="7"/>
  <c r="H185" i="7"/>
  <c r="L184" i="7"/>
  <c r="P183" i="7"/>
  <c r="T182" i="7"/>
  <c r="D182" i="7"/>
  <c r="H181" i="7"/>
  <c r="L180" i="7"/>
  <c r="P179" i="7"/>
  <c r="T178" i="7"/>
  <c r="D178" i="7"/>
  <c r="H177" i="7"/>
  <c r="L176" i="7"/>
  <c r="P175" i="7"/>
  <c r="T174" i="7"/>
  <c r="D174" i="7"/>
  <c r="H173" i="7"/>
  <c r="L172" i="7"/>
  <c r="P171" i="7"/>
  <c r="T170" i="7"/>
  <c r="D170" i="7"/>
  <c r="H169" i="7"/>
  <c r="L168" i="7"/>
  <c r="P167" i="7"/>
  <c r="T166" i="7"/>
  <c r="D166" i="7"/>
  <c r="H165" i="7"/>
  <c r="L164" i="7"/>
  <c r="S163" i="7"/>
  <c r="J163" i="7"/>
  <c r="U162" i="7"/>
  <c r="L162" i="7"/>
  <c r="C162" i="7"/>
  <c r="N161" i="7"/>
  <c r="D161" i="7"/>
  <c r="O160" i="7"/>
  <c r="F160" i="7"/>
  <c r="Q159" i="7"/>
  <c r="H159" i="7"/>
  <c r="S158" i="7"/>
  <c r="J158" i="7"/>
  <c r="T157" i="7"/>
  <c r="K157" i="7"/>
  <c r="V156" i="7"/>
  <c r="M156" i="7"/>
  <c r="D156" i="7"/>
  <c r="O155" i="7"/>
  <c r="F155" i="7"/>
  <c r="P154" i="7"/>
  <c r="G154" i="7"/>
  <c r="S153" i="7"/>
  <c r="K153" i="7"/>
  <c r="C153" i="7"/>
  <c r="O152" i="7"/>
  <c r="G152" i="7"/>
  <c r="S151" i="7"/>
  <c r="K151" i="7"/>
  <c r="C151" i="7"/>
  <c r="O150" i="7"/>
  <c r="G150" i="7"/>
  <c r="S149" i="7"/>
  <c r="K149" i="7"/>
  <c r="C149" i="7"/>
  <c r="O148" i="7"/>
  <c r="G148" i="7"/>
  <c r="S147" i="7"/>
  <c r="K147" i="7"/>
  <c r="C147" i="7"/>
  <c r="O146" i="7"/>
  <c r="G146" i="7"/>
  <c r="S145" i="7"/>
  <c r="K145" i="7"/>
  <c r="C145" i="7"/>
  <c r="O144" i="7"/>
  <c r="G144" i="7"/>
  <c r="S143" i="7"/>
  <c r="K143" i="7"/>
  <c r="C143" i="7"/>
  <c r="O142" i="7"/>
  <c r="G142" i="7"/>
  <c r="S141" i="7"/>
  <c r="K141" i="7"/>
  <c r="C141" i="7"/>
  <c r="O140" i="7"/>
  <c r="G140" i="7"/>
  <c r="S139" i="7"/>
  <c r="K139" i="7"/>
  <c r="C139" i="7"/>
  <c r="O138" i="7"/>
  <c r="G138" i="7"/>
  <c r="S137" i="7"/>
  <c r="K137" i="7"/>
  <c r="C137" i="7"/>
  <c r="O136" i="7"/>
  <c r="G136" i="7"/>
  <c r="S135" i="7"/>
  <c r="K135" i="7"/>
  <c r="C135" i="7"/>
  <c r="O134" i="7"/>
  <c r="G134" i="7"/>
  <c r="S133" i="7"/>
  <c r="K133" i="7"/>
  <c r="C133" i="7"/>
  <c r="O132" i="7"/>
  <c r="G132" i="7"/>
  <c r="S131" i="7"/>
  <c r="K131" i="7"/>
  <c r="C131" i="7"/>
  <c r="O130" i="7"/>
  <c r="G130" i="7"/>
  <c r="S129" i="7"/>
  <c r="K129" i="7"/>
  <c r="C129" i="7"/>
  <c r="O128" i="7"/>
  <c r="G128" i="7"/>
  <c r="S127" i="7"/>
  <c r="K127" i="7"/>
  <c r="C127" i="7"/>
  <c r="O126" i="7"/>
  <c r="G126" i="7"/>
  <c r="S125" i="7"/>
  <c r="K125" i="7"/>
  <c r="C125" i="7"/>
  <c r="O124" i="7"/>
  <c r="G124" i="7"/>
  <c r="S123" i="7"/>
  <c r="K123" i="7"/>
  <c r="C123" i="7"/>
  <c r="O122" i="7"/>
  <c r="G122" i="7"/>
  <c r="S121" i="7"/>
  <c r="K121" i="7"/>
  <c r="C121" i="7"/>
  <c r="O120" i="7"/>
  <c r="G120" i="7"/>
  <c r="S119" i="7"/>
  <c r="K119" i="7"/>
  <c r="C119" i="7"/>
  <c r="O118" i="7"/>
  <c r="G118" i="7"/>
  <c r="S117" i="7"/>
  <c r="K117" i="7"/>
  <c r="C117" i="7"/>
  <c r="O116" i="7"/>
  <c r="G116" i="7"/>
  <c r="S115" i="7"/>
  <c r="K115" i="7"/>
  <c r="C115" i="7"/>
  <c r="O114" i="7"/>
  <c r="G114" i="7"/>
  <c r="S113" i="7"/>
  <c r="K113" i="7"/>
  <c r="C113" i="7"/>
  <c r="O112" i="7"/>
  <c r="G112" i="7"/>
  <c r="S111" i="7"/>
  <c r="K111" i="7"/>
  <c r="C111" i="7"/>
  <c r="O110" i="7"/>
  <c r="G110" i="7"/>
  <c r="S109" i="7"/>
  <c r="K109" i="7"/>
  <c r="C109" i="7"/>
  <c r="O108" i="7"/>
  <c r="G108" i="7"/>
  <c r="S107" i="7"/>
  <c r="K107" i="7"/>
  <c r="C107" i="7"/>
  <c r="O106" i="7"/>
  <c r="G106" i="7"/>
  <c r="S105" i="7"/>
  <c r="K105" i="7"/>
  <c r="C105" i="7"/>
  <c r="O104" i="7"/>
  <c r="G104" i="7"/>
  <c r="S103" i="7"/>
  <c r="K103" i="7"/>
  <c r="C103" i="7"/>
  <c r="O102" i="7"/>
  <c r="G102" i="7"/>
  <c r="S101" i="7"/>
  <c r="K101" i="7"/>
  <c r="C101" i="7"/>
  <c r="O100" i="7"/>
  <c r="G100" i="7"/>
  <c r="S99" i="7"/>
  <c r="K99" i="7"/>
  <c r="C99" i="7"/>
  <c r="O98" i="7"/>
  <c r="G98" i="7"/>
  <c r="S97" i="7"/>
  <c r="K97" i="7"/>
  <c r="C97" i="7"/>
  <c r="O96" i="7"/>
  <c r="G96" i="7"/>
  <c r="S95" i="7"/>
  <c r="K95" i="7"/>
  <c r="C95" i="7"/>
  <c r="O94" i="7"/>
  <c r="G94" i="7"/>
  <c r="S93" i="7"/>
  <c r="K93" i="7"/>
  <c r="C93" i="7"/>
  <c r="O92" i="7"/>
  <c r="G92" i="7"/>
  <c r="S91" i="7"/>
  <c r="K91" i="7"/>
  <c r="C91" i="7"/>
  <c r="O90" i="7"/>
  <c r="G90" i="7"/>
  <c r="S89" i="7"/>
  <c r="K89" i="7"/>
  <c r="C89" i="7"/>
  <c r="O88" i="7"/>
  <c r="G88" i="7"/>
  <c r="S87" i="7"/>
  <c r="K87" i="7"/>
  <c r="C87" i="7"/>
  <c r="O86" i="7"/>
  <c r="G86" i="7"/>
  <c r="S85" i="7"/>
  <c r="K85" i="7"/>
  <c r="C85" i="7"/>
  <c r="O84" i="7"/>
  <c r="G84" i="7"/>
  <c r="S83" i="7"/>
  <c r="K83" i="7"/>
  <c r="C83" i="7"/>
  <c r="O82" i="7"/>
  <c r="G82" i="7"/>
  <c r="S81" i="7"/>
  <c r="K81" i="7"/>
  <c r="C81" i="7"/>
  <c r="O80" i="7"/>
  <c r="G80" i="7"/>
  <c r="S79" i="7"/>
  <c r="K79" i="7"/>
  <c r="C79" i="7"/>
  <c r="O78" i="7"/>
  <c r="G78" i="7"/>
  <c r="S77" i="7"/>
  <c r="K77" i="7"/>
  <c r="C77" i="7"/>
  <c r="O76" i="7"/>
  <c r="G76" i="7"/>
  <c r="S75" i="7"/>
  <c r="K75" i="7"/>
  <c r="C75" i="7"/>
  <c r="O74" i="7"/>
  <c r="G74" i="7"/>
  <c r="S73" i="7"/>
  <c r="K73" i="7"/>
  <c r="C73" i="7"/>
  <c r="O72" i="7"/>
  <c r="G72" i="7"/>
  <c r="S71" i="7"/>
  <c r="K71" i="7"/>
  <c r="C71" i="7"/>
  <c r="O70" i="7"/>
  <c r="G70" i="7"/>
  <c r="S69" i="7"/>
  <c r="K69" i="7"/>
  <c r="C69" i="7"/>
  <c r="O68" i="7"/>
  <c r="G68" i="7"/>
  <c r="S67" i="7"/>
  <c r="K67" i="7"/>
  <c r="C67" i="7"/>
  <c r="O66" i="7"/>
  <c r="G66" i="7"/>
  <c r="S65" i="7"/>
  <c r="K65" i="7"/>
  <c r="C65" i="7"/>
  <c r="O64" i="7"/>
  <c r="G64" i="7"/>
  <c r="S63" i="7"/>
  <c r="K63" i="7"/>
  <c r="C63" i="7"/>
  <c r="O62" i="7"/>
  <c r="G62" i="7"/>
  <c r="S61" i="7"/>
  <c r="K61" i="7"/>
  <c r="C61" i="7"/>
  <c r="O60" i="7"/>
  <c r="G60" i="7"/>
  <c r="S59" i="7"/>
  <c r="K249" i="7"/>
  <c r="N246" i="7"/>
  <c r="M245" i="7"/>
  <c r="O244" i="7"/>
  <c r="Q243" i="7"/>
  <c r="R242" i="7"/>
  <c r="T241" i="7"/>
  <c r="V240" i="7"/>
  <c r="D240" i="7"/>
  <c r="E239" i="7"/>
  <c r="G238" i="7"/>
  <c r="I237" i="7"/>
  <c r="J236" i="7"/>
  <c r="N235" i="7"/>
  <c r="R234" i="7"/>
  <c r="V233" i="7"/>
  <c r="F233" i="7"/>
  <c r="J232" i="7"/>
  <c r="N231" i="7"/>
  <c r="R230" i="7"/>
  <c r="V229" i="7"/>
  <c r="F229" i="7"/>
  <c r="J228" i="7"/>
  <c r="N227" i="7"/>
  <c r="R226" i="7"/>
  <c r="V225" i="7"/>
  <c r="F225" i="7"/>
  <c r="J224" i="7"/>
  <c r="N223" i="7"/>
  <c r="R222" i="7"/>
  <c r="V221" i="7"/>
  <c r="F221" i="7"/>
  <c r="J220" i="7"/>
  <c r="N219" i="7"/>
  <c r="R218" i="7"/>
  <c r="V217" i="7"/>
  <c r="F217" i="7"/>
  <c r="J216" i="7"/>
  <c r="N215" i="7"/>
  <c r="R214" i="7"/>
  <c r="V213" i="7"/>
  <c r="F213" i="7"/>
  <c r="J212" i="7"/>
  <c r="N211" i="7"/>
  <c r="R210" i="7"/>
  <c r="V209" i="7"/>
  <c r="F209" i="7"/>
  <c r="J208" i="7"/>
  <c r="N207" i="7"/>
  <c r="R206" i="7"/>
  <c r="V205" i="7"/>
  <c r="F205" i="7"/>
  <c r="J204" i="7"/>
  <c r="N203" i="7"/>
  <c r="R202" i="7"/>
  <c r="V201" i="7"/>
  <c r="F201" i="7"/>
  <c r="J200" i="7"/>
  <c r="N199" i="7"/>
  <c r="R198" i="7"/>
  <c r="V197" i="7"/>
  <c r="F197" i="7"/>
  <c r="J196" i="7"/>
  <c r="N195" i="7"/>
  <c r="R194" i="7"/>
  <c r="V193" i="7"/>
  <c r="F193" i="7"/>
  <c r="J192" i="7"/>
  <c r="N191" i="7"/>
  <c r="R190" i="7"/>
  <c r="V189" i="7"/>
  <c r="F189" i="7"/>
  <c r="J188" i="7"/>
  <c r="N187" i="7"/>
  <c r="R186" i="7"/>
  <c r="V185" i="7"/>
  <c r="F185" i="7"/>
  <c r="J184" i="7"/>
  <c r="N183" i="7"/>
  <c r="R182" i="7"/>
  <c r="V181" i="7"/>
  <c r="F181" i="7"/>
  <c r="J180" i="7"/>
  <c r="N179" i="7"/>
  <c r="R178" i="7"/>
  <c r="V177" i="7"/>
  <c r="F177" i="7"/>
  <c r="J176" i="7"/>
  <c r="N175" i="7"/>
  <c r="R174" i="7"/>
  <c r="V173" i="7"/>
  <c r="F173" i="7"/>
  <c r="J172" i="7"/>
  <c r="N171" i="7"/>
  <c r="R170" i="7"/>
  <c r="V169" i="7"/>
  <c r="F169" i="7"/>
  <c r="J168" i="7"/>
  <c r="N167" i="7"/>
  <c r="R166" i="7"/>
  <c r="V165" i="7"/>
  <c r="F165" i="7"/>
  <c r="J164" i="7"/>
  <c r="R163" i="7"/>
  <c r="I163" i="7"/>
  <c r="T162" i="7"/>
  <c r="K162" i="7"/>
  <c r="V161" i="7"/>
  <c r="L161" i="7"/>
  <c r="C161" i="7"/>
  <c r="N160" i="7"/>
  <c r="E160" i="7"/>
  <c r="P159" i="7"/>
  <c r="G159" i="7"/>
  <c r="R158" i="7"/>
  <c r="H158" i="7"/>
  <c r="S157" i="7"/>
  <c r="J157" i="7"/>
  <c r="U156" i="7"/>
  <c r="L156" i="7"/>
  <c r="C156" i="7"/>
  <c r="N155" i="7"/>
  <c r="D155" i="7"/>
  <c r="O154" i="7"/>
  <c r="F154" i="7"/>
  <c r="R153" i="7"/>
  <c r="J153" i="7"/>
  <c r="V152" i="7"/>
  <c r="N152" i="7"/>
  <c r="F152" i="7"/>
  <c r="R151" i="7"/>
  <c r="J151" i="7"/>
  <c r="V150" i="7"/>
  <c r="N150" i="7"/>
  <c r="F150" i="7"/>
  <c r="R149" i="7"/>
  <c r="J149" i="7"/>
  <c r="V148" i="7"/>
  <c r="N148" i="7"/>
  <c r="F148" i="7"/>
  <c r="R147" i="7"/>
  <c r="J147" i="7"/>
  <c r="V146" i="7"/>
  <c r="N146" i="7"/>
  <c r="F146" i="7"/>
  <c r="R145" i="7"/>
  <c r="J145" i="7"/>
  <c r="V144" i="7"/>
  <c r="N144" i="7"/>
  <c r="F144" i="7"/>
  <c r="R143" i="7"/>
  <c r="J143" i="7"/>
  <c r="V142" i="7"/>
  <c r="N142" i="7"/>
  <c r="F142" i="7"/>
  <c r="R141" i="7"/>
  <c r="J141" i="7"/>
  <c r="V140" i="7"/>
  <c r="N140" i="7"/>
  <c r="F140" i="7"/>
  <c r="R139" i="7"/>
  <c r="J139" i="7"/>
  <c r="V138" i="7"/>
  <c r="N138" i="7"/>
  <c r="F138" i="7"/>
  <c r="R137" i="7"/>
  <c r="J137" i="7"/>
  <c r="V136" i="7"/>
  <c r="N136" i="7"/>
  <c r="F136" i="7"/>
  <c r="R135" i="7"/>
  <c r="J135" i="7"/>
  <c r="V134" i="7"/>
  <c r="N134" i="7"/>
  <c r="F134" i="7"/>
  <c r="R133" i="7"/>
  <c r="J133" i="7"/>
  <c r="V132" i="7"/>
  <c r="N132" i="7"/>
  <c r="F132" i="7"/>
  <c r="R131" i="7"/>
  <c r="J131" i="7"/>
  <c r="V130" i="7"/>
  <c r="N130" i="7"/>
  <c r="F130" i="7"/>
  <c r="R129" i="7"/>
  <c r="J129" i="7"/>
  <c r="V128" i="7"/>
  <c r="N128" i="7"/>
  <c r="F128" i="7"/>
  <c r="R127" i="7"/>
  <c r="J127" i="7"/>
  <c r="V126" i="7"/>
  <c r="N126" i="7"/>
  <c r="F126" i="7"/>
  <c r="R125" i="7"/>
  <c r="J125" i="7"/>
  <c r="V124" i="7"/>
  <c r="N124" i="7"/>
  <c r="F124" i="7"/>
  <c r="R123" i="7"/>
  <c r="J123" i="7"/>
  <c r="V122" i="7"/>
  <c r="N122" i="7"/>
  <c r="F122" i="7"/>
  <c r="R121" i="7"/>
  <c r="J121" i="7"/>
  <c r="V120" i="7"/>
  <c r="N120" i="7"/>
  <c r="F120" i="7"/>
  <c r="R119" i="7"/>
  <c r="J119" i="7"/>
  <c r="V118" i="7"/>
  <c r="N118" i="7"/>
  <c r="F118" i="7"/>
  <c r="R117" i="7"/>
  <c r="J117" i="7"/>
  <c r="V116" i="7"/>
  <c r="N116" i="7"/>
  <c r="F116" i="7"/>
  <c r="R115" i="7"/>
  <c r="J115" i="7"/>
  <c r="V114" i="7"/>
  <c r="N114" i="7"/>
  <c r="F114" i="7"/>
  <c r="R113" i="7"/>
  <c r="J113" i="7"/>
  <c r="V112" i="7"/>
  <c r="N112" i="7"/>
  <c r="F112" i="7"/>
  <c r="R111" i="7"/>
  <c r="J111" i="7"/>
  <c r="V110" i="7"/>
  <c r="N110" i="7"/>
  <c r="F110" i="7"/>
  <c r="R109" i="7"/>
  <c r="J109" i="7"/>
  <c r="V108" i="7"/>
  <c r="N108" i="7"/>
  <c r="F108" i="7"/>
  <c r="R107" i="7"/>
  <c r="J107" i="7"/>
  <c r="V106" i="7"/>
  <c r="N106" i="7"/>
  <c r="F106" i="7"/>
  <c r="R105" i="7"/>
  <c r="J105" i="7"/>
  <c r="V104" i="7"/>
  <c r="N104" i="7"/>
  <c r="F104" i="7"/>
  <c r="R103" i="7"/>
  <c r="J103" i="7"/>
  <c r="V102" i="7"/>
  <c r="N102" i="7"/>
  <c r="F102" i="7"/>
  <c r="R101" i="7"/>
  <c r="J101" i="7"/>
  <c r="V100" i="7"/>
  <c r="N100" i="7"/>
  <c r="F100" i="7"/>
  <c r="R99" i="7"/>
  <c r="J99" i="7"/>
  <c r="V98" i="7"/>
  <c r="N98" i="7"/>
  <c r="F98" i="7"/>
  <c r="R97" i="7"/>
  <c r="J97" i="7"/>
  <c r="V96" i="7"/>
  <c r="N96" i="7"/>
  <c r="F96" i="7"/>
  <c r="R95" i="7"/>
  <c r="J95" i="7"/>
  <c r="V94" i="7"/>
  <c r="N94" i="7"/>
  <c r="F94" i="7"/>
  <c r="R93" i="7"/>
  <c r="J93" i="7"/>
  <c r="V92" i="7"/>
  <c r="N92" i="7"/>
  <c r="F92" i="7"/>
  <c r="R91" i="7"/>
  <c r="J91" i="7"/>
  <c r="V90" i="7"/>
  <c r="N90" i="7"/>
  <c r="F90" i="7"/>
  <c r="R89" i="7"/>
  <c r="J89" i="7"/>
  <c r="V88" i="7"/>
  <c r="N88" i="7"/>
  <c r="F88" i="7"/>
  <c r="R87" i="7"/>
  <c r="J87" i="7"/>
  <c r="V86" i="7"/>
  <c r="N86" i="7"/>
  <c r="F86" i="7"/>
  <c r="R85" i="7"/>
  <c r="J85" i="7"/>
  <c r="V84" i="7"/>
  <c r="N84" i="7"/>
  <c r="F84" i="7"/>
  <c r="R83" i="7"/>
  <c r="J83" i="7"/>
  <c r="V82" i="7"/>
  <c r="N82" i="7"/>
  <c r="F82" i="7"/>
  <c r="R81" i="7"/>
  <c r="J81" i="7"/>
  <c r="V80" i="7"/>
  <c r="N80" i="7"/>
  <c r="F80" i="7"/>
  <c r="R79" i="7"/>
  <c r="J79" i="7"/>
  <c r="V78" i="7"/>
  <c r="N78" i="7"/>
  <c r="F78" i="7"/>
  <c r="R77" i="7"/>
  <c r="J77" i="7"/>
  <c r="V76" i="7"/>
  <c r="N76" i="7"/>
  <c r="F76" i="7"/>
  <c r="R75" i="7"/>
  <c r="J75" i="7"/>
  <c r="V74" i="7"/>
  <c r="N74" i="7"/>
  <c r="F74" i="7"/>
  <c r="R73" i="7"/>
  <c r="J73" i="7"/>
  <c r="V72" i="7"/>
  <c r="N72" i="7"/>
  <c r="F72" i="7"/>
  <c r="R71" i="7"/>
  <c r="J71" i="7"/>
  <c r="V70" i="7"/>
  <c r="N70" i="7"/>
  <c r="F70" i="7"/>
  <c r="R69" i="7"/>
  <c r="J69" i="7"/>
  <c r="V68" i="7"/>
  <c r="N68" i="7"/>
  <c r="F68" i="7"/>
  <c r="R67" i="7"/>
  <c r="U248" i="7"/>
  <c r="L246" i="7"/>
  <c r="I245" i="7"/>
  <c r="J244" i="7"/>
  <c r="L243" i="7"/>
  <c r="N242" i="7"/>
  <c r="P241" i="7"/>
  <c r="Q240" i="7"/>
  <c r="S239" i="7"/>
  <c r="U238" i="7"/>
  <c r="V237" i="7"/>
  <c r="D237" i="7"/>
  <c r="F236" i="7"/>
  <c r="J235" i="7"/>
  <c r="N234" i="7"/>
  <c r="R233" i="7"/>
  <c r="V232" i="7"/>
  <c r="F232" i="7"/>
  <c r="J231" i="7"/>
  <c r="N230" i="7"/>
  <c r="R229" i="7"/>
  <c r="V228" i="7"/>
  <c r="F228" i="7"/>
  <c r="J227" i="7"/>
  <c r="N226" i="7"/>
  <c r="R225" i="7"/>
  <c r="V224" i="7"/>
  <c r="F224" i="7"/>
  <c r="J223" i="7"/>
  <c r="N222" i="7"/>
  <c r="R221" i="7"/>
  <c r="V220" i="7"/>
  <c r="F220" i="7"/>
  <c r="J219" i="7"/>
  <c r="N218" i="7"/>
  <c r="R217" i="7"/>
  <c r="V216" i="7"/>
  <c r="F216" i="7"/>
  <c r="J215" i="7"/>
  <c r="N214" i="7"/>
  <c r="R213" i="7"/>
  <c r="V212" i="7"/>
  <c r="F212" i="7"/>
  <c r="J211" i="7"/>
  <c r="N210" i="7"/>
  <c r="R209" i="7"/>
  <c r="V208" i="7"/>
  <c r="F208" i="7"/>
  <c r="J207" i="7"/>
  <c r="N206" i="7"/>
  <c r="R205" i="7"/>
  <c r="V204" i="7"/>
  <c r="F204" i="7"/>
  <c r="J203" i="7"/>
  <c r="N202" i="7"/>
  <c r="R201" i="7"/>
  <c r="V200" i="7"/>
  <c r="F200" i="7"/>
  <c r="J199" i="7"/>
  <c r="N198" i="7"/>
  <c r="R197" i="7"/>
  <c r="V196" i="7"/>
  <c r="F196" i="7"/>
  <c r="J195" i="7"/>
  <c r="N194" i="7"/>
  <c r="R193" i="7"/>
  <c r="V192" i="7"/>
  <c r="F192" i="7"/>
  <c r="J191" i="7"/>
  <c r="N190" i="7"/>
  <c r="R189" i="7"/>
  <c r="V188" i="7"/>
  <c r="F188" i="7"/>
  <c r="J187" i="7"/>
  <c r="N186" i="7"/>
  <c r="R185" i="7"/>
  <c r="V184" i="7"/>
  <c r="F184" i="7"/>
  <c r="J183" i="7"/>
  <c r="N182" i="7"/>
  <c r="R181" i="7"/>
  <c r="V180" i="7"/>
  <c r="F180" i="7"/>
  <c r="J179" i="7"/>
  <c r="N178" i="7"/>
  <c r="R177" i="7"/>
  <c r="V176" i="7"/>
  <c r="F176" i="7"/>
  <c r="J175" i="7"/>
  <c r="N174" i="7"/>
  <c r="R173" i="7"/>
  <c r="V172" i="7"/>
  <c r="F172" i="7"/>
  <c r="J171" i="7"/>
  <c r="N170" i="7"/>
  <c r="R169" i="7"/>
  <c r="V168" i="7"/>
  <c r="F168" i="7"/>
  <c r="J167" i="7"/>
  <c r="N166" i="7"/>
  <c r="R165" i="7"/>
  <c r="V164" i="7"/>
  <c r="G164" i="7"/>
  <c r="Q163" i="7"/>
  <c r="H163" i="7"/>
  <c r="S162" i="7"/>
  <c r="J162" i="7"/>
  <c r="T161" i="7"/>
  <c r="K161" i="7"/>
  <c r="V160" i="7"/>
  <c r="M160" i="7"/>
  <c r="D160" i="7"/>
  <c r="O159" i="7"/>
  <c r="F159" i="7"/>
  <c r="P158" i="7"/>
  <c r="G158" i="7"/>
  <c r="R157" i="7"/>
  <c r="I157" i="7"/>
  <c r="T156" i="7"/>
  <c r="K156" i="7"/>
  <c r="V155" i="7"/>
  <c r="L155" i="7"/>
  <c r="C155" i="7"/>
  <c r="N154" i="7"/>
  <c r="E154" i="7"/>
  <c r="Q153" i="7"/>
  <c r="I153" i="7"/>
  <c r="U152" i="7"/>
  <c r="M152" i="7"/>
  <c r="E152" i="7"/>
  <c r="Q151" i="7"/>
  <c r="I151" i="7"/>
  <c r="U150" i="7"/>
  <c r="M150" i="7"/>
  <c r="E150" i="7"/>
  <c r="Q149" i="7"/>
  <c r="I149" i="7"/>
  <c r="U148" i="7"/>
  <c r="M148" i="7"/>
  <c r="E148" i="7"/>
  <c r="Q147" i="7"/>
  <c r="I147" i="7"/>
  <c r="U146" i="7"/>
  <c r="M146" i="7"/>
  <c r="E146" i="7"/>
  <c r="Q145" i="7"/>
  <c r="I145" i="7"/>
  <c r="U144" i="7"/>
  <c r="M144" i="7"/>
  <c r="E144" i="7"/>
  <c r="Q143" i="7"/>
  <c r="I143" i="7"/>
  <c r="U142" i="7"/>
  <c r="M142" i="7"/>
  <c r="E142" i="7"/>
  <c r="Q141" i="7"/>
  <c r="I141" i="7"/>
  <c r="U140" i="7"/>
  <c r="M140" i="7"/>
  <c r="E140" i="7"/>
  <c r="Q139" i="7"/>
  <c r="I139" i="7"/>
  <c r="U138" i="7"/>
  <c r="M138" i="7"/>
  <c r="E138" i="7"/>
  <c r="Q137" i="7"/>
  <c r="I137" i="7"/>
  <c r="U136" i="7"/>
  <c r="M136" i="7"/>
  <c r="E136" i="7"/>
  <c r="Q135" i="7"/>
  <c r="I135" i="7"/>
  <c r="U134" i="7"/>
  <c r="M134" i="7"/>
  <c r="E134" i="7"/>
  <c r="Q133" i="7"/>
  <c r="I133" i="7"/>
  <c r="U132" i="7"/>
  <c r="M132" i="7"/>
  <c r="E132" i="7"/>
  <c r="Q131" i="7"/>
  <c r="I131" i="7"/>
  <c r="U130" i="7"/>
  <c r="M130" i="7"/>
  <c r="E130" i="7"/>
  <c r="Q129" i="7"/>
  <c r="I129" i="7"/>
  <c r="U128" i="7"/>
  <c r="M128" i="7"/>
  <c r="E128" i="7"/>
  <c r="Q127" i="7"/>
  <c r="I127" i="7"/>
  <c r="U126" i="7"/>
  <c r="M126" i="7"/>
  <c r="E126" i="7"/>
  <c r="Q125" i="7"/>
  <c r="I125" i="7"/>
  <c r="U124" i="7"/>
  <c r="M124" i="7"/>
  <c r="E124" i="7"/>
  <c r="Q123" i="7"/>
  <c r="I123" i="7"/>
  <c r="U122" i="7"/>
  <c r="M122" i="7"/>
  <c r="E122" i="7"/>
  <c r="Q121" i="7"/>
  <c r="I121" i="7"/>
  <c r="U120" i="7"/>
  <c r="M120" i="7"/>
  <c r="E120" i="7"/>
  <c r="Q119" i="7"/>
  <c r="I119" i="7"/>
  <c r="U118" i="7"/>
  <c r="M118" i="7"/>
  <c r="E118" i="7"/>
  <c r="Q117" i="7"/>
  <c r="I117" i="7"/>
  <c r="U116" i="7"/>
  <c r="M116" i="7"/>
  <c r="E116" i="7"/>
  <c r="Q115" i="7"/>
  <c r="I115" i="7"/>
  <c r="U114" i="7"/>
  <c r="M114" i="7"/>
  <c r="E114" i="7"/>
  <c r="Q113" i="7"/>
  <c r="I113" i="7"/>
  <c r="U112" i="7"/>
  <c r="M112" i="7"/>
  <c r="E112" i="7"/>
  <c r="Q111" i="7"/>
  <c r="I111" i="7"/>
  <c r="U110" i="7"/>
  <c r="M110" i="7"/>
  <c r="E110" i="7"/>
  <c r="Q109" i="7"/>
  <c r="I109" i="7"/>
  <c r="U108" i="7"/>
  <c r="M108" i="7"/>
  <c r="E108" i="7"/>
  <c r="Q107" i="7"/>
  <c r="I107" i="7"/>
  <c r="U106" i="7"/>
  <c r="M106" i="7"/>
  <c r="E106" i="7"/>
  <c r="Q105" i="7"/>
  <c r="I105" i="7"/>
  <c r="U104" i="7"/>
  <c r="M104" i="7"/>
  <c r="E104" i="7"/>
  <c r="Q103" i="7"/>
  <c r="I103" i="7"/>
  <c r="U102" i="7"/>
  <c r="M102" i="7"/>
  <c r="E102" i="7"/>
  <c r="Q101" i="7"/>
  <c r="I101" i="7"/>
  <c r="U100" i="7"/>
  <c r="M100" i="7"/>
  <c r="E100" i="7"/>
  <c r="Q99" i="7"/>
  <c r="I99" i="7"/>
  <c r="U98" i="7"/>
  <c r="M98" i="7"/>
  <c r="E98" i="7"/>
  <c r="Q97" i="7"/>
  <c r="I97" i="7"/>
  <c r="U96" i="7"/>
  <c r="M96" i="7"/>
  <c r="E96" i="7"/>
  <c r="Q95" i="7"/>
  <c r="I95" i="7"/>
  <c r="U94" i="7"/>
  <c r="M94" i="7"/>
  <c r="E94" i="7"/>
  <c r="Q93" i="7"/>
  <c r="I93" i="7"/>
  <c r="U92" i="7"/>
  <c r="M92" i="7"/>
  <c r="E92" i="7"/>
  <c r="Q91" i="7"/>
  <c r="I91" i="7"/>
  <c r="U90" i="7"/>
  <c r="M90" i="7"/>
  <c r="E90" i="7"/>
  <c r="Q89" i="7"/>
  <c r="I89" i="7"/>
  <c r="U88" i="7"/>
  <c r="M88" i="7"/>
  <c r="E88" i="7"/>
  <c r="Q87" i="7"/>
  <c r="I87" i="7"/>
  <c r="U86" i="7"/>
  <c r="M86" i="7"/>
  <c r="I248" i="7"/>
  <c r="G246" i="7"/>
  <c r="H245" i="7"/>
  <c r="I244" i="7"/>
  <c r="K243" i="7"/>
  <c r="M242" i="7"/>
  <c r="N241" i="7"/>
  <c r="P240" i="7"/>
  <c r="R239" i="7"/>
  <c r="T238" i="7"/>
  <c r="U237" i="7"/>
  <c r="C237" i="7"/>
  <c r="E236" i="7"/>
  <c r="I235" i="7"/>
  <c r="M234" i="7"/>
  <c r="Q233" i="7"/>
  <c r="U232" i="7"/>
  <c r="E232" i="7"/>
  <c r="I231" i="7"/>
  <c r="M230" i="7"/>
  <c r="Q229" i="7"/>
  <c r="U228" i="7"/>
  <c r="E228" i="7"/>
  <c r="I227" i="7"/>
  <c r="M226" i="7"/>
  <c r="Q225" i="7"/>
  <c r="U224" i="7"/>
  <c r="E224" i="7"/>
  <c r="I223" i="7"/>
  <c r="M222" i="7"/>
  <c r="Q221" i="7"/>
  <c r="U220" i="7"/>
  <c r="E220" i="7"/>
  <c r="I219" i="7"/>
  <c r="M218" i="7"/>
  <c r="Q217" i="7"/>
  <c r="U216" i="7"/>
  <c r="E216" i="7"/>
  <c r="I215" i="7"/>
  <c r="M214" i="7"/>
  <c r="Q213" i="7"/>
  <c r="U212" i="7"/>
  <c r="E212" i="7"/>
  <c r="I211" i="7"/>
  <c r="M210" i="7"/>
  <c r="Q209" i="7"/>
  <c r="U208" i="7"/>
  <c r="E208" i="7"/>
  <c r="I207" i="7"/>
  <c r="M206" i="7"/>
  <c r="Q205" i="7"/>
  <c r="U204" i="7"/>
  <c r="E204" i="7"/>
  <c r="I203" i="7"/>
  <c r="M202" i="7"/>
  <c r="Q201" i="7"/>
  <c r="U200" i="7"/>
  <c r="E200" i="7"/>
  <c r="I199" i="7"/>
  <c r="M198" i="7"/>
  <c r="Q197" i="7"/>
  <c r="U196" i="7"/>
  <c r="E196" i="7"/>
  <c r="I195" i="7"/>
  <c r="M194" i="7"/>
  <c r="Q193" i="7"/>
  <c r="U192" i="7"/>
  <c r="E192" i="7"/>
  <c r="I191" i="7"/>
  <c r="M190" i="7"/>
  <c r="Q189" i="7"/>
  <c r="U188" i="7"/>
  <c r="E188" i="7"/>
  <c r="I187" i="7"/>
  <c r="M186" i="7"/>
  <c r="Q185" i="7"/>
  <c r="U184" i="7"/>
  <c r="E184" i="7"/>
  <c r="I183" i="7"/>
  <c r="M182" i="7"/>
  <c r="Q181" i="7"/>
  <c r="U180" i="7"/>
  <c r="E180" i="7"/>
  <c r="I179" i="7"/>
  <c r="M178" i="7"/>
  <c r="Q177" i="7"/>
  <c r="U176" i="7"/>
  <c r="E176" i="7"/>
  <c r="I175" i="7"/>
  <c r="M174" i="7"/>
  <c r="Q173" i="7"/>
  <c r="U172" i="7"/>
  <c r="E172" i="7"/>
  <c r="I171" i="7"/>
  <c r="M170" i="7"/>
  <c r="Q169" i="7"/>
  <c r="U168" i="7"/>
  <c r="E168" i="7"/>
  <c r="I167" i="7"/>
  <c r="M166" i="7"/>
  <c r="Q165" i="7"/>
  <c r="U164" i="7"/>
  <c r="F164" i="7"/>
  <c r="P163" i="7"/>
  <c r="G163" i="7"/>
  <c r="R162" i="7"/>
  <c r="H162" i="7"/>
  <c r="S161" i="7"/>
  <c r="J161" i="7"/>
  <c r="U160" i="7"/>
  <c r="L160" i="7"/>
  <c r="C160" i="7"/>
  <c r="N159" i="7"/>
  <c r="D159" i="7"/>
  <c r="O158" i="7"/>
  <c r="F158" i="7"/>
  <c r="Q157" i="7"/>
  <c r="H157" i="7"/>
  <c r="S247" i="7"/>
  <c r="E246" i="7"/>
  <c r="F245" i="7"/>
  <c r="H244" i="7"/>
  <c r="J243" i="7"/>
  <c r="L242" i="7"/>
  <c r="M241" i="7"/>
  <c r="O240" i="7"/>
  <c r="Q239" i="7"/>
  <c r="R238" i="7"/>
  <c r="T237" i="7"/>
  <c r="V236" i="7"/>
  <c r="D236" i="7"/>
  <c r="H235" i="7"/>
  <c r="L234" i="7"/>
  <c r="P233" i="7"/>
  <c r="T232" i="7"/>
  <c r="D232" i="7"/>
  <c r="H231" i="7"/>
  <c r="L230" i="7"/>
  <c r="P229" i="7"/>
  <c r="T228" i="7"/>
  <c r="D228" i="7"/>
  <c r="H227" i="7"/>
  <c r="L226" i="7"/>
  <c r="P225" i="7"/>
  <c r="T224" i="7"/>
  <c r="D224" i="7"/>
  <c r="H223" i="7"/>
  <c r="L222" i="7"/>
  <c r="P221" i="7"/>
  <c r="T220" i="7"/>
  <c r="D220" i="7"/>
  <c r="H219" i="7"/>
  <c r="L218" i="7"/>
  <c r="P217" i="7"/>
  <c r="T216" i="7"/>
  <c r="D216" i="7"/>
  <c r="H215" i="7"/>
  <c r="L214" i="7"/>
  <c r="P213" i="7"/>
  <c r="T212" i="7"/>
  <c r="D212" i="7"/>
  <c r="H211" i="7"/>
  <c r="L210" i="7"/>
  <c r="P209" i="7"/>
  <c r="T208" i="7"/>
  <c r="D208" i="7"/>
  <c r="H207" i="7"/>
  <c r="L206" i="7"/>
  <c r="P205" i="7"/>
  <c r="T204" i="7"/>
  <c r="D204" i="7"/>
  <c r="H203" i="7"/>
  <c r="L202" i="7"/>
  <c r="P201" i="7"/>
  <c r="T200" i="7"/>
  <c r="D200" i="7"/>
  <c r="H199" i="7"/>
  <c r="L198" i="7"/>
  <c r="P197" i="7"/>
  <c r="T196" i="7"/>
  <c r="D196" i="7"/>
  <c r="H195" i="7"/>
  <c r="L194" i="7"/>
  <c r="P193" i="7"/>
  <c r="T192" i="7"/>
  <c r="D192" i="7"/>
  <c r="H191" i="7"/>
  <c r="L190" i="7"/>
  <c r="P189" i="7"/>
  <c r="T188" i="7"/>
  <c r="D188" i="7"/>
  <c r="H187" i="7"/>
  <c r="L186" i="7"/>
  <c r="P185" i="7"/>
  <c r="T184" i="7"/>
  <c r="D184" i="7"/>
  <c r="H183" i="7"/>
  <c r="L182" i="7"/>
  <c r="P181" i="7"/>
  <c r="T180" i="7"/>
  <c r="D180" i="7"/>
  <c r="H179" i="7"/>
  <c r="L178" i="7"/>
  <c r="P177" i="7"/>
  <c r="T176" i="7"/>
  <c r="D176" i="7"/>
  <c r="H175" i="7"/>
  <c r="L174" i="7"/>
  <c r="P173" i="7"/>
  <c r="T172" i="7"/>
  <c r="D172" i="7"/>
  <c r="H171" i="7"/>
  <c r="L170" i="7"/>
  <c r="P169" i="7"/>
  <c r="T168" i="7"/>
  <c r="D168" i="7"/>
  <c r="H167" i="7"/>
  <c r="L166" i="7"/>
  <c r="P165" i="7"/>
  <c r="J247" i="7"/>
  <c r="V245" i="7"/>
  <c r="D245" i="7"/>
  <c r="F244" i="7"/>
  <c r="H243" i="7"/>
  <c r="I242" i="7"/>
  <c r="K241" i="7"/>
  <c r="M240" i="7"/>
  <c r="N239" i="7"/>
  <c r="P238" i="7"/>
  <c r="R237" i="7"/>
  <c r="T236" i="7"/>
  <c r="V235" i="7"/>
  <c r="F235" i="7"/>
  <c r="J234" i="7"/>
  <c r="N233" i="7"/>
  <c r="R232" i="7"/>
  <c r="V231" i="7"/>
  <c r="F231" i="7"/>
  <c r="J230" i="7"/>
  <c r="N229" i="7"/>
  <c r="R228" i="7"/>
  <c r="V227" i="7"/>
  <c r="F227" i="7"/>
  <c r="J226" i="7"/>
  <c r="N225" i="7"/>
  <c r="R224" i="7"/>
  <c r="V223" i="7"/>
  <c r="F223" i="7"/>
  <c r="J222" i="7"/>
  <c r="N221" i="7"/>
  <c r="R220" i="7"/>
  <c r="V219" i="7"/>
  <c r="F219" i="7"/>
  <c r="J218" i="7"/>
  <c r="N217" i="7"/>
  <c r="R216" i="7"/>
  <c r="V215" i="7"/>
  <c r="F215" i="7"/>
  <c r="J214" i="7"/>
  <c r="N213" i="7"/>
  <c r="R212" i="7"/>
  <c r="V211" i="7"/>
  <c r="F211" i="7"/>
  <c r="J210" i="7"/>
  <c r="N209" i="7"/>
  <c r="R208" i="7"/>
  <c r="V207" i="7"/>
  <c r="F207" i="7"/>
  <c r="J206" i="7"/>
  <c r="N205" i="7"/>
  <c r="R204" i="7"/>
  <c r="V203" i="7"/>
  <c r="F203" i="7"/>
  <c r="J202" i="7"/>
  <c r="N201" i="7"/>
  <c r="R200" i="7"/>
  <c r="V199" i="7"/>
  <c r="F199" i="7"/>
  <c r="J198" i="7"/>
  <c r="N197" i="7"/>
  <c r="R196" i="7"/>
  <c r="V195" i="7"/>
  <c r="F195" i="7"/>
  <c r="J194" i="7"/>
  <c r="N193" i="7"/>
  <c r="R192" i="7"/>
  <c r="V191" i="7"/>
  <c r="F191" i="7"/>
  <c r="J190" i="7"/>
  <c r="N189" i="7"/>
  <c r="R188" i="7"/>
  <c r="V187" i="7"/>
  <c r="F187" i="7"/>
  <c r="J186" i="7"/>
  <c r="N185" i="7"/>
  <c r="R184" i="7"/>
  <c r="V183" i="7"/>
  <c r="F183" i="7"/>
  <c r="J182" i="7"/>
  <c r="N181" i="7"/>
  <c r="R180" i="7"/>
  <c r="V179" i="7"/>
  <c r="F179" i="7"/>
  <c r="J178" i="7"/>
  <c r="N177" i="7"/>
  <c r="R176" i="7"/>
  <c r="V175" i="7"/>
  <c r="F175" i="7"/>
  <c r="J174" i="7"/>
  <c r="N173" i="7"/>
  <c r="R172" i="7"/>
  <c r="V171" i="7"/>
  <c r="F171" i="7"/>
  <c r="J170" i="7"/>
  <c r="N169" i="7"/>
  <c r="R168" i="7"/>
  <c r="V167" i="7"/>
  <c r="F167" i="7"/>
  <c r="J166" i="7"/>
  <c r="N165" i="7"/>
  <c r="C251" i="7"/>
  <c r="E247" i="7"/>
  <c r="R245" i="7"/>
  <c r="T244" i="7"/>
  <c r="U243" i="7"/>
  <c r="C243" i="7"/>
  <c r="E242" i="7"/>
  <c r="F241" i="7"/>
  <c r="H240" i="7"/>
  <c r="J239" i="7"/>
  <c r="L238" i="7"/>
  <c r="M237" i="7"/>
  <c r="O236" i="7"/>
  <c r="R235" i="7"/>
  <c r="V234" i="7"/>
  <c r="F234" i="7"/>
  <c r="J233" i="7"/>
  <c r="N232" i="7"/>
  <c r="R231" i="7"/>
  <c r="V230" i="7"/>
  <c r="F230" i="7"/>
  <c r="J229" i="7"/>
  <c r="N228" i="7"/>
  <c r="R227" i="7"/>
  <c r="V226" i="7"/>
  <c r="F226" i="7"/>
  <c r="J225" i="7"/>
  <c r="N224" i="7"/>
  <c r="R223" i="7"/>
  <c r="V222" i="7"/>
  <c r="F222" i="7"/>
  <c r="J221" i="7"/>
  <c r="N220" i="7"/>
  <c r="R219" i="7"/>
  <c r="V218" i="7"/>
  <c r="F218" i="7"/>
  <c r="J217" i="7"/>
  <c r="N216" i="7"/>
  <c r="R215" i="7"/>
  <c r="V214" i="7"/>
  <c r="F214" i="7"/>
  <c r="J213" i="7"/>
  <c r="N212" i="7"/>
  <c r="R211" i="7"/>
  <c r="V210" i="7"/>
  <c r="F210" i="7"/>
  <c r="J209" i="7"/>
  <c r="N208" i="7"/>
  <c r="R207" i="7"/>
  <c r="V206" i="7"/>
  <c r="F206" i="7"/>
  <c r="J205" i="7"/>
  <c r="N204" i="7"/>
  <c r="R203" i="7"/>
  <c r="V202" i="7"/>
  <c r="F202" i="7"/>
  <c r="J201" i="7"/>
  <c r="N200" i="7"/>
  <c r="R199" i="7"/>
  <c r="V198" i="7"/>
  <c r="F198" i="7"/>
  <c r="J197" i="7"/>
  <c r="N196" i="7"/>
  <c r="R195" i="7"/>
  <c r="V194" i="7"/>
  <c r="F194" i="7"/>
  <c r="J193" i="7"/>
  <c r="N192" i="7"/>
  <c r="R191" i="7"/>
  <c r="V190" i="7"/>
  <c r="F190" i="7"/>
  <c r="J189" i="7"/>
  <c r="N188" i="7"/>
  <c r="R187" i="7"/>
  <c r="V186" i="7"/>
  <c r="F186" i="7"/>
  <c r="J185" i="7"/>
  <c r="N184" i="7"/>
  <c r="R183" i="7"/>
  <c r="V182" i="7"/>
  <c r="F182" i="7"/>
  <c r="J181" i="7"/>
  <c r="N180" i="7"/>
  <c r="R179" i="7"/>
  <c r="V178" i="7"/>
  <c r="F178" i="7"/>
  <c r="J177" i="7"/>
  <c r="N176" i="7"/>
  <c r="R175" i="7"/>
  <c r="V174" i="7"/>
  <c r="F174" i="7"/>
  <c r="M250" i="7"/>
  <c r="U246" i="7"/>
  <c r="Q245" i="7"/>
  <c r="R244" i="7"/>
  <c r="T243" i="7"/>
  <c r="V242" i="7"/>
  <c r="D242" i="7"/>
  <c r="E241" i="7"/>
  <c r="G240" i="7"/>
  <c r="I239" i="7"/>
  <c r="J238" i="7"/>
  <c r="L237" i="7"/>
  <c r="N236" i="7"/>
  <c r="Q235" i="7"/>
  <c r="U234" i="7"/>
  <c r="E234" i="7"/>
  <c r="I233" i="7"/>
  <c r="M232" i="7"/>
  <c r="Q231" i="7"/>
  <c r="U230" i="7"/>
  <c r="E230" i="7"/>
  <c r="I229" i="7"/>
  <c r="M228" i="7"/>
  <c r="Q227" i="7"/>
  <c r="U226" i="7"/>
  <c r="E226" i="7"/>
  <c r="I225" i="7"/>
  <c r="M224" i="7"/>
  <c r="Q223" i="7"/>
  <c r="U222" i="7"/>
  <c r="E222" i="7"/>
  <c r="I221" i="7"/>
  <c r="M220" i="7"/>
  <c r="Q219" i="7"/>
  <c r="U218" i="7"/>
  <c r="E218" i="7"/>
  <c r="I217" i="7"/>
  <c r="M216" i="7"/>
  <c r="Q215" i="7"/>
  <c r="U214" i="7"/>
  <c r="E214" i="7"/>
  <c r="I213" i="7"/>
  <c r="M212" i="7"/>
  <c r="Q211" i="7"/>
  <c r="U210" i="7"/>
  <c r="E210" i="7"/>
  <c r="I209" i="7"/>
  <c r="M208" i="7"/>
  <c r="Q207" i="7"/>
  <c r="U206" i="7"/>
  <c r="E206" i="7"/>
  <c r="I205" i="7"/>
  <c r="M204" i="7"/>
  <c r="Q203" i="7"/>
  <c r="U202" i="7"/>
  <c r="E202" i="7"/>
  <c r="I201" i="7"/>
  <c r="M200" i="7"/>
  <c r="Q199" i="7"/>
  <c r="U198" i="7"/>
  <c r="E198" i="7"/>
  <c r="I197" i="7"/>
  <c r="M196" i="7"/>
  <c r="Q195" i="7"/>
  <c r="U194" i="7"/>
  <c r="E194" i="7"/>
  <c r="I193" i="7"/>
  <c r="M192" i="7"/>
  <c r="Q191" i="7"/>
  <c r="U190" i="7"/>
  <c r="E190" i="7"/>
  <c r="I189" i="7"/>
  <c r="M188" i="7"/>
  <c r="Q187" i="7"/>
  <c r="U186" i="7"/>
  <c r="E186" i="7"/>
  <c r="I185" i="7"/>
  <c r="M184" i="7"/>
  <c r="Q183" i="7"/>
  <c r="U182" i="7"/>
  <c r="E182" i="7"/>
  <c r="I181" i="7"/>
  <c r="M180" i="7"/>
  <c r="Q179" i="7"/>
  <c r="U178" i="7"/>
  <c r="E178" i="7"/>
  <c r="I177" i="7"/>
  <c r="M176" i="7"/>
  <c r="Q175" i="7"/>
  <c r="U174" i="7"/>
  <c r="E174" i="7"/>
  <c r="I173" i="7"/>
  <c r="M172" i="7"/>
  <c r="Q171" i="7"/>
  <c r="U170" i="7"/>
  <c r="E170" i="7"/>
  <c r="I169" i="7"/>
  <c r="M168" i="7"/>
  <c r="Q167" i="7"/>
  <c r="U166" i="7"/>
  <c r="E166" i="7"/>
  <c r="I165" i="7"/>
  <c r="M164" i="7"/>
  <c r="V163" i="7"/>
  <c r="K163" i="7"/>
  <c r="V162" i="7"/>
  <c r="M162" i="7"/>
  <c r="D162" i="7"/>
  <c r="O161" i="7"/>
  <c r="F161" i="7"/>
  <c r="P160" i="7"/>
  <c r="G160" i="7"/>
  <c r="R159" i="7"/>
  <c r="I159" i="7"/>
  <c r="T158" i="7"/>
  <c r="K158" i="7"/>
  <c r="V157" i="7"/>
  <c r="L157" i="7"/>
  <c r="C157" i="7"/>
  <c r="N156" i="7"/>
  <c r="E156" i="7"/>
  <c r="P155" i="7"/>
  <c r="G155" i="7"/>
  <c r="R154" i="7"/>
  <c r="H154" i="7"/>
  <c r="T153" i="7"/>
  <c r="L153" i="7"/>
  <c r="D153" i="7"/>
  <c r="P152" i="7"/>
  <c r="H152" i="7"/>
  <c r="T151" i="7"/>
  <c r="L151" i="7"/>
  <c r="D151" i="7"/>
  <c r="P150" i="7"/>
  <c r="H150" i="7"/>
  <c r="T149" i="7"/>
  <c r="L149" i="7"/>
  <c r="D149" i="7"/>
  <c r="P148" i="7"/>
  <c r="H148" i="7"/>
  <c r="T147" i="7"/>
  <c r="L147" i="7"/>
  <c r="D147" i="7"/>
  <c r="P146" i="7"/>
  <c r="H146" i="7"/>
  <c r="T145" i="7"/>
  <c r="L145" i="7"/>
  <c r="D145" i="7"/>
  <c r="P144" i="7"/>
  <c r="H144" i="7"/>
  <c r="T143" i="7"/>
  <c r="L143" i="7"/>
  <c r="D143" i="7"/>
  <c r="P142" i="7"/>
  <c r="H142" i="7"/>
  <c r="T141" i="7"/>
  <c r="L141" i="7"/>
  <c r="D141" i="7"/>
  <c r="P140" i="7"/>
  <c r="H140" i="7"/>
  <c r="T139" i="7"/>
  <c r="L139" i="7"/>
  <c r="D139" i="7"/>
  <c r="P138" i="7"/>
  <c r="H138" i="7"/>
  <c r="T137" i="7"/>
  <c r="L137" i="7"/>
  <c r="D137" i="7"/>
  <c r="P136" i="7"/>
  <c r="H136" i="7"/>
  <c r="T135" i="7"/>
  <c r="L135" i="7"/>
  <c r="D135" i="7"/>
  <c r="P134" i="7"/>
  <c r="H134" i="7"/>
  <c r="T133" i="7"/>
  <c r="L133" i="7"/>
  <c r="D133" i="7"/>
  <c r="P132" i="7"/>
  <c r="H132" i="7"/>
  <c r="T131" i="7"/>
  <c r="L131" i="7"/>
  <c r="D131" i="7"/>
  <c r="P130" i="7"/>
  <c r="H130" i="7"/>
  <c r="T129" i="7"/>
  <c r="L129" i="7"/>
  <c r="D129" i="7"/>
  <c r="P128" i="7"/>
  <c r="H128" i="7"/>
  <c r="T127" i="7"/>
  <c r="L127" i="7"/>
  <c r="D127" i="7"/>
  <c r="P126" i="7"/>
  <c r="H126" i="7"/>
  <c r="T125" i="7"/>
  <c r="L125" i="7"/>
  <c r="D125" i="7"/>
  <c r="P124" i="7"/>
  <c r="H124" i="7"/>
  <c r="T123" i="7"/>
  <c r="L123" i="7"/>
  <c r="D123" i="7"/>
  <c r="P122" i="7"/>
  <c r="H122" i="7"/>
  <c r="T121" i="7"/>
  <c r="L121" i="7"/>
  <c r="D121" i="7"/>
  <c r="P120" i="7"/>
  <c r="H120" i="7"/>
  <c r="T119" i="7"/>
  <c r="L119" i="7"/>
  <c r="D119" i="7"/>
  <c r="P118" i="7"/>
  <c r="H118" i="7"/>
  <c r="T117" i="7"/>
  <c r="L117" i="7"/>
  <c r="D117" i="7"/>
  <c r="P116" i="7"/>
  <c r="H116" i="7"/>
  <c r="T115" i="7"/>
  <c r="L115" i="7"/>
  <c r="D115" i="7"/>
  <c r="P114" i="7"/>
  <c r="H114" i="7"/>
  <c r="T113" i="7"/>
  <c r="L113" i="7"/>
  <c r="D113" i="7"/>
  <c r="P112" i="7"/>
  <c r="H112" i="7"/>
  <c r="T111" i="7"/>
  <c r="L111" i="7"/>
  <c r="D111" i="7"/>
  <c r="P110" i="7"/>
  <c r="H110" i="7"/>
  <c r="T109" i="7"/>
  <c r="L109" i="7"/>
  <c r="D109" i="7"/>
  <c r="P108" i="7"/>
  <c r="H108" i="7"/>
  <c r="T107" i="7"/>
  <c r="L107" i="7"/>
  <c r="D107" i="7"/>
  <c r="P106" i="7"/>
  <c r="H106" i="7"/>
  <c r="T105" i="7"/>
  <c r="L105" i="7"/>
  <c r="D105" i="7"/>
  <c r="P104" i="7"/>
  <c r="H104" i="7"/>
  <c r="T103" i="7"/>
  <c r="L103" i="7"/>
  <c r="D103" i="7"/>
  <c r="P102" i="7"/>
  <c r="H102" i="7"/>
  <c r="T101" i="7"/>
  <c r="L101" i="7"/>
  <c r="D101" i="7"/>
  <c r="P100" i="7"/>
  <c r="H100" i="7"/>
  <c r="T99" i="7"/>
  <c r="L99" i="7"/>
  <c r="D99" i="7"/>
  <c r="P98" i="7"/>
  <c r="H98" i="7"/>
  <c r="T97" i="7"/>
  <c r="L97" i="7"/>
  <c r="D97" i="7"/>
  <c r="P96" i="7"/>
  <c r="H96" i="7"/>
  <c r="T95" i="7"/>
  <c r="L95" i="7"/>
  <c r="D95" i="7"/>
  <c r="P94" i="7"/>
  <c r="H94" i="7"/>
  <c r="T93" i="7"/>
  <c r="L93" i="7"/>
  <c r="D93" i="7"/>
  <c r="P92" i="7"/>
  <c r="H92" i="7"/>
  <c r="T91" i="7"/>
  <c r="L91" i="7"/>
  <c r="D91" i="7"/>
  <c r="P90" i="7"/>
  <c r="H90" i="7"/>
  <c r="T89" i="7"/>
  <c r="L89" i="7"/>
  <c r="D89" i="7"/>
  <c r="P88" i="7"/>
  <c r="H88" i="7"/>
  <c r="T87" i="7"/>
  <c r="L87" i="7"/>
  <c r="D87" i="7"/>
  <c r="P86" i="7"/>
  <c r="H86" i="7"/>
  <c r="T85" i="7"/>
  <c r="L85" i="7"/>
  <c r="D85" i="7"/>
  <c r="P84" i="7"/>
  <c r="H84" i="7"/>
  <c r="D24" i="7"/>
  <c r="L24" i="7"/>
  <c r="T24" i="7"/>
  <c r="G25" i="7"/>
  <c r="O25" i="7"/>
  <c r="J26" i="7"/>
  <c r="R26" i="7"/>
  <c r="F27" i="7"/>
  <c r="N27" i="7"/>
  <c r="V27" i="7"/>
  <c r="J28" i="7"/>
  <c r="R28" i="7"/>
  <c r="F29" i="7"/>
  <c r="N29" i="7"/>
  <c r="V29" i="7"/>
  <c r="J30" i="7"/>
  <c r="R30" i="7"/>
  <c r="F31" i="7"/>
  <c r="N31" i="7"/>
  <c r="V31" i="7"/>
  <c r="J32" i="7"/>
  <c r="R32" i="7"/>
  <c r="F33" i="7"/>
  <c r="N33" i="7"/>
  <c r="V33" i="7"/>
  <c r="J34" i="7"/>
  <c r="R34" i="7"/>
  <c r="F35" i="7"/>
  <c r="N35" i="7"/>
  <c r="V35" i="7"/>
  <c r="J36" i="7"/>
  <c r="R36" i="7"/>
  <c r="F37" i="7"/>
  <c r="N37" i="7"/>
  <c r="V37" i="7"/>
  <c r="J38" i="7"/>
  <c r="R38" i="7"/>
  <c r="F39" i="7"/>
  <c r="N39" i="7"/>
  <c r="V39" i="7"/>
  <c r="J40" i="7"/>
  <c r="R40" i="7"/>
  <c r="F41" i="7"/>
  <c r="N41" i="7"/>
  <c r="V41" i="7"/>
  <c r="J42" i="7"/>
  <c r="R42" i="7"/>
  <c r="F43" i="7"/>
  <c r="N43" i="7"/>
  <c r="V43" i="7"/>
  <c r="J44" i="7"/>
  <c r="R44" i="7"/>
  <c r="F45" i="7"/>
  <c r="N45" i="7"/>
  <c r="V45" i="7"/>
  <c r="J46" i="7"/>
  <c r="R46" i="7"/>
  <c r="F47" i="7"/>
  <c r="N47" i="7"/>
  <c r="V47" i="7"/>
  <c r="J48" i="7"/>
  <c r="R48" i="7"/>
  <c r="F49" i="7"/>
  <c r="N49" i="7"/>
  <c r="V49" i="7"/>
  <c r="J50" i="7"/>
  <c r="R50" i="7"/>
  <c r="F51" i="7"/>
  <c r="N51" i="7"/>
  <c r="V51" i="7"/>
  <c r="J52" i="7"/>
  <c r="R52" i="7"/>
  <c r="F53" i="7"/>
  <c r="N53" i="7"/>
  <c r="V53" i="7"/>
  <c r="J54" i="7"/>
  <c r="R54" i="7"/>
  <c r="F55" i="7"/>
  <c r="N55" i="7"/>
  <c r="V55" i="7"/>
  <c r="J56" i="7"/>
  <c r="R56" i="7"/>
  <c r="F57" i="7"/>
  <c r="N57" i="7"/>
  <c r="V57" i="7"/>
  <c r="J58" i="7"/>
  <c r="R58" i="7"/>
  <c r="F59" i="7"/>
  <c r="N59" i="7"/>
  <c r="C60" i="7"/>
  <c r="L60" i="7"/>
  <c r="U60" i="7"/>
  <c r="J61" i="7"/>
  <c r="T61" i="7"/>
  <c r="I62" i="7"/>
  <c r="R62" i="7"/>
  <c r="G63" i="7"/>
  <c r="P63" i="7"/>
  <c r="E64" i="7"/>
  <c r="N64" i="7"/>
  <c r="D65" i="7"/>
  <c r="M65" i="7"/>
  <c r="V65" i="7"/>
  <c r="K66" i="7"/>
  <c r="T66" i="7"/>
  <c r="I67" i="7"/>
  <c r="T67" i="7"/>
  <c r="J68" i="7"/>
  <c r="T68" i="7"/>
  <c r="L69" i="7"/>
  <c r="V69" i="7"/>
  <c r="L70" i="7"/>
  <c r="D71" i="7"/>
  <c r="N71" i="7"/>
  <c r="D72" i="7"/>
  <c r="P72" i="7"/>
  <c r="F73" i="7"/>
  <c r="P73" i="7"/>
  <c r="H74" i="7"/>
  <c r="R74" i="7"/>
  <c r="H75" i="7"/>
  <c r="T75" i="7"/>
  <c r="J76" i="7"/>
  <c r="T76" i="7"/>
  <c r="L77" i="7"/>
  <c r="V77" i="7"/>
  <c r="L78" i="7"/>
  <c r="D79" i="7"/>
  <c r="N79" i="7"/>
  <c r="D80" i="7"/>
  <c r="P80" i="7"/>
  <c r="F81" i="7"/>
  <c r="P81" i="7"/>
  <c r="H82" i="7"/>
  <c r="R82" i="7"/>
  <c r="H83" i="7"/>
  <c r="T83" i="7"/>
  <c r="K84" i="7"/>
  <c r="E85" i="7"/>
  <c r="P85" i="7"/>
  <c r="J86" i="7"/>
  <c r="F87" i="7"/>
  <c r="V87" i="7"/>
  <c r="R88" i="7"/>
  <c r="N89" i="7"/>
  <c r="J90" i="7"/>
  <c r="F91" i="7"/>
  <c r="V91" i="7"/>
  <c r="R92" i="7"/>
  <c r="N93" i="7"/>
  <c r="J94" i="7"/>
  <c r="F95" i="7"/>
  <c r="V95" i="7"/>
  <c r="R96" i="7"/>
  <c r="N97" i="7"/>
  <c r="J98" i="7"/>
  <c r="F99" i="7"/>
  <c r="V99" i="7"/>
  <c r="R100" i="7"/>
  <c r="N101" i="7"/>
  <c r="J102" i="7"/>
  <c r="F103" i="7"/>
  <c r="V103" i="7"/>
  <c r="R104" i="7"/>
  <c r="N105" i="7"/>
  <c r="J106" i="7"/>
  <c r="F107" i="7"/>
  <c r="V107" i="7"/>
  <c r="R108" i="7"/>
  <c r="N109" i="7"/>
  <c r="J110" i="7"/>
  <c r="F111" i="7"/>
  <c r="V111" i="7"/>
  <c r="R112" i="7"/>
  <c r="N113" i="7"/>
  <c r="J114" i="7"/>
  <c r="F115" i="7"/>
  <c r="V115" i="7"/>
  <c r="R116" i="7"/>
  <c r="N117" i="7"/>
  <c r="J118" i="7"/>
  <c r="F119" i="7"/>
  <c r="V119" i="7"/>
  <c r="R120" i="7"/>
  <c r="N121" i="7"/>
  <c r="J122" i="7"/>
  <c r="F123" i="7"/>
  <c r="V123" i="7"/>
  <c r="R124" i="7"/>
  <c r="N125" i="7"/>
  <c r="J126" i="7"/>
  <c r="F127" i="7"/>
  <c r="V127" i="7"/>
  <c r="R128" i="7"/>
  <c r="N129" i="7"/>
  <c r="J130" i="7"/>
  <c r="F131" i="7"/>
  <c r="V131" i="7"/>
  <c r="R132" i="7"/>
  <c r="N133" i="7"/>
  <c r="J134" i="7"/>
  <c r="F135" i="7"/>
  <c r="V135" i="7"/>
  <c r="R136" i="7"/>
  <c r="N137" i="7"/>
  <c r="J138" i="7"/>
  <c r="F139" i="7"/>
  <c r="V139" i="7"/>
  <c r="R140" i="7"/>
  <c r="N141" i="7"/>
  <c r="J142" i="7"/>
  <c r="F143" i="7"/>
  <c r="V143" i="7"/>
  <c r="R144" i="7"/>
  <c r="N145" i="7"/>
  <c r="J146" i="7"/>
  <c r="F147" i="7"/>
  <c r="V147" i="7"/>
  <c r="R148" i="7"/>
  <c r="N149" i="7"/>
  <c r="J150" i="7"/>
  <c r="F151" i="7"/>
  <c r="V151" i="7"/>
  <c r="R152" i="7"/>
  <c r="N153" i="7"/>
  <c r="K154" i="7"/>
  <c r="I155" i="7"/>
  <c r="G156" i="7"/>
  <c r="F157" i="7"/>
  <c r="L158" i="7"/>
  <c r="L159" i="7"/>
  <c r="S160" i="7"/>
  <c r="E162" i="7"/>
  <c r="F163" i="7"/>
  <c r="R164" i="7"/>
  <c r="F170" i="7"/>
  <c r="E8" i="7"/>
  <c r="M8" i="7"/>
  <c r="U8" i="7"/>
  <c r="E24" i="7"/>
  <c r="M24" i="7"/>
  <c r="U24" i="7"/>
  <c r="H25" i="7"/>
  <c r="P25" i="7"/>
  <c r="C26" i="7"/>
  <c r="K26" i="7"/>
  <c r="S26" i="7"/>
  <c r="G27" i="7"/>
  <c r="O27" i="7"/>
  <c r="C28" i="7"/>
  <c r="K28" i="7"/>
  <c r="S28" i="7"/>
  <c r="G29" i="7"/>
  <c r="O29" i="7"/>
  <c r="C30" i="7"/>
  <c r="K30" i="7"/>
  <c r="S30" i="7"/>
  <c r="G31" i="7"/>
  <c r="O31" i="7"/>
  <c r="C32" i="7"/>
  <c r="K32" i="7"/>
  <c r="S32" i="7"/>
  <c r="G33" i="7"/>
  <c r="O33" i="7"/>
  <c r="C34" i="7"/>
  <c r="K34" i="7"/>
  <c r="S34" i="7"/>
  <c r="G35" i="7"/>
  <c r="O35" i="7"/>
  <c r="C36" i="7"/>
  <c r="K36" i="7"/>
  <c r="S36" i="7"/>
  <c r="G37" i="7"/>
  <c r="O37" i="7"/>
  <c r="C38" i="7"/>
  <c r="K38" i="7"/>
  <c r="S38" i="7"/>
  <c r="G39" i="7"/>
  <c r="O39" i="7"/>
  <c r="C40" i="7"/>
  <c r="K40" i="7"/>
  <c r="S40" i="7"/>
  <c r="G41" i="7"/>
  <c r="O41" i="7"/>
  <c r="C42" i="7"/>
  <c r="K42" i="7"/>
  <c r="S42" i="7"/>
  <c r="G43" i="7"/>
  <c r="O43" i="7"/>
  <c r="C44" i="7"/>
  <c r="K44" i="7"/>
  <c r="S44" i="7"/>
  <c r="G45" i="7"/>
  <c r="O45" i="7"/>
  <c r="C46" i="7"/>
  <c r="K46" i="7"/>
  <c r="S46" i="7"/>
  <c r="G47" i="7"/>
  <c r="O47" i="7"/>
  <c r="C48" i="7"/>
  <c r="K48" i="7"/>
  <c r="S48" i="7"/>
  <c r="G49" i="7"/>
  <c r="O49" i="7"/>
  <c r="C50" i="7"/>
  <c r="K50" i="7"/>
  <c r="S50" i="7"/>
  <c r="G51" i="7"/>
  <c r="O51" i="7"/>
  <c r="C52" i="7"/>
  <c r="K52" i="7"/>
  <c r="S52" i="7"/>
  <c r="G53" i="7"/>
  <c r="O53" i="7"/>
  <c r="C54" i="7"/>
  <c r="K54" i="7"/>
  <c r="S54" i="7"/>
  <c r="G55" i="7"/>
  <c r="O55" i="7"/>
  <c r="C56" i="7"/>
  <c r="K56" i="7"/>
  <c r="S56" i="7"/>
  <c r="G57" i="7"/>
  <c r="O57" i="7"/>
  <c r="C58" i="7"/>
  <c r="K58" i="7"/>
  <c r="S58" i="7"/>
  <c r="G59" i="7"/>
  <c r="O59" i="7"/>
  <c r="D60" i="7"/>
  <c r="M60" i="7"/>
  <c r="V60" i="7"/>
  <c r="L61" i="7"/>
  <c r="U61" i="7"/>
  <c r="J62" i="7"/>
  <c r="S62" i="7"/>
  <c r="H63" i="7"/>
  <c r="Q63" i="7"/>
  <c r="F64" i="7"/>
  <c r="P64" i="7"/>
  <c r="E65" i="7"/>
  <c r="N65" i="7"/>
  <c r="C66" i="7"/>
  <c r="L66" i="7"/>
  <c r="U66" i="7"/>
  <c r="J67" i="7"/>
  <c r="U67" i="7"/>
  <c r="K68" i="7"/>
  <c r="U68" i="7"/>
  <c r="M69" i="7"/>
  <c r="C70" i="7"/>
  <c r="M70" i="7"/>
  <c r="E71" i="7"/>
  <c r="O71" i="7"/>
  <c r="E72" i="7"/>
  <c r="Q72" i="7"/>
  <c r="G73" i="7"/>
  <c r="Q73" i="7"/>
  <c r="I74" i="7"/>
  <c r="S74" i="7"/>
  <c r="I75" i="7"/>
  <c r="U75" i="7"/>
  <c r="K76" i="7"/>
  <c r="U76" i="7"/>
  <c r="M77" i="7"/>
  <c r="C78" i="7"/>
  <c r="M78" i="7"/>
  <c r="E79" i="7"/>
  <c r="O79" i="7"/>
  <c r="E80" i="7"/>
  <c r="Q80" i="7"/>
  <c r="G81" i="7"/>
  <c r="Q81" i="7"/>
  <c r="I82" i="7"/>
  <c r="S82" i="7"/>
  <c r="I83" i="7"/>
  <c r="U83" i="7"/>
  <c r="L84" i="7"/>
  <c r="F85" i="7"/>
  <c r="Q85" i="7"/>
  <c r="K86" i="7"/>
  <c r="G87" i="7"/>
  <c r="C88" i="7"/>
  <c r="S88" i="7"/>
  <c r="O89" i="7"/>
  <c r="K90" i="7"/>
  <c r="G91" i="7"/>
  <c r="C92" i="7"/>
  <c r="S92" i="7"/>
  <c r="O93" i="7"/>
  <c r="K94" i="7"/>
  <c r="G95" i="7"/>
  <c r="C96" i="7"/>
  <c r="S96" i="7"/>
  <c r="O97" i="7"/>
  <c r="K98" i="7"/>
  <c r="G99" i="7"/>
  <c r="C100" i="7"/>
  <c r="S100" i="7"/>
  <c r="O101" i="7"/>
  <c r="K102" i="7"/>
  <c r="G103" i="7"/>
  <c r="C104" i="7"/>
  <c r="S104" i="7"/>
  <c r="O105" i="7"/>
  <c r="K106" i="7"/>
  <c r="G107" i="7"/>
  <c r="C108" i="7"/>
  <c r="S108" i="7"/>
  <c r="O109" i="7"/>
  <c r="K110" i="7"/>
  <c r="G111" i="7"/>
  <c r="C112" i="7"/>
  <c r="S112" i="7"/>
  <c r="O113" i="7"/>
  <c r="K114" i="7"/>
  <c r="G115" i="7"/>
  <c r="C116" i="7"/>
  <c r="S116" i="7"/>
  <c r="O117" i="7"/>
  <c r="K118" i="7"/>
  <c r="G119" i="7"/>
  <c r="C120" i="7"/>
  <c r="S120" i="7"/>
  <c r="O121" i="7"/>
  <c r="K122" i="7"/>
  <c r="G123" i="7"/>
  <c r="C124" i="7"/>
  <c r="S124" i="7"/>
  <c r="O125" i="7"/>
  <c r="K126" i="7"/>
  <c r="G127" i="7"/>
  <c r="C128" i="7"/>
  <c r="S128" i="7"/>
  <c r="O129" i="7"/>
  <c r="K130" i="7"/>
  <c r="G131" i="7"/>
  <c r="C132" i="7"/>
  <c r="S132" i="7"/>
  <c r="O133" i="7"/>
  <c r="K134" i="7"/>
  <c r="G135" i="7"/>
  <c r="C136" i="7"/>
  <c r="S136" i="7"/>
  <c r="O137" i="7"/>
  <c r="K138" i="7"/>
  <c r="G139" i="7"/>
  <c r="C140" i="7"/>
  <c r="S140" i="7"/>
  <c r="O141" i="7"/>
  <c r="K142" i="7"/>
  <c r="G143" i="7"/>
  <c r="C144" i="7"/>
  <c r="S144" i="7"/>
  <c r="O145" i="7"/>
  <c r="K146" i="7"/>
  <c r="G147" i="7"/>
  <c r="C148" i="7"/>
  <c r="S148" i="7"/>
  <c r="O149" i="7"/>
  <c r="K150" i="7"/>
  <c r="G151" i="7"/>
  <c r="C152" i="7"/>
  <c r="S152" i="7"/>
  <c r="O153" i="7"/>
  <c r="L154" i="7"/>
  <c r="J155" i="7"/>
  <c r="H156" i="7"/>
  <c r="G157" i="7"/>
  <c r="M158" i="7"/>
  <c r="S159" i="7"/>
  <c r="T160" i="7"/>
  <c r="F162" i="7"/>
  <c r="L163" i="7"/>
  <c r="T164" i="7"/>
  <c r="V170" i="7"/>
  <c r="F8" i="7"/>
  <c r="N8" i="7"/>
  <c r="F24" i="7"/>
  <c r="N24" i="7"/>
  <c r="V24" i="7"/>
  <c r="I25" i="7"/>
  <c r="Q25" i="7"/>
  <c r="D26" i="7"/>
  <c r="L26" i="7"/>
  <c r="T26" i="7"/>
  <c r="H27" i="7"/>
  <c r="P27" i="7"/>
  <c r="D28" i="7"/>
  <c r="L28" i="7"/>
  <c r="T28" i="7"/>
  <c r="H29" i="7"/>
  <c r="P29" i="7"/>
  <c r="D30" i="7"/>
  <c r="L30" i="7"/>
  <c r="T30" i="7"/>
  <c r="H31" i="7"/>
  <c r="P31" i="7"/>
  <c r="D32" i="7"/>
  <c r="L32" i="7"/>
  <c r="T32" i="7"/>
  <c r="H33" i="7"/>
  <c r="P33" i="7"/>
  <c r="D34" i="7"/>
  <c r="L34" i="7"/>
  <c r="T34" i="7"/>
  <c r="H35" i="7"/>
  <c r="P35" i="7"/>
  <c r="D36" i="7"/>
  <c r="L36" i="7"/>
  <c r="T36" i="7"/>
  <c r="H37" i="7"/>
  <c r="P37" i="7"/>
  <c r="D38" i="7"/>
  <c r="L38" i="7"/>
  <c r="T38" i="7"/>
  <c r="H39" i="7"/>
  <c r="P39" i="7"/>
  <c r="D40" i="7"/>
  <c r="L40" i="7"/>
  <c r="T40" i="7"/>
  <c r="H41" i="7"/>
  <c r="P41" i="7"/>
  <c r="D42" i="7"/>
  <c r="L42" i="7"/>
  <c r="T42" i="7"/>
  <c r="H43" i="7"/>
  <c r="P43" i="7"/>
  <c r="D44" i="7"/>
  <c r="L44" i="7"/>
  <c r="T44" i="7"/>
  <c r="H45" i="7"/>
  <c r="P45" i="7"/>
  <c r="D46" i="7"/>
  <c r="L46" i="7"/>
  <c r="T46" i="7"/>
  <c r="H47" i="7"/>
  <c r="P47" i="7"/>
  <c r="D48" i="7"/>
  <c r="L48" i="7"/>
  <c r="T48" i="7"/>
  <c r="H49" i="7"/>
  <c r="P49" i="7"/>
  <c r="D50" i="7"/>
  <c r="L50" i="7"/>
  <c r="T50" i="7"/>
  <c r="H51" i="7"/>
  <c r="P51" i="7"/>
  <c r="D52" i="7"/>
  <c r="L52" i="7"/>
  <c r="T52" i="7"/>
  <c r="H53" i="7"/>
  <c r="P53" i="7"/>
  <c r="D54" i="7"/>
  <c r="L54" i="7"/>
  <c r="T54" i="7"/>
  <c r="H55" i="7"/>
  <c r="P55" i="7"/>
  <c r="D56" i="7"/>
  <c r="L56" i="7"/>
  <c r="T56" i="7"/>
  <c r="H57" i="7"/>
  <c r="P57" i="7"/>
  <c r="D58" i="7"/>
  <c r="L58" i="7"/>
  <c r="T58" i="7"/>
  <c r="H59" i="7"/>
  <c r="P59" i="7"/>
  <c r="E60" i="7"/>
  <c r="N60" i="7"/>
  <c r="D61" i="7"/>
  <c r="M61" i="7"/>
  <c r="V61" i="7"/>
  <c r="K62" i="7"/>
  <c r="T62" i="7"/>
  <c r="I63" i="7"/>
  <c r="R63" i="7"/>
  <c r="H64" i="7"/>
  <c r="Q64" i="7"/>
  <c r="F65" i="7"/>
  <c r="O65" i="7"/>
  <c r="D66" i="7"/>
  <c r="M66" i="7"/>
  <c r="V66" i="7"/>
  <c r="L67" i="7"/>
  <c r="V67" i="7"/>
  <c r="L68" i="7"/>
  <c r="D69" i="7"/>
  <c r="N69" i="7"/>
  <c r="D70" i="7"/>
  <c r="P70" i="7"/>
  <c r="F71" i="7"/>
  <c r="P71" i="7"/>
  <c r="H72" i="7"/>
  <c r="R72" i="7"/>
  <c r="H73" i="7"/>
  <c r="T73" i="7"/>
  <c r="J74" i="7"/>
  <c r="T74" i="7"/>
  <c r="L75" i="7"/>
  <c r="V75" i="7"/>
  <c r="L76" i="7"/>
  <c r="D77" i="7"/>
  <c r="N77" i="7"/>
  <c r="D78" i="7"/>
  <c r="P78" i="7"/>
  <c r="F79" i="7"/>
  <c r="P79" i="7"/>
  <c r="H80" i="7"/>
  <c r="R80" i="7"/>
  <c r="H81" i="7"/>
  <c r="T81" i="7"/>
  <c r="J82" i="7"/>
  <c r="T82" i="7"/>
  <c r="L83" i="7"/>
  <c r="V83" i="7"/>
  <c r="M84" i="7"/>
  <c r="G85" i="7"/>
  <c r="U85" i="7"/>
  <c r="L86" i="7"/>
  <c r="H87" i="7"/>
  <c r="D88" i="7"/>
  <c r="T88" i="7"/>
  <c r="P89" i="7"/>
  <c r="L90" i="7"/>
  <c r="H91" i="7"/>
  <c r="D92" i="7"/>
  <c r="T92" i="7"/>
  <c r="P93" i="7"/>
  <c r="L94" i="7"/>
  <c r="H95" i="7"/>
  <c r="D96" i="7"/>
  <c r="T96" i="7"/>
  <c r="P97" i="7"/>
  <c r="L98" i="7"/>
  <c r="H99" i="7"/>
  <c r="D100" i="7"/>
  <c r="T100" i="7"/>
  <c r="P101" i="7"/>
  <c r="L102" i="7"/>
  <c r="H103" i="7"/>
  <c r="D104" i="7"/>
  <c r="T104" i="7"/>
  <c r="P105" i="7"/>
  <c r="L106" i="7"/>
  <c r="H107" i="7"/>
  <c r="D108" i="7"/>
  <c r="T108" i="7"/>
  <c r="P109" i="7"/>
  <c r="L110" i="7"/>
  <c r="H111" i="7"/>
  <c r="D112" i="7"/>
  <c r="T112" i="7"/>
  <c r="P113" i="7"/>
  <c r="L114" i="7"/>
  <c r="H115" i="7"/>
  <c r="D116" i="7"/>
  <c r="T116" i="7"/>
  <c r="P117" i="7"/>
  <c r="L118" i="7"/>
  <c r="H119" i="7"/>
  <c r="D120" i="7"/>
  <c r="T120" i="7"/>
  <c r="P121" i="7"/>
  <c r="L122" i="7"/>
  <c r="H123" i="7"/>
  <c r="D124" i="7"/>
  <c r="T124" i="7"/>
  <c r="P125" i="7"/>
  <c r="L126" i="7"/>
  <c r="H127" i="7"/>
  <c r="D128" i="7"/>
  <c r="T128" i="7"/>
  <c r="P129" i="7"/>
  <c r="L130" i="7"/>
  <c r="H131" i="7"/>
  <c r="D132" i="7"/>
  <c r="T132" i="7"/>
  <c r="P133" i="7"/>
  <c r="L134" i="7"/>
  <c r="H135" i="7"/>
  <c r="D136" i="7"/>
  <c r="T136" i="7"/>
  <c r="P137" i="7"/>
  <c r="L138" i="7"/>
  <c r="H139" i="7"/>
  <c r="D140" i="7"/>
  <c r="T140" i="7"/>
  <c r="P141" i="7"/>
  <c r="L142" i="7"/>
  <c r="H143" i="7"/>
  <c r="D144" i="7"/>
  <c r="T144" i="7"/>
  <c r="P145" i="7"/>
  <c r="L146" i="7"/>
  <c r="H147" i="7"/>
  <c r="D148" i="7"/>
  <c r="T148" i="7"/>
  <c r="P149" i="7"/>
  <c r="L150" i="7"/>
  <c r="H151" i="7"/>
  <c r="D152" i="7"/>
  <c r="T152" i="7"/>
  <c r="P153" i="7"/>
  <c r="M154" i="7"/>
  <c r="K155" i="7"/>
  <c r="J156" i="7"/>
  <c r="N157" i="7"/>
  <c r="N158" i="7"/>
  <c r="T159" i="7"/>
  <c r="G161" i="7"/>
  <c r="G162" i="7"/>
  <c r="N163" i="7"/>
  <c r="J165" i="7"/>
  <c r="R171" i="7"/>
  <c r="F9" i="7" l="1"/>
  <c r="T6" i="7"/>
  <c r="T7" i="7" s="1"/>
  <c r="T4" i="7"/>
  <c r="T5" i="7"/>
  <c r="G4" i="7"/>
  <c r="G5" i="7"/>
  <c r="G6" i="7"/>
  <c r="G7" i="7" s="1"/>
  <c r="D8" i="7"/>
  <c r="D9" i="7"/>
  <c r="O78" i="8"/>
  <c r="J10" i="8"/>
  <c r="J18" i="8"/>
  <c r="J26" i="8"/>
  <c r="J34" i="8"/>
  <c r="J42" i="8"/>
  <c r="J50" i="8"/>
  <c r="J58" i="8"/>
  <c r="J66" i="8"/>
  <c r="K11" i="8"/>
  <c r="K19" i="8"/>
  <c r="K27" i="8"/>
  <c r="K35" i="8"/>
  <c r="K43" i="8"/>
  <c r="K51" i="8"/>
  <c r="K59" i="8"/>
  <c r="K67" i="8"/>
  <c r="I116" i="8"/>
  <c r="I124" i="8"/>
  <c r="O142" i="8"/>
  <c r="H5" i="8"/>
  <c r="H13" i="8"/>
  <c r="H21" i="8"/>
  <c r="H29" i="8"/>
  <c r="H37" i="8"/>
  <c r="H45" i="8"/>
  <c r="H53" i="8"/>
  <c r="H61" i="8"/>
  <c r="H69" i="8"/>
  <c r="L77" i="8"/>
  <c r="M91" i="8"/>
  <c r="M99" i="8"/>
  <c r="M107" i="8"/>
  <c r="M115" i="8"/>
  <c r="M123" i="8"/>
  <c r="H143" i="8"/>
  <c r="M81" i="8"/>
  <c r="K148" i="8"/>
  <c r="K72" i="8"/>
  <c r="H83" i="8"/>
  <c r="M165" i="8"/>
  <c r="M82" i="8"/>
  <c r="L7" i="8"/>
  <c r="L11" i="8"/>
  <c r="L15" i="8"/>
  <c r="L19" i="8"/>
  <c r="L23" i="8"/>
  <c r="L27" i="8"/>
  <c r="L31" i="8"/>
  <c r="L35" i="8"/>
  <c r="L39" i="8"/>
  <c r="L43" i="8"/>
  <c r="L47" i="8"/>
  <c r="L51" i="8"/>
  <c r="L55" i="8"/>
  <c r="L59" i="8"/>
  <c r="L63" i="8"/>
  <c r="L67" i="8"/>
  <c r="L71" i="8"/>
  <c r="H80" i="8"/>
  <c r="K141" i="8"/>
  <c r="M3" i="8"/>
  <c r="M11" i="8"/>
  <c r="M19" i="8"/>
  <c r="M27" i="8"/>
  <c r="M35" i="8"/>
  <c r="M43" i="8"/>
  <c r="M51" i="8"/>
  <c r="M59" i="8"/>
  <c r="M67" i="8"/>
  <c r="O77" i="8"/>
  <c r="I88" i="8"/>
  <c r="O74" i="8"/>
  <c r="H89" i="8"/>
  <c r="H97" i="8"/>
  <c r="H105" i="8"/>
  <c r="H113" i="8"/>
  <c r="H121" i="8"/>
  <c r="H129" i="8"/>
  <c r="Q118" i="8"/>
  <c r="Q126" i="8"/>
  <c r="Q133" i="8"/>
  <c r="Q143" i="8"/>
  <c r="M155" i="8"/>
  <c r="Q175" i="8"/>
  <c r="M164" i="8"/>
  <c r="O183" i="8"/>
  <c r="K135" i="8"/>
  <c r="L145" i="8"/>
  <c r="K168" i="8"/>
  <c r="I222" i="8"/>
  <c r="M141" i="8"/>
  <c r="K152" i="8"/>
  <c r="L170" i="8"/>
  <c r="H213" i="8"/>
  <c r="J76" i="8"/>
  <c r="J84" i="8"/>
  <c r="J92" i="8"/>
  <c r="J100" i="8"/>
  <c r="J108" i="8"/>
  <c r="J116" i="8"/>
  <c r="J124" i="8"/>
  <c r="M131" i="8"/>
  <c r="M143" i="8"/>
  <c r="I157" i="8"/>
  <c r="O174" i="8"/>
  <c r="L223" i="8"/>
  <c r="K81" i="8"/>
  <c r="K89" i="8"/>
  <c r="K97" i="8"/>
  <c r="K105" i="8"/>
  <c r="K113" i="8"/>
  <c r="K121" i="8"/>
  <c r="K129" i="8"/>
  <c r="I140" i="8"/>
  <c r="Q154" i="8"/>
  <c r="J169" i="8"/>
  <c r="J215" i="8"/>
  <c r="L92" i="8"/>
  <c r="L96" i="8"/>
  <c r="L100" i="8"/>
  <c r="L104" i="8"/>
  <c r="L108" i="8"/>
  <c r="L112" i="8"/>
  <c r="L116" i="8"/>
  <c r="L120" i="8"/>
  <c r="L124" i="8"/>
  <c r="L128" i="8"/>
  <c r="O133" i="8"/>
  <c r="J148" i="8"/>
  <c r="L165" i="8"/>
  <c r="K215" i="8"/>
  <c r="J149" i="8"/>
  <c r="Q158" i="8"/>
  <c r="J177" i="8"/>
  <c r="J196" i="8"/>
  <c r="H146" i="8"/>
  <c r="L156" i="8"/>
  <c r="M166" i="8"/>
  <c r="M174" i="8"/>
  <c r="H197" i="8"/>
  <c r="I236" i="8"/>
  <c r="Q140" i="8"/>
  <c r="O147" i="8"/>
  <c r="I154" i="8"/>
  <c r="M161" i="8"/>
  <c r="K179" i="8"/>
  <c r="H214" i="8"/>
  <c r="K132" i="8"/>
  <c r="J142" i="8"/>
  <c r="H153" i="8"/>
  <c r="J162" i="8"/>
  <c r="H188" i="8"/>
  <c r="O227" i="8"/>
  <c r="I169" i="8"/>
  <c r="H178" i="8"/>
  <c r="H187" i="8"/>
  <c r="K198" i="8"/>
  <c r="K206" i="8"/>
  <c r="K218" i="8"/>
  <c r="K234" i="8"/>
  <c r="K260" i="8"/>
  <c r="I268" i="8"/>
  <c r="Q250" i="8"/>
  <c r="I240" i="8"/>
  <c r="I293" i="8"/>
  <c r="H265" i="8"/>
  <c r="Q166" i="8"/>
  <c r="Q174" i="8"/>
  <c r="H182" i="8"/>
  <c r="I193" i="8"/>
  <c r="H202" i="8"/>
  <c r="H210" i="8"/>
  <c r="L228" i="8"/>
  <c r="Q269" i="8"/>
  <c r="I182" i="8"/>
  <c r="J193" i="8"/>
  <c r="I202" i="8"/>
  <c r="I210" i="8"/>
  <c r="I226" i="8"/>
  <c r="V8" i="7"/>
  <c r="V9" i="7"/>
  <c r="U6" i="7"/>
  <c r="U7" i="7" s="1"/>
  <c r="U4" i="7"/>
  <c r="U5" i="7"/>
  <c r="P8" i="7"/>
  <c r="P9" i="7"/>
  <c r="O8" i="7"/>
  <c r="O9" i="7"/>
  <c r="J222" i="8"/>
  <c r="J77" i="8"/>
  <c r="J85" i="8"/>
  <c r="J93" i="8"/>
  <c r="J101" i="8"/>
  <c r="J109" i="8"/>
  <c r="J117" i="8"/>
  <c r="J125" i="8"/>
  <c r="J171" i="8"/>
  <c r="L149" i="8"/>
  <c r="L150" i="8"/>
  <c r="L160" i="8"/>
  <c r="L178" i="8"/>
  <c r="J147" i="8"/>
  <c r="L216" i="8"/>
  <c r="L143" i="8"/>
  <c r="J154" i="8"/>
  <c r="J191" i="8"/>
  <c r="J179" i="8"/>
  <c r="L189" i="8"/>
  <c r="L276" i="8"/>
  <c r="J211" i="8"/>
  <c r="L184" i="8"/>
  <c r="J199" i="8"/>
  <c r="J207" i="8"/>
  <c r="L308" i="8"/>
  <c r="J217" i="8"/>
  <c r="J238" i="8"/>
  <c r="L250" i="8"/>
  <c r="L217" i="8"/>
  <c r="J228" i="8"/>
  <c r="L238" i="8"/>
  <c r="L338" i="8"/>
  <c r="C48" i="9"/>
  <c r="D59" i="9"/>
  <c r="L243" i="8"/>
  <c r="L253" i="8"/>
  <c r="C112" i="9"/>
  <c r="D123" i="9"/>
  <c r="L263" i="8"/>
  <c r="C62" i="9"/>
  <c r="D73" i="9"/>
  <c r="J251" i="8"/>
  <c r="J259" i="8"/>
  <c r="J267" i="8"/>
  <c r="J275" i="8"/>
  <c r="J283" i="8"/>
  <c r="J291" i="8"/>
  <c r="J299" i="8"/>
  <c r="J337" i="8"/>
  <c r="D48" i="9"/>
  <c r="C37" i="9"/>
  <c r="L280" i="8"/>
  <c r="L284" i="8"/>
  <c r="L288" i="8"/>
  <c r="L292" i="8"/>
  <c r="L296" i="8"/>
  <c r="L300" i="8"/>
  <c r="C83" i="9"/>
  <c r="D94" i="9"/>
  <c r="C110" i="9"/>
  <c r="D121" i="9"/>
  <c r="D283" i="9"/>
  <c r="C272" i="9"/>
  <c r="C322" i="9"/>
  <c r="D333" i="9"/>
  <c r="D151" i="9"/>
  <c r="C140" i="9"/>
  <c r="J305" i="8"/>
  <c r="J313" i="8"/>
  <c r="J321" i="8"/>
  <c r="J329" i="8"/>
  <c r="D26" i="9"/>
  <c r="C15" i="9"/>
  <c r="D295" i="9"/>
  <c r="C284" i="9"/>
  <c r="D29" i="9"/>
  <c r="C18" i="9"/>
  <c r="C56" i="9"/>
  <c r="D67" i="9"/>
  <c r="D279" i="9"/>
  <c r="C268" i="9"/>
  <c r="C11" i="9"/>
  <c r="D22" i="9"/>
  <c r="C210" i="9"/>
  <c r="D221" i="9"/>
  <c r="J343" i="8"/>
  <c r="J351" i="8"/>
  <c r="M357" i="8"/>
  <c r="C70" i="9"/>
  <c r="D81" i="9"/>
  <c r="C189" i="9"/>
  <c r="D200" i="9"/>
  <c r="D40" i="9"/>
  <c r="C29" i="9"/>
  <c r="D154" i="9"/>
  <c r="C143" i="9"/>
  <c r="D45" i="9"/>
  <c r="C34" i="9"/>
  <c r="D109" i="9"/>
  <c r="C98" i="9"/>
  <c r="C213" i="9"/>
  <c r="D224" i="9"/>
  <c r="C33" i="9"/>
  <c r="D44" i="9"/>
  <c r="C97" i="9"/>
  <c r="D108" i="9"/>
  <c r="D211" i="9"/>
  <c r="C200" i="9"/>
  <c r="D339" i="9"/>
  <c r="C328" i="9"/>
  <c r="C76" i="9"/>
  <c r="D87" i="9"/>
  <c r="D156" i="9"/>
  <c r="C145" i="9"/>
  <c r="D287" i="9"/>
  <c r="C276" i="9"/>
  <c r="D66" i="9"/>
  <c r="C55" i="9"/>
  <c r="D130" i="9"/>
  <c r="C119" i="9"/>
  <c r="C202" i="9"/>
  <c r="D213" i="9"/>
  <c r="C330" i="9"/>
  <c r="D341" i="9"/>
  <c r="D210" i="9"/>
  <c r="C199" i="9"/>
  <c r="D274" i="9"/>
  <c r="C263" i="9"/>
  <c r="D338" i="9"/>
  <c r="C327" i="9"/>
  <c r="C147" i="9"/>
  <c r="D158" i="9"/>
  <c r="C211" i="9"/>
  <c r="D222" i="9"/>
  <c r="C275" i="9"/>
  <c r="D286" i="9"/>
  <c r="D350" i="9"/>
  <c r="C339" i="9"/>
  <c r="D209" i="9"/>
  <c r="C198" i="9"/>
  <c r="D273" i="9"/>
  <c r="C262" i="9"/>
  <c r="D337" i="9"/>
  <c r="C326" i="9"/>
  <c r="D196" i="9"/>
  <c r="C185" i="9"/>
  <c r="D260" i="9"/>
  <c r="C249" i="9"/>
  <c r="D324" i="9"/>
  <c r="C313" i="9"/>
  <c r="G8" i="7"/>
  <c r="G9" i="7"/>
  <c r="H5" i="7"/>
  <c r="H4" i="7"/>
  <c r="H6" i="7"/>
  <c r="H7" i="7" s="1"/>
  <c r="R5" i="7"/>
  <c r="R6" i="7"/>
  <c r="R7" i="7" s="1"/>
  <c r="R4" i="7"/>
  <c r="E6" i="7"/>
  <c r="E7" i="7" s="1"/>
  <c r="E4" i="7"/>
  <c r="E5" i="7"/>
  <c r="J8" i="7"/>
  <c r="J9" i="7"/>
  <c r="J118" i="8"/>
  <c r="J126" i="8"/>
  <c r="J173" i="8"/>
  <c r="L148" i="8"/>
  <c r="L159" i="8"/>
  <c r="J223" i="8"/>
  <c r="L155" i="8"/>
  <c r="J164" i="8"/>
  <c r="L194" i="8"/>
  <c r="L180" i="8"/>
  <c r="J190" i="8"/>
  <c r="L251" i="8"/>
  <c r="L212" i="8"/>
  <c r="J235" i="8"/>
  <c r="J185" i="8"/>
  <c r="L196" i="8"/>
  <c r="J200" i="8"/>
  <c r="J208" i="8"/>
  <c r="J226" i="8"/>
  <c r="L201" i="8"/>
  <c r="L205" i="8"/>
  <c r="L209" i="8"/>
  <c r="L218" i="8"/>
  <c r="J229" i="8"/>
  <c r="L256" i="8"/>
  <c r="L229" i="8"/>
  <c r="L341" i="8"/>
  <c r="L265" i="8"/>
  <c r="L248" i="8"/>
  <c r="C30" i="9"/>
  <c r="D41" i="9"/>
  <c r="J252" i="8"/>
  <c r="J260" i="8"/>
  <c r="J268" i="8"/>
  <c r="J276" i="8"/>
  <c r="J284" i="8"/>
  <c r="J292" i="8"/>
  <c r="J300" i="8"/>
  <c r="D112" i="9"/>
  <c r="C101" i="9"/>
  <c r="L318" i="8"/>
  <c r="L322" i="8"/>
  <c r="L326" i="8"/>
  <c r="L330" i="8"/>
  <c r="L334" i="8"/>
  <c r="L340" i="8"/>
  <c r="D143" i="9"/>
  <c r="C132" i="9"/>
  <c r="D347" i="9"/>
  <c r="C336" i="9"/>
  <c r="C138" i="9"/>
  <c r="D149" i="9"/>
  <c r="D187" i="9"/>
  <c r="C176" i="9"/>
  <c r="J306" i="8"/>
  <c r="J314" i="8"/>
  <c r="J322" i="8"/>
  <c r="J330" i="8"/>
  <c r="M337" i="8"/>
  <c r="D34" i="9"/>
  <c r="C23" i="9"/>
  <c r="C35" i="9"/>
  <c r="D46" i="9"/>
  <c r="L350" i="8"/>
  <c r="C72" i="9"/>
  <c r="D83" i="9"/>
  <c r="D311" i="9"/>
  <c r="C300" i="9"/>
  <c r="C43" i="9"/>
  <c r="D54" i="9"/>
  <c r="C242" i="9"/>
  <c r="D253" i="9"/>
  <c r="J344" i="8"/>
  <c r="C86" i="9"/>
  <c r="D97" i="9"/>
  <c r="C221" i="9"/>
  <c r="D232" i="9"/>
  <c r="D56" i="9"/>
  <c r="C45" i="9"/>
  <c r="C160" i="9"/>
  <c r="D171" i="9"/>
  <c r="D53" i="9"/>
  <c r="C42" i="9"/>
  <c r="D117" i="9"/>
  <c r="C106" i="9"/>
  <c r="C229" i="9"/>
  <c r="D240" i="9"/>
  <c r="D52" i="9"/>
  <c r="C41" i="9"/>
  <c r="D116" i="9"/>
  <c r="C105" i="9"/>
  <c r="D227" i="9"/>
  <c r="C216" i="9"/>
  <c r="D95" i="9"/>
  <c r="C84" i="9"/>
  <c r="D175" i="9"/>
  <c r="C164" i="9"/>
  <c r="D303" i="9"/>
  <c r="C292" i="9"/>
  <c r="D74" i="9"/>
  <c r="C63" i="9"/>
  <c r="C127" i="9"/>
  <c r="D138" i="9"/>
  <c r="C218" i="9"/>
  <c r="D229" i="9"/>
  <c r="D218" i="9"/>
  <c r="C207" i="9"/>
  <c r="D282" i="9"/>
  <c r="C271" i="9"/>
  <c r="D346" i="9"/>
  <c r="C335" i="9"/>
  <c r="C155" i="9"/>
  <c r="D166" i="9"/>
  <c r="C219" i="9"/>
  <c r="D230" i="9"/>
  <c r="C283" i="9"/>
  <c r="D294" i="9"/>
  <c r="C347" i="9"/>
  <c r="C206" i="9"/>
  <c r="D217" i="9"/>
  <c r="C270" i="9"/>
  <c r="D281" i="9"/>
  <c r="C334" i="9"/>
  <c r="D345" i="9"/>
  <c r="D204" i="9"/>
  <c r="C193" i="9"/>
  <c r="D268" i="9"/>
  <c r="C257" i="9"/>
  <c r="D332" i="9"/>
  <c r="C321" i="9"/>
  <c r="Q5" i="7"/>
  <c r="Q6" i="7"/>
  <c r="Q7" i="7" s="1"/>
  <c r="Q4" i="7"/>
  <c r="V6" i="7"/>
  <c r="V7" i="7" s="1"/>
  <c r="V5" i="7"/>
  <c r="V4" i="7"/>
  <c r="P5" i="7"/>
  <c r="P4" i="7"/>
  <c r="P6" i="7"/>
  <c r="P7" i="7" s="1"/>
  <c r="J4" i="8"/>
  <c r="L4" i="8"/>
  <c r="J13" i="8"/>
  <c r="J21" i="8"/>
  <c r="J29" i="8"/>
  <c r="J37" i="8"/>
  <c r="J45" i="8"/>
  <c r="J53" i="8"/>
  <c r="J61" i="8"/>
  <c r="L74" i="8"/>
  <c r="L6" i="8"/>
  <c r="M118" i="8"/>
  <c r="M126" i="8"/>
  <c r="L73" i="8"/>
  <c r="M85" i="8"/>
  <c r="M86" i="8"/>
  <c r="M149" i="8"/>
  <c r="L87" i="8"/>
  <c r="M154" i="8"/>
  <c r="M6" i="8"/>
  <c r="M14" i="8"/>
  <c r="M22" i="8"/>
  <c r="M30" i="8"/>
  <c r="M38" i="8"/>
  <c r="M46" i="8"/>
  <c r="M54" i="8"/>
  <c r="M62" i="8"/>
  <c r="M70" i="8"/>
  <c r="O81" i="8"/>
  <c r="O138" i="8"/>
  <c r="L80" i="8"/>
  <c r="H92" i="8"/>
  <c r="H100" i="8"/>
  <c r="H108" i="8"/>
  <c r="H116" i="8"/>
  <c r="H124" i="8"/>
  <c r="M132" i="8"/>
  <c r="K195" i="8"/>
  <c r="H138" i="8"/>
  <c r="M147" i="8"/>
  <c r="O165" i="8"/>
  <c r="O192" i="8"/>
  <c r="J170" i="8"/>
  <c r="H222" i="8"/>
  <c r="H139" i="8"/>
  <c r="L153" i="8"/>
  <c r="K174" i="8"/>
  <c r="K144" i="8"/>
  <c r="O178" i="8"/>
  <c r="H236" i="8"/>
  <c r="J79" i="8"/>
  <c r="J87" i="8"/>
  <c r="J95" i="8"/>
  <c r="J103" i="8"/>
  <c r="J111" i="8"/>
  <c r="J119" i="8"/>
  <c r="J127" i="8"/>
  <c r="J134" i="8"/>
  <c r="O181" i="8"/>
  <c r="K76" i="8"/>
  <c r="K84" i="8"/>
  <c r="K92" i="8"/>
  <c r="K100" i="8"/>
  <c r="K108" i="8"/>
  <c r="K116" i="8"/>
  <c r="K124" i="8"/>
  <c r="L134" i="8"/>
  <c r="M158" i="8"/>
  <c r="K175" i="8"/>
  <c r="O89" i="8"/>
  <c r="O93" i="8"/>
  <c r="O97" i="8"/>
  <c r="O101" i="8"/>
  <c r="O105" i="8"/>
  <c r="O109" i="8"/>
  <c r="O113" i="8"/>
  <c r="O117" i="8"/>
  <c r="O121" i="8"/>
  <c r="O125" i="8"/>
  <c r="O129" i="8"/>
  <c r="L136" i="8"/>
  <c r="J156" i="8"/>
  <c r="K171" i="8"/>
  <c r="L142" i="8"/>
  <c r="J153" i="8"/>
  <c r="L162" i="8"/>
  <c r="L183" i="8"/>
  <c r="I221" i="8"/>
  <c r="H150" i="8"/>
  <c r="M169" i="8"/>
  <c r="J184" i="8"/>
  <c r="M215" i="8"/>
  <c r="O143" i="8"/>
  <c r="I150" i="8"/>
  <c r="M156" i="8"/>
  <c r="I164" i="8"/>
  <c r="K186" i="8"/>
  <c r="H230" i="8"/>
  <c r="L135" i="8"/>
  <c r="J146" i="8"/>
  <c r="H157" i="8"/>
  <c r="H177" i="8"/>
  <c r="H196" i="8"/>
  <c r="K237" i="8"/>
  <c r="I172" i="8"/>
  <c r="Q180" i="8"/>
  <c r="H191" i="8"/>
  <c r="K201" i="8"/>
  <c r="K209" i="8"/>
  <c r="I225" i="8"/>
  <c r="J244" i="8"/>
  <c r="I291" i="8"/>
  <c r="I297" i="8"/>
  <c r="I264" i="8"/>
  <c r="I256" i="8"/>
  <c r="O246" i="8"/>
  <c r="I283" i="8"/>
  <c r="Q169" i="8"/>
  <c r="O177" i="8"/>
  <c r="O185" i="8"/>
  <c r="I197" i="8"/>
  <c r="H205" i="8"/>
  <c r="H218" i="8"/>
  <c r="J181" i="8"/>
  <c r="J72" i="8"/>
  <c r="J80" i="8"/>
  <c r="J88" i="8"/>
  <c r="J96" i="8"/>
  <c r="J104" i="8"/>
  <c r="J112" i="8"/>
  <c r="J120" i="8"/>
  <c r="J128" i="8"/>
  <c r="L114" i="8"/>
  <c r="L118" i="8"/>
  <c r="L122" i="8"/>
  <c r="L126" i="8"/>
  <c r="J137" i="8"/>
  <c r="L157" i="8"/>
  <c r="L154" i="8"/>
  <c r="J151" i="8"/>
  <c r="L161" i="8"/>
  <c r="L187" i="8"/>
  <c r="L232" i="8"/>
  <c r="L147" i="8"/>
  <c r="J158" i="8"/>
  <c r="J178" i="8"/>
  <c r="J240" i="8"/>
  <c r="L193" i="8"/>
  <c r="L268" i="8"/>
  <c r="J219" i="8"/>
  <c r="J239" i="8"/>
  <c r="J176" i="8"/>
  <c r="L188" i="8"/>
  <c r="J182" i="8"/>
  <c r="J202" i="8"/>
  <c r="J210" i="8"/>
  <c r="L198" i="8"/>
  <c r="L202" i="8"/>
  <c r="L206" i="8"/>
  <c r="L210" i="8"/>
  <c r="J221" i="8"/>
  <c r="L264" i="8"/>
  <c r="L272" i="8"/>
  <c r="L221" i="8"/>
  <c r="J232" i="8"/>
  <c r="L315" i="8"/>
  <c r="L252" i="8"/>
  <c r="J246" i="8"/>
  <c r="J254" i="8"/>
  <c r="J262" i="8"/>
  <c r="J270" i="8"/>
  <c r="J278" i="8"/>
  <c r="J286" i="8"/>
  <c r="J294" i="8"/>
  <c r="L306" i="8"/>
  <c r="L319" i="8"/>
  <c r="L323" i="8"/>
  <c r="L327" i="8"/>
  <c r="L331" i="8"/>
  <c r="L335" i="8"/>
  <c r="L348" i="8"/>
  <c r="C205" i="9"/>
  <c r="D216" i="9"/>
  <c r="D263" i="9"/>
  <c r="C252" i="9"/>
  <c r="C237" i="9"/>
  <c r="D248" i="9"/>
  <c r="J336" i="8"/>
  <c r="D315" i="9"/>
  <c r="C304" i="9"/>
  <c r="J308" i="8"/>
  <c r="J316" i="8"/>
  <c r="J324" i="8"/>
  <c r="J332" i="8"/>
  <c r="L339" i="8"/>
  <c r="C64" i="9"/>
  <c r="D75" i="9"/>
  <c r="C99" i="9"/>
  <c r="D110" i="9"/>
  <c r="L351" i="8"/>
  <c r="C104" i="9"/>
  <c r="D115" i="9"/>
  <c r="J352" i="8"/>
  <c r="C75" i="9"/>
  <c r="D86" i="9"/>
  <c r="C306" i="9"/>
  <c r="D317" i="9"/>
  <c r="J346" i="8"/>
  <c r="M353" i="8"/>
  <c r="D27" i="9"/>
  <c r="C16" i="9"/>
  <c r="C118" i="9"/>
  <c r="D129" i="9"/>
  <c r="C285" i="9"/>
  <c r="D296" i="9"/>
  <c r="L352" i="8"/>
  <c r="D88" i="9"/>
  <c r="C77" i="9"/>
  <c r="C224" i="9"/>
  <c r="D235" i="9"/>
  <c r="D69" i="9"/>
  <c r="C58" i="9"/>
  <c r="C122" i="9"/>
  <c r="D133" i="9"/>
  <c r="C261" i="9"/>
  <c r="D272" i="9"/>
  <c r="D68" i="9"/>
  <c r="C57" i="9"/>
  <c r="D132" i="9"/>
  <c r="C121" i="9"/>
  <c r="D259" i="9"/>
  <c r="C248" i="9"/>
  <c r="D47" i="9"/>
  <c r="C36" i="9"/>
  <c r="D111" i="9"/>
  <c r="C100" i="9"/>
  <c r="D207" i="9"/>
  <c r="C196" i="9"/>
  <c r="D335" i="9"/>
  <c r="C324" i="9"/>
  <c r="D90" i="9"/>
  <c r="C79" i="9"/>
  <c r="D144" i="9"/>
  <c r="C133" i="9"/>
  <c r="C250" i="9"/>
  <c r="D261" i="9"/>
  <c r="D170" i="9"/>
  <c r="C159" i="9"/>
  <c r="D234" i="9"/>
  <c r="C223" i="9"/>
  <c r="D298" i="9"/>
  <c r="C287" i="9"/>
  <c r="C171" i="9"/>
  <c r="D182" i="9"/>
  <c r="C235" i="9"/>
  <c r="D246" i="9"/>
  <c r="C299" i="9"/>
  <c r="D310" i="9"/>
  <c r="C158" i="9"/>
  <c r="D169" i="9"/>
  <c r="C222" i="9"/>
  <c r="D233" i="9"/>
  <c r="C286" i="9"/>
  <c r="D297" i="9"/>
  <c r="C350" i="9"/>
  <c r="D220" i="9"/>
  <c r="C209" i="9"/>
  <c r="D284" i="9"/>
  <c r="C273" i="9"/>
  <c r="D348" i="9"/>
  <c r="C337" i="9"/>
  <c r="J5" i="7"/>
  <c r="J6" i="7"/>
  <c r="J7" i="7" s="1"/>
  <c r="J4" i="7"/>
  <c r="S4" i="7"/>
  <c r="S6" i="7"/>
  <c r="S7" i="7" s="1"/>
  <c r="S5" i="7"/>
  <c r="I5" i="7"/>
  <c r="I6" i="7"/>
  <c r="I7" i="7" s="1"/>
  <c r="I4" i="7"/>
  <c r="R8" i="7"/>
  <c r="R9" i="7"/>
  <c r="J2" i="8"/>
  <c r="J7" i="8"/>
  <c r="J15" i="8"/>
  <c r="J23" i="8"/>
  <c r="J31" i="8"/>
  <c r="J39" i="8"/>
  <c r="J47" i="8"/>
  <c r="J55" i="8"/>
  <c r="J63" i="8"/>
  <c r="J69" i="8"/>
  <c r="L78" i="8"/>
  <c r="L167" i="8"/>
  <c r="L75" i="8"/>
  <c r="L169" i="8"/>
  <c r="M8" i="8"/>
  <c r="M16" i="8"/>
  <c r="M24" i="8"/>
  <c r="M32" i="8"/>
  <c r="M40" i="8"/>
  <c r="M48" i="8"/>
  <c r="M56" i="8"/>
  <c r="M64" i="8"/>
  <c r="L84" i="8"/>
  <c r="H118" i="8"/>
  <c r="H126" i="8"/>
  <c r="J132" i="8"/>
  <c r="J141" i="8"/>
  <c r="H221" i="8"/>
  <c r="J174" i="8"/>
  <c r="H184" i="8"/>
  <c r="M138" i="8"/>
  <c r="J73" i="8"/>
  <c r="J81" i="8"/>
  <c r="J89" i="8"/>
  <c r="J97" i="8"/>
  <c r="J105" i="8"/>
  <c r="J113" i="8"/>
  <c r="J121" i="8"/>
  <c r="J129" i="8"/>
  <c r="J136" i="8"/>
  <c r="M151" i="8"/>
  <c r="K118" i="8"/>
  <c r="K126" i="8"/>
  <c r="K149" i="8"/>
  <c r="M162" i="8"/>
  <c r="L182" i="8"/>
  <c r="O114" i="8"/>
  <c r="O118" i="8"/>
  <c r="O122" i="8"/>
  <c r="O126" i="8"/>
  <c r="J140" i="8"/>
  <c r="O159" i="8"/>
  <c r="L175" i="8"/>
  <c r="J145" i="8"/>
  <c r="H156" i="8"/>
  <c r="L164" i="8"/>
  <c r="J188" i="8"/>
  <c r="K230" i="8"/>
  <c r="L152" i="8"/>
  <c r="M171" i="8"/>
  <c r="H189" i="8"/>
  <c r="O226" i="8"/>
  <c r="K139" i="8"/>
  <c r="O151" i="8"/>
  <c r="O175" i="8"/>
  <c r="J237" i="8"/>
  <c r="J138" i="8"/>
  <c r="H149" i="8"/>
  <c r="O158" i="8"/>
  <c r="L179" i="8"/>
  <c r="H183" i="8"/>
  <c r="J194" i="8"/>
  <c r="K203" i="8"/>
  <c r="M211" i="8"/>
  <c r="M227" i="8"/>
  <c r="M246" i="8"/>
  <c r="O276" i="8"/>
  <c r="O268" i="8"/>
  <c r="M251" i="8"/>
  <c r="L307" i="8"/>
  <c r="H199" i="8"/>
  <c r="H207" i="8"/>
  <c r="L220" i="8"/>
  <c r="K242" i="8"/>
  <c r="L177" i="8"/>
  <c r="J189" i="8"/>
  <c r="K219" i="8"/>
  <c r="K235" i="8"/>
  <c r="H160" i="8"/>
  <c r="H168" i="8"/>
  <c r="K176" i="8"/>
  <c r="O182" i="8"/>
  <c r="J203" i="8"/>
  <c r="L211" i="8"/>
  <c r="J234" i="8"/>
  <c r="O262" i="8"/>
  <c r="M213" i="8"/>
  <c r="M221" i="8"/>
  <c r="M229" i="8"/>
  <c r="J242" i="8"/>
  <c r="H276" i="8"/>
  <c r="H293" i="8"/>
  <c r="M311" i="8"/>
  <c r="H280" i="8"/>
  <c r="H296" i="8"/>
  <c r="O198" i="8"/>
  <c r="O202" i="8"/>
  <c r="O206" i="8"/>
  <c r="H212" i="8"/>
  <c r="L222" i="8"/>
  <c r="J233" i="8"/>
  <c r="K244" i="8"/>
  <c r="O265" i="8"/>
  <c r="M316" i="8"/>
  <c r="M188" i="8"/>
  <c r="M196" i="8"/>
  <c r="M204" i="8"/>
  <c r="K213" i="8"/>
  <c r="K221" i="8"/>
  <c r="K229" i="8"/>
  <c r="K238" i="8"/>
  <c r="M250" i="8"/>
  <c r="J212" i="8"/>
  <c r="H223" i="8"/>
  <c r="L233" i="8"/>
  <c r="K245" i="8"/>
  <c r="O264" i="8"/>
  <c r="M252" i="8"/>
  <c r="L266" i="8"/>
  <c r="M302" i="8"/>
  <c r="D38" i="9"/>
  <c r="C27" i="9"/>
  <c r="H342" i="8"/>
  <c r="L241" i="8"/>
  <c r="L245" i="8"/>
  <c r="O257" i="8"/>
  <c r="O266" i="8"/>
  <c r="H303" i="8"/>
  <c r="H339" i="8"/>
  <c r="M238" i="8"/>
  <c r="O252" i="8"/>
  <c r="L269" i="8"/>
  <c r="D80" i="9"/>
  <c r="C69" i="9"/>
  <c r="L255" i="8"/>
  <c r="O271" i="8"/>
  <c r="H309" i="8"/>
  <c r="C14" i="9"/>
  <c r="D25" i="9"/>
  <c r="M261" i="8"/>
  <c r="M269" i="8"/>
  <c r="M277" i="8"/>
  <c r="M285" i="8"/>
  <c r="M293" i="8"/>
  <c r="O308" i="8"/>
  <c r="O316" i="8"/>
  <c r="J247" i="8"/>
  <c r="J255" i="8"/>
  <c r="J263" i="8"/>
  <c r="J271" i="8"/>
  <c r="J279" i="8"/>
  <c r="J287" i="8"/>
  <c r="J295" i="8"/>
  <c r="M305" i="8"/>
  <c r="K266" i="8"/>
  <c r="K274" i="8"/>
  <c r="K282" i="8"/>
  <c r="K290" i="8"/>
  <c r="K298" i="8"/>
  <c r="H306" i="8"/>
  <c r="H314" i="8"/>
  <c r="H322" i="8"/>
  <c r="H330" i="8"/>
  <c r="L346" i="8"/>
  <c r="L282" i="8"/>
  <c r="L286" i="8"/>
  <c r="L290" i="8"/>
  <c r="L294" i="8"/>
  <c r="L298" i="8"/>
  <c r="L310" i="8"/>
  <c r="M324" i="8"/>
  <c r="M332" i="8"/>
  <c r="M348" i="8"/>
  <c r="O319" i="8"/>
  <c r="O323" i="8"/>
  <c r="O327" i="8"/>
  <c r="O331" i="8"/>
  <c r="O335" i="8"/>
  <c r="J353" i="8"/>
  <c r="C269" i="9"/>
  <c r="D280" i="9"/>
  <c r="D327" i="9"/>
  <c r="C316" i="9"/>
  <c r="C301" i="9"/>
  <c r="D312" i="9"/>
  <c r="I313" i="8"/>
  <c r="I321" i="8"/>
  <c r="I329" i="8"/>
  <c r="L337" i="8"/>
  <c r="M346" i="8"/>
  <c r="C22" i="9"/>
  <c r="D33" i="9"/>
  <c r="J301" i="8"/>
  <c r="J309" i="8"/>
  <c r="J317" i="8"/>
  <c r="J325" i="8"/>
  <c r="J333" i="8"/>
  <c r="L343" i="8"/>
  <c r="C96" i="9"/>
  <c r="D107" i="9"/>
  <c r="K303" i="8"/>
  <c r="K311" i="8"/>
  <c r="K319" i="8"/>
  <c r="K327" i="8"/>
  <c r="K335" i="8"/>
  <c r="H353" i="8"/>
  <c r="C162" i="9"/>
  <c r="D173" i="9"/>
  <c r="O351" i="8"/>
  <c r="D19" i="9"/>
  <c r="C8" i="9"/>
  <c r="D131" i="9"/>
  <c r="C120" i="9"/>
  <c r="I337" i="8"/>
  <c r="I345" i="8"/>
  <c r="L353" i="8"/>
  <c r="C91" i="9"/>
  <c r="D102" i="9"/>
  <c r="C338" i="9"/>
  <c r="D349" i="9"/>
  <c r="J347" i="8"/>
  <c r="D31" i="9"/>
  <c r="C20" i="9"/>
  <c r="D140" i="9"/>
  <c r="C129" i="9"/>
  <c r="C317" i="9"/>
  <c r="D328" i="9"/>
  <c r="K345" i="8"/>
  <c r="J355" i="8"/>
  <c r="D104" i="9"/>
  <c r="C93" i="9"/>
  <c r="C256" i="9"/>
  <c r="D267" i="9"/>
  <c r="D77" i="9"/>
  <c r="C66" i="9"/>
  <c r="C149" i="9"/>
  <c r="D160" i="9"/>
  <c r="C277" i="9"/>
  <c r="D288" i="9"/>
  <c r="I355" i="8"/>
  <c r="C65" i="9"/>
  <c r="D76" i="9"/>
  <c r="D159" i="9"/>
  <c r="C148" i="9"/>
  <c r="D275" i="9"/>
  <c r="C264" i="9"/>
  <c r="C44" i="9"/>
  <c r="D55" i="9"/>
  <c r="C108" i="9"/>
  <c r="D119" i="9"/>
  <c r="D223" i="9"/>
  <c r="C212" i="9"/>
  <c r="D351" i="9"/>
  <c r="C340" i="9"/>
  <c r="D98" i="9"/>
  <c r="C87" i="9"/>
  <c r="D147" i="9"/>
  <c r="C136" i="9"/>
  <c r="C266" i="9"/>
  <c r="D277" i="9"/>
  <c r="D178" i="9"/>
  <c r="C167" i="9"/>
  <c r="D242" i="9"/>
  <c r="C231" i="9"/>
  <c r="D306" i="9"/>
  <c r="C295" i="9"/>
  <c r="C349" i="9"/>
  <c r="C179" i="9"/>
  <c r="D190" i="9"/>
  <c r="C243" i="9"/>
  <c r="D254" i="9"/>
  <c r="C307" i="9"/>
  <c r="D318" i="9"/>
  <c r="D177" i="9"/>
  <c r="C166" i="9"/>
  <c r="D241" i="9"/>
  <c r="C230" i="9"/>
  <c r="D305" i="9"/>
  <c r="C294" i="9"/>
  <c r="D164" i="9"/>
  <c r="C153" i="9"/>
  <c r="D228" i="9"/>
  <c r="C217" i="9"/>
  <c r="D292" i="9"/>
  <c r="C281" i="9"/>
  <c r="C345" i="9"/>
  <c r="K6" i="7"/>
  <c r="K7" i="7" s="1"/>
  <c r="K4" i="7"/>
  <c r="K5" i="7"/>
  <c r="Q8" i="7"/>
  <c r="Q9" i="7"/>
  <c r="S8" i="7"/>
  <c r="S9" i="7"/>
  <c r="H8" i="7"/>
  <c r="H9" i="7"/>
  <c r="D4" i="7"/>
  <c r="D6" i="7"/>
  <c r="D7" i="7" s="1"/>
  <c r="D5" i="7"/>
  <c r="I8" i="7"/>
  <c r="I9" i="7"/>
  <c r="M88" i="8"/>
  <c r="O82" i="8"/>
  <c r="K70" i="8"/>
  <c r="M84" i="8"/>
  <c r="K69" i="8"/>
  <c r="L5" i="8"/>
  <c r="I13" i="8"/>
  <c r="I21" i="8"/>
  <c r="I29" i="8"/>
  <c r="I37" i="8"/>
  <c r="I45" i="8"/>
  <c r="I53" i="8"/>
  <c r="I61" i="8"/>
  <c r="I93" i="8"/>
  <c r="J8" i="8"/>
  <c r="J16" i="8"/>
  <c r="J24" i="8"/>
  <c r="J32" i="8"/>
  <c r="J40" i="8"/>
  <c r="J48" i="8"/>
  <c r="J56" i="8"/>
  <c r="J64" i="8"/>
  <c r="I94" i="8"/>
  <c r="K9" i="8"/>
  <c r="K17" i="8"/>
  <c r="K25" i="8"/>
  <c r="K33" i="8"/>
  <c r="K41" i="8"/>
  <c r="K49" i="8"/>
  <c r="K57" i="8"/>
  <c r="K65" i="8"/>
  <c r="I114" i="8"/>
  <c r="I122" i="8"/>
  <c r="I130" i="8"/>
  <c r="H3" i="8"/>
  <c r="H11" i="8"/>
  <c r="H19" i="8"/>
  <c r="H27" i="8"/>
  <c r="H35" i="8"/>
  <c r="H43" i="8"/>
  <c r="H51" i="8"/>
  <c r="H59" i="8"/>
  <c r="H67" i="8"/>
  <c r="M74" i="8"/>
  <c r="M89" i="8"/>
  <c r="M97" i="8"/>
  <c r="M105" i="8"/>
  <c r="M113" i="8"/>
  <c r="M121" i="8"/>
  <c r="M129" i="8"/>
  <c r="I78" i="8"/>
  <c r="K137" i="8"/>
  <c r="J70" i="8"/>
  <c r="H79" i="8"/>
  <c r="K153" i="8"/>
  <c r="I79" i="8"/>
  <c r="L133" i="8"/>
  <c r="L215" i="8"/>
  <c r="L10" i="8"/>
  <c r="L14" i="8"/>
  <c r="L18" i="8"/>
  <c r="L22" i="8"/>
  <c r="L26" i="8"/>
  <c r="L30" i="8"/>
  <c r="L34" i="8"/>
  <c r="L38" i="8"/>
  <c r="L42" i="8"/>
  <c r="L46" i="8"/>
  <c r="L50" i="8"/>
  <c r="L54" i="8"/>
  <c r="L58" i="8"/>
  <c r="L62" i="8"/>
  <c r="L66" i="8"/>
  <c r="L70" i="8"/>
  <c r="H76" i="8"/>
  <c r="J135" i="8"/>
  <c r="O188" i="8"/>
  <c r="M9" i="8"/>
  <c r="M17" i="8"/>
  <c r="M25" i="8"/>
  <c r="M33" i="8"/>
  <c r="M41" i="8"/>
  <c r="M49" i="8"/>
  <c r="M57" i="8"/>
  <c r="M65" i="8"/>
  <c r="M75" i="8"/>
  <c r="O85" i="8"/>
  <c r="L171" i="8"/>
  <c r="Q8" i="8"/>
  <c r="Q16" i="8"/>
  <c r="Q24" i="8"/>
  <c r="Q32" i="8"/>
  <c r="Q40" i="8"/>
  <c r="Q48" i="8"/>
  <c r="Q56" i="8"/>
  <c r="Q64" i="8"/>
  <c r="H73" i="8"/>
  <c r="H85" i="8"/>
  <c r="H95" i="8"/>
  <c r="H103" i="8"/>
  <c r="H111" i="8"/>
  <c r="H119" i="8"/>
  <c r="H127" i="8"/>
  <c r="H142" i="8"/>
  <c r="Q76" i="8"/>
  <c r="Q84" i="8"/>
  <c r="Q92" i="8"/>
  <c r="Q100" i="8"/>
  <c r="Q108" i="8"/>
  <c r="Q116" i="8"/>
  <c r="Q124" i="8"/>
  <c r="O132" i="8"/>
  <c r="Q141" i="8"/>
  <c r="I153" i="8"/>
  <c r="O171" i="8"/>
  <c r="J230" i="8"/>
  <c r="M176" i="8"/>
  <c r="Q132" i="8"/>
  <c r="I143" i="8"/>
  <c r="J163" i="8"/>
  <c r="J187" i="8"/>
  <c r="I139" i="8"/>
  <c r="Q149" i="8"/>
  <c r="L166" i="8"/>
  <c r="K187" i="8"/>
  <c r="J74" i="8"/>
  <c r="J82" i="8"/>
  <c r="J90" i="8"/>
  <c r="J98" i="8"/>
  <c r="J106" i="8"/>
  <c r="J114" i="8"/>
  <c r="J122" i="8"/>
  <c r="J130" i="8"/>
  <c r="J139" i="8"/>
  <c r="O154" i="8"/>
  <c r="O170" i="8"/>
  <c r="K191" i="8"/>
  <c r="K79" i="8"/>
  <c r="K87" i="8"/>
  <c r="K95" i="8"/>
  <c r="K103" i="8"/>
  <c r="K111" i="8"/>
  <c r="K119" i="8"/>
  <c r="K127" i="8"/>
  <c r="O137" i="8"/>
  <c r="M150" i="8"/>
  <c r="K165" i="8"/>
  <c r="O191" i="8"/>
  <c r="L91" i="8"/>
  <c r="L95" i="8"/>
  <c r="L99" i="8"/>
  <c r="L103" i="8"/>
  <c r="L107" i="8"/>
  <c r="L111" i="8"/>
  <c r="L115" i="8"/>
  <c r="L119" i="8"/>
  <c r="L123" i="8"/>
  <c r="L127" i="8"/>
  <c r="H132" i="8"/>
  <c r="O141" i="8"/>
  <c r="J161" i="8"/>
  <c r="H192" i="8"/>
  <c r="L146" i="8"/>
  <c r="J157" i="8"/>
  <c r="J165" i="8"/>
  <c r="L191" i="8"/>
  <c r="O234" i="8"/>
  <c r="H154" i="8"/>
  <c r="L163" i="8"/>
  <c r="M172" i="8"/>
  <c r="J192" i="8"/>
  <c r="I229" i="8"/>
  <c r="O139" i="8"/>
  <c r="I146" i="8"/>
  <c r="M152" i="8"/>
  <c r="M159" i="8"/>
  <c r="Q176" i="8"/>
  <c r="K194" i="8"/>
  <c r="K130" i="8"/>
  <c r="L139" i="8"/>
  <c r="J150" i="8"/>
  <c r="J160" i="8"/>
  <c r="J183" i="8"/>
  <c r="M216" i="8"/>
  <c r="I167" i="8"/>
  <c r="J175" i="8"/>
  <c r="L185" i="8"/>
  <c r="H195" i="8"/>
  <c r="K204" i="8"/>
  <c r="O214" i="8"/>
  <c r="O230" i="8"/>
  <c r="K250" i="8"/>
  <c r="I253" i="8"/>
  <c r="H240" i="8"/>
  <c r="I287" i="8"/>
  <c r="H273" i="8"/>
  <c r="C4" i="7"/>
  <c r="C6" i="7"/>
  <c r="C7" i="7" s="1"/>
  <c r="C5" i="7"/>
  <c r="C8" i="7"/>
  <c r="C9" i="7"/>
  <c r="F6" i="7"/>
  <c r="F7" i="7" s="1"/>
  <c r="F5" i="7"/>
  <c r="F4" i="7"/>
  <c r="K8" i="7"/>
  <c r="K9" i="7"/>
  <c r="O4" i="7"/>
  <c r="O5" i="7"/>
  <c r="O6" i="7"/>
  <c r="O7" i="7" s="1"/>
  <c r="T8" i="7"/>
  <c r="T9" i="7"/>
  <c r="J6" i="8"/>
  <c r="J9" i="8"/>
  <c r="J17" i="8"/>
  <c r="J25" i="8"/>
  <c r="J33" i="8"/>
  <c r="J41" i="8"/>
  <c r="J49" i="8"/>
  <c r="J57" i="8"/>
  <c r="J65" i="8"/>
  <c r="I102" i="8"/>
  <c r="K10" i="8"/>
  <c r="K18" i="8"/>
  <c r="K26" i="8"/>
  <c r="K34" i="8"/>
  <c r="K42" i="8"/>
  <c r="K50" i="8"/>
  <c r="K58" i="8"/>
  <c r="K66" i="8"/>
  <c r="I115" i="8"/>
  <c r="I123" i="8"/>
  <c r="L131" i="8"/>
  <c r="H4" i="8"/>
  <c r="H12" i="8"/>
  <c r="H20" i="8"/>
  <c r="H28" i="8"/>
  <c r="H36" i="8"/>
  <c r="H44" i="8"/>
  <c r="H52" i="8"/>
  <c r="H60" i="8"/>
  <c r="H68" i="8"/>
  <c r="M90" i="8"/>
  <c r="M98" i="8"/>
  <c r="M106" i="8"/>
  <c r="M114" i="8"/>
  <c r="M122" i="8"/>
  <c r="I134" i="8"/>
  <c r="O79" i="8"/>
  <c r="K140" i="8"/>
  <c r="J71" i="8"/>
  <c r="L82" i="8"/>
  <c r="O157" i="8"/>
  <c r="O80" i="8"/>
  <c r="H135" i="8"/>
  <c r="O6" i="8"/>
  <c r="O10" i="8"/>
  <c r="O14" i="8"/>
  <c r="O18" i="8"/>
  <c r="O22" i="8"/>
  <c r="O26" i="8"/>
  <c r="O30" i="8"/>
  <c r="O34" i="8"/>
  <c r="O38" i="8"/>
  <c r="O42" i="8"/>
  <c r="O46" i="8"/>
  <c r="O50" i="8"/>
  <c r="O54" i="8"/>
  <c r="O58" i="8"/>
  <c r="O62" i="8"/>
  <c r="O66" i="8"/>
  <c r="O70" i="8"/>
  <c r="L79" i="8"/>
  <c r="K138" i="8"/>
  <c r="M2" i="8"/>
  <c r="M10" i="8"/>
  <c r="M18" i="8"/>
  <c r="M26" i="8"/>
  <c r="M34" i="8"/>
  <c r="M42" i="8"/>
  <c r="M50" i="8"/>
  <c r="M58" i="8"/>
  <c r="M66" i="8"/>
  <c r="I76" i="8"/>
  <c r="M87" i="8"/>
  <c r="I192" i="8"/>
  <c r="K74" i="8"/>
  <c r="L88" i="8"/>
  <c r="H96" i="8"/>
  <c r="H104" i="8"/>
  <c r="H112" i="8"/>
  <c r="H120" i="8"/>
  <c r="H128" i="8"/>
  <c r="M146" i="8"/>
  <c r="Q93" i="8"/>
  <c r="Q101" i="8"/>
  <c r="Q109" i="8"/>
  <c r="Q117" i="8"/>
  <c r="Q125" i="8"/>
  <c r="M133" i="8"/>
  <c r="Q142" i="8"/>
  <c r="K154" i="8"/>
  <c r="O173" i="8"/>
  <c r="I163" i="8"/>
  <c r="H181" i="8"/>
  <c r="H134" i="8"/>
  <c r="J144" i="8"/>
  <c r="K166" i="8"/>
  <c r="L190" i="8"/>
  <c r="Q139" i="8"/>
  <c r="I151" i="8"/>
  <c r="L168" i="8"/>
  <c r="O196" i="8"/>
  <c r="J75" i="8"/>
  <c r="J83" i="8"/>
  <c r="J91" i="8"/>
  <c r="J99" i="8"/>
  <c r="J107" i="8"/>
  <c r="J115" i="8"/>
  <c r="J123" i="8"/>
  <c r="O130" i="8"/>
  <c r="H140" i="8"/>
  <c r="Q155" i="8"/>
  <c r="O172" i="8"/>
  <c r="J214" i="8"/>
  <c r="K80" i="8"/>
  <c r="K88" i="8"/>
  <c r="K96" i="8"/>
  <c r="K104" i="8"/>
  <c r="K112" i="8"/>
  <c r="K120" i="8"/>
  <c r="K128" i="8"/>
  <c r="M139" i="8"/>
  <c r="O153" i="8"/>
  <c r="J167" i="8"/>
  <c r="I195" i="8"/>
  <c r="O91" i="8"/>
  <c r="O95" i="8"/>
  <c r="O99" i="8"/>
  <c r="O103" i="8"/>
  <c r="O107" i="8"/>
  <c r="O111" i="8"/>
  <c r="O115" i="8"/>
  <c r="O119" i="8"/>
  <c r="O123" i="8"/>
  <c r="O127" i="8"/>
  <c r="J133" i="8"/>
  <c r="H147" i="8"/>
  <c r="O163" i="8"/>
  <c r="J195" i="8"/>
  <c r="H148" i="8"/>
  <c r="L158" i="8"/>
  <c r="H176" i="8"/>
  <c r="H193" i="8"/>
  <c r="L144" i="8"/>
  <c r="J155" i="8"/>
  <c r="Q163" i="8"/>
  <c r="M173" i="8"/>
  <c r="L195" i="8"/>
  <c r="M231" i="8"/>
  <c r="M140" i="8"/>
  <c r="K147" i="8"/>
  <c r="Q152" i="8"/>
  <c r="I160" i="8"/>
  <c r="I178" i="8"/>
  <c r="O195" i="8"/>
  <c r="K131" i="8"/>
  <c r="H141" i="8"/>
  <c r="L151" i="8"/>
  <c r="O160" i="8"/>
  <c r="L186" i="8"/>
  <c r="K223" i="8"/>
  <c r="I168" i="8"/>
  <c r="L176" i="8"/>
  <c r="J186" i="8"/>
  <c r="L197" i="8"/>
  <c r="K205" i="8"/>
  <c r="I217" i="8"/>
  <c r="I233" i="8"/>
  <c r="Q254" i="8"/>
  <c r="L258" i="8"/>
  <c r="J243" i="8"/>
  <c r="M304" i="8"/>
  <c r="O277" i="8"/>
  <c r="Q258" i="8"/>
  <c r="Q165" i="8"/>
  <c r="Q173" i="8"/>
  <c r="L181" i="8"/>
  <c r="K192" i="8"/>
  <c r="H201" i="8"/>
  <c r="H209" i="8"/>
  <c r="J227" i="8"/>
  <c r="L262" i="8"/>
  <c r="J180" i="8"/>
  <c r="L192" i="8"/>
  <c r="I201" i="8"/>
  <c r="O249" i="8"/>
  <c r="H163" i="8"/>
  <c r="H171" i="8"/>
  <c r="Q177" i="8"/>
  <c r="O186" i="8"/>
  <c r="J198" i="8"/>
  <c r="J206" i="8"/>
  <c r="L219" i="8"/>
  <c r="L239" i="8"/>
  <c r="L301" i="8"/>
  <c r="O216" i="8"/>
  <c r="O224" i="8"/>
  <c r="O232" i="8"/>
  <c r="M247" i="8"/>
  <c r="K262" i="8"/>
  <c r="H283" i="8"/>
  <c r="H299" i="8"/>
  <c r="L267" i="8"/>
  <c r="H286" i="8"/>
  <c r="I305" i="8"/>
  <c r="L200" i="8"/>
  <c r="L204" i="8"/>
  <c r="L208" i="8"/>
  <c r="H216" i="8"/>
  <c r="L226" i="8"/>
  <c r="O236" i="8"/>
  <c r="I249" i="8"/>
  <c r="I280" i="8"/>
  <c r="I296" i="8"/>
  <c r="M183" i="8"/>
  <c r="M191" i="8"/>
  <c r="M199" i="8"/>
  <c r="M207" i="8"/>
  <c r="I216" i="8"/>
  <c r="I224" i="8"/>
  <c r="I232" i="8"/>
  <c r="J245" i="8"/>
  <c r="H259" i="8"/>
  <c r="Q182" i="8"/>
  <c r="Q190" i="8"/>
  <c r="Q198" i="8"/>
  <c r="Q206" i="8"/>
  <c r="J216" i="8"/>
  <c r="H227" i="8"/>
  <c r="H237" i="8"/>
  <c r="I254" i="8"/>
  <c r="I279" i="8"/>
  <c r="M248" i="8"/>
  <c r="H256" i="8"/>
  <c r="L270" i="8"/>
  <c r="Q279" i="8"/>
  <c r="Q287" i="8"/>
  <c r="Q295" i="8"/>
  <c r="Q346" i="8"/>
  <c r="H341" i="8"/>
  <c r="Q335" i="8"/>
  <c r="D21" i="9"/>
  <c r="C10" i="9"/>
  <c r="O242" i="8"/>
  <c r="I252" i="8"/>
  <c r="I261" i="8"/>
  <c r="I273" i="8"/>
  <c r="Q308" i="8"/>
  <c r="C51" i="9"/>
  <c r="D62" i="9"/>
  <c r="M241" i="8"/>
  <c r="O248" i="8"/>
  <c r="K255" i="8"/>
  <c r="K263" i="8"/>
  <c r="L273" i="8"/>
  <c r="O342" i="8"/>
  <c r="Q212" i="8"/>
  <c r="Q220" i="8"/>
  <c r="Q228" i="8"/>
  <c r="Q236" i="8"/>
  <c r="Q244" i="8"/>
  <c r="L261" i="8"/>
  <c r="I278" i="8"/>
  <c r="Q313" i="8"/>
  <c r="Q330" i="8"/>
  <c r="M256" i="8"/>
  <c r="M264" i="8"/>
  <c r="M272" i="8"/>
  <c r="M280" i="8"/>
  <c r="M288" i="8"/>
  <c r="M296" i="8"/>
  <c r="L304" i="8"/>
  <c r="Q311" i="8"/>
  <c r="M350" i="8"/>
  <c r="J250" i="8"/>
  <c r="J258" i="8"/>
  <c r="J266" i="8"/>
  <c r="J274" i="8"/>
  <c r="J282" i="8"/>
  <c r="J290" i="8"/>
  <c r="J298" i="8"/>
  <c r="L317" i="8"/>
  <c r="Q355" i="8"/>
  <c r="K269" i="8"/>
  <c r="K277" i="8"/>
  <c r="K285" i="8"/>
  <c r="K293" i="8"/>
  <c r="O300" i="8"/>
  <c r="M309" i="8"/>
  <c r="M317" i="8"/>
  <c r="H325" i="8"/>
  <c r="H333" i="8"/>
  <c r="C134" i="9"/>
  <c r="D145" i="9"/>
  <c r="O283" i="8"/>
  <c r="O287" i="8"/>
  <c r="O291" i="8"/>
  <c r="O295" i="8"/>
  <c r="O299" i="8"/>
  <c r="M319" i="8"/>
  <c r="M327" i="8"/>
  <c r="M335" i="8"/>
  <c r="M354" i="8"/>
  <c r="L321" i="8"/>
  <c r="L325" i="8"/>
  <c r="L329" i="8"/>
  <c r="L333" i="8"/>
  <c r="H338" i="8"/>
  <c r="C78" i="9"/>
  <c r="D89" i="9"/>
  <c r="D219" i="9"/>
  <c r="C208" i="9"/>
  <c r="C258" i="9"/>
  <c r="D269" i="9"/>
  <c r="I308" i="8"/>
  <c r="I316" i="8"/>
  <c r="I324" i="8"/>
  <c r="I332" i="8"/>
  <c r="O340" i="8"/>
  <c r="O348" i="8"/>
  <c r="D128" i="9"/>
  <c r="C117" i="9"/>
  <c r="J304" i="8"/>
  <c r="J312" i="8"/>
  <c r="J320" i="8"/>
  <c r="J328" i="8"/>
  <c r="K336" i="8"/>
  <c r="L355" i="8"/>
  <c r="D231" i="9"/>
  <c r="C220" i="9"/>
  <c r="K306" i="8"/>
  <c r="K314" i="8"/>
  <c r="K322" i="8"/>
  <c r="K330" i="8"/>
  <c r="H340" i="8"/>
  <c r="H348" i="8"/>
  <c r="D20" i="9"/>
  <c r="C9" i="9"/>
  <c r="L349" i="8"/>
  <c r="H354" i="8"/>
  <c r="C40" i="9"/>
  <c r="D51" i="9"/>
  <c r="D247" i="9"/>
  <c r="C236" i="9"/>
  <c r="I340" i="8"/>
  <c r="I348" i="8"/>
  <c r="C6" i="9"/>
  <c r="D17" i="9"/>
  <c r="C178" i="9"/>
  <c r="D189" i="9"/>
  <c r="J342" i="8"/>
  <c r="J350" i="8"/>
  <c r="O356" i="8"/>
  <c r="C54" i="9"/>
  <c r="D65" i="9"/>
  <c r="C157" i="9"/>
  <c r="D168" i="9"/>
  <c r="K340" i="8"/>
  <c r="K348" i="8"/>
  <c r="C17" i="9"/>
  <c r="D28" i="9"/>
  <c r="D148" i="9"/>
  <c r="C137" i="9"/>
  <c r="D37" i="9"/>
  <c r="C26" i="9"/>
  <c r="D101" i="9"/>
  <c r="C90" i="9"/>
  <c r="C197" i="9"/>
  <c r="D208" i="9"/>
  <c r="C325" i="9"/>
  <c r="D336" i="9"/>
  <c r="D36" i="9"/>
  <c r="C25" i="9"/>
  <c r="D100" i="9"/>
  <c r="C89" i="9"/>
  <c r="D195" i="9"/>
  <c r="C184" i="9"/>
  <c r="D323" i="9"/>
  <c r="C312" i="9"/>
  <c r="D79" i="9"/>
  <c r="C68" i="9"/>
  <c r="C142" i="9"/>
  <c r="D153" i="9"/>
  <c r="D271" i="9"/>
  <c r="C260" i="9"/>
  <c r="D58" i="9"/>
  <c r="C47" i="9"/>
  <c r="D122" i="9"/>
  <c r="C111" i="9"/>
  <c r="C186" i="9"/>
  <c r="D197" i="9"/>
  <c r="C314" i="9"/>
  <c r="D325" i="9"/>
  <c r="D202" i="9"/>
  <c r="C191" i="9"/>
  <c r="D266" i="9"/>
  <c r="C255" i="9"/>
  <c r="D330" i="9"/>
  <c r="C319" i="9"/>
  <c r="C139" i="9"/>
  <c r="D150" i="9"/>
  <c r="C203" i="9"/>
  <c r="D214" i="9"/>
  <c r="C267" i="9"/>
  <c r="D278" i="9"/>
  <c r="C331" i="9"/>
  <c r="D342" i="9"/>
  <c r="C190" i="9"/>
  <c r="D201" i="9"/>
  <c r="C254" i="9"/>
  <c r="D265" i="9"/>
  <c r="C318" i="9"/>
  <c r="D329" i="9"/>
  <c r="D188" i="9"/>
  <c r="C177" i="9"/>
  <c r="D252" i="9"/>
  <c r="C241" i="9"/>
  <c r="D316" i="9"/>
  <c r="C305" i="9"/>
  <c r="O237" i="8"/>
  <c r="H175" i="8"/>
  <c r="H186" i="8"/>
  <c r="J197" i="8"/>
  <c r="I205" i="8"/>
  <c r="O215" i="8"/>
  <c r="O231" i="8"/>
  <c r="I295" i="8"/>
  <c r="H166" i="8"/>
  <c r="H174" i="8"/>
  <c r="O180" i="8"/>
  <c r="O190" i="8"/>
  <c r="J201" i="8"/>
  <c r="J209" i="8"/>
  <c r="L227" i="8"/>
  <c r="O254" i="8"/>
  <c r="K212" i="8"/>
  <c r="K220" i="8"/>
  <c r="K228" i="8"/>
  <c r="I237" i="8"/>
  <c r="H253" i="8"/>
  <c r="L271" i="8"/>
  <c r="H289" i="8"/>
  <c r="H305" i="8"/>
  <c r="L275" i="8"/>
  <c r="H292" i="8"/>
  <c r="O197" i="8"/>
  <c r="O201" i="8"/>
  <c r="O205" i="8"/>
  <c r="O209" i="8"/>
  <c r="H220" i="8"/>
  <c r="L230" i="8"/>
  <c r="K240" i="8"/>
  <c r="L260" i="8"/>
  <c r="I286" i="8"/>
  <c r="L305" i="8"/>
  <c r="M186" i="8"/>
  <c r="M194" i="8"/>
  <c r="M202" i="8"/>
  <c r="M210" i="8"/>
  <c r="M218" i="8"/>
  <c r="M226" i="8"/>
  <c r="M234" i="8"/>
  <c r="H248" i="8"/>
  <c r="H269" i="8"/>
  <c r="Q185" i="8"/>
  <c r="Q193" i="8"/>
  <c r="Q201" i="8"/>
  <c r="Q209" i="8"/>
  <c r="J220" i="8"/>
  <c r="H231" i="8"/>
  <c r="K241" i="8"/>
  <c r="O260" i="8"/>
  <c r="O309" i="8"/>
  <c r="K251" i="8"/>
  <c r="H262" i="8"/>
  <c r="L274" i="8"/>
  <c r="Q282" i="8"/>
  <c r="Q290" i="8"/>
  <c r="Q298" i="8"/>
  <c r="O317" i="8"/>
  <c r="Q325" i="8"/>
  <c r="M351" i="8"/>
  <c r="L240" i="8"/>
  <c r="L244" i="8"/>
  <c r="O255" i="8"/>
  <c r="O263" i="8"/>
  <c r="O278" i="8"/>
  <c r="M315" i="8"/>
  <c r="M236" i="8"/>
  <c r="M244" i="8"/>
  <c r="H251" i="8"/>
  <c r="Q257" i="8"/>
  <c r="H266" i="8"/>
  <c r="L277" i="8"/>
  <c r="K353" i="8"/>
  <c r="Q215" i="8"/>
  <c r="Q223" i="8"/>
  <c r="Q231" i="8"/>
  <c r="Q239" i="8"/>
  <c r="I251" i="8"/>
  <c r="O267" i="8"/>
  <c r="L303" i="8"/>
  <c r="Q320" i="8"/>
  <c r="H337" i="8"/>
  <c r="M259" i="8"/>
  <c r="M267" i="8"/>
  <c r="M275" i="8"/>
  <c r="M283" i="8"/>
  <c r="M291" i="8"/>
  <c r="M299" i="8"/>
  <c r="H307" i="8"/>
  <c r="H315" i="8"/>
  <c r="C94" i="9"/>
  <c r="D105" i="9"/>
  <c r="J253" i="8"/>
  <c r="J261" i="8"/>
  <c r="J269" i="8"/>
  <c r="J277" i="8"/>
  <c r="J285" i="8"/>
  <c r="J293" i="8"/>
  <c r="M301" i="8"/>
  <c r="O339" i="8"/>
  <c r="D137" i="9"/>
  <c r="C126" i="9"/>
  <c r="K272" i="8"/>
  <c r="K280" i="8"/>
  <c r="K288" i="8"/>
  <c r="K296" i="8"/>
  <c r="H304" i="8"/>
  <c r="O311" i="8"/>
  <c r="H320" i="8"/>
  <c r="H328" i="8"/>
  <c r="H336" i="8"/>
  <c r="L281" i="8"/>
  <c r="L285" i="8"/>
  <c r="L289" i="8"/>
  <c r="L293" i="8"/>
  <c r="L297" i="8"/>
  <c r="I304" i="8"/>
  <c r="M322" i="8"/>
  <c r="M330" i="8"/>
  <c r="H345" i="8"/>
  <c r="O318" i="8"/>
  <c r="O322" i="8"/>
  <c r="O326" i="8"/>
  <c r="O330" i="8"/>
  <c r="O334" i="8"/>
  <c r="L344" i="8"/>
  <c r="C144" i="9"/>
  <c r="D155" i="9"/>
  <c r="D199" i="9"/>
  <c r="C188" i="9"/>
  <c r="C173" i="9"/>
  <c r="D184" i="9"/>
  <c r="I311" i="8"/>
  <c r="I319" i="8"/>
  <c r="I327" i="8"/>
  <c r="I335" i="8"/>
  <c r="Q343" i="8"/>
  <c r="H356" i="8"/>
  <c r="D251" i="9"/>
  <c r="C240" i="9"/>
  <c r="J307" i="8"/>
  <c r="J315" i="8"/>
  <c r="J323" i="8"/>
  <c r="J331" i="8"/>
  <c r="Q337" i="8"/>
  <c r="C32" i="9"/>
  <c r="D43" i="9"/>
  <c r="K301" i="8"/>
  <c r="K309" i="8"/>
  <c r="K317" i="8"/>
  <c r="K325" i="8"/>
  <c r="K333" i="8"/>
  <c r="M343" i="8"/>
  <c r="Q350" i="8"/>
  <c r="C67" i="9"/>
  <c r="D78" i="9"/>
  <c r="O350" i="8"/>
  <c r="M356" i="8"/>
  <c r="C88" i="9"/>
  <c r="D99" i="9"/>
  <c r="D343" i="9"/>
  <c r="C332" i="9"/>
  <c r="I343" i="8"/>
  <c r="I351" i="8"/>
  <c r="C59" i="9"/>
  <c r="D70" i="9"/>
  <c r="C274" i="9"/>
  <c r="D285" i="9"/>
  <c r="J345" i="8"/>
  <c r="O352" i="8"/>
  <c r="D18" i="9"/>
  <c r="C7" i="9"/>
  <c r="C102" i="9"/>
  <c r="D113" i="9"/>
  <c r="C253" i="9"/>
  <c r="D264" i="9"/>
  <c r="K343" i="8"/>
  <c r="K351" i="8"/>
  <c r="D72" i="9"/>
  <c r="C61" i="9"/>
  <c r="C192" i="9"/>
  <c r="D203" i="9"/>
  <c r="D61" i="9"/>
  <c r="C50" i="9"/>
  <c r="D125" i="9"/>
  <c r="C114" i="9"/>
  <c r="C245" i="9"/>
  <c r="D256" i="9"/>
  <c r="I353" i="8"/>
  <c r="C49" i="9"/>
  <c r="D60" i="9"/>
  <c r="C113" i="9"/>
  <c r="D124" i="9"/>
  <c r="D243" i="9"/>
  <c r="C232" i="9"/>
  <c r="C28" i="9"/>
  <c r="D39" i="9"/>
  <c r="C92" i="9"/>
  <c r="D103" i="9"/>
  <c r="D191" i="9"/>
  <c r="C180" i="9"/>
  <c r="D319" i="9"/>
  <c r="C308" i="9"/>
  <c r="D82" i="9"/>
  <c r="C71" i="9"/>
  <c r="D141" i="9"/>
  <c r="C130" i="9"/>
  <c r="C234" i="9"/>
  <c r="D245" i="9"/>
  <c r="D162" i="9"/>
  <c r="C151" i="9"/>
  <c r="D226" i="9"/>
  <c r="C215" i="9"/>
  <c r="D290" i="9"/>
  <c r="C279" i="9"/>
  <c r="C343" i="9"/>
  <c r="C163" i="9"/>
  <c r="D174" i="9"/>
  <c r="C227" i="9"/>
  <c r="D238" i="9"/>
  <c r="C291" i="9"/>
  <c r="D302" i="9"/>
  <c r="D161" i="9"/>
  <c r="C150" i="9"/>
  <c r="D225" i="9"/>
  <c r="C214" i="9"/>
  <c r="D289" i="9"/>
  <c r="C278" i="9"/>
  <c r="C342" i="9"/>
  <c r="D212" i="9"/>
  <c r="C201" i="9"/>
  <c r="D276" i="9"/>
  <c r="C265" i="9"/>
  <c r="D340" i="9"/>
  <c r="C329" i="9"/>
  <c r="K256" i="8"/>
  <c r="Q164" i="8"/>
  <c r="Q172" i="8"/>
  <c r="I180" i="8"/>
  <c r="O189" i="8"/>
  <c r="H200" i="8"/>
  <c r="H208" i="8"/>
  <c r="H226" i="8"/>
  <c r="L254" i="8"/>
  <c r="H179" i="8"/>
  <c r="H190" i="8"/>
  <c r="I200" i="8"/>
  <c r="I208" i="8"/>
  <c r="M220" i="8"/>
  <c r="K239" i="8"/>
  <c r="H161" i="8"/>
  <c r="H169" i="8"/>
  <c r="O176" i="8"/>
  <c r="K185" i="8"/>
  <c r="O194" i="8"/>
  <c r="J204" i="8"/>
  <c r="H217" i="8"/>
  <c r="L235" i="8"/>
  <c r="I275" i="8"/>
  <c r="I215" i="8"/>
  <c r="I223" i="8"/>
  <c r="I231" i="8"/>
  <c r="H243" i="8"/>
  <c r="K258" i="8"/>
  <c r="L279" i="8"/>
  <c r="H295" i="8"/>
  <c r="Q262" i="8"/>
  <c r="H282" i="8"/>
  <c r="H298" i="8"/>
  <c r="L199" i="8"/>
  <c r="L203" i="8"/>
  <c r="L207" i="8"/>
  <c r="J213" i="8"/>
  <c r="H224" i="8"/>
  <c r="L234" i="8"/>
  <c r="I245" i="8"/>
  <c r="I272" i="8"/>
  <c r="I292" i="8"/>
  <c r="M181" i="8"/>
  <c r="M189" i="8"/>
  <c r="M197" i="8"/>
  <c r="M205" i="8"/>
  <c r="O213" i="8"/>
  <c r="O221" i="8"/>
  <c r="O229" i="8"/>
  <c r="J241" i="8"/>
  <c r="O253" i="8"/>
  <c r="H277" i="8"/>
  <c r="Q188" i="8"/>
  <c r="Q196" i="8"/>
  <c r="Q204" i="8"/>
  <c r="L213" i="8"/>
  <c r="J224" i="8"/>
  <c r="H235" i="8"/>
  <c r="K246" i="8"/>
  <c r="I271" i="8"/>
  <c r="K247" i="8"/>
  <c r="Q252" i="8"/>
  <c r="H267" i="8"/>
  <c r="L278" i="8"/>
  <c r="Q285" i="8"/>
  <c r="Q293" i="8"/>
  <c r="L311" i="8"/>
  <c r="L316" i="8"/>
  <c r="Q331" i="8"/>
  <c r="M345" i="8"/>
  <c r="O241" i="8"/>
  <c r="I248" i="8"/>
  <c r="I259" i="8"/>
  <c r="I269" i="8"/>
  <c r="O305" i="8"/>
  <c r="L342" i="8"/>
  <c r="M239" i="8"/>
  <c r="H247" i="8"/>
  <c r="M253" i="8"/>
  <c r="K261" i="8"/>
  <c r="H270" i="8"/>
  <c r="I303" i="8"/>
  <c r="Q210" i="8"/>
  <c r="Q218" i="8"/>
  <c r="Q226" i="8"/>
  <c r="Q234" i="8"/>
  <c r="Q242" i="8"/>
  <c r="L257" i="8"/>
  <c r="I274" i="8"/>
  <c r="O310" i="8"/>
  <c r="Q326" i="8"/>
  <c r="M254" i="8"/>
  <c r="M262" i="8"/>
  <c r="M270" i="8"/>
  <c r="M278" i="8"/>
  <c r="M286" i="8"/>
  <c r="M294" i="8"/>
  <c r="L302" i="8"/>
  <c r="M310" i="8"/>
  <c r="Q338" i="8"/>
  <c r="J248" i="8"/>
  <c r="J256" i="8"/>
  <c r="J264" i="8"/>
  <c r="J272" i="8"/>
  <c r="J280" i="8"/>
  <c r="J288" i="8"/>
  <c r="J296" i="8"/>
  <c r="L309" i="8"/>
  <c r="H346" i="8"/>
  <c r="K267" i="8"/>
  <c r="K275" i="8"/>
  <c r="K283" i="8"/>
  <c r="K291" i="8"/>
  <c r="K299" i="8"/>
  <c r="Q306" i="8"/>
  <c r="Q314" i="8"/>
  <c r="H323" i="8"/>
  <c r="H331" i="8"/>
  <c r="C19" i="9"/>
  <c r="D30" i="9"/>
  <c r="O282" i="8"/>
  <c r="O286" i="8"/>
  <c r="O290" i="8"/>
  <c r="O294" i="8"/>
  <c r="O298" i="8"/>
  <c r="L314" i="8"/>
  <c r="M325" i="8"/>
  <c r="M333" i="8"/>
  <c r="H350" i="8"/>
  <c r="L320" i="8"/>
  <c r="L324" i="8"/>
  <c r="L328" i="8"/>
  <c r="L332" i="8"/>
  <c r="M336" i="8"/>
  <c r="L354" i="8"/>
  <c r="C333" i="9"/>
  <c r="D344" i="9"/>
  <c r="C115" i="9"/>
  <c r="D126" i="9"/>
  <c r="I306" i="8"/>
  <c r="I314" i="8"/>
  <c r="I322" i="8"/>
  <c r="I330" i="8"/>
  <c r="J339" i="8"/>
  <c r="H347" i="8"/>
  <c r="D64" i="9"/>
  <c r="C53" i="9"/>
  <c r="J302" i="8"/>
  <c r="J310" i="8"/>
  <c r="J318" i="8"/>
  <c r="J326" i="8"/>
  <c r="J334" i="8"/>
  <c r="L347" i="8"/>
  <c r="C128" i="9"/>
  <c r="D139" i="9"/>
  <c r="K304" i="8"/>
  <c r="K312" i="8"/>
  <c r="K320" i="8"/>
  <c r="K328" i="8"/>
  <c r="L336" i="8"/>
  <c r="O345" i="8"/>
  <c r="K354" i="8"/>
  <c r="C226" i="9"/>
  <c r="D237" i="9"/>
  <c r="M352" i="8"/>
  <c r="D24" i="9"/>
  <c r="C13" i="9"/>
  <c r="D183" i="9"/>
  <c r="C172" i="9"/>
  <c r="I338" i="8"/>
  <c r="I346" i="8"/>
  <c r="J356" i="8"/>
  <c r="C107" i="9"/>
  <c r="D118" i="9"/>
  <c r="J340" i="8"/>
  <c r="J348" i="8"/>
  <c r="H355" i="8"/>
  <c r="C24" i="9"/>
  <c r="D35" i="9"/>
  <c r="D146" i="9"/>
  <c r="C135" i="9"/>
  <c r="K338" i="8"/>
  <c r="K346" i="8"/>
  <c r="L356" i="8"/>
  <c r="D120" i="9"/>
  <c r="C109" i="9"/>
  <c r="C288" i="9"/>
  <c r="D299" i="9"/>
  <c r="D85" i="9"/>
  <c r="C74" i="9"/>
  <c r="C165" i="9"/>
  <c r="D176" i="9"/>
  <c r="C293" i="9"/>
  <c r="D304" i="9"/>
  <c r="I356" i="8"/>
  <c r="D84" i="9"/>
  <c r="C73" i="9"/>
  <c r="D163" i="9"/>
  <c r="C152" i="9"/>
  <c r="D291" i="9"/>
  <c r="C280" i="9"/>
  <c r="D63" i="9"/>
  <c r="C52" i="9"/>
  <c r="D127" i="9"/>
  <c r="C116" i="9"/>
  <c r="D239" i="9"/>
  <c r="C228" i="9"/>
  <c r="D42" i="9"/>
  <c r="C31" i="9"/>
  <c r="D106" i="9"/>
  <c r="C95" i="9"/>
  <c r="C154" i="9"/>
  <c r="D165" i="9"/>
  <c r="C282" i="9"/>
  <c r="D293" i="9"/>
  <c r="D186" i="9"/>
  <c r="C175" i="9"/>
  <c r="D250" i="9"/>
  <c r="C239" i="9"/>
  <c r="D314" i="9"/>
  <c r="C303" i="9"/>
  <c r="C187" i="9"/>
  <c r="D198" i="9"/>
  <c r="C251" i="9"/>
  <c r="D262" i="9"/>
  <c r="C315" i="9"/>
  <c r="D326" i="9"/>
  <c r="C174" i="9"/>
  <c r="D185" i="9"/>
  <c r="C238" i="9"/>
  <c r="D249" i="9"/>
  <c r="C302" i="9"/>
  <c r="D313" i="9"/>
  <c r="D172" i="9"/>
  <c r="C161" i="9"/>
  <c r="D236" i="9"/>
  <c r="C225" i="9"/>
  <c r="D300" i="9"/>
  <c r="C289" i="9"/>
  <c r="I209" i="8"/>
  <c r="O223" i="8"/>
  <c r="H244" i="8"/>
  <c r="H162" i="8"/>
  <c r="H170" i="8"/>
  <c r="M177" i="8"/>
  <c r="I186" i="8"/>
  <c r="K197" i="8"/>
  <c r="J205" i="8"/>
  <c r="J218" i="8"/>
  <c r="H238" i="8"/>
  <c r="I285" i="8"/>
  <c r="K216" i="8"/>
  <c r="K224" i="8"/>
  <c r="K232" i="8"/>
  <c r="L246" i="8"/>
  <c r="Q260" i="8"/>
  <c r="H281" i="8"/>
  <c r="H297" i="8"/>
  <c r="K264" i="8"/>
  <c r="H284" i="8"/>
  <c r="H300" i="8"/>
  <c r="O199" i="8"/>
  <c r="O203" i="8"/>
  <c r="O207" i="8"/>
  <c r="L214" i="8"/>
  <c r="J225" i="8"/>
  <c r="J236" i="8"/>
  <c r="H246" i="8"/>
  <c r="O273" i="8"/>
  <c r="I294" i="8"/>
  <c r="M182" i="8"/>
  <c r="M190" i="8"/>
  <c r="M198" i="8"/>
  <c r="M206" i="8"/>
  <c r="M214" i="8"/>
  <c r="M222" i="8"/>
  <c r="M230" i="8"/>
  <c r="H242" i="8"/>
  <c r="H255" i="8"/>
  <c r="Q317" i="8"/>
  <c r="Q189" i="8"/>
  <c r="Q197" i="8"/>
  <c r="Q205" i="8"/>
  <c r="H215" i="8"/>
  <c r="L225" i="8"/>
  <c r="L236" i="8"/>
  <c r="L247" i="8"/>
  <c r="O272" i="8"/>
  <c r="O247" i="8"/>
  <c r="H254" i="8"/>
  <c r="Q267" i="8"/>
  <c r="H279" i="8"/>
  <c r="Q286" i="8"/>
  <c r="Q294" i="8"/>
  <c r="O343" i="8"/>
  <c r="J338" i="8"/>
  <c r="Q333" i="8"/>
  <c r="H357" i="8"/>
  <c r="L242" i="8"/>
  <c r="L249" i="8"/>
  <c r="O259" i="8"/>
  <c r="O270" i="8"/>
  <c r="M307" i="8"/>
  <c r="J357" i="8"/>
  <c r="M240" i="8"/>
  <c r="K248" i="8"/>
  <c r="Q253" i="8"/>
  <c r="Q261" i="8"/>
  <c r="Q270" i="8"/>
  <c r="L312" i="8"/>
  <c r="Q211" i="8"/>
  <c r="Q219" i="8"/>
  <c r="Q227" i="8"/>
  <c r="Q235" i="8"/>
  <c r="Q243" i="8"/>
  <c r="L259" i="8"/>
  <c r="O275" i="8"/>
  <c r="M312" i="8"/>
  <c r="Q328" i="8"/>
  <c r="M255" i="8"/>
  <c r="M263" i="8"/>
  <c r="M271" i="8"/>
  <c r="M279" i="8"/>
  <c r="M287" i="8"/>
  <c r="M295" i="8"/>
  <c r="Q302" i="8"/>
  <c r="H311" i="8"/>
  <c r="L345" i="8"/>
  <c r="J249" i="8"/>
  <c r="J257" i="8"/>
  <c r="J265" i="8"/>
  <c r="J273" i="8"/>
  <c r="J281" i="8"/>
  <c r="J289" i="8"/>
  <c r="J297" i="8"/>
  <c r="L313" i="8"/>
  <c r="O347" i="8"/>
  <c r="K268" i="8"/>
  <c r="K276" i="8"/>
  <c r="K284" i="8"/>
  <c r="K292" i="8"/>
  <c r="K300" i="8"/>
  <c r="O307" i="8"/>
  <c r="O315" i="8"/>
  <c r="H324" i="8"/>
  <c r="H332" i="8"/>
  <c r="C80" i="9"/>
  <c r="D91" i="9"/>
  <c r="L283" i="8"/>
  <c r="L287" i="8"/>
  <c r="L291" i="8"/>
  <c r="L295" i="8"/>
  <c r="L299" i="8"/>
  <c r="M318" i="8"/>
  <c r="M326" i="8"/>
  <c r="M334" i="8"/>
  <c r="H352" i="8"/>
  <c r="O320" i="8"/>
  <c r="O324" i="8"/>
  <c r="O328" i="8"/>
  <c r="O332" i="8"/>
  <c r="Q336" i="8"/>
  <c r="C46" i="9"/>
  <c r="D57" i="9"/>
  <c r="D157" i="9"/>
  <c r="C146" i="9"/>
  <c r="C194" i="9"/>
  <c r="D205" i="9"/>
  <c r="I307" i="8"/>
  <c r="I315" i="8"/>
  <c r="I323" i="8"/>
  <c r="I331" i="8"/>
  <c r="Q339" i="8"/>
  <c r="Q347" i="8"/>
  <c r="D96" i="9"/>
  <c r="C85" i="9"/>
  <c r="J303" i="8"/>
  <c r="J311" i="8"/>
  <c r="J319" i="8"/>
  <c r="J327" i="8"/>
  <c r="J335" i="8"/>
  <c r="J354" i="8"/>
  <c r="D167" i="9"/>
  <c r="C156" i="9"/>
  <c r="K305" i="8"/>
  <c r="K313" i="8"/>
  <c r="K321" i="8"/>
  <c r="K329" i="8"/>
  <c r="M339" i="8"/>
  <c r="M347" i="8"/>
  <c r="M355" i="8"/>
  <c r="C290" i="9"/>
  <c r="D301" i="9"/>
  <c r="Q352" i="8"/>
  <c r="D32" i="9"/>
  <c r="C21" i="9"/>
  <c r="D215" i="9"/>
  <c r="C204" i="9"/>
  <c r="I339" i="8"/>
  <c r="I347" i="8"/>
  <c r="L357" i="8"/>
  <c r="C123" i="9"/>
  <c r="D134" i="9"/>
  <c r="J341" i="8"/>
  <c r="J349" i="8"/>
  <c r="K356" i="8"/>
  <c r="C38" i="9"/>
  <c r="D49" i="9"/>
  <c r="D152" i="9"/>
  <c r="C141" i="9"/>
  <c r="K339" i="8"/>
  <c r="K347" i="8"/>
  <c r="D23" i="9"/>
  <c r="C12" i="9"/>
  <c r="C125" i="9"/>
  <c r="D136" i="9"/>
  <c r="C320" i="9"/>
  <c r="D331" i="9"/>
  <c r="D93" i="9"/>
  <c r="C82" i="9"/>
  <c r="C181" i="9"/>
  <c r="D192" i="9"/>
  <c r="C309" i="9"/>
  <c r="D320" i="9"/>
  <c r="I357" i="8"/>
  <c r="C81" i="9"/>
  <c r="D92" i="9"/>
  <c r="D179" i="9"/>
  <c r="C168" i="9"/>
  <c r="D307" i="9"/>
  <c r="C296" i="9"/>
  <c r="C60" i="9"/>
  <c r="D71" i="9"/>
  <c r="D135" i="9"/>
  <c r="C124" i="9"/>
  <c r="D255" i="9"/>
  <c r="C244" i="9"/>
  <c r="D50" i="9"/>
  <c r="C39" i="9"/>
  <c r="D114" i="9"/>
  <c r="C103" i="9"/>
  <c r="C170" i="9"/>
  <c r="D181" i="9"/>
  <c r="C298" i="9"/>
  <c r="D309" i="9"/>
  <c r="D194" i="9"/>
  <c r="C183" i="9"/>
  <c r="D258" i="9"/>
  <c r="C247" i="9"/>
  <c r="D322" i="9"/>
  <c r="C311" i="9"/>
  <c r="C131" i="9"/>
  <c r="D142" i="9"/>
  <c r="C195" i="9"/>
  <c r="D206" i="9"/>
  <c r="C259" i="9"/>
  <c r="D270" i="9"/>
  <c r="C323" i="9"/>
  <c r="D334" i="9"/>
  <c r="D193" i="9"/>
  <c r="C182" i="9"/>
  <c r="D257" i="9"/>
  <c r="C246" i="9"/>
  <c r="D321" i="9"/>
  <c r="C310" i="9"/>
  <c r="D180" i="9"/>
  <c r="C169" i="9"/>
  <c r="D244" i="9"/>
  <c r="C233" i="9"/>
  <c r="D308" i="9"/>
  <c r="C297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g.dupont</author>
  </authors>
  <commentList>
    <comment ref="B2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g.dupont:
Changed on the 31/10/2018 to 01/07/1947 instead of 01/04/1947</t>
        </r>
      </text>
    </comment>
  </commentList>
</comments>
</file>

<file path=xl/sharedStrings.xml><?xml version="1.0" encoding="utf-8"?>
<sst xmlns="http://schemas.openxmlformats.org/spreadsheetml/2006/main" count="2475" uniqueCount="1798">
  <si>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</si>
  <si>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</si>
  <si>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</si>
  <si>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</si>
  <si>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</si>
  <si>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</si>
  <si>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</si>
  <si>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</si>
  <si>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</si>
  <si>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</si>
  <si>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</si>
  <si>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</si>
  <si>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</si>
  <si>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</si>
  <si>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</si>
  <si>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</si>
  <si>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</si>
  <si>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</si>
  <si>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</si>
  <si>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</si>
  <si>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</si>
  <si>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</si>
  <si>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</si>
  <si>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</si>
  <si>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</si>
  <si>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</si>
  <si>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</si>
  <si>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</si>
  <si>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</si>
  <si>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</si>
  <si>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</si>
  <si>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</si>
  <si>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</si>
  <si>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</si>
  <si>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</si>
  <si>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</si>
  <si>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</si>
  <si>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</si>
  <si>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</si>
  <si>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</si>
  <si>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</si>
  <si>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</si>
  <si>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</si>
  <si>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</si>
  <si>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</si>
  <si>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</si>
  <si>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</si>
  <si>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</si>
  <si>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</si>
  <si>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</si>
  <si>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</si>
  <si>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</si>
  <si>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</si>
  <si>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</si>
  <si>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</si>
  <si>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</si>
  <si>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</si>
  <si>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</si>
  <si>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</si>
  <si>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</si>
  <si>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</si>
  <si>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</si>
  <si>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</si>
  <si>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</si>
  <si>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</si>
  <si>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</si>
  <si>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</si>
  <si>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</si>
  <si>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</si>
  <si>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</si>
  <si>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</si>
  <si>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</si>
  <si>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</si>
  <si>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</si>
  <si>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</si>
  <si>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</si>
  <si>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</si>
  <si>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</si>
  <si>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</si>
  <si>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</si>
  <si>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</si>
  <si>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</si>
  <si>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</si>
  <si>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</si>
  <si>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</si>
  <si>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</si>
  <si>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</si>
  <si>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</si>
  <si>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</si>
  <si>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</si>
  <si>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</si>
  <si>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</si>
  <si>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</si>
  <si>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</si>
  <si>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</si>
  <si>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</si>
  <si>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</si>
  <si>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</si>
  <si>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</si>
  <si>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</si>
  <si>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</si>
  <si>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</si>
  <si>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</si>
  <si>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</si>
  <si>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</si>
  <si>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</si>
  <si>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</si>
  <si>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</si>
  <si>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</si>
  <si>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</si>
  <si>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</si>
  <si>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</si>
  <si>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</si>
  <si>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</si>
  <si>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</si>
  <si>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</si>
  <si>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</si>
  <si>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</si>
  <si>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</si>
  <si>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</si>
  <si>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</si>
  <si>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</si>
  <si>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</si>
  <si>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</si>
  <si>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</si>
  <si>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</si>
  <si>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</si>
  <si>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</si>
  <si>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</si>
  <si>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</si>
  <si>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</si>
  <si>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</si>
  <si>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</si>
  <si>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</si>
  <si>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</si>
  <si>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</si>
  <si>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</si>
  <si>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</si>
  <si>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</si>
  <si>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</si>
  <si>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</si>
  <si>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</si>
  <si>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</si>
  <si>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</si>
  <si>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</si>
  <si>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</si>
  <si>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</si>
  <si>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</si>
  <si>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</si>
  <si>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</si>
  <si>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</si>
  <si>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</si>
  <si>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</si>
  <si>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</si>
  <si>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</si>
  <si>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</si>
  <si>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</si>
  <si>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</si>
  <si>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</si>
  <si>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</si>
  <si>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</si>
  <si>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</si>
  <si>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</si>
  <si>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</si>
  <si>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</si>
  <si>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</si>
  <si>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</si>
  <si>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</si>
  <si>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</si>
  <si>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</si>
  <si>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</si>
  <si>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</si>
  <si>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</si>
  <si>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</si>
  <si>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</si>
  <si>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</si>
  <si>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</si>
  <si>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</si>
  <si>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</si>
  <si>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</si>
  <si>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</si>
  <si>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</si>
  <si>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</si>
  <si>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</si>
  <si>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</si>
  <si>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</si>
  <si>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</si>
  <si>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</si>
  <si>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</si>
  <si>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</si>
  <si>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</si>
  <si>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</si>
  <si>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</si>
  <si>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</si>
  <si>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</si>
  <si>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</si>
  <si>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</si>
  <si>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</si>
  <si>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</si>
  <si>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</si>
  <si>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</si>
  <si>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</si>
  <si>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</si>
  <si>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</si>
  <si>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</si>
  <si>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</si>
  <si>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</si>
  <si>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</si>
  <si>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</si>
  <si>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</si>
  <si>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</si>
  <si>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</si>
  <si>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</si>
  <si>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</si>
  <si>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</si>
  <si>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</si>
  <si>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</si>
  <si>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</si>
  <si>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</si>
  <si>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</si>
  <si>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</si>
  <si>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</si>
  <si>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</si>
  <si>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</si>
  <si>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</si>
  <si>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</si>
  <si>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</si>
  <si>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</si>
  <si>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</si>
  <si>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</si>
  <si>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</si>
  <si>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</si>
  <si>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</si>
  <si>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</si>
  <si>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</si>
  <si>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</si>
  <si>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</si>
  <si>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</si>
  <si>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</si>
  <si>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</si>
  <si>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</si>
  <si>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</si>
  <si>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</si>
  <si>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</si>
  <si>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</si>
  <si>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</si>
  <si>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</si>
  <si>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</si>
  <si>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</si>
  <si>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</si>
  <si>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</si>
  <si>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</si>
  <si>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</si>
  <si>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</si>
  <si>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</si>
  <si>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</si>
  <si>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</si>
  <si>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</si>
  <si>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</si>
  <si>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</si>
  <si>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</si>
  <si>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</si>
  <si>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</si>
  <si>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</si>
  <si>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</si>
  <si>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</si>
  <si>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</si>
  <si>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</si>
  <si>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</si>
  <si>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</si>
  <si>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</si>
  <si>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</si>
  <si>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</si>
  <si>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</si>
  <si>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</si>
  <si>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</si>
  <si>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</si>
  <si>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</si>
  <si>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</si>
  <si>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</si>
  <si>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</si>
  <si>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</si>
  <si>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</si>
  <si>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</si>
  <si>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</si>
  <si>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</si>
  <si>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</si>
  <si>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</si>
  <si>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</si>
  <si>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</si>
  <si>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</si>
  <si>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</si>
  <si>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</si>
  <si>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</si>
  <si>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</si>
  <si>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</si>
  <si>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</si>
  <si>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</si>
  <si>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</si>
  <si>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</si>
  <si>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</si>
  <si>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</si>
  <si>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</si>
  <si>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</si>
  <si>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</si>
  <si>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</si>
  <si>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</si>
  <si>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</si>
  <si>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</si>
  <si>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</si>
  <si>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</si>
  <si>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</si>
  <si>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</si>
  <si>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</si>
  <si>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</si>
  <si>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</si>
  <si>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</si>
  <si>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</si>
  <si>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</si>
  <si>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</si>
  <si>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</si>
  <si>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</si>
  <si>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</si>
  <si>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</si>
  <si>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</si>
  <si>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</si>
  <si>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</si>
  <si>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</si>
  <si>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</si>
  <si>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</si>
  <si>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</si>
  <si>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</si>
  <si>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</si>
  <si>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</si>
  <si>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</si>
  <si>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</si>
  <si>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</si>
  <si>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</si>
  <si>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</si>
  <si>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</si>
  <si>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</si>
  <si>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</si>
  <si>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</si>
  <si>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</si>
  <si>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</si>
  <si>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</si>
  <si>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</si>
  <si>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</si>
  <si>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</si>
  <si>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</si>
  <si>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</si>
  <si>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</si>
  <si>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</si>
  <si>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</si>
  <si>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</si>
  <si>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</si>
  <si>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</si>
  <si>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</si>
  <si>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</si>
  <si>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</si>
  <si>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</si>
  <si>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</si>
  <si>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</si>
  <si>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</si>
  <si>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</si>
  <si>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</si>
  <si>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</si>
  <si>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</si>
  <si>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</si>
  <si>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</si>
  <si>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</si>
  <si>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</si>
  <si>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</si>
  <si>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</si>
  <si>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</si>
  <si>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</si>
  <si>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</si>
  <si>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</si>
  <si>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</si>
  <si>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</si>
  <si>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</si>
  <si>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</si>
  <si>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</si>
  <si>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</si>
  <si>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</si>
  <si>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</si>
  <si>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</si>
  <si>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</si>
  <si>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</si>
  <si>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</si>
  <si>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</si>
  <si>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</si>
  <si>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</si>
  <si>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</si>
  <si>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</si>
  <si>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</si>
  <si>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</si>
  <si>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</si>
  <si>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</si>
  <si>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</si>
  <si>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</si>
  <si>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</si>
  <si>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</si>
  <si>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</si>
  <si>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</si>
  <si>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</si>
  <si>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</si>
  <si>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</si>
  <si>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</si>
  <si>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</si>
  <si>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</si>
  <si>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</si>
  <si>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</si>
  <si>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</si>
  <si>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</si>
  <si>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</si>
  <si>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</si>
  <si>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</si>
  <si>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</si>
  <si>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</si>
  <si>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</si>
  <si>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</si>
  <si>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</si>
  <si>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</si>
  <si>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</si>
  <si>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</si>
  <si>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</si>
  <si>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</si>
  <si>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</si>
  <si>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</si>
  <si>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</si>
  <si>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</si>
  <si>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</si>
  <si>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</si>
  <si>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</si>
  <si>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</si>
  <si>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</si>
  <si>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</si>
  <si>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</si>
  <si>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</si>
  <si>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</si>
  <si>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</si>
  <si>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</si>
  <si>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</si>
  <si>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</si>
  <si>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</si>
  <si>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</si>
  <si>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</si>
  <si>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</si>
  <si>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</si>
  <si>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</si>
  <si>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</si>
  <si>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</si>
  <si>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</si>
  <si>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</si>
  <si>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</si>
  <si>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</si>
  <si>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</si>
  <si>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</si>
  <si>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</si>
  <si>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</si>
  <si>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</si>
  <si>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</si>
  <si>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</si>
  <si>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</si>
  <si>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</si>
  <si>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</si>
  <si>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</si>
  <si>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</si>
  <si>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</si>
  <si>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</si>
  <si>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</si>
  <si>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</si>
  <si>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</si>
  <si>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</si>
  <si>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</si>
  <si>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</si>
  <si>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</si>
  <si>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</si>
  <si>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</si>
  <si>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</si>
  <si>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</si>
  <si>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</si>
  <si>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</si>
  <si>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</si>
  <si>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</si>
  <si>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</si>
  <si>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</si>
  <si>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</si>
  <si>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% World GDP</t>
  </si>
  <si>
    <t>Investment as % of GDP</t>
  </si>
  <si>
    <t>Industrial Production yoy %</t>
  </si>
  <si>
    <t>Euro Area</t>
  </si>
  <si>
    <t>World GDP</t>
  </si>
  <si>
    <t>GDP</t>
  </si>
  <si>
    <t>Taiwan</t>
  </si>
  <si>
    <t>Slovakia</t>
  </si>
  <si>
    <t>Tanzania</t>
  </si>
  <si>
    <t>Ivory Coast</t>
  </si>
  <si>
    <t>Serbia</t>
  </si>
  <si>
    <t>Turkmenistan</t>
  </si>
  <si>
    <t>Azerbaijan</t>
  </si>
  <si>
    <t>Uganda</t>
  </si>
  <si>
    <t>Bosnia and Herzegovina</t>
  </si>
  <si>
    <t>Palestine</t>
  </si>
  <si>
    <t>Brunei</t>
  </si>
  <si>
    <t>Republic of the Congo</t>
  </si>
  <si>
    <t>New Caledonia</t>
  </si>
  <si>
    <t>Kyrgyzstan</t>
  </si>
  <si>
    <t>Kosovo</t>
  </si>
  <si>
    <t>Tajikistan</t>
  </si>
  <si>
    <t>Montenegro</t>
  </si>
  <si>
    <t>Guinea Bissau</t>
  </si>
  <si>
    <t>South Sudan</t>
  </si>
  <si>
    <t>Last</t>
  </si>
  <si>
    <t>Month</t>
  </si>
  <si>
    <t>Previous</t>
  </si>
  <si>
    <t>Unit</t>
  </si>
  <si>
    <t>Jun-21</t>
  </si>
  <si>
    <t>%</t>
  </si>
  <si>
    <t>Oct-21</t>
  </si>
  <si>
    <t>Sep-21</t>
  </si>
  <si>
    <t>Nov-21</t>
  </si>
  <si>
    <t>CEB</t>
  </si>
  <si>
    <t>Mar-21</t>
  </si>
  <si>
    <t>Dec-19</t>
  </si>
  <si>
    <t>May-21</t>
  </si>
  <si>
    <t>Dec-20</t>
  </si>
  <si>
    <t>Aug-21</t>
  </si>
  <si>
    <t>European Union</t>
  </si>
  <si>
    <t>Mar-20</t>
  </si>
  <si>
    <t>Jun-20</t>
  </si>
  <si>
    <t>Trinidad And Tobago</t>
  </si>
  <si>
    <t>Jan-19</t>
  </si>
  <si>
    <t>Date</t>
  </si>
  <si>
    <t>CZE</t>
  </si>
  <si>
    <t>EST</t>
  </si>
  <si>
    <t>KOR</t>
  </si>
  <si>
    <t>LVA</t>
  </si>
  <si>
    <t>OECD</t>
  </si>
  <si>
    <t>SVK</t>
  </si>
  <si>
    <t>SVN</t>
  </si>
  <si>
    <t>EA19</t>
  </si>
  <si>
    <t>EU28</t>
  </si>
  <si>
    <t>G7</t>
  </si>
  <si>
    <t>RUS</t>
  </si>
  <si>
    <t>CHI</t>
  </si>
  <si>
    <t>1919-01</t>
  </si>
  <si>
    <t>1919-02</t>
  </si>
  <si>
    <t>1919-03</t>
  </si>
  <si>
    <t>1919-04</t>
  </si>
  <si>
    <t>1919-05</t>
  </si>
  <si>
    <t>1919-06</t>
  </si>
  <si>
    <t>1919-07</t>
  </si>
  <si>
    <t>1919-08</t>
  </si>
  <si>
    <t>1919-09</t>
  </si>
  <si>
    <t>1919-10</t>
  </si>
  <si>
    <t>1919-11</t>
  </si>
  <si>
    <t>1919-12</t>
  </si>
  <si>
    <t>1920-01</t>
  </si>
  <si>
    <t>1920-02</t>
  </si>
  <si>
    <t>1920-03</t>
  </si>
  <si>
    <t>1920-04</t>
  </si>
  <si>
    <t>1920-05</t>
  </si>
  <si>
    <t>1920-06</t>
  </si>
  <si>
    <t>1920-07</t>
  </si>
  <si>
    <t>1920-08</t>
  </si>
  <si>
    <t>1920-09</t>
  </si>
  <si>
    <t>1920-10</t>
  </si>
  <si>
    <t>1920-11</t>
  </si>
  <si>
    <t>1920-12</t>
  </si>
  <si>
    <t>1921-01</t>
  </si>
  <si>
    <t>1921-02</t>
  </si>
  <si>
    <t>1921-03</t>
  </si>
  <si>
    <t>1921-04</t>
  </si>
  <si>
    <t>1921-05</t>
  </si>
  <si>
    <t>1921-06</t>
  </si>
  <si>
    <t>1921-07</t>
  </si>
  <si>
    <t>1921-08</t>
  </si>
  <si>
    <t>1921-09</t>
  </si>
  <si>
    <t>1921-10</t>
  </si>
  <si>
    <t>1921-11</t>
  </si>
  <si>
    <t>1921-12</t>
  </si>
  <si>
    <t>1922-01</t>
  </si>
  <si>
    <t>1922-02</t>
  </si>
  <si>
    <t>1922-03</t>
  </si>
  <si>
    <t>1922-04</t>
  </si>
  <si>
    <t>1922-05</t>
  </si>
  <si>
    <t>1922-06</t>
  </si>
  <si>
    <t>1922-07</t>
  </si>
  <si>
    <t>1922-08</t>
  </si>
  <si>
    <t>1922-09</t>
  </si>
  <si>
    <t>1922-10</t>
  </si>
  <si>
    <t>1922-11</t>
  </si>
  <si>
    <t>1922-12</t>
  </si>
  <si>
    <t>1923-01</t>
  </si>
  <si>
    <t>1923-02</t>
  </si>
  <si>
    <t>1923-03</t>
  </si>
  <si>
    <t>1923-04</t>
  </si>
  <si>
    <t>1923-05</t>
  </si>
  <si>
    <t>1923-06</t>
  </si>
  <si>
    <t>1923-07</t>
  </si>
  <si>
    <t>1923-08</t>
  </si>
  <si>
    <t>1923-09</t>
  </si>
  <si>
    <t>1923-10</t>
  </si>
  <si>
    <t>1923-11</t>
  </si>
  <si>
    <t>1923-12</t>
  </si>
  <si>
    <t>1924-01</t>
  </si>
  <si>
    <t>1924-02</t>
  </si>
  <si>
    <t>1924-03</t>
  </si>
  <si>
    <t>1924-04</t>
  </si>
  <si>
    <t>1924-05</t>
  </si>
  <si>
    <t>1924-06</t>
  </si>
  <si>
    <t>1924-07</t>
  </si>
  <si>
    <t>1924-08</t>
  </si>
  <si>
    <t>1924-09</t>
  </si>
  <si>
    <t>1924-10</t>
  </si>
  <si>
    <t>1924-11</t>
  </si>
  <si>
    <t>1924-12</t>
  </si>
  <si>
    <t>1925-01</t>
  </si>
  <si>
    <t>1925-02</t>
  </si>
  <si>
    <t>1925-03</t>
  </si>
  <si>
    <t>1925-04</t>
  </si>
  <si>
    <t>1925-05</t>
  </si>
  <si>
    <t>1925-06</t>
  </si>
  <si>
    <t>1925-07</t>
  </si>
  <si>
    <t>1925-08</t>
  </si>
  <si>
    <t>1925-09</t>
  </si>
  <si>
    <t>1925-10</t>
  </si>
  <si>
    <t>1925-11</t>
  </si>
  <si>
    <t>1925-12</t>
  </si>
  <si>
    <t>1926-01</t>
  </si>
  <si>
    <t>1926-02</t>
  </si>
  <si>
    <t>1926-03</t>
  </si>
  <si>
    <t>1926-04</t>
  </si>
  <si>
    <t>1926-05</t>
  </si>
  <si>
    <t>1926-06</t>
  </si>
  <si>
    <t>1926-07</t>
  </si>
  <si>
    <t>1926-08</t>
  </si>
  <si>
    <t>1926-09</t>
  </si>
  <si>
    <t>1926-10</t>
  </si>
  <si>
    <t>1926-11</t>
  </si>
  <si>
    <t>1926-12</t>
  </si>
  <si>
    <t>1927-01</t>
  </si>
  <si>
    <t>1927-02</t>
  </si>
  <si>
    <t>1927-03</t>
  </si>
  <si>
    <t>1927-04</t>
  </si>
  <si>
    <t>1927-05</t>
  </si>
  <si>
    <t>1927-06</t>
  </si>
  <si>
    <t>1927-07</t>
  </si>
  <si>
    <t>1927-08</t>
  </si>
  <si>
    <t>1927-09</t>
  </si>
  <si>
    <t>1927-10</t>
  </si>
  <si>
    <t>1927-11</t>
  </si>
  <si>
    <t>1927-12</t>
  </si>
  <si>
    <t>1928-01</t>
  </si>
  <si>
    <t>1928-02</t>
  </si>
  <si>
    <t>1928-03</t>
  </si>
  <si>
    <t>1928-04</t>
  </si>
  <si>
    <t>1928-05</t>
  </si>
  <si>
    <t>1928-06</t>
  </si>
  <si>
    <t>1928-07</t>
  </si>
  <si>
    <t>1928-08</t>
  </si>
  <si>
    <t>1928-09</t>
  </si>
  <si>
    <t>1928-10</t>
  </si>
  <si>
    <t>1928-11</t>
  </si>
  <si>
    <t>1928-12</t>
  </si>
  <si>
    <t>1929-01</t>
  </si>
  <si>
    <t>1929-02</t>
  </si>
  <si>
    <t>1929-03</t>
  </si>
  <si>
    <t>1929-04</t>
  </si>
  <si>
    <t>1929-05</t>
  </si>
  <si>
    <t>1929-06</t>
  </si>
  <si>
    <t>1929-07</t>
  </si>
  <si>
    <t>1929-08</t>
  </si>
  <si>
    <t>1929-09</t>
  </si>
  <si>
    <t>1929-10</t>
  </si>
  <si>
    <t>1929-11</t>
  </si>
  <si>
    <t>1929-12</t>
  </si>
  <si>
    <t>1930-01</t>
  </si>
  <si>
    <t>1930-02</t>
  </si>
  <si>
    <t>1930-03</t>
  </si>
  <si>
    <t>1930-04</t>
  </si>
  <si>
    <t>1930-05</t>
  </si>
  <si>
    <t>1930-06</t>
  </si>
  <si>
    <t>1930-07</t>
  </si>
  <si>
    <t>1930-08</t>
  </si>
  <si>
    <t>1930-09</t>
  </si>
  <si>
    <t>1930-10</t>
  </si>
  <si>
    <t>1930-11</t>
  </si>
  <si>
    <t>1930-12</t>
  </si>
  <si>
    <t>1931-01</t>
  </si>
  <si>
    <t>1931-02</t>
  </si>
  <si>
    <t>1931-03</t>
  </si>
  <si>
    <t>1931-04</t>
  </si>
  <si>
    <t>1931-05</t>
  </si>
  <si>
    <t>1931-06</t>
  </si>
  <si>
    <t>1931-07</t>
  </si>
  <si>
    <t>1931-08</t>
  </si>
  <si>
    <t>1931-09</t>
  </si>
  <si>
    <t>1931-10</t>
  </si>
  <si>
    <t>1931-11</t>
  </si>
  <si>
    <t>1931-12</t>
  </si>
  <si>
    <t>1932-01</t>
  </si>
  <si>
    <t>1932-02</t>
  </si>
  <si>
    <t>1932-03</t>
  </si>
  <si>
    <t>1932-04</t>
  </si>
  <si>
    <t>1932-05</t>
  </si>
  <si>
    <t>1932-06</t>
  </si>
  <si>
    <t>1932-07</t>
  </si>
  <si>
    <t>1932-08</t>
  </si>
  <si>
    <t>1932-09</t>
  </si>
  <si>
    <t>1932-10</t>
  </si>
  <si>
    <t>1932-11</t>
  </si>
  <si>
    <t>1932-12</t>
  </si>
  <si>
    <t>1933-01</t>
  </si>
  <si>
    <t>1933-02</t>
  </si>
  <si>
    <t>1933-03</t>
  </si>
  <si>
    <t>1933-04</t>
  </si>
  <si>
    <t>1933-05</t>
  </si>
  <si>
    <t>1933-06</t>
  </si>
  <si>
    <t>1933-07</t>
  </si>
  <si>
    <t>1933-08</t>
  </si>
  <si>
    <t>1933-09</t>
  </si>
  <si>
    <t>1933-10</t>
  </si>
  <si>
    <t>1933-11</t>
  </si>
  <si>
    <t>1933-12</t>
  </si>
  <si>
    <t>1934-01</t>
  </si>
  <si>
    <t>1934-02</t>
  </si>
  <si>
    <t>1934-03</t>
  </si>
  <si>
    <t>1934-04</t>
  </si>
  <si>
    <t>1934-05</t>
  </si>
  <si>
    <t>1934-06</t>
  </si>
  <si>
    <t>1934-07</t>
  </si>
  <si>
    <t>1934-08</t>
  </si>
  <si>
    <t>1934-09</t>
  </si>
  <si>
    <t>1934-10</t>
  </si>
  <si>
    <t>1934-11</t>
  </si>
  <si>
    <t>1934-12</t>
  </si>
  <si>
    <t>1935-01</t>
  </si>
  <si>
    <t>1935-02</t>
  </si>
  <si>
    <t>1935-03</t>
  </si>
  <si>
    <t>1935-04</t>
  </si>
  <si>
    <t>1935-05</t>
  </si>
  <si>
    <t>1935-06</t>
  </si>
  <si>
    <t>1935-07</t>
  </si>
  <si>
    <t>1935-08</t>
  </si>
  <si>
    <t>1935-09</t>
  </si>
  <si>
    <t>1935-10</t>
  </si>
  <si>
    <t>1935-11</t>
  </si>
  <si>
    <t>1935-12</t>
  </si>
  <si>
    <t>1936-01</t>
  </si>
  <si>
    <t>1936-02</t>
  </si>
  <si>
    <t>1936-03</t>
  </si>
  <si>
    <t>1936-04</t>
  </si>
  <si>
    <t>1936-05</t>
  </si>
  <si>
    <t>1936-06</t>
  </si>
  <si>
    <t>1936-07</t>
  </si>
  <si>
    <t>1936-08</t>
  </si>
  <si>
    <t>1936-09</t>
  </si>
  <si>
    <t>1936-10</t>
  </si>
  <si>
    <t>1936-11</t>
  </si>
  <si>
    <t>1936-12</t>
  </si>
  <si>
    <t>1937-01</t>
  </si>
  <si>
    <t>1937-02</t>
  </si>
  <si>
    <t>1937-03</t>
  </si>
  <si>
    <t>1937-04</t>
  </si>
  <si>
    <t>1937-05</t>
  </si>
  <si>
    <t>1937-06</t>
  </si>
  <si>
    <t>1937-07</t>
  </si>
  <si>
    <t>1937-08</t>
  </si>
  <si>
    <t>1937-09</t>
  </si>
  <si>
    <t>1937-10</t>
  </si>
  <si>
    <t>1937-11</t>
  </si>
  <si>
    <t>1937-12</t>
  </si>
  <si>
    <t>1938-01</t>
  </si>
  <si>
    <t>1938-02</t>
  </si>
  <si>
    <t>1938-03</t>
  </si>
  <si>
    <t>1938-04</t>
  </si>
  <si>
    <t>1938-05</t>
  </si>
  <si>
    <t>1938-06</t>
  </si>
  <si>
    <t>1938-07</t>
  </si>
  <si>
    <t>1938-08</t>
  </si>
  <si>
    <t>1938-09</t>
  </si>
  <si>
    <t>1938-10</t>
  </si>
  <si>
    <t>1938-11</t>
  </si>
  <si>
    <t>1938-12</t>
  </si>
  <si>
    <t>1939-01</t>
  </si>
  <si>
    <t>1939-02</t>
  </si>
  <si>
    <t>1939-03</t>
  </si>
  <si>
    <t>1939-04</t>
  </si>
  <si>
    <t>1939-05</t>
  </si>
  <si>
    <t>1939-06</t>
  </si>
  <si>
    <t>1939-07</t>
  </si>
  <si>
    <t>1939-08</t>
  </si>
  <si>
    <t>1939-09</t>
  </si>
  <si>
    <t>1939-10</t>
  </si>
  <si>
    <t>1939-11</t>
  </si>
  <si>
    <t>1939-12</t>
  </si>
  <si>
    <t>1940-01</t>
  </si>
  <si>
    <t>1940-02</t>
  </si>
  <si>
    <t>1940-03</t>
  </si>
  <si>
    <t>1940-04</t>
  </si>
  <si>
    <t>1940-05</t>
  </si>
  <si>
    <t>1940-06</t>
  </si>
  <si>
    <t>1940-07</t>
  </si>
  <si>
    <t>1940-08</t>
  </si>
  <si>
    <t>1940-09</t>
  </si>
  <si>
    <t>1940-10</t>
  </si>
  <si>
    <t>1940-11</t>
  </si>
  <si>
    <t>1940-12</t>
  </si>
  <si>
    <t>1941-01</t>
  </si>
  <si>
    <t>1941-02</t>
  </si>
  <si>
    <t>1941-03</t>
  </si>
  <si>
    <t>1941-04</t>
  </si>
  <si>
    <t>1941-05</t>
  </si>
  <si>
    <t>1941-06</t>
  </si>
  <si>
    <t>1941-07</t>
  </si>
  <si>
    <t>1941-08</t>
  </si>
  <si>
    <t>1941-09</t>
  </si>
  <si>
    <t>1941-10</t>
  </si>
  <si>
    <t>1941-11</t>
  </si>
  <si>
    <t>1941-12</t>
  </si>
  <si>
    <t>1942-01</t>
  </si>
  <si>
    <t>1942-02</t>
  </si>
  <si>
    <t>1942-03</t>
  </si>
  <si>
    <t>1942-04</t>
  </si>
  <si>
    <t>1942-05</t>
  </si>
  <si>
    <t>1942-06</t>
  </si>
  <si>
    <t>1942-07</t>
  </si>
  <si>
    <t>1942-08</t>
  </si>
  <si>
    <t>1942-09</t>
  </si>
  <si>
    <t>1942-10</t>
  </si>
  <si>
    <t>1942-11</t>
  </si>
  <si>
    <t>1942-12</t>
  </si>
  <si>
    <t>1943-01</t>
  </si>
  <si>
    <t>1943-02</t>
  </si>
  <si>
    <t>1943-03</t>
  </si>
  <si>
    <t>1943-04</t>
  </si>
  <si>
    <t>1943-05</t>
  </si>
  <si>
    <t>1943-06</t>
  </si>
  <si>
    <t>1943-07</t>
  </si>
  <si>
    <t>1943-08</t>
  </si>
  <si>
    <t>1943-09</t>
  </si>
  <si>
    <t>1943-10</t>
  </si>
  <si>
    <t>1943-11</t>
  </si>
  <si>
    <t>1943-12</t>
  </si>
  <si>
    <t>1944-01</t>
  </si>
  <si>
    <t>1944-02</t>
  </si>
  <si>
    <t>1944-03</t>
  </si>
  <si>
    <t>1944-04</t>
  </si>
  <si>
    <t>1944-05</t>
  </si>
  <si>
    <t>1944-06</t>
  </si>
  <si>
    <t>1944-07</t>
  </si>
  <si>
    <t>1944-08</t>
  </si>
  <si>
    <t>1944-09</t>
  </si>
  <si>
    <t>1944-10</t>
  </si>
  <si>
    <t>1944-11</t>
  </si>
  <si>
    <t>1944-12</t>
  </si>
  <si>
    <t>1945-01</t>
  </si>
  <si>
    <t>1945-02</t>
  </si>
  <si>
    <t>1945-03</t>
  </si>
  <si>
    <t>1945-04</t>
  </si>
  <si>
    <t>1945-05</t>
  </si>
  <si>
    <t>1945-06</t>
  </si>
  <si>
    <t>1945-07</t>
  </si>
  <si>
    <t>1945-08</t>
  </si>
  <si>
    <t>1945-09</t>
  </si>
  <si>
    <t>1945-10</t>
  </si>
  <si>
    <t>1945-11</t>
  </si>
  <si>
    <t>1945-12</t>
  </si>
  <si>
    <t>1946-01</t>
  </si>
  <si>
    <t>1946-02</t>
  </si>
  <si>
    <t>1946-03</t>
  </si>
  <si>
    <t>1946-04</t>
  </si>
  <si>
    <t>1946-05</t>
  </si>
  <si>
    <t>1946-06</t>
  </si>
  <si>
    <t>1946-07</t>
  </si>
  <si>
    <t>1946-08</t>
  </si>
  <si>
    <t>1946-09</t>
  </si>
  <si>
    <t>1946-10</t>
  </si>
  <si>
    <t>1946-11</t>
  </si>
  <si>
    <t>1946-12</t>
  </si>
  <si>
    <t>1947-01</t>
  </si>
  <si>
    <t>1947-02</t>
  </si>
  <si>
    <t>1947-03</t>
  </si>
  <si>
    <t>1947-04</t>
  </si>
  <si>
    <t>1947-05</t>
  </si>
  <si>
    <t>1947-06</t>
  </si>
  <si>
    <t>1947-07</t>
  </si>
  <si>
    <t>1947-08</t>
  </si>
  <si>
    <t>1947-09</t>
  </si>
  <si>
    <t>1947-10</t>
  </si>
  <si>
    <t>1947-11</t>
  </si>
  <si>
    <t>1947-12</t>
  </si>
  <si>
    <t>1948-01</t>
  </si>
  <si>
    <t>1948-02</t>
  </si>
  <si>
    <t>1948-03</t>
  </si>
  <si>
    <t>1948-04</t>
  </si>
  <si>
    <t>1948-05</t>
  </si>
  <si>
    <t>1948-06</t>
  </si>
  <si>
    <t>1948-07</t>
  </si>
  <si>
    <t>1948-08</t>
  </si>
  <si>
    <t>1948-09</t>
  </si>
  <si>
    <t>1948-10</t>
  </si>
  <si>
    <t>1948-11</t>
  </si>
  <si>
    <t>1948-12</t>
  </si>
  <si>
    <t>1949-01</t>
  </si>
  <si>
    <t>1949-02</t>
  </si>
  <si>
    <t>1949-03</t>
  </si>
  <si>
    <t>1949-04</t>
  </si>
  <si>
    <t>1949-05</t>
  </si>
  <si>
    <t>1949-06</t>
  </si>
  <si>
    <t>1949-07</t>
  </si>
  <si>
    <t>1949-08</t>
  </si>
  <si>
    <t>1949-09</t>
  </si>
  <si>
    <t>1949-10</t>
  </si>
  <si>
    <t>1949-11</t>
  </si>
  <si>
    <t>1949-12</t>
  </si>
  <si>
    <t>1950-01</t>
  </si>
  <si>
    <t>1950-02</t>
  </si>
  <si>
    <t>1950-03</t>
  </si>
  <si>
    <t>1950-04</t>
  </si>
  <si>
    <t>1950-05</t>
  </si>
  <si>
    <t>1950-06</t>
  </si>
  <si>
    <t>1950-07</t>
  </si>
  <si>
    <t>1950-08</t>
  </si>
  <si>
    <t>1950-09</t>
  </si>
  <si>
    <t>1950-10</t>
  </si>
  <si>
    <t>1950-11</t>
  </si>
  <si>
    <t>1950-12</t>
  </si>
  <si>
    <t>1951-01</t>
  </si>
  <si>
    <t>1951-02</t>
  </si>
  <si>
    <t>1951-03</t>
  </si>
  <si>
    <t>1951-04</t>
  </si>
  <si>
    <t>1951-05</t>
  </si>
  <si>
    <t>1951-06</t>
  </si>
  <si>
    <t>1951-07</t>
  </si>
  <si>
    <t>1951-08</t>
  </si>
  <si>
    <t>1951-09</t>
  </si>
  <si>
    <t>1951-10</t>
  </si>
  <si>
    <t>1951-11</t>
  </si>
  <si>
    <t>1951-12</t>
  </si>
  <si>
    <t>1952-01</t>
  </si>
  <si>
    <t>1952-02</t>
  </si>
  <si>
    <t>1952-03</t>
  </si>
  <si>
    <t>1952-04</t>
  </si>
  <si>
    <t>1952-05</t>
  </si>
  <si>
    <t>1952-06</t>
  </si>
  <si>
    <t>1952-07</t>
  </si>
  <si>
    <t>1952-08</t>
  </si>
  <si>
    <t>1952-09</t>
  </si>
  <si>
    <t>1952-10</t>
  </si>
  <si>
    <t>1952-11</t>
  </si>
  <si>
    <t>1952-12</t>
  </si>
  <si>
    <t>1953-01</t>
  </si>
  <si>
    <t>1953-02</t>
  </si>
  <si>
    <t>1953-03</t>
  </si>
  <si>
    <t>1953-04</t>
  </si>
  <si>
    <t>1953-05</t>
  </si>
  <si>
    <t>1953-06</t>
  </si>
  <si>
    <t>1953-07</t>
  </si>
  <si>
    <t>1953-08</t>
  </si>
  <si>
    <t>1953-09</t>
  </si>
  <si>
    <t>1953-10</t>
  </si>
  <si>
    <t>1953-11</t>
  </si>
  <si>
    <t>1953-12</t>
  </si>
  <si>
    <t>1954-01</t>
  </si>
  <si>
    <t>1954-02</t>
  </si>
  <si>
    <t>1954-03</t>
  </si>
  <si>
    <t>1954-04</t>
  </si>
  <si>
    <t>1954-05</t>
  </si>
  <si>
    <t>1954-06</t>
  </si>
  <si>
    <t>1954-07</t>
  </si>
  <si>
    <t>1954-08</t>
  </si>
  <si>
    <t>1954-09</t>
  </si>
  <si>
    <t>1954-10</t>
  </si>
  <si>
    <t>1954-11</t>
  </si>
  <si>
    <t>1954-12</t>
  </si>
  <si>
    <t>1955-01</t>
  </si>
  <si>
    <t>1955-02</t>
  </si>
  <si>
    <t>1955-03</t>
  </si>
  <si>
    <t>1955-04</t>
  </si>
  <si>
    <t>1955-05</t>
  </si>
  <si>
    <t>1955-06</t>
  </si>
  <si>
    <t>1955-07</t>
  </si>
  <si>
    <t>1955-08</t>
  </si>
  <si>
    <t>1955-09</t>
  </si>
  <si>
    <t>1955-10</t>
  </si>
  <si>
    <t>1955-11</t>
  </si>
  <si>
    <t>1955-12</t>
  </si>
  <si>
    <t>1956-01</t>
  </si>
  <si>
    <t>1956-02</t>
  </si>
  <si>
    <t>1956-03</t>
  </si>
  <si>
    <t>1956-04</t>
  </si>
  <si>
    <t>1956-05</t>
  </si>
  <si>
    <t>1956-06</t>
  </si>
  <si>
    <t>1956-07</t>
  </si>
  <si>
    <t>1956-08</t>
  </si>
  <si>
    <t>1956-09</t>
  </si>
  <si>
    <t>1956-10</t>
  </si>
  <si>
    <t>1956-11</t>
  </si>
  <si>
    <t>1956-12</t>
  </si>
  <si>
    <t>1957-01</t>
  </si>
  <si>
    <t>1957-02</t>
  </si>
  <si>
    <t>1957-03</t>
  </si>
  <si>
    <t>1957-04</t>
  </si>
  <si>
    <t>1957-05</t>
  </si>
  <si>
    <t>1957-06</t>
  </si>
  <si>
    <t>1957-07</t>
  </si>
  <si>
    <t>1957-08</t>
  </si>
  <si>
    <t>1957-09</t>
  </si>
  <si>
    <t>1957-10</t>
  </si>
  <si>
    <t>1957-11</t>
  </si>
  <si>
    <t>1957-12</t>
  </si>
  <si>
    <t>1958-01</t>
  </si>
  <si>
    <t>1958-02</t>
  </si>
  <si>
    <t>1958-03</t>
  </si>
  <si>
    <t>1958-04</t>
  </si>
  <si>
    <t>1958-05</t>
  </si>
  <si>
    <t>1958-06</t>
  </si>
  <si>
    <t>1958-07</t>
  </si>
  <si>
    <t>1958-08</t>
  </si>
  <si>
    <t>1958-09</t>
  </si>
  <si>
    <t>1958-10</t>
  </si>
  <si>
    <t>1958-11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</si>
  <si>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</si>
  <si>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</si>
  <si>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</si>
  <si>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</si>
  <si>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</si>
  <si>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</si>
  <si>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</si>
  <si>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</si>
  <si>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</si>
  <si>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</si>
  <si>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</si>
  <si>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</si>
  <si>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</si>
  <si>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</si>
  <si>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</si>
  <si>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</si>
  <si>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</si>
  <si>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</si>
  <si>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</si>
  <si>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</si>
  <si>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</si>
  <si>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</si>
  <si>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</si>
  <si>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</si>
  <si>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</si>
  <si>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1961-01</t>
  </si>
  <si>
    <t>1961-02</t>
  </si>
  <si>
    <t>1961-03</t>
  </si>
  <si>
    <t>1961-04</t>
  </si>
  <si>
    <t>1961-05</t>
  </si>
  <si>
    <t>1961-06</t>
  </si>
  <si>
    <t>1961-07</t>
  </si>
  <si>
    <t>1961-08</t>
  </si>
  <si>
    <t>1961-09</t>
  </si>
  <si>
    <t>1961-10</t>
  </si>
  <si>
    <t>1961-11</t>
  </si>
  <si>
    <t>1961-12</t>
  </si>
  <si>
    <t>1962-01</t>
  </si>
  <si>
    <t>1962-02</t>
  </si>
  <si>
    <t>1962-03</t>
  </si>
  <si>
    <t>1962-04</t>
  </si>
  <si>
    <t>1962-05</t>
  </si>
  <si>
    <t>1962-06</t>
  </si>
  <si>
    <t>1962-07</t>
  </si>
  <si>
    <t>1962-08</t>
  </si>
  <si>
    <t>1962-09</t>
  </si>
  <si>
    <t>1962-10</t>
  </si>
  <si>
    <t>1962-11</t>
  </si>
  <si>
    <t>1962-12</t>
  </si>
  <si>
    <t>1963-01</t>
  </si>
  <si>
    <t>1963-02</t>
  </si>
  <si>
    <t>1963-03</t>
  </si>
  <si>
    <t>1963-04</t>
  </si>
  <si>
    <t>1963-05</t>
  </si>
  <si>
    <t>1963-06</t>
  </si>
  <si>
    <t>1963-07</t>
  </si>
  <si>
    <t>1963-08</t>
  </si>
  <si>
    <t>1963-09</t>
  </si>
  <si>
    <t>1963-10</t>
  </si>
  <si>
    <t>1963-11</t>
  </si>
  <si>
    <t>1963-12</t>
  </si>
  <si>
    <t>1964-01</t>
  </si>
  <si>
    <t>1964-02</t>
  </si>
  <si>
    <t>1964-03</t>
  </si>
  <si>
    <t>1964-04</t>
  </si>
  <si>
    <t>1964-05</t>
  </si>
  <si>
    <t>1964-06</t>
  </si>
  <si>
    <t>1964-07</t>
  </si>
  <si>
    <t>1964-08</t>
  </si>
  <si>
    <t>1964-09</t>
  </si>
  <si>
    <t>1964-10</t>
  </si>
  <si>
    <t>1964-11</t>
  </si>
  <si>
    <t>1964-12</t>
  </si>
  <si>
    <t>1965-01</t>
  </si>
  <si>
    <t>1965-02</t>
  </si>
  <si>
    <t>1965-03</t>
  </si>
  <si>
    <t>1965-04</t>
  </si>
  <si>
    <t>1965-05</t>
  </si>
  <si>
    <t>1965-06</t>
  </si>
  <si>
    <t>1965-07</t>
  </si>
  <si>
    <t>1965-08</t>
  </si>
  <si>
    <t>1965-09</t>
  </si>
  <si>
    <t>1965-10</t>
  </si>
  <si>
    <t>1965-11</t>
  </si>
  <si>
    <t>1965-12</t>
  </si>
  <si>
    <t>1966-01</t>
  </si>
  <si>
    <t>1966-02</t>
  </si>
  <si>
    <t>1966-03</t>
  </si>
  <si>
    <t>1966-04</t>
  </si>
  <si>
    <t>1966-05</t>
  </si>
  <si>
    <t>1966-06</t>
  </si>
  <si>
    <t>1966-07</t>
  </si>
  <si>
    <t>1966-08</t>
  </si>
  <si>
    <t>1966-09</t>
  </si>
  <si>
    <t>1966-10</t>
  </si>
  <si>
    <t>1966-11</t>
  </si>
  <si>
    <t>1966-12</t>
  </si>
  <si>
    <t>1967-01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</si>
  <si>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</si>
  <si>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</si>
  <si>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</si>
  <si>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</si>
  <si>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</si>
  <si>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</si>
  <si>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</si>
  <si>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</si>
  <si>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</si>
  <si>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</si>
  <si>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</si>
  <si>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</si>
  <si>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</si>
  <si>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</si>
  <si>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</si>
  <si>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</si>
  <si>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</si>
  <si>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</si>
  <si>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</si>
  <si>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</si>
  <si>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</si>
  <si>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</si>
  <si>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</si>
  <si>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</si>
  <si>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</si>
  <si>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</si>
  <si>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</si>
  <si>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</si>
  <si>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</si>
  <si>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</si>
  <si>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</si>
  <si>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</si>
  <si>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</si>
  <si>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</si>
  <si>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</si>
  <si>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</si>
  <si>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</si>
  <si>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</si>
  <si>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</si>
  <si>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</si>
  <si>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</si>
  <si>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</si>
  <si>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</si>
  <si>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</si>
  <si>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</si>
  <si>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</si>
  <si>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</si>
  <si>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</si>
  <si>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</si>
  <si>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</si>
  <si>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</si>
  <si>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</si>
  <si>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</si>
  <si>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</si>
  <si>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</si>
  <si>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</si>
  <si>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</si>
  <si>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</si>
  <si>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</si>
  <si>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</si>
  <si>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</si>
  <si>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</si>
  <si>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</si>
  <si>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</si>
  <si>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</si>
  <si>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</si>
  <si>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</si>
  <si>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</si>
  <si>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</si>
  <si>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</si>
  <si>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</si>
  <si>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</si>
  <si>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</si>
  <si>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</si>
  <si>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</si>
  <si>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</si>
  <si>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</si>
  <si>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</si>
  <si>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</si>
  <si>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</si>
  <si>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</si>
  <si>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</si>
  <si>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</si>
  <si>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</si>
  <si>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</si>
  <si>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</si>
  <si>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</si>
  <si>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</si>
  <si>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</si>
  <si>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</si>
  <si>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</si>
  <si>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</si>
  <si>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</si>
  <si>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</si>
  <si>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</si>
  <si>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</si>
  <si>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</si>
  <si>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</si>
  <si>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</si>
  <si>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</si>
  <si>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</si>
  <si>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</si>
  <si>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</si>
  <si>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</si>
  <si>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</si>
  <si>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</si>
  <si>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</si>
  <si>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</si>
  <si>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</si>
  <si>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</si>
  <si>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</si>
  <si>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</si>
  <si>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</si>
  <si>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</si>
  <si>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</si>
  <si>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</si>
  <si>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</si>
  <si>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</si>
  <si>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</si>
  <si>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</si>
  <si>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</si>
  <si>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</si>
  <si>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</si>
  <si>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</si>
  <si>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</si>
  <si>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</si>
  <si>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</si>
  <si>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</si>
  <si>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</si>
  <si>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</si>
  <si>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</si>
  <si>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</si>
  <si>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</si>
  <si>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</si>
  <si>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</si>
  <si>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</si>
  <si>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</si>
  <si>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</si>
  <si>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</si>
  <si>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</si>
  <si>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</si>
  <si>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</si>
  <si>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</si>
  <si>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</si>
  <si>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</si>
  <si>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</si>
  <si>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</si>
  <si>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</si>
  <si>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</si>
  <si>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</si>
  <si>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</si>
  <si>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</si>
  <si>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</si>
  <si>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</si>
  <si>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</si>
  <si>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</si>
  <si>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</si>
  <si>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</si>
  <si>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</si>
  <si>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</si>
  <si>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</si>
  <si>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</si>
  <si>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</si>
  <si>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</si>
  <si>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</si>
  <si>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</si>
  <si>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</si>
  <si>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</si>
  <si>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</si>
  <si>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</si>
  <si>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</si>
  <si>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</si>
  <si>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</si>
  <si>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</si>
  <si>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</si>
  <si>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</si>
  <si>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</si>
  <si>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</si>
  <si>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</si>
  <si>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</si>
  <si>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</si>
  <si>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</si>
  <si>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</si>
  <si>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</si>
  <si>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</si>
  <si>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</si>
  <si>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</si>
  <si>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</si>
  <si>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</si>
  <si>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</si>
  <si>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</si>
  <si>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</si>
  <si>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</si>
  <si>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</si>
  <si>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</si>
  <si>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</si>
  <si>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</si>
  <si>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</si>
  <si>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</si>
  <si>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</si>
  <si>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</si>
  <si>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</si>
  <si>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</si>
  <si>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</si>
  <si>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</si>
  <si>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</si>
  <si>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</si>
  <si>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</si>
  <si>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</si>
  <si>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</si>
  <si>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</si>
  <si>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</si>
  <si>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</si>
  <si>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</si>
  <si>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</si>
  <si>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</si>
  <si>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</si>
  <si>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</si>
  <si>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</si>
  <si>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</si>
  <si>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</si>
  <si>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</si>
  <si>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</si>
  <si>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</si>
  <si>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</si>
  <si>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</si>
  <si>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</si>
  <si>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</si>
  <si>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</si>
  <si>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</si>
  <si>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</si>
  <si>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</si>
  <si>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</si>
  <si>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</si>
  <si>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</si>
  <si>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</si>
  <si>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</si>
  <si>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</si>
  <si>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</si>
  <si>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</si>
  <si>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</si>
  <si>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</si>
  <si>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</si>
  <si>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</si>
  <si>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</si>
  <si>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</si>
  <si>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</si>
  <si>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</si>
  <si>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</si>
  <si>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</si>
  <si>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</si>
  <si>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</si>
  <si>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</si>
  <si>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</si>
  <si>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</si>
  <si>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</si>
  <si>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</si>
  <si>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</si>
  <si>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</si>
  <si>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</si>
  <si>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</si>
  <si>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</si>
  <si>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</si>
  <si>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</si>
  <si>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</si>
  <si>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</si>
  <si>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</si>
  <si>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</si>
  <si>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</si>
  <si>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</si>
  <si>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</si>
  <si>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</si>
  <si>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</si>
  <si>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</si>
  <si>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</si>
  <si>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</si>
  <si>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</si>
  <si>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</si>
  <si>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</si>
  <si>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</si>
  <si>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</si>
  <si>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</si>
  <si>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</si>
  <si>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</si>
  <si>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</si>
  <si>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</si>
  <si>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</si>
  <si>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</si>
  <si>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</si>
  <si>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</si>
  <si>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</si>
  <si>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</si>
  <si>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</si>
  <si>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</si>
  <si>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</si>
  <si>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</si>
  <si>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</si>
  <si>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</si>
  <si>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</si>
  <si>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</si>
  <si>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</si>
  <si>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</si>
  <si>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</si>
  <si>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</si>
  <si>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</si>
  <si>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</si>
  <si>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</si>
  <si>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</si>
  <si>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</si>
  <si>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</si>
  <si>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</si>
  <si>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</si>
  <si>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</si>
  <si>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</si>
  <si>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</si>
  <si>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</si>
  <si>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</si>
  <si>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</si>
  <si>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</si>
  <si>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</si>
  <si>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</si>
  <si>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</si>
  <si>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</si>
  <si>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</si>
  <si>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</si>
  <si>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</si>
  <si>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</si>
  <si>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</si>
  <si>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</si>
  <si>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</si>
  <si>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</si>
  <si>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</si>
  <si>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</si>
  <si>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</si>
  <si>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</si>
  <si>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</si>
  <si>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</si>
  <si>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</si>
  <si>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</si>
  <si>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</si>
  <si>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</si>
  <si>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</si>
  <si>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</si>
  <si>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</si>
  <si>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</si>
  <si>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</si>
  <si>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</si>
  <si>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</si>
  <si>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</si>
  <si>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</si>
  <si>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</si>
  <si>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</si>
  <si>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</si>
  <si>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</si>
  <si>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</si>
  <si>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</si>
  <si>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</si>
  <si>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</si>
  <si>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</si>
  <si>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</si>
  <si>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</si>
  <si>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</si>
  <si>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</si>
  <si>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</si>
  <si>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</si>
  <si>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</si>
  <si>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</si>
  <si>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</si>
  <si>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</si>
  <si>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</si>
  <si>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</si>
  <si>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</si>
  <si>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</si>
  <si>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</si>
  <si>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</si>
  <si>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</si>
  <si>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</si>
  <si>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</si>
  <si>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</si>
  <si>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</si>
  <si>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</si>
  <si>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</si>
  <si>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</si>
  <si>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</si>
  <si>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</si>
  <si>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</si>
  <si>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</si>
  <si>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</si>
  <si>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</si>
  <si>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</si>
  <si>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</si>
  <si>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</si>
  <si>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</si>
  <si>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</si>
  <si>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</si>
  <si>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</si>
  <si>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</si>
  <si>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</si>
  <si>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</si>
  <si>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</si>
  <si>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</si>
  <si>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</si>
  <si>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</si>
  <si>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</si>
  <si>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</si>
  <si>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</si>
  <si>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</si>
  <si>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</si>
  <si>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</si>
  <si>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</si>
  <si>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</si>
  <si>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</si>
  <si>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</si>
  <si>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</si>
  <si>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</si>
  <si>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</si>
  <si>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</si>
  <si>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</si>
  <si>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</si>
  <si>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</si>
  <si>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</si>
  <si>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</si>
  <si>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</si>
  <si>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</si>
  <si>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</si>
  <si>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</si>
  <si>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</si>
  <si>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</si>
  <si>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</si>
  <si>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</si>
  <si>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</si>
  <si>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</si>
  <si>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</si>
  <si>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</si>
  <si>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</si>
  <si>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</si>
  <si>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</si>
  <si>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</si>
  <si>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</si>
  <si>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</si>
  <si>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</si>
  <si>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</si>
  <si>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</si>
  <si>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</si>
  <si>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</si>
  <si>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</si>
  <si>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</si>
  <si>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</si>
  <si>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</si>
  <si>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</si>
  <si>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</si>
  <si>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</si>
  <si>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</si>
  <si>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</si>
  <si>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</si>
  <si>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</si>
  <si>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</si>
  <si>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</si>
  <si>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</si>
  <si>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</si>
  <si>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</si>
  <si>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</si>
  <si>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</si>
  <si>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</si>
  <si>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</si>
  <si>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</si>
  <si>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</si>
  <si>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</si>
  <si>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</si>
  <si>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</si>
  <si>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</si>
  <si>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</si>
  <si>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</si>
  <si>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</si>
  <si>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</si>
  <si>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</si>
  <si>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</si>
  <si>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</si>
  <si>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</si>
  <si>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</si>
  <si>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</si>
  <si>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</si>
  <si>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</si>
  <si>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</si>
  <si>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</si>
  <si>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</si>
  <si>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</si>
  <si>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</si>
  <si>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</si>
  <si>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</si>
  <si>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</si>
  <si>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</si>
  <si>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</si>
  <si>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</si>
  <si>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</si>
  <si>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</si>
  <si>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</si>
  <si>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</si>
  <si>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</si>
  <si>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</si>
  <si>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</si>
  <si>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</si>
  <si>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</si>
  <si>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</si>
  <si>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</si>
  <si>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</si>
  <si>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</si>
  <si>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</si>
  <si>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</si>
  <si>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</si>
  <si>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</si>
  <si>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</si>
  <si>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</si>
  <si>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</si>
  <si>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</si>
  <si>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</si>
  <si>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</si>
  <si>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</si>
  <si>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</si>
  <si>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</si>
  <si>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</si>
  <si>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</si>
  <si>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</si>
  <si>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</si>
  <si>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</si>
  <si>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</si>
  <si>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</si>
  <si>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</si>
  <si>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</si>
  <si>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</si>
  <si>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</si>
  <si>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</si>
  <si>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</si>
  <si>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</si>
  <si>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</si>
  <si>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</si>
  <si>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</si>
  <si>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</si>
  <si>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</si>
  <si>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</si>
  <si>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</si>
  <si>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</si>
  <si>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</si>
  <si>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</si>
  <si>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</si>
  <si>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</si>
  <si>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</si>
  <si>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</si>
  <si>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</si>
  <si>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</si>
  <si>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</si>
  <si>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</si>
  <si>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</si>
  <si>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</si>
  <si>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</si>
  <si>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</si>
  <si>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</si>
  <si>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</si>
  <si>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</si>
  <si>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</si>
  <si>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</si>
  <si>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</si>
  <si>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</si>
  <si>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</si>
  <si>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</si>
  <si>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</si>
  <si>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</si>
  <si>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</si>
  <si>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</si>
  <si>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</si>
  <si>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</si>
  <si>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</si>
  <si>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</si>
  <si>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</si>
  <si>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</si>
  <si>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</si>
  <si>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</si>
  <si>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</si>
  <si>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</si>
  <si>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</si>
  <si>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</si>
  <si>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</si>
  <si>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</si>
  <si>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</si>
  <si>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</si>
  <si>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</si>
  <si>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</si>
  <si>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</si>
  <si>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</si>
  <si>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</si>
  <si>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</si>
  <si>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</si>
  <si>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</si>
  <si>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</si>
  <si>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</si>
  <si>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</si>
  <si>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</si>
  <si>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</si>
  <si>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</si>
  <si>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</si>
  <si>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</si>
  <si>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</si>
  <si>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</si>
  <si>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</si>
  <si>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</si>
  <si>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</si>
  <si>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</si>
  <si>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</si>
  <si>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</si>
  <si>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</si>
  <si>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</si>
  <si>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</si>
  <si>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</si>
  <si>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</si>
  <si>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</si>
  <si>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</si>
  <si>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</si>
  <si>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</si>
  <si>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</si>
  <si>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</si>
  <si>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2018-10</t>
  </si>
  <si>
    <t>2018-11</t>
  </si>
  <si>
    <t>2018-12</t>
  </si>
  <si>
    <t>2019-01</t>
  </si>
  <si>
    <t>2019-02</t>
  </si>
  <si>
    <t>2019-03</t>
  </si>
  <si>
    <t>2019-04</t>
  </si>
  <si>
    <t>2019-05</t>
  </si>
  <si>
    <t>2019-06</t>
  </si>
  <si>
    <t>2019-07</t>
  </si>
  <si>
    <t>2019-08</t>
  </si>
  <si>
    <t>2019-09</t>
  </si>
  <si>
    <t>2019-10</t>
  </si>
  <si>
    <t>2019-11</t>
  </si>
  <si>
    <t>2019-12</t>
  </si>
  <si>
    <t>2020-1</t>
  </si>
  <si>
    <t>2020-2</t>
  </si>
  <si>
    <t>2020-3</t>
  </si>
  <si>
    <t>2020-4</t>
  </si>
  <si>
    <t>2020-5</t>
  </si>
  <si>
    <t>2020-6</t>
  </si>
  <si>
    <t>2020-7</t>
  </si>
  <si>
    <t>2020-8</t>
  </si>
  <si>
    <t>2020-9</t>
  </si>
  <si>
    <t>2020-10</t>
  </si>
  <si>
    <t>2020-11</t>
  </si>
  <si>
    <t>Code</t>
  </si>
  <si>
    <t>Investment_Percentage</t>
  </si>
  <si>
    <t>YoY</t>
  </si>
  <si>
    <t>HSBC China PMI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</si>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</sst>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1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66" fontId="0" fillId="3" borderId="0" xfId="1" applyNumberFormat="1" applyFont="1" applyFill="1" applyAlignment="1">
      <alignment horizontal="center"/>
    </xf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7" xfId="2" applyNumberFormat="1" applyFont="1" applyFill="1" applyBorder="1"/>
    <xf numFmtId="0" fontId="0" fillId="9" borderId="8" xfId="0" applyFill="1" applyBorder="1"/>
    <xf numFmtId="165" fontId="3" fillId="9" borderId="8" xfId="0" applyNumberFormat="1" applyFont="1" applyFill="1" applyBorder="1"/>
    <xf numFmtId="10" fontId="3" fillId="9" borderId="8" xfId="0" applyNumberFormat="1" applyFont="1" applyFill="1" applyBorder="1"/>
    <xf numFmtId="0" fontId="0" fillId="9" borderId="9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6" fontId="0" fillId="11" borderId="1" xfId="1" applyNumberFormat="1" applyFont="1" applyFill="1" applyBorder="1" applyAlignment="1">
      <alignment horizontal="center"/>
    </xf>
    <xf numFmtId="164" fontId="0" fillId="9" borderId="5" xfId="1" applyNumberFormat="1" applyFont="1" applyFill="1" applyBorder="1" applyAlignment="1">
      <alignment horizontal="center" wrapText="1"/>
    </xf>
    <xf numFmtId="14" fontId="0" fillId="9" borderId="4" xfId="0" applyNumberFormat="1" applyFill="1" applyBorder="1" applyAlignment="1">
      <alignment horizontal="center" wrapText="1"/>
    </xf>
    <xf numFmtId="2" fontId="0" fillId="9" borderId="6" xfId="0" applyNumberFormat="1" applyFill="1" applyBorder="1" applyAlignment="1">
      <alignment horizontal="center" wrapText="1"/>
    </xf>
    <xf numFmtId="1" fontId="0" fillId="3" borderId="0" xfId="0" applyNumberFormat="1" applyFill="1"/>
    <xf numFmtId="0" fontId="6" fillId="0" borderId="14" xfId="0" applyFont="1" applyBorder="1"/>
    <xf numFmtId="0" fontId="8" fillId="7" borderId="14" xfId="0" applyFont="1" applyFill="1" applyBorder="1" applyAlignment="1">
      <alignment horizontal="center" vertical="center"/>
    </xf>
    <xf numFmtId="0" fontId="6" fillId="0" borderId="15" xfId="0" applyFont="1" applyBorder="1"/>
    <xf numFmtId="0" fontId="7" fillId="4" borderId="16" xfId="0" applyFont="1" applyFill="1" applyBorder="1" applyAlignment="1">
      <alignment horizontal="center" textRotation="90"/>
    </xf>
    <xf numFmtId="0" fontId="7" fillId="5" borderId="16" xfId="0" applyFont="1" applyFill="1" applyBorder="1" applyAlignment="1">
      <alignment horizontal="center" textRotation="90"/>
    </xf>
    <xf numFmtId="0" fontId="7" fillId="6" borderId="16" xfId="0" applyFont="1" applyFill="1" applyBorder="1" applyAlignment="1">
      <alignment horizontal="center" textRotation="90"/>
    </xf>
    <xf numFmtId="0" fontId="7" fillId="7" borderId="16" xfId="0" applyFont="1" applyFill="1" applyBorder="1" applyAlignment="1">
      <alignment horizontal="center" textRotation="90"/>
    </xf>
    <xf numFmtId="0" fontId="7" fillId="7" borderId="17" xfId="0" applyFont="1" applyFill="1" applyBorder="1" applyAlignment="1">
      <alignment horizontal="center" textRotation="90"/>
    </xf>
    <xf numFmtId="0" fontId="6" fillId="0" borderId="18" xfId="0" applyFont="1" applyBorder="1"/>
    <xf numFmtId="10" fontId="8" fillId="7" borderId="19" xfId="0" applyNumberFormat="1" applyFont="1" applyFill="1" applyBorder="1" applyAlignment="1">
      <alignment horizontal="center" vertical="center"/>
    </xf>
    <xf numFmtId="2" fontId="8" fillId="7" borderId="19" xfId="0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6" fillId="0" borderId="20" xfId="0" applyFont="1" applyBorder="1"/>
    <xf numFmtId="166" fontId="8" fillId="7" borderId="21" xfId="1" applyNumberFormat="1" applyFont="1" applyFill="1" applyBorder="1" applyAlignment="1">
      <alignment horizontal="center" vertical="center"/>
    </xf>
    <xf numFmtId="166" fontId="8" fillId="7" borderId="22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2" fontId="0" fillId="3" borderId="0" xfId="0" applyNumberFormat="1" applyFill="1" applyAlignment="1">
      <alignment horizont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4" fontId="0" fillId="11" borderId="12" xfId="0" applyNumberFormat="1" applyFill="1" applyBorder="1"/>
    <xf numFmtId="166" fontId="0" fillId="11" borderId="13" xfId="1" applyNumberFormat="1" applyFont="1" applyFill="1" applyBorder="1" applyAlignment="1">
      <alignment horizontal="center"/>
    </xf>
    <xf numFmtId="166" fontId="0" fillId="3" borderId="3" xfId="1" applyNumberFormat="1" applyFont="1" applyFill="1" applyBorder="1" applyAlignment="1">
      <alignment horizontal="center"/>
    </xf>
    <xf numFmtId="166" fontId="0" fillId="11" borderId="3" xfId="1" applyNumberFormat="1" applyFont="1" applyFill="1" applyBorder="1" applyAlignment="1">
      <alignment horizontal="center"/>
    </xf>
    <xf numFmtId="14" fontId="0" fillId="11" borderId="10" xfId="0" applyNumberFormat="1" applyFill="1" applyBorder="1"/>
    <xf numFmtId="166" fontId="0" fillId="11" borderId="11" xfId="1" applyNumberFormat="1" applyFont="1" applyFill="1" applyBorder="1" applyAlignment="1">
      <alignment horizontal="center"/>
    </xf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0" fontId="0" fillId="0" borderId="0" xfId="0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3" xfId="0" applyFont="1" applyFill="1" applyBorder="1" applyAlignment="1">
      <alignment horizontal="center" vertical="center"/>
    </xf>
    <xf numFmtId="0" fontId="0" fillId="0" borderId="23" xfId="0" applyBorder="1"/>
    <xf numFmtId="0" fontId="2" fillId="9" borderId="2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3" fillId="12" borderId="1" xfId="0" applyFont="1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3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World'!$H$2:$H$358</c:f>
              <c:numCache>
                <c:formatCode>0.00</c:formatCode>
                <c:ptCount val="357"/>
                <c:pt idx="0">
                  <c:v>90.624961448278185</c:v>
                </c:pt>
                <c:pt idx="1">
                  <c:v>91.118423487477173</c:v>
                </c:pt>
                <c:pt idx="2">
                  <c:v>91.447315936603289</c:v>
                </c:pt>
                <c:pt idx="3">
                  <c:v>92.187508995401757</c:v>
                </c:pt>
                <c:pt idx="4">
                  <c:v>91.118423487477173</c:v>
                </c:pt>
                <c:pt idx="5">
                  <c:v>90.213825325952243</c:v>
                </c:pt>
                <c:pt idx="6">
                  <c:v>90.460474101878518</c:v>
                </c:pt>
                <c:pt idx="7">
                  <c:v>91.447315936603289</c:v>
                </c:pt>
                <c:pt idx="8">
                  <c:v>91.200667160677</c:v>
                </c:pt>
                <c:pt idx="9">
                  <c:v>90.707205121478026</c:v>
                </c:pt>
                <c:pt idx="10">
                  <c:v>89.391388593953934</c:v>
                </c:pt>
                <c:pt idx="11">
                  <c:v>90.871692467877665</c:v>
                </c:pt>
                <c:pt idx="12">
                  <c:v>91.365072263403448</c:v>
                </c:pt>
                <c:pt idx="13">
                  <c:v>89.638119613553428</c:v>
                </c:pt>
                <c:pt idx="14">
                  <c:v>89.144739818027659</c:v>
                </c:pt>
                <c:pt idx="15">
                  <c:v>88.322385329702541</c:v>
                </c:pt>
                <c:pt idx="16">
                  <c:v>89.391388593953934</c:v>
                </c:pt>
                <c:pt idx="17">
                  <c:v>89.720363286753269</c:v>
                </c:pt>
                <c:pt idx="18">
                  <c:v>89.720363286753269</c:v>
                </c:pt>
                <c:pt idx="19">
                  <c:v>90.213825325952243</c:v>
                </c:pt>
                <c:pt idx="20">
                  <c:v>91.200667160677</c:v>
                </c:pt>
                <c:pt idx="21">
                  <c:v>90.624961448278185</c:v>
                </c:pt>
                <c:pt idx="22">
                  <c:v>91.118423487477173</c:v>
                </c:pt>
                <c:pt idx="23">
                  <c:v>89.884850633152908</c:v>
                </c:pt>
                <c:pt idx="24">
                  <c:v>90.624961448278185</c:v>
                </c:pt>
                <c:pt idx="25">
                  <c:v>90.624961448278185</c:v>
                </c:pt>
                <c:pt idx="26">
                  <c:v>90.460474101878518</c:v>
                </c:pt>
                <c:pt idx="27">
                  <c:v>90.707205121478026</c:v>
                </c:pt>
                <c:pt idx="28">
                  <c:v>90.460474101878518</c:v>
                </c:pt>
                <c:pt idx="29">
                  <c:v>90.295986755478879</c:v>
                </c:pt>
                <c:pt idx="30">
                  <c:v>89.144739818027659</c:v>
                </c:pt>
                <c:pt idx="31">
                  <c:v>87.582192270904088</c:v>
                </c:pt>
                <c:pt idx="32">
                  <c:v>86.924325128978637</c:v>
                </c:pt>
                <c:pt idx="33">
                  <c:v>87.499948597704247</c:v>
                </c:pt>
                <c:pt idx="34">
                  <c:v>88.075654310103062</c:v>
                </c:pt>
                <c:pt idx="35">
                  <c:v>86.595350436179331</c:v>
                </c:pt>
                <c:pt idx="36">
                  <c:v>88.075654310103062</c:v>
                </c:pt>
                <c:pt idx="37">
                  <c:v>87.828923290503568</c:v>
                </c:pt>
                <c:pt idx="38">
                  <c:v>87.41770492450442</c:v>
                </c:pt>
                <c:pt idx="39">
                  <c:v>87.253299821777958</c:v>
                </c:pt>
                <c:pt idx="40">
                  <c:v>86.759837782578984</c:v>
                </c:pt>
                <c:pt idx="41">
                  <c:v>86.430863089779663</c:v>
                </c:pt>
                <c:pt idx="42">
                  <c:v>85.93748329425388</c:v>
                </c:pt>
                <c:pt idx="43">
                  <c:v>86.019726967453721</c:v>
                </c:pt>
                <c:pt idx="44">
                  <c:v>86.51310676297949</c:v>
                </c:pt>
                <c:pt idx="45">
                  <c:v>86.430863089779663</c:v>
                </c:pt>
                <c:pt idx="46">
                  <c:v>87.088812475378305</c:v>
                </c:pt>
                <c:pt idx="47">
                  <c:v>87.006568802178478</c:v>
                </c:pt>
                <c:pt idx="48">
                  <c:v>87.253299821777958</c:v>
                </c:pt>
                <c:pt idx="49">
                  <c:v>88.651277778828671</c:v>
                </c:pt>
                <c:pt idx="50">
                  <c:v>89.884850633152908</c:v>
                </c:pt>
                <c:pt idx="51">
                  <c:v>91.365072263403448</c:v>
                </c:pt>
                <c:pt idx="52">
                  <c:v>91.694046956202783</c:v>
                </c:pt>
                <c:pt idx="53">
                  <c:v>92.598645117727699</c:v>
                </c:pt>
                <c:pt idx="54">
                  <c:v>92.763132464127366</c:v>
                </c:pt>
                <c:pt idx="55">
                  <c:v>93.092107156926687</c:v>
                </c:pt>
                <c:pt idx="56">
                  <c:v>93.585486952452456</c:v>
                </c:pt>
                <c:pt idx="57">
                  <c:v>93.338755932852976</c:v>
                </c:pt>
                <c:pt idx="58">
                  <c:v>94.901303479976548</c:v>
                </c:pt>
                <c:pt idx="59">
                  <c:v>97.203879598552177</c:v>
                </c:pt>
                <c:pt idx="60">
                  <c:v>96.874987149426062</c:v>
                </c:pt>
                <c:pt idx="61">
                  <c:v>96.299281437027247</c:v>
                </c:pt>
                <c:pt idx="62">
                  <c:v>96.546012456626741</c:v>
                </c:pt>
                <c:pt idx="63">
                  <c:v>96.628256129826568</c:v>
                </c:pt>
                <c:pt idx="64">
                  <c:v>97.203879598552177</c:v>
                </c:pt>
                <c:pt idx="65">
                  <c:v>97.039474495825729</c:v>
                </c:pt>
                <c:pt idx="66">
                  <c:v>96.957230822625888</c:v>
                </c:pt>
                <c:pt idx="67">
                  <c:v>98.684183472475922</c:v>
                </c:pt>
                <c:pt idx="68">
                  <c:v>98.026316330550486</c:v>
                </c:pt>
                <c:pt idx="69">
                  <c:v>98.684183472475922</c:v>
                </c:pt>
                <c:pt idx="70">
                  <c:v>98.684183472475922</c:v>
                </c:pt>
                <c:pt idx="71">
                  <c:v>100.32889244912612</c:v>
                </c:pt>
                <c:pt idx="72">
                  <c:v>98.848670818875576</c:v>
                </c:pt>
                <c:pt idx="73">
                  <c:v>97.779585310950992</c:v>
                </c:pt>
                <c:pt idx="74">
                  <c:v>96.792743476226235</c:v>
                </c:pt>
                <c:pt idx="75">
                  <c:v>95.723657968301637</c:v>
                </c:pt>
                <c:pt idx="76">
                  <c:v>95.641414295101811</c:v>
                </c:pt>
                <c:pt idx="77">
                  <c:v>95.805901641501478</c:v>
                </c:pt>
                <c:pt idx="78">
                  <c:v>95.723657968301637</c:v>
                </c:pt>
                <c:pt idx="79">
                  <c:v>96.21703776382742</c:v>
                </c:pt>
                <c:pt idx="80">
                  <c:v>94.901303479976548</c:v>
                </c:pt>
                <c:pt idx="81">
                  <c:v>95.31243960230249</c:v>
                </c:pt>
                <c:pt idx="82">
                  <c:v>94.901303479976548</c:v>
                </c:pt>
                <c:pt idx="83">
                  <c:v>94.654572460377054</c:v>
                </c:pt>
                <c:pt idx="84">
                  <c:v>95.394683275502331</c:v>
                </c:pt>
                <c:pt idx="85">
                  <c:v>97.039474495825729</c:v>
                </c:pt>
                <c:pt idx="86">
                  <c:v>97.532854291351512</c:v>
                </c:pt>
                <c:pt idx="87">
                  <c:v>99.259806941201532</c:v>
                </c:pt>
                <c:pt idx="88">
                  <c:v>99.013158165275243</c:v>
                </c:pt>
                <c:pt idx="89">
                  <c:v>99.835512653600333</c:v>
                </c:pt>
                <c:pt idx="90">
                  <c:v>100.49337979552578</c:v>
                </c:pt>
                <c:pt idx="91">
                  <c:v>101.06908550792458</c:v>
                </c:pt>
                <c:pt idx="92">
                  <c:v>100.98684183472476</c:v>
                </c:pt>
                <c:pt idx="93">
                  <c:v>102.2203324453758</c:v>
                </c:pt>
                <c:pt idx="94">
                  <c:v>101.64470897665019</c:v>
                </c:pt>
                <c:pt idx="95">
                  <c:v>102.38481979177547</c:v>
                </c:pt>
                <c:pt idx="96">
                  <c:v>101.64470897665019</c:v>
                </c:pt>
                <c:pt idx="97">
                  <c:v>101.56246530345037</c:v>
                </c:pt>
                <c:pt idx="98">
                  <c:v>101.06908550792458</c:v>
                </c:pt>
                <c:pt idx="99">
                  <c:v>101.89143999624969</c:v>
                </c:pt>
                <c:pt idx="100">
                  <c:v>101.72695264985003</c:v>
                </c:pt>
                <c:pt idx="101">
                  <c:v>101.56246530345037</c:v>
                </c:pt>
                <c:pt idx="102">
                  <c:v>101.3979779570507</c:v>
                </c:pt>
                <c:pt idx="103">
                  <c:v>100</c:v>
                </c:pt>
                <c:pt idx="104">
                  <c:v>101.48022163025054</c:v>
                </c:pt>
                <c:pt idx="105">
                  <c:v>100.82235448832509</c:v>
                </c:pt>
                <c:pt idx="106">
                  <c:v>100.49337979552578</c:v>
                </c:pt>
                <c:pt idx="107">
                  <c:v>98.108560003750313</c:v>
                </c:pt>
                <c:pt idx="108">
                  <c:v>100</c:v>
                </c:pt>
                <c:pt idx="109" formatCode="0.000">
                  <c:v>99.506537960801026</c:v>
                </c:pt>
                <c:pt idx="110">
                  <c:v>99.835512653600333</c:v>
                </c:pt>
                <c:pt idx="111">
                  <c:v>99.09540183847507</c:v>
                </c:pt>
                <c:pt idx="112">
                  <c:v>98.355208779676602</c:v>
                </c:pt>
                <c:pt idx="113">
                  <c:v>99.917756326800173</c:v>
                </c:pt>
                <c:pt idx="114">
                  <c:v>100.65786714192544</c:v>
                </c:pt>
                <c:pt idx="115">
                  <c:v>101.31573428385089</c:v>
                </c:pt>
                <c:pt idx="116">
                  <c:v>101.72695264985003</c:v>
                </c:pt>
                <c:pt idx="117">
                  <c:v>102.71379448457479</c:v>
                </c:pt>
                <c:pt idx="118">
                  <c:v>103.37166162650023</c:v>
                </c:pt>
                <c:pt idx="119">
                  <c:v>102.2203324453758</c:v>
                </c:pt>
                <c:pt idx="120">
                  <c:v>102.4670634649753</c:v>
                </c:pt>
                <c:pt idx="121">
                  <c:v>102.96052550417427</c:v>
                </c:pt>
                <c:pt idx="122">
                  <c:v>103.86512366569922</c:v>
                </c:pt>
                <c:pt idx="123">
                  <c:v>104.6874781540243</c:v>
                </c:pt>
                <c:pt idx="124">
                  <c:v>105.26310162274991</c:v>
                </c:pt>
                <c:pt idx="125">
                  <c:v>105.09869652002345</c:v>
                </c:pt>
                <c:pt idx="126">
                  <c:v>104.27625978802516</c:v>
                </c:pt>
                <c:pt idx="127">
                  <c:v>105.26310162274991</c:v>
                </c:pt>
                <c:pt idx="128">
                  <c:v>105.18085794955009</c:v>
                </c:pt>
                <c:pt idx="129">
                  <c:v>105.59207631554924</c:v>
                </c:pt>
                <c:pt idx="130">
                  <c:v>106.90789284307333</c:v>
                </c:pt>
                <c:pt idx="131">
                  <c:v>108.38811447332384</c:v>
                </c:pt>
                <c:pt idx="132">
                  <c:v>105.42758896914958</c:v>
                </c:pt>
                <c:pt idx="133">
                  <c:v>104.76972182722413</c:v>
                </c:pt>
                <c:pt idx="134">
                  <c:v>104.76972182722413</c:v>
                </c:pt>
                <c:pt idx="135">
                  <c:v>103.86512366569922</c:v>
                </c:pt>
                <c:pt idx="136">
                  <c:v>103.70063631929955</c:v>
                </c:pt>
                <c:pt idx="137">
                  <c:v>103.94736733889904</c:v>
                </c:pt>
                <c:pt idx="138">
                  <c:v>102.05592734264934</c:v>
                </c:pt>
                <c:pt idx="139">
                  <c:v>103.86512366569922</c:v>
                </c:pt>
                <c:pt idx="140">
                  <c:v>102.2203324453758</c:v>
                </c:pt>
                <c:pt idx="141">
                  <c:v>101.64470897665019</c:v>
                </c:pt>
                <c:pt idx="142">
                  <c:v>100.16440510272646</c:v>
                </c:pt>
                <c:pt idx="143">
                  <c:v>101.48022163025054</c:v>
                </c:pt>
                <c:pt idx="144">
                  <c:v>100.57562346872561</c:v>
                </c:pt>
                <c:pt idx="145">
                  <c:v>101.89143999624969</c:v>
                </c:pt>
                <c:pt idx="146">
                  <c:v>102.4670634649753</c:v>
                </c:pt>
                <c:pt idx="147">
                  <c:v>99.506537960801026</c:v>
                </c:pt>
                <c:pt idx="148">
                  <c:v>102.96052550417427</c:v>
                </c:pt>
                <c:pt idx="149">
                  <c:v>101.97368366944951</c:v>
                </c:pt>
                <c:pt idx="150">
                  <c:v>101.56246530345037</c:v>
                </c:pt>
                <c:pt idx="151">
                  <c:v>100.41113612232594</c:v>
                </c:pt>
                <c:pt idx="152">
                  <c:v>102.30257611857564</c:v>
                </c:pt>
                <c:pt idx="153">
                  <c:v>101.06908550792458</c:v>
                </c:pt>
                <c:pt idx="154">
                  <c:v>102.79603815777462</c:v>
                </c:pt>
                <c:pt idx="155">
                  <c:v>101.72695264985003</c:v>
                </c:pt>
                <c:pt idx="156">
                  <c:v>102.79603815777462</c:v>
                </c:pt>
                <c:pt idx="157">
                  <c:v>100.74011081512528</c:v>
                </c:pt>
                <c:pt idx="158">
                  <c:v>100.82235448832509</c:v>
                </c:pt>
                <c:pt idx="159">
                  <c:v>102.30257611857564</c:v>
                </c:pt>
                <c:pt idx="160">
                  <c:v>98.930914492075416</c:v>
                </c:pt>
                <c:pt idx="161">
                  <c:v>100.16440510272646</c:v>
                </c:pt>
                <c:pt idx="162">
                  <c:v>101.56246530345037</c:v>
                </c:pt>
                <c:pt idx="163">
                  <c:v>99.506537960801026</c:v>
                </c:pt>
                <c:pt idx="164">
                  <c:v>99.835512653600333</c:v>
                </c:pt>
                <c:pt idx="165">
                  <c:v>100.90459816152493</c:v>
                </c:pt>
                <c:pt idx="166">
                  <c:v>102.05592734264934</c:v>
                </c:pt>
                <c:pt idx="167">
                  <c:v>102.13817101584918</c:v>
                </c:pt>
                <c:pt idx="168">
                  <c:v>102.05592734264934</c:v>
                </c:pt>
                <c:pt idx="169">
                  <c:v>101.72695264985003</c:v>
                </c:pt>
                <c:pt idx="170">
                  <c:v>100</c:v>
                </c:pt>
                <c:pt idx="171">
                  <c:v>101.80919632304986</c:v>
                </c:pt>
                <c:pt idx="172">
                  <c:v>101.64470897665019</c:v>
                </c:pt>
                <c:pt idx="173">
                  <c:v>101.06908550792458</c:v>
                </c:pt>
                <c:pt idx="174">
                  <c:v>101.23349061065105</c:v>
                </c:pt>
                <c:pt idx="175">
                  <c:v>99.17764551167491</c:v>
                </c:pt>
                <c:pt idx="176">
                  <c:v>100.57562346872561</c:v>
                </c:pt>
                <c:pt idx="177">
                  <c:v>101.31573428385089</c:v>
                </c:pt>
                <c:pt idx="178">
                  <c:v>99.753268980400506</c:v>
                </c:pt>
                <c:pt idx="179">
                  <c:v>99.013158165275243</c:v>
                </c:pt>
                <c:pt idx="180">
                  <c:v>99.013158165275243</c:v>
                </c:pt>
                <c:pt idx="181">
                  <c:v>99.506537960801026</c:v>
                </c:pt>
                <c:pt idx="182">
                  <c:v>99.588781634000853</c:v>
                </c:pt>
                <c:pt idx="183">
                  <c:v>101.56246530345037</c:v>
                </c:pt>
                <c:pt idx="184">
                  <c:v>99.342050614401359</c:v>
                </c:pt>
                <c:pt idx="185">
                  <c:v>99.342050614401359</c:v>
                </c:pt>
                <c:pt idx="186">
                  <c:v>100.74011081512528</c:v>
                </c:pt>
                <c:pt idx="187">
                  <c:v>100</c:v>
                </c:pt>
                <c:pt idx="188">
                  <c:v>100.41113612232594</c:v>
                </c:pt>
                <c:pt idx="189">
                  <c:v>100.57562346872561</c:v>
                </c:pt>
                <c:pt idx="190">
                  <c:v>101.64470897665019</c:v>
                </c:pt>
                <c:pt idx="191">
                  <c:v>100.16440510272646</c:v>
                </c:pt>
                <c:pt idx="192">
                  <c:v>100.57562346872561</c:v>
                </c:pt>
                <c:pt idx="193">
                  <c:v>102.4670634649753</c:v>
                </c:pt>
                <c:pt idx="194">
                  <c:v>102.96052550417427</c:v>
                </c:pt>
                <c:pt idx="195">
                  <c:v>102.05592734264934</c:v>
                </c:pt>
                <c:pt idx="196">
                  <c:v>104.44074713442483</c:v>
                </c:pt>
                <c:pt idx="197">
                  <c:v>104.76972182722413</c:v>
                </c:pt>
                <c:pt idx="198">
                  <c:v>103.2894179533004</c:v>
                </c:pt>
                <c:pt idx="199">
                  <c:v>104.60523448082448</c:v>
                </c:pt>
                <c:pt idx="200">
                  <c:v>104.44074713442483</c:v>
                </c:pt>
                <c:pt idx="201">
                  <c:v>104.60523448082448</c:v>
                </c:pt>
                <c:pt idx="202">
                  <c:v>104.76972182722413</c:v>
                </c:pt>
                <c:pt idx="203">
                  <c:v>106.41443080387432</c:v>
                </c:pt>
                <c:pt idx="204">
                  <c:v>105.42758896914958</c:v>
                </c:pt>
                <c:pt idx="205">
                  <c:v>106.08553835474821</c:v>
                </c:pt>
                <c:pt idx="206">
                  <c:v>106.74340549667365</c:v>
                </c:pt>
                <c:pt idx="207">
                  <c:v>104.85196550042397</c:v>
                </c:pt>
                <c:pt idx="208">
                  <c:v>107.07229794579978</c:v>
                </c:pt>
                <c:pt idx="209">
                  <c:v>106.41443080387432</c:v>
                </c:pt>
                <c:pt idx="210">
                  <c:v>105.7565636619489</c:v>
                </c:pt>
                <c:pt idx="211">
                  <c:v>109.62168732764812</c:v>
                </c:pt>
                <c:pt idx="212">
                  <c:v>106.74340549667365</c:v>
                </c:pt>
                <c:pt idx="213">
                  <c:v>105.67431998874905</c:v>
                </c:pt>
                <c:pt idx="214">
                  <c:v>104.60523448082448</c:v>
                </c:pt>
                <c:pt idx="215">
                  <c:v>105.34534529594976</c:v>
                </c:pt>
                <c:pt idx="216">
                  <c:v>107.48351631179892</c:v>
                </c:pt>
                <c:pt idx="217">
                  <c:v>106.66116182347382</c:v>
                </c:pt>
                <c:pt idx="218">
                  <c:v>107.31902896539927</c:v>
                </c:pt>
                <c:pt idx="219">
                  <c:v>108.38811447332384</c:v>
                </c:pt>
                <c:pt idx="220">
                  <c:v>104.60523448082448</c:v>
                </c:pt>
                <c:pt idx="221">
                  <c:v>105.7565636619489</c:v>
                </c:pt>
                <c:pt idx="222">
                  <c:v>102.4670634649753</c:v>
                </c:pt>
                <c:pt idx="223">
                  <c:v>99.671025307200679</c:v>
                </c:pt>
                <c:pt idx="224">
                  <c:v>99.013158165275243</c:v>
                </c:pt>
                <c:pt idx="225">
                  <c:v>96.957230822625888</c:v>
                </c:pt>
                <c:pt idx="226">
                  <c:v>93.667730625652297</c:v>
                </c:pt>
                <c:pt idx="227">
                  <c:v>89.884850633152908</c:v>
                </c:pt>
                <c:pt idx="228">
                  <c:v>86.348619416579837</c:v>
                </c:pt>
                <c:pt idx="229">
                  <c:v>83.30593248287893</c:v>
                </c:pt>
                <c:pt idx="230">
                  <c:v>80.016424061538004</c:v>
                </c:pt>
                <c:pt idx="231">
                  <c:v>80.427609530067869</c:v>
                </c:pt>
                <c:pt idx="232">
                  <c:v>81.825636833322505</c:v>
                </c:pt>
                <c:pt idx="233">
                  <c:v>81.249980467127614</c:v>
                </c:pt>
                <c:pt idx="234">
                  <c:v>82.976957790079595</c:v>
                </c:pt>
                <c:pt idx="235">
                  <c:v>81.085501345095281</c:v>
                </c:pt>
                <c:pt idx="236">
                  <c:v>83.552581258805219</c:v>
                </c:pt>
                <c:pt idx="237">
                  <c:v>84.868397786329297</c:v>
                </c:pt>
                <c:pt idx="238">
                  <c:v>85.115128805928777</c:v>
                </c:pt>
                <c:pt idx="239">
                  <c:v>83.963799624804366</c:v>
                </c:pt>
                <c:pt idx="240">
                  <c:v>86.924325128978637</c:v>
                </c:pt>
                <c:pt idx="241">
                  <c:v>86.101970640653533</c:v>
                </c:pt>
                <c:pt idx="242">
                  <c:v>86.595350436179331</c:v>
                </c:pt>
                <c:pt idx="243">
                  <c:v>87.253299821777958</c:v>
                </c:pt>
                <c:pt idx="244">
                  <c:v>87.6644359441039</c:v>
                </c:pt>
                <c:pt idx="245">
                  <c:v>89.720363286753269</c:v>
                </c:pt>
                <c:pt idx="246">
                  <c:v>89.473632267153761</c:v>
                </c:pt>
                <c:pt idx="247">
                  <c:v>92.434157771328046</c:v>
                </c:pt>
                <c:pt idx="248">
                  <c:v>88.898008798428151</c:v>
                </c:pt>
                <c:pt idx="249">
                  <c:v>89.226983491227486</c:v>
                </c:pt>
                <c:pt idx="250">
                  <c:v>89.720363286753269</c:v>
                </c:pt>
                <c:pt idx="251">
                  <c:v>90.460474101878518</c:v>
                </c:pt>
                <c:pt idx="252">
                  <c:v>88.815765125228324</c:v>
                </c:pt>
                <c:pt idx="253">
                  <c:v>91.036179814277332</c:v>
                </c:pt>
                <c:pt idx="254">
                  <c:v>91.200667160677</c:v>
                </c:pt>
                <c:pt idx="255">
                  <c:v>92.023021649002089</c:v>
                </c:pt>
                <c:pt idx="256">
                  <c:v>90.295986755478879</c:v>
                </c:pt>
                <c:pt idx="257">
                  <c:v>89.555875940353602</c:v>
                </c:pt>
                <c:pt idx="258">
                  <c:v>89.226983491227486</c:v>
                </c:pt>
                <c:pt idx="259">
                  <c:v>88.733521452028498</c:v>
                </c:pt>
                <c:pt idx="260">
                  <c:v>88.322385329702541</c:v>
                </c:pt>
                <c:pt idx="261">
                  <c:v>87.253299821777958</c:v>
                </c:pt>
                <c:pt idx="262">
                  <c:v>87.911166963703394</c:v>
                </c:pt>
                <c:pt idx="263">
                  <c:v>88.569034105628845</c:v>
                </c:pt>
                <c:pt idx="264">
                  <c:v>85.279616152328444</c:v>
                </c:pt>
                <c:pt idx="265">
                  <c:v>85.444021255054906</c:v>
                </c:pt>
                <c:pt idx="266">
                  <c:v>85.855239621054054</c:v>
                </c:pt>
                <c:pt idx="267">
                  <c:v>84.621666766729803</c:v>
                </c:pt>
                <c:pt idx="268">
                  <c:v>85.772995947854227</c:v>
                </c:pt>
                <c:pt idx="269">
                  <c:v>84.046043298004193</c:v>
                </c:pt>
                <c:pt idx="270">
                  <c:v>84.868397786329297</c:v>
                </c:pt>
                <c:pt idx="271">
                  <c:v>84.457179420330149</c:v>
                </c:pt>
                <c:pt idx="272">
                  <c:v>84.210530644403846</c:v>
                </c:pt>
                <c:pt idx="273">
                  <c:v>82.730226770480115</c:v>
                </c:pt>
                <c:pt idx="274">
                  <c:v>81.578922262457667</c:v>
                </c:pt>
                <c:pt idx="275">
                  <c:v>82.15458685301985</c:v>
                </c:pt>
                <c:pt idx="276">
                  <c:v>82.236822301852371</c:v>
                </c:pt>
                <c:pt idx="277">
                  <c:v>81.743401384489999</c:v>
                </c:pt>
                <c:pt idx="278">
                  <c:v>81.332215915960134</c:v>
                </c:pt>
                <c:pt idx="279">
                  <c:v>80.674324100932722</c:v>
                </c:pt>
                <c:pt idx="280">
                  <c:v>82.15458685301985</c:v>
                </c:pt>
                <c:pt idx="281">
                  <c:v>81.990115955354838</c:v>
                </c:pt>
                <c:pt idx="282">
                  <c:v>81.825636833322505</c:v>
                </c:pt>
                <c:pt idx="283">
                  <c:v>80.592088652100216</c:v>
                </c:pt>
                <c:pt idx="284">
                  <c:v>81.990115955354838</c:v>
                </c:pt>
                <c:pt idx="285">
                  <c:v>82.401334321354</c:v>
                </c:pt>
                <c:pt idx="286">
                  <c:v>82.072351404187359</c:v>
                </c:pt>
                <c:pt idx="287">
                  <c:v>81.167736793927787</c:v>
                </c:pt>
                <c:pt idx="288">
                  <c:v>82.565739424080448</c:v>
                </c:pt>
                <c:pt idx="289">
                  <c:v>81.907872282155012</c:v>
                </c:pt>
                <c:pt idx="290">
                  <c:v>81.003265896262761</c:v>
                </c:pt>
                <c:pt idx="291">
                  <c:v>81.825636833322505</c:v>
                </c:pt>
                <c:pt idx="292">
                  <c:v>80.592088652100216</c:v>
                </c:pt>
                <c:pt idx="293">
                  <c:v>82.15458685301985</c:v>
                </c:pt>
                <c:pt idx="294">
                  <c:v>81.003265896262761</c:v>
                </c:pt>
                <c:pt idx="295">
                  <c:v>80.09865951037051</c:v>
                </c:pt>
                <c:pt idx="296">
                  <c:v>80.592088652100216</c:v>
                </c:pt>
                <c:pt idx="297">
                  <c:v>80.427609530067869</c:v>
                </c:pt>
                <c:pt idx="298">
                  <c:v>80.427609530067869</c:v>
                </c:pt>
                <c:pt idx="299">
                  <c:v>81.249980467127614</c:v>
                </c:pt>
                <c:pt idx="300">
                  <c:v>80.838794998597749</c:v>
                </c:pt>
                <c:pt idx="301">
                  <c:v>81.578922262457667</c:v>
                </c:pt>
                <c:pt idx="302">
                  <c:v>81.825636833322505</c:v>
                </c:pt>
                <c:pt idx="303">
                  <c:v>81.990115955354838</c:v>
                </c:pt>
                <c:pt idx="304">
                  <c:v>82.647983097280289</c:v>
                </c:pt>
                <c:pt idx="305">
                  <c:v>82.236822301852371</c:v>
                </c:pt>
                <c:pt idx="306">
                  <c:v>83.059201463279436</c:v>
                </c:pt>
                <c:pt idx="307">
                  <c:v>81.332215915960134</c:v>
                </c:pt>
                <c:pt idx="308">
                  <c:v>82.15458685301985</c:v>
                </c:pt>
                <c:pt idx="309">
                  <c:v>82.236822301852371</c:v>
                </c:pt>
                <c:pt idx="310">
                  <c:v>82.730226770480115</c:v>
                </c:pt>
                <c:pt idx="311">
                  <c:v>81.167736793927787</c:v>
                </c:pt>
                <c:pt idx="312">
                  <c:v>83.634824932005046</c:v>
                </c:pt>
                <c:pt idx="313">
                  <c:v>82.647983097280289</c:v>
                </c:pt>
                <c:pt idx="314">
                  <c:v>82.730226770480115</c:v>
                </c:pt>
                <c:pt idx="315">
                  <c:v>84.046043298004193</c:v>
                </c:pt>
                <c:pt idx="316">
                  <c:v>82.647983097280289</c:v>
                </c:pt>
                <c:pt idx="317">
                  <c:v>81.743401384489999</c:v>
                </c:pt>
                <c:pt idx="318">
                  <c:v>83.30593248287893</c:v>
                </c:pt>
                <c:pt idx="319">
                  <c:v>84.046043298004193</c:v>
                </c:pt>
                <c:pt idx="320">
                  <c:v>83.881555951604525</c:v>
                </c:pt>
                <c:pt idx="321">
                  <c:v>84.210530644403846</c:v>
                </c:pt>
                <c:pt idx="322">
                  <c:v>84.950641459529123</c:v>
                </c:pt>
                <c:pt idx="323">
                  <c:v>86.184214313853374</c:v>
                </c:pt>
                <c:pt idx="324">
                  <c:v>83.881555951604525</c:v>
                </c:pt>
                <c:pt idx="325">
                  <c:v>84.868397786329297</c:v>
                </c:pt>
                <c:pt idx="326">
                  <c:v>85.526264928254733</c:v>
                </c:pt>
                <c:pt idx="327">
                  <c:v>85.444021255054906</c:v>
                </c:pt>
                <c:pt idx="328">
                  <c:v>85.855239621054054</c:v>
                </c:pt>
                <c:pt idx="329">
                  <c:v>86.924325128978637</c:v>
                </c:pt>
                <c:pt idx="330">
                  <c:v>87.582192270904088</c:v>
                </c:pt>
                <c:pt idx="331">
                  <c:v>89.062496144827819</c:v>
                </c:pt>
                <c:pt idx="332">
                  <c:v>86.595350436179331</c:v>
                </c:pt>
                <c:pt idx="333">
                  <c:v>86.842081455778811</c:v>
                </c:pt>
                <c:pt idx="334">
                  <c:v>88.240141656502715</c:v>
                </c:pt>
                <c:pt idx="335">
                  <c:v>90.707205121478026</c:v>
                </c:pt>
                <c:pt idx="336">
                  <c:v>87.335543494977784</c:v>
                </c:pt>
                <c:pt idx="337">
                  <c:v>87.006568802178478</c:v>
                </c:pt>
                <c:pt idx="338">
                  <c:v>88.240141656502715</c:v>
                </c:pt>
                <c:pt idx="339">
                  <c:v>87.41770492450442</c:v>
                </c:pt>
                <c:pt idx="340">
                  <c:v>87.582192270904088</c:v>
                </c:pt>
                <c:pt idx="341">
                  <c:v>87.911166963703394</c:v>
                </c:pt>
                <c:pt idx="342">
                  <c:v>87.171056148578131</c:v>
                </c:pt>
                <c:pt idx="343">
                  <c:v>87.828923290503568</c:v>
                </c:pt>
                <c:pt idx="344">
                  <c:v>87.828923290503568</c:v>
                </c:pt>
                <c:pt idx="345">
                  <c:v>87.582192270904088</c:v>
                </c:pt>
                <c:pt idx="346">
                  <c:v>86.019726967453721</c:v>
                </c:pt>
                <c:pt idx="347">
                  <c:v>86.348619416579837</c:v>
                </c:pt>
                <c:pt idx="348">
                  <c:v>86.924325128978637</c:v>
                </c:pt>
                <c:pt idx="349">
                  <c:v>87.582192270904088</c:v>
                </c:pt>
                <c:pt idx="350">
                  <c:v>86.924325128978637</c:v>
                </c:pt>
                <c:pt idx="351">
                  <c:v>86.51310676297949</c:v>
                </c:pt>
                <c:pt idx="352">
                  <c:v>87.253299821777958</c:v>
                </c:pt>
                <c:pt idx="353">
                  <c:v>87.006568802178478</c:v>
                </c:pt>
                <c:pt idx="354">
                  <c:v>87.335543494977784</c:v>
                </c:pt>
                <c:pt idx="355">
                  <c:v>86.595350436179331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E-5148-B03A-40C5B872DC4F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World'!$I$2:$I$358</c:f>
              <c:numCache>
                <c:formatCode>0.00</c:formatCode>
                <c:ptCount val="357"/>
                <c:pt idx="0">
                  <c:v>88.894257301619902</c:v>
                </c:pt>
                <c:pt idx="1">
                  <c:v>90.363983574214373</c:v>
                </c:pt>
                <c:pt idx="2">
                  <c:v>89.945455023267272</c:v>
                </c:pt>
                <c:pt idx="3">
                  <c:v>90.383450018444464</c:v>
                </c:pt>
                <c:pt idx="4">
                  <c:v>90.626790304542794</c:v>
                </c:pt>
                <c:pt idx="5">
                  <c:v>89.273852964106794</c:v>
                </c:pt>
                <c:pt idx="6">
                  <c:v>89.341985518912139</c:v>
                </c:pt>
                <c:pt idx="7">
                  <c:v>88.796925080469421</c:v>
                </c:pt>
                <c:pt idx="8">
                  <c:v>89.585316071788355</c:v>
                </c:pt>
                <c:pt idx="9">
                  <c:v>89.293319408336885</c:v>
                </c:pt>
                <c:pt idx="10">
                  <c:v>88.300530752601929</c:v>
                </c:pt>
                <c:pt idx="11">
                  <c:v>89.419861029054644</c:v>
                </c:pt>
                <c:pt idx="12">
                  <c:v>90.587857416082599</c:v>
                </c:pt>
                <c:pt idx="13">
                  <c:v>90.188785576143488</c:v>
                </c:pt>
                <c:pt idx="14">
                  <c:v>89.079188521805818</c:v>
                </c:pt>
                <c:pt idx="15">
                  <c:v>89.059722077575728</c:v>
                </c:pt>
                <c:pt idx="16">
                  <c:v>89.166787520841268</c:v>
                </c:pt>
                <c:pt idx="17">
                  <c:v>89.51718351698301</c:v>
                </c:pt>
                <c:pt idx="18">
                  <c:v>88.018267311265532</c:v>
                </c:pt>
                <c:pt idx="19">
                  <c:v>88.942923412195142</c:v>
                </c:pt>
                <c:pt idx="20">
                  <c:v>89.244663030983773</c:v>
                </c:pt>
                <c:pt idx="21">
                  <c:v>88.826124746814571</c:v>
                </c:pt>
                <c:pt idx="22">
                  <c:v>90.247184908833788</c:v>
                </c:pt>
                <c:pt idx="23">
                  <c:v>89.43931774006262</c:v>
                </c:pt>
                <c:pt idx="24">
                  <c:v>89.682658026160965</c:v>
                </c:pt>
                <c:pt idx="25">
                  <c:v>89.011055967000487</c:v>
                </c:pt>
                <c:pt idx="26">
                  <c:v>89.877322468461941</c:v>
                </c:pt>
                <c:pt idx="27">
                  <c:v>89.244663030983773</c:v>
                </c:pt>
                <c:pt idx="28">
                  <c:v>89.273852964106794</c:v>
                </c:pt>
                <c:pt idx="29">
                  <c:v>88.212922020344394</c:v>
                </c:pt>
                <c:pt idx="30">
                  <c:v>87.872259246317682</c:v>
                </c:pt>
                <c:pt idx="31">
                  <c:v>88.144789465539048</c:v>
                </c:pt>
                <c:pt idx="32">
                  <c:v>86.908660523705748</c:v>
                </c:pt>
                <c:pt idx="33">
                  <c:v>87.833326357857487</c:v>
                </c:pt>
                <c:pt idx="34">
                  <c:v>86.694529637174682</c:v>
                </c:pt>
                <c:pt idx="35">
                  <c:v>85.536266472261786</c:v>
                </c:pt>
                <c:pt idx="36">
                  <c:v>85.448667473226337</c:v>
                </c:pt>
                <c:pt idx="37">
                  <c:v>85.584932582837013</c:v>
                </c:pt>
                <c:pt idx="38">
                  <c:v>85.15667080977488</c:v>
                </c:pt>
                <c:pt idx="39">
                  <c:v>84.582410704987012</c:v>
                </c:pt>
                <c:pt idx="40">
                  <c:v>84.514278150181681</c:v>
                </c:pt>
                <c:pt idx="41">
                  <c:v>83.862142535251294</c:v>
                </c:pt>
                <c:pt idx="42">
                  <c:v>85.000939255934114</c:v>
                </c:pt>
                <c:pt idx="43">
                  <c:v>84.387736529463936</c:v>
                </c:pt>
                <c:pt idx="44">
                  <c:v>84.952263412136745</c:v>
                </c:pt>
                <c:pt idx="45">
                  <c:v>85.331868807845765</c:v>
                </c:pt>
                <c:pt idx="46">
                  <c:v>84.728409036712748</c:v>
                </c:pt>
                <c:pt idx="47">
                  <c:v>83.969207978516835</c:v>
                </c:pt>
                <c:pt idx="48">
                  <c:v>85.536266472261786</c:v>
                </c:pt>
                <c:pt idx="49">
                  <c:v>85.273469475155466</c:v>
                </c:pt>
                <c:pt idx="50">
                  <c:v>85.21507014246518</c:v>
                </c:pt>
                <c:pt idx="51">
                  <c:v>87.609462249211376</c:v>
                </c:pt>
                <c:pt idx="52">
                  <c:v>87.512130028060881</c:v>
                </c:pt>
                <c:pt idx="53">
                  <c:v>88.008524355928358</c:v>
                </c:pt>
                <c:pt idx="54">
                  <c:v>88.777458636239317</c:v>
                </c:pt>
                <c:pt idx="55">
                  <c:v>89.264119741991749</c:v>
                </c:pt>
                <c:pt idx="56">
                  <c:v>88.962389856425247</c:v>
                </c:pt>
                <c:pt idx="57">
                  <c:v>89.828656357886686</c:v>
                </c:pt>
                <c:pt idx="58">
                  <c:v>90.617057082427749</c:v>
                </c:pt>
                <c:pt idx="59">
                  <c:v>90.480791972817059</c:v>
                </c:pt>
                <c:pt idx="60">
                  <c:v>91.132917854525317</c:v>
                </c:pt>
                <c:pt idx="61">
                  <c:v>90.519724861277268</c:v>
                </c:pt>
                <c:pt idx="62">
                  <c:v>91.278916186251038</c:v>
                </c:pt>
                <c:pt idx="63">
                  <c:v>91.317858807933362</c:v>
                </c:pt>
                <c:pt idx="64">
                  <c:v>90.87012085741901</c:v>
                </c:pt>
                <c:pt idx="65">
                  <c:v>91.463847406436969</c:v>
                </c:pt>
                <c:pt idx="66">
                  <c:v>91.89211891272123</c:v>
                </c:pt>
                <c:pt idx="67">
                  <c:v>91.337315518941338</c:v>
                </c:pt>
                <c:pt idx="68">
                  <c:v>91.473580628552014</c:v>
                </c:pt>
                <c:pt idx="69">
                  <c:v>89.711857692506101</c:v>
                </c:pt>
                <c:pt idx="70">
                  <c:v>89.672924804045905</c:v>
                </c:pt>
                <c:pt idx="71">
                  <c:v>91.580646071817554</c:v>
                </c:pt>
                <c:pt idx="72">
                  <c:v>90.772788636268515</c:v>
                </c:pt>
                <c:pt idx="73">
                  <c:v>91.035585633374822</c:v>
                </c:pt>
                <c:pt idx="74">
                  <c:v>91.668254804075104</c:v>
                </c:pt>
                <c:pt idx="75">
                  <c:v>90.772788636268515</c:v>
                </c:pt>
                <c:pt idx="76">
                  <c:v>92.573444460774624</c:v>
                </c:pt>
                <c:pt idx="77">
                  <c:v>91.833709846808816</c:v>
                </c:pt>
                <c:pt idx="78">
                  <c:v>90.227728197825797</c:v>
                </c:pt>
                <c:pt idx="79">
                  <c:v>92.223048464632882</c:v>
                </c:pt>
                <c:pt idx="80">
                  <c:v>92.310647463668317</c:v>
                </c:pt>
                <c:pt idx="81">
                  <c:v>91.366515185286488</c:v>
                </c:pt>
                <c:pt idx="82">
                  <c:v>92.505311905969293</c:v>
                </c:pt>
                <c:pt idx="83">
                  <c:v>92.651319970917129</c:v>
                </c:pt>
                <c:pt idx="84">
                  <c:v>91.814253135800826</c:v>
                </c:pt>
                <c:pt idx="85">
                  <c:v>92.553978016544534</c:v>
                </c:pt>
                <c:pt idx="86">
                  <c:v>92.87517434634114</c:v>
                </c:pt>
                <c:pt idx="87">
                  <c:v>96.135832954548775</c:v>
                </c:pt>
                <c:pt idx="88">
                  <c:v>94.344910352157711</c:v>
                </c:pt>
                <c:pt idx="89">
                  <c:v>95.045702344441224</c:v>
                </c:pt>
                <c:pt idx="90">
                  <c:v>95.211176853619151</c:v>
                </c:pt>
                <c:pt idx="91">
                  <c:v>98.900048568778359</c:v>
                </c:pt>
                <c:pt idx="92">
                  <c:v>96.583570905063127</c:v>
                </c:pt>
                <c:pt idx="93">
                  <c:v>99.007114012043886</c:v>
                </c:pt>
                <c:pt idx="94">
                  <c:v>96.729569236788862</c:v>
                </c:pt>
                <c:pt idx="95">
                  <c:v>98.666451238017189</c:v>
                </c:pt>
                <c:pt idx="96">
                  <c:v>98.666451238017189</c:v>
                </c:pt>
                <c:pt idx="97">
                  <c:v>99.347874118291742</c:v>
                </c:pt>
                <c:pt idx="98">
                  <c:v>98.160323688034666</c:v>
                </c:pt>
                <c:pt idx="99">
                  <c:v>99.425642562990987</c:v>
                </c:pt>
                <c:pt idx="100">
                  <c:v>100.68132554805341</c:v>
                </c:pt>
                <c:pt idx="101">
                  <c:v>100.0194664442301</c:v>
                </c:pt>
                <c:pt idx="102">
                  <c:v>100.60345977113302</c:v>
                </c:pt>
                <c:pt idx="103">
                  <c:v>98.02405857842399</c:v>
                </c:pt>
                <c:pt idx="104">
                  <c:v>99.795602335583979</c:v>
                </c:pt>
                <c:pt idx="105">
                  <c:v>99.902667778849519</c:v>
                </c:pt>
                <c:pt idx="106">
                  <c:v>100.47692788363739</c:v>
                </c:pt>
                <c:pt idx="107">
                  <c:v>99.727469780778634</c:v>
                </c:pt>
                <c:pt idx="108">
                  <c:v>100</c:v>
                </c:pt>
                <c:pt idx="109">
                  <c:v>99.698270114433484</c:v>
                </c:pt>
                <c:pt idx="110">
                  <c:v>99.639773449522053</c:v>
                </c:pt>
                <c:pt idx="111">
                  <c:v>100.43799499517719</c:v>
                </c:pt>
                <c:pt idx="112">
                  <c:v>100.83705710189419</c:v>
                </c:pt>
                <c:pt idx="113">
                  <c:v>102.22890786434614</c:v>
                </c:pt>
                <c:pt idx="114">
                  <c:v>102.47223841722236</c:v>
                </c:pt>
                <c:pt idx="115">
                  <c:v>100.58399332690293</c:v>
                </c:pt>
                <c:pt idx="116">
                  <c:v>103.30929551911655</c:v>
                </c:pt>
                <c:pt idx="117">
                  <c:v>104.603814060418</c:v>
                </c:pt>
                <c:pt idx="118">
                  <c:v>104.68167983733839</c:v>
                </c:pt>
                <c:pt idx="119">
                  <c:v>103.76675695852383</c:v>
                </c:pt>
                <c:pt idx="120">
                  <c:v>104.53568150561266</c:v>
                </c:pt>
                <c:pt idx="121">
                  <c:v>104.85687783540928</c:v>
                </c:pt>
                <c:pt idx="122">
                  <c:v>105.55766982769278</c:v>
                </c:pt>
                <c:pt idx="123">
                  <c:v>106.15139637671075</c:v>
                </c:pt>
                <c:pt idx="124">
                  <c:v>107.47511458435736</c:v>
                </c:pt>
                <c:pt idx="125">
                  <c:v>106.07353059979036</c:v>
                </c:pt>
                <c:pt idx="126">
                  <c:v>107.32911625263162</c:v>
                </c:pt>
                <c:pt idx="127">
                  <c:v>106.37526048535685</c:v>
                </c:pt>
                <c:pt idx="128">
                  <c:v>106.64779070457821</c:v>
                </c:pt>
                <c:pt idx="129">
                  <c:v>107.8255105804991</c:v>
                </c:pt>
                <c:pt idx="130">
                  <c:v>107.63084613819814</c:v>
                </c:pt>
                <c:pt idx="131">
                  <c:v>108.62363479393309</c:v>
                </c:pt>
                <c:pt idx="132">
                  <c:v>108.13697368818066</c:v>
                </c:pt>
                <c:pt idx="133">
                  <c:v>108.85723212469426</c:v>
                </c:pt>
                <c:pt idx="134">
                  <c:v>109.30496034198649</c:v>
                </c:pt>
                <c:pt idx="135">
                  <c:v>107.53351391704766</c:v>
                </c:pt>
                <c:pt idx="136">
                  <c:v>108.32190490836658</c:v>
                </c:pt>
                <c:pt idx="137">
                  <c:v>108.35110457471173</c:v>
                </c:pt>
                <c:pt idx="138">
                  <c:v>106.86192159110928</c:v>
                </c:pt>
                <c:pt idx="139">
                  <c:v>109.50935800640252</c:v>
                </c:pt>
                <c:pt idx="140">
                  <c:v>107.81577735838405</c:v>
                </c:pt>
                <c:pt idx="141">
                  <c:v>107.04685281129522</c:v>
                </c:pt>
                <c:pt idx="142">
                  <c:v>105.87886615748938</c:v>
                </c:pt>
                <c:pt idx="143">
                  <c:v>106.56019170554279</c:v>
                </c:pt>
                <c:pt idx="144">
                  <c:v>106.53099203919764</c:v>
                </c:pt>
                <c:pt idx="145">
                  <c:v>106.91058770168453</c:v>
                </c:pt>
                <c:pt idx="146">
                  <c:v>107.42644847378212</c:v>
                </c:pt>
                <c:pt idx="147">
                  <c:v>108.12724046606562</c:v>
                </c:pt>
                <c:pt idx="148">
                  <c:v>107.19285114302095</c:v>
                </c:pt>
                <c:pt idx="149">
                  <c:v>107.00791992283501</c:v>
                </c:pt>
                <c:pt idx="150">
                  <c:v>105.90806582383453</c:v>
                </c:pt>
                <c:pt idx="151">
                  <c:v>107.8839099131894</c:v>
                </c:pt>
                <c:pt idx="152">
                  <c:v>106.54072526131267</c:v>
                </c:pt>
                <c:pt idx="153">
                  <c:v>105.7036681594185</c:v>
                </c:pt>
                <c:pt idx="154">
                  <c:v>106.7256564814986</c:v>
                </c:pt>
                <c:pt idx="155">
                  <c:v>104.1852855094709</c:v>
                </c:pt>
                <c:pt idx="156">
                  <c:v>106.33632759689667</c:v>
                </c:pt>
                <c:pt idx="157">
                  <c:v>107.29018336417144</c:v>
                </c:pt>
                <c:pt idx="158">
                  <c:v>106.45312626227725</c:v>
                </c:pt>
                <c:pt idx="159">
                  <c:v>106.47259270650734</c:v>
                </c:pt>
                <c:pt idx="160">
                  <c:v>103.91275529024956</c:v>
                </c:pt>
                <c:pt idx="161">
                  <c:v>103.65969151525829</c:v>
                </c:pt>
                <c:pt idx="162">
                  <c:v>105.51873693923258</c:v>
                </c:pt>
                <c:pt idx="163">
                  <c:v>105.06127549982529</c:v>
                </c:pt>
                <c:pt idx="164">
                  <c:v>104.69141305945345</c:v>
                </c:pt>
                <c:pt idx="165">
                  <c:v>107.22205080936608</c:v>
                </c:pt>
                <c:pt idx="166">
                  <c:v>105.12940805463064</c:v>
                </c:pt>
                <c:pt idx="167">
                  <c:v>105.74260104787869</c:v>
                </c:pt>
                <c:pt idx="168">
                  <c:v>106.44339304016219</c:v>
                </c:pt>
                <c:pt idx="169">
                  <c:v>107.5237806949326</c:v>
                </c:pt>
                <c:pt idx="170">
                  <c:v>107.1636514766758</c:v>
                </c:pt>
                <c:pt idx="171">
                  <c:v>107.19285114302095</c:v>
                </c:pt>
                <c:pt idx="172">
                  <c:v>106.61859103823306</c:v>
                </c:pt>
                <c:pt idx="173">
                  <c:v>107.64057936031318</c:v>
                </c:pt>
                <c:pt idx="174">
                  <c:v>108.07857435549036</c:v>
                </c:pt>
                <c:pt idx="175">
                  <c:v>104.25341806427626</c:v>
                </c:pt>
                <c:pt idx="176">
                  <c:v>107.90337635741949</c:v>
                </c:pt>
                <c:pt idx="177">
                  <c:v>108.70150057085348</c:v>
                </c:pt>
                <c:pt idx="178">
                  <c:v>106.89112125745443</c:v>
                </c:pt>
                <c:pt idx="179">
                  <c:v>107.11498536610056</c:v>
                </c:pt>
                <c:pt idx="180">
                  <c:v>108.88643179103941</c:v>
                </c:pt>
                <c:pt idx="181">
                  <c:v>107.62111291608308</c:v>
                </c:pt>
                <c:pt idx="182">
                  <c:v>105.3046060527015</c:v>
                </c:pt>
                <c:pt idx="183">
                  <c:v>108.00070857856997</c:v>
                </c:pt>
                <c:pt idx="184">
                  <c:v>106.80352225841901</c:v>
                </c:pt>
                <c:pt idx="185">
                  <c:v>106.74512292572871</c:v>
                </c:pt>
                <c:pt idx="186">
                  <c:v>106.404460151702</c:v>
                </c:pt>
                <c:pt idx="187">
                  <c:v>105.81073360268404</c:v>
                </c:pt>
                <c:pt idx="188">
                  <c:v>108.51656935066755</c:v>
                </c:pt>
                <c:pt idx="189">
                  <c:v>105.32407249693161</c:v>
                </c:pt>
                <c:pt idx="190">
                  <c:v>109.54829089486272</c:v>
                </c:pt>
                <c:pt idx="191">
                  <c:v>108.26350557567629</c:v>
                </c:pt>
                <c:pt idx="192">
                  <c:v>107.57244680550784</c:v>
                </c:pt>
                <c:pt idx="193">
                  <c:v>106.83272192476414</c:v>
                </c:pt>
                <c:pt idx="194">
                  <c:v>108.80856601411901</c:v>
                </c:pt>
                <c:pt idx="195">
                  <c:v>108.25377235356125</c:v>
                </c:pt>
                <c:pt idx="196">
                  <c:v>109.99601911215495</c:v>
                </c:pt>
                <c:pt idx="197">
                  <c:v>109.81108789196902</c:v>
                </c:pt>
                <c:pt idx="198">
                  <c:v>108.29270524202144</c:v>
                </c:pt>
                <c:pt idx="199">
                  <c:v>107.56271358339279</c:v>
                </c:pt>
                <c:pt idx="200">
                  <c:v>109.21736134295105</c:v>
                </c:pt>
                <c:pt idx="201">
                  <c:v>108.34137135259668</c:v>
                </c:pt>
                <c:pt idx="202">
                  <c:v>107.72817835934862</c:v>
                </c:pt>
                <c:pt idx="203">
                  <c:v>109.52882445063261</c:v>
                </c:pt>
                <c:pt idx="204">
                  <c:v>108.33163813048164</c:v>
                </c:pt>
                <c:pt idx="205">
                  <c:v>109.31469356410155</c:v>
                </c:pt>
                <c:pt idx="206">
                  <c:v>110.13228422176562</c:v>
                </c:pt>
                <c:pt idx="207">
                  <c:v>108.30243846413649</c:v>
                </c:pt>
                <c:pt idx="208">
                  <c:v>110.90120876885447</c:v>
                </c:pt>
                <c:pt idx="209">
                  <c:v>110.48268021790739</c:v>
                </c:pt>
                <c:pt idx="210">
                  <c:v>110.62867854963311</c:v>
                </c:pt>
                <c:pt idx="211">
                  <c:v>111.30036820779262</c:v>
                </c:pt>
                <c:pt idx="212">
                  <c:v>108.74043345931368</c:v>
                </c:pt>
                <c:pt idx="213">
                  <c:v>111.20303598664213</c:v>
                </c:pt>
                <c:pt idx="214">
                  <c:v>109.27576067564135</c:v>
                </c:pt>
                <c:pt idx="215">
                  <c:v>109.45095867371224</c:v>
                </c:pt>
                <c:pt idx="216">
                  <c:v>110.39508121887195</c:v>
                </c:pt>
                <c:pt idx="217">
                  <c:v>111.3977004289431</c:v>
                </c:pt>
                <c:pt idx="218">
                  <c:v>110.10308455542049</c:v>
                </c:pt>
                <c:pt idx="219">
                  <c:v>112.48782130582855</c:v>
                </c:pt>
                <c:pt idx="220">
                  <c:v>107.1831179209059</c:v>
                </c:pt>
                <c:pt idx="221">
                  <c:v>106.87165481322434</c:v>
                </c:pt>
                <c:pt idx="222">
                  <c:v>107.70871191511851</c:v>
                </c:pt>
                <c:pt idx="223">
                  <c:v>106.19032926517093</c:v>
                </c:pt>
                <c:pt idx="224">
                  <c:v>105.73286782576365</c:v>
                </c:pt>
                <c:pt idx="225">
                  <c:v>103.75702373640877</c:v>
                </c:pt>
                <c:pt idx="226">
                  <c:v>98.549652572636603</c:v>
                </c:pt>
                <c:pt idx="227">
                  <c:v>97.187030676196144</c:v>
                </c:pt>
                <c:pt idx="228">
                  <c:v>93.614908960306963</c:v>
                </c:pt>
                <c:pt idx="229">
                  <c:v>92.310647463668317</c:v>
                </c:pt>
                <c:pt idx="230">
                  <c:v>90.617057082427749</c:v>
                </c:pt>
                <c:pt idx="231">
                  <c:v>90.57812419396754</c:v>
                </c:pt>
                <c:pt idx="232">
                  <c:v>91.648778626622899</c:v>
                </c:pt>
                <c:pt idx="233">
                  <c:v>92.84597467999599</c:v>
                </c:pt>
                <c:pt idx="234">
                  <c:v>92.476112239624143</c:v>
                </c:pt>
                <c:pt idx="235">
                  <c:v>94.023714022361105</c:v>
                </c:pt>
                <c:pt idx="236">
                  <c:v>94.500641905998492</c:v>
                </c:pt>
                <c:pt idx="237">
                  <c:v>93.86797273529821</c:v>
                </c:pt>
                <c:pt idx="238">
                  <c:v>94.782905347334903</c:v>
                </c:pt>
                <c:pt idx="239">
                  <c:v>94.490908683883447</c:v>
                </c:pt>
                <c:pt idx="240">
                  <c:v>95.503173517070607</c:v>
                </c:pt>
                <c:pt idx="241">
                  <c:v>94.899704012715489</c:v>
                </c:pt>
                <c:pt idx="242">
                  <c:v>96.768502125249043</c:v>
                </c:pt>
                <c:pt idx="243">
                  <c:v>96.398629951655082</c:v>
                </c:pt>
                <c:pt idx="244">
                  <c:v>97.177307187303214</c:v>
                </c:pt>
                <c:pt idx="245">
                  <c:v>96.768502125249043</c:v>
                </c:pt>
                <c:pt idx="246">
                  <c:v>97.430332029406017</c:v>
                </c:pt>
                <c:pt idx="247">
                  <c:v>96.437572573337405</c:v>
                </c:pt>
                <c:pt idx="248">
                  <c:v>97.615263249591948</c:v>
                </c:pt>
                <c:pt idx="249">
                  <c:v>97.469264917866212</c:v>
                </c:pt>
                <c:pt idx="250">
                  <c:v>98.705384126477384</c:v>
                </c:pt>
                <c:pt idx="251">
                  <c:v>100</c:v>
                </c:pt>
                <c:pt idx="252">
                  <c:v>101.19718632015099</c:v>
                </c:pt>
                <c:pt idx="253">
                  <c:v>101.51838264994758</c:v>
                </c:pt>
                <c:pt idx="254">
                  <c:v>100.24333055287622</c:v>
                </c:pt>
                <c:pt idx="255">
                  <c:v>98.549652572636603</c:v>
                </c:pt>
                <c:pt idx="256">
                  <c:v>101.77144642493886</c:v>
                </c:pt>
                <c:pt idx="257">
                  <c:v>98.977914345698736</c:v>
                </c:pt>
                <c:pt idx="258">
                  <c:v>100.0973322211505</c:v>
                </c:pt>
                <c:pt idx="259">
                  <c:v>99.260275119256306</c:v>
                </c:pt>
                <c:pt idx="260">
                  <c:v>98.510719684176422</c:v>
                </c:pt>
                <c:pt idx="261">
                  <c:v>98.744317014937579</c:v>
                </c:pt>
                <c:pt idx="262">
                  <c:v>100.85652354612429</c:v>
                </c:pt>
                <c:pt idx="263">
                  <c:v>98.734583792822534</c:v>
                </c:pt>
                <c:pt idx="264">
                  <c:v>98.160323688034666</c:v>
                </c:pt>
                <c:pt idx="265">
                  <c:v>99.09481034330048</c:v>
                </c:pt>
                <c:pt idx="266">
                  <c:v>98.306322019760387</c:v>
                </c:pt>
                <c:pt idx="267">
                  <c:v>98.530186128406513</c:v>
                </c:pt>
                <c:pt idx="268">
                  <c:v>97.118898121390799</c:v>
                </c:pt>
                <c:pt idx="269">
                  <c:v>96.534895061265772</c:v>
                </c:pt>
                <c:pt idx="270">
                  <c:v>97.089698455045649</c:v>
                </c:pt>
                <c:pt idx="271">
                  <c:v>99.026580456273976</c:v>
                </c:pt>
                <c:pt idx="272">
                  <c:v>97.294096119461685</c:v>
                </c:pt>
                <c:pt idx="273">
                  <c:v>95.571306071875952</c:v>
                </c:pt>
                <c:pt idx="274">
                  <c:v>95.561572849760907</c:v>
                </c:pt>
                <c:pt idx="275">
                  <c:v>96.836634680054402</c:v>
                </c:pt>
                <c:pt idx="276">
                  <c:v>95.931435290132754</c:v>
                </c:pt>
                <c:pt idx="277">
                  <c:v>97.021565900240319</c:v>
                </c:pt>
                <c:pt idx="278">
                  <c:v>97.148097787735949</c:v>
                </c:pt>
                <c:pt idx="279">
                  <c:v>98.695650904362338</c:v>
                </c:pt>
                <c:pt idx="280">
                  <c:v>98.364721352450687</c:v>
                </c:pt>
                <c:pt idx="281">
                  <c:v>97.196763898311204</c:v>
                </c:pt>
                <c:pt idx="282">
                  <c:v>96.447305795452451</c:v>
                </c:pt>
                <c:pt idx="283">
                  <c:v>95.950901734362859</c:v>
                </c:pt>
                <c:pt idx="284">
                  <c:v>96.26237457526652</c:v>
                </c:pt>
                <c:pt idx="285">
                  <c:v>96.36944001853206</c:v>
                </c:pt>
                <c:pt idx="286">
                  <c:v>98.10192435534438</c:v>
                </c:pt>
                <c:pt idx="287">
                  <c:v>96.865834346399538</c:v>
                </c:pt>
                <c:pt idx="288">
                  <c:v>95.308499341547531</c:v>
                </c:pt>
                <c:pt idx="289">
                  <c:v>96.797701791594193</c:v>
                </c:pt>
                <c:pt idx="290">
                  <c:v>96.087176577195649</c:v>
                </c:pt>
                <c:pt idx="291">
                  <c:v>96.427829618000231</c:v>
                </c:pt>
                <c:pt idx="292">
                  <c:v>94.276777797352366</c:v>
                </c:pt>
                <c:pt idx="293">
                  <c:v>96.457029284345381</c:v>
                </c:pt>
                <c:pt idx="294">
                  <c:v>97.654196138052129</c:v>
                </c:pt>
                <c:pt idx="295">
                  <c:v>95.736770847831792</c:v>
                </c:pt>
                <c:pt idx="296">
                  <c:v>96.476505461797586</c:v>
                </c:pt>
                <c:pt idx="297">
                  <c:v>94.987303011750924</c:v>
                </c:pt>
                <c:pt idx="298">
                  <c:v>94.09184657716645</c:v>
                </c:pt>
                <c:pt idx="299">
                  <c:v>96.700369570443712</c:v>
                </c:pt>
                <c:pt idx="300">
                  <c:v>96.856101124284493</c:v>
                </c:pt>
                <c:pt idx="301">
                  <c:v>97.401132363060867</c:v>
                </c:pt>
                <c:pt idx="302">
                  <c:v>97.157831009850995</c:v>
                </c:pt>
                <c:pt idx="303">
                  <c:v>96.710093059336643</c:v>
                </c:pt>
                <c:pt idx="304">
                  <c:v>97.605530027476888</c:v>
                </c:pt>
                <c:pt idx="305">
                  <c:v>97.478998139981258</c:v>
                </c:pt>
                <c:pt idx="306">
                  <c:v>96.495962172805577</c:v>
                </c:pt>
                <c:pt idx="307">
                  <c:v>97.294096119461685</c:v>
                </c:pt>
                <c:pt idx="308">
                  <c:v>98.452320351486122</c:v>
                </c:pt>
                <c:pt idx="309">
                  <c:v>98.851382458203119</c:v>
                </c:pt>
                <c:pt idx="310">
                  <c:v>96.710093059336643</c:v>
                </c:pt>
                <c:pt idx="311">
                  <c:v>96.992366233895169</c:v>
                </c:pt>
                <c:pt idx="312">
                  <c:v>98.997380789928854</c:v>
                </c:pt>
                <c:pt idx="313">
                  <c:v>97.916993135158449</c:v>
                </c:pt>
                <c:pt idx="314">
                  <c:v>97.449798473636108</c:v>
                </c:pt>
                <c:pt idx="315">
                  <c:v>98.471786795716213</c:v>
                </c:pt>
                <c:pt idx="316">
                  <c:v>96.972899789665078</c:v>
                </c:pt>
                <c:pt idx="317">
                  <c:v>96.622503793523322</c:v>
                </c:pt>
                <c:pt idx="318">
                  <c:v>96.486238683912646</c:v>
                </c:pt>
                <c:pt idx="319">
                  <c:v>98.345254908220596</c:v>
                </c:pt>
                <c:pt idx="320">
                  <c:v>97.352466252485613</c:v>
                </c:pt>
                <c:pt idx="321">
                  <c:v>97.002099456010228</c:v>
                </c:pt>
                <c:pt idx="322">
                  <c:v>99.523072116362627</c:v>
                </c:pt>
                <c:pt idx="323">
                  <c:v>98.082457911114261</c:v>
                </c:pt>
                <c:pt idx="324">
                  <c:v>98.676184460132234</c:v>
                </c:pt>
                <c:pt idx="325">
                  <c:v>97.420598807290972</c:v>
                </c:pt>
                <c:pt idx="326">
                  <c:v>98.500986462061363</c:v>
                </c:pt>
                <c:pt idx="327">
                  <c:v>98.442587129371077</c:v>
                </c:pt>
                <c:pt idx="328">
                  <c:v>100.53532721632767</c:v>
                </c:pt>
                <c:pt idx="329">
                  <c:v>99.425642562990987</c:v>
                </c:pt>
                <c:pt idx="330">
                  <c:v>99.98053355576991</c:v>
                </c:pt>
                <c:pt idx="331">
                  <c:v>100.17519799807089</c:v>
                </c:pt>
                <c:pt idx="332">
                  <c:v>101.02198832208011</c:v>
                </c:pt>
                <c:pt idx="333">
                  <c:v>101.45025009514225</c:v>
                </c:pt>
                <c:pt idx="334">
                  <c:v>101.86877864608934</c:v>
                </c:pt>
                <c:pt idx="335">
                  <c:v>102.8810337460544</c:v>
                </c:pt>
                <c:pt idx="336">
                  <c:v>99.299208007716501</c:v>
                </c:pt>
                <c:pt idx="337">
                  <c:v>100.399062106717</c:v>
                </c:pt>
                <c:pt idx="338">
                  <c:v>101.12905376534563</c:v>
                </c:pt>
                <c:pt idx="339">
                  <c:v>99.902667778849519</c:v>
                </c:pt>
                <c:pt idx="340">
                  <c:v>98.987647567813795</c:v>
                </c:pt>
                <c:pt idx="341">
                  <c:v>100.7202584365136</c:v>
                </c:pt>
                <c:pt idx="342">
                  <c:v>100.67159232593835</c:v>
                </c:pt>
                <c:pt idx="343">
                  <c:v>101.37238431822185</c:v>
                </c:pt>
                <c:pt idx="344">
                  <c:v>100.14599833172574</c:v>
                </c:pt>
                <c:pt idx="345">
                  <c:v>100.88572321246943</c:v>
                </c:pt>
                <c:pt idx="346">
                  <c:v>100.04866611057524</c:v>
                </c:pt>
                <c:pt idx="347">
                  <c:v>100.93438932304467</c:v>
                </c:pt>
                <c:pt idx="348">
                  <c:v>101.97584408935488</c:v>
                </c:pt>
                <c:pt idx="349">
                  <c:v>101.49891620571749</c:v>
                </c:pt>
                <c:pt idx="350">
                  <c:v>100.86625676823932</c:v>
                </c:pt>
                <c:pt idx="351">
                  <c:v>101.30425176341652</c:v>
                </c:pt>
                <c:pt idx="352">
                  <c:v>102.98809918931994</c:v>
                </c:pt>
                <c:pt idx="353">
                  <c:v>100.59372654901797</c:v>
                </c:pt>
                <c:pt idx="354">
                  <c:v>100.90518965669953</c:v>
                </c:pt>
                <c:pt idx="355">
                  <c:v>99.883201334619429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E-5148-B03A-40C5B872DC4F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World'!$J$2:$J$358</c:f>
              <c:numCache>
                <c:formatCode>0.00</c:formatCode>
                <c:ptCount val="357"/>
                <c:pt idx="0">
                  <c:v>94.389744996025598</c:v>
                </c:pt>
                <c:pt idx="1">
                  <c:v>93.979365034824042</c:v>
                </c:pt>
                <c:pt idx="2">
                  <c:v>94.882219568041108</c:v>
                </c:pt>
                <c:pt idx="3">
                  <c:v>93.240659826291363</c:v>
                </c:pt>
                <c:pt idx="4">
                  <c:v>95.620924776573801</c:v>
                </c:pt>
                <c:pt idx="5">
                  <c:v>95.620924776573801</c:v>
                </c:pt>
                <c:pt idx="6">
                  <c:v>96.523779309790854</c:v>
                </c:pt>
                <c:pt idx="7">
                  <c:v>97.098335193639144</c:v>
                </c:pt>
                <c:pt idx="8">
                  <c:v>98.001189726856211</c:v>
                </c:pt>
                <c:pt idx="9">
                  <c:v>98.165339051540585</c:v>
                </c:pt>
                <c:pt idx="10">
                  <c:v>98.165339051540585</c:v>
                </c:pt>
                <c:pt idx="11">
                  <c:v>98.575732311723328</c:v>
                </c:pt>
                <c:pt idx="12">
                  <c:v>101.59574475159033</c:v>
                </c:pt>
                <c:pt idx="13">
                  <c:v>100.39894283738816</c:v>
                </c:pt>
                <c:pt idx="14">
                  <c:v>99.734046974395341</c:v>
                </c:pt>
                <c:pt idx="15">
                  <c:v>98.936174598600175</c:v>
                </c:pt>
                <c:pt idx="16">
                  <c:v>97.340429847009844</c:v>
                </c:pt>
                <c:pt idx="17">
                  <c:v>101.59574475159033</c:v>
                </c:pt>
                <c:pt idx="18">
                  <c:v>98.670221572995516</c:v>
                </c:pt>
                <c:pt idx="19">
                  <c:v>97.074476821405185</c:v>
                </c:pt>
                <c:pt idx="20">
                  <c:v>96.808510496819352</c:v>
                </c:pt>
                <c:pt idx="21">
                  <c:v>98.271278735607339</c:v>
                </c:pt>
                <c:pt idx="22">
                  <c:v>99.335117435988352</c:v>
                </c:pt>
                <c:pt idx="23">
                  <c:v>99.468093948790667</c:v>
                </c:pt>
                <c:pt idx="24">
                  <c:v>100.66490916197402</c:v>
                </c:pt>
                <c:pt idx="25">
                  <c:v>102.39361712738548</c:v>
                </c:pt>
                <c:pt idx="26">
                  <c:v>99.468093948790667</c:v>
                </c:pt>
                <c:pt idx="27">
                  <c:v>99.335117435988352</c:v>
                </c:pt>
                <c:pt idx="28">
                  <c:v>98.670221572995516</c:v>
                </c:pt>
                <c:pt idx="29">
                  <c:v>97.074476821405185</c:v>
                </c:pt>
                <c:pt idx="30">
                  <c:v>95.345742258031351</c:v>
                </c:pt>
                <c:pt idx="31">
                  <c:v>95.611708582617183</c:v>
                </c:pt>
                <c:pt idx="32">
                  <c:v>94.813836206822032</c:v>
                </c:pt>
                <c:pt idx="33">
                  <c:v>94.680859694019688</c:v>
                </c:pt>
                <c:pt idx="34">
                  <c:v>93.218091455231701</c:v>
                </c:pt>
                <c:pt idx="35">
                  <c:v>91.622346703641384</c:v>
                </c:pt>
                <c:pt idx="36">
                  <c:v>90.558508003260371</c:v>
                </c:pt>
                <c:pt idx="37">
                  <c:v>89.228729576255887</c:v>
                </c:pt>
                <c:pt idx="38">
                  <c:v>89.361706089058217</c:v>
                </c:pt>
                <c:pt idx="39">
                  <c:v>88.696810226065395</c:v>
                </c:pt>
                <c:pt idx="40">
                  <c:v>88.696810226065395</c:v>
                </c:pt>
                <c:pt idx="41">
                  <c:v>88.031914363072559</c:v>
                </c:pt>
                <c:pt idx="42">
                  <c:v>86.037240073075239</c:v>
                </c:pt>
                <c:pt idx="43">
                  <c:v>89.760648926446407</c:v>
                </c:pt>
                <c:pt idx="44">
                  <c:v>89.361706089058217</c:v>
                </c:pt>
                <c:pt idx="45">
                  <c:v>89.361706089058217</c:v>
                </c:pt>
                <c:pt idx="46">
                  <c:v>88.563833713263051</c:v>
                </c:pt>
                <c:pt idx="47">
                  <c:v>89.627672413644063</c:v>
                </c:pt>
                <c:pt idx="48">
                  <c:v>89.228729576255887</c:v>
                </c:pt>
                <c:pt idx="49">
                  <c:v>90.558508003260371</c:v>
                </c:pt>
                <c:pt idx="50">
                  <c:v>90.159578464853382</c:v>
                </c:pt>
                <c:pt idx="51">
                  <c:v>91.223403866253207</c:v>
                </c:pt>
                <c:pt idx="52">
                  <c:v>90.824474327846204</c:v>
                </c:pt>
                <c:pt idx="53">
                  <c:v>91.48937019083904</c:v>
                </c:pt>
                <c:pt idx="54">
                  <c:v>91.090427353450877</c:v>
                </c:pt>
                <c:pt idx="55">
                  <c:v>91.090427353450877</c:v>
                </c:pt>
                <c:pt idx="56">
                  <c:v>92.420219079436535</c:v>
                </c:pt>
                <c:pt idx="57">
                  <c:v>94.148940343829196</c:v>
                </c:pt>
                <c:pt idx="58">
                  <c:v>94.680859694019688</c:v>
                </c:pt>
                <c:pt idx="59">
                  <c:v>94.680859694019688</c:v>
                </c:pt>
                <c:pt idx="60">
                  <c:v>92.819148617843524</c:v>
                </c:pt>
                <c:pt idx="61">
                  <c:v>94.148940343829196</c:v>
                </c:pt>
                <c:pt idx="62">
                  <c:v>93.085101643448183</c:v>
                </c:pt>
                <c:pt idx="63">
                  <c:v>93.617020993638704</c:v>
                </c:pt>
                <c:pt idx="64">
                  <c:v>94.148940343829196</c:v>
                </c:pt>
                <c:pt idx="65">
                  <c:v>93.085101643448183</c:v>
                </c:pt>
                <c:pt idx="66">
                  <c:v>92.819148617843524</c:v>
                </c:pt>
                <c:pt idx="67">
                  <c:v>91.755323216443699</c:v>
                </c:pt>
                <c:pt idx="68">
                  <c:v>93.617020993638704</c:v>
                </c:pt>
                <c:pt idx="69">
                  <c:v>91.223403866253207</c:v>
                </c:pt>
                <c:pt idx="70">
                  <c:v>91.755323216443699</c:v>
                </c:pt>
                <c:pt idx="71">
                  <c:v>91.755323216443699</c:v>
                </c:pt>
                <c:pt idx="72">
                  <c:v>92.154266053831876</c:v>
                </c:pt>
                <c:pt idx="73">
                  <c:v>91.356380379055537</c:v>
                </c:pt>
                <c:pt idx="74">
                  <c:v>91.48937019083904</c:v>
                </c:pt>
                <c:pt idx="75">
                  <c:v>91.48937019083904</c:v>
                </c:pt>
                <c:pt idx="76">
                  <c:v>92.28724256663422</c:v>
                </c:pt>
                <c:pt idx="77">
                  <c:v>92.819148617843524</c:v>
                </c:pt>
                <c:pt idx="78">
                  <c:v>91.755323216443699</c:v>
                </c:pt>
                <c:pt idx="79">
                  <c:v>92.952125130645868</c:v>
                </c:pt>
                <c:pt idx="80">
                  <c:v>93.750010805422207</c:v>
                </c:pt>
                <c:pt idx="81">
                  <c:v>92.420219079436535</c:v>
                </c:pt>
                <c:pt idx="82">
                  <c:v>93.750010805422207</c:v>
                </c:pt>
                <c:pt idx="83">
                  <c:v>93.750010805422207</c:v>
                </c:pt>
                <c:pt idx="84">
                  <c:v>92.553195592238879</c:v>
                </c:pt>
                <c:pt idx="85">
                  <c:v>93.882987318224536</c:v>
                </c:pt>
                <c:pt idx="86">
                  <c:v>94.946812719624347</c:v>
                </c:pt>
                <c:pt idx="87">
                  <c:v>94.547883181217372</c:v>
                </c:pt>
                <c:pt idx="88">
                  <c:v>93.35106796803403</c:v>
                </c:pt>
                <c:pt idx="89">
                  <c:v>97.074476821405185</c:v>
                </c:pt>
                <c:pt idx="90">
                  <c:v>98.138302222805024</c:v>
                </c:pt>
                <c:pt idx="91">
                  <c:v>94.946812719624347</c:v>
                </c:pt>
                <c:pt idx="92">
                  <c:v>95.744685095419527</c:v>
                </c:pt>
                <c:pt idx="93">
                  <c:v>97.074476821405185</c:v>
                </c:pt>
                <c:pt idx="94">
                  <c:v>97.606382872614503</c:v>
                </c:pt>
                <c:pt idx="95">
                  <c:v>98.537245060193172</c:v>
                </c:pt>
                <c:pt idx="96">
                  <c:v>99.601070461593011</c:v>
                </c:pt>
                <c:pt idx="97">
                  <c:v>99.335117435988352</c:v>
                </c:pt>
                <c:pt idx="98">
                  <c:v>100.66490916197402</c:v>
                </c:pt>
                <c:pt idx="99">
                  <c:v>99.734046974395341</c:v>
                </c:pt>
                <c:pt idx="100">
                  <c:v>100.26595302560466</c:v>
                </c:pt>
                <c:pt idx="101">
                  <c:v>99.468093948790667</c:v>
                </c:pt>
                <c:pt idx="102">
                  <c:v>101.59574475159033</c:v>
                </c:pt>
                <c:pt idx="103">
                  <c:v>99.335117435988352</c:v>
                </c:pt>
                <c:pt idx="104">
                  <c:v>98.670221572995516</c:v>
                </c:pt>
                <c:pt idx="105">
                  <c:v>99.335117435988352</c:v>
                </c:pt>
                <c:pt idx="106">
                  <c:v>98.00532571000268</c:v>
                </c:pt>
                <c:pt idx="107">
                  <c:v>98.404268547390856</c:v>
                </c:pt>
                <c:pt idx="108">
                  <c:v>100</c:v>
                </c:pt>
                <c:pt idx="109">
                  <c:v>98.138302222805024</c:v>
                </c:pt>
                <c:pt idx="110">
                  <c:v>98.803198085797831</c:v>
                </c:pt>
                <c:pt idx="111">
                  <c:v>99.468093948790667</c:v>
                </c:pt>
                <c:pt idx="112">
                  <c:v>100.13297651280232</c:v>
                </c:pt>
                <c:pt idx="113">
                  <c:v>100.13297651280232</c:v>
                </c:pt>
                <c:pt idx="114">
                  <c:v>100.93086218757867</c:v>
                </c:pt>
                <c:pt idx="115">
                  <c:v>101.86171107617616</c:v>
                </c:pt>
                <c:pt idx="116">
                  <c:v>101.46276823878799</c:v>
                </c:pt>
                <c:pt idx="117">
                  <c:v>102.52659364018781</c:v>
                </c:pt>
                <c:pt idx="118">
                  <c:v>102.39361712738548</c:v>
                </c:pt>
                <c:pt idx="119">
                  <c:v>102.52659364018781</c:v>
                </c:pt>
                <c:pt idx="120">
                  <c:v>101.72872126439266</c:v>
                </c:pt>
                <c:pt idx="121">
                  <c:v>104.25532820356165</c:v>
                </c:pt>
                <c:pt idx="122">
                  <c:v>104.38830471636398</c:v>
                </c:pt>
                <c:pt idx="123">
                  <c:v>105.71809644234965</c:v>
                </c:pt>
                <c:pt idx="124">
                  <c:v>108.24469008253746</c:v>
                </c:pt>
                <c:pt idx="125">
                  <c:v>105.85107295515196</c:v>
                </c:pt>
                <c:pt idx="126">
                  <c:v>107.57979421954462</c:v>
                </c:pt>
                <c:pt idx="127">
                  <c:v>108.64361962094446</c:v>
                </c:pt>
                <c:pt idx="128">
                  <c:v>108.77659613374679</c:v>
                </c:pt>
                <c:pt idx="129">
                  <c:v>108.3776665953398</c:v>
                </c:pt>
                <c:pt idx="130">
                  <c:v>109.3085154839373</c:v>
                </c:pt>
                <c:pt idx="131">
                  <c:v>109.97341134693012</c:v>
                </c:pt>
                <c:pt idx="132">
                  <c:v>109.70745832132545</c:v>
                </c:pt>
                <c:pt idx="133">
                  <c:v>110.90426023552762</c:v>
                </c:pt>
                <c:pt idx="134">
                  <c:v>109.04254915935145</c:v>
                </c:pt>
                <c:pt idx="135">
                  <c:v>107.18085138215645</c:v>
                </c:pt>
                <c:pt idx="136">
                  <c:v>108.3776665953398</c:v>
                </c:pt>
                <c:pt idx="137">
                  <c:v>108.90957264654912</c:v>
                </c:pt>
                <c:pt idx="138">
                  <c:v>105.5851199295473</c:v>
                </c:pt>
                <c:pt idx="139">
                  <c:v>108.51064310814212</c:v>
                </c:pt>
                <c:pt idx="140">
                  <c:v>107.04787486935413</c:v>
                </c:pt>
                <c:pt idx="141">
                  <c:v>105.18617709215916</c:v>
                </c:pt>
                <c:pt idx="142">
                  <c:v>103.85638536617348</c:v>
                </c:pt>
                <c:pt idx="143">
                  <c:v>104.52128122916632</c:v>
                </c:pt>
                <c:pt idx="144">
                  <c:v>105.05320057935681</c:v>
                </c:pt>
                <c:pt idx="145">
                  <c:v>105.31915360496147</c:v>
                </c:pt>
                <c:pt idx="146">
                  <c:v>105.5851199295473</c:v>
                </c:pt>
                <c:pt idx="147">
                  <c:v>105.71809644234965</c:v>
                </c:pt>
                <c:pt idx="148">
                  <c:v>104.65425774196864</c:v>
                </c:pt>
                <c:pt idx="149">
                  <c:v>107.57979421954462</c:v>
                </c:pt>
                <c:pt idx="150">
                  <c:v>105.5851199295473</c:v>
                </c:pt>
                <c:pt idx="151">
                  <c:v>108.11171356973513</c:v>
                </c:pt>
                <c:pt idx="152">
                  <c:v>106.64893203196596</c:v>
                </c:pt>
                <c:pt idx="153">
                  <c:v>105.85107295515196</c:v>
                </c:pt>
                <c:pt idx="154">
                  <c:v>107.71277073234697</c:v>
                </c:pt>
                <c:pt idx="155">
                  <c:v>105.85107295515196</c:v>
                </c:pt>
                <c:pt idx="156">
                  <c:v>106.64893203196596</c:v>
                </c:pt>
                <c:pt idx="157">
                  <c:v>106.64893203196596</c:v>
                </c:pt>
                <c:pt idx="158">
                  <c:v>106.3829790063613</c:v>
                </c:pt>
                <c:pt idx="159">
                  <c:v>106.11702598075664</c:v>
                </c:pt>
                <c:pt idx="160">
                  <c:v>105.18617709215916</c:v>
                </c:pt>
                <c:pt idx="161">
                  <c:v>104.65425774196864</c:v>
                </c:pt>
                <c:pt idx="162">
                  <c:v>107.18085138215645</c:v>
                </c:pt>
                <c:pt idx="163">
                  <c:v>104.52128122916632</c:v>
                </c:pt>
                <c:pt idx="164">
                  <c:v>104.25532820356165</c:v>
                </c:pt>
                <c:pt idx="165">
                  <c:v>107.44681770674231</c:v>
                </c:pt>
                <c:pt idx="166">
                  <c:v>108.51064310814212</c:v>
                </c:pt>
                <c:pt idx="167">
                  <c:v>109.04254915935145</c:v>
                </c:pt>
                <c:pt idx="168">
                  <c:v>108.11171356973513</c:v>
                </c:pt>
                <c:pt idx="169">
                  <c:v>108.64361962094446</c:v>
                </c:pt>
                <c:pt idx="170">
                  <c:v>107.9787370569328</c:v>
                </c:pt>
                <c:pt idx="171">
                  <c:v>109.57448180852313</c:v>
                </c:pt>
                <c:pt idx="172">
                  <c:v>110.77128372272529</c:v>
                </c:pt>
                <c:pt idx="173">
                  <c:v>109.97341134693012</c:v>
                </c:pt>
                <c:pt idx="174">
                  <c:v>111.30318977393461</c:v>
                </c:pt>
                <c:pt idx="175">
                  <c:v>110.23936437253478</c:v>
                </c:pt>
                <c:pt idx="176">
                  <c:v>109.97341134693012</c:v>
                </c:pt>
                <c:pt idx="177">
                  <c:v>111.30318977393461</c:v>
                </c:pt>
                <c:pt idx="178">
                  <c:v>109.44149199673961</c:v>
                </c:pt>
                <c:pt idx="179">
                  <c:v>108.90957264654912</c:v>
                </c:pt>
                <c:pt idx="180">
                  <c:v>112.23405196151329</c:v>
                </c:pt>
                <c:pt idx="181">
                  <c:v>110.50533069712063</c:v>
                </c:pt>
                <c:pt idx="182">
                  <c:v>111.96809893590861</c:v>
                </c:pt>
                <c:pt idx="183">
                  <c:v>112.76595801272259</c:v>
                </c:pt>
                <c:pt idx="184">
                  <c:v>111.30318977393461</c:v>
                </c:pt>
                <c:pt idx="185">
                  <c:v>113.69680690132009</c:v>
                </c:pt>
                <c:pt idx="186">
                  <c:v>115.42554146469394</c:v>
                </c:pt>
                <c:pt idx="187">
                  <c:v>112.10107544871094</c:v>
                </c:pt>
                <c:pt idx="188">
                  <c:v>115.29255165291042</c:v>
                </c:pt>
                <c:pt idx="189">
                  <c:v>117.55319226749357</c:v>
                </c:pt>
                <c:pt idx="190">
                  <c:v>116.22341384048909</c:v>
                </c:pt>
                <c:pt idx="191">
                  <c:v>115.95744751590325</c:v>
                </c:pt>
                <c:pt idx="192">
                  <c:v>116.62235667787726</c:v>
                </c:pt>
                <c:pt idx="193">
                  <c:v>117.28723924188891</c:v>
                </c:pt>
                <c:pt idx="194">
                  <c:v>116.22341384048909</c:v>
                </c:pt>
                <c:pt idx="195">
                  <c:v>118.88298399347924</c:v>
                </c:pt>
                <c:pt idx="196">
                  <c:v>120.6117052578719</c:v>
                </c:pt>
                <c:pt idx="197">
                  <c:v>119.94680939487907</c:v>
                </c:pt>
                <c:pt idx="198">
                  <c:v>122.07447349665989</c:v>
                </c:pt>
                <c:pt idx="199">
                  <c:v>122.87234587245506</c:v>
                </c:pt>
                <c:pt idx="200">
                  <c:v>122.73936935965273</c:v>
                </c:pt>
                <c:pt idx="201">
                  <c:v>122.47340303506688</c:v>
                </c:pt>
                <c:pt idx="202">
                  <c:v>124.6010671368477</c:v>
                </c:pt>
                <c:pt idx="203">
                  <c:v>125.79788235003105</c:v>
                </c:pt>
                <c:pt idx="204">
                  <c:v>126.46277821302387</c:v>
                </c:pt>
                <c:pt idx="205">
                  <c:v>126.9946842642332</c:v>
                </c:pt>
                <c:pt idx="206">
                  <c:v>127.65958012722604</c:v>
                </c:pt>
                <c:pt idx="207">
                  <c:v>126.46277821302387</c:v>
                </c:pt>
                <c:pt idx="208">
                  <c:v>128.72340552862585</c:v>
                </c:pt>
                <c:pt idx="209">
                  <c:v>128.59042901582353</c:v>
                </c:pt>
                <c:pt idx="210">
                  <c:v>129.52127790442103</c:v>
                </c:pt>
                <c:pt idx="211">
                  <c:v>129.9202207418092</c:v>
                </c:pt>
                <c:pt idx="212">
                  <c:v>131.24999916881367</c:v>
                </c:pt>
                <c:pt idx="213">
                  <c:v>131.38298898059719</c:v>
                </c:pt>
                <c:pt idx="214">
                  <c:v>131.11702265601133</c:v>
                </c:pt>
                <c:pt idx="215">
                  <c:v>132.446814381997</c:v>
                </c:pt>
                <c:pt idx="216">
                  <c:v>134.44152856893785</c:v>
                </c:pt>
                <c:pt idx="217">
                  <c:v>134.04255913358733</c:v>
                </c:pt>
                <c:pt idx="218">
                  <c:v>133.11176344091456</c:v>
                </c:pt>
                <c:pt idx="219">
                  <c:v>133.3776100746698</c:v>
                </c:pt>
                <c:pt idx="220">
                  <c:v>130.71809311760435</c:v>
                </c:pt>
                <c:pt idx="221">
                  <c:v>132.18086135639237</c:v>
                </c:pt>
                <c:pt idx="222">
                  <c:v>129.9202207418092</c:v>
                </c:pt>
                <c:pt idx="223">
                  <c:v>132.57980419378052</c:v>
                </c:pt>
                <c:pt idx="224">
                  <c:v>129.52127790442103</c:v>
                </c:pt>
                <c:pt idx="225">
                  <c:v>126.72873123862854</c:v>
                </c:pt>
                <c:pt idx="226">
                  <c:v>121.1436246080624</c:v>
                </c:pt>
                <c:pt idx="227">
                  <c:v>116.62235667787726</c:v>
                </c:pt>
                <c:pt idx="228">
                  <c:v>107.31384119393998</c:v>
                </c:pt>
                <c:pt idx="229">
                  <c:v>103.9893618789758</c:v>
                </c:pt>
                <c:pt idx="230">
                  <c:v>104.38830471636398</c:v>
                </c:pt>
                <c:pt idx="231">
                  <c:v>101.32979172598567</c:v>
                </c:pt>
                <c:pt idx="232">
                  <c:v>105.98404946795431</c:v>
                </c:pt>
                <c:pt idx="233">
                  <c:v>106.78192184374947</c:v>
                </c:pt>
                <c:pt idx="234">
                  <c:v>105.71809644234965</c:v>
                </c:pt>
                <c:pt idx="235">
                  <c:v>107.04787486935413</c:v>
                </c:pt>
                <c:pt idx="236">
                  <c:v>111.83510912412511</c:v>
                </c:pt>
                <c:pt idx="237">
                  <c:v>109.44149199673961</c:v>
                </c:pt>
                <c:pt idx="238">
                  <c:v>110.77128372272529</c:v>
                </c:pt>
                <c:pt idx="239">
                  <c:v>110.77128372272529</c:v>
                </c:pt>
                <c:pt idx="240">
                  <c:v>111.83510912412511</c:v>
                </c:pt>
                <c:pt idx="241">
                  <c:v>110.77128372272529</c:v>
                </c:pt>
                <c:pt idx="242">
                  <c:v>114.49469257609644</c:v>
                </c:pt>
                <c:pt idx="243">
                  <c:v>116.62235667787726</c:v>
                </c:pt>
                <c:pt idx="244">
                  <c:v>120.21276242048373</c:v>
                </c:pt>
                <c:pt idx="245">
                  <c:v>119.81383288207672</c:v>
                </c:pt>
                <c:pt idx="246">
                  <c:v>119.01597380526275</c:v>
                </c:pt>
                <c:pt idx="247">
                  <c:v>121.01064809526007</c:v>
                </c:pt>
                <c:pt idx="248">
                  <c:v>122.87234587245506</c:v>
                </c:pt>
                <c:pt idx="249">
                  <c:v>125.53192932442639</c:v>
                </c:pt>
                <c:pt idx="250">
                  <c:v>124.86702016245236</c:v>
                </c:pt>
                <c:pt idx="251">
                  <c:v>126.86170775143086</c:v>
                </c:pt>
                <c:pt idx="252">
                  <c:v>126.59575472582621</c:v>
                </c:pt>
                <c:pt idx="253">
                  <c:v>128.05852296461421</c:v>
                </c:pt>
                <c:pt idx="254">
                  <c:v>128.85638204142819</c:v>
                </c:pt>
                <c:pt idx="255">
                  <c:v>129.65425441722334</c:v>
                </c:pt>
                <c:pt idx="256">
                  <c:v>131.24999916881367</c:v>
                </c:pt>
                <c:pt idx="257">
                  <c:v>129.12234836601402</c:v>
                </c:pt>
                <c:pt idx="258">
                  <c:v>133.11176344091456</c:v>
                </c:pt>
                <c:pt idx="259">
                  <c:v>132.04788484359</c:v>
                </c:pt>
                <c:pt idx="260">
                  <c:v>130.05319725461152</c:v>
                </c:pt>
                <c:pt idx="261">
                  <c:v>131.51596549339951</c:v>
                </c:pt>
                <c:pt idx="262">
                  <c:v>130.58511660480201</c:v>
                </c:pt>
                <c:pt idx="263">
                  <c:v>128.72340552862585</c:v>
                </c:pt>
                <c:pt idx="264">
                  <c:v>129.38830139161868</c:v>
                </c:pt>
                <c:pt idx="265">
                  <c:v>129.25532487881637</c:v>
                </c:pt>
                <c:pt idx="266">
                  <c:v>130.8510696304067</c:v>
                </c:pt>
                <c:pt idx="267">
                  <c:v>128.45745250302119</c:v>
                </c:pt>
                <c:pt idx="268">
                  <c:v>130.98404614320901</c:v>
                </c:pt>
                <c:pt idx="269">
                  <c:v>129.38830139161868</c:v>
                </c:pt>
                <c:pt idx="270">
                  <c:v>130.8510696304067</c:v>
                </c:pt>
                <c:pt idx="271">
                  <c:v>130.8510696304067</c:v>
                </c:pt>
                <c:pt idx="272">
                  <c:v>129.12234836601402</c:v>
                </c:pt>
                <c:pt idx="273">
                  <c:v>127.39362710162136</c:v>
                </c:pt>
                <c:pt idx="274">
                  <c:v>126.46277821302387</c:v>
                </c:pt>
                <c:pt idx="275">
                  <c:v>127.52660361442369</c:v>
                </c:pt>
                <c:pt idx="276">
                  <c:v>125.93085886283338</c:v>
                </c:pt>
                <c:pt idx="277">
                  <c:v>126.9946842642332</c:v>
                </c:pt>
                <c:pt idx="278">
                  <c:v>128.72340552862585</c:v>
                </c:pt>
                <c:pt idx="279">
                  <c:v>129.12234836601402</c:v>
                </c:pt>
                <c:pt idx="280">
                  <c:v>128.32447599021887</c:v>
                </c:pt>
                <c:pt idx="281">
                  <c:v>130.58511660480201</c:v>
                </c:pt>
                <c:pt idx="282">
                  <c:v>128.32447599021887</c:v>
                </c:pt>
                <c:pt idx="283">
                  <c:v>131.24999916881367</c:v>
                </c:pt>
                <c:pt idx="284">
                  <c:v>130.58511660480201</c:v>
                </c:pt>
                <c:pt idx="285">
                  <c:v>129.65425441722334</c:v>
                </c:pt>
                <c:pt idx="286">
                  <c:v>132.57980419378052</c:v>
                </c:pt>
                <c:pt idx="287">
                  <c:v>132.71278070658286</c:v>
                </c:pt>
                <c:pt idx="288">
                  <c:v>132.04788484359</c:v>
                </c:pt>
                <c:pt idx="289">
                  <c:v>132.18086135639237</c:v>
                </c:pt>
                <c:pt idx="290">
                  <c:v>132.71278070658286</c:v>
                </c:pt>
                <c:pt idx="291">
                  <c:v>132.18086135639237</c:v>
                </c:pt>
                <c:pt idx="292">
                  <c:v>131.24999916881367</c:v>
                </c:pt>
                <c:pt idx="293">
                  <c:v>131.38298898059719</c:v>
                </c:pt>
                <c:pt idx="294">
                  <c:v>134.17554894537085</c:v>
                </c:pt>
                <c:pt idx="295">
                  <c:v>128.59042901582353</c:v>
                </c:pt>
                <c:pt idx="296">
                  <c:v>131.78191851900417</c:v>
                </c:pt>
                <c:pt idx="297">
                  <c:v>132.04788484359</c:v>
                </c:pt>
                <c:pt idx="298">
                  <c:v>132.18086135639237</c:v>
                </c:pt>
                <c:pt idx="299">
                  <c:v>134.44152856893785</c:v>
                </c:pt>
                <c:pt idx="300">
                  <c:v>131.51596549339951</c:v>
                </c:pt>
                <c:pt idx="301">
                  <c:v>132.18086135639237</c:v>
                </c:pt>
                <c:pt idx="302">
                  <c:v>132.18086135639237</c:v>
                </c:pt>
                <c:pt idx="303">
                  <c:v>132.97873373218749</c:v>
                </c:pt>
                <c:pt idx="304">
                  <c:v>133.11176344091456</c:v>
                </c:pt>
                <c:pt idx="305">
                  <c:v>132.97873373218749</c:v>
                </c:pt>
                <c:pt idx="306">
                  <c:v>134.84036501447659</c:v>
                </c:pt>
                <c:pt idx="307">
                  <c:v>131.24999916881367</c:v>
                </c:pt>
                <c:pt idx="308">
                  <c:v>132.04788484359</c:v>
                </c:pt>
                <c:pt idx="309">
                  <c:v>133.24475325269805</c:v>
                </c:pt>
                <c:pt idx="310">
                  <c:v>132.04788484359</c:v>
                </c:pt>
                <c:pt idx="311">
                  <c:v>133.11176344091456</c:v>
                </c:pt>
                <c:pt idx="312">
                  <c:v>135.63830388517766</c:v>
                </c:pt>
                <c:pt idx="313">
                  <c:v>135.23933444982714</c:v>
                </c:pt>
                <c:pt idx="314">
                  <c:v>133.64358969823681</c:v>
                </c:pt>
                <c:pt idx="315">
                  <c:v>134.57451838072137</c:v>
                </c:pt>
                <c:pt idx="316">
                  <c:v>132.04788484359</c:v>
                </c:pt>
                <c:pt idx="317">
                  <c:v>134.97335482626011</c:v>
                </c:pt>
                <c:pt idx="318">
                  <c:v>132.97873373218749</c:v>
                </c:pt>
                <c:pt idx="319">
                  <c:v>135.10634463804362</c:v>
                </c:pt>
                <c:pt idx="320">
                  <c:v>134.97335482626011</c:v>
                </c:pt>
                <c:pt idx="321">
                  <c:v>135.9042835087447</c:v>
                </c:pt>
                <c:pt idx="322">
                  <c:v>135.50531407339415</c:v>
                </c:pt>
                <c:pt idx="323">
                  <c:v>133.3776100746698</c:v>
                </c:pt>
                <c:pt idx="324">
                  <c:v>135.37232426161063</c:v>
                </c:pt>
                <c:pt idx="325">
                  <c:v>136.70208938963395</c:v>
                </c:pt>
                <c:pt idx="326">
                  <c:v>136.03727332052819</c:v>
                </c:pt>
                <c:pt idx="327">
                  <c:v>137.76600788390201</c:v>
                </c:pt>
                <c:pt idx="328">
                  <c:v>138.29783414122426</c:v>
                </c:pt>
                <c:pt idx="329">
                  <c:v>138.16484432944077</c:v>
                </c:pt>
                <c:pt idx="330">
                  <c:v>139.22876282370885</c:v>
                </c:pt>
                <c:pt idx="331">
                  <c:v>142.02128289153896</c:v>
                </c:pt>
                <c:pt idx="332">
                  <c:v>141.09048719886619</c:v>
                </c:pt>
                <c:pt idx="333">
                  <c:v>138.82979338835833</c:v>
                </c:pt>
                <c:pt idx="334">
                  <c:v>144.41496651383034</c:v>
                </c:pt>
                <c:pt idx="335">
                  <c:v>143.8830072666963</c:v>
                </c:pt>
                <c:pt idx="336">
                  <c:v>142.68623195045649</c:v>
                </c:pt>
                <c:pt idx="337">
                  <c:v>140.02656870459811</c:v>
                </c:pt>
                <c:pt idx="338">
                  <c:v>141.75530326797195</c:v>
                </c:pt>
                <c:pt idx="339">
                  <c:v>141.09048719886619</c:v>
                </c:pt>
                <c:pt idx="340">
                  <c:v>143.35104801956226</c:v>
                </c:pt>
                <c:pt idx="341">
                  <c:v>142.95207858421173</c:v>
                </c:pt>
                <c:pt idx="342">
                  <c:v>140.29254832816514</c:v>
                </c:pt>
                <c:pt idx="343">
                  <c:v>140.42553813994863</c:v>
                </c:pt>
                <c:pt idx="344">
                  <c:v>140.55852795173215</c:v>
                </c:pt>
                <c:pt idx="345">
                  <c:v>140.29254832816514</c:v>
                </c:pt>
                <c:pt idx="346">
                  <c:v>138.03198750746901</c:v>
                </c:pt>
                <c:pt idx="347">
                  <c:v>139.49474244727585</c:v>
                </c:pt>
                <c:pt idx="348">
                  <c:v>138.03198750746901</c:v>
                </c:pt>
                <c:pt idx="349">
                  <c:v>137.89899769568552</c:v>
                </c:pt>
                <c:pt idx="350">
                  <c:v>138.96278320014181</c:v>
                </c:pt>
                <c:pt idx="351">
                  <c:v>135.37232426161063</c:v>
                </c:pt>
                <c:pt idx="352">
                  <c:v>136.56909957785044</c:v>
                </c:pt>
                <c:pt idx="353">
                  <c:v>134.97335482626011</c:v>
                </c:pt>
                <c:pt idx="354">
                  <c:v>134.70750819250489</c:v>
                </c:pt>
                <c:pt idx="355">
                  <c:v>134.97335482626011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E-5148-B03A-40C5B872DC4F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World'!$K$2:$K$358</c:f>
              <c:numCache>
                <c:formatCode>0.00</c:formatCode>
                <c:ptCount val="357"/>
                <c:pt idx="0">
                  <c:v>84.991422731739931</c:v>
                </c:pt>
                <c:pt idx="1">
                  <c:v>82.865464473603325</c:v>
                </c:pt>
                <c:pt idx="2">
                  <c:v>83.729212651407522</c:v>
                </c:pt>
                <c:pt idx="3">
                  <c:v>84.867879751499231</c:v>
                </c:pt>
                <c:pt idx="4">
                  <c:v>83.972635271984032</c:v>
                </c:pt>
                <c:pt idx="5">
                  <c:v>86.167060089722341</c:v>
                </c:pt>
                <c:pt idx="6">
                  <c:v>83.599092502280115</c:v>
                </c:pt>
                <c:pt idx="7">
                  <c:v>82.511408987899188</c:v>
                </c:pt>
                <c:pt idx="8">
                  <c:v>85.379905191078961</c:v>
                </c:pt>
                <c:pt idx="9">
                  <c:v>81.965605027955064</c:v>
                </c:pt>
                <c:pt idx="10">
                  <c:v>84.622562299937428</c:v>
                </c:pt>
                <c:pt idx="11">
                  <c:v>84.20965757456581</c:v>
                </c:pt>
                <c:pt idx="12">
                  <c:v>84.296314511626264</c:v>
                </c:pt>
                <c:pt idx="13">
                  <c:v>82.957300615356885</c:v>
                </c:pt>
                <c:pt idx="14">
                  <c:v>80.069746623200643</c:v>
                </c:pt>
                <c:pt idx="15">
                  <c:v>86.043011821218911</c:v>
                </c:pt>
                <c:pt idx="16">
                  <c:v>81.806885563156399</c:v>
                </c:pt>
                <c:pt idx="17">
                  <c:v>84.371265603933168</c:v>
                </c:pt>
                <c:pt idx="18">
                  <c:v>82.305832458202133</c:v>
                </c:pt>
                <c:pt idx="19">
                  <c:v>82.114858759298357</c:v>
                </c:pt>
                <c:pt idx="20">
                  <c:v>84.16879659705198</c:v>
                </c:pt>
                <c:pt idx="21">
                  <c:v>84.673933273316308</c:v>
                </c:pt>
                <c:pt idx="22">
                  <c:v>84.426763098124454</c:v>
                </c:pt>
                <c:pt idx="23">
                  <c:v>85.274636803007468</c:v>
                </c:pt>
                <c:pt idx="24">
                  <c:v>83.954562795119926</c:v>
                </c:pt>
                <c:pt idx="25">
                  <c:v>84.126352382981551</c:v>
                </c:pt>
                <c:pt idx="26">
                  <c:v>83.002928145482599</c:v>
                </c:pt>
                <c:pt idx="27">
                  <c:v>83.057667707279776</c:v>
                </c:pt>
                <c:pt idx="28">
                  <c:v>82.333421197347917</c:v>
                </c:pt>
                <c:pt idx="29">
                  <c:v>81.295053817410718</c:v>
                </c:pt>
                <c:pt idx="30">
                  <c:v>80.500066950694816</c:v>
                </c:pt>
                <c:pt idx="31">
                  <c:v>80.168260991493469</c:v>
                </c:pt>
                <c:pt idx="32">
                  <c:v>79.59054807775712</c:v>
                </c:pt>
                <c:pt idx="33">
                  <c:v>79.252847088823785</c:v>
                </c:pt>
                <c:pt idx="34">
                  <c:v>77.656969904188927</c:v>
                </c:pt>
                <c:pt idx="35">
                  <c:v>76.363440373037491</c:v>
                </c:pt>
                <c:pt idx="36">
                  <c:v>77.816144128424057</c:v>
                </c:pt>
                <c:pt idx="37">
                  <c:v>76.481340967677554</c:v>
                </c:pt>
                <c:pt idx="38">
                  <c:v>76.484709556095837</c:v>
                </c:pt>
                <c:pt idx="39">
                  <c:v>76.276690799795531</c:v>
                </c:pt>
                <c:pt idx="40">
                  <c:v>76.745766737042089</c:v>
                </c:pt>
                <c:pt idx="41">
                  <c:v>76.32637747896527</c:v>
                </c:pt>
                <c:pt idx="42">
                  <c:v>77.094415638334866</c:v>
                </c:pt>
                <c:pt idx="43">
                  <c:v>75.658554825039715</c:v>
                </c:pt>
                <c:pt idx="44">
                  <c:v>77.99804790301161</c:v>
                </c:pt>
                <c:pt idx="45">
                  <c:v>78.563128610179362</c:v>
                </c:pt>
                <c:pt idx="46">
                  <c:v>78.856195802570397</c:v>
                </c:pt>
                <c:pt idx="47">
                  <c:v>79.071785461340809</c:v>
                </c:pt>
                <c:pt idx="48">
                  <c:v>78.714715089002311</c:v>
                </c:pt>
                <c:pt idx="49">
                  <c:v>81.168731751724934</c:v>
                </c:pt>
                <c:pt idx="50">
                  <c:v>81.087885629686028</c:v>
                </c:pt>
                <c:pt idx="51">
                  <c:v>82.321631137883912</c:v>
                </c:pt>
                <c:pt idx="52">
                  <c:v>81.577173097442312</c:v>
                </c:pt>
                <c:pt idx="53">
                  <c:v>82.964189378672287</c:v>
                </c:pt>
                <c:pt idx="54">
                  <c:v>84.253533438714001</c:v>
                </c:pt>
                <c:pt idx="55">
                  <c:v>84.257744174236876</c:v>
                </c:pt>
                <c:pt idx="56">
                  <c:v>84.288061470001466</c:v>
                </c:pt>
                <c:pt idx="57">
                  <c:v>85.003886508887604</c:v>
                </c:pt>
                <c:pt idx="58">
                  <c:v>86.242684899712913</c:v>
                </c:pt>
                <c:pt idx="59">
                  <c:v>88.743019653186977</c:v>
                </c:pt>
                <c:pt idx="60">
                  <c:v>88.282365186986127</c:v>
                </c:pt>
                <c:pt idx="61">
                  <c:v>87.276841544127237</c:v>
                </c:pt>
                <c:pt idx="62">
                  <c:v>87.231365600480359</c:v>
                </c:pt>
                <c:pt idx="63">
                  <c:v>87.632227622256593</c:v>
                </c:pt>
                <c:pt idx="64">
                  <c:v>88.444057431063939</c:v>
                </c:pt>
                <c:pt idx="65">
                  <c:v>87.734969569014368</c:v>
                </c:pt>
                <c:pt idx="66">
                  <c:v>87.153045919755158</c:v>
                </c:pt>
                <c:pt idx="67">
                  <c:v>87.041040354847098</c:v>
                </c:pt>
                <c:pt idx="68">
                  <c:v>87.59180456123714</c:v>
                </c:pt>
                <c:pt idx="69">
                  <c:v>86.396797819849567</c:v>
                </c:pt>
                <c:pt idx="70">
                  <c:v>87.147993037127733</c:v>
                </c:pt>
                <c:pt idx="71">
                  <c:v>88.260469362267258</c:v>
                </c:pt>
                <c:pt idx="72">
                  <c:v>84.751242377516022</c:v>
                </c:pt>
                <c:pt idx="73">
                  <c:v>85.066205394625911</c:v>
                </c:pt>
                <c:pt idx="74">
                  <c:v>85.805610552440072</c:v>
                </c:pt>
                <c:pt idx="75">
                  <c:v>84.537337012954751</c:v>
                </c:pt>
                <c:pt idx="76">
                  <c:v>85.912563234720707</c:v>
                </c:pt>
                <c:pt idx="77">
                  <c:v>87.210311922866069</c:v>
                </c:pt>
                <c:pt idx="78">
                  <c:v>85.78287258061664</c:v>
                </c:pt>
                <c:pt idx="79">
                  <c:v>86.559332211031958</c:v>
                </c:pt>
                <c:pt idx="80">
                  <c:v>86.908823259429312</c:v>
                </c:pt>
                <c:pt idx="81">
                  <c:v>87.052830414311103</c:v>
                </c:pt>
                <c:pt idx="82">
                  <c:v>88.229309919398105</c:v>
                </c:pt>
                <c:pt idx="83">
                  <c:v>86.924824054416177</c:v>
                </c:pt>
                <c:pt idx="84">
                  <c:v>89.347681274269632</c:v>
                </c:pt>
                <c:pt idx="85">
                  <c:v>88.307629600123292</c:v>
                </c:pt>
                <c:pt idx="86">
                  <c:v>92.226140077696485</c:v>
                </c:pt>
                <c:pt idx="87">
                  <c:v>91.728431138894479</c:v>
                </c:pt>
                <c:pt idx="88">
                  <c:v>90.670694375552131</c:v>
                </c:pt>
                <c:pt idx="89">
                  <c:v>91.837910262488833</c:v>
                </c:pt>
                <c:pt idx="90">
                  <c:v>92.959650205778644</c:v>
                </c:pt>
                <c:pt idx="91">
                  <c:v>94.391300283550933</c:v>
                </c:pt>
                <c:pt idx="92">
                  <c:v>93.945804465232371</c:v>
                </c:pt>
                <c:pt idx="93">
                  <c:v>95.065017967208476</c:v>
                </c:pt>
                <c:pt idx="94">
                  <c:v>94.145393329015931</c:v>
                </c:pt>
                <c:pt idx="95">
                  <c:v>93.943278023918651</c:v>
                </c:pt>
                <c:pt idx="96">
                  <c:v>95.534093904455048</c:v>
                </c:pt>
                <c:pt idx="97">
                  <c:v>97.962846154040491</c:v>
                </c:pt>
                <c:pt idx="98">
                  <c:v>96.258340414386907</c:v>
                </c:pt>
                <c:pt idx="99">
                  <c:v>97.007009190351354</c:v>
                </c:pt>
                <c:pt idx="100">
                  <c:v>97.679884726904319</c:v>
                </c:pt>
                <c:pt idx="101">
                  <c:v>97.335446561134404</c:v>
                </c:pt>
                <c:pt idx="102">
                  <c:v>97.252916144886356</c:v>
                </c:pt>
                <c:pt idx="103">
                  <c:v>97.190597259148035</c:v>
                </c:pt>
                <c:pt idx="104">
                  <c:v>97.461768626820188</c:v>
                </c:pt>
                <c:pt idx="105">
                  <c:v>98.758675167860972</c:v>
                </c:pt>
                <c:pt idx="106">
                  <c:v>97.84915629492329</c:v>
                </c:pt>
                <c:pt idx="107">
                  <c:v>98.660143956626044</c:v>
                </c:pt>
                <c:pt idx="108">
                  <c:v>100</c:v>
                </c:pt>
                <c:pt idx="109">
                  <c:v>97.946003211949048</c:v>
                </c:pt>
                <c:pt idx="110">
                  <c:v>96.768681559757496</c:v>
                </c:pt>
                <c:pt idx="111">
                  <c:v>99.094691862585165</c:v>
                </c:pt>
                <c:pt idx="112">
                  <c:v>98.423500620241342</c:v>
                </c:pt>
                <c:pt idx="113">
                  <c:v>99.427339968891076</c:v>
                </c:pt>
                <c:pt idx="114">
                  <c:v>101.15121509194982</c:v>
                </c:pt>
                <c:pt idx="115">
                  <c:v>99.660614716857509</c:v>
                </c:pt>
                <c:pt idx="116">
                  <c:v>101.00468149575431</c:v>
                </c:pt>
                <c:pt idx="117">
                  <c:v>101.53186558321634</c:v>
                </c:pt>
                <c:pt idx="118">
                  <c:v>101.97146637180289</c:v>
                </c:pt>
                <c:pt idx="119">
                  <c:v>102.7992969755971</c:v>
                </c:pt>
                <c:pt idx="120">
                  <c:v>103.04688822434125</c:v>
                </c:pt>
                <c:pt idx="121">
                  <c:v>103.34332400515058</c:v>
                </c:pt>
                <c:pt idx="122">
                  <c:v>104.58801742570787</c:v>
                </c:pt>
                <c:pt idx="123">
                  <c:v>104.09115063401043</c:v>
                </c:pt>
                <c:pt idx="124">
                  <c:v>105.12446513132021</c:v>
                </c:pt>
                <c:pt idx="125">
                  <c:v>104.09030848690587</c:v>
                </c:pt>
                <c:pt idx="126">
                  <c:v>104.83224008603375</c:v>
                </c:pt>
                <c:pt idx="127">
                  <c:v>104.25284287808826</c:v>
                </c:pt>
                <c:pt idx="128">
                  <c:v>104.27389655570256</c:v>
                </c:pt>
                <c:pt idx="129">
                  <c:v>102.55254787395752</c:v>
                </c:pt>
                <c:pt idx="130">
                  <c:v>105.77797128446802</c:v>
                </c:pt>
                <c:pt idx="131">
                  <c:v>106.77254701496749</c:v>
                </c:pt>
                <c:pt idx="132">
                  <c:v>103.45111883453578</c:v>
                </c:pt>
                <c:pt idx="133">
                  <c:v>103.96651286253379</c:v>
                </c:pt>
                <c:pt idx="134">
                  <c:v>103.5673351349667</c:v>
                </c:pt>
                <c:pt idx="135">
                  <c:v>101.8838830729274</c:v>
                </c:pt>
                <c:pt idx="136">
                  <c:v>104.08862419269674</c:v>
                </c:pt>
                <c:pt idx="137">
                  <c:v>104.09704566374245</c:v>
                </c:pt>
                <c:pt idx="138">
                  <c:v>101.84009142348967</c:v>
                </c:pt>
                <c:pt idx="139">
                  <c:v>105.75354901843544</c:v>
                </c:pt>
                <c:pt idx="140">
                  <c:v>103.49996336660094</c:v>
                </c:pt>
                <c:pt idx="141">
                  <c:v>102.56181149210782</c:v>
                </c:pt>
                <c:pt idx="142">
                  <c:v>101.01815584942747</c:v>
                </c:pt>
                <c:pt idx="143">
                  <c:v>100.89267593084625</c:v>
                </c:pt>
                <c:pt idx="144">
                  <c:v>102.28390294759909</c:v>
                </c:pt>
                <c:pt idx="145">
                  <c:v>102.57528584578097</c:v>
                </c:pt>
                <c:pt idx="146">
                  <c:v>102.06073396488752</c:v>
                </c:pt>
                <c:pt idx="147">
                  <c:v>103.35258762330086</c:v>
                </c:pt>
                <c:pt idx="148">
                  <c:v>102.30327233100424</c:v>
                </c:pt>
                <c:pt idx="149">
                  <c:v>102.08936696644297</c:v>
                </c:pt>
                <c:pt idx="150">
                  <c:v>102.92982977680575</c:v>
                </c:pt>
                <c:pt idx="151">
                  <c:v>103.37616774222887</c:v>
                </c:pt>
                <c:pt idx="152">
                  <c:v>103.52017489711068</c:v>
                </c:pt>
                <c:pt idx="153">
                  <c:v>104.44822100634894</c:v>
                </c:pt>
                <c:pt idx="154">
                  <c:v>103.97830292199781</c:v>
                </c:pt>
                <c:pt idx="155">
                  <c:v>103.17657887844533</c:v>
                </c:pt>
                <c:pt idx="156">
                  <c:v>104.27389655570256</c:v>
                </c:pt>
                <c:pt idx="157">
                  <c:v>104.57370092493017</c:v>
                </c:pt>
                <c:pt idx="158">
                  <c:v>103.96145997990637</c:v>
                </c:pt>
                <c:pt idx="159">
                  <c:v>104.53159356970157</c:v>
                </c:pt>
                <c:pt idx="160">
                  <c:v>103.45532957005864</c:v>
                </c:pt>
                <c:pt idx="161">
                  <c:v>103.7534496450771</c:v>
                </c:pt>
                <c:pt idx="162">
                  <c:v>104.47853830211353</c:v>
                </c:pt>
                <c:pt idx="163">
                  <c:v>104.25284287808826</c:v>
                </c:pt>
                <c:pt idx="164">
                  <c:v>103.46796177662722</c:v>
                </c:pt>
                <c:pt idx="165">
                  <c:v>105.69291442690626</c:v>
                </c:pt>
                <c:pt idx="166">
                  <c:v>104.75981543504057</c:v>
                </c:pt>
                <c:pt idx="167">
                  <c:v>104.18631325682708</c:v>
                </c:pt>
                <c:pt idx="168">
                  <c:v>104.24947428966996</c:v>
                </c:pt>
                <c:pt idx="169">
                  <c:v>104.79602776053714</c:v>
                </c:pt>
                <c:pt idx="170">
                  <c:v>106.24788936881916</c:v>
                </c:pt>
                <c:pt idx="171">
                  <c:v>105.65501780720052</c:v>
                </c:pt>
                <c:pt idx="172">
                  <c:v>106.20830845490428</c:v>
                </c:pt>
                <c:pt idx="173">
                  <c:v>106.74054542499374</c:v>
                </c:pt>
                <c:pt idx="174">
                  <c:v>106.73212395394803</c:v>
                </c:pt>
                <c:pt idx="175">
                  <c:v>105.15225598577108</c:v>
                </c:pt>
                <c:pt idx="176">
                  <c:v>107.02940188186192</c:v>
                </c:pt>
                <c:pt idx="177">
                  <c:v>106.03566829846704</c:v>
                </c:pt>
                <c:pt idx="178">
                  <c:v>106.90392196328069</c:v>
                </c:pt>
                <c:pt idx="179">
                  <c:v>104.73286672769426</c:v>
                </c:pt>
                <c:pt idx="180">
                  <c:v>105.14804525024822</c:v>
                </c:pt>
                <c:pt idx="181">
                  <c:v>105.75775975395831</c:v>
                </c:pt>
                <c:pt idx="182">
                  <c:v>106.29841819509348</c:v>
                </c:pt>
                <c:pt idx="183">
                  <c:v>107.43363249205645</c:v>
                </c:pt>
                <c:pt idx="184">
                  <c:v>106.3758957287141</c:v>
                </c:pt>
                <c:pt idx="185">
                  <c:v>106.85760387252924</c:v>
                </c:pt>
                <c:pt idx="186">
                  <c:v>107.0479291181625</c:v>
                </c:pt>
                <c:pt idx="187">
                  <c:v>108.12503526491</c:v>
                </c:pt>
                <c:pt idx="188">
                  <c:v>107.5279529677685</c:v>
                </c:pt>
                <c:pt idx="189">
                  <c:v>106.684963716092</c:v>
                </c:pt>
                <c:pt idx="190">
                  <c:v>108.27409530241923</c:v>
                </c:pt>
                <c:pt idx="191">
                  <c:v>109.40846745227762</c:v>
                </c:pt>
                <c:pt idx="192">
                  <c:v>109.86659547716476</c:v>
                </c:pt>
                <c:pt idx="193">
                  <c:v>109.87501694821047</c:v>
                </c:pt>
                <c:pt idx="194">
                  <c:v>110.4476769793194</c:v>
                </c:pt>
                <c:pt idx="195">
                  <c:v>109.44636407198335</c:v>
                </c:pt>
                <c:pt idx="196">
                  <c:v>111.01191553938258</c:v>
                </c:pt>
                <c:pt idx="197">
                  <c:v>111.57783839365491</c:v>
                </c:pt>
                <c:pt idx="198">
                  <c:v>110.90075212157907</c:v>
                </c:pt>
                <c:pt idx="199">
                  <c:v>110.87801414975566</c:v>
                </c:pt>
                <c:pt idx="200">
                  <c:v>111.86248411500023</c:v>
                </c:pt>
                <c:pt idx="201">
                  <c:v>111.00938909806888</c:v>
                </c:pt>
                <c:pt idx="202">
                  <c:v>112.53114891603035</c:v>
                </c:pt>
                <c:pt idx="203">
                  <c:v>114.81757830494315</c:v>
                </c:pt>
                <c:pt idx="204">
                  <c:v>113.32276719432797</c:v>
                </c:pt>
                <c:pt idx="205">
                  <c:v>113.09875606451183</c:v>
                </c:pt>
                <c:pt idx="206">
                  <c:v>114.81673615783858</c:v>
                </c:pt>
                <c:pt idx="207">
                  <c:v>111.67973819330813</c:v>
                </c:pt>
                <c:pt idx="208">
                  <c:v>114.91947810459637</c:v>
                </c:pt>
                <c:pt idx="209">
                  <c:v>115.16117432360849</c:v>
                </c:pt>
                <c:pt idx="210">
                  <c:v>112.1782892792147</c:v>
                </c:pt>
                <c:pt idx="211">
                  <c:v>112.64147018672926</c:v>
                </c:pt>
                <c:pt idx="212">
                  <c:v>113.17876003944617</c:v>
                </c:pt>
                <c:pt idx="213">
                  <c:v>112.92358946676087</c:v>
                </c:pt>
                <c:pt idx="214">
                  <c:v>111.77995369875219</c:v>
                </c:pt>
                <c:pt idx="215">
                  <c:v>112.56315050600409</c:v>
                </c:pt>
                <c:pt idx="216">
                  <c:v>113.44150993607261</c:v>
                </c:pt>
                <c:pt idx="217">
                  <c:v>112.64231233383384</c:v>
                </c:pt>
                <c:pt idx="218">
                  <c:v>110.20934934872552</c:v>
                </c:pt>
                <c:pt idx="219">
                  <c:v>111.96522606175802</c:v>
                </c:pt>
                <c:pt idx="220">
                  <c:v>108.39368019126843</c:v>
                </c:pt>
                <c:pt idx="221">
                  <c:v>104.37663850246034</c:v>
                </c:pt>
                <c:pt idx="222">
                  <c:v>107.13382812282885</c:v>
                </c:pt>
                <c:pt idx="223">
                  <c:v>103.32984965147742</c:v>
                </c:pt>
                <c:pt idx="224">
                  <c:v>102.59970811181356</c:v>
                </c:pt>
                <c:pt idx="225">
                  <c:v>96.542986135732221</c:v>
                </c:pt>
                <c:pt idx="226">
                  <c:v>93.422831113293199</c:v>
                </c:pt>
                <c:pt idx="227">
                  <c:v>90.27067450088046</c:v>
                </c:pt>
                <c:pt idx="228">
                  <c:v>89.795703533901886</c:v>
                </c:pt>
                <c:pt idx="229">
                  <c:v>89.229780679629556</c:v>
                </c:pt>
                <c:pt idx="230">
                  <c:v>86.605650301783413</c:v>
                </c:pt>
                <c:pt idx="231">
                  <c:v>87.572435177831991</c:v>
                </c:pt>
                <c:pt idx="232">
                  <c:v>86.807765606880679</c:v>
                </c:pt>
                <c:pt idx="233">
                  <c:v>87.472219672387922</c:v>
                </c:pt>
                <c:pt idx="234">
                  <c:v>88.244468567280393</c:v>
                </c:pt>
                <c:pt idx="235">
                  <c:v>88.380054251116476</c:v>
                </c:pt>
                <c:pt idx="236">
                  <c:v>89.281151653008436</c:v>
                </c:pt>
                <c:pt idx="237">
                  <c:v>88.562800172808579</c:v>
                </c:pt>
                <c:pt idx="238">
                  <c:v>88.129936561058614</c:v>
                </c:pt>
                <c:pt idx="239">
                  <c:v>88.980505136676257</c:v>
                </c:pt>
                <c:pt idx="240">
                  <c:v>87.846132986817864</c:v>
                </c:pt>
                <c:pt idx="241">
                  <c:v>87.71981092113208</c:v>
                </c:pt>
                <c:pt idx="242">
                  <c:v>90.018030369508878</c:v>
                </c:pt>
                <c:pt idx="243">
                  <c:v>89.981818044012286</c:v>
                </c:pt>
                <c:pt idx="244">
                  <c:v>89.291257418263299</c:v>
                </c:pt>
                <c:pt idx="245">
                  <c:v>89.704751646608116</c:v>
                </c:pt>
                <c:pt idx="246">
                  <c:v>88.589748880154886</c:v>
                </c:pt>
                <c:pt idx="247">
                  <c:v>87.791393425020701</c:v>
                </c:pt>
                <c:pt idx="248">
                  <c:v>88.08951350003916</c:v>
                </c:pt>
                <c:pt idx="249">
                  <c:v>88.563642319913157</c:v>
                </c:pt>
                <c:pt idx="250">
                  <c:v>91.058924190759797</c:v>
                </c:pt>
                <c:pt idx="251">
                  <c:v>88.578800967795459</c:v>
                </c:pt>
                <c:pt idx="252">
                  <c:v>89.060509111610585</c:v>
                </c:pt>
                <c:pt idx="253">
                  <c:v>89.951500748247696</c:v>
                </c:pt>
                <c:pt idx="254">
                  <c:v>88.849972335467612</c:v>
                </c:pt>
                <c:pt idx="255">
                  <c:v>88.393528604789637</c:v>
                </c:pt>
                <c:pt idx="256">
                  <c:v>87.708863008772653</c:v>
                </c:pt>
                <c:pt idx="257">
                  <c:v>87.932874138588772</c:v>
                </c:pt>
                <c:pt idx="258">
                  <c:v>88.047406144810566</c:v>
                </c:pt>
                <c:pt idx="259">
                  <c:v>88.022983878777964</c:v>
                </c:pt>
                <c:pt idx="260">
                  <c:v>86.974510733585916</c:v>
                </c:pt>
                <c:pt idx="261">
                  <c:v>85.305375172324347</c:v>
                </c:pt>
                <c:pt idx="262">
                  <c:v>84.955041976822429</c:v>
                </c:pt>
                <c:pt idx="263">
                  <c:v>86.410272173522728</c:v>
                </c:pt>
                <c:pt idx="264">
                  <c:v>84.795876174058336</c:v>
                </c:pt>
                <c:pt idx="265">
                  <c:v>83.64043350364355</c:v>
                </c:pt>
                <c:pt idx="266">
                  <c:v>82.555748032954895</c:v>
                </c:pt>
                <c:pt idx="267">
                  <c:v>81.783499138062439</c:v>
                </c:pt>
                <c:pt idx="268">
                  <c:v>82.542273679281749</c:v>
                </c:pt>
                <c:pt idx="269">
                  <c:v>82.132148039355215</c:v>
                </c:pt>
                <c:pt idx="270">
                  <c:v>81.461798944115969</c:v>
                </c:pt>
                <c:pt idx="271">
                  <c:v>83.359164792187556</c:v>
                </c:pt>
                <c:pt idx="272">
                  <c:v>80.428484446806195</c:v>
                </c:pt>
                <c:pt idx="273">
                  <c:v>81.135045867542047</c:v>
                </c:pt>
                <c:pt idx="274">
                  <c:v>79.146736553647713</c:v>
                </c:pt>
                <c:pt idx="275">
                  <c:v>79.460015276548475</c:v>
                </c:pt>
                <c:pt idx="276">
                  <c:v>80.32574250004842</c:v>
                </c:pt>
                <c:pt idx="277">
                  <c:v>79.683184259260031</c:v>
                </c:pt>
                <c:pt idx="278">
                  <c:v>80.486592597021655</c:v>
                </c:pt>
                <c:pt idx="279">
                  <c:v>79.454120246816473</c:v>
                </c:pt>
                <c:pt idx="280">
                  <c:v>79.959408509559637</c:v>
                </c:pt>
                <c:pt idx="281">
                  <c:v>80.777133348098985</c:v>
                </c:pt>
                <c:pt idx="282">
                  <c:v>80.559859395119418</c:v>
                </c:pt>
                <c:pt idx="283">
                  <c:v>81.381794969181627</c:v>
                </c:pt>
                <c:pt idx="284">
                  <c:v>81.162836721992932</c:v>
                </c:pt>
                <c:pt idx="285">
                  <c:v>80.35858623712673</c:v>
                </c:pt>
                <c:pt idx="286">
                  <c:v>81.335476878430171</c:v>
                </c:pt>
                <c:pt idx="287">
                  <c:v>81.481168327521118</c:v>
                </c:pt>
                <c:pt idx="288">
                  <c:v>81.29421167030614</c:v>
                </c:pt>
                <c:pt idx="289">
                  <c:v>81.887083231924777</c:v>
                </c:pt>
                <c:pt idx="290">
                  <c:v>81.08704348258145</c:v>
                </c:pt>
                <c:pt idx="291">
                  <c:v>82.18099257142039</c:v>
                </c:pt>
                <c:pt idx="292">
                  <c:v>81.882030349297352</c:v>
                </c:pt>
                <c:pt idx="293">
                  <c:v>81.281579463737572</c:v>
                </c:pt>
                <c:pt idx="294">
                  <c:v>81.279895169528416</c:v>
                </c:pt>
                <c:pt idx="295">
                  <c:v>81.699284427605249</c:v>
                </c:pt>
                <c:pt idx="296">
                  <c:v>81.974666530800263</c:v>
                </c:pt>
                <c:pt idx="297">
                  <c:v>81.557803714037163</c:v>
                </c:pt>
                <c:pt idx="298">
                  <c:v>81.263052227436987</c:v>
                </c:pt>
                <c:pt idx="299">
                  <c:v>81.546855801677737</c:v>
                </c:pt>
                <c:pt idx="300">
                  <c:v>81.562856596664588</c:v>
                </c:pt>
                <c:pt idx="301">
                  <c:v>82.759547632261302</c:v>
                </c:pt>
                <c:pt idx="302">
                  <c:v>83.201674862161568</c:v>
                </c:pt>
                <c:pt idx="303">
                  <c:v>83.97560805126318</c:v>
                </c:pt>
                <c:pt idx="304">
                  <c:v>84.793349732744616</c:v>
                </c:pt>
                <c:pt idx="305">
                  <c:v>85.216107579239718</c:v>
                </c:pt>
                <c:pt idx="306">
                  <c:v>86.151733012419143</c:v>
                </c:pt>
                <c:pt idx="307">
                  <c:v>83.753281215656187</c:v>
                </c:pt>
                <c:pt idx="308">
                  <c:v>85.272531435246052</c:v>
                </c:pt>
                <c:pt idx="309">
                  <c:v>84.955041976822429</c:v>
                </c:pt>
                <c:pt idx="310">
                  <c:v>84.448069419870123</c:v>
                </c:pt>
                <c:pt idx="311">
                  <c:v>84.488492480889576</c:v>
                </c:pt>
                <c:pt idx="312">
                  <c:v>85.891509557106417</c:v>
                </c:pt>
                <c:pt idx="313">
                  <c:v>84.971884918913872</c:v>
                </c:pt>
                <c:pt idx="314">
                  <c:v>86.131521481909417</c:v>
                </c:pt>
                <c:pt idx="315">
                  <c:v>86.599755272051411</c:v>
                </c:pt>
                <c:pt idx="316">
                  <c:v>84.378171210190658</c:v>
                </c:pt>
                <c:pt idx="317">
                  <c:v>84.810192674836046</c:v>
                </c:pt>
                <c:pt idx="318">
                  <c:v>85.123471397736807</c:v>
                </c:pt>
                <c:pt idx="319">
                  <c:v>86.262896430222639</c:v>
                </c:pt>
                <c:pt idx="320">
                  <c:v>85.783714727721204</c:v>
                </c:pt>
                <c:pt idx="321">
                  <c:v>85.91845826445271</c:v>
                </c:pt>
                <c:pt idx="322">
                  <c:v>86.941666996507621</c:v>
                </c:pt>
                <c:pt idx="323">
                  <c:v>86.760605369024645</c:v>
                </c:pt>
                <c:pt idx="324">
                  <c:v>87.692020066681195</c:v>
                </c:pt>
                <c:pt idx="325">
                  <c:v>87.185047509728903</c:v>
                </c:pt>
                <c:pt idx="326">
                  <c:v>86.758078927710926</c:v>
                </c:pt>
                <c:pt idx="327">
                  <c:v>86.978721469108777</c:v>
                </c:pt>
                <c:pt idx="328">
                  <c:v>88.183833975751213</c:v>
                </c:pt>
                <c:pt idx="329">
                  <c:v>88.296681687763851</c:v>
                </c:pt>
                <c:pt idx="330">
                  <c:v>88.011193819313974</c:v>
                </c:pt>
                <c:pt idx="331">
                  <c:v>88.399423634521625</c:v>
                </c:pt>
                <c:pt idx="332">
                  <c:v>88.903869750160212</c:v>
                </c:pt>
                <c:pt idx="333">
                  <c:v>89.080720642120312</c:v>
                </c:pt>
                <c:pt idx="334">
                  <c:v>90.553635928016632</c:v>
                </c:pt>
                <c:pt idx="335">
                  <c:v>92.423202500166326</c:v>
                </c:pt>
                <c:pt idx="336">
                  <c:v>87.809078514216708</c:v>
                </c:pt>
                <c:pt idx="337">
                  <c:v>89.432738131831385</c:v>
                </c:pt>
                <c:pt idx="338">
                  <c:v>90.951971508479161</c:v>
                </c:pt>
                <c:pt idx="339">
                  <c:v>88.504692022593119</c:v>
                </c:pt>
                <c:pt idx="340">
                  <c:v>89.034402551368871</c:v>
                </c:pt>
                <c:pt idx="341">
                  <c:v>88.579643114900023</c:v>
                </c:pt>
                <c:pt idx="342">
                  <c:v>88.923239133565374</c:v>
                </c:pt>
                <c:pt idx="343">
                  <c:v>89.109353643675774</c:v>
                </c:pt>
                <c:pt idx="344">
                  <c:v>88.615013293292037</c:v>
                </c:pt>
                <c:pt idx="345">
                  <c:v>89.654222820333814</c:v>
                </c:pt>
                <c:pt idx="346">
                  <c:v>87.713915891400077</c:v>
                </c:pt>
                <c:pt idx="347">
                  <c:v>87.179994627101479</c:v>
                </c:pt>
                <c:pt idx="348">
                  <c:v>90.237830763802165</c:v>
                </c:pt>
                <c:pt idx="349">
                  <c:v>89.329996185073611</c:v>
                </c:pt>
                <c:pt idx="350">
                  <c:v>88.491217668919973</c:v>
                </c:pt>
                <c:pt idx="351">
                  <c:v>90.060979871842051</c:v>
                </c:pt>
                <c:pt idx="352">
                  <c:v>90.152773906240398</c:v>
                </c:pt>
                <c:pt idx="353">
                  <c:v>90.045821223959749</c:v>
                </c:pt>
                <c:pt idx="354">
                  <c:v>90.276569530612463</c:v>
                </c:pt>
                <c:pt idx="355">
                  <c:v>90.290886031390187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E-5148-B03A-40C5B872DC4F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E-5148-B03A-40C5B872DC4F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World'!$M$2:$M$358</c:f>
              <c:numCache>
                <c:formatCode>0.00</c:formatCode>
                <c:ptCount val="357"/>
                <c:pt idx="0">
                  <c:v>91.31831205287402</c:v>
                </c:pt>
                <c:pt idx="1">
                  <c:v>90.769859343979647</c:v>
                </c:pt>
                <c:pt idx="2">
                  <c:v>91.958186026876945</c:v>
                </c:pt>
                <c:pt idx="3">
                  <c:v>92.598050640660233</c:v>
                </c:pt>
                <c:pt idx="4">
                  <c:v>92.049597931765874</c:v>
                </c:pt>
                <c:pt idx="5">
                  <c:v>93.420739064221408</c:v>
                </c:pt>
                <c:pt idx="6">
                  <c:v>91.226909508204699</c:v>
                </c:pt>
                <c:pt idx="7">
                  <c:v>91.31831205287402</c:v>
                </c:pt>
                <c:pt idx="8">
                  <c:v>90.861261888648954</c:v>
                </c:pt>
                <c:pt idx="9">
                  <c:v>90.769859343979647</c:v>
                </c:pt>
                <c:pt idx="10">
                  <c:v>90.312809179754595</c:v>
                </c:pt>
                <c:pt idx="11">
                  <c:v>89.7643471106406</c:v>
                </c:pt>
                <c:pt idx="12">
                  <c:v>89.581532661082363</c:v>
                </c:pt>
                <c:pt idx="13">
                  <c:v>89.49012075619342</c:v>
                </c:pt>
                <c:pt idx="14">
                  <c:v>88.576029787962952</c:v>
                </c:pt>
                <c:pt idx="15">
                  <c:v>87.387693744846032</c:v>
                </c:pt>
                <c:pt idx="16">
                  <c:v>88.39320597818508</c:v>
                </c:pt>
                <c:pt idx="17">
                  <c:v>88.758844237521188</c:v>
                </c:pt>
                <c:pt idx="18">
                  <c:v>87.936155813960028</c:v>
                </c:pt>
                <c:pt idx="19">
                  <c:v>87.113467390398853</c:v>
                </c:pt>
                <c:pt idx="20">
                  <c:v>87.204879295287782</c:v>
                </c:pt>
                <c:pt idx="21">
                  <c:v>88.301794073296136</c:v>
                </c:pt>
                <c:pt idx="22">
                  <c:v>88.576029787962952</c:v>
                </c:pt>
                <c:pt idx="23">
                  <c:v>88.210382168407193</c:v>
                </c:pt>
                <c:pt idx="24">
                  <c:v>88.118979623737886</c:v>
                </c:pt>
                <c:pt idx="25">
                  <c:v>88.667432332632259</c:v>
                </c:pt>
                <c:pt idx="26">
                  <c:v>88.301794073296136</c:v>
                </c:pt>
                <c:pt idx="27">
                  <c:v>88.850256142410132</c:v>
                </c:pt>
                <c:pt idx="28">
                  <c:v>87.022064845729545</c:v>
                </c:pt>
                <c:pt idx="29">
                  <c:v>87.936155813960028</c:v>
                </c:pt>
                <c:pt idx="30">
                  <c:v>88.758844237521188</c:v>
                </c:pt>
                <c:pt idx="31">
                  <c:v>88.576029787962952</c:v>
                </c:pt>
                <c:pt idx="32">
                  <c:v>89.21589440174624</c:v>
                </c:pt>
                <c:pt idx="33">
                  <c:v>90.129994730196358</c:v>
                </c:pt>
                <c:pt idx="34">
                  <c:v>88.941658687079439</c:v>
                </c:pt>
                <c:pt idx="35">
                  <c:v>88.850256142410132</c:v>
                </c:pt>
                <c:pt idx="36">
                  <c:v>88.941658687079439</c:v>
                </c:pt>
                <c:pt idx="37">
                  <c:v>90.221397274865666</c:v>
                </c:pt>
                <c:pt idx="38">
                  <c:v>89.49012075619342</c:v>
                </c:pt>
                <c:pt idx="39">
                  <c:v>89.581532661082363</c:v>
                </c:pt>
                <c:pt idx="40">
                  <c:v>90.221397274865666</c:v>
                </c:pt>
                <c:pt idx="41">
                  <c:v>89.672944565971306</c:v>
                </c:pt>
                <c:pt idx="42">
                  <c:v>90.495632989532467</c:v>
                </c:pt>
                <c:pt idx="43">
                  <c:v>90.769859343979647</c:v>
                </c:pt>
                <c:pt idx="44">
                  <c:v>91.13549760331577</c:v>
                </c:pt>
                <c:pt idx="45">
                  <c:v>91.31831205287402</c:v>
                </c:pt>
                <c:pt idx="46">
                  <c:v>92.141000476435181</c:v>
                </c:pt>
                <c:pt idx="47">
                  <c:v>92.415236191101997</c:v>
                </c:pt>
                <c:pt idx="48">
                  <c:v>92.963698260215978</c:v>
                </c:pt>
                <c:pt idx="49">
                  <c:v>93.237915254443536</c:v>
                </c:pt>
                <c:pt idx="50">
                  <c:v>93.603600314877781</c:v>
                </c:pt>
                <c:pt idx="51">
                  <c:v>94.791880196676942</c:v>
                </c:pt>
                <c:pt idx="52">
                  <c:v>96.071609424243533</c:v>
                </c:pt>
                <c:pt idx="53">
                  <c:v>94.883329542444386</c:v>
                </c:pt>
                <c:pt idx="54">
                  <c:v>95.431744810460231</c:v>
                </c:pt>
                <c:pt idx="55">
                  <c:v>95.797354989137474</c:v>
                </c:pt>
                <c:pt idx="56">
                  <c:v>96.711474038026822</c:v>
                </c:pt>
                <c:pt idx="57">
                  <c:v>96.894279127365451</c:v>
                </c:pt>
                <c:pt idx="58">
                  <c:v>96.80292338379428</c:v>
                </c:pt>
                <c:pt idx="59">
                  <c:v>97.808398176254812</c:v>
                </c:pt>
                <c:pt idx="60">
                  <c:v>96.071609424243533</c:v>
                </c:pt>
                <c:pt idx="61">
                  <c:v>96.071609424243533</c:v>
                </c:pt>
                <c:pt idx="62">
                  <c:v>96.437219602920763</c:v>
                </c:pt>
                <c:pt idx="63">
                  <c:v>97.259982908238953</c:v>
                </c:pt>
                <c:pt idx="64">
                  <c:v>97.168533562471524</c:v>
                </c:pt>
                <c:pt idx="65">
                  <c:v>96.620118294455665</c:v>
                </c:pt>
                <c:pt idx="66">
                  <c:v>97.168533562471524</c:v>
                </c:pt>
                <c:pt idx="67">
                  <c:v>97.351338651810124</c:v>
                </c:pt>
                <c:pt idx="68">
                  <c:v>97.625593086916197</c:v>
                </c:pt>
                <c:pt idx="69">
                  <c:v>97.259982908238953</c:v>
                </c:pt>
                <c:pt idx="70">
                  <c:v>97.808398176254812</c:v>
                </c:pt>
                <c:pt idx="71">
                  <c:v>98.356907046466944</c:v>
                </c:pt>
                <c:pt idx="72">
                  <c:v>97.899847522022256</c:v>
                </c:pt>
                <c:pt idx="73">
                  <c:v>98.631067879376729</c:v>
                </c:pt>
                <c:pt idx="74">
                  <c:v>98.722517225144173</c:v>
                </c:pt>
                <c:pt idx="75">
                  <c:v>97.534143741148739</c:v>
                </c:pt>
                <c:pt idx="76">
                  <c:v>98.265457700699486</c:v>
                </c:pt>
                <c:pt idx="77">
                  <c:v>97.625593086916197</c:v>
                </c:pt>
                <c:pt idx="78">
                  <c:v>97.625593086916197</c:v>
                </c:pt>
                <c:pt idx="79">
                  <c:v>98.265457700699486</c:v>
                </c:pt>
                <c:pt idx="80">
                  <c:v>98.81387296871533</c:v>
                </c:pt>
                <c:pt idx="81">
                  <c:v>98.722517225144173</c:v>
                </c:pt>
                <c:pt idx="82">
                  <c:v>99.270932493160032</c:v>
                </c:pt>
                <c:pt idx="83">
                  <c:v>99.727992017604706</c:v>
                </c:pt>
                <c:pt idx="84">
                  <c:v>99.902840920259365</c:v>
                </c:pt>
                <c:pt idx="85">
                  <c:v>100.09715907974065</c:v>
                </c:pt>
                <c:pt idx="86">
                  <c:v>99.31969923742291</c:v>
                </c:pt>
                <c:pt idx="87">
                  <c:v>99.514110999100481</c:v>
                </c:pt>
                <c:pt idx="88">
                  <c:v>99.125381077941611</c:v>
                </c:pt>
                <c:pt idx="89">
                  <c:v>99.222540157682261</c:v>
                </c:pt>
                <c:pt idx="90">
                  <c:v>100.68030076257709</c:v>
                </c:pt>
                <c:pt idx="91">
                  <c:v>99.028221998200962</c:v>
                </c:pt>
                <c:pt idx="92">
                  <c:v>99.514110999100481</c:v>
                </c:pt>
                <c:pt idx="93">
                  <c:v>100.1943181594813</c:v>
                </c:pt>
                <c:pt idx="94">
                  <c:v>100.48588900089952</c:v>
                </c:pt>
                <c:pt idx="95">
                  <c:v>100.29157084141823</c:v>
                </c:pt>
                <c:pt idx="96">
                  <c:v>100.09715907974065</c:v>
                </c:pt>
                <c:pt idx="97">
                  <c:v>101.26334884321726</c:v>
                </c:pt>
                <c:pt idx="98">
                  <c:v>101.55491968463549</c:v>
                </c:pt>
                <c:pt idx="99">
                  <c:v>101.45776060489483</c:v>
                </c:pt>
                <c:pt idx="100">
                  <c:v>100.48588900089952</c:v>
                </c:pt>
                <c:pt idx="101">
                  <c:v>100.38872992115887</c:v>
                </c:pt>
                <c:pt idx="102">
                  <c:v>100.77745984231774</c:v>
                </c:pt>
                <c:pt idx="103">
                  <c:v>100.09715907974065</c:v>
                </c:pt>
                <c:pt idx="104">
                  <c:v>100.09715907974065</c:v>
                </c:pt>
                <c:pt idx="105">
                  <c:v>100.1943181594813</c:v>
                </c:pt>
                <c:pt idx="106">
                  <c:v>100.09715907974065</c:v>
                </c:pt>
                <c:pt idx="107">
                  <c:v>100.29157084141823</c:v>
                </c:pt>
                <c:pt idx="108">
                  <c:v>100</c:v>
                </c:pt>
                <c:pt idx="109">
                  <c:v>99.805588238322414</c:v>
                </c:pt>
                <c:pt idx="110">
                  <c:v>100.68030076257709</c:v>
                </c:pt>
                <c:pt idx="111">
                  <c:v>99.805588238322414</c:v>
                </c:pt>
                <c:pt idx="112">
                  <c:v>100.58304808064017</c:v>
                </c:pt>
                <c:pt idx="113">
                  <c:v>101.26334884321726</c:v>
                </c:pt>
                <c:pt idx="114">
                  <c:v>101.65207876437613</c:v>
                </c:pt>
                <c:pt idx="115">
                  <c:v>103.10983936927096</c:v>
                </c:pt>
                <c:pt idx="116">
                  <c:v>103.40131660849291</c:v>
                </c:pt>
                <c:pt idx="117">
                  <c:v>103.20699844901162</c:v>
                </c:pt>
                <c:pt idx="118">
                  <c:v>103.79004652965178</c:v>
                </c:pt>
                <c:pt idx="119">
                  <c:v>102.91542760759339</c:v>
                </c:pt>
                <c:pt idx="120">
                  <c:v>102.81826852785274</c:v>
                </c:pt>
                <c:pt idx="121">
                  <c:v>103.49856929042983</c:v>
                </c:pt>
                <c:pt idx="122">
                  <c:v>103.40131660849291</c:v>
                </c:pt>
                <c:pt idx="123">
                  <c:v>103.10983936927096</c:v>
                </c:pt>
                <c:pt idx="124">
                  <c:v>103.30415752875226</c:v>
                </c:pt>
                <c:pt idx="125">
                  <c:v>103.88729921158871</c:v>
                </c:pt>
                <c:pt idx="126">
                  <c:v>102.81826852785274</c:v>
                </c:pt>
                <c:pt idx="127">
                  <c:v>103.88729921158871</c:v>
                </c:pt>
                <c:pt idx="128">
                  <c:v>102.91542760759339</c:v>
                </c:pt>
                <c:pt idx="129">
                  <c:v>103.10983936927096</c:v>
                </c:pt>
                <c:pt idx="130">
                  <c:v>104.17877645081064</c:v>
                </c:pt>
                <c:pt idx="131">
                  <c:v>103.88729921158871</c:v>
                </c:pt>
                <c:pt idx="132">
                  <c:v>103.79004652965178</c:v>
                </c:pt>
                <c:pt idx="133">
                  <c:v>103.01258668733404</c:v>
                </c:pt>
                <c:pt idx="134">
                  <c:v>102.81826852785274</c:v>
                </c:pt>
                <c:pt idx="135">
                  <c:v>102.040808685535</c:v>
                </c:pt>
                <c:pt idx="136">
                  <c:v>102.040808685535</c:v>
                </c:pt>
                <c:pt idx="137">
                  <c:v>101.94364960579436</c:v>
                </c:pt>
                <c:pt idx="138">
                  <c:v>101.16618976347661</c:v>
                </c:pt>
                <c:pt idx="139">
                  <c:v>102.91542760759339</c:v>
                </c:pt>
                <c:pt idx="140">
                  <c:v>101.45776060489483</c:v>
                </c:pt>
                <c:pt idx="141">
                  <c:v>100.58304808064017</c:v>
                </c:pt>
                <c:pt idx="142">
                  <c:v>100.1943181594813</c:v>
                </c:pt>
                <c:pt idx="143">
                  <c:v>100.29157084141823</c:v>
                </c:pt>
                <c:pt idx="144">
                  <c:v>100</c:v>
                </c:pt>
                <c:pt idx="145">
                  <c:v>100.58304808064017</c:v>
                </c:pt>
                <c:pt idx="146">
                  <c:v>102.42953860669387</c:v>
                </c:pt>
                <c:pt idx="147">
                  <c:v>100.68030076257709</c:v>
                </c:pt>
                <c:pt idx="148">
                  <c:v>101.8464905260537</c:v>
                </c:pt>
                <c:pt idx="149">
                  <c:v>98.445080315364521</c:v>
                </c:pt>
                <c:pt idx="150">
                  <c:v>99.514110999100481</c:v>
                </c:pt>
                <c:pt idx="151">
                  <c:v>100.29157084141823</c:v>
                </c:pt>
                <c:pt idx="152">
                  <c:v>101.55491968463549</c:v>
                </c:pt>
                <c:pt idx="153">
                  <c:v>99.902840920259365</c:v>
                </c:pt>
                <c:pt idx="154">
                  <c:v>99.61127007884113</c:v>
                </c:pt>
                <c:pt idx="155">
                  <c:v>99.902840920259365</c:v>
                </c:pt>
                <c:pt idx="156">
                  <c:v>99.31969923742291</c:v>
                </c:pt>
                <c:pt idx="157">
                  <c:v>100</c:v>
                </c:pt>
                <c:pt idx="158">
                  <c:v>99.805588238322414</c:v>
                </c:pt>
                <c:pt idx="159">
                  <c:v>99.31969923742291</c:v>
                </c:pt>
                <c:pt idx="160">
                  <c:v>99.028221998200962</c:v>
                </c:pt>
                <c:pt idx="161">
                  <c:v>99.708429158581779</c:v>
                </c:pt>
                <c:pt idx="162">
                  <c:v>100.38872992115887</c:v>
                </c:pt>
                <c:pt idx="163">
                  <c:v>100.29157084141823</c:v>
                </c:pt>
                <c:pt idx="164">
                  <c:v>100.29157084141823</c:v>
                </c:pt>
                <c:pt idx="165">
                  <c:v>101.06903068373596</c:v>
                </c:pt>
                <c:pt idx="166">
                  <c:v>100.68030076257709</c:v>
                </c:pt>
                <c:pt idx="167">
                  <c:v>101.36050792295791</c:v>
                </c:pt>
                <c:pt idx="168">
                  <c:v>100.77745984231774</c:v>
                </c:pt>
                <c:pt idx="169">
                  <c:v>100.48588900089952</c:v>
                </c:pt>
                <c:pt idx="170">
                  <c:v>102.52669768643452</c:v>
                </c:pt>
                <c:pt idx="171">
                  <c:v>101.94364960579436</c:v>
                </c:pt>
                <c:pt idx="172">
                  <c:v>101.45776060489483</c:v>
                </c:pt>
                <c:pt idx="173">
                  <c:v>101.65207876437613</c:v>
                </c:pt>
                <c:pt idx="174">
                  <c:v>100</c:v>
                </c:pt>
                <c:pt idx="175">
                  <c:v>99.805588238322414</c:v>
                </c:pt>
                <c:pt idx="176">
                  <c:v>100.29157084141823</c:v>
                </c:pt>
                <c:pt idx="177">
                  <c:v>100.68030076257709</c:v>
                </c:pt>
                <c:pt idx="178">
                  <c:v>101.16618976347661</c:v>
                </c:pt>
                <c:pt idx="179">
                  <c:v>101.16618976347661</c:v>
                </c:pt>
                <c:pt idx="180">
                  <c:v>100.58304808064017</c:v>
                </c:pt>
                <c:pt idx="181">
                  <c:v>100.77745984231774</c:v>
                </c:pt>
                <c:pt idx="182">
                  <c:v>99.028221998200962</c:v>
                </c:pt>
                <c:pt idx="183">
                  <c:v>100.77745984231774</c:v>
                </c:pt>
                <c:pt idx="184">
                  <c:v>101.06903068373596</c:v>
                </c:pt>
                <c:pt idx="185">
                  <c:v>101.16618976347661</c:v>
                </c:pt>
                <c:pt idx="186">
                  <c:v>100.68030076257709</c:v>
                </c:pt>
                <c:pt idx="187">
                  <c:v>99.902840920259365</c:v>
                </c:pt>
                <c:pt idx="188">
                  <c:v>99.416951919359832</c:v>
                </c:pt>
                <c:pt idx="189">
                  <c:v>99.31969923742291</c:v>
                </c:pt>
                <c:pt idx="190">
                  <c:v>100.48588900089952</c:v>
                </c:pt>
                <c:pt idx="191">
                  <c:v>101.36050792295791</c:v>
                </c:pt>
                <c:pt idx="192">
                  <c:v>101.74923784411678</c:v>
                </c:pt>
                <c:pt idx="193">
                  <c:v>101.16618976347661</c:v>
                </c:pt>
                <c:pt idx="194">
                  <c:v>101.55491968463549</c:v>
                </c:pt>
                <c:pt idx="195">
                  <c:v>101.06903068373596</c:v>
                </c:pt>
                <c:pt idx="196">
                  <c:v>101.06903068373596</c:v>
                </c:pt>
                <c:pt idx="197">
                  <c:v>101.8464905260537</c:v>
                </c:pt>
                <c:pt idx="198">
                  <c:v>100.97177800179904</c:v>
                </c:pt>
                <c:pt idx="199">
                  <c:v>101.74923784411678</c:v>
                </c:pt>
                <c:pt idx="200">
                  <c:v>101.94364960579436</c:v>
                </c:pt>
                <c:pt idx="201">
                  <c:v>101.55491968463549</c:v>
                </c:pt>
                <c:pt idx="202">
                  <c:v>101.94364960579436</c:v>
                </c:pt>
                <c:pt idx="203">
                  <c:v>101.26334884321726</c:v>
                </c:pt>
                <c:pt idx="204">
                  <c:v>102.72110944811209</c:v>
                </c:pt>
                <c:pt idx="205">
                  <c:v>101.94364960579436</c:v>
                </c:pt>
                <c:pt idx="206">
                  <c:v>101.94364960579436</c:v>
                </c:pt>
                <c:pt idx="207">
                  <c:v>101.65207876437613</c:v>
                </c:pt>
                <c:pt idx="208">
                  <c:v>103.30415752875226</c:v>
                </c:pt>
                <c:pt idx="209">
                  <c:v>102.2351268450163</c:v>
                </c:pt>
                <c:pt idx="210">
                  <c:v>101.94364960579436</c:v>
                </c:pt>
                <c:pt idx="211">
                  <c:v>102.72110944811209</c:v>
                </c:pt>
                <c:pt idx="212">
                  <c:v>101.65207876437613</c:v>
                </c:pt>
                <c:pt idx="213">
                  <c:v>102.040808685535</c:v>
                </c:pt>
                <c:pt idx="214">
                  <c:v>102.52669768643452</c:v>
                </c:pt>
                <c:pt idx="215">
                  <c:v>102.33237952695322</c:v>
                </c:pt>
                <c:pt idx="216">
                  <c:v>102.72110944811209</c:v>
                </c:pt>
                <c:pt idx="217">
                  <c:v>102.42953860669387</c:v>
                </c:pt>
                <c:pt idx="218">
                  <c:v>101.06903068373596</c:v>
                </c:pt>
                <c:pt idx="219">
                  <c:v>102.2351268450163</c:v>
                </c:pt>
                <c:pt idx="220">
                  <c:v>101.16618976347661</c:v>
                </c:pt>
                <c:pt idx="221">
                  <c:v>100.29157084141823</c:v>
                </c:pt>
                <c:pt idx="222">
                  <c:v>100</c:v>
                </c:pt>
                <c:pt idx="223">
                  <c:v>100.77745984231774</c:v>
                </c:pt>
                <c:pt idx="224">
                  <c:v>99.31969923742291</c:v>
                </c:pt>
                <c:pt idx="225">
                  <c:v>98.445080315364521</c:v>
                </c:pt>
                <c:pt idx="226">
                  <c:v>95.335240946093563</c:v>
                </c:pt>
                <c:pt idx="227">
                  <c:v>94.071892102876305</c:v>
                </c:pt>
                <c:pt idx="228">
                  <c:v>91.739540656581966</c:v>
                </c:pt>
                <c:pt idx="229">
                  <c:v>91.739540656581966</c:v>
                </c:pt>
                <c:pt idx="230">
                  <c:v>91.447997895822624</c:v>
                </c:pt>
                <c:pt idx="231">
                  <c:v>92.905730420058589</c:v>
                </c:pt>
                <c:pt idx="232">
                  <c:v>91.447997895822624</c:v>
                </c:pt>
                <c:pt idx="233">
                  <c:v>91.9339056171614</c:v>
                </c:pt>
                <c:pt idx="234">
                  <c:v>93.10009538063801</c:v>
                </c:pt>
                <c:pt idx="235">
                  <c:v>90.767725213904413</c:v>
                </c:pt>
                <c:pt idx="236">
                  <c:v>91.836727816981508</c:v>
                </c:pt>
                <c:pt idx="237">
                  <c:v>92.225457738140378</c:v>
                </c:pt>
                <c:pt idx="238">
                  <c:v>92.905730420058589</c:v>
                </c:pt>
                <c:pt idx="239">
                  <c:v>92.711365459479154</c:v>
                </c:pt>
                <c:pt idx="240">
                  <c:v>93.10009538063801</c:v>
                </c:pt>
                <c:pt idx="241">
                  <c:v>94.169051182616954</c:v>
                </c:pt>
                <c:pt idx="242">
                  <c:v>95.626811787511784</c:v>
                </c:pt>
                <c:pt idx="243">
                  <c:v>95.626811787511784</c:v>
                </c:pt>
                <c:pt idx="244">
                  <c:v>95.529652707771135</c:v>
                </c:pt>
                <c:pt idx="245">
                  <c:v>94.557781103775824</c:v>
                </c:pt>
                <c:pt idx="246">
                  <c:v>94.752192865453395</c:v>
                </c:pt>
                <c:pt idx="247">
                  <c:v>95.432493628030485</c:v>
                </c:pt>
                <c:pt idx="248">
                  <c:v>95.626811787511784</c:v>
                </c:pt>
                <c:pt idx="249">
                  <c:v>96.209859868151952</c:v>
                </c:pt>
                <c:pt idx="250">
                  <c:v>96.404271629829523</c:v>
                </c:pt>
                <c:pt idx="251">
                  <c:v>96.695842471247744</c:v>
                </c:pt>
                <c:pt idx="252">
                  <c:v>96.987319710469691</c:v>
                </c:pt>
                <c:pt idx="253">
                  <c:v>95.723970867252433</c:v>
                </c:pt>
                <c:pt idx="254">
                  <c:v>95.723970867252433</c:v>
                </c:pt>
                <c:pt idx="255">
                  <c:v>94.655033785712746</c:v>
                </c:pt>
                <c:pt idx="256">
                  <c:v>95.529652707771135</c:v>
                </c:pt>
                <c:pt idx="257">
                  <c:v>95.529652707771135</c:v>
                </c:pt>
                <c:pt idx="258">
                  <c:v>95.335240946093563</c:v>
                </c:pt>
                <c:pt idx="259">
                  <c:v>94.946511024934694</c:v>
                </c:pt>
                <c:pt idx="260">
                  <c:v>94.655033785712746</c:v>
                </c:pt>
                <c:pt idx="261">
                  <c:v>94.655033785712746</c:v>
                </c:pt>
                <c:pt idx="262">
                  <c:v>94.363462944294525</c:v>
                </c:pt>
                <c:pt idx="263">
                  <c:v>94.26630386455389</c:v>
                </c:pt>
                <c:pt idx="264">
                  <c:v>94.363462944294525</c:v>
                </c:pt>
                <c:pt idx="265">
                  <c:v>94.071892102876305</c:v>
                </c:pt>
                <c:pt idx="266">
                  <c:v>93.197273180817916</c:v>
                </c:pt>
                <c:pt idx="267">
                  <c:v>93.391638141397351</c:v>
                </c:pt>
                <c:pt idx="268">
                  <c:v>93.877573943395021</c:v>
                </c:pt>
                <c:pt idx="269">
                  <c:v>91.9339056171614</c:v>
                </c:pt>
                <c:pt idx="270">
                  <c:v>94.557781103775824</c:v>
                </c:pt>
                <c:pt idx="271">
                  <c:v>93.974733023135656</c:v>
                </c:pt>
                <c:pt idx="272">
                  <c:v>90.962090174483862</c:v>
                </c:pt>
                <c:pt idx="273">
                  <c:v>90.864903014084319</c:v>
                </c:pt>
                <c:pt idx="274">
                  <c:v>91.447997895822624</c:v>
                </c:pt>
                <c:pt idx="275">
                  <c:v>92.128270577740835</c:v>
                </c:pt>
                <c:pt idx="276">
                  <c:v>91.253632935243189</c:v>
                </c:pt>
                <c:pt idx="277">
                  <c:v>91.156455135063297</c:v>
                </c:pt>
                <c:pt idx="278">
                  <c:v>91.642362856402059</c:v>
                </c:pt>
                <c:pt idx="279">
                  <c:v>90.962090174483862</c:v>
                </c:pt>
                <c:pt idx="280">
                  <c:v>91.545185056222167</c:v>
                </c:pt>
                <c:pt idx="281">
                  <c:v>92.031092777560943</c:v>
                </c:pt>
                <c:pt idx="282">
                  <c:v>92.225457738140378</c:v>
                </c:pt>
                <c:pt idx="283">
                  <c:v>91.739540656581966</c:v>
                </c:pt>
                <c:pt idx="284">
                  <c:v>92.808543259659046</c:v>
                </c:pt>
                <c:pt idx="285">
                  <c:v>92.614178299079612</c:v>
                </c:pt>
                <c:pt idx="286">
                  <c:v>92.614178299079612</c:v>
                </c:pt>
                <c:pt idx="287">
                  <c:v>92.614178299079612</c:v>
                </c:pt>
                <c:pt idx="288">
                  <c:v>92.905730420058589</c:v>
                </c:pt>
                <c:pt idx="289">
                  <c:v>93.294460341217444</c:v>
                </c:pt>
                <c:pt idx="290">
                  <c:v>93.002908220238481</c:v>
                </c:pt>
                <c:pt idx="291">
                  <c:v>93.391638141397351</c:v>
                </c:pt>
                <c:pt idx="292">
                  <c:v>93.10009538063801</c:v>
                </c:pt>
                <c:pt idx="293">
                  <c:v>93.294460341217444</c:v>
                </c:pt>
                <c:pt idx="294">
                  <c:v>93.78032126145807</c:v>
                </c:pt>
                <c:pt idx="295">
                  <c:v>93.10009538063801</c:v>
                </c:pt>
                <c:pt idx="296">
                  <c:v>93.586003101976786</c:v>
                </c:pt>
                <c:pt idx="297">
                  <c:v>93.197273180817916</c:v>
                </c:pt>
                <c:pt idx="298">
                  <c:v>93.294460341217444</c:v>
                </c:pt>
                <c:pt idx="299">
                  <c:v>93.488815941577258</c:v>
                </c:pt>
                <c:pt idx="300">
                  <c:v>93.002908220238481</c:v>
                </c:pt>
                <c:pt idx="301">
                  <c:v>93.586003101976786</c:v>
                </c:pt>
                <c:pt idx="302">
                  <c:v>94.071892102876305</c:v>
                </c:pt>
                <c:pt idx="303">
                  <c:v>94.26630386455389</c:v>
                </c:pt>
                <c:pt idx="304">
                  <c:v>94.169051182616954</c:v>
                </c:pt>
                <c:pt idx="305">
                  <c:v>94.26630386455389</c:v>
                </c:pt>
                <c:pt idx="306">
                  <c:v>93.197273180817916</c:v>
                </c:pt>
                <c:pt idx="307">
                  <c:v>93.488815941577258</c:v>
                </c:pt>
                <c:pt idx="308">
                  <c:v>94.071892102876305</c:v>
                </c:pt>
                <c:pt idx="309">
                  <c:v>93.78032126145807</c:v>
                </c:pt>
                <c:pt idx="310">
                  <c:v>92.905730420058589</c:v>
                </c:pt>
                <c:pt idx="311">
                  <c:v>92.32263553832027</c:v>
                </c:pt>
                <c:pt idx="312">
                  <c:v>93.10009538063801</c:v>
                </c:pt>
                <c:pt idx="313">
                  <c:v>92.614178299079612</c:v>
                </c:pt>
                <c:pt idx="314">
                  <c:v>93.488815941577258</c:v>
                </c:pt>
                <c:pt idx="315">
                  <c:v>96.209859868151952</c:v>
                </c:pt>
                <c:pt idx="316">
                  <c:v>95.335240946093563</c:v>
                </c:pt>
                <c:pt idx="317">
                  <c:v>94.752192865453395</c:v>
                </c:pt>
                <c:pt idx="318">
                  <c:v>94.557781103775824</c:v>
                </c:pt>
                <c:pt idx="319">
                  <c:v>94.460622024035175</c:v>
                </c:pt>
                <c:pt idx="320">
                  <c:v>94.946511024934694</c:v>
                </c:pt>
                <c:pt idx="321">
                  <c:v>93.78032126145807</c:v>
                </c:pt>
                <c:pt idx="322">
                  <c:v>95.238081866352914</c:v>
                </c:pt>
                <c:pt idx="323">
                  <c:v>96.695842471247744</c:v>
                </c:pt>
                <c:pt idx="324">
                  <c:v>96.793001550988393</c:v>
                </c:pt>
                <c:pt idx="325">
                  <c:v>95.626811787511784</c:v>
                </c:pt>
                <c:pt idx="326">
                  <c:v>95.043763706871616</c:v>
                </c:pt>
                <c:pt idx="327">
                  <c:v>95.140922786612265</c:v>
                </c:pt>
                <c:pt idx="328">
                  <c:v>95.626811787511784</c:v>
                </c:pt>
                <c:pt idx="329">
                  <c:v>95.918382628930019</c:v>
                </c:pt>
                <c:pt idx="330">
                  <c:v>96.015541708670654</c:v>
                </c:pt>
                <c:pt idx="331">
                  <c:v>95.918382628930019</c:v>
                </c:pt>
                <c:pt idx="332">
                  <c:v>97.473302313565483</c:v>
                </c:pt>
                <c:pt idx="333">
                  <c:v>97.278890551887912</c:v>
                </c:pt>
                <c:pt idx="334">
                  <c:v>97.473302313565483</c:v>
                </c:pt>
                <c:pt idx="335">
                  <c:v>97.084572392406614</c:v>
                </c:pt>
                <c:pt idx="336">
                  <c:v>97.667620473046782</c:v>
                </c:pt>
                <c:pt idx="337">
                  <c:v>97.667620473046782</c:v>
                </c:pt>
                <c:pt idx="338">
                  <c:v>97.376049631628561</c:v>
                </c:pt>
                <c:pt idx="339">
                  <c:v>97.667620473046782</c:v>
                </c:pt>
                <c:pt idx="340">
                  <c:v>96.695842471247744</c:v>
                </c:pt>
                <c:pt idx="341">
                  <c:v>97.376049631628561</c:v>
                </c:pt>
                <c:pt idx="342">
                  <c:v>97.764779552787431</c:v>
                </c:pt>
                <c:pt idx="343">
                  <c:v>97.376049631628561</c:v>
                </c:pt>
                <c:pt idx="344">
                  <c:v>97.570461393306147</c:v>
                </c:pt>
                <c:pt idx="345">
                  <c:v>96.695842471247744</c:v>
                </c:pt>
                <c:pt idx="346">
                  <c:v>96.112700788411303</c:v>
                </c:pt>
                <c:pt idx="347">
                  <c:v>96.112700788411303</c:v>
                </c:pt>
                <c:pt idx="348">
                  <c:v>96.598589789310822</c:v>
                </c:pt>
                <c:pt idx="349">
                  <c:v>96.987319710469691</c:v>
                </c:pt>
                <c:pt idx="350">
                  <c:v>98.445080315364521</c:v>
                </c:pt>
                <c:pt idx="351">
                  <c:v>95.335240946093563</c:v>
                </c:pt>
                <c:pt idx="352">
                  <c:v>96.501430709570172</c:v>
                </c:pt>
                <c:pt idx="353">
                  <c:v>96.112700788411303</c:v>
                </c:pt>
                <c:pt idx="354">
                  <c:v>95.918382628930019</c:v>
                </c:pt>
                <c:pt idx="355">
                  <c:v>95.140922786612265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35E-5148-B03A-40C5B872DC4F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35E-5148-B03A-40C5B872DC4F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World'!$Q$2:$Q$358</c:f>
              <c:numCache>
                <c:formatCode>0.00</c:formatCode>
                <c:ptCount val="357"/>
                <c:pt idx="0">
                  <c:v>101.30474160429695</c:v>
                </c:pt>
                <c:pt idx="1">
                  <c:v>101.81375919733047</c:v>
                </c:pt>
                <c:pt idx="2">
                  <c:v>103.64642332814579</c:v>
                </c:pt>
                <c:pt idx="3">
                  <c:v>103.85003036535917</c:v>
                </c:pt>
                <c:pt idx="4">
                  <c:v>104.56275539355345</c:v>
                </c:pt>
                <c:pt idx="5">
                  <c:v>104.86816594937353</c:v>
                </c:pt>
                <c:pt idx="6">
                  <c:v>105.78449801478119</c:v>
                </c:pt>
                <c:pt idx="7">
                  <c:v>106.70083008018885</c:v>
                </c:pt>
                <c:pt idx="8">
                  <c:v>105.78449801478119</c:v>
                </c:pt>
                <c:pt idx="9">
                  <c:v>107.92257270141661</c:v>
                </c:pt>
                <c:pt idx="10">
                  <c:v>107.20984767322236</c:v>
                </c:pt>
                <c:pt idx="11">
                  <c:v>107.31175158977639</c:v>
                </c:pt>
                <c:pt idx="12">
                  <c:v>108.02437622002331</c:v>
                </c:pt>
                <c:pt idx="13">
                  <c:v>108.43169069239747</c:v>
                </c:pt>
                <c:pt idx="14">
                  <c:v>107.41355510838309</c:v>
                </c:pt>
                <c:pt idx="15">
                  <c:v>107.82076918280991</c:v>
                </c:pt>
                <c:pt idx="16">
                  <c:v>108.94070828543096</c:v>
                </c:pt>
                <c:pt idx="17">
                  <c:v>105.78449801478119</c:v>
                </c:pt>
                <c:pt idx="18">
                  <c:v>108.12617973863001</c:v>
                </c:pt>
                <c:pt idx="19">
                  <c:v>106.39541952436873</c:v>
                </c:pt>
                <c:pt idx="20">
                  <c:v>106.49722304297545</c:v>
                </c:pt>
                <c:pt idx="21">
                  <c:v>105.78449801478119</c:v>
                </c:pt>
                <c:pt idx="22">
                  <c:v>106.49722304297545</c:v>
                </c:pt>
                <c:pt idx="23">
                  <c:v>105.07177298658694</c:v>
                </c:pt>
                <c:pt idx="24">
                  <c:v>104.35914835634003</c:v>
                </c:pt>
                <c:pt idx="25">
                  <c:v>104.05363740257258</c:v>
                </c:pt>
                <c:pt idx="26">
                  <c:v>102.52648422552471</c:v>
                </c:pt>
                <c:pt idx="27">
                  <c:v>102.01736623454387</c:v>
                </c:pt>
                <c:pt idx="28">
                  <c:v>99.675674470900319</c:v>
                </c:pt>
                <c:pt idx="29">
                  <c:v>101.71195567872377</c:v>
                </c:pt>
                <c:pt idx="30">
                  <c:v>101.50834864151035</c:v>
                </c:pt>
                <c:pt idx="31">
                  <c:v>98.555725328484527</c:v>
                </c:pt>
                <c:pt idx="32">
                  <c:v>102.32287718831131</c:v>
                </c:pt>
                <c:pt idx="33">
                  <c:v>99.166606678893132</c:v>
                </c:pt>
                <c:pt idx="34">
                  <c:v>97.944843978075895</c:v>
                </c:pt>
                <c:pt idx="35">
                  <c:v>97.537579704675423</c:v>
                </c:pt>
                <c:pt idx="36">
                  <c:v>99.573860912498873</c:v>
                </c:pt>
                <c:pt idx="37">
                  <c:v>99.77748802930175</c:v>
                </c:pt>
                <c:pt idx="38">
                  <c:v>96.417630562259632</c:v>
                </c:pt>
                <c:pt idx="39">
                  <c:v>98.250284653280204</c:v>
                </c:pt>
                <c:pt idx="40">
                  <c:v>99.573860912498873</c:v>
                </c:pt>
                <c:pt idx="41">
                  <c:v>97.741216861273045</c:v>
                </c:pt>
                <c:pt idx="42">
                  <c:v>97.639393263076869</c:v>
                </c:pt>
                <c:pt idx="43">
                  <c:v>96.723071237463941</c:v>
                </c:pt>
                <c:pt idx="44">
                  <c:v>97.028511912668236</c:v>
                </c:pt>
                <c:pt idx="45">
                  <c:v>96.214003445456754</c:v>
                </c:pt>
                <c:pt idx="46">
                  <c:v>96.010376328653891</c:v>
                </c:pt>
                <c:pt idx="47">
                  <c:v>95.29768141984384</c:v>
                </c:pt>
                <c:pt idx="48">
                  <c:v>94.890427186238085</c:v>
                </c:pt>
                <c:pt idx="49">
                  <c:v>95.704935653449581</c:v>
                </c:pt>
                <c:pt idx="50">
                  <c:v>96.723071237463941</c:v>
                </c:pt>
                <c:pt idx="51">
                  <c:v>97.639393263076869</c:v>
                </c:pt>
                <c:pt idx="52">
                  <c:v>97.537579704675423</c:v>
                </c:pt>
                <c:pt idx="53">
                  <c:v>98.759352445287391</c:v>
                </c:pt>
                <c:pt idx="54">
                  <c:v>99.77748802930175</c:v>
                </c:pt>
                <c:pt idx="55">
                  <c:v>100.59201657610269</c:v>
                </c:pt>
                <c:pt idx="56">
                  <c:v>99.573860912498873</c:v>
                </c:pt>
                <c:pt idx="57">
                  <c:v>100.59201657610269</c:v>
                </c:pt>
                <c:pt idx="58">
                  <c:v>101.20283768774291</c:v>
                </c:pt>
                <c:pt idx="59">
                  <c:v>101.91556271593717</c:v>
                </c:pt>
                <c:pt idx="60">
                  <c:v>99.879301587703196</c:v>
                </c:pt>
                <c:pt idx="61">
                  <c:v>101.30474160429695</c:v>
                </c:pt>
                <c:pt idx="62">
                  <c:v>102.32287718831131</c:v>
                </c:pt>
                <c:pt idx="63">
                  <c:v>103.54461980953909</c:v>
                </c:pt>
                <c:pt idx="64">
                  <c:v>101.81375919733047</c:v>
                </c:pt>
                <c:pt idx="65">
                  <c:v>101.71195567872377</c:v>
                </c:pt>
                <c:pt idx="66">
                  <c:v>100.28655582130892</c:v>
                </c:pt>
                <c:pt idx="67">
                  <c:v>101.81375919733047</c:v>
                </c:pt>
                <c:pt idx="68">
                  <c:v>100.18474226290749</c:v>
                </c:pt>
                <c:pt idx="69">
                  <c:v>101.71195567872377</c:v>
                </c:pt>
                <c:pt idx="70">
                  <c:v>102.52648422552471</c:v>
                </c:pt>
                <c:pt idx="71">
                  <c:v>103.85003036535917</c:v>
                </c:pt>
                <c:pt idx="72">
                  <c:v>102.32287718831131</c:v>
                </c:pt>
                <c:pt idx="73">
                  <c:v>102.22097327175726</c:v>
                </c:pt>
                <c:pt idx="74">
                  <c:v>102.11916975315056</c:v>
                </c:pt>
                <c:pt idx="75">
                  <c:v>102.42468070691801</c:v>
                </c:pt>
                <c:pt idx="76">
                  <c:v>103.03550181855822</c:v>
                </c:pt>
                <c:pt idx="77">
                  <c:v>103.23910885577162</c:v>
                </c:pt>
                <c:pt idx="78">
                  <c:v>103.85003036535917</c:v>
                </c:pt>
                <c:pt idx="79">
                  <c:v>103.95183388396588</c:v>
                </c:pt>
                <c:pt idx="80">
                  <c:v>105.07177298658694</c:v>
                </c:pt>
                <c:pt idx="81">
                  <c:v>105.68269449617449</c:v>
                </c:pt>
                <c:pt idx="82">
                  <c:v>106.191712089208</c:v>
                </c:pt>
                <c:pt idx="83">
                  <c:v>107.20984767322236</c:v>
                </c:pt>
                <c:pt idx="84">
                  <c:v>108.83890476682427</c:v>
                </c:pt>
                <c:pt idx="85">
                  <c:v>108.83890476682427</c:v>
                </c:pt>
                <c:pt idx="86">
                  <c:v>109.24611884125108</c:v>
                </c:pt>
                <c:pt idx="87">
                  <c:v>106.49722304297545</c:v>
                </c:pt>
                <c:pt idx="88">
                  <c:v>109.65343331362523</c:v>
                </c:pt>
                <c:pt idx="89">
                  <c:v>109.04251180403766</c:v>
                </c:pt>
                <c:pt idx="90">
                  <c:v>109.34802275780511</c:v>
                </c:pt>
                <c:pt idx="91">
                  <c:v>108.83890476682427</c:v>
                </c:pt>
                <c:pt idx="92">
                  <c:v>108.12617973863001</c:v>
                </c:pt>
                <c:pt idx="93">
                  <c:v>107.41355510838309</c:v>
                </c:pt>
                <c:pt idx="94">
                  <c:v>106.0899085706013</c:v>
                </c:pt>
                <c:pt idx="95">
                  <c:v>105.07177298658694</c:v>
                </c:pt>
                <c:pt idx="96">
                  <c:v>106.61689739620935</c:v>
                </c:pt>
                <c:pt idx="97">
                  <c:v>103.842098927519</c:v>
                </c:pt>
                <c:pt idx="98">
                  <c:v>101.60081515101407</c:v>
                </c:pt>
                <c:pt idx="99">
                  <c:v>101.38736911496098</c:v>
                </c:pt>
                <c:pt idx="100">
                  <c:v>100.64030798877511</c:v>
                </c:pt>
                <c:pt idx="101">
                  <c:v>100.64030798877511</c:v>
                </c:pt>
                <c:pt idx="102">
                  <c:v>100.42686195272201</c:v>
                </c:pt>
                <c:pt idx="103">
                  <c:v>98.612600765654818</c:v>
                </c:pt>
                <c:pt idx="104">
                  <c:v>99.893276981973457</c:v>
                </c:pt>
                <c:pt idx="105">
                  <c:v>99.359661891840688</c:v>
                </c:pt>
                <c:pt idx="106">
                  <c:v>98.826046801707932</c:v>
                </c:pt>
                <c:pt idx="107">
                  <c:v>98.719323783681375</c:v>
                </c:pt>
                <c:pt idx="108">
                  <c:v>100</c:v>
                </c:pt>
                <c:pt idx="109">
                  <c:v>100</c:v>
                </c:pt>
                <c:pt idx="110">
                  <c:v>101.28064609693442</c:v>
                </c:pt>
                <c:pt idx="111">
                  <c:v>99.573107927893801</c:v>
                </c:pt>
                <c:pt idx="112">
                  <c:v>101.17392307890788</c:v>
                </c:pt>
                <c:pt idx="113">
                  <c:v>100.42686195272201</c:v>
                </c:pt>
                <c:pt idx="114">
                  <c:v>100.96047704285476</c:v>
                </c:pt>
                <c:pt idx="115">
                  <c:v>101.92098420509373</c:v>
                </c:pt>
                <c:pt idx="116">
                  <c:v>102.6680453312796</c:v>
                </c:pt>
                <c:pt idx="117">
                  <c:v>102.56132231325304</c:v>
                </c:pt>
                <c:pt idx="118">
                  <c:v>103.62855249351855</c:v>
                </c:pt>
                <c:pt idx="119">
                  <c:v>103.52182947549201</c:v>
                </c:pt>
                <c:pt idx="120">
                  <c:v>103.41510645746547</c:v>
                </c:pt>
                <c:pt idx="121">
                  <c:v>103.30838343943891</c:v>
                </c:pt>
                <c:pt idx="122">
                  <c:v>104.80260608975799</c:v>
                </c:pt>
                <c:pt idx="123">
                  <c:v>106.40345136015625</c:v>
                </c:pt>
                <c:pt idx="124">
                  <c:v>105.76311325199696</c:v>
                </c:pt>
                <c:pt idx="125">
                  <c:v>107.15051248634212</c:v>
                </c:pt>
                <c:pt idx="126">
                  <c:v>106.93706645028901</c:v>
                </c:pt>
                <c:pt idx="127">
                  <c:v>108.43118870266075</c:v>
                </c:pt>
                <c:pt idx="128">
                  <c:v>106.19000532410314</c:v>
                </c:pt>
                <c:pt idx="129">
                  <c:v>107.79085059450144</c:v>
                </c:pt>
                <c:pt idx="130">
                  <c:v>108.21774266660763</c:v>
                </c:pt>
                <c:pt idx="131">
                  <c:v>109.28497284687316</c:v>
                </c:pt>
                <c:pt idx="132">
                  <c:v>105.22949816186419</c:v>
                </c:pt>
                <c:pt idx="133">
                  <c:v>106.19000532410314</c:v>
                </c:pt>
                <c:pt idx="134">
                  <c:v>104.37571401765177</c:v>
                </c:pt>
                <c:pt idx="135">
                  <c:v>103.62855249351855</c:v>
                </c:pt>
                <c:pt idx="136">
                  <c:v>101.60081515101407</c:v>
                </c:pt>
                <c:pt idx="137">
                  <c:v>100.53358497074855</c:v>
                </c:pt>
                <c:pt idx="138">
                  <c:v>99.146215855787588</c:v>
                </c:pt>
                <c:pt idx="139">
                  <c:v>97.758806581647676</c:v>
                </c:pt>
                <c:pt idx="140">
                  <c:v>95.944505235401564</c:v>
                </c:pt>
                <c:pt idx="141">
                  <c:v>95.944505235401564</c:v>
                </c:pt>
                <c:pt idx="142">
                  <c:v>94.450372943235095</c:v>
                </c:pt>
                <c:pt idx="143">
                  <c:v>95.410890145268795</c:v>
                </c:pt>
                <c:pt idx="144">
                  <c:v>94.877275055136053</c:v>
                </c:pt>
                <c:pt idx="145">
                  <c:v>96.051228253428107</c:v>
                </c:pt>
                <c:pt idx="146">
                  <c:v>96.47812032553432</c:v>
                </c:pt>
                <c:pt idx="147">
                  <c:v>96.371397307507777</c:v>
                </c:pt>
                <c:pt idx="148">
                  <c:v>100.21344603605311</c:v>
                </c:pt>
                <c:pt idx="149">
                  <c:v>99.039492837761031</c:v>
                </c:pt>
                <c:pt idx="150">
                  <c:v>99.786553963946901</c:v>
                </c:pt>
                <c:pt idx="151">
                  <c:v>100.21344603605311</c:v>
                </c:pt>
                <c:pt idx="152">
                  <c:v>100.85375402482821</c:v>
                </c:pt>
                <c:pt idx="153">
                  <c:v>100.85375402482821</c:v>
                </c:pt>
                <c:pt idx="154">
                  <c:v>100.74703100680166</c:v>
                </c:pt>
                <c:pt idx="155">
                  <c:v>100.64030798877511</c:v>
                </c:pt>
                <c:pt idx="156">
                  <c:v>102.02770722312029</c:v>
                </c:pt>
                <c:pt idx="157">
                  <c:v>101.5912773460164</c:v>
                </c:pt>
                <c:pt idx="158">
                  <c:v>102.3551049294087</c:v>
                </c:pt>
                <c:pt idx="159">
                  <c:v>100.93658233138693</c:v>
                </c:pt>
                <c:pt idx="160">
                  <c:v>102.24597236064589</c:v>
                </c:pt>
                <c:pt idx="161">
                  <c:v>101.37301220849079</c:v>
                </c:pt>
                <c:pt idx="162">
                  <c:v>101.80954248354203</c:v>
                </c:pt>
                <c:pt idx="163">
                  <c:v>100.82744976262413</c:v>
                </c:pt>
                <c:pt idx="164">
                  <c:v>103.88276009619329</c:v>
                </c:pt>
                <c:pt idx="165">
                  <c:v>105.0831179546368</c:v>
                </c:pt>
                <c:pt idx="166">
                  <c:v>105.30138309216241</c:v>
                </c:pt>
                <c:pt idx="167">
                  <c:v>104.973985385874</c:v>
                </c:pt>
                <c:pt idx="168">
                  <c:v>106.82903825894699</c:v>
                </c:pt>
                <c:pt idx="169">
                  <c:v>106.50174095060592</c:v>
                </c:pt>
                <c:pt idx="170">
                  <c:v>105.95607810679191</c:v>
                </c:pt>
                <c:pt idx="171">
                  <c:v>107.81113097986488</c:v>
                </c:pt>
                <c:pt idx="172">
                  <c:v>107.9202635486277</c:v>
                </c:pt>
                <c:pt idx="173">
                  <c:v>108.24766125491612</c:v>
                </c:pt>
                <c:pt idx="174">
                  <c:v>109.77531642170069</c:v>
                </c:pt>
                <c:pt idx="175">
                  <c:v>108.24766125491612</c:v>
                </c:pt>
                <c:pt idx="176">
                  <c:v>108.57495856325718</c:v>
                </c:pt>
                <c:pt idx="177">
                  <c:v>106.50174095060592</c:v>
                </c:pt>
                <c:pt idx="178">
                  <c:v>107.81113097986488</c:v>
                </c:pt>
                <c:pt idx="179">
                  <c:v>106.39260838184312</c:v>
                </c:pt>
                <c:pt idx="180">
                  <c:v>108.90235626954559</c:v>
                </c:pt>
                <c:pt idx="181">
                  <c:v>108.90235626954559</c:v>
                </c:pt>
                <c:pt idx="182">
                  <c:v>109.22975397583403</c:v>
                </c:pt>
                <c:pt idx="183">
                  <c:v>109.66618385293789</c:v>
                </c:pt>
                <c:pt idx="184">
                  <c:v>108.79322370078279</c:v>
                </c:pt>
                <c:pt idx="185">
                  <c:v>109.22975397583403</c:v>
                </c:pt>
                <c:pt idx="186">
                  <c:v>108.57495856325718</c:v>
                </c:pt>
                <c:pt idx="187">
                  <c:v>108.57495856325718</c:v>
                </c:pt>
                <c:pt idx="188">
                  <c:v>109.44791871541229</c:v>
                </c:pt>
                <c:pt idx="189">
                  <c:v>108.46582599449438</c:v>
                </c:pt>
                <c:pt idx="190">
                  <c:v>110.6482765738558</c:v>
                </c:pt>
                <c:pt idx="191">
                  <c:v>111.08470645095969</c:v>
                </c:pt>
                <c:pt idx="192">
                  <c:v>111.41210415724809</c:v>
                </c:pt>
                <c:pt idx="193">
                  <c:v>111.19383901972247</c:v>
                </c:pt>
                <c:pt idx="194">
                  <c:v>111.95776700106211</c:v>
                </c:pt>
                <c:pt idx="195">
                  <c:v>114.03098461371337</c:v>
                </c:pt>
                <c:pt idx="196">
                  <c:v>112.2850643094032</c:v>
                </c:pt>
                <c:pt idx="197">
                  <c:v>113.81271947618777</c:v>
                </c:pt>
                <c:pt idx="198">
                  <c:v>114.24924975123899</c:v>
                </c:pt>
                <c:pt idx="199">
                  <c:v>114.57664745752741</c:v>
                </c:pt>
                <c:pt idx="200">
                  <c:v>114.46751488876461</c:v>
                </c:pt>
                <c:pt idx="201">
                  <c:v>114.90394476586847</c:v>
                </c:pt>
                <c:pt idx="202">
                  <c:v>115.99517005554918</c:v>
                </c:pt>
                <c:pt idx="203">
                  <c:v>116.10430262431198</c:v>
                </c:pt>
                <c:pt idx="204">
                  <c:v>114.90394476586847</c:v>
                </c:pt>
                <c:pt idx="205">
                  <c:v>115.5587401784453</c:v>
                </c:pt>
                <c:pt idx="206">
                  <c:v>115.5587401784453</c:v>
                </c:pt>
                <c:pt idx="207">
                  <c:v>115.2313424721569</c:v>
                </c:pt>
                <c:pt idx="208">
                  <c:v>116.54073250141587</c:v>
                </c:pt>
                <c:pt idx="209">
                  <c:v>116.54073250141587</c:v>
                </c:pt>
                <c:pt idx="210">
                  <c:v>116.64986507017868</c:v>
                </c:pt>
                <c:pt idx="211">
                  <c:v>119.59614323293238</c:v>
                </c:pt>
                <c:pt idx="212">
                  <c:v>117.85022292862219</c:v>
                </c:pt>
                <c:pt idx="213">
                  <c:v>119.37787809540677</c:v>
                </c:pt>
                <c:pt idx="214">
                  <c:v>118.1776206349106</c:v>
                </c:pt>
                <c:pt idx="215">
                  <c:v>118.83231564954009</c:v>
                </c:pt>
                <c:pt idx="216">
                  <c:v>119.63951514618495</c:v>
                </c:pt>
                <c:pt idx="217">
                  <c:v>119.94864042605677</c:v>
                </c:pt>
                <c:pt idx="218">
                  <c:v>118.71203890862211</c:v>
                </c:pt>
                <c:pt idx="219">
                  <c:v>118.19679664285329</c:v>
                </c:pt>
                <c:pt idx="220">
                  <c:v>118.81514760054428</c:v>
                </c:pt>
                <c:pt idx="221">
                  <c:v>115.62058531400915</c:v>
                </c:pt>
                <c:pt idx="222">
                  <c:v>115.62058531400915</c:v>
                </c:pt>
                <c:pt idx="223">
                  <c:v>111.39563889388369</c:v>
                </c:pt>
                <c:pt idx="224">
                  <c:v>112.83825699926801</c:v>
                </c:pt>
                <c:pt idx="225">
                  <c:v>110.36515436234603</c:v>
                </c:pt>
                <c:pt idx="226">
                  <c:v>103.25477093555727</c:v>
                </c:pt>
                <c:pt idx="227">
                  <c:v>94.90783619030752</c:v>
                </c:pt>
                <c:pt idx="228">
                  <c:v>87.282230577339391</c:v>
                </c:pt>
                <c:pt idx="229">
                  <c:v>79.965770323832572</c:v>
                </c:pt>
                <c:pt idx="230">
                  <c:v>80.687109495908942</c:v>
                </c:pt>
                <c:pt idx="231">
                  <c:v>84.190766942931702</c:v>
                </c:pt>
                <c:pt idx="232">
                  <c:v>87.282230577339391</c:v>
                </c:pt>
                <c:pt idx="233">
                  <c:v>88.724918961286846</c:v>
                </c:pt>
                <c:pt idx="234">
                  <c:v>89.755403492824513</c:v>
                </c:pt>
                <c:pt idx="235">
                  <c:v>91.095033383823463</c:v>
                </c:pt>
                <c:pt idx="236">
                  <c:v>93.877351658769868</c:v>
                </c:pt>
                <c:pt idx="237">
                  <c:v>96.453562987614021</c:v>
                </c:pt>
                <c:pt idx="238">
                  <c:v>98.411493637330295</c:v>
                </c:pt>
                <c:pt idx="239">
                  <c:v>99.235881262560412</c:v>
                </c:pt>
                <c:pt idx="240">
                  <c:v>101.50292715235379</c:v>
                </c:pt>
                <c:pt idx="241">
                  <c:v>101.81205243222563</c:v>
                </c:pt>
                <c:pt idx="242">
                  <c:v>102.12127811004478</c:v>
                </c:pt>
                <c:pt idx="243">
                  <c:v>103.3577792295321</c:v>
                </c:pt>
                <c:pt idx="244">
                  <c:v>102.94564565568544</c:v>
                </c:pt>
                <c:pt idx="245">
                  <c:v>102.32729469799445</c:v>
                </c:pt>
                <c:pt idx="246">
                  <c:v>103.56389621542911</c:v>
                </c:pt>
                <c:pt idx="247">
                  <c:v>104.07913848119793</c:v>
                </c:pt>
                <c:pt idx="248">
                  <c:v>105.41884869055477</c:v>
                </c:pt>
                <c:pt idx="249">
                  <c:v>102.43040338991662</c:v>
                </c:pt>
                <c:pt idx="250">
                  <c:v>104.1822471731201</c:v>
                </c:pt>
                <c:pt idx="251">
                  <c:v>104.49137245299194</c:v>
                </c:pt>
                <c:pt idx="252">
                  <c:v>105.21273170465776</c:v>
                </c:pt>
                <c:pt idx="253">
                  <c:v>105.6248652785044</c:v>
                </c:pt>
                <c:pt idx="254">
                  <c:v>88.931005827799652</c:v>
                </c:pt>
                <c:pt idx="255">
                  <c:v>90.579791118054629</c:v>
                </c:pt>
                <c:pt idx="256">
                  <c:v>96.556611440767782</c:v>
                </c:pt>
                <c:pt idx="257">
                  <c:v>100.47244262081614</c:v>
                </c:pt>
                <c:pt idx="258">
                  <c:v>101.39991885837897</c:v>
                </c:pt>
                <c:pt idx="259">
                  <c:v>102.94564565568544</c:v>
                </c:pt>
                <c:pt idx="260">
                  <c:v>102.32729469799445</c:v>
                </c:pt>
                <c:pt idx="261">
                  <c:v>103.97613018722309</c:v>
                </c:pt>
                <c:pt idx="262">
                  <c:v>101.91516112414779</c:v>
                </c:pt>
                <c:pt idx="263">
                  <c:v>103.97613018722309</c:v>
                </c:pt>
                <c:pt idx="264">
                  <c:v>104.28525546709493</c:v>
                </c:pt>
                <c:pt idx="265">
                  <c:v>104.07913848119793</c:v>
                </c:pt>
                <c:pt idx="266">
                  <c:v>103.87302149530092</c:v>
                </c:pt>
                <c:pt idx="267">
                  <c:v>103.3577792295321</c:v>
                </c:pt>
                <c:pt idx="268">
                  <c:v>101.50292715235379</c:v>
                </c:pt>
                <c:pt idx="269">
                  <c:v>100.78156790068796</c:v>
                </c:pt>
                <c:pt idx="270">
                  <c:v>100.26636579409806</c:v>
                </c:pt>
                <c:pt idx="271">
                  <c:v>99.029784356252875</c:v>
                </c:pt>
                <c:pt idx="272">
                  <c:v>96.865756800229065</c:v>
                </c:pt>
                <c:pt idx="273">
                  <c:v>97.174902159690376</c:v>
                </c:pt>
                <c:pt idx="274">
                  <c:v>96.453562987614021</c:v>
                </c:pt>
                <c:pt idx="275">
                  <c:v>97.793192878612956</c:v>
                </c:pt>
                <c:pt idx="276">
                  <c:v>95.771660129254329</c:v>
                </c:pt>
                <c:pt idx="277">
                  <c:v>97.377896769424964</c:v>
                </c:pt>
                <c:pt idx="278">
                  <c:v>98.281408016956817</c:v>
                </c:pt>
                <c:pt idx="279">
                  <c:v>98.482183832055128</c:v>
                </c:pt>
                <c:pt idx="280">
                  <c:v>99.988022524881885</c:v>
                </c:pt>
                <c:pt idx="281">
                  <c:v>98.984123369800884</c:v>
                </c:pt>
                <c:pt idx="282">
                  <c:v>100.49001226160132</c:v>
                </c:pt>
                <c:pt idx="283">
                  <c:v>100.79110570568562</c:v>
                </c:pt>
                <c:pt idx="284">
                  <c:v>101.59428928443673</c:v>
                </c:pt>
                <c:pt idx="285">
                  <c:v>101.89538272852104</c:v>
                </c:pt>
                <c:pt idx="286">
                  <c:v>102.29697451789659</c:v>
                </c:pt>
                <c:pt idx="287">
                  <c:v>102.29697451789659</c:v>
                </c:pt>
                <c:pt idx="288">
                  <c:v>104.00363922479532</c:v>
                </c:pt>
                <c:pt idx="289">
                  <c:v>103.30085359338813</c:v>
                </c:pt>
                <c:pt idx="290">
                  <c:v>104.7063244582552</c:v>
                </c:pt>
                <c:pt idx="291">
                  <c:v>100.18880837977493</c:v>
                </c:pt>
                <c:pt idx="292">
                  <c:v>102.29697451789659</c:v>
                </c:pt>
                <c:pt idx="293">
                  <c:v>100.99190160037341</c:v>
                </c:pt>
                <c:pt idx="294">
                  <c:v>100.79110570568562</c:v>
                </c:pt>
                <c:pt idx="295">
                  <c:v>99.887634617332722</c:v>
                </c:pt>
                <c:pt idx="296">
                  <c:v>100.99190160037341</c:v>
                </c:pt>
                <c:pt idx="297">
                  <c:v>100.99190160037341</c:v>
                </c:pt>
                <c:pt idx="298">
                  <c:v>100.99190160037341</c:v>
                </c:pt>
                <c:pt idx="299">
                  <c:v>100.5904102089452</c:v>
                </c:pt>
                <c:pt idx="300">
                  <c:v>103.10005769870034</c:v>
                </c:pt>
                <c:pt idx="301">
                  <c:v>100.18880837977493</c:v>
                </c:pt>
                <c:pt idx="302">
                  <c:v>99.686858802234426</c:v>
                </c:pt>
                <c:pt idx="303">
                  <c:v>100.08842047222576</c:v>
                </c:pt>
                <c:pt idx="304">
                  <c:v>100.08842047222576</c:v>
                </c:pt>
                <c:pt idx="305">
                  <c:v>100.89150365302952</c:v>
                </c:pt>
                <c:pt idx="306">
                  <c:v>100.79110570568562</c:v>
                </c:pt>
                <c:pt idx="307">
                  <c:v>99.184909224693925</c:v>
                </c:pt>
                <c:pt idx="308">
                  <c:v>100.89150365302952</c:v>
                </c:pt>
                <c:pt idx="309">
                  <c:v>100.99190160037341</c:v>
                </c:pt>
                <c:pt idx="310">
                  <c:v>100.38958419487322</c:v>
                </c:pt>
                <c:pt idx="311">
                  <c:v>98.482183832055128</c:v>
                </c:pt>
                <c:pt idx="312">
                  <c:v>100.69070775834174</c:v>
                </c:pt>
                <c:pt idx="313">
                  <c:v>99.887634617332722</c:v>
                </c:pt>
                <c:pt idx="314">
                  <c:v>100.28919628732406</c:v>
                </c:pt>
                <c:pt idx="315">
                  <c:v>99.586460854890547</c:v>
                </c:pt>
                <c:pt idx="316">
                  <c:v>99.084511277350046</c:v>
                </c:pt>
                <c:pt idx="317">
                  <c:v>99.586460854890547</c:v>
                </c:pt>
                <c:pt idx="318">
                  <c:v>100.08842047222576</c:v>
                </c:pt>
                <c:pt idx="319">
                  <c:v>100.99190160037341</c:v>
                </c:pt>
                <c:pt idx="320">
                  <c:v>101.39349338974895</c:v>
                </c:pt>
                <c:pt idx="321">
                  <c:v>101.49389133709283</c:v>
                </c:pt>
                <c:pt idx="322">
                  <c:v>102.49777041258436</c:v>
                </c:pt>
                <c:pt idx="323">
                  <c:v>101.89538272852104</c:v>
                </c:pt>
                <c:pt idx="324">
                  <c:v>101.09229954771729</c:v>
                </c:pt>
                <c:pt idx="325">
                  <c:v>101.79498478117715</c:v>
                </c:pt>
                <c:pt idx="326">
                  <c:v>101.89538272852104</c:v>
                </c:pt>
                <c:pt idx="327">
                  <c:v>104.20443511948309</c:v>
                </c:pt>
                <c:pt idx="328">
                  <c:v>102.59816835992825</c:v>
                </c:pt>
                <c:pt idx="329">
                  <c:v>103.40125154073201</c:v>
                </c:pt>
                <c:pt idx="330">
                  <c:v>102.89936220195992</c:v>
                </c:pt>
                <c:pt idx="331">
                  <c:v>104.20443511948309</c:v>
                </c:pt>
                <c:pt idx="332">
                  <c:v>102.9997601493038</c:v>
                </c:pt>
                <c:pt idx="333">
                  <c:v>103.60204743541978</c:v>
                </c:pt>
                <c:pt idx="334">
                  <c:v>104.40513061622353</c:v>
                </c:pt>
                <c:pt idx="335">
                  <c:v>105.91099942843449</c:v>
                </c:pt>
                <c:pt idx="336">
                  <c:v>101.69468723178062</c:v>
                </c:pt>
                <c:pt idx="337">
                  <c:v>104.20443511948309</c:v>
                </c:pt>
                <c:pt idx="338">
                  <c:v>105.30871214231851</c:v>
                </c:pt>
                <c:pt idx="339">
                  <c:v>104.7063244582552</c:v>
                </c:pt>
                <c:pt idx="340">
                  <c:v>105.00751830028686</c:v>
                </c:pt>
                <c:pt idx="341">
                  <c:v>104.00363922479532</c:v>
                </c:pt>
                <c:pt idx="342">
                  <c:v>104.20443511948309</c:v>
                </c:pt>
                <c:pt idx="343">
                  <c:v>104.00363922479532</c:v>
                </c:pt>
                <c:pt idx="344">
                  <c:v>103.70244538276366</c:v>
                </c:pt>
                <c:pt idx="345">
                  <c:v>105.71020353374672</c:v>
                </c:pt>
                <c:pt idx="346">
                  <c:v>104.50552856356742</c:v>
                </c:pt>
                <c:pt idx="347">
                  <c:v>104.80672240559907</c:v>
                </c:pt>
                <c:pt idx="348">
                  <c:v>102.79896425461602</c:v>
                </c:pt>
                <c:pt idx="349">
                  <c:v>103.30085359338813</c:v>
                </c:pt>
                <c:pt idx="350">
                  <c:v>102.89936220195992</c:v>
                </c:pt>
                <c:pt idx="351">
                  <c:v>103.10005769870034</c:v>
                </c:pt>
                <c:pt idx="352">
                  <c:v>104.30473266887964</c:v>
                </c:pt>
                <c:pt idx="353">
                  <c:v>101.79498478117715</c:v>
                </c:pt>
                <c:pt idx="354">
                  <c:v>102.19657657055271</c:v>
                </c:pt>
                <c:pt idx="355">
                  <c:v>100.89150365302952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35E-5148-B03A-40C5B872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6-D644-92ED-83203D6C86AF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6-D644-92ED-83203D6C8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World'!$J$2:$J$358</c:f>
              <c:numCache>
                <c:formatCode>0.00</c:formatCode>
                <c:ptCount val="357"/>
                <c:pt idx="0">
                  <c:v>94.389744996025598</c:v>
                </c:pt>
                <c:pt idx="1">
                  <c:v>93.979365034824042</c:v>
                </c:pt>
                <c:pt idx="2">
                  <c:v>94.882219568041108</c:v>
                </c:pt>
                <c:pt idx="3">
                  <c:v>93.240659826291363</c:v>
                </c:pt>
                <c:pt idx="4">
                  <c:v>95.620924776573801</c:v>
                </c:pt>
                <c:pt idx="5">
                  <c:v>95.620924776573801</c:v>
                </c:pt>
                <c:pt idx="6">
                  <c:v>96.523779309790854</c:v>
                </c:pt>
                <c:pt idx="7">
                  <c:v>97.098335193639144</c:v>
                </c:pt>
                <c:pt idx="8">
                  <c:v>98.001189726856211</c:v>
                </c:pt>
                <c:pt idx="9">
                  <c:v>98.165339051540585</c:v>
                </c:pt>
                <c:pt idx="10">
                  <c:v>98.165339051540585</c:v>
                </c:pt>
                <c:pt idx="11">
                  <c:v>98.575732311723328</c:v>
                </c:pt>
                <c:pt idx="12">
                  <c:v>101.59574475159033</c:v>
                </c:pt>
                <c:pt idx="13">
                  <c:v>100.39894283738816</c:v>
                </c:pt>
                <c:pt idx="14">
                  <c:v>99.734046974395341</c:v>
                </c:pt>
                <c:pt idx="15">
                  <c:v>98.936174598600175</c:v>
                </c:pt>
                <c:pt idx="16">
                  <c:v>97.340429847009844</c:v>
                </c:pt>
                <c:pt idx="17">
                  <c:v>101.59574475159033</c:v>
                </c:pt>
                <c:pt idx="18">
                  <c:v>98.670221572995516</c:v>
                </c:pt>
                <c:pt idx="19">
                  <c:v>97.074476821405185</c:v>
                </c:pt>
                <c:pt idx="20">
                  <c:v>96.808510496819352</c:v>
                </c:pt>
                <c:pt idx="21">
                  <c:v>98.271278735607339</c:v>
                </c:pt>
                <c:pt idx="22">
                  <c:v>99.335117435988352</c:v>
                </c:pt>
                <c:pt idx="23">
                  <c:v>99.468093948790667</c:v>
                </c:pt>
                <c:pt idx="24">
                  <c:v>100.66490916197402</c:v>
                </c:pt>
                <c:pt idx="25">
                  <c:v>102.39361712738548</c:v>
                </c:pt>
                <c:pt idx="26">
                  <c:v>99.468093948790667</c:v>
                </c:pt>
                <c:pt idx="27">
                  <c:v>99.335117435988352</c:v>
                </c:pt>
                <c:pt idx="28">
                  <c:v>98.670221572995516</c:v>
                </c:pt>
                <c:pt idx="29">
                  <c:v>97.074476821405185</c:v>
                </c:pt>
                <c:pt idx="30">
                  <c:v>95.345742258031351</c:v>
                </c:pt>
                <c:pt idx="31">
                  <c:v>95.611708582617183</c:v>
                </c:pt>
                <c:pt idx="32">
                  <c:v>94.813836206822032</c:v>
                </c:pt>
                <c:pt idx="33">
                  <c:v>94.680859694019688</c:v>
                </c:pt>
                <c:pt idx="34">
                  <c:v>93.218091455231701</c:v>
                </c:pt>
                <c:pt idx="35">
                  <c:v>91.622346703641384</c:v>
                </c:pt>
                <c:pt idx="36">
                  <c:v>90.558508003260371</c:v>
                </c:pt>
                <c:pt idx="37">
                  <c:v>89.228729576255887</c:v>
                </c:pt>
                <c:pt idx="38">
                  <c:v>89.361706089058217</c:v>
                </c:pt>
                <c:pt idx="39">
                  <c:v>88.696810226065395</c:v>
                </c:pt>
                <c:pt idx="40">
                  <c:v>88.696810226065395</c:v>
                </c:pt>
                <c:pt idx="41">
                  <c:v>88.031914363072559</c:v>
                </c:pt>
                <c:pt idx="42">
                  <c:v>86.037240073075239</c:v>
                </c:pt>
                <c:pt idx="43">
                  <c:v>89.760648926446407</c:v>
                </c:pt>
                <c:pt idx="44">
                  <c:v>89.361706089058217</c:v>
                </c:pt>
                <c:pt idx="45">
                  <c:v>89.361706089058217</c:v>
                </c:pt>
                <c:pt idx="46">
                  <c:v>88.563833713263051</c:v>
                </c:pt>
                <c:pt idx="47">
                  <c:v>89.627672413644063</c:v>
                </c:pt>
                <c:pt idx="48">
                  <c:v>89.228729576255887</c:v>
                </c:pt>
                <c:pt idx="49">
                  <c:v>90.558508003260371</c:v>
                </c:pt>
                <c:pt idx="50">
                  <c:v>90.159578464853382</c:v>
                </c:pt>
                <c:pt idx="51">
                  <c:v>91.223403866253207</c:v>
                </c:pt>
                <c:pt idx="52">
                  <c:v>90.824474327846204</c:v>
                </c:pt>
                <c:pt idx="53">
                  <c:v>91.48937019083904</c:v>
                </c:pt>
                <c:pt idx="54">
                  <c:v>91.090427353450877</c:v>
                </c:pt>
                <c:pt idx="55">
                  <c:v>91.090427353450877</c:v>
                </c:pt>
                <c:pt idx="56">
                  <c:v>92.420219079436535</c:v>
                </c:pt>
                <c:pt idx="57">
                  <c:v>94.148940343829196</c:v>
                </c:pt>
                <c:pt idx="58">
                  <c:v>94.680859694019688</c:v>
                </c:pt>
                <c:pt idx="59">
                  <c:v>94.680859694019688</c:v>
                </c:pt>
                <c:pt idx="60">
                  <c:v>92.819148617843524</c:v>
                </c:pt>
                <c:pt idx="61">
                  <c:v>94.148940343829196</c:v>
                </c:pt>
                <c:pt idx="62">
                  <c:v>93.085101643448183</c:v>
                </c:pt>
                <c:pt idx="63">
                  <c:v>93.617020993638704</c:v>
                </c:pt>
                <c:pt idx="64">
                  <c:v>94.148940343829196</c:v>
                </c:pt>
                <c:pt idx="65">
                  <c:v>93.085101643448183</c:v>
                </c:pt>
                <c:pt idx="66">
                  <c:v>92.819148617843524</c:v>
                </c:pt>
                <c:pt idx="67">
                  <c:v>91.755323216443699</c:v>
                </c:pt>
                <c:pt idx="68">
                  <c:v>93.617020993638704</c:v>
                </c:pt>
                <c:pt idx="69">
                  <c:v>91.223403866253207</c:v>
                </c:pt>
                <c:pt idx="70">
                  <c:v>91.755323216443699</c:v>
                </c:pt>
                <c:pt idx="71">
                  <c:v>91.755323216443699</c:v>
                </c:pt>
                <c:pt idx="72">
                  <c:v>92.154266053831876</c:v>
                </c:pt>
                <c:pt idx="73">
                  <c:v>91.356380379055537</c:v>
                </c:pt>
                <c:pt idx="74">
                  <c:v>91.48937019083904</c:v>
                </c:pt>
                <c:pt idx="75">
                  <c:v>91.48937019083904</c:v>
                </c:pt>
                <c:pt idx="76">
                  <c:v>92.28724256663422</c:v>
                </c:pt>
                <c:pt idx="77">
                  <c:v>92.819148617843524</c:v>
                </c:pt>
                <c:pt idx="78">
                  <c:v>91.755323216443699</c:v>
                </c:pt>
                <c:pt idx="79">
                  <c:v>92.952125130645868</c:v>
                </c:pt>
                <c:pt idx="80">
                  <c:v>93.750010805422207</c:v>
                </c:pt>
                <c:pt idx="81">
                  <c:v>92.420219079436535</c:v>
                </c:pt>
                <c:pt idx="82">
                  <c:v>93.750010805422207</c:v>
                </c:pt>
                <c:pt idx="83">
                  <c:v>93.750010805422207</c:v>
                </c:pt>
                <c:pt idx="84">
                  <c:v>92.553195592238879</c:v>
                </c:pt>
                <c:pt idx="85">
                  <c:v>93.882987318224536</c:v>
                </c:pt>
                <c:pt idx="86">
                  <c:v>94.946812719624347</c:v>
                </c:pt>
                <c:pt idx="87">
                  <c:v>94.547883181217372</c:v>
                </c:pt>
                <c:pt idx="88">
                  <c:v>93.35106796803403</c:v>
                </c:pt>
                <c:pt idx="89">
                  <c:v>97.074476821405185</c:v>
                </c:pt>
                <c:pt idx="90">
                  <c:v>98.138302222805024</c:v>
                </c:pt>
                <c:pt idx="91">
                  <c:v>94.946812719624347</c:v>
                </c:pt>
                <c:pt idx="92">
                  <c:v>95.744685095419527</c:v>
                </c:pt>
                <c:pt idx="93">
                  <c:v>97.074476821405185</c:v>
                </c:pt>
                <c:pt idx="94">
                  <c:v>97.606382872614503</c:v>
                </c:pt>
                <c:pt idx="95">
                  <c:v>98.537245060193172</c:v>
                </c:pt>
                <c:pt idx="96">
                  <c:v>99.601070461593011</c:v>
                </c:pt>
                <c:pt idx="97">
                  <c:v>99.335117435988352</c:v>
                </c:pt>
                <c:pt idx="98">
                  <c:v>100.66490916197402</c:v>
                </c:pt>
                <c:pt idx="99">
                  <c:v>99.734046974395341</c:v>
                </c:pt>
                <c:pt idx="100">
                  <c:v>100.26595302560466</c:v>
                </c:pt>
                <c:pt idx="101">
                  <c:v>99.468093948790667</c:v>
                </c:pt>
                <c:pt idx="102">
                  <c:v>101.59574475159033</c:v>
                </c:pt>
                <c:pt idx="103">
                  <c:v>99.335117435988352</c:v>
                </c:pt>
                <c:pt idx="104">
                  <c:v>98.670221572995516</c:v>
                </c:pt>
                <c:pt idx="105">
                  <c:v>99.335117435988352</c:v>
                </c:pt>
                <c:pt idx="106">
                  <c:v>98.00532571000268</c:v>
                </c:pt>
                <c:pt idx="107">
                  <c:v>98.404268547390856</c:v>
                </c:pt>
                <c:pt idx="108">
                  <c:v>100</c:v>
                </c:pt>
                <c:pt idx="109">
                  <c:v>98.138302222805024</c:v>
                </c:pt>
                <c:pt idx="110">
                  <c:v>98.803198085797831</c:v>
                </c:pt>
                <c:pt idx="111">
                  <c:v>99.468093948790667</c:v>
                </c:pt>
                <c:pt idx="112">
                  <c:v>100.13297651280232</c:v>
                </c:pt>
                <c:pt idx="113">
                  <c:v>100.13297651280232</c:v>
                </c:pt>
                <c:pt idx="114">
                  <c:v>100.93086218757867</c:v>
                </c:pt>
                <c:pt idx="115">
                  <c:v>101.86171107617616</c:v>
                </c:pt>
                <c:pt idx="116">
                  <c:v>101.46276823878799</c:v>
                </c:pt>
                <c:pt idx="117">
                  <c:v>102.52659364018781</c:v>
                </c:pt>
                <c:pt idx="118">
                  <c:v>102.39361712738548</c:v>
                </c:pt>
                <c:pt idx="119">
                  <c:v>102.52659364018781</c:v>
                </c:pt>
                <c:pt idx="120">
                  <c:v>101.72872126439266</c:v>
                </c:pt>
                <c:pt idx="121">
                  <c:v>104.25532820356165</c:v>
                </c:pt>
                <c:pt idx="122">
                  <c:v>104.38830471636398</c:v>
                </c:pt>
                <c:pt idx="123">
                  <c:v>105.71809644234965</c:v>
                </c:pt>
                <c:pt idx="124">
                  <c:v>108.24469008253746</c:v>
                </c:pt>
                <c:pt idx="125">
                  <c:v>105.85107295515196</c:v>
                </c:pt>
                <c:pt idx="126">
                  <c:v>107.57979421954462</c:v>
                </c:pt>
                <c:pt idx="127">
                  <c:v>108.64361962094446</c:v>
                </c:pt>
                <c:pt idx="128">
                  <c:v>108.77659613374679</c:v>
                </c:pt>
                <c:pt idx="129">
                  <c:v>108.3776665953398</c:v>
                </c:pt>
                <c:pt idx="130">
                  <c:v>109.3085154839373</c:v>
                </c:pt>
                <c:pt idx="131">
                  <c:v>109.97341134693012</c:v>
                </c:pt>
                <c:pt idx="132">
                  <c:v>109.70745832132545</c:v>
                </c:pt>
                <c:pt idx="133">
                  <c:v>110.90426023552762</c:v>
                </c:pt>
                <c:pt idx="134">
                  <c:v>109.04254915935145</c:v>
                </c:pt>
                <c:pt idx="135">
                  <c:v>107.18085138215645</c:v>
                </c:pt>
                <c:pt idx="136">
                  <c:v>108.3776665953398</c:v>
                </c:pt>
                <c:pt idx="137">
                  <c:v>108.90957264654912</c:v>
                </c:pt>
                <c:pt idx="138">
                  <c:v>105.5851199295473</c:v>
                </c:pt>
                <c:pt idx="139">
                  <c:v>108.51064310814212</c:v>
                </c:pt>
                <c:pt idx="140">
                  <c:v>107.04787486935413</c:v>
                </c:pt>
                <c:pt idx="141">
                  <c:v>105.18617709215916</c:v>
                </c:pt>
                <c:pt idx="142">
                  <c:v>103.85638536617348</c:v>
                </c:pt>
                <c:pt idx="143">
                  <c:v>104.52128122916632</c:v>
                </c:pt>
                <c:pt idx="144">
                  <c:v>105.05320057935681</c:v>
                </c:pt>
                <c:pt idx="145">
                  <c:v>105.31915360496147</c:v>
                </c:pt>
                <c:pt idx="146">
                  <c:v>105.5851199295473</c:v>
                </c:pt>
                <c:pt idx="147">
                  <c:v>105.71809644234965</c:v>
                </c:pt>
                <c:pt idx="148">
                  <c:v>104.65425774196864</c:v>
                </c:pt>
                <c:pt idx="149">
                  <c:v>107.57979421954462</c:v>
                </c:pt>
                <c:pt idx="150">
                  <c:v>105.5851199295473</c:v>
                </c:pt>
                <c:pt idx="151">
                  <c:v>108.11171356973513</c:v>
                </c:pt>
                <c:pt idx="152">
                  <c:v>106.64893203196596</c:v>
                </c:pt>
                <c:pt idx="153">
                  <c:v>105.85107295515196</c:v>
                </c:pt>
                <c:pt idx="154">
                  <c:v>107.71277073234697</c:v>
                </c:pt>
                <c:pt idx="155">
                  <c:v>105.85107295515196</c:v>
                </c:pt>
                <c:pt idx="156">
                  <c:v>106.64893203196596</c:v>
                </c:pt>
                <c:pt idx="157">
                  <c:v>106.64893203196596</c:v>
                </c:pt>
                <c:pt idx="158">
                  <c:v>106.3829790063613</c:v>
                </c:pt>
                <c:pt idx="159">
                  <c:v>106.11702598075664</c:v>
                </c:pt>
                <c:pt idx="160">
                  <c:v>105.18617709215916</c:v>
                </c:pt>
                <c:pt idx="161">
                  <c:v>104.65425774196864</c:v>
                </c:pt>
                <c:pt idx="162">
                  <c:v>107.18085138215645</c:v>
                </c:pt>
                <c:pt idx="163">
                  <c:v>104.52128122916632</c:v>
                </c:pt>
                <c:pt idx="164">
                  <c:v>104.25532820356165</c:v>
                </c:pt>
                <c:pt idx="165">
                  <c:v>107.44681770674231</c:v>
                </c:pt>
                <c:pt idx="166">
                  <c:v>108.51064310814212</c:v>
                </c:pt>
                <c:pt idx="167">
                  <c:v>109.04254915935145</c:v>
                </c:pt>
                <c:pt idx="168">
                  <c:v>108.11171356973513</c:v>
                </c:pt>
                <c:pt idx="169">
                  <c:v>108.64361962094446</c:v>
                </c:pt>
                <c:pt idx="170">
                  <c:v>107.9787370569328</c:v>
                </c:pt>
                <c:pt idx="171">
                  <c:v>109.57448180852313</c:v>
                </c:pt>
                <c:pt idx="172">
                  <c:v>110.77128372272529</c:v>
                </c:pt>
                <c:pt idx="173">
                  <c:v>109.97341134693012</c:v>
                </c:pt>
                <c:pt idx="174">
                  <c:v>111.30318977393461</c:v>
                </c:pt>
                <c:pt idx="175">
                  <c:v>110.23936437253478</c:v>
                </c:pt>
                <c:pt idx="176">
                  <c:v>109.97341134693012</c:v>
                </c:pt>
                <c:pt idx="177">
                  <c:v>111.30318977393461</c:v>
                </c:pt>
                <c:pt idx="178">
                  <c:v>109.44149199673961</c:v>
                </c:pt>
                <c:pt idx="179">
                  <c:v>108.90957264654912</c:v>
                </c:pt>
                <c:pt idx="180">
                  <c:v>112.23405196151329</c:v>
                </c:pt>
                <c:pt idx="181">
                  <c:v>110.50533069712063</c:v>
                </c:pt>
                <c:pt idx="182">
                  <c:v>111.96809893590861</c:v>
                </c:pt>
                <c:pt idx="183">
                  <c:v>112.76595801272259</c:v>
                </c:pt>
                <c:pt idx="184">
                  <c:v>111.30318977393461</c:v>
                </c:pt>
                <c:pt idx="185">
                  <c:v>113.69680690132009</c:v>
                </c:pt>
                <c:pt idx="186">
                  <c:v>115.42554146469394</c:v>
                </c:pt>
                <c:pt idx="187">
                  <c:v>112.10107544871094</c:v>
                </c:pt>
                <c:pt idx="188">
                  <c:v>115.29255165291042</c:v>
                </c:pt>
                <c:pt idx="189">
                  <c:v>117.55319226749357</c:v>
                </c:pt>
                <c:pt idx="190">
                  <c:v>116.22341384048909</c:v>
                </c:pt>
                <c:pt idx="191">
                  <c:v>115.95744751590325</c:v>
                </c:pt>
                <c:pt idx="192">
                  <c:v>116.62235667787726</c:v>
                </c:pt>
                <c:pt idx="193">
                  <c:v>117.28723924188891</c:v>
                </c:pt>
                <c:pt idx="194">
                  <c:v>116.22341384048909</c:v>
                </c:pt>
                <c:pt idx="195">
                  <c:v>118.88298399347924</c:v>
                </c:pt>
                <c:pt idx="196">
                  <c:v>120.6117052578719</c:v>
                </c:pt>
                <c:pt idx="197">
                  <c:v>119.94680939487907</c:v>
                </c:pt>
                <c:pt idx="198">
                  <c:v>122.07447349665989</c:v>
                </c:pt>
                <c:pt idx="199">
                  <c:v>122.87234587245506</c:v>
                </c:pt>
                <c:pt idx="200">
                  <c:v>122.73936935965273</c:v>
                </c:pt>
                <c:pt idx="201">
                  <c:v>122.47340303506688</c:v>
                </c:pt>
                <c:pt idx="202">
                  <c:v>124.6010671368477</c:v>
                </c:pt>
                <c:pt idx="203">
                  <c:v>125.79788235003105</c:v>
                </c:pt>
                <c:pt idx="204">
                  <c:v>126.46277821302387</c:v>
                </c:pt>
                <c:pt idx="205">
                  <c:v>126.9946842642332</c:v>
                </c:pt>
                <c:pt idx="206">
                  <c:v>127.65958012722604</c:v>
                </c:pt>
                <c:pt idx="207">
                  <c:v>126.46277821302387</c:v>
                </c:pt>
                <c:pt idx="208">
                  <c:v>128.72340552862585</c:v>
                </c:pt>
                <c:pt idx="209">
                  <c:v>128.59042901582353</c:v>
                </c:pt>
                <c:pt idx="210">
                  <c:v>129.52127790442103</c:v>
                </c:pt>
                <c:pt idx="211">
                  <c:v>129.9202207418092</c:v>
                </c:pt>
                <c:pt idx="212">
                  <c:v>131.24999916881367</c:v>
                </c:pt>
                <c:pt idx="213">
                  <c:v>131.38298898059719</c:v>
                </c:pt>
                <c:pt idx="214">
                  <c:v>131.11702265601133</c:v>
                </c:pt>
                <c:pt idx="215">
                  <c:v>132.446814381997</c:v>
                </c:pt>
                <c:pt idx="216">
                  <c:v>134.44152856893785</c:v>
                </c:pt>
                <c:pt idx="217">
                  <c:v>134.04255913358733</c:v>
                </c:pt>
                <c:pt idx="218">
                  <c:v>133.11176344091456</c:v>
                </c:pt>
                <c:pt idx="219">
                  <c:v>133.3776100746698</c:v>
                </c:pt>
                <c:pt idx="220">
                  <c:v>130.71809311760435</c:v>
                </c:pt>
                <c:pt idx="221">
                  <c:v>132.18086135639237</c:v>
                </c:pt>
                <c:pt idx="222">
                  <c:v>129.9202207418092</c:v>
                </c:pt>
                <c:pt idx="223">
                  <c:v>132.57980419378052</c:v>
                </c:pt>
                <c:pt idx="224">
                  <c:v>129.52127790442103</c:v>
                </c:pt>
                <c:pt idx="225">
                  <c:v>126.72873123862854</c:v>
                </c:pt>
                <c:pt idx="226">
                  <c:v>121.1436246080624</c:v>
                </c:pt>
                <c:pt idx="227">
                  <c:v>116.62235667787726</c:v>
                </c:pt>
                <c:pt idx="228">
                  <c:v>107.31384119393998</c:v>
                </c:pt>
                <c:pt idx="229">
                  <c:v>103.9893618789758</c:v>
                </c:pt>
                <c:pt idx="230">
                  <c:v>104.38830471636398</c:v>
                </c:pt>
                <c:pt idx="231">
                  <c:v>101.32979172598567</c:v>
                </c:pt>
                <c:pt idx="232">
                  <c:v>105.98404946795431</c:v>
                </c:pt>
                <c:pt idx="233">
                  <c:v>106.78192184374947</c:v>
                </c:pt>
                <c:pt idx="234">
                  <c:v>105.71809644234965</c:v>
                </c:pt>
                <c:pt idx="235">
                  <c:v>107.04787486935413</c:v>
                </c:pt>
                <c:pt idx="236">
                  <c:v>111.83510912412511</c:v>
                </c:pt>
                <c:pt idx="237">
                  <c:v>109.44149199673961</c:v>
                </c:pt>
                <c:pt idx="238">
                  <c:v>110.77128372272529</c:v>
                </c:pt>
                <c:pt idx="239">
                  <c:v>110.77128372272529</c:v>
                </c:pt>
                <c:pt idx="240">
                  <c:v>111.83510912412511</c:v>
                </c:pt>
                <c:pt idx="241">
                  <c:v>110.77128372272529</c:v>
                </c:pt>
                <c:pt idx="242">
                  <c:v>114.49469257609644</c:v>
                </c:pt>
                <c:pt idx="243">
                  <c:v>116.62235667787726</c:v>
                </c:pt>
                <c:pt idx="244">
                  <c:v>120.21276242048373</c:v>
                </c:pt>
                <c:pt idx="245">
                  <c:v>119.81383288207672</c:v>
                </c:pt>
                <c:pt idx="246">
                  <c:v>119.01597380526275</c:v>
                </c:pt>
                <c:pt idx="247">
                  <c:v>121.01064809526007</c:v>
                </c:pt>
                <c:pt idx="248">
                  <c:v>122.87234587245506</c:v>
                </c:pt>
                <c:pt idx="249">
                  <c:v>125.53192932442639</c:v>
                </c:pt>
                <c:pt idx="250">
                  <c:v>124.86702016245236</c:v>
                </c:pt>
                <c:pt idx="251">
                  <c:v>126.86170775143086</c:v>
                </c:pt>
                <c:pt idx="252">
                  <c:v>126.59575472582621</c:v>
                </c:pt>
                <c:pt idx="253">
                  <c:v>128.05852296461421</c:v>
                </c:pt>
                <c:pt idx="254">
                  <c:v>128.85638204142819</c:v>
                </c:pt>
                <c:pt idx="255">
                  <c:v>129.65425441722334</c:v>
                </c:pt>
                <c:pt idx="256">
                  <c:v>131.24999916881367</c:v>
                </c:pt>
                <c:pt idx="257">
                  <c:v>129.12234836601402</c:v>
                </c:pt>
                <c:pt idx="258">
                  <c:v>133.11176344091456</c:v>
                </c:pt>
                <c:pt idx="259">
                  <c:v>132.04788484359</c:v>
                </c:pt>
                <c:pt idx="260">
                  <c:v>130.05319725461152</c:v>
                </c:pt>
                <c:pt idx="261">
                  <c:v>131.51596549339951</c:v>
                </c:pt>
                <c:pt idx="262">
                  <c:v>130.58511660480201</c:v>
                </c:pt>
                <c:pt idx="263">
                  <c:v>128.72340552862585</c:v>
                </c:pt>
                <c:pt idx="264">
                  <c:v>129.38830139161868</c:v>
                </c:pt>
                <c:pt idx="265">
                  <c:v>129.25532487881637</c:v>
                </c:pt>
                <c:pt idx="266">
                  <c:v>130.8510696304067</c:v>
                </c:pt>
                <c:pt idx="267">
                  <c:v>128.45745250302119</c:v>
                </c:pt>
                <c:pt idx="268">
                  <c:v>130.98404614320901</c:v>
                </c:pt>
                <c:pt idx="269">
                  <c:v>129.38830139161868</c:v>
                </c:pt>
                <c:pt idx="270">
                  <c:v>130.8510696304067</c:v>
                </c:pt>
                <c:pt idx="271">
                  <c:v>130.8510696304067</c:v>
                </c:pt>
                <c:pt idx="272">
                  <c:v>129.12234836601402</c:v>
                </c:pt>
                <c:pt idx="273">
                  <c:v>127.39362710162136</c:v>
                </c:pt>
                <c:pt idx="274">
                  <c:v>126.46277821302387</c:v>
                </c:pt>
                <c:pt idx="275">
                  <c:v>127.52660361442369</c:v>
                </c:pt>
                <c:pt idx="276">
                  <c:v>125.93085886283338</c:v>
                </c:pt>
                <c:pt idx="277">
                  <c:v>126.9946842642332</c:v>
                </c:pt>
                <c:pt idx="278">
                  <c:v>128.72340552862585</c:v>
                </c:pt>
                <c:pt idx="279">
                  <c:v>129.12234836601402</c:v>
                </c:pt>
                <c:pt idx="280">
                  <c:v>128.32447599021887</c:v>
                </c:pt>
                <c:pt idx="281">
                  <c:v>130.58511660480201</c:v>
                </c:pt>
                <c:pt idx="282">
                  <c:v>128.32447599021887</c:v>
                </c:pt>
                <c:pt idx="283">
                  <c:v>131.24999916881367</c:v>
                </c:pt>
                <c:pt idx="284">
                  <c:v>130.58511660480201</c:v>
                </c:pt>
                <c:pt idx="285">
                  <c:v>129.65425441722334</c:v>
                </c:pt>
                <c:pt idx="286">
                  <c:v>132.57980419378052</c:v>
                </c:pt>
                <c:pt idx="287">
                  <c:v>132.71278070658286</c:v>
                </c:pt>
                <c:pt idx="288">
                  <c:v>132.04788484359</c:v>
                </c:pt>
                <c:pt idx="289">
                  <c:v>132.18086135639237</c:v>
                </c:pt>
                <c:pt idx="290">
                  <c:v>132.71278070658286</c:v>
                </c:pt>
                <c:pt idx="291">
                  <c:v>132.18086135639237</c:v>
                </c:pt>
                <c:pt idx="292">
                  <c:v>131.24999916881367</c:v>
                </c:pt>
                <c:pt idx="293">
                  <c:v>131.38298898059719</c:v>
                </c:pt>
                <c:pt idx="294">
                  <c:v>134.17554894537085</c:v>
                </c:pt>
                <c:pt idx="295">
                  <c:v>128.59042901582353</c:v>
                </c:pt>
                <c:pt idx="296">
                  <c:v>131.78191851900417</c:v>
                </c:pt>
                <c:pt idx="297">
                  <c:v>132.04788484359</c:v>
                </c:pt>
                <c:pt idx="298">
                  <c:v>132.18086135639237</c:v>
                </c:pt>
                <c:pt idx="299">
                  <c:v>134.44152856893785</c:v>
                </c:pt>
                <c:pt idx="300">
                  <c:v>131.51596549339951</c:v>
                </c:pt>
                <c:pt idx="301">
                  <c:v>132.18086135639237</c:v>
                </c:pt>
                <c:pt idx="302">
                  <c:v>132.18086135639237</c:v>
                </c:pt>
                <c:pt idx="303">
                  <c:v>132.97873373218749</c:v>
                </c:pt>
                <c:pt idx="304">
                  <c:v>133.11176344091456</c:v>
                </c:pt>
                <c:pt idx="305">
                  <c:v>132.97873373218749</c:v>
                </c:pt>
                <c:pt idx="306">
                  <c:v>134.84036501447659</c:v>
                </c:pt>
                <c:pt idx="307">
                  <c:v>131.24999916881367</c:v>
                </c:pt>
                <c:pt idx="308">
                  <c:v>132.04788484359</c:v>
                </c:pt>
                <c:pt idx="309">
                  <c:v>133.24475325269805</c:v>
                </c:pt>
                <c:pt idx="310">
                  <c:v>132.04788484359</c:v>
                </c:pt>
                <c:pt idx="311">
                  <c:v>133.11176344091456</c:v>
                </c:pt>
                <c:pt idx="312">
                  <c:v>135.63830388517766</c:v>
                </c:pt>
                <c:pt idx="313">
                  <c:v>135.23933444982714</c:v>
                </c:pt>
                <c:pt idx="314">
                  <c:v>133.64358969823681</c:v>
                </c:pt>
                <c:pt idx="315">
                  <c:v>134.57451838072137</c:v>
                </c:pt>
                <c:pt idx="316">
                  <c:v>132.04788484359</c:v>
                </c:pt>
                <c:pt idx="317">
                  <c:v>134.97335482626011</c:v>
                </c:pt>
                <c:pt idx="318">
                  <c:v>132.97873373218749</c:v>
                </c:pt>
                <c:pt idx="319">
                  <c:v>135.10634463804362</c:v>
                </c:pt>
                <c:pt idx="320">
                  <c:v>134.97335482626011</c:v>
                </c:pt>
                <c:pt idx="321">
                  <c:v>135.9042835087447</c:v>
                </c:pt>
                <c:pt idx="322">
                  <c:v>135.50531407339415</c:v>
                </c:pt>
                <c:pt idx="323">
                  <c:v>133.3776100746698</c:v>
                </c:pt>
                <c:pt idx="324">
                  <c:v>135.37232426161063</c:v>
                </c:pt>
                <c:pt idx="325">
                  <c:v>136.70208938963395</c:v>
                </c:pt>
                <c:pt idx="326">
                  <c:v>136.03727332052819</c:v>
                </c:pt>
                <c:pt idx="327">
                  <c:v>137.76600788390201</c:v>
                </c:pt>
                <c:pt idx="328">
                  <c:v>138.29783414122426</c:v>
                </c:pt>
                <c:pt idx="329">
                  <c:v>138.16484432944077</c:v>
                </c:pt>
                <c:pt idx="330">
                  <c:v>139.22876282370885</c:v>
                </c:pt>
                <c:pt idx="331">
                  <c:v>142.02128289153896</c:v>
                </c:pt>
                <c:pt idx="332">
                  <c:v>141.09048719886619</c:v>
                </c:pt>
                <c:pt idx="333">
                  <c:v>138.82979338835833</c:v>
                </c:pt>
                <c:pt idx="334">
                  <c:v>144.41496651383034</c:v>
                </c:pt>
                <c:pt idx="335">
                  <c:v>143.8830072666963</c:v>
                </c:pt>
                <c:pt idx="336">
                  <c:v>142.68623195045649</c:v>
                </c:pt>
                <c:pt idx="337">
                  <c:v>140.02656870459811</c:v>
                </c:pt>
                <c:pt idx="338">
                  <c:v>141.75530326797195</c:v>
                </c:pt>
                <c:pt idx="339">
                  <c:v>141.09048719886619</c:v>
                </c:pt>
                <c:pt idx="340">
                  <c:v>143.35104801956226</c:v>
                </c:pt>
                <c:pt idx="341">
                  <c:v>142.95207858421173</c:v>
                </c:pt>
                <c:pt idx="342">
                  <c:v>140.29254832816514</c:v>
                </c:pt>
                <c:pt idx="343">
                  <c:v>140.42553813994863</c:v>
                </c:pt>
                <c:pt idx="344">
                  <c:v>140.55852795173215</c:v>
                </c:pt>
                <c:pt idx="345">
                  <c:v>140.29254832816514</c:v>
                </c:pt>
                <c:pt idx="346">
                  <c:v>138.03198750746901</c:v>
                </c:pt>
                <c:pt idx="347">
                  <c:v>139.49474244727585</c:v>
                </c:pt>
                <c:pt idx="348">
                  <c:v>138.03198750746901</c:v>
                </c:pt>
                <c:pt idx="349">
                  <c:v>137.89899769568552</c:v>
                </c:pt>
                <c:pt idx="350">
                  <c:v>138.96278320014181</c:v>
                </c:pt>
                <c:pt idx="351">
                  <c:v>135.37232426161063</c:v>
                </c:pt>
                <c:pt idx="352">
                  <c:v>136.56909957785044</c:v>
                </c:pt>
                <c:pt idx="353">
                  <c:v>134.97335482626011</c:v>
                </c:pt>
                <c:pt idx="354">
                  <c:v>134.70750819250489</c:v>
                </c:pt>
                <c:pt idx="355">
                  <c:v>134.97335482626011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3-9243-9E59-0DB1DCA2FFB0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23-9243-9E59-0DB1DCA2FFB0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World'!$M$2:$M$358</c:f>
              <c:numCache>
                <c:formatCode>0.00</c:formatCode>
                <c:ptCount val="357"/>
                <c:pt idx="0">
                  <c:v>91.31831205287402</c:v>
                </c:pt>
                <c:pt idx="1">
                  <c:v>90.769859343979647</c:v>
                </c:pt>
                <c:pt idx="2">
                  <c:v>91.958186026876945</c:v>
                </c:pt>
                <c:pt idx="3">
                  <c:v>92.598050640660233</c:v>
                </c:pt>
                <c:pt idx="4">
                  <c:v>92.049597931765874</c:v>
                </c:pt>
                <c:pt idx="5">
                  <c:v>93.420739064221408</c:v>
                </c:pt>
                <c:pt idx="6">
                  <c:v>91.226909508204699</c:v>
                </c:pt>
                <c:pt idx="7">
                  <c:v>91.31831205287402</c:v>
                </c:pt>
                <c:pt idx="8">
                  <c:v>90.861261888648954</c:v>
                </c:pt>
                <c:pt idx="9">
                  <c:v>90.769859343979647</c:v>
                </c:pt>
                <c:pt idx="10">
                  <c:v>90.312809179754595</c:v>
                </c:pt>
                <c:pt idx="11">
                  <c:v>89.7643471106406</c:v>
                </c:pt>
                <c:pt idx="12">
                  <c:v>89.581532661082363</c:v>
                </c:pt>
                <c:pt idx="13">
                  <c:v>89.49012075619342</c:v>
                </c:pt>
                <c:pt idx="14">
                  <c:v>88.576029787962952</c:v>
                </c:pt>
                <c:pt idx="15">
                  <c:v>87.387693744846032</c:v>
                </c:pt>
                <c:pt idx="16">
                  <c:v>88.39320597818508</c:v>
                </c:pt>
                <c:pt idx="17">
                  <c:v>88.758844237521188</c:v>
                </c:pt>
                <c:pt idx="18">
                  <c:v>87.936155813960028</c:v>
                </c:pt>
                <c:pt idx="19">
                  <c:v>87.113467390398853</c:v>
                </c:pt>
                <c:pt idx="20">
                  <c:v>87.204879295287782</c:v>
                </c:pt>
                <c:pt idx="21">
                  <c:v>88.301794073296136</c:v>
                </c:pt>
                <c:pt idx="22">
                  <c:v>88.576029787962952</c:v>
                </c:pt>
                <c:pt idx="23">
                  <c:v>88.210382168407193</c:v>
                </c:pt>
                <c:pt idx="24">
                  <c:v>88.118979623737886</c:v>
                </c:pt>
                <c:pt idx="25">
                  <c:v>88.667432332632259</c:v>
                </c:pt>
                <c:pt idx="26">
                  <c:v>88.301794073296136</c:v>
                </c:pt>
                <c:pt idx="27">
                  <c:v>88.850256142410132</c:v>
                </c:pt>
                <c:pt idx="28">
                  <c:v>87.022064845729545</c:v>
                </c:pt>
                <c:pt idx="29">
                  <c:v>87.936155813960028</c:v>
                </c:pt>
                <c:pt idx="30">
                  <c:v>88.758844237521188</c:v>
                </c:pt>
                <c:pt idx="31">
                  <c:v>88.576029787962952</c:v>
                </c:pt>
                <c:pt idx="32">
                  <c:v>89.21589440174624</c:v>
                </c:pt>
                <c:pt idx="33">
                  <c:v>90.129994730196358</c:v>
                </c:pt>
                <c:pt idx="34">
                  <c:v>88.941658687079439</c:v>
                </c:pt>
                <c:pt idx="35">
                  <c:v>88.850256142410132</c:v>
                </c:pt>
                <c:pt idx="36">
                  <c:v>88.941658687079439</c:v>
                </c:pt>
                <c:pt idx="37">
                  <c:v>90.221397274865666</c:v>
                </c:pt>
                <c:pt idx="38">
                  <c:v>89.49012075619342</c:v>
                </c:pt>
                <c:pt idx="39">
                  <c:v>89.581532661082363</c:v>
                </c:pt>
                <c:pt idx="40">
                  <c:v>90.221397274865666</c:v>
                </c:pt>
                <c:pt idx="41">
                  <c:v>89.672944565971306</c:v>
                </c:pt>
                <c:pt idx="42">
                  <c:v>90.495632989532467</c:v>
                </c:pt>
                <c:pt idx="43">
                  <c:v>90.769859343979647</c:v>
                </c:pt>
                <c:pt idx="44">
                  <c:v>91.13549760331577</c:v>
                </c:pt>
                <c:pt idx="45">
                  <c:v>91.31831205287402</c:v>
                </c:pt>
                <c:pt idx="46">
                  <c:v>92.141000476435181</c:v>
                </c:pt>
                <c:pt idx="47">
                  <c:v>92.415236191101997</c:v>
                </c:pt>
                <c:pt idx="48">
                  <c:v>92.963698260215978</c:v>
                </c:pt>
                <c:pt idx="49">
                  <c:v>93.237915254443536</c:v>
                </c:pt>
                <c:pt idx="50">
                  <c:v>93.603600314877781</c:v>
                </c:pt>
                <c:pt idx="51">
                  <c:v>94.791880196676942</c:v>
                </c:pt>
                <c:pt idx="52">
                  <c:v>96.071609424243533</c:v>
                </c:pt>
                <c:pt idx="53">
                  <c:v>94.883329542444386</c:v>
                </c:pt>
                <c:pt idx="54">
                  <c:v>95.431744810460231</c:v>
                </c:pt>
                <c:pt idx="55">
                  <c:v>95.797354989137474</c:v>
                </c:pt>
                <c:pt idx="56">
                  <c:v>96.711474038026822</c:v>
                </c:pt>
                <c:pt idx="57">
                  <c:v>96.894279127365451</c:v>
                </c:pt>
                <c:pt idx="58">
                  <c:v>96.80292338379428</c:v>
                </c:pt>
                <c:pt idx="59">
                  <c:v>97.808398176254812</c:v>
                </c:pt>
                <c:pt idx="60">
                  <c:v>96.071609424243533</c:v>
                </c:pt>
                <c:pt idx="61">
                  <c:v>96.071609424243533</c:v>
                </c:pt>
                <c:pt idx="62">
                  <c:v>96.437219602920763</c:v>
                </c:pt>
                <c:pt idx="63">
                  <c:v>97.259982908238953</c:v>
                </c:pt>
                <c:pt idx="64">
                  <c:v>97.168533562471524</c:v>
                </c:pt>
                <c:pt idx="65">
                  <c:v>96.620118294455665</c:v>
                </c:pt>
                <c:pt idx="66">
                  <c:v>97.168533562471524</c:v>
                </c:pt>
                <c:pt idx="67">
                  <c:v>97.351338651810124</c:v>
                </c:pt>
                <c:pt idx="68">
                  <c:v>97.625593086916197</c:v>
                </c:pt>
                <c:pt idx="69">
                  <c:v>97.259982908238953</c:v>
                </c:pt>
                <c:pt idx="70">
                  <c:v>97.808398176254812</c:v>
                </c:pt>
                <c:pt idx="71">
                  <c:v>98.356907046466944</c:v>
                </c:pt>
                <c:pt idx="72">
                  <c:v>97.899847522022256</c:v>
                </c:pt>
                <c:pt idx="73">
                  <c:v>98.631067879376729</c:v>
                </c:pt>
                <c:pt idx="74">
                  <c:v>98.722517225144173</c:v>
                </c:pt>
                <c:pt idx="75">
                  <c:v>97.534143741148739</c:v>
                </c:pt>
                <c:pt idx="76">
                  <c:v>98.265457700699486</c:v>
                </c:pt>
                <c:pt idx="77">
                  <c:v>97.625593086916197</c:v>
                </c:pt>
                <c:pt idx="78">
                  <c:v>97.625593086916197</c:v>
                </c:pt>
                <c:pt idx="79">
                  <c:v>98.265457700699486</c:v>
                </c:pt>
                <c:pt idx="80">
                  <c:v>98.81387296871533</c:v>
                </c:pt>
                <c:pt idx="81">
                  <c:v>98.722517225144173</c:v>
                </c:pt>
                <c:pt idx="82">
                  <c:v>99.270932493160032</c:v>
                </c:pt>
                <c:pt idx="83">
                  <c:v>99.727992017604706</c:v>
                </c:pt>
                <c:pt idx="84">
                  <c:v>99.902840920259365</c:v>
                </c:pt>
                <c:pt idx="85">
                  <c:v>100.09715907974065</c:v>
                </c:pt>
                <c:pt idx="86">
                  <c:v>99.31969923742291</c:v>
                </c:pt>
                <c:pt idx="87">
                  <c:v>99.514110999100481</c:v>
                </c:pt>
                <c:pt idx="88">
                  <c:v>99.125381077941611</c:v>
                </c:pt>
                <c:pt idx="89">
                  <c:v>99.222540157682261</c:v>
                </c:pt>
                <c:pt idx="90">
                  <c:v>100.68030076257709</c:v>
                </c:pt>
                <c:pt idx="91">
                  <c:v>99.028221998200962</c:v>
                </c:pt>
                <c:pt idx="92">
                  <c:v>99.514110999100481</c:v>
                </c:pt>
                <c:pt idx="93">
                  <c:v>100.1943181594813</c:v>
                </c:pt>
                <c:pt idx="94">
                  <c:v>100.48588900089952</c:v>
                </c:pt>
                <c:pt idx="95">
                  <c:v>100.29157084141823</c:v>
                </c:pt>
                <c:pt idx="96">
                  <c:v>100.09715907974065</c:v>
                </c:pt>
                <c:pt idx="97">
                  <c:v>101.26334884321726</c:v>
                </c:pt>
                <c:pt idx="98">
                  <c:v>101.55491968463549</c:v>
                </c:pt>
                <c:pt idx="99">
                  <c:v>101.45776060489483</c:v>
                </c:pt>
                <c:pt idx="100">
                  <c:v>100.48588900089952</c:v>
                </c:pt>
                <c:pt idx="101">
                  <c:v>100.38872992115887</c:v>
                </c:pt>
                <c:pt idx="102">
                  <c:v>100.77745984231774</c:v>
                </c:pt>
                <c:pt idx="103">
                  <c:v>100.09715907974065</c:v>
                </c:pt>
                <c:pt idx="104">
                  <c:v>100.09715907974065</c:v>
                </c:pt>
                <c:pt idx="105">
                  <c:v>100.1943181594813</c:v>
                </c:pt>
                <c:pt idx="106">
                  <c:v>100.09715907974065</c:v>
                </c:pt>
                <c:pt idx="107">
                  <c:v>100.29157084141823</c:v>
                </c:pt>
                <c:pt idx="108">
                  <c:v>100</c:v>
                </c:pt>
                <c:pt idx="109">
                  <c:v>99.805588238322414</c:v>
                </c:pt>
                <c:pt idx="110">
                  <c:v>100.68030076257709</c:v>
                </c:pt>
                <c:pt idx="111">
                  <c:v>99.805588238322414</c:v>
                </c:pt>
                <c:pt idx="112">
                  <c:v>100.58304808064017</c:v>
                </c:pt>
                <c:pt idx="113">
                  <c:v>101.26334884321726</c:v>
                </c:pt>
                <c:pt idx="114">
                  <c:v>101.65207876437613</c:v>
                </c:pt>
                <c:pt idx="115">
                  <c:v>103.10983936927096</c:v>
                </c:pt>
                <c:pt idx="116">
                  <c:v>103.40131660849291</c:v>
                </c:pt>
                <c:pt idx="117">
                  <c:v>103.20699844901162</c:v>
                </c:pt>
                <c:pt idx="118">
                  <c:v>103.79004652965178</c:v>
                </c:pt>
                <c:pt idx="119">
                  <c:v>102.91542760759339</c:v>
                </c:pt>
                <c:pt idx="120">
                  <c:v>102.81826852785274</c:v>
                </c:pt>
                <c:pt idx="121">
                  <c:v>103.49856929042983</c:v>
                </c:pt>
                <c:pt idx="122">
                  <c:v>103.40131660849291</c:v>
                </c:pt>
                <c:pt idx="123">
                  <c:v>103.10983936927096</c:v>
                </c:pt>
                <c:pt idx="124">
                  <c:v>103.30415752875226</c:v>
                </c:pt>
                <c:pt idx="125">
                  <c:v>103.88729921158871</c:v>
                </c:pt>
                <c:pt idx="126">
                  <c:v>102.81826852785274</c:v>
                </c:pt>
                <c:pt idx="127">
                  <c:v>103.88729921158871</c:v>
                </c:pt>
                <c:pt idx="128">
                  <c:v>102.91542760759339</c:v>
                </c:pt>
                <c:pt idx="129">
                  <c:v>103.10983936927096</c:v>
                </c:pt>
                <c:pt idx="130">
                  <c:v>104.17877645081064</c:v>
                </c:pt>
                <c:pt idx="131">
                  <c:v>103.88729921158871</c:v>
                </c:pt>
                <c:pt idx="132">
                  <c:v>103.79004652965178</c:v>
                </c:pt>
                <c:pt idx="133">
                  <c:v>103.01258668733404</c:v>
                </c:pt>
                <c:pt idx="134">
                  <c:v>102.81826852785274</c:v>
                </c:pt>
                <c:pt idx="135">
                  <c:v>102.040808685535</c:v>
                </c:pt>
                <c:pt idx="136">
                  <c:v>102.040808685535</c:v>
                </c:pt>
                <c:pt idx="137">
                  <c:v>101.94364960579436</c:v>
                </c:pt>
                <c:pt idx="138">
                  <c:v>101.16618976347661</c:v>
                </c:pt>
                <c:pt idx="139">
                  <c:v>102.91542760759339</c:v>
                </c:pt>
                <c:pt idx="140">
                  <c:v>101.45776060489483</c:v>
                </c:pt>
                <c:pt idx="141">
                  <c:v>100.58304808064017</c:v>
                </c:pt>
                <c:pt idx="142">
                  <c:v>100.1943181594813</c:v>
                </c:pt>
                <c:pt idx="143">
                  <c:v>100.29157084141823</c:v>
                </c:pt>
                <c:pt idx="144">
                  <c:v>100</c:v>
                </c:pt>
                <c:pt idx="145">
                  <c:v>100.58304808064017</c:v>
                </c:pt>
                <c:pt idx="146">
                  <c:v>102.42953860669387</c:v>
                </c:pt>
                <c:pt idx="147">
                  <c:v>100.68030076257709</c:v>
                </c:pt>
                <c:pt idx="148">
                  <c:v>101.8464905260537</c:v>
                </c:pt>
                <c:pt idx="149">
                  <c:v>98.445080315364521</c:v>
                </c:pt>
                <c:pt idx="150">
                  <c:v>99.514110999100481</c:v>
                </c:pt>
                <c:pt idx="151">
                  <c:v>100.29157084141823</c:v>
                </c:pt>
                <c:pt idx="152">
                  <c:v>101.55491968463549</c:v>
                </c:pt>
                <c:pt idx="153">
                  <c:v>99.902840920259365</c:v>
                </c:pt>
                <c:pt idx="154">
                  <c:v>99.61127007884113</c:v>
                </c:pt>
                <c:pt idx="155">
                  <c:v>99.902840920259365</c:v>
                </c:pt>
                <c:pt idx="156">
                  <c:v>99.31969923742291</c:v>
                </c:pt>
                <c:pt idx="157">
                  <c:v>100</c:v>
                </c:pt>
                <c:pt idx="158">
                  <c:v>99.805588238322414</c:v>
                </c:pt>
                <c:pt idx="159">
                  <c:v>99.31969923742291</c:v>
                </c:pt>
                <c:pt idx="160">
                  <c:v>99.028221998200962</c:v>
                </c:pt>
                <c:pt idx="161">
                  <c:v>99.708429158581779</c:v>
                </c:pt>
                <c:pt idx="162">
                  <c:v>100.38872992115887</c:v>
                </c:pt>
                <c:pt idx="163">
                  <c:v>100.29157084141823</c:v>
                </c:pt>
                <c:pt idx="164">
                  <c:v>100.29157084141823</c:v>
                </c:pt>
                <c:pt idx="165">
                  <c:v>101.06903068373596</c:v>
                </c:pt>
                <c:pt idx="166">
                  <c:v>100.68030076257709</c:v>
                </c:pt>
                <c:pt idx="167">
                  <c:v>101.36050792295791</c:v>
                </c:pt>
                <c:pt idx="168">
                  <c:v>100.77745984231774</c:v>
                </c:pt>
                <c:pt idx="169">
                  <c:v>100.48588900089952</c:v>
                </c:pt>
                <c:pt idx="170">
                  <c:v>102.52669768643452</c:v>
                </c:pt>
                <c:pt idx="171">
                  <c:v>101.94364960579436</c:v>
                </c:pt>
                <c:pt idx="172">
                  <c:v>101.45776060489483</c:v>
                </c:pt>
                <c:pt idx="173">
                  <c:v>101.65207876437613</c:v>
                </c:pt>
                <c:pt idx="174">
                  <c:v>100</c:v>
                </c:pt>
                <c:pt idx="175">
                  <c:v>99.805588238322414</c:v>
                </c:pt>
                <c:pt idx="176">
                  <c:v>100.29157084141823</c:v>
                </c:pt>
                <c:pt idx="177">
                  <c:v>100.68030076257709</c:v>
                </c:pt>
                <c:pt idx="178">
                  <c:v>101.16618976347661</c:v>
                </c:pt>
                <c:pt idx="179">
                  <c:v>101.16618976347661</c:v>
                </c:pt>
                <c:pt idx="180">
                  <c:v>100.58304808064017</c:v>
                </c:pt>
                <c:pt idx="181">
                  <c:v>100.77745984231774</c:v>
                </c:pt>
                <c:pt idx="182">
                  <c:v>99.028221998200962</c:v>
                </c:pt>
                <c:pt idx="183">
                  <c:v>100.77745984231774</c:v>
                </c:pt>
                <c:pt idx="184">
                  <c:v>101.06903068373596</c:v>
                </c:pt>
                <c:pt idx="185">
                  <c:v>101.16618976347661</c:v>
                </c:pt>
                <c:pt idx="186">
                  <c:v>100.68030076257709</c:v>
                </c:pt>
                <c:pt idx="187">
                  <c:v>99.902840920259365</c:v>
                </c:pt>
                <c:pt idx="188">
                  <c:v>99.416951919359832</c:v>
                </c:pt>
                <c:pt idx="189">
                  <c:v>99.31969923742291</c:v>
                </c:pt>
                <c:pt idx="190">
                  <c:v>100.48588900089952</c:v>
                </c:pt>
                <c:pt idx="191">
                  <c:v>101.36050792295791</c:v>
                </c:pt>
                <c:pt idx="192">
                  <c:v>101.74923784411678</c:v>
                </c:pt>
                <c:pt idx="193">
                  <c:v>101.16618976347661</c:v>
                </c:pt>
                <c:pt idx="194">
                  <c:v>101.55491968463549</c:v>
                </c:pt>
                <c:pt idx="195">
                  <c:v>101.06903068373596</c:v>
                </c:pt>
                <c:pt idx="196">
                  <c:v>101.06903068373596</c:v>
                </c:pt>
                <c:pt idx="197">
                  <c:v>101.8464905260537</c:v>
                </c:pt>
                <c:pt idx="198">
                  <c:v>100.97177800179904</c:v>
                </c:pt>
                <c:pt idx="199">
                  <c:v>101.74923784411678</c:v>
                </c:pt>
                <c:pt idx="200">
                  <c:v>101.94364960579436</c:v>
                </c:pt>
                <c:pt idx="201">
                  <c:v>101.55491968463549</c:v>
                </c:pt>
                <c:pt idx="202">
                  <c:v>101.94364960579436</c:v>
                </c:pt>
                <c:pt idx="203">
                  <c:v>101.26334884321726</c:v>
                </c:pt>
                <c:pt idx="204">
                  <c:v>102.72110944811209</c:v>
                </c:pt>
                <c:pt idx="205">
                  <c:v>101.94364960579436</c:v>
                </c:pt>
                <c:pt idx="206">
                  <c:v>101.94364960579436</c:v>
                </c:pt>
                <c:pt idx="207">
                  <c:v>101.65207876437613</c:v>
                </c:pt>
                <c:pt idx="208">
                  <c:v>103.30415752875226</c:v>
                </c:pt>
                <c:pt idx="209">
                  <c:v>102.2351268450163</c:v>
                </c:pt>
                <c:pt idx="210">
                  <c:v>101.94364960579436</c:v>
                </c:pt>
                <c:pt idx="211">
                  <c:v>102.72110944811209</c:v>
                </c:pt>
                <c:pt idx="212">
                  <c:v>101.65207876437613</c:v>
                </c:pt>
                <c:pt idx="213">
                  <c:v>102.040808685535</c:v>
                </c:pt>
                <c:pt idx="214">
                  <c:v>102.52669768643452</c:v>
                </c:pt>
                <c:pt idx="215">
                  <c:v>102.33237952695322</c:v>
                </c:pt>
                <c:pt idx="216">
                  <c:v>102.72110944811209</c:v>
                </c:pt>
                <c:pt idx="217">
                  <c:v>102.42953860669387</c:v>
                </c:pt>
                <c:pt idx="218">
                  <c:v>101.06903068373596</c:v>
                </c:pt>
                <c:pt idx="219">
                  <c:v>102.2351268450163</c:v>
                </c:pt>
                <c:pt idx="220">
                  <c:v>101.16618976347661</c:v>
                </c:pt>
                <c:pt idx="221">
                  <c:v>100.29157084141823</c:v>
                </c:pt>
                <c:pt idx="222">
                  <c:v>100</c:v>
                </c:pt>
                <c:pt idx="223">
                  <c:v>100.77745984231774</c:v>
                </c:pt>
                <c:pt idx="224">
                  <c:v>99.31969923742291</c:v>
                </c:pt>
                <c:pt idx="225">
                  <c:v>98.445080315364521</c:v>
                </c:pt>
                <c:pt idx="226">
                  <c:v>95.335240946093563</c:v>
                </c:pt>
                <c:pt idx="227">
                  <c:v>94.071892102876305</c:v>
                </c:pt>
                <c:pt idx="228">
                  <c:v>91.739540656581966</c:v>
                </c:pt>
                <c:pt idx="229">
                  <c:v>91.739540656581966</c:v>
                </c:pt>
                <c:pt idx="230">
                  <c:v>91.447997895822624</c:v>
                </c:pt>
                <c:pt idx="231">
                  <c:v>92.905730420058589</c:v>
                </c:pt>
                <c:pt idx="232">
                  <c:v>91.447997895822624</c:v>
                </c:pt>
                <c:pt idx="233">
                  <c:v>91.9339056171614</c:v>
                </c:pt>
                <c:pt idx="234">
                  <c:v>93.10009538063801</c:v>
                </c:pt>
                <c:pt idx="235">
                  <c:v>90.767725213904413</c:v>
                </c:pt>
                <c:pt idx="236">
                  <c:v>91.836727816981508</c:v>
                </c:pt>
                <c:pt idx="237">
                  <c:v>92.225457738140378</c:v>
                </c:pt>
                <c:pt idx="238">
                  <c:v>92.905730420058589</c:v>
                </c:pt>
                <c:pt idx="239">
                  <c:v>92.711365459479154</c:v>
                </c:pt>
                <c:pt idx="240">
                  <c:v>93.10009538063801</c:v>
                </c:pt>
                <c:pt idx="241">
                  <c:v>94.169051182616954</c:v>
                </c:pt>
                <c:pt idx="242">
                  <c:v>95.626811787511784</c:v>
                </c:pt>
                <c:pt idx="243">
                  <c:v>95.626811787511784</c:v>
                </c:pt>
                <c:pt idx="244">
                  <c:v>95.529652707771135</c:v>
                </c:pt>
                <c:pt idx="245">
                  <c:v>94.557781103775824</c:v>
                </c:pt>
                <c:pt idx="246">
                  <c:v>94.752192865453395</c:v>
                </c:pt>
                <c:pt idx="247">
                  <c:v>95.432493628030485</c:v>
                </c:pt>
                <c:pt idx="248">
                  <c:v>95.626811787511784</c:v>
                </c:pt>
                <c:pt idx="249">
                  <c:v>96.209859868151952</c:v>
                </c:pt>
                <c:pt idx="250">
                  <c:v>96.404271629829523</c:v>
                </c:pt>
                <c:pt idx="251">
                  <c:v>96.695842471247744</c:v>
                </c:pt>
                <c:pt idx="252">
                  <c:v>96.987319710469691</c:v>
                </c:pt>
                <c:pt idx="253">
                  <c:v>95.723970867252433</c:v>
                </c:pt>
                <c:pt idx="254">
                  <c:v>95.723970867252433</c:v>
                </c:pt>
                <c:pt idx="255">
                  <c:v>94.655033785712746</c:v>
                </c:pt>
                <c:pt idx="256">
                  <c:v>95.529652707771135</c:v>
                </c:pt>
                <c:pt idx="257">
                  <c:v>95.529652707771135</c:v>
                </c:pt>
                <c:pt idx="258">
                  <c:v>95.335240946093563</c:v>
                </c:pt>
                <c:pt idx="259">
                  <c:v>94.946511024934694</c:v>
                </c:pt>
                <c:pt idx="260">
                  <c:v>94.655033785712746</c:v>
                </c:pt>
                <c:pt idx="261">
                  <c:v>94.655033785712746</c:v>
                </c:pt>
                <c:pt idx="262">
                  <c:v>94.363462944294525</c:v>
                </c:pt>
                <c:pt idx="263">
                  <c:v>94.26630386455389</c:v>
                </c:pt>
                <c:pt idx="264">
                  <c:v>94.363462944294525</c:v>
                </c:pt>
                <c:pt idx="265">
                  <c:v>94.071892102876305</c:v>
                </c:pt>
                <c:pt idx="266">
                  <c:v>93.197273180817916</c:v>
                </c:pt>
                <c:pt idx="267">
                  <c:v>93.391638141397351</c:v>
                </c:pt>
                <c:pt idx="268">
                  <c:v>93.877573943395021</c:v>
                </c:pt>
                <c:pt idx="269">
                  <c:v>91.9339056171614</c:v>
                </c:pt>
                <c:pt idx="270">
                  <c:v>94.557781103775824</c:v>
                </c:pt>
                <c:pt idx="271">
                  <c:v>93.974733023135656</c:v>
                </c:pt>
                <c:pt idx="272">
                  <c:v>90.962090174483862</c:v>
                </c:pt>
                <c:pt idx="273">
                  <c:v>90.864903014084319</c:v>
                </c:pt>
                <c:pt idx="274">
                  <c:v>91.447997895822624</c:v>
                </c:pt>
                <c:pt idx="275">
                  <c:v>92.128270577740835</c:v>
                </c:pt>
                <c:pt idx="276">
                  <c:v>91.253632935243189</c:v>
                </c:pt>
                <c:pt idx="277">
                  <c:v>91.156455135063297</c:v>
                </c:pt>
                <c:pt idx="278">
                  <c:v>91.642362856402059</c:v>
                </c:pt>
                <c:pt idx="279">
                  <c:v>90.962090174483862</c:v>
                </c:pt>
                <c:pt idx="280">
                  <c:v>91.545185056222167</c:v>
                </c:pt>
                <c:pt idx="281">
                  <c:v>92.031092777560943</c:v>
                </c:pt>
                <c:pt idx="282">
                  <c:v>92.225457738140378</c:v>
                </c:pt>
                <c:pt idx="283">
                  <c:v>91.739540656581966</c:v>
                </c:pt>
                <c:pt idx="284">
                  <c:v>92.808543259659046</c:v>
                </c:pt>
                <c:pt idx="285">
                  <c:v>92.614178299079612</c:v>
                </c:pt>
                <c:pt idx="286">
                  <c:v>92.614178299079612</c:v>
                </c:pt>
                <c:pt idx="287">
                  <c:v>92.614178299079612</c:v>
                </c:pt>
                <c:pt idx="288">
                  <c:v>92.905730420058589</c:v>
                </c:pt>
                <c:pt idx="289">
                  <c:v>93.294460341217444</c:v>
                </c:pt>
                <c:pt idx="290">
                  <c:v>93.002908220238481</c:v>
                </c:pt>
                <c:pt idx="291">
                  <c:v>93.391638141397351</c:v>
                </c:pt>
                <c:pt idx="292">
                  <c:v>93.10009538063801</c:v>
                </c:pt>
                <c:pt idx="293">
                  <c:v>93.294460341217444</c:v>
                </c:pt>
                <c:pt idx="294">
                  <c:v>93.78032126145807</c:v>
                </c:pt>
                <c:pt idx="295">
                  <c:v>93.10009538063801</c:v>
                </c:pt>
                <c:pt idx="296">
                  <c:v>93.586003101976786</c:v>
                </c:pt>
                <c:pt idx="297">
                  <c:v>93.197273180817916</c:v>
                </c:pt>
                <c:pt idx="298">
                  <c:v>93.294460341217444</c:v>
                </c:pt>
                <c:pt idx="299">
                  <c:v>93.488815941577258</c:v>
                </c:pt>
                <c:pt idx="300">
                  <c:v>93.002908220238481</c:v>
                </c:pt>
                <c:pt idx="301">
                  <c:v>93.586003101976786</c:v>
                </c:pt>
                <c:pt idx="302">
                  <c:v>94.071892102876305</c:v>
                </c:pt>
                <c:pt idx="303">
                  <c:v>94.26630386455389</c:v>
                </c:pt>
                <c:pt idx="304">
                  <c:v>94.169051182616954</c:v>
                </c:pt>
                <c:pt idx="305">
                  <c:v>94.26630386455389</c:v>
                </c:pt>
                <c:pt idx="306">
                  <c:v>93.197273180817916</c:v>
                </c:pt>
                <c:pt idx="307">
                  <c:v>93.488815941577258</c:v>
                </c:pt>
                <c:pt idx="308">
                  <c:v>94.071892102876305</c:v>
                </c:pt>
                <c:pt idx="309">
                  <c:v>93.78032126145807</c:v>
                </c:pt>
                <c:pt idx="310">
                  <c:v>92.905730420058589</c:v>
                </c:pt>
                <c:pt idx="311">
                  <c:v>92.32263553832027</c:v>
                </c:pt>
                <c:pt idx="312">
                  <c:v>93.10009538063801</c:v>
                </c:pt>
                <c:pt idx="313">
                  <c:v>92.614178299079612</c:v>
                </c:pt>
                <c:pt idx="314">
                  <c:v>93.488815941577258</c:v>
                </c:pt>
                <c:pt idx="315">
                  <c:v>96.209859868151952</c:v>
                </c:pt>
                <c:pt idx="316">
                  <c:v>95.335240946093563</c:v>
                </c:pt>
                <c:pt idx="317">
                  <c:v>94.752192865453395</c:v>
                </c:pt>
                <c:pt idx="318">
                  <c:v>94.557781103775824</c:v>
                </c:pt>
                <c:pt idx="319">
                  <c:v>94.460622024035175</c:v>
                </c:pt>
                <c:pt idx="320">
                  <c:v>94.946511024934694</c:v>
                </c:pt>
                <c:pt idx="321">
                  <c:v>93.78032126145807</c:v>
                </c:pt>
                <c:pt idx="322">
                  <c:v>95.238081866352914</c:v>
                </c:pt>
                <c:pt idx="323">
                  <c:v>96.695842471247744</c:v>
                </c:pt>
                <c:pt idx="324">
                  <c:v>96.793001550988393</c:v>
                </c:pt>
                <c:pt idx="325">
                  <c:v>95.626811787511784</c:v>
                </c:pt>
                <c:pt idx="326">
                  <c:v>95.043763706871616</c:v>
                </c:pt>
                <c:pt idx="327">
                  <c:v>95.140922786612265</c:v>
                </c:pt>
                <c:pt idx="328">
                  <c:v>95.626811787511784</c:v>
                </c:pt>
                <c:pt idx="329">
                  <c:v>95.918382628930019</c:v>
                </c:pt>
                <c:pt idx="330">
                  <c:v>96.015541708670654</c:v>
                </c:pt>
                <c:pt idx="331">
                  <c:v>95.918382628930019</c:v>
                </c:pt>
                <c:pt idx="332">
                  <c:v>97.473302313565483</c:v>
                </c:pt>
                <c:pt idx="333">
                  <c:v>97.278890551887912</c:v>
                </c:pt>
                <c:pt idx="334">
                  <c:v>97.473302313565483</c:v>
                </c:pt>
                <c:pt idx="335">
                  <c:v>97.084572392406614</c:v>
                </c:pt>
                <c:pt idx="336">
                  <c:v>97.667620473046782</c:v>
                </c:pt>
                <c:pt idx="337">
                  <c:v>97.667620473046782</c:v>
                </c:pt>
                <c:pt idx="338">
                  <c:v>97.376049631628561</c:v>
                </c:pt>
                <c:pt idx="339">
                  <c:v>97.667620473046782</c:v>
                </c:pt>
                <c:pt idx="340">
                  <c:v>96.695842471247744</c:v>
                </c:pt>
                <c:pt idx="341">
                  <c:v>97.376049631628561</c:v>
                </c:pt>
                <c:pt idx="342">
                  <c:v>97.764779552787431</c:v>
                </c:pt>
                <c:pt idx="343">
                  <c:v>97.376049631628561</c:v>
                </c:pt>
                <c:pt idx="344">
                  <c:v>97.570461393306147</c:v>
                </c:pt>
                <c:pt idx="345">
                  <c:v>96.695842471247744</c:v>
                </c:pt>
                <c:pt idx="346">
                  <c:v>96.112700788411303</c:v>
                </c:pt>
                <c:pt idx="347">
                  <c:v>96.112700788411303</c:v>
                </c:pt>
                <c:pt idx="348">
                  <c:v>96.598589789310822</c:v>
                </c:pt>
                <c:pt idx="349">
                  <c:v>96.987319710469691</c:v>
                </c:pt>
                <c:pt idx="350">
                  <c:v>98.445080315364521</c:v>
                </c:pt>
                <c:pt idx="351">
                  <c:v>95.335240946093563</c:v>
                </c:pt>
                <c:pt idx="352">
                  <c:v>96.501430709570172</c:v>
                </c:pt>
                <c:pt idx="353">
                  <c:v>96.112700788411303</c:v>
                </c:pt>
                <c:pt idx="354">
                  <c:v>95.918382628930019</c:v>
                </c:pt>
                <c:pt idx="355">
                  <c:v>95.140922786612265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23-9243-9E59-0DB1DCA2FFB0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23-9243-9E59-0DB1DCA2FFB0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World'!$Q$2:$Q$358</c:f>
              <c:numCache>
                <c:formatCode>0.00</c:formatCode>
                <c:ptCount val="357"/>
                <c:pt idx="0">
                  <c:v>101.30474160429695</c:v>
                </c:pt>
                <c:pt idx="1">
                  <c:v>101.81375919733047</c:v>
                </c:pt>
                <c:pt idx="2">
                  <c:v>103.64642332814579</c:v>
                </c:pt>
                <c:pt idx="3">
                  <c:v>103.85003036535917</c:v>
                </c:pt>
                <c:pt idx="4">
                  <c:v>104.56275539355345</c:v>
                </c:pt>
                <c:pt idx="5">
                  <c:v>104.86816594937353</c:v>
                </c:pt>
                <c:pt idx="6">
                  <c:v>105.78449801478119</c:v>
                </c:pt>
                <c:pt idx="7">
                  <c:v>106.70083008018885</c:v>
                </c:pt>
                <c:pt idx="8">
                  <c:v>105.78449801478119</c:v>
                </c:pt>
                <c:pt idx="9">
                  <c:v>107.92257270141661</c:v>
                </c:pt>
                <c:pt idx="10">
                  <c:v>107.20984767322236</c:v>
                </c:pt>
                <c:pt idx="11">
                  <c:v>107.31175158977639</c:v>
                </c:pt>
                <c:pt idx="12">
                  <c:v>108.02437622002331</c:v>
                </c:pt>
                <c:pt idx="13">
                  <c:v>108.43169069239747</c:v>
                </c:pt>
                <c:pt idx="14">
                  <c:v>107.41355510838309</c:v>
                </c:pt>
                <c:pt idx="15">
                  <c:v>107.82076918280991</c:v>
                </c:pt>
                <c:pt idx="16">
                  <c:v>108.94070828543096</c:v>
                </c:pt>
                <c:pt idx="17">
                  <c:v>105.78449801478119</c:v>
                </c:pt>
                <c:pt idx="18">
                  <c:v>108.12617973863001</c:v>
                </c:pt>
                <c:pt idx="19">
                  <c:v>106.39541952436873</c:v>
                </c:pt>
                <c:pt idx="20">
                  <c:v>106.49722304297545</c:v>
                </c:pt>
                <c:pt idx="21">
                  <c:v>105.78449801478119</c:v>
                </c:pt>
                <c:pt idx="22">
                  <c:v>106.49722304297545</c:v>
                </c:pt>
                <c:pt idx="23">
                  <c:v>105.07177298658694</c:v>
                </c:pt>
                <c:pt idx="24">
                  <c:v>104.35914835634003</c:v>
                </c:pt>
                <c:pt idx="25">
                  <c:v>104.05363740257258</c:v>
                </c:pt>
                <c:pt idx="26">
                  <c:v>102.52648422552471</c:v>
                </c:pt>
                <c:pt idx="27">
                  <c:v>102.01736623454387</c:v>
                </c:pt>
                <c:pt idx="28">
                  <c:v>99.675674470900319</c:v>
                </c:pt>
                <c:pt idx="29">
                  <c:v>101.71195567872377</c:v>
                </c:pt>
                <c:pt idx="30">
                  <c:v>101.50834864151035</c:v>
                </c:pt>
                <c:pt idx="31">
                  <c:v>98.555725328484527</c:v>
                </c:pt>
                <c:pt idx="32">
                  <c:v>102.32287718831131</c:v>
                </c:pt>
                <c:pt idx="33">
                  <c:v>99.166606678893132</c:v>
                </c:pt>
                <c:pt idx="34">
                  <c:v>97.944843978075895</c:v>
                </c:pt>
                <c:pt idx="35">
                  <c:v>97.537579704675423</c:v>
                </c:pt>
                <c:pt idx="36">
                  <c:v>99.573860912498873</c:v>
                </c:pt>
                <c:pt idx="37">
                  <c:v>99.77748802930175</c:v>
                </c:pt>
                <c:pt idx="38">
                  <c:v>96.417630562259632</c:v>
                </c:pt>
                <c:pt idx="39">
                  <c:v>98.250284653280204</c:v>
                </c:pt>
                <c:pt idx="40">
                  <c:v>99.573860912498873</c:v>
                </c:pt>
                <c:pt idx="41">
                  <c:v>97.741216861273045</c:v>
                </c:pt>
                <c:pt idx="42">
                  <c:v>97.639393263076869</c:v>
                </c:pt>
                <c:pt idx="43">
                  <c:v>96.723071237463941</c:v>
                </c:pt>
                <c:pt idx="44">
                  <c:v>97.028511912668236</c:v>
                </c:pt>
                <c:pt idx="45">
                  <c:v>96.214003445456754</c:v>
                </c:pt>
                <c:pt idx="46">
                  <c:v>96.010376328653891</c:v>
                </c:pt>
                <c:pt idx="47">
                  <c:v>95.29768141984384</c:v>
                </c:pt>
                <c:pt idx="48">
                  <c:v>94.890427186238085</c:v>
                </c:pt>
                <c:pt idx="49">
                  <c:v>95.704935653449581</c:v>
                </c:pt>
                <c:pt idx="50">
                  <c:v>96.723071237463941</c:v>
                </c:pt>
                <c:pt idx="51">
                  <c:v>97.639393263076869</c:v>
                </c:pt>
                <c:pt idx="52">
                  <c:v>97.537579704675423</c:v>
                </c:pt>
                <c:pt idx="53">
                  <c:v>98.759352445287391</c:v>
                </c:pt>
                <c:pt idx="54">
                  <c:v>99.77748802930175</c:v>
                </c:pt>
                <c:pt idx="55">
                  <c:v>100.59201657610269</c:v>
                </c:pt>
                <c:pt idx="56">
                  <c:v>99.573860912498873</c:v>
                </c:pt>
                <c:pt idx="57">
                  <c:v>100.59201657610269</c:v>
                </c:pt>
                <c:pt idx="58">
                  <c:v>101.20283768774291</c:v>
                </c:pt>
                <c:pt idx="59">
                  <c:v>101.91556271593717</c:v>
                </c:pt>
                <c:pt idx="60">
                  <c:v>99.879301587703196</c:v>
                </c:pt>
                <c:pt idx="61">
                  <c:v>101.30474160429695</c:v>
                </c:pt>
                <c:pt idx="62">
                  <c:v>102.32287718831131</c:v>
                </c:pt>
                <c:pt idx="63">
                  <c:v>103.54461980953909</c:v>
                </c:pt>
                <c:pt idx="64">
                  <c:v>101.81375919733047</c:v>
                </c:pt>
                <c:pt idx="65">
                  <c:v>101.71195567872377</c:v>
                </c:pt>
                <c:pt idx="66">
                  <c:v>100.28655582130892</c:v>
                </c:pt>
                <c:pt idx="67">
                  <c:v>101.81375919733047</c:v>
                </c:pt>
                <c:pt idx="68">
                  <c:v>100.18474226290749</c:v>
                </c:pt>
                <c:pt idx="69">
                  <c:v>101.71195567872377</c:v>
                </c:pt>
                <c:pt idx="70">
                  <c:v>102.52648422552471</c:v>
                </c:pt>
                <c:pt idx="71">
                  <c:v>103.85003036535917</c:v>
                </c:pt>
                <c:pt idx="72">
                  <c:v>102.32287718831131</c:v>
                </c:pt>
                <c:pt idx="73">
                  <c:v>102.22097327175726</c:v>
                </c:pt>
                <c:pt idx="74">
                  <c:v>102.11916975315056</c:v>
                </c:pt>
                <c:pt idx="75">
                  <c:v>102.42468070691801</c:v>
                </c:pt>
                <c:pt idx="76">
                  <c:v>103.03550181855822</c:v>
                </c:pt>
                <c:pt idx="77">
                  <c:v>103.23910885577162</c:v>
                </c:pt>
                <c:pt idx="78">
                  <c:v>103.85003036535917</c:v>
                </c:pt>
                <c:pt idx="79">
                  <c:v>103.95183388396588</c:v>
                </c:pt>
                <c:pt idx="80">
                  <c:v>105.07177298658694</c:v>
                </c:pt>
                <c:pt idx="81">
                  <c:v>105.68269449617449</c:v>
                </c:pt>
                <c:pt idx="82">
                  <c:v>106.191712089208</c:v>
                </c:pt>
                <c:pt idx="83">
                  <c:v>107.20984767322236</c:v>
                </c:pt>
                <c:pt idx="84">
                  <c:v>108.83890476682427</c:v>
                </c:pt>
                <c:pt idx="85">
                  <c:v>108.83890476682427</c:v>
                </c:pt>
                <c:pt idx="86">
                  <c:v>109.24611884125108</c:v>
                </c:pt>
                <c:pt idx="87">
                  <c:v>106.49722304297545</c:v>
                </c:pt>
                <c:pt idx="88">
                  <c:v>109.65343331362523</c:v>
                </c:pt>
                <c:pt idx="89">
                  <c:v>109.04251180403766</c:v>
                </c:pt>
                <c:pt idx="90">
                  <c:v>109.34802275780511</c:v>
                </c:pt>
                <c:pt idx="91">
                  <c:v>108.83890476682427</c:v>
                </c:pt>
                <c:pt idx="92">
                  <c:v>108.12617973863001</c:v>
                </c:pt>
                <c:pt idx="93">
                  <c:v>107.41355510838309</c:v>
                </c:pt>
                <c:pt idx="94">
                  <c:v>106.0899085706013</c:v>
                </c:pt>
                <c:pt idx="95">
                  <c:v>105.07177298658694</c:v>
                </c:pt>
                <c:pt idx="96">
                  <c:v>106.61689739620935</c:v>
                </c:pt>
                <c:pt idx="97">
                  <c:v>103.842098927519</c:v>
                </c:pt>
                <c:pt idx="98">
                  <c:v>101.60081515101407</c:v>
                </c:pt>
                <c:pt idx="99">
                  <c:v>101.38736911496098</c:v>
                </c:pt>
                <c:pt idx="100">
                  <c:v>100.64030798877511</c:v>
                </c:pt>
                <c:pt idx="101">
                  <c:v>100.64030798877511</c:v>
                </c:pt>
                <c:pt idx="102">
                  <c:v>100.42686195272201</c:v>
                </c:pt>
                <c:pt idx="103">
                  <c:v>98.612600765654818</c:v>
                </c:pt>
                <c:pt idx="104">
                  <c:v>99.893276981973457</c:v>
                </c:pt>
                <c:pt idx="105">
                  <c:v>99.359661891840688</c:v>
                </c:pt>
                <c:pt idx="106">
                  <c:v>98.826046801707932</c:v>
                </c:pt>
                <c:pt idx="107">
                  <c:v>98.719323783681375</c:v>
                </c:pt>
                <c:pt idx="108">
                  <c:v>100</c:v>
                </c:pt>
                <c:pt idx="109">
                  <c:v>100</c:v>
                </c:pt>
                <c:pt idx="110">
                  <c:v>101.28064609693442</c:v>
                </c:pt>
                <c:pt idx="111">
                  <c:v>99.573107927893801</c:v>
                </c:pt>
                <c:pt idx="112">
                  <c:v>101.17392307890788</c:v>
                </c:pt>
                <c:pt idx="113">
                  <c:v>100.42686195272201</c:v>
                </c:pt>
                <c:pt idx="114">
                  <c:v>100.96047704285476</c:v>
                </c:pt>
                <c:pt idx="115">
                  <c:v>101.92098420509373</c:v>
                </c:pt>
                <c:pt idx="116">
                  <c:v>102.6680453312796</c:v>
                </c:pt>
                <c:pt idx="117">
                  <c:v>102.56132231325304</c:v>
                </c:pt>
                <c:pt idx="118">
                  <c:v>103.62855249351855</c:v>
                </c:pt>
                <c:pt idx="119">
                  <c:v>103.52182947549201</c:v>
                </c:pt>
                <c:pt idx="120">
                  <c:v>103.41510645746547</c:v>
                </c:pt>
                <c:pt idx="121">
                  <c:v>103.30838343943891</c:v>
                </c:pt>
                <c:pt idx="122">
                  <c:v>104.80260608975799</c:v>
                </c:pt>
                <c:pt idx="123">
                  <c:v>106.40345136015625</c:v>
                </c:pt>
                <c:pt idx="124">
                  <c:v>105.76311325199696</c:v>
                </c:pt>
                <c:pt idx="125">
                  <c:v>107.15051248634212</c:v>
                </c:pt>
                <c:pt idx="126">
                  <c:v>106.93706645028901</c:v>
                </c:pt>
                <c:pt idx="127">
                  <c:v>108.43118870266075</c:v>
                </c:pt>
                <c:pt idx="128">
                  <c:v>106.19000532410314</c:v>
                </c:pt>
                <c:pt idx="129">
                  <c:v>107.79085059450144</c:v>
                </c:pt>
                <c:pt idx="130">
                  <c:v>108.21774266660763</c:v>
                </c:pt>
                <c:pt idx="131">
                  <c:v>109.28497284687316</c:v>
                </c:pt>
                <c:pt idx="132">
                  <c:v>105.22949816186419</c:v>
                </c:pt>
                <c:pt idx="133">
                  <c:v>106.19000532410314</c:v>
                </c:pt>
                <c:pt idx="134">
                  <c:v>104.37571401765177</c:v>
                </c:pt>
                <c:pt idx="135">
                  <c:v>103.62855249351855</c:v>
                </c:pt>
                <c:pt idx="136">
                  <c:v>101.60081515101407</c:v>
                </c:pt>
                <c:pt idx="137">
                  <c:v>100.53358497074855</c:v>
                </c:pt>
                <c:pt idx="138">
                  <c:v>99.146215855787588</c:v>
                </c:pt>
                <c:pt idx="139">
                  <c:v>97.758806581647676</c:v>
                </c:pt>
                <c:pt idx="140">
                  <c:v>95.944505235401564</c:v>
                </c:pt>
                <c:pt idx="141">
                  <c:v>95.944505235401564</c:v>
                </c:pt>
                <c:pt idx="142">
                  <c:v>94.450372943235095</c:v>
                </c:pt>
                <c:pt idx="143">
                  <c:v>95.410890145268795</c:v>
                </c:pt>
                <c:pt idx="144">
                  <c:v>94.877275055136053</c:v>
                </c:pt>
                <c:pt idx="145">
                  <c:v>96.051228253428107</c:v>
                </c:pt>
                <c:pt idx="146">
                  <c:v>96.47812032553432</c:v>
                </c:pt>
                <c:pt idx="147">
                  <c:v>96.371397307507777</c:v>
                </c:pt>
                <c:pt idx="148">
                  <c:v>100.21344603605311</c:v>
                </c:pt>
                <c:pt idx="149">
                  <c:v>99.039492837761031</c:v>
                </c:pt>
                <c:pt idx="150">
                  <c:v>99.786553963946901</c:v>
                </c:pt>
                <c:pt idx="151">
                  <c:v>100.21344603605311</c:v>
                </c:pt>
                <c:pt idx="152">
                  <c:v>100.85375402482821</c:v>
                </c:pt>
                <c:pt idx="153">
                  <c:v>100.85375402482821</c:v>
                </c:pt>
                <c:pt idx="154">
                  <c:v>100.74703100680166</c:v>
                </c:pt>
                <c:pt idx="155">
                  <c:v>100.64030798877511</c:v>
                </c:pt>
                <c:pt idx="156">
                  <c:v>102.02770722312029</c:v>
                </c:pt>
                <c:pt idx="157">
                  <c:v>101.5912773460164</c:v>
                </c:pt>
                <c:pt idx="158">
                  <c:v>102.3551049294087</c:v>
                </c:pt>
                <c:pt idx="159">
                  <c:v>100.93658233138693</c:v>
                </c:pt>
                <c:pt idx="160">
                  <c:v>102.24597236064589</c:v>
                </c:pt>
                <c:pt idx="161">
                  <c:v>101.37301220849079</c:v>
                </c:pt>
                <c:pt idx="162">
                  <c:v>101.80954248354203</c:v>
                </c:pt>
                <c:pt idx="163">
                  <c:v>100.82744976262413</c:v>
                </c:pt>
                <c:pt idx="164">
                  <c:v>103.88276009619329</c:v>
                </c:pt>
                <c:pt idx="165">
                  <c:v>105.0831179546368</c:v>
                </c:pt>
                <c:pt idx="166">
                  <c:v>105.30138309216241</c:v>
                </c:pt>
                <c:pt idx="167">
                  <c:v>104.973985385874</c:v>
                </c:pt>
                <c:pt idx="168">
                  <c:v>106.82903825894699</c:v>
                </c:pt>
                <c:pt idx="169">
                  <c:v>106.50174095060592</c:v>
                </c:pt>
                <c:pt idx="170">
                  <c:v>105.95607810679191</c:v>
                </c:pt>
                <c:pt idx="171">
                  <c:v>107.81113097986488</c:v>
                </c:pt>
                <c:pt idx="172">
                  <c:v>107.9202635486277</c:v>
                </c:pt>
                <c:pt idx="173">
                  <c:v>108.24766125491612</c:v>
                </c:pt>
                <c:pt idx="174">
                  <c:v>109.77531642170069</c:v>
                </c:pt>
                <c:pt idx="175">
                  <c:v>108.24766125491612</c:v>
                </c:pt>
                <c:pt idx="176">
                  <c:v>108.57495856325718</c:v>
                </c:pt>
                <c:pt idx="177">
                  <c:v>106.50174095060592</c:v>
                </c:pt>
                <c:pt idx="178">
                  <c:v>107.81113097986488</c:v>
                </c:pt>
                <c:pt idx="179">
                  <c:v>106.39260838184312</c:v>
                </c:pt>
                <c:pt idx="180">
                  <c:v>108.90235626954559</c:v>
                </c:pt>
                <c:pt idx="181">
                  <c:v>108.90235626954559</c:v>
                </c:pt>
                <c:pt idx="182">
                  <c:v>109.22975397583403</c:v>
                </c:pt>
                <c:pt idx="183">
                  <c:v>109.66618385293789</c:v>
                </c:pt>
                <c:pt idx="184">
                  <c:v>108.79322370078279</c:v>
                </c:pt>
                <c:pt idx="185">
                  <c:v>109.22975397583403</c:v>
                </c:pt>
                <c:pt idx="186">
                  <c:v>108.57495856325718</c:v>
                </c:pt>
                <c:pt idx="187">
                  <c:v>108.57495856325718</c:v>
                </c:pt>
                <c:pt idx="188">
                  <c:v>109.44791871541229</c:v>
                </c:pt>
                <c:pt idx="189">
                  <c:v>108.46582599449438</c:v>
                </c:pt>
                <c:pt idx="190">
                  <c:v>110.6482765738558</c:v>
                </c:pt>
                <c:pt idx="191">
                  <c:v>111.08470645095969</c:v>
                </c:pt>
                <c:pt idx="192">
                  <c:v>111.41210415724809</c:v>
                </c:pt>
                <c:pt idx="193">
                  <c:v>111.19383901972247</c:v>
                </c:pt>
                <c:pt idx="194">
                  <c:v>111.95776700106211</c:v>
                </c:pt>
                <c:pt idx="195">
                  <c:v>114.03098461371337</c:v>
                </c:pt>
                <c:pt idx="196">
                  <c:v>112.2850643094032</c:v>
                </c:pt>
                <c:pt idx="197">
                  <c:v>113.81271947618777</c:v>
                </c:pt>
                <c:pt idx="198">
                  <c:v>114.24924975123899</c:v>
                </c:pt>
                <c:pt idx="199">
                  <c:v>114.57664745752741</c:v>
                </c:pt>
                <c:pt idx="200">
                  <c:v>114.46751488876461</c:v>
                </c:pt>
                <c:pt idx="201">
                  <c:v>114.90394476586847</c:v>
                </c:pt>
                <c:pt idx="202">
                  <c:v>115.99517005554918</c:v>
                </c:pt>
                <c:pt idx="203">
                  <c:v>116.10430262431198</c:v>
                </c:pt>
                <c:pt idx="204">
                  <c:v>114.90394476586847</c:v>
                </c:pt>
                <c:pt idx="205">
                  <c:v>115.5587401784453</c:v>
                </c:pt>
                <c:pt idx="206">
                  <c:v>115.5587401784453</c:v>
                </c:pt>
                <c:pt idx="207">
                  <c:v>115.2313424721569</c:v>
                </c:pt>
                <c:pt idx="208">
                  <c:v>116.54073250141587</c:v>
                </c:pt>
                <c:pt idx="209">
                  <c:v>116.54073250141587</c:v>
                </c:pt>
                <c:pt idx="210">
                  <c:v>116.64986507017868</c:v>
                </c:pt>
                <c:pt idx="211">
                  <c:v>119.59614323293238</c:v>
                </c:pt>
                <c:pt idx="212">
                  <c:v>117.85022292862219</c:v>
                </c:pt>
                <c:pt idx="213">
                  <c:v>119.37787809540677</c:v>
                </c:pt>
                <c:pt idx="214">
                  <c:v>118.1776206349106</c:v>
                </c:pt>
                <c:pt idx="215">
                  <c:v>118.83231564954009</c:v>
                </c:pt>
                <c:pt idx="216">
                  <c:v>119.63951514618495</c:v>
                </c:pt>
                <c:pt idx="217">
                  <c:v>119.94864042605677</c:v>
                </c:pt>
                <c:pt idx="218">
                  <c:v>118.71203890862211</c:v>
                </c:pt>
                <c:pt idx="219">
                  <c:v>118.19679664285329</c:v>
                </c:pt>
                <c:pt idx="220">
                  <c:v>118.81514760054428</c:v>
                </c:pt>
                <c:pt idx="221">
                  <c:v>115.62058531400915</c:v>
                </c:pt>
                <c:pt idx="222">
                  <c:v>115.62058531400915</c:v>
                </c:pt>
                <c:pt idx="223">
                  <c:v>111.39563889388369</c:v>
                </c:pt>
                <c:pt idx="224">
                  <c:v>112.83825699926801</c:v>
                </c:pt>
                <c:pt idx="225">
                  <c:v>110.36515436234603</c:v>
                </c:pt>
                <c:pt idx="226">
                  <c:v>103.25477093555727</c:v>
                </c:pt>
                <c:pt idx="227">
                  <c:v>94.90783619030752</c:v>
                </c:pt>
                <c:pt idx="228">
                  <c:v>87.282230577339391</c:v>
                </c:pt>
                <c:pt idx="229">
                  <c:v>79.965770323832572</c:v>
                </c:pt>
                <c:pt idx="230">
                  <c:v>80.687109495908942</c:v>
                </c:pt>
                <c:pt idx="231">
                  <c:v>84.190766942931702</c:v>
                </c:pt>
                <c:pt idx="232">
                  <c:v>87.282230577339391</c:v>
                </c:pt>
                <c:pt idx="233">
                  <c:v>88.724918961286846</c:v>
                </c:pt>
                <c:pt idx="234">
                  <c:v>89.755403492824513</c:v>
                </c:pt>
                <c:pt idx="235">
                  <c:v>91.095033383823463</c:v>
                </c:pt>
                <c:pt idx="236">
                  <c:v>93.877351658769868</c:v>
                </c:pt>
                <c:pt idx="237">
                  <c:v>96.453562987614021</c:v>
                </c:pt>
                <c:pt idx="238">
                  <c:v>98.411493637330295</c:v>
                </c:pt>
                <c:pt idx="239">
                  <c:v>99.235881262560412</c:v>
                </c:pt>
                <c:pt idx="240">
                  <c:v>101.50292715235379</c:v>
                </c:pt>
                <c:pt idx="241">
                  <c:v>101.81205243222563</c:v>
                </c:pt>
                <c:pt idx="242">
                  <c:v>102.12127811004478</c:v>
                </c:pt>
                <c:pt idx="243">
                  <c:v>103.3577792295321</c:v>
                </c:pt>
                <c:pt idx="244">
                  <c:v>102.94564565568544</c:v>
                </c:pt>
                <c:pt idx="245">
                  <c:v>102.32729469799445</c:v>
                </c:pt>
                <c:pt idx="246">
                  <c:v>103.56389621542911</c:v>
                </c:pt>
                <c:pt idx="247">
                  <c:v>104.07913848119793</c:v>
                </c:pt>
                <c:pt idx="248">
                  <c:v>105.41884869055477</c:v>
                </c:pt>
                <c:pt idx="249">
                  <c:v>102.43040338991662</c:v>
                </c:pt>
                <c:pt idx="250">
                  <c:v>104.1822471731201</c:v>
                </c:pt>
                <c:pt idx="251">
                  <c:v>104.49137245299194</c:v>
                </c:pt>
                <c:pt idx="252">
                  <c:v>105.21273170465776</c:v>
                </c:pt>
                <c:pt idx="253">
                  <c:v>105.6248652785044</c:v>
                </c:pt>
                <c:pt idx="254">
                  <c:v>88.931005827799652</c:v>
                </c:pt>
                <c:pt idx="255">
                  <c:v>90.579791118054629</c:v>
                </c:pt>
                <c:pt idx="256">
                  <c:v>96.556611440767782</c:v>
                </c:pt>
                <c:pt idx="257">
                  <c:v>100.47244262081614</c:v>
                </c:pt>
                <c:pt idx="258">
                  <c:v>101.39991885837897</c:v>
                </c:pt>
                <c:pt idx="259">
                  <c:v>102.94564565568544</c:v>
                </c:pt>
                <c:pt idx="260">
                  <c:v>102.32729469799445</c:v>
                </c:pt>
                <c:pt idx="261">
                  <c:v>103.97613018722309</c:v>
                </c:pt>
                <c:pt idx="262">
                  <c:v>101.91516112414779</c:v>
                </c:pt>
                <c:pt idx="263">
                  <c:v>103.97613018722309</c:v>
                </c:pt>
                <c:pt idx="264">
                  <c:v>104.28525546709493</c:v>
                </c:pt>
                <c:pt idx="265">
                  <c:v>104.07913848119793</c:v>
                </c:pt>
                <c:pt idx="266">
                  <c:v>103.87302149530092</c:v>
                </c:pt>
                <c:pt idx="267">
                  <c:v>103.3577792295321</c:v>
                </c:pt>
                <c:pt idx="268">
                  <c:v>101.50292715235379</c:v>
                </c:pt>
                <c:pt idx="269">
                  <c:v>100.78156790068796</c:v>
                </c:pt>
                <c:pt idx="270">
                  <c:v>100.26636579409806</c:v>
                </c:pt>
                <c:pt idx="271">
                  <c:v>99.029784356252875</c:v>
                </c:pt>
                <c:pt idx="272">
                  <c:v>96.865756800229065</c:v>
                </c:pt>
                <c:pt idx="273">
                  <c:v>97.174902159690376</c:v>
                </c:pt>
                <c:pt idx="274">
                  <c:v>96.453562987614021</c:v>
                </c:pt>
                <c:pt idx="275">
                  <c:v>97.793192878612956</c:v>
                </c:pt>
                <c:pt idx="276">
                  <c:v>95.771660129254329</c:v>
                </c:pt>
                <c:pt idx="277">
                  <c:v>97.377896769424964</c:v>
                </c:pt>
                <c:pt idx="278">
                  <c:v>98.281408016956817</c:v>
                </c:pt>
                <c:pt idx="279">
                  <c:v>98.482183832055128</c:v>
                </c:pt>
                <c:pt idx="280">
                  <c:v>99.988022524881885</c:v>
                </c:pt>
                <c:pt idx="281">
                  <c:v>98.984123369800884</c:v>
                </c:pt>
                <c:pt idx="282">
                  <c:v>100.49001226160132</c:v>
                </c:pt>
                <c:pt idx="283">
                  <c:v>100.79110570568562</c:v>
                </c:pt>
                <c:pt idx="284">
                  <c:v>101.59428928443673</c:v>
                </c:pt>
                <c:pt idx="285">
                  <c:v>101.89538272852104</c:v>
                </c:pt>
                <c:pt idx="286">
                  <c:v>102.29697451789659</c:v>
                </c:pt>
                <c:pt idx="287">
                  <c:v>102.29697451789659</c:v>
                </c:pt>
                <c:pt idx="288">
                  <c:v>104.00363922479532</c:v>
                </c:pt>
                <c:pt idx="289">
                  <c:v>103.30085359338813</c:v>
                </c:pt>
                <c:pt idx="290">
                  <c:v>104.7063244582552</c:v>
                </c:pt>
                <c:pt idx="291">
                  <c:v>100.18880837977493</c:v>
                </c:pt>
                <c:pt idx="292">
                  <c:v>102.29697451789659</c:v>
                </c:pt>
                <c:pt idx="293">
                  <c:v>100.99190160037341</c:v>
                </c:pt>
                <c:pt idx="294">
                  <c:v>100.79110570568562</c:v>
                </c:pt>
                <c:pt idx="295">
                  <c:v>99.887634617332722</c:v>
                </c:pt>
                <c:pt idx="296">
                  <c:v>100.99190160037341</c:v>
                </c:pt>
                <c:pt idx="297">
                  <c:v>100.99190160037341</c:v>
                </c:pt>
                <c:pt idx="298">
                  <c:v>100.99190160037341</c:v>
                </c:pt>
                <c:pt idx="299">
                  <c:v>100.5904102089452</c:v>
                </c:pt>
                <c:pt idx="300">
                  <c:v>103.10005769870034</c:v>
                </c:pt>
                <c:pt idx="301">
                  <c:v>100.18880837977493</c:v>
                </c:pt>
                <c:pt idx="302">
                  <c:v>99.686858802234426</c:v>
                </c:pt>
                <c:pt idx="303">
                  <c:v>100.08842047222576</c:v>
                </c:pt>
                <c:pt idx="304">
                  <c:v>100.08842047222576</c:v>
                </c:pt>
                <c:pt idx="305">
                  <c:v>100.89150365302952</c:v>
                </c:pt>
                <c:pt idx="306">
                  <c:v>100.79110570568562</c:v>
                </c:pt>
                <c:pt idx="307">
                  <c:v>99.184909224693925</c:v>
                </c:pt>
                <c:pt idx="308">
                  <c:v>100.89150365302952</c:v>
                </c:pt>
                <c:pt idx="309">
                  <c:v>100.99190160037341</c:v>
                </c:pt>
                <c:pt idx="310">
                  <c:v>100.38958419487322</c:v>
                </c:pt>
                <c:pt idx="311">
                  <c:v>98.482183832055128</c:v>
                </c:pt>
                <c:pt idx="312">
                  <c:v>100.69070775834174</c:v>
                </c:pt>
                <c:pt idx="313">
                  <c:v>99.887634617332722</c:v>
                </c:pt>
                <c:pt idx="314">
                  <c:v>100.28919628732406</c:v>
                </c:pt>
                <c:pt idx="315">
                  <c:v>99.586460854890547</c:v>
                </c:pt>
                <c:pt idx="316">
                  <c:v>99.084511277350046</c:v>
                </c:pt>
                <c:pt idx="317">
                  <c:v>99.586460854890547</c:v>
                </c:pt>
                <c:pt idx="318">
                  <c:v>100.08842047222576</c:v>
                </c:pt>
                <c:pt idx="319">
                  <c:v>100.99190160037341</c:v>
                </c:pt>
                <c:pt idx="320">
                  <c:v>101.39349338974895</c:v>
                </c:pt>
                <c:pt idx="321">
                  <c:v>101.49389133709283</c:v>
                </c:pt>
                <c:pt idx="322">
                  <c:v>102.49777041258436</c:v>
                </c:pt>
                <c:pt idx="323">
                  <c:v>101.89538272852104</c:v>
                </c:pt>
                <c:pt idx="324">
                  <c:v>101.09229954771729</c:v>
                </c:pt>
                <c:pt idx="325">
                  <c:v>101.79498478117715</c:v>
                </c:pt>
                <c:pt idx="326">
                  <c:v>101.89538272852104</c:v>
                </c:pt>
                <c:pt idx="327">
                  <c:v>104.20443511948309</c:v>
                </c:pt>
                <c:pt idx="328">
                  <c:v>102.59816835992825</c:v>
                </c:pt>
                <c:pt idx="329">
                  <c:v>103.40125154073201</c:v>
                </c:pt>
                <c:pt idx="330">
                  <c:v>102.89936220195992</c:v>
                </c:pt>
                <c:pt idx="331">
                  <c:v>104.20443511948309</c:v>
                </c:pt>
                <c:pt idx="332">
                  <c:v>102.9997601493038</c:v>
                </c:pt>
                <c:pt idx="333">
                  <c:v>103.60204743541978</c:v>
                </c:pt>
                <c:pt idx="334">
                  <c:v>104.40513061622353</c:v>
                </c:pt>
                <c:pt idx="335">
                  <c:v>105.91099942843449</c:v>
                </c:pt>
                <c:pt idx="336">
                  <c:v>101.69468723178062</c:v>
                </c:pt>
                <c:pt idx="337">
                  <c:v>104.20443511948309</c:v>
                </c:pt>
                <c:pt idx="338">
                  <c:v>105.30871214231851</c:v>
                </c:pt>
                <c:pt idx="339">
                  <c:v>104.7063244582552</c:v>
                </c:pt>
                <c:pt idx="340">
                  <c:v>105.00751830028686</c:v>
                </c:pt>
                <c:pt idx="341">
                  <c:v>104.00363922479532</c:v>
                </c:pt>
                <c:pt idx="342">
                  <c:v>104.20443511948309</c:v>
                </c:pt>
                <c:pt idx="343">
                  <c:v>104.00363922479532</c:v>
                </c:pt>
                <c:pt idx="344">
                  <c:v>103.70244538276366</c:v>
                </c:pt>
                <c:pt idx="345">
                  <c:v>105.71020353374672</c:v>
                </c:pt>
                <c:pt idx="346">
                  <c:v>104.50552856356742</c:v>
                </c:pt>
                <c:pt idx="347">
                  <c:v>104.80672240559907</c:v>
                </c:pt>
                <c:pt idx="348">
                  <c:v>102.79896425461602</c:v>
                </c:pt>
                <c:pt idx="349">
                  <c:v>103.30085359338813</c:v>
                </c:pt>
                <c:pt idx="350">
                  <c:v>102.89936220195992</c:v>
                </c:pt>
                <c:pt idx="351">
                  <c:v>103.10005769870034</c:v>
                </c:pt>
                <c:pt idx="352">
                  <c:v>104.30473266887964</c:v>
                </c:pt>
                <c:pt idx="353">
                  <c:v>101.79498478117715</c:v>
                </c:pt>
                <c:pt idx="354">
                  <c:v>102.19657657055271</c:v>
                </c:pt>
                <c:pt idx="355">
                  <c:v>100.89150365302952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23-9243-9E59-0DB1DCA2F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country'!$C$5:$C$351</c:f>
              <c:numCache>
                <c:formatCode>0.0%</c:formatCode>
                <c:ptCount val="347"/>
                <c:pt idx="1">
                  <c:v>1.3061934715470505E-2</c:v>
                </c:pt>
                <c:pt idx="2">
                  <c:v>-4.4053568692558479E-3</c:v>
                </c:pt>
                <c:pt idx="3">
                  <c:v>-1.2303049068122397E-2</c:v>
                </c:pt>
                <c:pt idx="4">
                  <c:v>-2.1852965381839073E-4</c:v>
                </c:pt>
                <c:pt idx="5">
                  <c:v>1.2021758070643286E-3</c:v>
                </c:pt>
                <c:pt idx="6">
                  <c:v>3.9296693969136315E-3</c:v>
                </c:pt>
                <c:pt idx="7">
                  <c:v>-1.6744452258522079E-2</c:v>
                </c:pt>
                <c:pt idx="8">
                  <c:v>1.0505274975019435E-2</c:v>
                </c:pt>
                <c:pt idx="9">
                  <c:v>3.3925084448849568E-3</c:v>
                </c:pt>
                <c:pt idx="10">
                  <c:v>-4.6897850241632366E-3</c:v>
                </c:pt>
                <c:pt idx="11">
                  <c:v>1.5998223113636099E-2</c:v>
                </c:pt>
                <c:pt idx="12">
                  <c:v>-8.9517159963188563E-3</c:v>
                </c:pt>
                <c:pt idx="13">
                  <c:v>2.7207305718224897E-3</c:v>
                </c:pt>
                <c:pt idx="14">
                  <c:v>-7.4886502467908711E-3</c:v>
                </c:pt>
                <c:pt idx="15">
                  <c:v>9.7321225105182693E-3</c:v>
                </c:pt>
                <c:pt idx="16">
                  <c:v>-7.0391442479849978E-3</c:v>
                </c:pt>
                <c:pt idx="17">
                  <c:v>3.2707763278678938E-4</c:v>
                </c:pt>
                <c:pt idx="18">
                  <c:v>-1.1884005322241032E-2</c:v>
                </c:pt>
                <c:pt idx="19">
                  <c:v>-3.8618239394466944E-3</c:v>
                </c:pt>
                <c:pt idx="20">
                  <c:v>3.1014363527108618E-3</c:v>
                </c:pt>
                <c:pt idx="21">
                  <c:v>-1.4023845871417796E-2</c:v>
                </c:pt>
                <c:pt idx="22">
                  <c:v>1.0639513123085396E-2</c:v>
                </c:pt>
                <c:pt idx="23">
                  <c:v>-1.2965428589633893E-2</c:v>
                </c:pt>
                <c:pt idx="24">
                  <c:v>-1.3360279705770951E-2</c:v>
                </c:pt>
                <c:pt idx="25">
                  <c:v>-1.0241152980864339E-3</c:v>
                </c:pt>
                <c:pt idx="26">
                  <c:v>1.5947013995669084E-3</c:v>
                </c:pt>
                <c:pt idx="27">
                  <c:v>-5.0039388959923084E-3</c:v>
                </c:pt>
                <c:pt idx="28">
                  <c:v>-6.7435715760973012E-3</c:v>
                </c:pt>
                <c:pt idx="29">
                  <c:v>-8.0551682362154135E-4</c:v>
                </c:pt>
                <c:pt idx="30">
                  <c:v>-7.7162774054762044E-3</c:v>
                </c:pt>
                <c:pt idx="31">
                  <c:v>1.3579389772973171E-2</c:v>
                </c:pt>
                <c:pt idx="32">
                  <c:v>-7.2140700072013441E-3</c:v>
                </c:pt>
                <c:pt idx="33">
                  <c:v>6.6896791629873229E-3</c:v>
                </c:pt>
                <c:pt idx="34">
                  <c:v>4.4684553472978195E-3</c:v>
                </c:pt>
                <c:pt idx="35">
                  <c:v>-7.0719155640657323E-3</c:v>
                </c:pt>
                <c:pt idx="36">
                  <c:v>-8.9604073394904827E-3</c:v>
                </c:pt>
                <c:pt idx="37">
                  <c:v>1.8662299329366937E-2</c:v>
                </c:pt>
                <c:pt idx="38">
                  <c:v>-3.07234589425914E-3</c:v>
                </c:pt>
                <c:pt idx="39">
                  <c:v>-6.8484762083368409E-4</c:v>
                </c:pt>
                <c:pt idx="40">
                  <c:v>2.8098223738397154E-2</c:v>
                </c:pt>
                <c:pt idx="41">
                  <c:v>-1.1109784109121247E-3</c:v>
                </c:pt>
                <c:pt idx="42">
                  <c:v>5.6722916892585724E-3</c:v>
                </c:pt>
                <c:pt idx="43">
                  <c:v>8.7370432118733278E-3</c:v>
                </c:pt>
                <c:pt idx="44">
                  <c:v>5.481809383015776E-3</c:v>
                </c:pt>
                <c:pt idx="45">
                  <c:v>-3.3801922478887765E-3</c:v>
                </c:pt>
                <c:pt idx="46">
                  <c:v>9.7374463844719615E-3</c:v>
                </c:pt>
                <c:pt idx="47">
                  <c:v>8.7767173250370058E-3</c:v>
                </c:pt>
                <c:pt idx="48">
                  <c:v>-1.5037467999731106E-3</c:v>
                </c:pt>
                <c:pt idx="49">
                  <c:v>7.2073405580288987E-3</c:v>
                </c:pt>
                <c:pt idx="50">
                  <c:v>-6.7285565708199314E-3</c:v>
                </c:pt>
                <c:pt idx="51">
                  <c:v>8.3870264313910797E-3</c:v>
                </c:pt>
                <c:pt idx="52">
                  <c:v>4.2663326110114921E-4</c:v>
                </c:pt>
                <c:pt idx="53">
                  <c:v>-4.9030710570652511E-3</c:v>
                </c:pt>
                <c:pt idx="54">
                  <c:v>6.5337928839069191E-3</c:v>
                </c:pt>
                <c:pt idx="55">
                  <c:v>4.6824129798646013E-3</c:v>
                </c:pt>
                <c:pt idx="56">
                  <c:v>-6.0375514281790308E-3</c:v>
                </c:pt>
                <c:pt idx="57">
                  <c:v>1.4918887076599383E-3</c:v>
                </c:pt>
                <c:pt idx="58">
                  <c:v>-1.9259363457081239E-2</c:v>
                </c:pt>
                <c:pt idx="59">
                  <c:v>-4.3397706235942534E-4</c:v>
                </c:pt>
                <c:pt idx="60">
                  <c:v>2.1274217072103023E-2</c:v>
                </c:pt>
                <c:pt idx="61">
                  <c:v>-8.8212681412567565E-3</c:v>
                </c:pt>
                <c:pt idx="62">
                  <c:v>2.8951076754879816E-3</c:v>
                </c:pt>
                <c:pt idx="63">
                  <c:v>6.9496907862845675E-3</c:v>
                </c:pt>
                <c:pt idx="64">
                  <c:v>-9.7685525891214632E-3</c:v>
                </c:pt>
                <c:pt idx="65">
                  <c:v>1.9836956113813305E-2</c:v>
                </c:pt>
                <c:pt idx="66">
                  <c:v>-7.9907863240332045E-3</c:v>
                </c:pt>
                <c:pt idx="67">
                  <c:v>-1.7487931737289353E-2</c:v>
                </c:pt>
                <c:pt idx="68">
                  <c:v>2.2114269157174304E-2</c:v>
                </c:pt>
                <c:pt idx="69">
                  <c:v>9.4986015420033345E-4</c:v>
                </c:pt>
                <c:pt idx="70">
                  <c:v>-1.0227772248628485E-2</c:v>
                </c:pt>
                <c:pt idx="71">
                  <c:v>1.2464048983080837E-2</c:v>
                </c:pt>
                <c:pt idx="72">
                  <c:v>1.5783749272285578E-3</c:v>
                </c:pt>
                <c:pt idx="73">
                  <c:v>-9.0345915781777503E-3</c:v>
                </c:pt>
                <c:pt idx="74">
                  <c:v>8.0567543216801766E-3</c:v>
                </c:pt>
                <c:pt idx="75">
                  <c:v>3.4703676349728328E-3</c:v>
                </c:pt>
                <c:pt idx="76">
                  <c:v>3.5107967561366908E-2</c:v>
                </c:pt>
                <c:pt idx="77">
                  <c:v>-1.8629084986841321E-2</c:v>
                </c:pt>
                <c:pt idx="78">
                  <c:v>7.4279787819787448E-3</c:v>
                </c:pt>
                <c:pt idx="79">
                  <c:v>1.7409993834151571E-3</c:v>
                </c:pt>
                <c:pt idx="80">
                  <c:v>3.8744103760324236E-2</c:v>
                </c:pt>
                <c:pt idx="81">
                  <c:v>-2.3422411790872625E-2</c:v>
                </c:pt>
                <c:pt idx="82">
                  <c:v>2.5092705563381862E-2</c:v>
                </c:pt>
                <c:pt idx="83">
                  <c:v>-2.3003849753442697E-2</c:v>
                </c:pt>
                <c:pt idx="84">
                  <c:v>2.0023680623315377E-2</c:v>
                </c:pt>
                <c:pt idx="85">
                  <c:v>0</c:v>
                </c:pt>
                <c:pt idx="86">
                  <c:v>6.9063280550216823E-3</c:v>
                </c:pt>
                <c:pt idx="87">
                  <c:v>-1.1953455882136711E-2</c:v>
                </c:pt>
                <c:pt idx="88">
                  <c:v>1.2890329080185751E-2</c:v>
                </c:pt>
                <c:pt idx="89">
                  <c:v>1.2629367562466425E-2</c:v>
                </c:pt>
                <c:pt idx="90">
                  <c:v>-6.5738020454191E-3</c:v>
                </c:pt>
                <c:pt idx="91">
                  <c:v>5.8387966629330247E-3</c:v>
                </c:pt>
                <c:pt idx="92">
                  <c:v>-2.5639289131576783E-2</c:v>
                </c:pt>
                <c:pt idx="93">
                  <c:v>1.80725403829579E-2</c:v>
                </c:pt>
                <c:pt idx="94">
                  <c:v>1.0728473074946131E-3</c:v>
                </c:pt>
                <c:pt idx="95">
                  <c:v>5.7481958946190397E-3</c:v>
                </c:pt>
                <c:pt idx="96">
                  <c:v>-7.4590069446261748E-3</c:v>
                </c:pt>
                <c:pt idx="97">
                  <c:v>2.7327497611284025E-3</c:v>
                </c:pt>
                <c:pt idx="98">
                  <c:v>-3.0172988556650981E-3</c:v>
                </c:pt>
                <c:pt idx="99">
                  <c:v>-5.8673701002325842E-4</c:v>
                </c:pt>
                <c:pt idx="100">
                  <c:v>8.011073470169194E-3</c:v>
                </c:pt>
                <c:pt idx="101">
                  <c:v>3.9732185686915857E-3</c:v>
                </c:pt>
                <c:pt idx="102">
                  <c:v>1.3802968893127442E-2</c:v>
                </c:pt>
                <c:pt idx="103">
                  <c:v>2.3802519068198023E-3</c:v>
                </c:pt>
                <c:pt idx="104">
                  <c:v>-1.8426894146991502E-2</c:v>
                </c:pt>
                <c:pt idx="105">
                  <c:v>2.709479015568857E-2</c:v>
                </c:pt>
                <c:pt idx="106">
                  <c:v>1.2530513685111001E-2</c:v>
                </c:pt>
                <c:pt idx="107">
                  <c:v>7.44387550490396E-4</c:v>
                </c:pt>
                <c:pt idx="108">
                  <c:v>-8.7400477355372916E-3</c:v>
                </c:pt>
                <c:pt idx="109">
                  <c:v>7.4101241055088366E-3</c:v>
                </c:pt>
                <c:pt idx="110">
                  <c:v>3.0725999502798627E-3</c:v>
                </c:pt>
                <c:pt idx="111">
                  <c:v>6.6833192705156906E-3</c:v>
                </c:pt>
                <c:pt idx="112">
                  <c:v>5.6246651710589717E-3</c:v>
                </c:pt>
                <c:pt idx="113">
                  <c:v>1.24700969825116E-2</c:v>
                </c:pt>
                <c:pt idx="114">
                  <c:v>-1.3041009446581197E-2</c:v>
                </c:pt>
                <c:pt idx="115">
                  <c:v>1.1836936564113455E-2</c:v>
                </c:pt>
                <c:pt idx="116">
                  <c:v>-8.887204149054773E-3</c:v>
                </c:pt>
                <c:pt idx="117">
                  <c:v>2.5619699352828198E-3</c:v>
                </c:pt>
                <c:pt idx="118">
                  <c:v>1.1043078043531704E-2</c:v>
                </c:pt>
                <c:pt idx="119">
                  <c:v>-1.8053653653292475E-3</c:v>
                </c:pt>
                <c:pt idx="120">
                  <c:v>9.2240160823432987E-3</c:v>
                </c:pt>
                <c:pt idx="121">
                  <c:v>-4.4802506072979696E-3</c:v>
                </c:pt>
                <c:pt idx="122">
                  <c:v>6.660612110253014E-3</c:v>
                </c:pt>
                <c:pt idx="123">
                  <c:v>4.1129854999378017E-3</c:v>
                </c:pt>
                <c:pt idx="124">
                  <c:v>-1.6206459609851686E-2</c:v>
                </c:pt>
                <c:pt idx="125">
                  <c:v>7.3315840113538904E-3</c:v>
                </c:pt>
                <c:pt idx="126">
                  <c:v>2.6956381878483448E-4</c:v>
                </c:pt>
                <c:pt idx="127">
                  <c:v>-1.3744049859460363E-2</c:v>
                </c:pt>
                <c:pt idx="128">
                  <c:v>2.477436654586139E-2</c:v>
                </c:pt>
                <c:pt idx="129">
                  <c:v>-1.5465168263697197E-2</c:v>
                </c:pt>
                <c:pt idx="130">
                  <c:v>-7.1318369716233425E-3</c:v>
                </c:pt>
                <c:pt idx="131">
                  <c:v>-1.091098545292867E-2</c:v>
                </c:pt>
                <c:pt idx="132">
                  <c:v>6.4349531949083232E-3</c:v>
                </c:pt>
                <c:pt idx="133">
                  <c:v>-2.7402039990538201E-4</c:v>
                </c:pt>
                <c:pt idx="134">
                  <c:v>3.563241599657934E-3</c:v>
                </c:pt>
                <c:pt idx="135">
                  <c:v>4.8251607552378135E-3</c:v>
                </c:pt>
                <c:pt idx="136">
                  <c:v>6.5234586290407962E-3</c:v>
                </c:pt>
                <c:pt idx="137">
                  <c:v>-8.6415719019290321E-3</c:v>
                </c:pt>
                <c:pt idx="138">
                  <c:v>-1.7252197158108917E-3</c:v>
                </c:pt>
                <c:pt idx="139">
                  <c:v>-1.0278249495865465E-2</c:v>
                </c:pt>
                <c:pt idx="140">
                  <c:v>1.865621918392368E-2</c:v>
                </c:pt>
                <c:pt idx="141">
                  <c:v>-1.2450277830656459E-2</c:v>
                </c:pt>
                <c:pt idx="142">
                  <c:v>-7.856686725579631E-3</c:v>
                </c:pt>
                <c:pt idx="143">
                  <c:v>9.6684281621975243E-3</c:v>
                </c:pt>
                <c:pt idx="144">
                  <c:v>-2.3802814203987378E-2</c:v>
                </c:pt>
                <c:pt idx="145">
                  <c:v>2.0646313698782504E-2</c:v>
                </c:pt>
                <c:pt idx="146">
                  <c:v>8.9701778200454545E-3</c:v>
                </c:pt>
                <c:pt idx="147">
                  <c:v>-7.8018051199799637E-3</c:v>
                </c:pt>
                <c:pt idx="148">
                  <c:v>1.8286399764467533E-4</c:v>
                </c:pt>
                <c:pt idx="149">
                  <c:v>-2.4042219233958176E-2</c:v>
                </c:pt>
                <c:pt idx="150">
                  <c:v>-2.4353485217903288E-3</c:v>
                </c:pt>
                <c:pt idx="151">
                  <c:v>1.7934120744519496E-2</c:v>
                </c:pt>
                <c:pt idx="152">
                  <c:v>-4.3353574225469841E-3</c:v>
                </c:pt>
                <c:pt idx="153">
                  <c:v>-3.5204449842459666E-3</c:v>
                </c:pt>
                <c:pt idx="154">
                  <c:v>2.417235259281016E-2</c:v>
                </c:pt>
                <c:pt idx="155">
                  <c:v>-1.9516906633841875E-2</c:v>
                </c:pt>
                <c:pt idx="156">
                  <c:v>5.8327446581779747E-3</c:v>
                </c:pt>
                <c:pt idx="157">
                  <c:v>6.62733832285998E-3</c:v>
                </c:pt>
                <c:pt idx="158">
                  <c:v>1.0149879893087927E-2</c:v>
                </c:pt>
                <c:pt idx="159">
                  <c:v>-3.3492983220015818E-3</c:v>
                </c:pt>
                <c:pt idx="160">
                  <c:v>2.7247733669753051E-4</c:v>
                </c:pt>
                <c:pt idx="161">
                  <c:v>-5.3572612227812851E-3</c:v>
                </c:pt>
                <c:pt idx="162">
                  <c:v>9.5854607730994669E-3</c:v>
                </c:pt>
                <c:pt idx="163">
                  <c:v>4.0690508893587865E-3</c:v>
                </c:pt>
                <c:pt idx="164">
                  <c:v>-3.5392364435086469E-2</c:v>
                </c:pt>
                <c:pt idx="165">
                  <c:v>3.5010442447967478E-2</c:v>
                </c:pt>
                <c:pt idx="166">
                  <c:v>7.3966565308417409E-3</c:v>
                </c:pt>
                <c:pt idx="167">
                  <c:v>-1.6654593578669222E-2</c:v>
                </c:pt>
                <c:pt idx="168">
                  <c:v>2.0943190230639521E-3</c:v>
                </c:pt>
                <c:pt idx="169">
                  <c:v>1.6537802053413535E-2</c:v>
                </c:pt>
                <c:pt idx="170">
                  <c:v>-1.1620537601825062E-2</c:v>
                </c:pt>
                <c:pt idx="171">
                  <c:v>-2.1524650699234569E-2</c:v>
                </c:pt>
                <c:pt idx="172">
                  <c:v>2.5602892664724999E-2</c:v>
                </c:pt>
                <c:pt idx="173">
                  <c:v>-1.1084985792292508E-2</c:v>
                </c:pt>
                <c:pt idx="174">
                  <c:v>-5.4679219800441142E-4</c:v>
                </c:pt>
                <c:pt idx="175">
                  <c:v>-3.1913661691479554E-3</c:v>
                </c:pt>
                <c:pt idx="176">
                  <c:v>-5.579902836511586E-3</c:v>
                </c:pt>
                <c:pt idx="177">
                  <c:v>2.5572412701946181E-2</c:v>
                </c:pt>
                <c:pt idx="178">
                  <c:v>-2.9419441407325633E-2</c:v>
                </c:pt>
                <c:pt idx="179">
                  <c:v>4.0106865389715855E-2</c:v>
                </c:pt>
                <c:pt idx="180">
                  <c:v>-1.1728027052649007E-2</c:v>
                </c:pt>
                <c:pt idx="181">
                  <c:v>-6.3831183600960521E-3</c:v>
                </c:pt>
                <c:pt idx="182">
                  <c:v>-6.8765274260342698E-3</c:v>
                </c:pt>
                <c:pt idx="183">
                  <c:v>1.8494746307655886E-2</c:v>
                </c:pt>
                <c:pt idx="184">
                  <c:v>-5.0988050011225713E-3</c:v>
                </c:pt>
                <c:pt idx="185">
                  <c:v>1.6094097422337045E-2</c:v>
                </c:pt>
                <c:pt idx="186">
                  <c:v>-1.6812537551688547E-3</c:v>
                </c:pt>
                <c:pt idx="187">
                  <c:v>-1.382722527474952E-2</c:v>
                </c:pt>
                <c:pt idx="188">
                  <c:v>-6.740912575756622E-3</c:v>
                </c:pt>
                <c:pt idx="189">
                  <c:v>1.5383097956853021E-2</c:v>
                </c:pt>
                <c:pt idx="190">
                  <c:v>-8.0206111883960613E-3</c:v>
                </c:pt>
                <c:pt idx="191">
                  <c:v>-5.6598230721340822E-3</c:v>
                </c:pt>
                <c:pt idx="192">
                  <c:v>1.6714717715522812E-2</c:v>
                </c:pt>
                <c:pt idx="193">
                  <c:v>-1.0930331135714759E-2</c:v>
                </c:pt>
                <c:pt idx="194">
                  <c:v>9.0744998468117073E-3</c:v>
                </c:pt>
                <c:pt idx="195">
                  <c:v>7.4792384354500693E-3</c:v>
                </c:pt>
                <c:pt idx="196">
                  <c:v>-1.6614980526005498E-2</c:v>
                </c:pt>
                <c:pt idx="197">
                  <c:v>2.399549208283569E-2</c:v>
                </c:pt>
                <c:pt idx="198">
                  <c:v>-3.7738862866625823E-3</c:v>
                </c:pt>
                <c:pt idx="199">
                  <c:v>1.3214589964487241E-3</c:v>
                </c:pt>
                <c:pt idx="200">
                  <c:v>6.0715690268157395E-3</c:v>
                </c:pt>
                <c:pt idx="201">
                  <c:v>-2.3000236115119227E-2</c:v>
                </c:pt>
                <c:pt idx="202">
                  <c:v>2.2646613122522325E-2</c:v>
                </c:pt>
                <c:pt idx="203">
                  <c:v>-1.7331139333572637E-2</c:v>
                </c:pt>
                <c:pt idx="204">
                  <c:v>1.6032649600208676E-3</c:v>
                </c:pt>
                <c:pt idx="205">
                  <c:v>8.6259869863202412E-3</c:v>
                </c:pt>
                <c:pt idx="206">
                  <c:v>9.0821003889053099E-3</c:v>
                </c:pt>
                <c:pt idx="207">
                  <c:v>-1.1621567308280289E-2</c:v>
                </c:pt>
                <c:pt idx="208">
                  <c:v>2.1659127535229934E-2</c:v>
                </c:pt>
                <c:pt idx="209">
                  <c:v>-4.7158024071782642E-2</c:v>
                </c:pt>
                <c:pt idx="210">
                  <c:v>-2.90589706404513E-3</c:v>
                </c:pt>
                <c:pt idx="211">
                  <c:v>7.8323583868620331E-3</c:v>
                </c:pt>
                <c:pt idx="212">
                  <c:v>-1.4097120121018375E-2</c:v>
                </c:pt>
                <c:pt idx="213">
                  <c:v>-4.3079387979384123E-3</c:v>
                </c:pt>
                <c:pt idx="214">
                  <c:v>-1.8687132298452844E-2</c:v>
                </c:pt>
                <c:pt idx="215">
                  <c:v>-5.0188131619901877E-2</c:v>
                </c:pt>
                <c:pt idx="216">
                  <c:v>-1.3826754949096661E-2</c:v>
                </c:pt>
                <c:pt idx="217">
                  <c:v>-3.6755127623876505E-2</c:v>
                </c:pt>
                <c:pt idx="218">
                  <c:v>-1.3932198526109229E-2</c:v>
                </c:pt>
                <c:pt idx="219">
                  <c:v>-1.834664177723528E-2</c:v>
                </c:pt>
                <c:pt idx="220">
                  <c:v>-4.2964194284952559E-4</c:v>
                </c:pt>
                <c:pt idx="221">
                  <c:v>1.1820231895756823E-2</c:v>
                </c:pt>
                <c:pt idx="222">
                  <c:v>1.306286970010224E-2</c:v>
                </c:pt>
                <c:pt idx="223">
                  <c:v>-3.9836130930459377E-3</c:v>
                </c:pt>
                <c:pt idx="224">
                  <c:v>1.6735151870645382E-2</c:v>
                </c:pt>
                <c:pt idx="225">
                  <c:v>5.0724212353913918E-3</c:v>
                </c:pt>
                <c:pt idx="226">
                  <c:v>-6.6948663833375048E-3</c:v>
                </c:pt>
                <c:pt idx="227">
                  <c:v>9.7470157858499818E-3</c:v>
                </c:pt>
                <c:pt idx="228">
                  <c:v>-3.0806891008608077E-3</c:v>
                </c:pt>
                <c:pt idx="229">
                  <c:v>1.0712827797790266E-2</c:v>
                </c:pt>
                <c:pt idx="230">
                  <c:v>-6.3188424230453183E-3</c:v>
                </c:pt>
                <c:pt idx="231">
                  <c:v>1.96923492225346E-2</c:v>
                </c:pt>
                <c:pt idx="232">
                  <c:v>-3.8222372514894378E-3</c:v>
                </c:pt>
                <c:pt idx="233">
                  <c:v>8.077679486094759E-3</c:v>
                </c:pt>
                <c:pt idx="234">
                  <c:v>-4.2067955357747875E-3</c:v>
                </c:pt>
                <c:pt idx="235">
                  <c:v>6.8393112389024671E-3</c:v>
                </c:pt>
                <c:pt idx="236">
                  <c:v>-1.018942905551205E-2</c:v>
                </c:pt>
                <c:pt idx="237">
                  <c:v>1.2211948567649246E-2</c:v>
                </c:pt>
                <c:pt idx="238">
                  <c:v>-1.4956506479159174E-3</c:v>
                </c:pt>
                <c:pt idx="239">
                  <c:v>1.2682143541892975E-2</c:v>
                </c:pt>
                <c:pt idx="240">
                  <c:v>1.3115960035814743E-2</c:v>
                </c:pt>
                <c:pt idx="241">
                  <c:v>1.1971863201509857E-2</c:v>
                </c:pt>
                <c:pt idx="242">
                  <c:v>3.173965022905431E-3</c:v>
                </c:pt>
                <c:pt idx="243">
                  <c:v>-1.2559814920101383E-2</c:v>
                </c:pt>
                <c:pt idx="244">
                  <c:v>-1.6895667481301731E-2</c:v>
                </c:pt>
                <c:pt idx="245">
                  <c:v>3.2692087371161568E-2</c:v>
                </c:pt>
                <c:pt idx="246">
                  <c:v>-2.74490751322914E-2</c:v>
                </c:pt>
                <c:pt idx="247">
                  <c:v>1.1309774335534867E-2</c:v>
                </c:pt>
                <c:pt idx="248">
                  <c:v>-8.3624316784469931E-3</c:v>
                </c:pt>
                <c:pt idx="249">
                  <c:v>-7.551414039295587E-3</c:v>
                </c:pt>
                <c:pt idx="250">
                  <c:v>2.3712884395735915E-3</c:v>
                </c:pt>
                <c:pt idx="251">
                  <c:v>2.139066424316028E-2</c:v>
                </c:pt>
                <c:pt idx="252">
                  <c:v>-2.1039191900475773E-2</c:v>
                </c:pt>
                <c:pt idx="253">
                  <c:v>-5.816200187695574E-3</c:v>
                </c:pt>
                <c:pt idx="254">
                  <c:v>9.5200038076048675E-3</c:v>
                </c:pt>
                <c:pt idx="255">
                  <c:v>-7.9569083467487811E-3</c:v>
                </c:pt>
                <c:pt idx="256">
                  <c:v>2.2772096854678774E-3</c:v>
                </c:pt>
                <c:pt idx="257">
                  <c:v>-1.4323407500484116E-2</c:v>
                </c:pt>
                <c:pt idx="258">
                  <c:v>-6.0132793042511025E-3</c:v>
                </c:pt>
                <c:pt idx="259">
                  <c:v>5.7471797470518629E-3</c:v>
                </c:pt>
                <c:pt idx="260">
                  <c:v>1.9949407939763505E-2</c:v>
                </c:pt>
                <c:pt idx="261">
                  <c:v>-1.7495144524123967E-2</c:v>
                </c:pt>
                <c:pt idx="262">
                  <c:v>-1.7707035845940848E-2</c:v>
                </c:pt>
                <c:pt idx="263">
                  <c:v>-1.0184251440211127E-4</c:v>
                </c:pt>
                <c:pt idx="264">
                  <c:v>1.3342830096550481E-2</c:v>
                </c:pt>
                <c:pt idx="265">
                  <c:v>-9.3476956620021749E-3</c:v>
                </c:pt>
                <c:pt idx="266">
                  <c:v>1.1363643281376854E-2</c:v>
                </c:pt>
                <c:pt idx="267">
                  <c:v>1.3041624954366396E-3</c:v>
                </c:pt>
                <c:pt idx="268">
                  <c:v>1.592983446786294E-2</c:v>
                </c:pt>
                <c:pt idx="269">
                  <c:v>-3.3530307453195972E-3</c:v>
                </c:pt>
                <c:pt idx="270">
                  <c:v>-1.1873743330747364E-2</c:v>
                </c:pt>
                <c:pt idx="271">
                  <c:v>-7.7107310243667128E-3</c:v>
                </c:pt>
                <c:pt idx="272">
                  <c:v>-5.1468940163281922E-3</c:v>
                </c:pt>
                <c:pt idx="273">
                  <c:v>3.2461689809437206E-3</c:v>
                </c:pt>
                <c:pt idx="274">
                  <c:v>1.1122252462390804E-3</c:v>
                </c:pt>
                <c:pt idx="275">
                  <c:v>1.7977528316851864E-2</c:v>
                </c:pt>
                <c:pt idx="276">
                  <c:v>-1.2600058735519518E-2</c:v>
                </c:pt>
                <c:pt idx="277">
                  <c:v>-1.6077237297960643E-2</c:v>
                </c:pt>
                <c:pt idx="278">
                  <c:v>1.5625074996826447E-2</c:v>
                </c:pt>
                <c:pt idx="279">
                  <c:v>-7.3403107847364348E-3</c:v>
                </c:pt>
                <c:pt idx="280">
                  <c:v>3.5452497715020336E-3</c:v>
                </c:pt>
                <c:pt idx="281">
                  <c:v>-2.2307375673280963E-2</c:v>
                </c:pt>
                <c:pt idx="282">
                  <c:v>2.3126071318214231E-2</c:v>
                </c:pt>
                <c:pt idx="283">
                  <c:v>1.2411400834019311E-2</c:v>
                </c:pt>
                <c:pt idx="284">
                  <c:v>-1.9634847923070409E-2</c:v>
                </c:pt>
                <c:pt idx="285">
                  <c:v>7.7267554296517049E-3</c:v>
                </c:pt>
                <c:pt idx="286">
                  <c:v>-1.5435907871231438E-2</c:v>
                </c:pt>
                <c:pt idx="287">
                  <c:v>-9.427117164003471E-3</c:v>
                </c:pt>
                <c:pt idx="288">
                  <c:v>2.7723156555737961E-2</c:v>
                </c:pt>
                <c:pt idx="289">
                  <c:v>1.6104545880492049E-3</c:v>
                </c:pt>
                <c:pt idx="290">
                  <c:v>5.6272267048722933E-3</c:v>
                </c:pt>
                <c:pt idx="291">
                  <c:v>-2.4979314645231644E-3</c:v>
                </c:pt>
                <c:pt idx="292">
                  <c:v>-4.6083567928657471E-3</c:v>
                </c:pt>
                <c:pt idx="293">
                  <c:v>9.2589815583244521E-3</c:v>
                </c:pt>
                <c:pt idx="294">
                  <c:v>-1.2963598216208432E-3</c:v>
                </c:pt>
                <c:pt idx="295">
                  <c:v>-1.0084592434608597E-2</c:v>
                </c:pt>
                <c:pt idx="296">
                  <c:v>8.2711641884744991E-3</c:v>
                </c:pt>
                <c:pt idx="297">
                  <c:v>1.1904362938963216E-2</c:v>
                </c:pt>
                <c:pt idx="298">
                  <c:v>4.0533540021433006E-3</c:v>
                </c:pt>
                <c:pt idx="299">
                  <c:v>-2.1661704122062808E-2</c:v>
                </c:pt>
                <c:pt idx="300">
                  <c:v>2.9187561052736403E-3</c:v>
                </c:pt>
                <c:pt idx="301">
                  <c:v>2.0671880003407968E-2</c:v>
                </c:pt>
                <c:pt idx="302">
                  <c:v>-1.0913295343267375E-2</c:v>
                </c:pt>
                <c:pt idx="303">
                  <c:v>-4.7713338263712015E-3</c:v>
                </c:pt>
                <c:pt idx="304">
                  <c:v>1.0487331303785E-2</c:v>
                </c:pt>
                <c:pt idx="305">
                  <c:v>-1.5221486832168934E-2</c:v>
                </c:pt>
                <c:pt idx="306">
                  <c:v>-3.6133393649335193E-3</c:v>
                </c:pt>
                <c:pt idx="307">
                  <c:v>-1.4102833631994471E-3</c:v>
                </c:pt>
                <c:pt idx="308">
                  <c:v>1.9267164412927858E-2</c:v>
                </c:pt>
                <c:pt idx="309">
                  <c:v>-1.0094931948282379E-2</c:v>
                </c:pt>
                <c:pt idx="310">
                  <c:v>-3.5989514181049335E-3</c:v>
                </c:pt>
                <c:pt idx="311">
                  <c:v>2.5988846370233892E-2</c:v>
                </c:pt>
                <c:pt idx="312">
                  <c:v>-1.4475178213590368E-2</c:v>
                </c:pt>
                <c:pt idx="313">
                  <c:v>6.0533408487379228E-3</c:v>
                </c:pt>
                <c:pt idx="314">
                  <c:v>-1.2724302826570635E-2</c:v>
                </c:pt>
                <c:pt idx="315">
                  <c:v>1.1089930343248325E-2</c:v>
                </c:pt>
                <c:pt idx="316">
                  <c:v>-5.9288068869023044E-4</c:v>
                </c:pt>
                <c:pt idx="317">
                  <c:v>2.1258483223387543E-2</c:v>
                </c:pt>
                <c:pt idx="318">
                  <c:v>-1.1037758408533469E-2</c:v>
                </c:pt>
                <c:pt idx="319">
                  <c:v>5.5809646131013803E-3</c:v>
                </c:pt>
                <c:pt idx="320">
                  <c:v>1.9470234392417009E-3</c:v>
                </c:pt>
                <c:pt idx="321">
                  <c:v>8.4530935893486186E-3</c:v>
                </c:pt>
                <c:pt idx="322">
                  <c:v>4.2392926547511582E-3</c:v>
                </c:pt>
                <c:pt idx="323">
                  <c:v>4.1254560787635204E-3</c:v>
                </c:pt>
                <c:pt idx="324">
                  <c:v>9.9368532087915004E-3</c:v>
                </c:pt>
                <c:pt idx="325">
                  <c:v>-3.481521917031933E-2</c:v>
                </c:pt>
                <c:pt idx="326">
                  <c:v>1.1076161845268915E-2</c:v>
                </c:pt>
                <c:pt idx="327">
                  <c:v>7.2709011748806852E-3</c:v>
                </c:pt>
                <c:pt idx="328">
                  <c:v>-1.2126940190123387E-2</c:v>
                </c:pt>
                <c:pt idx="329">
                  <c:v>-9.1591168822564989E-3</c:v>
                </c:pt>
                <c:pt idx="330">
                  <c:v>1.7503303808819641E-2</c:v>
                </c:pt>
                <c:pt idx="331">
                  <c:v>-4.8318095416653088E-4</c:v>
                </c:pt>
                <c:pt idx="332">
                  <c:v>6.9611692443940724E-3</c:v>
                </c:pt>
                <c:pt idx="333">
                  <c:v>-1.2097831127719404E-2</c:v>
                </c:pt>
                <c:pt idx="334">
                  <c:v>7.3864646922127313E-3</c:v>
                </c:pt>
                <c:pt idx="335">
                  <c:v>-8.2970818391350145E-3</c:v>
                </c:pt>
                <c:pt idx="336">
                  <c:v>8.8529237510325421E-3</c:v>
                </c:pt>
                <c:pt idx="337">
                  <c:v>1.0318136101036665E-2</c:v>
                </c:pt>
                <c:pt idx="338">
                  <c:v>-4.6768711541085826E-3</c:v>
                </c:pt>
                <c:pt idx="339">
                  <c:v>-6.2331644625238719E-3</c:v>
                </c:pt>
                <c:pt idx="340">
                  <c:v>4.3423341879690602E-3</c:v>
                </c:pt>
                <c:pt idx="341">
                  <c:v>1.6621685631081247E-2</c:v>
                </c:pt>
                <c:pt idx="342">
                  <c:v>-2.3249022548716702E-2</c:v>
                </c:pt>
                <c:pt idx="343">
                  <c:v>3.0962478314171178E-3</c:v>
                </c:pt>
                <c:pt idx="344">
                  <c:v>-1.0128203767884692E-2</c:v>
                </c:pt>
                <c:pt idx="345">
                  <c:v>1.0329279903021587E-2</c:v>
                </c:pt>
                <c:pt idx="346">
                  <c:v>-1.1573973605552262E-3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00B-7949-8DFC-70093D180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country'!$D$5:$D$351</c:f>
              <c:numCache>
                <c:formatCode>0.0%</c:formatCode>
                <c:ptCount val="347"/>
                <c:pt idx="12">
                  <c:v>2.175882492332116E-4</c:v>
                </c:pt>
                <c:pt idx="13">
                  <c:v>-9.9925024803702717E-3</c:v>
                </c:pt>
                <c:pt idx="14">
                  <c:v>-1.3058492822798655E-2</c:v>
                </c:pt>
                <c:pt idx="15">
                  <c:v>8.9598250713828279E-3</c:v>
                </c:pt>
                <c:pt idx="16">
                  <c:v>2.0765947736390484E-3</c:v>
                </c:pt>
                <c:pt idx="17">
                  <c:v>1.2007323157236054E-3</c:v>
                </c:pt>
                <c:pt idx="18">
                  <c:v>-1.456995679931309E-2</c:v>
                </c:pt>
                <c:pt idx="19">
                  <c:v>-1.6588382094766079E-3</c:v>
                </c:pt>
                <c:pt idx="20">
                  <c:v>-8.9735519818394636E-3</c:v>
                </c:pt>
                <c:pt idx="21">
                  <c:v>-2.6175262788173781E-2</c:v>
                </c:pt>
                <c:pt idx="22">
                  <c:v>-1.1176873828357326E-2</c:v>
                </c:pt>
                <c:pt idx="23">
                  <c:v>-3.936582925271221E-2</c:v>
                </c:pt>
                <c:pt idx="24">
                  <c:v>-4.3639099295728977E-2</c:v>
                </c:pt>
                <c:pt idx="25">
                  <c:v>-4.7210805813756571E-2</c:v>
                </c:pt>
                <c:pt idx="26">
                  <c:v>-3.8490986843630448E-2</c:v>
                </c:pt>
                <c:pt idx="27">
                  <c:v>-5.2523278720764476E-2</c:v>
                </c:pt>
                <c:pt idx="28">
                  <c:v>-5.2241245220211417E-2</c:v>
                </c:pt>
                <c:pt idx="29">
                  <c:v>-5.3314320552947839E-2</c:v>
                </c:pt>
                <c:pt idx="30">
                  <c:v>-4.932133961155577E-2</c:v>
                </c:pt>
                <c:pt idx="31">
                  <c:v>-3.2676068818657297E-2</c:v>
                </c:pt>
                <c:pt idx="32">
                  <c:v>-4.2623653183084226E-2</c:v>
                </c:pt>
                <c:pt idx="33">
                  <c:v>-2.2510956903257797E-2</c:v>
                </c:pt>
                <c:pt idx="34">
                  <c:v>-2.8479594861523197E-2</c:v>
                </c:pt>
                <c:pt idx="35">
                  <c:v>-2.2678715816215281E-2</c:v>
                </c:pt>
                <c:pt idx="36">
                  <c:v>-1.832039856746755E-2</c:v>
                </c:pt>
                <c:pt idx="37">
                  <c:v>1.0251651854359045E-3</c:v>
                </c:pt>
                <c:pt idx="38">
                  <c:v>-3.6392282879943471E-3</c:v>
                </c:pt>
                <c:pt idx="39">
                  <c:v>6.8578693994212042E-4</c:v>
                </c:pt>
                <c:pt idx="40">
                  <c:v>3.5788191882853065E-2</c:v>
                </c:pt>
                <c:pt idx="41">
                  <c:v>3.5471543311912615E-2</c:v>
                </c:pt>
                <c:pt idx="42">
                  <c:v>4.9442831954050533E-2</c:v>
                </c:pt>
                <c:pt idx="43">
                  <c:v>4.4429148823100305E-2</c:v>
                </c:pt>
                <c:pt idx="44">
                  <c:v>5.7785448609884542E-2</c:v>
                </c:pt>
                <c:pt idx="45">
                  <c:v>4.7204468524091034E-2</c:v>
                </c:pt>
                <c:pt idx="46">
                  <c:v>5.2697633520332139E-2</c:v>
                </c:pt>
                <c:pt idx="47">
                  <c:v>6.9500278745508501E-2</c:v>
                </c:pt>
                <c:pt idx="48">
                  <c:v>7.7547283713408244E-2</c:v>
                </c:pt>
                <c:pt idx="49">
                  <c:v>6.5430157441796422E-2</c:v>
                </c:pt>
                <c:pt idx="50">
                  <c:v>6.1522715311241011E-2</c:v>
                </c:pt>
                <c:pt idx="51">
                  <c:v>7.1159315290689085E-2</c:v>
                </c:pt>
                <c:pt idx="52">
                  <c:v>4.2328721847112713E-2</c:v>
                </c:pt>
                <c:pt idx="53">
                  <c:v>3.8371718620965931E-2</c:v>
                </c:pt>
                <c:pt idx="54">
                  <c:v>3.9261231520419888E-2</c:v>
                </c:pt>
                <c:pt idx="55">
                  <c:v>3.5083908959864081E-2</c:v>
                </c:pt>
                <c:pt idx="56">
                  <c:v>2.3225409973704307E-2</c:v>
                </c:pt>
                <c:pt idx="57">
                  <c:v>2.822755521945321E-2</c:v>
                </c:pt>
                <c:pt idx="58">
                  <c:v>-1.3002383661983787E-3</c:v>
                </c:pt>
                <c:pt idx="59">
                  <c:v>-1.0418924524585101E-2</c:v>
                </c:pt>
                <c:pt idx="60">
                  <c:v>1.2155663926227765E-2</c:v>
                </c:pt>
                <c:pt idx="61">
                  <c:v>-3.9516919542911481E-3</c:v>
                </c:pt>
                <c:pt idx="62">
                  <c:v>5.6988769341503034E-3</c:v>
                </c:pt>
                <c:pt idx="63">
                  <c:v>4.2653729260943331E-3</c:v>
                </c:pt>
                <c:pt idx="64">
                  <c:v>-5.9689328985612407E-3</c:v>
                </c:pt>
                <c:pt idx="65">
                  <c:v>1.8744594893058828E-2</c:v>
                </c:pt>
                <c:pt idx="66">
                  <c:v>4.0438102141963214E-3</c:v>
                </c:pt>
                <c:pt idx="67">
                  <c:v>-1.8112442444343606E-2</c:v>
                </c:pt>
                <c:pt idx="68">
                  <c:v>9.697383163268675E-3</c:v>
                </c:pt>
                <c:pt idx="69">
                  <c:v>9.1509136229769809E-3</c:v>
                </c:pt>
                <c:pt idx="70">
                  <c:v>1.8444133644538195E-2</c:v>
                </c:pt>
                <c:pt idx="71">
                  <c:v>3.158575576867536E-2</c:v>
                </c:pt>
                <c:pt idx="72">
                  <c:v>1.1691049856319618E-2</c:v>
                </c:pt>
                <c:pt idx="73">
                  <c:v>1.1473311717959001E-2</c:v>
                </c:pt>
                <c:pt idx="74">
                  <c:v>1.667910820373791E-2</c:v>
                </c:pt>
                <c:pt idx="75">
                  <c:v>1.3166166900914664E-2</c:v>
                </c:pt>
                <c:pt idx="76">
                  <c:v>5.9082070726837195E-2</c:v>
                </c:pt>
                <c:pt idx="77">
                  <c:v>1.9135788904707865E-2</c:v>
                </c:pt>
                <c:pt idx="78">
                  <c:v>3.4976181436973883E-2</c:v>
                </c:pt>
                <c:pt idx="79">
                  <c:v>5.5231897725132449E-2</c:v>
                </c:pt>
                <c:pt idx="80">
                  <c:v>7.2400557293506501E-2</c:v>
                </c:pt>
                <c:pt idx="81">
                  <c:v>4.6288522058915781E-2</c:v>
                </c:pt>
                <c:pt idx="82">
                  <c:v>8.3625809863303591E-2</c:v>
                </c:pt>
                <c:pt idx="83">
                  <c:v>4.5665024459497883E-2</c:v>
                </c:pt>
                <c:pt idx="84">
                  <c:v>6.4922240384575058E-2</c:v>
                </c:pt>
                <c:pt idx="85">
                  <c:v>7.4631093410751775E-2</c:v>
                </c:pt>
                <c:pt idx="86">
                  <c:v>7.340469040166768E-2</c:v>
                </c:pt>
                <c:pt idx="87">
                  <c:v>5.6905942614811827E-2</c:v>
                </c:pt>
                <c:pt idx="88">
                  <c:v>3.4220430689954819E-2</c:v>
                </c:pt>
                <c:pt idx="89">
                  <c:v>6.7162236651071058E-2</c:v>
                </c:pt>
                <c:pt idx="90">
                  <c:v>5.2330236687232794E-2</c:v>
                </c:pt>
                <c:pt idx="91">
                  <c:v>5.6634978116110693E-2</c:v>
                </c:pt>
                <c:pt idx="92">
                  <c:v>-8.857326189735653E-3</c:v>
                </c:pt>
                <c:pt idx="93">
                  <c:v>3.32564990134619E-2</c:v>
                </c:pt>
                <c:pt idx="94">
                  <c:v>9.0453476575096253E-3</c:v>
                </c:pt>
                <c:pt idx="95">
                  <c:v>3.8740569987189707E-2</c:v>
                </c:pt>
                <c:pt idx="96">
                  <c:v>1.0753589791142937E-2</c:v>
                </c:pt>
                <c:pt idx="97">
                  <c:v>1.3515726422204359E-2</c:v>
                </c:pt>
                <c:pt idx="98">
                  <c:v>3.5269601815992556E-3</c:v>
                </c:pt>
                <c:pt idx="99">
                  <c:v>1.5071769386063333E-2</c:v>
                </c:pt>
                <c:pt idx="100">
                  <c:v>1.0182005427270225E-2</c:v>
                </c:pt>
                <c:pt idx="101">
                  <c:v>1.5467769518633016E-3</c:v>
                </c:pt>
                <c:pt idx="102">
                  <c:v>2.2090114041430114E-2</c:v>
                </c:pt>
                <c:pt idx="103">
                  <c:v>1.8575689646665245E-2</c:v>
                </c:pt>
                <c:pt idx="104">
                  <c:v>2.6115371936276929E-2</c:v>
                </c:pt>
                <c:pt idx="105">
                  <c:v>3.5208898000505209E-2</c:v>
                </c:pt>
                <c:pt idx="106">
                  <c:v>4.7057264696626765E-2</c:v>
                </c:pt>
                <c:pt idx="107">
                  <c:v>4.1847935065954023E-2</c:v>
                </c:pt>
                <c:pt idx="108">
                  <c:v>4.0503255388153005E-2</c:v>
                </c:pt>
                <c:pt idx="109">
                  <c:v>4.5356815056126591E-2</c:v>
                </c:pt>
                <c:pt idx="110">
                  <c:v>5.1742198887249957E-2</c:v>
                </c:pt>
                <c:pt idx="111">
                  <c:v>5.9392912822797142E-2</c:v>
                </c:pt>
                <c:pt idx="112">
                  <c:v>5.688486097126786E-2</c:v>
                </c:pt>
                <c:pt idx="113">
                  <c:v>6.5829543951838335E-2</c:v>
                </c:pt>
                <c:pt idx="114">
                  <c:v>3.7607980127752905E-2</c:v>
                </c:pt>
                <c:pt idx="115">
                  <c:v>4.7397011233756503E-2</c:v>
                </c:pt>
                <c:pt idx="116">
                  <c:v>5.7576429080838161E-2</c:v>
                </c:pt>
                <c:pt idx="117">
                  <c:v>3.2315535293180972E-2</c:v>
                </c:pt>
                <c:pt idx="118">
                  <c:v>3.079903490154081E-2</c:v>
                </c:pt>
                <c:pt idx="119">
                  <c:v>2.8172707062423478E-2</c:v>
                </c:pt>
                <c:pt idx="120">
                  <c:v>4.6805720615809406E-2</c:v>
                </c:pt>
                <c:pt idx="121">
                  <c:v>3.4450363078894153E-2</c:v>
                </c:pt>
                <c:pt idx="122">
                  <c:v>3.815061416919379E-2</c:v>
                </c:pt>
                <c:pt idx="123">
                  <c:v>3.5499935915700047E-2</c:v>
                </c:pt>
                <c:pt idx="124">
                  <c:v>1.3020248319975369E-2</c:v>
                </c:pt>
                <c:pt idx="125">
                  <c:v>7.8789432073093982E-3</c:v>
                </c:pt>
                <c:pt idx="126">
                  <c:v>2.147165237211281E-2</c:v>
                </c:pt>
                <c:pt idx="127">
                  <c:v>-4.3529163179043973E-3</c:v>
                </c:pt>
                <c:pt idx="128">
                  <c:v>2.9462654255752431E-2</c:v>
                </c:pt>
                <c:pt idx="129">
                  <c:v>1.0951812935733876E-2</c:v>
                </c:pt>
                <c:pt idx="130">
                  <c:v>-7.2214614613168616E-3</c:v>
                </c:pt>
                <c:pt idx="131">
                  <c:v>-1.6277675439429387E-2</c:v>
                </c:pt>
                <c:pt idx="132">
                  <c:v>-1.8996262574943305E-2</c:v>
                </c:pt>
                <c:pt idx="133">
                  <c:v>-1.4851364840428758E-2</c:v>
                </c:pt>
                <c:pt idx="134">
                  <c:v>-1.7882545651903729E-2</c:v>
                </c:pt>
                <c:pt idx="135">
                  <c:v>-1.7185970904952611E-2</c:v>
                </c:pt>
                <c:pt idx="136">
                  <c:v>5.5213163542295494E-3</c:v>
                </c:pt>
                <c:pt idx="137">
                  <c:v>-1.0423134326346509E-2</c:v>
                </c:pt>
                <c:pt idx="138">
                  <c:v>-1.2396593990885768E-2</c:v>
                </c:pt>
                <c:pt idx="139">
                  <c:v>-8.926058534905806E-3</c:v>
                </c:pt>
                <c:pt idx="140">
                  <c:v>-1.4843006322054144E-2</c:v>
                </c:pt>
                <c:pt idx="141">
                  <c:v>-1.1826210674464162E-2</c:v>
                </c:pt>
                <c:pt idx="142">
                  <c:v>-1.2547633270868028E-2</c:v>
                </c:pt>
                <c:pt idx="143">
                  <c:v>7.9977275422430799E-3</c:v>
                </c:pt>
                <c:pt idx="144">
                  <c:v>-2.2286992525637001E-2</c:v>
                </c:pt>
                <c:pt idx="145">
                  <c:v>-1.8273033844399893E-3</c:v>
                </c:pt>
                <c:pt idx="146">
                  <c:v>3.550589989703294E-3</c:v>
                </c:pt>
                <c:pt idx="147">
                  <c:v>-9.0603592070011198E-3</c:v>
                </c:pt>
                <c:pt idx="148">
                  <c:v>-1.530278357633256E-2</c:v>
                </c:pt>
                <c:pt idx="149">
                  <c:v>-3.0599949696225041E-2</c:v>
                </c:pt>
                <c:pt idx="150">
                  <c:v>-3.1289538288298509E-2</c:v>
                </c:pt>
                <c:pt idx="151">
                  <c:v>-3.6761023022510216E-3</c:v>
                </c:pt>
                <c:pt idx="152">
                  <c:v>-2.616362732529243E-2</c:v>
                </c:pt>
                <c:pt idx="153">
                  <c:v>-1.7357796254187492E-2</c:v>
                </c:pt>
                <c:pt idx="154">
                  <c:v>1.4364521840979239E-2</c:v>
                </c:pt>
                <c:pt idx="155">
                  <c:v>-1.4956557584114552E-2</c:v>
                </c:pt>
                <c:pt idx="156">
                  <c:v>1.4947557428982834E-2</c:v>
                </c:pt>
                <c:pt idx="157">
                  <c:v>1.0068566940867254E-3</c:v>
                </c:pt>
                <c:pt idx="158">
                  <c:v>2.1772479404594796E-3</c:v>
                </c:pt>
                <c:pt idx="159">
                  <c:v>6.6745359140318837E-3</c:v>
                </c:pt>
                <c:pt idx="160">
                  <c:v>6.7647308871212767E-3</c:v>
                </c:pt>
                <c:pt idx="161">
                  <c:v>2.6039495732988263E-2</c:v>
                </c:pt>
                <c:pt idx="162">
                  <c:v>3.8403431332505206E-2</c:v>
                </c:pt>
                <c:pt idx="163">
                  <c:v>2.4259553236805481E-2</c:v>
                </c:pt>
                <c:pt idx="164">
                  <c:v>-7.6893929919057405E-3</c:v>
                </c:pt>
                <c:pt idx="165">
                  <c:v>3.0680293675489859E-2</c:v>
                </c:pt>
                <c:pt idx="166">
                  <c:v>1.3797999108576601E-2</c:v>
                </c:pt>
                <c:pt idx="167">
                  <c:v>1.6757567986193874E-2</c:v>
                </c:pt>
                <c:pt idx="168">
                  <c:v>1.2978537548934117E-2</c:v>
                </c:pt>
                <c:pt idx="169">
                  <c:v>2.2951530208694379E-2</c:v>
                </c:pt>
                <c:pt idx="170">
                  <c:v>9.052157627030676E-4</c:v>
                </c:pt>
                <c:pt idx="171">
                  <c:v>-1.7347723769742088E-2</c:v>
                </c:pt>
                <c:pt idx="172">
                  <c:v>7.5364861269634435E-3</c:v>
                </c:pt>
                <c:pt idx="173">
                  <c:v>1.7345119494180891E-3</c:v>
                </c:pt>
                <c:pt idx="174">
                  <c:v>-8.318948484911522E-3</c:v>
                </c:pt>
                <c:pt idx="175">
                  <c:v>-1.5489787997035317E-2</c:v>
                </c:pt>
                <c:pt idx="176">
                  <c:v>1.4937788777799405E-2</c:v>
                </c:pt>
                <c:pt idx="177">
                  <c:v>5.6827970907686607E-3</c:v>
                </c:pt>
                <c:pt idx="178">
                  <c:v>-3.1070666515044192E-2</c:v>
                </c:pt>
                <c:pt idx="179">
                  <c:v>2.485865623028043E-2</c:v>
                </c:pt>
                <c:pt idx="180">
                  <c:v>1.0722311221443957E-2</c:v>
                </c:pt>
                <c:pt idx="181">
                  <c:v>-1.206748135574138E-2</c:v>
                </c:pt>
                <c:pt idx="182">
                  <c:v>-7.3256164144452846E-3</c:v>
                </c:pt>
                <c:pt idx="183">
                  <c:v>3.3274517542602883E-2</c:v>
                </c:pt>
                <c:pt idx="184">
                  <c:v>2.3431677284521408E-3</c:v>
                </c:pt>
                <c:pt idx="185">
                  <c:v>2.9891306824240037E-2</c:v>
                </c:pt>
                <c:pt idx="186">
                  <c:v>2.8722295522330823E-2</c:v>
                </c:pt>
                <c:pt idx="187">
                  <c:v>1.7745920496446809E-2</c:v>
                </c:pt>
                <c:pt idx="188">
                  <c:v>1.6557677289030001E-2</c:v>
                </c:pt>
                <c:pt idx="189">
                  <c:v>6.4579261625836628E-3</c:v>
                </c:pt>
                <c:pt idx="190">
                  <c:v>2.8647760992654241E-2</c:v>
                </c:pt>
                <c:pt idx="191">
                  <c:v>-1.6614704991252886E-2</c:v>
                </c:pt>
                <c:pt idx="192">
                  <c:v>1.1687399814260219E-2</c:v>
                </c:pt>
                <c:pt idx="193">
                  <c:v>7.0574886740878981E-3</c:v>
                </c:pt>
                <c:pt idx="194">
                  <c:v>2.32323167904053E-2</c:v>
                </c:pt>
                <c:pt idx="195">
                  <c:v>1.2165569827239958E-2</c:v>
                </c:pt>
                <c:pt idx="196">
                  <c:v>4.4955579392000209E-4</c:v>
                </c:pt>
                <c:pt idx="197">
                  <c:v>8.2292946963522327E-3</c:v>
                </c:pt>
                <c:pt idx="198">
                  <c:v>6.1158881022932094E-3</c:v>
                </c:pt>
                <c:pt idx="199">
                  <c:v>2.1570920242421115E-2</c:v>
                </c:pt>
                <c:pt idx="200">
                  <c:v>3.4748608508300922E-2</c:v>
                </c:pt>
                <c:pt idx="201">
                  <c:v>-4.3667772025711843E-3</c:v>
                </c:pt>
                <c:pt idx="202">
                  <c:v>2.641340605457328E-2</c:v>
                </c:pt>
                <c:pt idx="203">
                  <c:v>1.436562225280065E-2</c:v>
                </c:pt>
                <c:pt idx="204">
                  <c:v>-7.1091584622533276E-4</c:v>
                </c:pt>
                <c:pt idx="205">
                  <c:v>1.9047465024990853E-2</c:v>
                </c:pt>
                <c:pt idx="206">
                  <c:v>1.9055140685365263E-2</c:v>
                </c:pt>
                <c:pt idx="207">
                  <c:v>-2.6513266796805794E-4</c:v>
                </c:pt>
                <c:pt idx="208">
                  <c:v>3.8645324159326477E-2</c:v>
                </c:pt>
                <c:pt idx="209">
                  <c:v>-3.3526152593142525E-2</c:v>
                </c:pt>
                <c:pt idx="210">
                  <c:v>-3.2684085845500366E-2</c:v>
                </c:pt>
                <c:pt idx="211">
                  <c:v>-2.6394300942540486E-2</c:v>
                </c:pt>
                <c:pt idx="212">
                  <c:v>-4.5912147685634612E-2</c:v>
                </c:pt>
                <c:pt idx="213">
                  <c:v>-2.7658208983278899E-2</c:v>
                </c:pt>
                <c:pt idx="214">
                  <c:v>-6.6958713709289269E-2</c:v>
                </c:pt>
                <c:pt idx="215">
                  <c:v>-9.8156334366251624E-2</c:v>
                </c:pt>
                <c:pt idx="216">
                  <c:v>-0.11204952561517961</c:v>
                </c:pt>
                <c:pt idx="217">
                  <c:v>-0.15200108621955916</c:v>
                </c:pt>
                <c:pt idx="218">
                  <c:v>-0.17134153480528783</c:v>
                </c:pt>
                <c:pt idx="219">
                  <c:v>-0.17697985076144201</c:v>
                </c:pt>
                <c:pt idx="220">
                  <c:v>-0.19477394848188564</c:v>
                </c:pt>
                <c:pt idx="221">
                  <c:v>-0.14493270578064657</c:v>
                </c:pt>
                <c:pt idx="222">
                  <c:v>-0.13123854176058669</c:v>
                </c:pt>
                <c:pt idx="223">
                  <c:v>-0.14142402601099394</c:v>
                </c:pt>
                <c:pt idx="224">
                  <c:v>-0.11457366529515339</c:v>
                </c:pt>
                <c:pt idx="225">
                  <c:v>-0.1062321125941145</c:v>
                </c:pt>
                <c:pt idx="226">
                  <c:v>-9.5309701888070364E-2</c:v>
                </c:pt>
                <c:pt idx="227">
                  <c:v>-3.8221821457213194E-2</c:v>
                </c:pt>
                <c:pt idx="228">
                  <c:v>-2.7741582118045512E-2</c:v>
                </c:pt>
                <c:pt idx="229">
                  <c:v>2.0170553790361378E-2</c:v>
                </c:pt>
                <c:pt idx="230">
                  <c:v>2.8047214705824393E-2</c:v>
                </c:pt>
                <c:pt idx="231">
                  <c:v>6.7883964022642934E-2</c:v>
                </c:pt>
                <c:pt idx="232">
                  <c:v>6.4259508678091923E-2</c:v>
                </c:pt>
                <c:pt idx="233">
                  <c:v>6.032299222669988E-2</c:v>
                </c:pt>
                <c:pt idx="234">
                  <c:v>4.2247684498681687E-2</c:v>
                </c:pt>
                <c:pt idx="235">
                  <c:v>5.3572967870280909E-2</c:v>
                </c:pt>
                <c:pt idx="236">
                  <c:v>2.5672869616724853E-2</c:v>
                </c:pt>
                <c:pt idx="237">
                  <c:v>3.2958732139529989E-2</c:v>
                </c:pt>
                <c:pt idx="238">
                  <c:v>3.8365505055951453E-2</c:v>
                </c:pt>
                <c:pt idx="239">
                  <c:v>4.1383820898593861E-2</c:v>
                </c:pt>
                <c:pt idx="240">
                  <c:v>5.8302871597383628E-2</c:v>
                </c:pt>
                <c:pt idx="241">
                  <c:v>5.9621189468249507E-2</c:v>
                </c:pt>
                <c:pt idx="242">
                  <c:v>6.9743933409373696E-2</c:v>
                </c:pt>
                <c:pt idx="243">
                  <c:v>3.5908672257111529E-2</c:v>
                </c:pt>
                <c:pt idx="244">
                  <c:v>2.2313829792604722E-2</c:v>
                </c:pt>
                <c:pt idx="245">
                  <c:v>4.7275844233682363E-2</c:v>
                </c:pt>
                <c:pt idx="246">
                  <c:v>2.2831935722121822E-2</c:v>
                </c:pt>
                <c:pt idx="247">
                  <c:v>2.7373407605134004E-2</c:v>
                </c:pt>
                <c:pt idx="248">
                  <c:v>2.926973865681181E-2</c:v>
                </c:pt>
                <c:pt idx="249">
                  <c:v>9.1733239738839619E-3</c:v>
                </c:pt>
                <c:pt idx="250">
                  <c:v>1.3081581133763684E-2</c:v>
                </c:pt>
                <c:pt idx="251">
                  <c:v>2.179353678306464E-2</c:v>
                </c:pt>
                <c:pt idx="252">
                  <c:v>-1.2654162071774732E-2</c:v>
                </c:pt>
                <c:pt idx="253">
                  <c:v>-3.0009358387779596E-2</c:v>
                </c:pt>
                <c:pt idx="254">
                  <c:v>-2.3873235993169713E-2</c:v>
                </c:pt>
                <c:pt idx="255">
                  <c:v>-1.9323066406837869E-2</c:v>
                </c:pt>
                <c:pt idx="256">
                  <c:v>-1.9752930347213081E-4</c:v>
                </c:pt>
                <c:pt idx="257">
                  <c:v>-4.5715654704578945E-2</c:v>
                </c:pt>
                <c:pt idx="258">
                  <c:v>-2.4682468817238127E-2</c:v>
                </c:pt>
                <c:pt idx="259">
                  <c:v>-3.0047092158859087E-2</c:v>
                </c:pt>
                <c:pt idx="260">
                  <c:v>-2.3543624345344315E-3</c:v>
                </c:pt>
                <c:pt idx="261">
                  <c:v>-1.2350164211724485E-2</c:v>
                </c:pt>
                <c:pt idx="262">
                  <c:v>-3.2133605649240803E-2</c:v>
                </c:pt>
                <c:pt idx="263">
                  <c:v>-5.2499833527792257E-2</c:v>
                </c:pt>
                <c:pt idx="264">
                  <c:v>-1.9222738779662556E-2</c:v>
                </c:pt>
                <c:pt idx="265">
                  <c:v>-2.2706612143879867E-2</c:v>
                </c:pt>
                <c:pt idx="266">
                  <c:v>-2.0921826641351796E-2</c:v>
                </c:pt>
                <c:pt idx="267">
                  <c:v>-1.178178786702682E-2</c:v>
                </c:pt>
                <c:pt idx="268">
                  <c:v>1.6793307965560058E-3</c:v>
                </c:pt>
                <c:pt idx="269">
                  <c:v>1.2827814721525227E-2</c:v>
                </c:pt>
                <c:pt idx="270">
                  <c:v>6.8562651528794585E-3</c:v>
                </c:pt>
                <c:pt idx="271">
                  <c:v>-6.6164862989109624E-3</c:v>
                </c:pt>
                <c:pt idx="272">
                  <c:v>-3.1059122790463516E-2</c:v>
                </c:pt>
                <c:pt idx="273">
                  <c:v>-1.0604153646983546E-2</c:v>
                </c:pt>
                <c:pt idx="274">
                  <c:v>8.3511880234832178E-3</c:v>
                </c:pt>
                <c:pt idx="275">
                  <c:v>2.6583399894195295E-2</c:v>
                </c:pt>
                <c:pt idx="276">
                  <c:v>3.0153532742666973E-4</c:v>
                </c:pt>
                <c:pt idx="277">
                  <c:v>-6.493553929441777E-3</c:v>
                </c:pt>
                <c:pt idx="278">
                  <c:v>-2.3073644150034063E-3</c:v>
                </c:pt>
                <c:pt idx="279">
                  <c:v>-1.0920658609892225E-2</c:v>
                </c:pt>
                <c:pt idx="280">
                  <c:v>-2.2977925223469697E-2</c:v>
                </c:pt>
                <c:pt idx="281">
                  <c:v>-4.1559041685797063E-2</c:v>
                </c:pt>
                <c:pt idx="282">
                  <c:v>-7.6106917997778335E-3</c:v>
                </c:pt>
                <c:pt idx="283">
                  <c:v>1.2513468703410796E-2</c:v>
                </c:pt>
                <c:pt idx="284">
                  <c:v>-2.2316714346664883E-3</c:v>
                </c:pt>
                <c:pt idx="285">
                  <c:v>2.2244504924781609E-3</c:v>
                </c:pt>
                <c:pt idx="286">
                  <c:v>-1.4342067428381258E-2</c:v>
                </c:pt>
                <c:pt idx="287">
                  <c:v>-4.0876647471793072E-2</c:v>
                </c:pt>
                <c:pt idx="288">
                  <c:v>-1.7081851105944525E-3</c:v>
                </c:pt>
                <c:pt idx="289">
                  <c:v>1.6237815026244121E-2</c:v>
                </c:pt>
                <c:pt idx="290">
                  <c:v>6.2339349002920267E-3</c:v>
                </c:pt>
                <c:pt idx="291">
                  <c:v>1.1142531925633062E-2</c:v>
                </c:pt>
                <c:pt idx="292">
                  <c:v>2.9271989471774461E-3</c:v>
                </c:pt>
                <c:pt idx="293">
                  <c:v>3.5308294448497785E-2</c:v>
                </c:pt>
                <c:pt idx="294">
                  <c:v>1.0595068739088184E-2</c:v>
                </c:pt>
                <c:pt idx="295">
                  <c:v>-1.1860565250152409E-2</c:v>
                </c:pt>
                <c:pt idx="296">
                  <c:v>1.6266741167875558E-2</c:v>
                </c:pt>
                <c:pt idx="297">
                  <c:v>2.0479751834200803E-2</c:v>
                </c:pt>
                <c:pt idx="298">
                  <c:v>4.0679957467306557E-2</c:v>
                </c:pt>
                <c:pt idx="299">
                  <c:v>2.7826496953940915E-2</c:v>
                </c:pt>
                <c:pt idx="300">
                  <c:v>3.0196023525922949E-3</c:v>
                </c:pt>
                <c:pt idx="301">
                  <c:v>2.210784494511811E-2</c:v>
                </c:pt>
                <c:pt idx="302">
                  <c:v>5.2962502548195992E-3</c:v>
                </c:pt>
                <c:pt idx="303">
                  <c:v>3.005084209377961E-3</c:v>
                </c:pt>
                <c:pt idx="304">
                  <c:v>1.8216234527855101E-2</c:v>
                </c:pt>
                <c:pt idx="305">
                  <c:v>-6.4814999481455689E-3</c:v>
                </c:pt>
                <c:pt idx="306">
                  <c:v>-8.7864500333497096E-3</c:v>
                </c:pt>
                <c:pt idx="307">
                  <c:v>-1.0076575925034654E-4</c:v>
                </c:pt>
                <c:pt idx="308">
                  <c:v>1.0803931900125309E-2</c:v>
                </c:pt>
                <c:pt idx="309">
                  <c:v>-1.1171439079078065E-2</c:v>
                </c:pt>
                <c:pt idx="310">
                  <c:v>-1.870771006136222E-2</c:v>
                </c:pt>
                <c:pt idx="311">
                  <c:v>2.9086716474360792E-2</c:v>
                </c:pt>
                <c:pt idx="312">
                  <c:v>1.1238943017333573E-2</c:v>
                </c:pt>
                <c:pt idx="313">
                  <c:v>-3.2444932101606955E-3</c:v>
                </c:pt>
                <c:pt idx="314">
                  <c:v>-5.0695421905194099E-3</c:v>
                </c:pt>
                <c:pt idx="315">
                  <c:v>1.0786969341036011E-2</c:v>
                </c:pt>
                <c:pt idx="316">
                  <c:v>-2.9652824728084722E-4</c:v>
                </c:pt>
                <c:pt idx="317">
                  <c:v>3.673631947058948E-2</c:v>
                </c:pt>
                <c:pt idx="318">
                  <c:v>2.9011241267953538E-2</c:v>
                </c:pt>
                <c:pt idx="319">
                  <c:v>3.6215474035675856E-2</c:v>
                </c:pt>
                <c:pt idx="320">
                  <c:v>1.8607334858789702E-2</c:v>
                </c:pt>
                <c:pt idx="321">
                  <c:v>3.769315982275686E-2</c:v>
                </c:pt>
                <c:pt idx="322">
                  <c:v>4.5856230577248865E-2</c:v>
                </c:pt>
                <c:pt idx="323">
                  <c:v>2.3569474694110238E-2</c:v>
                </c:pt>
                <c:pt idx="324">
                  <c:v>4.8923894620267083E-2</c:v>
                </c:pt>
                <c:pt idx="325">
                  <c:v>6.3138187901457072E-3</c:v>
                </c:pt>
                <c:pt idx="326">
                  <c:v>3.0573239498535243E-2</c:v>
                </c:pt>
                <c:pt idx="327">
                  <c:v>2.6680619125540431E-2</c:v>
                </c:pt>
                <c:pt idx="328">
                  <c:v>1.4831798838846473E-2</c:v>
                </c:pt>
                <c:pt idx="329">
                  <c:v>-1.5394386146310978E-2</c:v>
                </c:pt>
                <c:pt idx="330">
                  <c:v>1.3020945504097879E-2</c:v>
                </c:pt>
                <c:pt idx="331">
                  <c:v>6.9119332093078795E-3</c:v>
                </c:pt>
                <c:pt idx="332">
                  <c:v>1.1950925419423943E-2</c:v>
                </c:pt>
                <c:pt idx="333">
                  <c:v>-8.6712804301725052E-3</c:v>
                </c:pt>
                <c:pt idx="334">
                  <c:v>-5.5645686643789171E-3</c:v>
                </c:pt>
                <c:pt idx="335">
                  <c:v>-1.7867226442730807E-2</c:v>
                </c:pt>
                <c:pt idx="336">
                  <c:v>-1.8921314766477862E-2</c:v>
                </c:pt>
                <c:pt idx="337">
                  <c:v>2.6955261127866937E-2</c:v>
                </c:pt>
                <c:pt idx="338">
                  <c:v>1.0954824436820327E-2</c:v>
                </c:pt>
                <c:pt idx="339">
                  <c:v>-2.5986300407407062E-3</c:v>
                </c:pt>
                <c:pt idx="340">
                  <c:v>1.4029495064832807E-2</c:v>
                </c:pt>
                <c:pt idx="341">
                  <c:v>4.0413644730424962E-2</c:v>
                </c:pt>
                <c:pt idx="342">
                  <c:v>-1.256270480832788E-3</c:v>
                </c:pt>
                <c:pt idx="343">
                  <c:v>2.3203897481314491E-3</c:v>
                </c:pt>
                <c:pt idx="344">
                  <c:v>-1.4690223512230687E-2</c:v>
                </c:pt>
                <c:pt idx="345">
                  <c:v>7.6780356669053536E-3</c:v>
                </c:pt>
                <c:pt idx="346">
                  <c:v>-8.6829926223495608E-4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E3-0D4B-81CF-58C251D24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country'!$B$5:$B$351</c:f>
              <c:numCache>
                <c:formatCode>0.00</c:formatCode>
                <c:ptCount val="347"/>
                <c:pt idx="0">
                  <c:v>91.870769999999993</c:v>
                </c:pt>
                <c:pt idx="1">
                  <c:v>93.070779999999999</c:v>
                </c:pt>
                <c:pt idx="2">
                  <c:v>92.660769999999999</c:v>
                </c:pt>
                <c:pt idx="3">
                  <c:v>91.520759999999996</c:v>
                </c:pt>
                <c:pt idx="4">
                  <c:v>91.50076</c:v>
                </c:pt>
                <c:pt idx="5">
                  <c:v>91.610759999999999</c:v>
                </c:pt>
                <c:pt idx="6">
                  <c:v>91.970759999999999</c:v>
                </c:pt>
                <c:pt idx="7">
                  <c:v>90.430760000000006</c:v>
                </c:pt>
                <c:pt idx="8">
                  <c:v>91.380759999999995</c:v>
                </c:pt>
                <c:pt idx="9">
                  <c:v>91.690770000000001</c:v>
                </c:pt>
                <c:pt idx="10">
                  <c:v>91.260760000000005</c:v>
                </c:pt>
                <c:pt idx="11">
                  <c:v>92.720770000000002</c:v>
                </c:pt>
                <c:pt idx="12">
                  <c:v>91.89076</c:v>
                </c:pt>
                <c:pt idx="13">
                  <c:v>92.140770000000003</c:v>
                </c:pt>
                <c:pt idx="14">
                  <c:v>91.450760000000002</c:v>
                </c:pt>
                <c:pt idx="15">
                  <c:v>92.340770000000006</c:v>
                </c:pt>
                <c:pt idx="16">
                  <c:v>91.690770000000001</c:v>
                </c:pt>
                <c:pt idx="17">
                  <c:v>91.720759999999999</c:v>
                </c:pt>
                <c:pt idx="18">
                  <c:v>90.630750000000006</c:v>
                </c:pt>
                <c:pt idx="19">
                  <c:v>90.280749999999998</c:v>
                </c:pt>
                <c:pt idx="20">
                  <c:v>90.560749999999999</c:v>
                </c:pt>
                <c:pt idx="21">
                  <c:v>89.29074</c:v>
                </c:pt>
                <c:pt idx="22">
                  <c:v>90.240750000000006</c:v>
                </c:pt>
                <c:pt idx="23">
                  <c:v>89.070740000000001</c:v>
                </c:pt>
                <c:pt idx="24">
                  <c:v>87.88073</c:v>
                </c:pt>
                <c:pt idx="25">
                  <c:v>87.790729999999996</c:v>
                </c:pt>
                <c:pt idx="26">
                  <c:v>87.930729999999997</c:v>
                </c:pt>
                <c:pt idx="27">
                  <c:v>87.490729999999999</c:v>
                </c:pt>
                <c:pt idx="28">
                  <c:v>86.900729999999996</c:v>
                </c:pt>
                <c:pt idx="29">
                  <c:v>86.830730000000003</c:v>
                </c:pt>
                <c:pt idx="30">
                  <c:v>86.160719999999998</c:v>
                </c:pt>
                <c:pt idx="31">
                  <c:v>87.330730000000003</c:v>
                </c:pt>
                <c:pt idx="32">
                  <c:v>86.700720000000004</c:v>
                </c:pt>
                <c:pt idx="33">
                  <c:v>87.280720000000002</c:v>
                </c:pt>
                <c:pt idx="34">
                  <c:v>87.670730000000006</c:v>
                </c:pt>
                <c:pt idx="35">
                  <c:v>87.050730000000001</c:v>
                </c:pt>
                <c:pt idx="36">
                  <c:v>86.270719999999997</c:v>
                </c:pt>
                <c:pt idx="37">
                  <c:v>87.88073</c:v>
                </c:pt>
                <c:pt idx="38">
                  <c:v>87.610730000000004</c:v>
                </c:pt>
                <c:pt idx="39">
                  <c:v>87.550730000000001</c:v>
                </c:pt>
                <c:pt idx="40">
                  <c:v>90.010750000000002</c:v>
                </c:pt>
                <c:pt idx="41">
                  <c:v>89.910749999999993</c:v>
                </c:pt>
                <c:pt idx="42">
                  <c:v>90.420749999999998</c:v>
                </c:pt>
                <c:pt idx="43">
                  <c:v>91.210759999999993</c:v>
                </c:pt>
                <c:pt idx="44">
                  <c:v>91.710759999999993</c:v>
                </c:pt>
                <c:pt idx="45">
                  <c:v>91.400760000000005</c:v>
                </c:pt>
                <c:pt idx="46">
                  <c:v>92.290769999999995</c:v>
                </c:pt>
                <c:pt idx="47">
                  <c:v>93.10078</c:v>
                </c:pt>
                <c:pt idx="48">
                  <c:v>92.96078</c:v>
                </c:pt>
                <c:pt idx="49">
                  <c:v>93.630780000000001</c:v>
                </c:pt>
                <c:pt idx="50">
                  <c:v>93.000780000000006</c:v>
                </c:pt>
                <c:pt idx="51">
                  <c:v>93.780779999999993</c:v>
                </c:pt>
                <c:pt idx="52">
                  <c:v>93.820790000000002</c:v>
                </c:pt>
                <c:pt idx="53">
                  <c:v>93.360780000000005</c:v>
                </c:pt>
                <c:pt idx="54">
                  <c:v>93.970780000000005</c:v>
                </c:pt>
                <c:pt idx="55">
                  <c:v>94.410790000000006</c:v>
                </c:pt>
                <c:pt idx="56">
                  <c:v>93.840779999999995</c:v>
                </c:pt>
                <c:pt idx="57">
                  <c:v>93.980779999999996</c:v>
                </c:pt>
                <c:pt idx="58">
                  <c:v>92.170770000000005</c:v>
                </c:pt>
                <c:pt idx="59">
                  <c:v>92.130769999999998</c:v>
                </c:pt>
                <c:pt idx="60">
                  <c:v>94.090779999999995</c:v>
                </c:pt>
                <c:pt idx="61">
                  <c:v>93.260779999999997</c:v>
                </c:pt>
                <c:pt idx="62">
                  <c:v>93.530779999999993</c:v>
                </c:pt>
                <c:pt idx="63">
                  <c:v>94.180790000000002</c:v>
                </c:pt>
                <c:pt idx="64">
                  <c:v>93.260779999999997</c:v>
                </c:pt>
                <c:pt idx="65">
                  <c:v>95.110789999999994</c:v>
                </c:pt>
                <c:pt idx="66">
                  <c:v>94.35078</c:v>
                </c:pt>
                <c:pt idx="67">
                  <c:v>92.700779999999995</c:v>
                </c:pt>
                <c:pt idx="68">
                  <c:v>94.750789999999995</c:v>
                </c:pt>
                <c:pt idx="69">
                  <c:v>94.840789999999998</c:v>
                </c:pt>
                <c:pt idx="70">
                  <c:v>93.870779999999996</c:v>
                </c:pt>
                <c:pt idx="71">
                  <c:v>95.040790000000001</c:v>
                </c:pt>
                <c:pt idx="72">
                  <c:v>95.190799999999996</c:v>
                </c:pt>
                <c:pt idx="73">
                  <c:v>94.330789999999993</c:v>
                </c:pt>
                <c:pt idx="74">
                  <c:v>95.090789999999998</c:v>
                </c:pt>
                <c:pt idx="75">
                  <c:v>95.420789999999997</c:v>
                </c:pt>
                <c:pt idx="76">
                  <c:v>98.770820000000001</c:v>
                </c:pt>
                <c:pt idx="77">
                  <c:v>96.930809999999994</c:v>
                </c:pt>
                <c:pt idx="78">
                  <c:v>97.650810000000007</c:v>
                </c:pt>
                <c:pt idx="79">
                  <c:v>97.820819999999998</c:v>
                </c:pt>
                <c:pt idx="80">
                  <c:v>101.6108</c:v>
                </c:pt>
                <c:pt idx="81">
                  <c:v>99.230829999999997</c:v>
                </c:pt>
                <c:pt idx="82">
                  <c:v>101.7208</c:v>
                </c:pt>
                <c:pt idx="83">
                  <c:v>99.380830000000003</c:v>
                </c:pt>
                <c:pt idx="84">
                  <c:v>101.3708</c:v>
                </c:pt>
                <c:pt idx="85">
                  <c:v>101.3708</c:v>
                </c:pt>
                <c:pt idx="86">
                  <c:v>102.07089999999999</c:v>
                </c:pt>
                <c:pt idx="87">
                  <c:v>100.85080000000001</c:v>
                </c:pt>
                <c:pt idx="88">
                  <c:v>102.1508</c:v>
                </c:pt>
                <c:pt idx="89">
                  <c:v>103.4409</c:v>
                </c:pt>
                <c:pt idx="90">
                  <c:v>102.76090000000001</c:v>
                </c:pt>
                <c:pt idx="91">
                  <c:v>103.3609</c:v>
                </c:pt>
                <c:pt idx="92">
                  <c:v>100.71080000000001</c:v>
                </c:pt>
                <c:pt idx="93">
                  <c:v>102.5309</c:v>
                </c:pt>
                <c:pt idx="94">
                  <c:v>102.6409</c:v>
                </c:pt>
                <c:pt idx="95">
                  <c:v>103.23090000000001</c:v>
                </c:pt>
                <c:pt idx="96">
                  <c:v>102.4609</c:v>
                </c:pt>
                <c:pt idx="97">
                  <c:v>102.7409</c:v>
                </c:pt>
                <c:pt idx="98">
                  <c:v>102.43089999999999</c:v>
                </c:pt>
                <c:pt idx="99">
                  <c:v>102.3708</c:v>
                </c:pt>
                <c:pt idx="100">
                  <c:v>103.1909</c:v>
                </c:pt>
                <c:pt idx="101">
                  <c:v>103.6009</c:v>
                </c:pt>
                <c:pt idx="102">
                  <c:v>105.0309</c:v>
                </c:pt>
                <c:pt idx="103">
                  <c:v>105.2809</c:v>
                </c:pt>
                <c:pt idx="104">
                  <c:v>103.3409</c:v>
                </c:pt>
                <c:pt idx="105">
                  <c:v>106.1409</c:v>
                </c:pt>
                <c:pt idx="106">
                  <c:v>107.4709</c:v>
                </c:pt>
                <c:pt idx="107">
                  <c:v>107.5509</c:v>
                </c:pt>
                <c:pt idx="108">
                  <c:v>106.6109</c:v>
                </c:pt>
                <c:pt idx="109">
                  <c:v>107.40089999999999</c:v>
                </c:pt>
                <c:pt idx="110">
                  <c:v>107.73090000000001</c:v>
                </c:pt>
                <c:pt idx="111">
                  <c:v>108.4509</c:v>
                </c:pt>
                <c:pt idx="112">
                  <c:v>109.0609</c:v>
                </c:pt>
                <c:pt idx="113">
                  <c:v>110.4209</c:v>
                </c:pt>
                <c:pt idx="114">
                  <c:v>108.98090000000001</c:v>
                </c:pt>
                <c:pt idx="115">
                  <c:v>110.2709</c:v>
                </c:pt>
                <c:pt idx="116">
                  <c:v>109.29089999999999</c:v>
                </c:pt>
                <c:pt idx="117">
                  <c:v>109.57089999999999</c:v>
                </c:pt>
                <c:pt idx="118">
                  <c:v>110.7809</c:v>
                </c:pt>
                <c:pt idx="119">
                  <c:v>110.5809</c:v>
                </c:pt>
                <c:pt idx="120">
                  <c:v>111.6009</c:v>
                </c:pt>
                <c:pt idx="121">
                  <c:v>111.1009</c:v>
                </c:pt>
                <c:pt idx="122">
                  <c:v>111.8409</c:v>
                </c:pt>
                <c:pt idx="123">
                  <c:v>112.3009</c:v>
                </c:pt>
                <c:pt idx="124">
                  <c:v>110.48090000000001</c:v>
                </c:pt>
                <c:pt idx="125">
                  <c:v>111.29089999999999</c:v>
                </c:pt>
                <c:pt idx="126">
                  <c:v>111.32089999999999</c:v>
                </c:pt>
                <c:pt idx="127">
                  <c:v>109.79089999999999</c:v>
                </c:pt>
                <c:pt idx="128">
                  <c:v>112.51090000000001</c:v>
                </c:pt>
                <c:pt idx="129">
                  <c:v>110.7709</c:v>
                </c:pt>
                <c:pt idx="130">
                  <c:v>109.98090000000001</c:v>
                </c:pt>
                <c:pt idx="131">
                  <c:v>108.7809</c:v>
                </c:pt>
                <c:pt idx="132">
                  <c:v>109.48090000000001</c:v>
                </c:pt>
                <c:pt idx="133">
                  <c:v>109.4509</c:v>
                </c:pt>
                <c:pt idx="134">
                  <c:v>109.8409</c:v>
                </c:pt>
                <c:pt idx="135">
                  <c:v>110.37090000000001</c:v>
                </c:pt>
                <c:pt idx="136">
                  <c:v>111.0909</c:v>
                </c:pt>
                <c:pt idx="137">
                  <c:v>110.1309</c:v>
                </c:pt>
                <c:pt idx="138">
                  <c:v>109.9409</c:v>
                </c:pt>
                <c:pt idx="139">
                  <c:v>108.8109</c:v>
                </c:pt>
                <c:pt idx="140">
                  <c:v>110.8409</c:v>
                </c:pt>
                <c:pt idx="141">
                  <c:v>109.4609</c:v>
                </c:pt>
                <c:pt idx="142">
                  <c:v>108.6009</c:v>
                </c:pt>
                <c:pt idx="143">
                  <c:v>109.65089999999999</c:v>
                </c:pt>
                <c:pt idx="144">
                  <c:v>107.04089999999999</c:v>
                </c:pt>
                <c:pt idx="145">
                  <c:v>109.2509</c:v>
                </c:pt>
                <c:pt idx="146">
                  <c:v>110.23090000000001</c:v>
                </c:pt>
                <c:pt idx="147">
                  <c:v>109.37090000000001</c:v>
                </c:pt>
                <c:pt idx="148">
                  <c:v>109.3909</c:v>
                </c:pt>
                <c:pt idx="149">
                  <c:v>106.76090000000001</c:v>
                </c:pt>
                <c:pt idx="150">
                  <c:v>106.5009</c:v>
                </c:pt>
                <c:pt idx="151">
                  <c:v>108.4109</c:v>
                </c:pt>
                <c:pt idx="152">
                  <c:v>107.9409</c:v>
                </c:pt>
                <c:pt idx="153">
                  <c:v>107.5609</c:v>
                </c:pt>
                <c:pt idx="154">
                  <c:v>110.1609</c:v>
                </c:pt>
                <c:pt idx="155">
                  <c:v>108.01090000000001</c:v>
                </c:pt>
                <c:pt idx="156">
                  <c:v>108.6409</c:v>
                </c:pt>
                <c:pt idx="157">
                  <c:v>109.3609</c:v>
                </c:pt>
                <c:pt idx="158">
                  <c:v>110.4709</c:v>
                </c:pt>
                <c:pt idx="159">
                  <c:v>110.1009</c:v>
                </c:pt>
                <c:pt idx="160">
                  <c:v>110.1309</c:v>
                </c:pt>
                <c:pt idx="161">
                  <c:v>109.54089999999999</c:v>
                </c:pt>
                <c:pt idx="162">
                  <c:v>110.5909</c:v>
                </c:pt>
                <c:pt idx="163">
                  <c:v>111.04089999999999</c:v>
                </c:pt>
                <c:pt idx="164">
                  <c:v>107.1109</c:v>
                </c:pt>
                <c:pt idx="165">
                  <c:v>110.8609</c:v>
                </c:pt>
                <c:pt idx="166">
                  <c:v>111.68089999999999</c:v>
                </c:pt>
                <c:pt idx="167">
                  <c:v>109.82089999999999</c:v>
                </c:pt>
                <c:pt idx="168">
                  <c:v>110.0509</c:v>
                </c:pt>
                <c:pt idx="169">
                  <c:v>111.87090000000001</c:v>
                </c:pt>
                <c:pt idx="170">
                  <c:v>110.57089999999999</c:v>
                </c:pt>
                <c:pt idx="171">
                  <c:v>108.1909</c:v>
                </c:pt>
                <c:pt idx="172">
                  <c:v>110.9609</c:v>
                </c:pt>
                <c:pt idx="173">
                  <c:v>109.73090000000001</c:v>
                </c:pt>
                <c:pt idx="174">
                  <c:v>109.6709</c:v>
                </c:pt>
                <c:pt idx="175">
                  <c:v>109.32089999999999</c:v>
                </c:pt>
                <c:pt idx="176">
                  <c:v>108.7109</c:v>
                </c:pt>
                <c:pt idx="177">
                  <c:v>111.4909</c:v>
                </c:pt>
                <c:pt idx="178">
                  <c:v>108.2109</c:v>
                </c:pt>
                <c:pt idx="179">
                  <c:v>112.5509</c:v>
                </c:pt>
                <c:pt idx="180">
                  <c:v>111.23090000000001</c:v>
                </c:pt>
                <c:pt idx="181">
                  <c:v>110.5209</c:v>
                </c:pt>
                <c:pt idx="182">
                  <c:v>109.76090000000001</c:v>
                </c:pt>
                <c:pt idx="183">
                  <c:v>111.79089999999999</c:v>
                </c:pt>
                <c:pt idx="184">
                  <c:v>111.2209</c:v>
                </c:pt>
                <c:pt idx="185">
                  <c:v>113.01090000000001</c:v>
                </c:pt>
                <c:pt idx="186">
                  <c:v>112.82089999999999</c:v>
                </c:pt>
                <c:pt idx="187">
                  <c:v>111.26090000000001</c:v>
                </c:pt>
                <c:pt idx="188">
                  <c:v>110.51090000000001</c:v>
                </c:pt>
                <c:pt idx="189">
                  <c:v>112.2109</c:v>
                </c:pt>
                <c:pt idx="190">
                  <c:v>111.3109</c:v>
                </c:pt>
                <c:pt idx="191">
                  <c:v>110.68089999999999</c:v>
                </c:pt>
                <c:pt idx="192">
                  <c:v>112.5309</c:v>
                </c:pt>
                <c:pt idx="193">
                  <c:v>111.3009</c:v>
                </c:pt>
                <c:pt idx="194">
                  <c:v>112.3109</c:v>
                </c:pt>
                <c:pt idx="195">
                  <c:v>113.15089999999999</c:v>
                </c:pt>
                <c:pt idx="196">
                  <c:v>111.2709</c:v>
                </c:pt>
                <c:pt idx="197">
                  <c:v>113.9409</c:v>
                </c:pt>
                <c:pt idx="198">
                  <c:v>113.51090000000001</c:v>
                </c:pt>
                <c:pt idx="199">
                  <c:v>113.6609</c:v>
                </c:pt>
                <c:pt idx="200">
                  <c:v>114.351</c:v>
                </c:pt>
                <c:pt idx="201">
                  <c:v>111.7209</c:v>
                </c:pt>
                <c:pt idx="202">
                  <c:v>114.251</c:v>
                </c:pt>
                <c:pt idx="203">
                  <c:v>112.2709</c:v>
                </c:pt>
                <c:pt idx="204">
                  <c:v>112.4509</c:v>
                </c:pt>
                <c:pt idx="205">
                  <c:v>113.4209</c:v>
                </c:pt>
                <c:pt idx="206">
                  <c:v>114.45099999999999</c:v>
                </c:pt>
                <c:pt idx="207">
                  <c:v>113.12090000000001</c:v>
                </c:pt>
                <c:pt idx="208">
                  <c:v>115.571</c:v>
                </c:pt>
                <c:pt idx="209">
                  <c:v>110.12090000000001</c:v>
                </c:pt>
                <c:pt idx="210">
                  <c:v>109.8009</c:v>
                </c:pt>
                <c:pt idx="211">
                  <c:v>110.6609</c:v>
                </c:pt>
                <c:pt idx="212">
                  <c:v>109.1009</c:v>
                </c:pt>
                <c:pt idx="213">
                  <c:v>108.6309</c:v>
                </c:pt>
                <c:pt idx="214">
                  <c:v>106.6009</c:v>
                </c:pt>
                <c:pt idx="215">
                  <c:v>101.2508</c:v>
                </c:pt>
                <c:pt idx="216">
                  <c:v>99.850830000000002</c:v>
                </c:pt>
                <c:pt idx="217">
                  <c:v>96.180800000000005</c:v>
                </c:pt>
                <c:pt idx="218">
                  <c:v>94.840789999999998</c:v>
                </c:pt>
                <c:pt idx="219">
                  <c:v>93.10078</c:v>
                </c:pt>
                <c:pt idx="220">
                  <c:v>93.060779999999994</c:v>
                </c:pt>
                <c:pt idx="221">
                  <c:v>94.160780000000003</c:v>
                </c:pt>
                <c:pt idx="222">
                  <c:v>95.390789999999996</c:v>
                </c:pt>
                <c:pt idx="223">
                  <c:v>95.01079</c:v>
                </c:pt>
                <c:pt idx="224">
                  <c:v>96.600809999999996</c:v>
                </c:pt>
                <c:pt idx="225">
                  <c:v>97.090810000000005</c:v>
                </c:pt>
                <c:pt idx="226">
                  <c:v>96.440799999999996</c:v>
                </c:pt>
                <c:pt idx="227">
                  <c:v>97.380809999999997</c:v>
                </c:pt>
                <c:pt idx="228">
                  <c:v>97.08081</c:v>
                </c:pt>
                <c:pt idx="229">
                  <c:v>98.120819999999995</c:v>
                </c:pt>
                <c:pt idx="230">
                  <c:v>97.500810000000001</c:v>
                </c:pt>
                <c:pt idx="231">
                  <c:v>99.420829999999995</c:v>
                </c:pt>
                <c:pt idx="232">
                  <c:v>99.040819999999997</c:v>
                </c:pt>
                <c:pt idx="233">
                  <c:v>99.84084</c:v>
                </c:pt>
                <c:pt idx="234">
                  <c:v>99.420829999999995</c:v>
                </c:pt>
                <c:pt idx="235">
                  <c:v>100.10080000000001</c:v>
                </c:pt>
                <c:pt idx="236">
                  <c:v>99.080830000000006</c:v>
                </c:pt>
                <c:pt idx="237">
                  <c:v>100.2908</c:v>
                </c:pt>
                <c:pt idx="238">
                  <c:v>100.1408</c:v>
                </c:pt>
                <c:pt idx="239">
                  <c:v>101.41079999999999</c:v>
                </c:pt>
                <c:pt idx="240">
                  <c:v>102.7409</c:v>
                </c:pt>
                <c:pt idx="241">
                  <c:v>103.9709</c:v>
                </c:pt>
                <c:pt idx="242">
                  <c:v>104.3009</c:v>
                </c:pt>
                <c:pt idx="243">
                  <c:v>102.9909</c:v>
                </c:pt>
                <c:pt idx="244">
                  <c:v>101.2508</c:v>
                </c:pt>
                <c:pt idx="245">
                  <c:v>104.5609</c:v>
                </c:pt>
                <c:pt idx="246">
                  <c:v>101.6908</c:v>
                </c:pt>
                <c:pt idx="247">
                  <c:v>102.8409</c:v>
                </c:pt>
                <c:pt idx="248">
                  <c:v>101.98090000000001</c:v>
                </c:pt>
                <c:pt idx="249">
                  <c:v>101.21080000000001</c:v>
                </c:pt>
                <c:pt idx="250">
                  <c:v>101.4508</c:v>
                </c:pt>
                <c:pt idx="251">
                  <c:v>103.62090000000001</c:v>
                </c:pt>
                <c:pt idx="252">
                  <c:v>101.4408</c:v>
                </c:pt>
                <c:pt idx="253">
                  <c:v>100.85080000000001</c:v>
                </c:pt>
                <c:pt idx="254">
                  <c:v>101.8109</c:v>
                </c:pt>
                <c:pt idx="255">
                  <c:v>101.0008</c:v>
                </c:pt>
                <c:pt idx="256">
                  <c:v>101.2308</c:v>
                </c:pt>
                <c:pt idx="257">
                  <c:v>99.780829999999995</c:v>
                </c:pt>
                <c:pt idx="258">
                  <c:v>99.180819999999997</c:v>
                </c:pt>
                <c:pt idx="259">
                  <c:v>99.750829999999993</c:v>
                </c:pt>
                <c:pt idx="260">
                  <c:v>101.74079999999999</c:v>
                </c:pt>
                <c:pt idx="261">
                  <c:v>99.960830000000001</c:v>
                </c:pt>
                <c:pt idx="262">
                  <c:v>98.190820000000002</c:v>
                </c:pt>
                <c:pt idx="263">
                  <c:v>98.180819999999997</c:v>
                </c:pt>
                <c:pt idx="264">
                  <c:v>99.490830000000003</c:v>
                </c:pt>
                <c:pt idx="265">
                  <c:v>98.560820000000007</c:v>
                </c:pt>
                <c:pt idx="266">
                  <c:v>99.68083</c:v>
                </c:pt>
                <c:pt idx="267">
                  <c:v>99.810829999999996</c:v>
                </c:pt>
                <c:pt idx="268">
                  <c:v>101.4008</c:v>
                </c:pt>
                <c:pt idx="269">
                  <c:v>101.0608</c:v>
                </c:pt>
                <c:pt idx="270">
                  <c:v>99.860830000000007</c:v>
                </c:pt>
                <c:pt idx="271">
                  <c:v>99.090829999999997</c:v>
                </c:pt>
                <c:pt idx="272">
                  <c:v>98.580820000000003</c:v>
                </c:pt>
                <c:pt idx="273">
                  <c:v>98.900829999999999</c:v>
                </c:pt>
                <c:pt idx="274">
                  <c:v>99.010829999999999</c:v>
                </c:pt>
                <c:pt idx="275">
                  <c:v>100.7908</c:v>
                </c:pt>
                <c:pt idx="276">
                  <c:v>99.520830000000004</c:v>
                </c:pt>
                <c:pt idx="277">
                  <c:v>97.920810000000003</c:v>
                </c:pt>
                <c:pt idx="278">
                  <c:v>99.450829999999996</c:v>
                </c:pt>
                <c:pt idx="279">
                  <c:v>98.720830000000007</c:v>
                </c:pt>
                <c:pt idx="280">
                  <c:v>99.070819999999998</c:v>
                </c:pt>
                <c:pt idx="281">
                  <c:v>96.860810000000001</c:v>
                </c:pt>
                <c:pt idx="282">
                  <c:v>99.100819999999999</c:v>
                </c:pt>
                <c:pt idx="283">
                  <c:v>100.3308</c:v>
                </c:pt>
                <c:pt idx="284">
                  <c:v>98.360820000000004</c:v>
                </c:pt>
                <c:pt idx="285">
                  <c:v>99.120829999999998</c:v>
                </c:pt>
                <c:pt idx="286">
                  <c:v>97.590810000000005</c:v>
                </c:pt>
                <c:pt idx="287">
                  <c:v>96.670810000000003</c:v>
                </c:pt>
                <c:pt idx="288">
                  <c:v>99.350830000000002</c:v>
                </c:pt>
                <c:pt idx="289">
                  <c:v>99.510829999999999</c:v>
                </c:pt>
                <c:pt idx="290">
                  <c:v>100.07080000000001</c:v>
                </c:pt>
                <c:pt idx="291">
                  <c:v>99.820830000000001</c:v>
                </c:pt>
                <c:pt idx="292">
                  <c:v>99.360820000000004</c:v>
                </c:pt>
                <c:pt idx="293">
                  <c:v>100.2808</c:v>
                </c:pt>
                <c:pt idx="294">
                  <c:v>100.1508</c:v>
                </c:pt>
                <c:pt idx="295">
                  <c:v>99.140820000000005</c:v>
                </c:pt>
                <c:pt idx="296">
                  <c:v>99.960830000000001</c:v>
                </c:pt>
                <c:pt idx="297">
                  <c:v>101.1508</c:v>
                </c:pt>
                <c:pt idx="298">
                  <c:v>101.5608</c:v>
                </c:pt>
                <c:pt idx="299">
                  <c:v>99.360820000000004</c:v>
                </c:pt>
                <c:pt idx="300">
                  <c:v>99.650829999999999</c:v>
                </c:pt>
                <c:pt idx="301">
                  <c:v>101.71080000000001</c:v>
                </c:pt>
                <c:pt idx="302">
                  <c:v>100.60080000000001</c:v>
                </c:pt>
                <c:pt idx="303">
                  <c:v>100.1208</c:v>
                </c:pt>
                <c:pt idx="304">
                  <c:v>101.1708</c:v>
                </c:pt>
                <c:pt idx="305">
                  <c:v>99.630830000000003</c:v>
                </c:pt>
                <c:pt idx="306">
                  <c:v>99.270830000000004</c:v>
                </c:pt>
                <c:pt idx="307">
                  <c:v>99.130830000000003</c:v>
                </c:pt>
                <c:pt idx="308">
                  <c:v>101.0408</c:v>
                </c:pt>
                <c:pt idx="309">
                  <c:v>100.02079999999999</c:v>
                </c:pt>
                <c:pt idx="310">
                  <c:v>99.660830000000004</c:v>
                </c:pt>
                <c:pt idx="311">
                  <c:v>102.2509</c:v>
                </c:pt>
                <c:pt idx="312">
                  <c:v>100.77079999999999</c:v>
                </c:pt>
                <c:pt idx="313">
                  <c:v>101.38079999999999</c:v>
                </c:pt>
                <c:pt idx="314">
                  <c:v>100.0908</c:v>
                </c:pt>
                <c:pt idx="315">
                  <c:v>101.2008</c:v>
                </c:pt>
                <c:pt idx="316">
                  <c:v>101.1408</c:v>
                </c:pt>
                <c:pt idx="317">
                  <c:v>103.29089999999999</c:v>
                </c:pt>
                <c:pt idx="318">
                  <c:v>102.1508</c:v>
                </c:pt>
                <c:pt idx="319">
                  <c:v>102.7209</c:v>
                </c:pt>
                <c:pt idx="320">
                  <c:v>102.9209</c:v>
                </c:pt>
                <c:pt idx="321">
                  <c:v>103.79089999999999</c:v>
                </c:pt>
                <c:pt idx="322">
                  <c:v>104.23090000000001</c:v>
                </c:pt>
                <c:pt idx="323">
                  <c:v>104.6609</c:v>
                </c:pt>
                <c:pt idx="324">
                  <c:v>105.7009</c:v>
                </c:pt>
                <c:pt idx="325">
                  <c:v>102.0209</c:v>
                </c:pt>
                <c:pt idx="326">
                  <c:v>103.15089999999999</c:v>
                </c:pt>
                <c:pt idx="327">
                  <c:v>103.90089999999999</c:v>
                </c:pt>
                <c:pt idx="328">
                  <c:v>102.6409</c:v>
                </c:pt>
                <c:pt idx="329">
                  <c:v>101.7008</c:v>
                </c:pt>
                <c:pt idx="330">
                  <c:v>103.48090000000001</c:v>
                </c:pt>
                <c:pt idx="331">
                  <c:v>103.43089999999999</c:v>
                </c:pt>
                <c:pt idx="332">
                  <c:v>104.15089999999999</c:v>
                </c:pt>
                <c:pt idx="333">
                  <c:v>102.8909</c:v>
                </c:pt>
                <c:pt idx="334">
                  <c:v>103.65089999999999</c:v>
                </c:pt>
                <c:pt idx="335">
                  <c:v>102.79089999999999</c:v>
                </c:pt>
                <c:pt idx="336">
                  <c:v>103.7009</c:v>
                </c:pt>
                <c:pt idx="337">
                  <c:v>104.7709</c:v>
                </c:pt>
                <c:pt idx="338">
                  <c:v>104.2809</c:v>
                </c:pt>
                <c:pt idx="339">
                  <c:v>103.6309</c:v>
                </c:pt>
                <c:pt idx="340">
                  <c:v>104.0809</c:v>
                </c:pt>
                <c:pt idx="341">
                  <c:v>105.8109</c:v>
                </c:pt>
                <c:pt idx="342">
                  <c:v>103.3509</c:v>
                </c:pt>
                <c:pt idx="343">
                  <c:v>103.6709</c:v>
                </c:pt>
                <c:pt idx="344">
                  <c:v>102.62090000000001</c:v>
                </c:pt>
                <c:pt idx="345">
                  <c:v>103.68089999999999</c:v>
                </c:pt>
                <c:pt idx="346">
                  <c:v>103.5609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0-B342-8AC7-910A532FE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-1.0084592434608597E-2</c:v>
                </c:pt>
                <c:pt idx="1">
                  <c:v>8.2711641884744991E-3</c:v>
                </c:pt>
                <c:pt idx="2">
                  <c:v>1.1904362938963216E-2</c:v>
                </c:pt>
                <c:pt idx="3">
                  <c:v>4.0533540021433006E-3</c:v>
                </c:pt>
                <c:pt idx="4">
                  <c:v>-2.1661704122062808E-2</c:v>
                </c:pt>
                <c:pt idx="5">
                  <c:v>2.9187561052736403E-3</c:v>
                </c:pt>
                <c:pt idx="6">
                  <c:v>2.0671880003407968E-2</c:v>
                </c:pt>
                <c:pt idx="7">
                  <c:v>-1.0913295343267375E-2</c:v>
                </c:pt>
                <c:pt idx="8">
                  <c:v>-4.7713338263712015E-3</c:v>
                </c:pt>
                <c:pt idx="9">
                  <c:v>1.0487331303785E-2</c:v>
                </c:pt>
                <c:pt idx="10">
                  <c:v>-1.5221486832168934E-2</c:v>
                </c:pt>
                <c:pt idx="11">
                  <c:v>-3.6133393649335193E-3</c:v>
                </c:pt>
                <c:pt idx="12">
                  <c:v>-1.4102833631994471E-3</c:v>
                </c:pt>
                <c:pt idx="13">
                  <c:v>1.9267164412927858E-2</c:v>
                </c:pt>
                <c:pt idx="14">
                  <c:v>-1.0094931948282379E-2</c:v>
                </c:pt>
                <c:pt idx="15">
                  <c:v>-3.5989514181049335E-3</c:v>
                </c:pt>
                <c:pt idx="16">
                  <c:v>2.5988846370233892E-2</c:v>
                </c:pt>
                <c:pt idx="17">
                  <c:v>-1.4475178213590368E-2</c:v>
                </c:pt>
                <c:pt idx="18">
                  <c:v>6.0533408487379228E-3</c:v>
                </c:pt>
                <c:pt idx="19">
                  <c:v>-1.2724302826570635E-2</c:v>
                </c:pt>
                <c:pt idx="20">
                  <c:v>1.1089930343248325E-2</c:v>
                </c:pt>
                <c:pt idx="21">
                  <c:v>-5.9288068869023044E-4</c:v>
                </c:pt>
                <c:pt idx="22">
                  <c:v>2.1258483223387543E-2</c:v>
                </c:pt>
                <c:pt idx="23">
                  <c:v>-1.1037758408533469E-2</c:v>
                </c:pt>
                <c:pt idx="24">
                  <c:v>5.5809646131013803E-3</c:v>
                </c:pt>
                <c:pt idx="25">
                  <c:v>1.9470234392417009E-3</c:v>
                </c:pt>
                <c:pt idx="26">
                  <c:v>8.4530935893486186E-3</c:v>
                </c:pt>
                <c:pt idx="27">
                  <c:v>4.2392926547511582E-3</c:v>
                </c:pt>
                <c:pt idx="28">
                  <c:v>4.1254560787635204E-3</c:v>
                </c:pt>
                <c:pt idx="29">
                  <c:v>9.9368532087915004E-3</c:v>
                </c:pt>
                <c:pt idx="30">
                  <c:v>-3.481521917031933E-2</c:v>
                </c:pt>
                <c:pt idx="31">
                  <c:v>1.1076161845268915E-2</c:v>
                </c:pt>
                <c:pt idx="32">
                  <c:v>7.2709011748806852E-3</c:v>
                </c:pt>
                <c:pt idx="33">
                  <c:v>-1.2126940190123387E-2</c:v>
                </c:pt>
                <c:pt idx="34">
                  <c:v>-9.1591168822564989E-3</c:v>
                </c:pt>
                <c:pt idx="35">
                  <c:v>1.7503303808819641E-2</c:v>
                </c:pt>
                <c:pt idx="36">
                  <c:v>-4.8318095416653088E-4</c:v>
                </c:pt>
                <c:pt idx="37">
                  <c:v>6.9611692443940724E-3</c:v>
                </c:pt>
                <c:pt idx="38">
                  <c:v>-1.2097831127719404E-2</c:v>
                </c:pt>
                <c:pt idx="39">
                  <c:v>7.3864646922127313E-3</c:v>
                </c:pt>
                <c:pt idx="40">
                  <c:v>-8.2970818391350145E-3</c:v>
                </c:pt>
                <c:pt idx="41">
                  <c:v>8.8529237510325421E-3</c:v>
                </c:pt>
                <c:pt idx="42">
                  <c:v>1.0318136101036665E-2</c:v>
                </c:pt>
                <c:pt idx="43">
                  <c:v>-4.6768711541085826E-3</c:v>
                </c:pt>
                <c:pt idx="44">
                  <c:v>-6.2331644625238719E-3</c:v>
                </c:pt>
                <c:pt idx="45">
                  <c:v>4.3423341879690602E-3</c:v>
                </c:pt>
                <c:pt idx="46">
                  <c:v>1.6621685631081247E-2</c:v>
                </c:pt>
                <c:pt idx="47">
                  <c:v>-2.3249022548716702E-2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DBD-5342-A718-4DE9A0089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China!$A$8:$A$363</c:f>
              <c:numCache>
                <c:formatCode>m/d/yy</c:formatCode>
                <c:ptCount val="356"/>
                <c:pt idx="0">
                  <c:v>32932</c:v>
                </c:pt>
                <c:pt idx="1">
                  <c:v>32963</c:v>
                </c:pt>
                <c:pt idx="2">
                  <c:v>32993</c:v>
                </c:pt>
                <c:pt idx="3">
                  <c:v>33024</c:v>
                </c:pt>
                <c:pt idx="4">
                  <c:v>33054</c:v>
                </c:pt>
                <c:pt idx="5">
                  <c:v>33085</c:v>
                </c:pt>
                <c:pt idx="6">
                  <c:v>33116</c:v>
                </c:pt>
                <c:pt idx="7">
                  <c:v>33146</c:v>
                </c:pt>
                <c:pt idx="8">
                  <c:v>33177</c:v>
                </c:pt>
                <c:pt idx="9">
                  <c:v>33207</c:v>
                </c:pt>
                <c:pt idx="10">
                  <c:v>33238</c:v>
                </c:pt>
                <c:pt idx="11">
                  <c:v>33269</c:v>
                </c:pt>
                <c:pt idx="12">
                  <c:v>33297</c:v>
                </c:pt>
                <c:pt idx="13">
                  <c:v>33328</c:v>
                </c:pt>
                <c:pt idx="14">
                  <c:v>33358</c:v>
                </c:pt>
                <c:pt idx="15">
                  <c:v>33389</c:v>
                </c:pt>
                <c:pt idx="16">
                  <c:v>33419</c:v>
                </c:pt>
                <c:pt idx="17">
                  <c:v>33450</c:v>
                </c:pt>
                <c:pt idx="18">
                  <c:v>33481</c:v>
                </c:pt>
                <c:pt idx="19">
                  <c:v>33511</c:v>
                </c:pt>
                <c:pt idx="20">
                  <c:v>33542</c:v>
                </c:pt>
                <c:pt idx="21">
                  <c:v>33572</c:v>
                </c:pt>
                <c:pt idx="22">
                  <c:v>33603</c:v>
                </c:pt>
                <c:pt idx="23">
                  <c:v>33634</c:v>
                </c:pt>
                <c:pt idx="24">
                  <c:v>33663</c:v>
                </c:pt>
                <c:pt idx="25">
                  <c:v>33694</c:v>
                </c:pt>
                <c:pt idx="26">
                  <c:v>33724</c:v>
                </c:pt>
                <c:pt idx="27">
                  <c:v>33755</c:v>
                </c:pt>
                <c:pt idx="28">
                  <c:v>33785</c:v>
                </c:pt>
                <c:pt idx="29">
                  <c:v>33816</c:v>
                </c:pt>
                <c:pt idx="30">
                  <c:v>33847</c:v>
                </c:pt>
                <c:pt idx="31">
                  <c:v>33877</c:v>
                </c:pt>
                <c:pt idx="32">
                  <c:v>33908</c:v>
                </c:pt>
                <c:pt idx="33">
                  <c:v>33938</c:v>
                </c:pt>
                <c:pt idx="34">
                  <c:v>33969</c:v>
                </c:pt>
                <c:pt idx="35">
                  <c:v>34000</c:v>
                </c:pt>
                <c:pt idx="36">
                  <c:v>34028</c:v>
                </c:pt>
                <c:pt idx="37">
                  <c:v>34059</c:v>
                </c:pt>
                <c:pt idx="38">
                  <c:v>34089</c:v>
                </c:pt>
                <c:pt idx="39">
                  <c:v>34120</c:v>
                </c:pt>
                <c:pt idx="40">
                  <c:v>34150</c:v>
                </c:pt>
                <c:pt idx="41">
                  <c:v>34181</c:v>
                </c:pt>
                <c:pt idx="42">
                  <c:v>34212</c:v>
                </c:pt>
                <c:pt idx="43">
                  <c:v>34242</c:v>
                </c:pt>
                <c:pt idx="44">
                  <c:v>34273</c:v>
                </c:pt>
                <c:pt idx="45">
                  <c:v>34303</c:v>
                </c:pt>
                <c:pt idx="46">
                  <c:v>34334</c:v>
                </c:pt>
                <c:pt idx="47">
                  <c:v>34365</c:v>
                </c:pt>
                <c:pt idx="48">
                  <c:v>34393</c:v>
                </c:pt>
                <c:pt idx="49">
                  <c:v>34424</c:v>
                </c:pt>
                <c:pt idx="50">
                  <c:v>34454</c:v>
                </c:pt>
                <c:pt idx="51">
                  <c:v>34485</c:v>
                </c:pt>
                <c:pt idx="52">
                  <c:v>34515</c:v>
                </c:pt>
                <c:pt idx="53">
                  <c:v>34546</c:v>
                </c:pt>
                <c:pt idx="54">
                  <c:v>34577</c:v>
                </c:pt>
                <c:pt idx="55">
                  <c:v>34607</c:v>
                </c:pt>
                <c:pt idx="56">
                  <c:v>34638</c:v>
                </c:pt>
                <c:pt idx="57">
                  <c:v>34668</c:v>
                </c:pt>
                <c:pt idx="58">
                  <c:v>34699</c:v>
                </c:pt>
                <c:pt idx="59">
                  <c:v>34730</c:v>
                </c:pt>
                <c:pt idx="60">
                  <c:v>34758</c:v>
                </c:pt>
                <c:pt idx="61">
                  <c:v>34789</c:v>
                </c:pt>
                <c:pt idx="62">
                  <c:v>34819</c:v>
                </c:pt>
                <c:pt idx="63">
                  <c:v>34850</c:v>
                </c:pt>
                <c:pt idx="64">
                  <c:v>34880</c:v>
                </c:pt>
                <c:pt idx="65">
                  <c:v>34911</c:v>
                </c:pt>
                <c:pt idx="66">
                  <c:v>34942</c:v>
                </c:pt>
                <c:pt idx="67">
                  <c:v>34972</c:v>
                </c:pt>
                <c:pt idx="68">
                  <c:v>35003</c:v>
                </c:pt>
                <c:pt idx="69">
                  <c:v>35033</c:v>
                </c:pt>
                <c:pt idx="70">
                  <c:v>35064</c:v>
                </c:pt>
                <c:pt idx="71">
                  <c:v>35095</c:v>
                </c:pt>
                <c:pt idx="72">
                  <c:v>35124</c:v>
                </c:pt>
                <c:pt idx="73">
                  <c:v>35155</c:v>
                </c:pt>
                <c:pt idx="74">
                  <c:v>35185</c:v>
                </c:pt>
                <c:pt idx="75">
                  <c:v>35216</c:v>
                </c:pt>
                <c:pt idx="76">
                  <c:v>35246</c:v>
                </c:pt>
                <c:pt idx="77">
                  <c:v>35277</c:v>
                </c:pt>
                <c:pt idx="78">
                  <c:v>35308</c:v>
                </c:pt>
                <c:pt idx="79">
                  <c:v>35338</c:v>
                </c:pt>
                <c:pt idx="80">
                  <c:v>35369</c:v>
                </c:pt>
                <c:pt idx="81">
                  <c:v>35399</c:v>
                </c:pt>
                <c:pt idx="82">
                  <c:v>35430</c:v>
                </c:pt>
                <c:pt idx="83">
                  <c:v>35461</c:v>
                </c:pt>
                <c:pt idx="84">
                  <c:v>35489</c:v>
                </c:pt>
                <c:pt idx="85">
                  <c:v>35520</c:v>
                </c:pt>
                <c:pt idx="86">
                  <c:v>35550</c:v>
                </c:pt>
                <c:pt idx="87">
                  <c:v>35581</c:v>
                </c:pt>
                <c:pt idx="88">
                  <c:v>35611</c:v>
                </c:pt>
                <c:pt idx="89">
                  <c:v>35642</c:v>
                </c:pt>
                <c:pt idx="90">
                  <c:v>35673</c:v>
                </c:pt>
                <c:pt idx="91">
                  <c:v>35703</c:v>
                </c:pt>
                <c:pt idx="92">
                  <c:v>35734</c:v>
                </c:pt>
                <c:pt idx="93">
                  <c:v>35764</c:v>
                </c:pt>
                <c:pt idx="94">
                  <c:v>35795</c:v>
                </c:pt>
                <c:pt idx="95">
                  <c:v>35826</c:v>
                </c:pt>
                <c:pt idx="96">
                  <c:v>35854</c:v>
                </c:pt>
                <c:pt idx="97">
                  <c:v>35885</c:v>
                </c:pt>
                <c:pt idx="98">
                  <c:v>35915</c:v>
                </c:pt>
                <c:pt idx="99">
                  <c:v>35946</c:v>
                </c:pt>
                <c:pt idx="100">
                  <c:v>35976</c:v>
                </c:pt>
                <c:pt idx="101">
                  <c:v>36007</c:v>
                </c:pt>
                <c:pt idx="102">
                  <c:v>36038</c:v>
                </c:pt>
                <c:pt idx="103">
                  <c:v>36068</c:v>
                </c:pt>
                <c:pt idx="104">
                  <c:v>36099</c:v>
                </c:pt>
                <c:pt idx="105">
                  <c:v>36129</c:v>
                </c:pt>
                <c:pt idx="106">
                  <c:v>36160</c:v>
                </c:pt>
                <c:pt idx="107">
                  <c:v>36191</c:v>
                </c:pt>
                <c:pt idx="108">
                  <c:v>36219</c:v>
                </c:pt>
                <c:pt idx="109">
                  <c:v>36250</c:v>
                </c:pt>
                <c:pt idx="110">
                  <c:v>36280</c:v>
                </c:pt>
                <c:pt idx="111">
                  <c:v>36311</c:v>
                </c:pt>
                <c:pt idx="112">
                  <c:v>36341</c:v>
                </c:pt>
                <c:pt idx="113">
                  <c:v>36372</c:v>
                </c:pt>
                <c:pt idx="114">
                  <c:v>36403</c:v>
                </c:pt>
                <c:pt idx="115">
                  <c:v>36433</c:v>
                </c:pt>
                <c:pt idx="116">
                  <c:v>36464</c:v>
                </c:pt>
                <c:pt idx="117">
                  <c:v>36494</c:v>
                </c:pt>
                <c:pt idx="118">
                  <c:v>36525</c:v>
                </c:pt>
                <c:pt idx="119">
                  <c:v>36556</c:v>
                </c:pt>
                <c:pt idx="120">
                  <c:v>36585</c:v>
                </c:pt>
                <c:pt idx="121">
                  <c:v>36616</c:v>
                </c:pt>
                <c:pt idx="122">
                  <c:v>36646</c:v>
                </c:pt>
                <c:pt idx="123">
                  <c:v>36677</c:v>
                </c:pt>
                <c:pt idx="124">
                  <c:v>36707</c:v>
                </c:pt>
                <c:pt idx="125">
                  <c:v>36738</c:v>
                </c:pt>
                <c:pt idx="126">
                  <c:v>36769</c:v>
                </c:pt>
                <c:pt idx="127">
                  <c:v>36799</c:v>
                </c:pt>
                <c:pt idx="128">
                  <c:v>36830</c:v>
                </c:pt>
                <c:pt idx="129">
                  <c:v>36860</c:v>
                </c:pt>
                <c:pt idx="130">
                  <c:v>36891</c:v>
                </c:pt>
                <c:pt idx="131">
                  <c:v>36922</c:v>
                </c:pt>
                <c:pt idx="132">
                  <c:v>36950</c:v>
                </c:pt>
                <c:pt idx="133">
                  <c:v>36981</c:v>
                </c:pt>
                <c:pt idx="134">
                  <c:v>37011</c:v>
                </c:pt>
                <c:pt idx="135">
                  <c:v>37042</c:v>
                </c:pt>
                <c:pt idx="136">
                  <c:v>37072</c:v>
                </c:pt>
                <c:pt idx="137">
                  <c:v>37103</c:v>
                </c:pt>
                <c:pt idx="138">
                  <c:v>37134</c:v>
                </c:pt>
                <c:pt idx="139">
                  <c:v>37164</c:v>
                </c:pt>
                <c:pt idx="140">
                  <c:v>37195</c:v>
                </c:pt>
                <c:pt idx="141">
                  <c:v>37225</c:v>
                </c:pt>
                <c:pt idx="142">
                  <c:v>37256</c:v>
                </c:pt>
                <c:pt idx="143">
                  <c:v>37287</c:v>
                </c:pt>
                <c:pt idx="144">
                  <c:v>37315</c:v>
                </c:pt>
                <c:pt idx="145">
                  <c:v>37346</c:v>
                </c:pt>
                <c:pt idx="146">
                  <c:v>37376</c:v>
                </c:pt>
                <c:pt idx="147">
                  <c:v>37407</c:v>
                </c:pt>
                <c:pt idx="148">
                  <c:v>37437</c:v>
                </c:pt>
                <c:pt idx="149">
                  <c:v>37468</c:v>
                </c:pt>
                <c:pt idx="150">
                  <c:v>37499</c:v>
                </c:pt>
                <c:pt idx="151">
                  <c:v>37529</c:v>
                </c:pt>
                <c:pt idx="152">
                  <c:v>37560</c:v>
                </c:pt>
                <c:pt idx="153">
                  <c:v>37590</c:v>
                </c:pt>
                <c:pt idx="154">
                  <c:v>37621</c:v>
                </c:pt>
                <c:pt idx="155">
                  <c:v>37652</c:v>
                </c:pt>
                <c:pt idx="156">
                  <c:v>37680</c:v>
                </c:pt>
                <c:pt idx="157">
                  <c:v>37711</c:v>
                </c:pt>
                <c:pt idx="158">
                  <c:v>37741</c:v>
                </c:pt>
                <c:pt idx="159">
                  <c:v>37772</c:v>
                </c:pt>
                <c:pt idx="160">
                  <c:v>37802</c:v>
                </c:pt>
                <c:pt idx="161">
                  <c:v>37833</c:v>
                </c:pt>
                <c:pt idx="162">
                  <c:v>37864</c:v>
                </c:pt>
                <c:pt idx="163">
                  <c:v>37894</c:v>
                </c:pt>
                <c:pt idx="164">
                  <c:v>37925</c:v>
                </c:pt>
                <c:pt idx="165">
                  <c:v>37955</c:v>
                </c:pt>
                <c:pt idx="166">
                  <c:v>37986</c:v>
                </c:pt>
                <c:pt idx="167">
                  <c:v>38017</c:v>
                </c:pt>
                <c:pt idx="168">
                  <c:v>38046</c:v>
                </c:pt>
                <c:pt idx="169">
                  <c:v>38077</c:v>
                </c:pt>
                <c:pt idx="170">
                  <c:v>38107</c:v>
                </c:pt>
                <c:pt idx="171">
                  <c:v>38138</c:v>
                </c:pt>
                <c:pt idx="172">
                  <c:v>38168</c:v>
                </c:pt>
                <c:pt idx="173">
                  <c:v>38199</c:v>
                </c:pt>
                <c:pt idx="174">
                  <c:v>38230</c:v>
                </c:pt>
                <c:pt idx="175">
                  <c:v>38260</c:v>
                </c:pt>
                <c:pt idx="176">
                  <c:v>38291</c:v>
                </c:pt>
                <c:pt idx="177">
                  <c:v>38321</c:v>
                </c:pt>
                <c:pt idx="178">
                  <c:v>38352</c:v>
                </c:pt>
                <c:pt idx="179">
                  <c:v>38383</c:v>
                </c:pt>
                <c:pt idx="180">
                  <c:v>38411</c:v>
                </c:pt>
                <c:pt idx="181">
                  <c:v>38442</c:v>
                </c:pt>
                <c:pt idx="182">
                  <c:v>38472</c:v>
                </c:pt>
                <c:pt idx="183">
                  <c:v>38503</c:v>
                </c:pt>
                <c:pt idx="184">
                  <c:v>38533</c:v>
                </c:pt>
                <c:pt idx="185">
                  <c:v>38564</c:v>
                </c:pt>
                <c:pt idx="186">
                  <c:v>38595</c:v>
                </c:pt>
                <c:pt idx="187">
                  <c:v>38625</c:v>
                </c:pt>
                <c:pt idx="188">
                  <c:v>38656</c:v>
                </c:pt>
                <c:pt idx="189">
                  <c:v>38686</c:v>
                </c:pt>
                <c:pt idx="190">
                  <c:v>38717</c:v>
                </c:pt>
                <c:pt idx="191">
                  <c:v>38776</c:v>
                </c:pt>
                <c:pt idx="192">
                  <c:v>38807</c:v>
                </c:pt>
                <c:pt idx="193">
                  <c:v>38837</c:v>
                </c:pt>
                <c:pt idx="194">
                  <c:v>38868</c:v>
                </c:pt>
                <c:pt idx="195">
                  <c:v>38898</c:v>
                </c:pt>
                <c:pt idx="196">
                  <c:v>38929</c:v>
                </c:pt>
                <c:pt idx="197">
                  <c:v>38960</c:v>
                </c:pt>
                <c:pt idx="198">
                  <c:v>38990</c:v>
                </c:pt>
                <c:pt idx="199">
                  <c:v>39021</c:v>
                </c:pt>
                <c:pt idx="200">
                  <c:v>39051</c:v>
                </c:pt>
                <c:pt idx="201">
                  <c:v>39082</c:v>
                </c:pt>
                <c:pt idx="202">
                  <c:v>39141</c:v>
                </c:pt>
                <c:pt idx="203">
                  <c:v>39172</c:v>
                </c:pt>
                <c:pt idx="204">
                  <c:v>39202</c:v>
                </c:pt>
                <c:pt idx="205">
                  <c:v>39233</c:v>
                </c:pt>
                <c:pt idx="206">
                  <c:v>39263</c:v>
                </c:pt>
                <c:pt idx="207">
                  <c:v>39294</c:v>
                </c:pt>
                <c:pt idx="208">
                  <c:v>39325</c:v>
                </c:pt>
                <c:pt idx="209">
                  <c:v>39355</c:v>
                </c:pt>
                <c:pt idx="210">
                  <c:v>39386</c:v>
                </c:pt>
                <c:pt idx="211">
                  <c:v>39416</c:v>
                </c:pt>
                <c:pt idx="212">
                  <c:v>39447</c:v>
                </c:pt>
                <c:pt idx="213">
                  <c:v>39507</c:v>
                </c:pt>
                <c:pt idx="214">
                  <c:v>39538</c:v>
                </c:pt>
                <c:pt idx="215">
                  <c:v>39568</c:v>
                </c:pt>
                <c:pt idx="216">
                  <c:v>39599</c:v>
                </c:pt>
                <c:pt idx="217">
                  <c:v>39629</c:v>
                </c:pt>
                <c:pt idx="218">
                  <c:v>39660</c:v>
                </c:pt>
                <c:pt idx="219">
                  <c:v>39691</c:v>
                </c:pt>
                <c:pt idx="220">
                  <c:v>39721</c:v>
                </c:pt>
                <c:pt idx="221">
                  <c:v>39752</c:v>
                </c:pt>
                <c:pt idx="222">
                  <c:v>39782</c:v>
                </c:pt>
                <c:pt idx="223">
                  <c:v>39813</c:v>
                </c:pt>
                <c:pt idx="224">
                  <c:v>39872</c:v>
                </c:pt>
                <c:pt idx="225">
                  <c:v>39903</c:v>
                </c:pt>
                <c:pt idx="226">
                  <c:v>39933</c:v>
                </c:pt>
                <c:pt idx="227">
                  <c:v>39964</c:v>
                </c:pt>
                <c:pt idx="228">
                  <c:v>39994</c:v>
                </c:pt>
                <c:pt idx="229">
                  <c:v>40025</c:v>
                </c:pt>
                <c:pt idx="230">
                  <c:v>40056</c:v>
                </c:pt>
                <c:pt idx="231">
                  <c:v>40086</c:v>
                </c:pt>
                <c:pt idx="232">
                  <c:v>40117</c:v>
                </c:pt>
                <c:pt idx="233">
                  <c:v>40147</c:v>
                </c:pt>
                <c:pt idx="234">
                  <c:v>40178</c:v>
                </c:pt>
                <c:pt idx="235">
                  <c:v>40237</c:v>
                </c:pt>
                <c:pt idx="236">
                  <c:v>40268</c:v>
                </c:pt>
                <c:pt idx="237">
                  <c:v>40298</c:v>
                </c:pt>
                <c:pt idx="238">
                  <c:v>40329</c:v>
                </c:pt>
                <c:pt idx="239">
                  <c:v>40359</c:v>
                </c:pt>
                <c:pt idx="240">
                  <c:v>40390</c:v>
                </c:pt>
                <c:pt idx="241">
                  <c:v>40421</c:v>
                </c:pt>
                <c:pt idx="242">
                  <c:v>40451</c:v>
                </c:pt>
                <c:pt idx="243">
                  <c:v>40482</c:v>
                </c:pt>
                <c:pt idx="244">
                  <c:v>40512</c:v>
                </c:pt>
                <c:pt idx="245">
                  <c:v>40543</c:v>
                </c:pt>
                <c:pt idx="246">
                  <c:v>40602</c:v>
                </c:pt>
                <c:pt idx="247">
                  <c:v>40633</c:v>
                </c:pt>
                <c:pt idx="248">
                  <c:v>40663</c:v>
                </c:pt>
                <c:pt idx="249">
                  <c:v>40694</c:v>
                </c:pt>
                <c:pt idx="250">
                  <c:v>40724</c:v>
                </c:pt>
                <c:pt idx="251">
                  <c:v>40755</c:v>
                </c:pt>
                <c:pt idx="252">
                  <c:v>40786</c:v>
                </c:pt>
                <c:pt idx="253">
                  <c:v>40816</c:v>
                </c:pt>
                <c:pt idx="254">
                  <c:v>40847</c:v>
                </c:pt>
                <c:pt idx="255">
                  <c:v>40877</c:v>
                </c:pt>
                <c:pt idx="256">
                  <c:v>40908</c:v>
                </c:pt>
                <c:pt idx="257">
                  <c:v>40968</c:v>
                </c:pt>
                <c:pt idx="258">
                  <c:v>40999</c:v>
                </c:pt>
                <c:pt idx="259">
                  <c:v>41029</c:v>
                </c:pt>
                <c:pt idx="260">
                  <c:v>41060</c:v>
                </c:pt>
                <c:pt idx="261">
                  <c:v>41090</c:v>
                </c:pt>
                <c:pt idx="262">
                  <c:v>41121</c:v>
                </c:pt>
                <c:pt idx="263">
                  <c:v>41152</c:v>
                </c:pt>
                <c:pt idx="264">
                  <c:v>41182</c:v>
                </c:pt>
                <c:pt idx="265">
                  <c:v>41213</c:v>
                </c:pt>
                <c:pt idx="266">
                  <c:v>41243</c:v>
                </c:pt>
                <c:pt idx="267">
                  <c:v>41274</c:v>
                </c:pt>
                <c:pt idx="268">
                  <c:v>41333</c:v>
                </c:pt>
                <c:pt idx="269">
                  <c:v>41364</c:v>
                </c:pt>
                <c:pt idx="270">
                  <c:v>41394</c:v>
                </c:pt>
                <c:pt idx="271">
                  <c:v>41425</c:v>
                </c:pt>
                <c:pt idx="272">
                  <c:v>41455</c:v>
                </c:pt>
                <c:pt idx="273">
                  <c:v>41486</c:v>
                </c:pt>
                <c:pt idx="274">
                  <c:v>41517</c:v>
                </c:pt>
                <c:pt idx="275">
                  <c:v>41547</c:v>
                </c:pt>
                <c:pt idx="276">
                  <c:v>41578</c:v>
                </c:pt>
                <c:pt idx="277">
                  <c:v>41608</c:v>
                </c:pt>
                <c:pt idx="278">
                  <c:v>41639</c:v>
                </c:pt>
                <c:pt idx="279">
                  <c:v>41698</c:v>
                </c:pt>
                <c:pt idx="280">
                  <c:v>41729</c:v>
                </c:pt>
                <c:pt idx="281">
                  <c:v>41759</c:v>
                </c:pt>
                <c:pt idx="282">
                  <c:v>41790</c:v>
                </c:pt>
                <c:pt idx="283">
                  <c:v>41820</c:v>
                </c:pt>
                <c:pt idx="284">
                  <c:v>41851</c:v>
                </c:pt>
                <c:pt idx="285">
                  <c:v>41882</c:v>
                </c:pt>
                <c:pt idx="286">
                  <c:v>41912</c:v>
                </c:pt>
                <c:pt idx="287">
                  <c:v>41943</c:v>
                </c:pt>
                <c:pt idx="288">
                  <c:v>41973</c:v>
                </c:pt>
                <c:pt idx="289">
                  <c:v>42004</c:v>
                </c:pt>
                <c:pt idx="290">
                  <c:v>42063</c:v>
                </c:pt>
                <c:pt idx="291">
                  <c:v>42094</c:v>
                </c:pt>
                <c:pt idx="292">
                  <c:v>42124</c:v>
                </c:pt>
                <c:pt idx="293">
                  <c:v>42155</c:v>
                </c:pt>
                <c:pt idx="294">
                  <c:v>42185</c:v>
                </c:pt>
                <c:pt idx="295">
                  <c:v>42216</c:v>
                </c:pt>
                <c:pt idx="296">
                  <c:v>42247</c:v>
                </c:pt>
                <c:pt idx="297">
                  <c:v>42277</c:v>
                </c:pt>
                <c:pt idx="298">
                  <c:v>42308</c:v>
                </c:pt>
                <c:pt idx="299">
                  <c:v>42338</c:v>
                </c:pt>
                <c:pt idx="300">
                  <c:v>42369</c:v>
                </c:pt>
                <c:pt idx="301">
                  <c:v>42400</c:v>
                </c:pt>
                <c:pt idx="302">
                  <c:v>42460</c:v>
                </c:pt>
                <c:pt idx="303">
                  <c:v>42490</c:v>
                </c:pt>
                <c:pt idx="304">
                  <c:v>42521</c:v>
                </c:pt>
                <c:pt idx="305">
                  <c:v>42551</c:v>
                </c:pt>
                <c:pt idx="306">
                  <c:v>42582</c:v>
                </c:pt>
                <c:pt idx="307">
                  <c:v>42613</c:v>
                </c:pt>
                <c:pt idx="308">
                  <c:v>42643</c:v>
                </c:pt>
                <c:pt idx="309">
                  <c:v>42674</c:v>
                </c:pt>
                <c:pt idx="310">
                  <c:v>42704</c:v>
                </c:pt>
                <c:pt idx="311">
                  <c:v>42735</c:v>
                </c:pt>
                <c:pt idx="312">
                  <c:v>42766</c:v>
                </c:pt>
                <c:pt idx="313">
                  <c:v>42825</c:v>
                </c:pt>
                <c:pt idx="314">
                  <c:v>42855</c:v>
                </c:pt>
                <c:pt idx="315">
                  <c:v>42886</c:v>
                </c:pt>
                <c:pt idx="316">
                  <c:v>42916</c:v>
                </c:pt>
                <c:pt idx="317">
                  <c:v>42947</c:v>
                </c:pt>
                <c:pt idx="318">
                  <c:v>42978</c:v>
                </c:pt>
                <c:pt idx="319">
                  <c:v>43008</c:v>
                </c:pt>
                <c:pt idx="320">
                  <c:v>43039</c:v>
                </c:pt>
                <c:pt idx="321">
                  <c:v>43069</c:v>
                </c:pt>
                <c:pt idx="322">
                  <c:v>43100</c:v>
                </c:pt>
                <c:pt idx="323">
                  <c:v>43159</c:v>
                </c:pt>
                <c:pt idx="324">
                  <c:v>43190</c:v>
                </c:pt>
                <c:pt idx="325">
                  <c:v>43220</c:v>
                </c:pt>
                <c:pt idx="326">
                  <c:v>43251</c:v>
                </c:pt>
                <c:pt idx="327">
                  <c:v>43281</c:v>
                </c:pt>
                <c:pt idx="328">
                  <c:v>43312</c:v>
                </c:pt>
                <c:pt idx="329">
                  <c:v>43343</c:v>
                </c:pt>
                <c:pt idx="330">
                  <c:v>43373</c:v>
                </c:pt>
                <c:pt idx="331">
                  <c:v>43404</c:v>
                </c:pt>
                <c:pt idx="332">
                  <c:v>43434</c:v>
                </c:pt>
                <c:pt idx="333">
                  <c:v>43465</c:v>
                </c:pt>
                <c:pt idx="334">
                  <c:v>43496</c:v>
                </c:pt>
                <c:pt idx="335">
                  <c:v>43524</c:v>
                </c:pt>
                <c:pt idx="336">
                  <c:v>43555</c:v>
                </c:pt>
                <c:pt idx="337">
                  <c:v>43585</c:v>
                </c:pt>
                <c:pt idx="338">
                  <c:v>43616</c:v>
                </c:pt>
                <c:pt idx="339">
                  <c:v>43646</c:v>
                </c:pt>
                <c:pt idx="340">
                  <c:v>43677</c:v>
                </c:pt>
                <c:pt idx="341">
                  <c:v>43708</c:v>
                </c:pt>
                <c:pt idx="342">
                  <c:v>43738</c:v>
                </c:pt>
                <c:pt idx="343">
                  <c:v>43769</c:v>
                </c:pt>
                <c:pt idx="344">
                  <c:v>43799</c:v>
                </c:pt>
                <c:pt idx="345">
                  <c:v>43830</c:v>
                </c:pt>
                <c:pt idx="346">
                  <c:v>43890</c:v>
                </c:pt>
                <c:pt idx="347">
                  <c:v>43921</c:v>
                </c:pt>
                <c:pt idx="348">
                  <c:v>43951</c:v>
                </c:pt>
                <c:pt idx="349">
                  <c:v>43982</c:v>
                </c:pt>
                <c:pt idx="350">
                  <c:v>44012</c:v>
                </c:pt>
                <c:pt idx="351">
                  <c:v>44043</c:v>
                </c:pt>
                <c:pt idx="352">
                  <c:v>44074</c:v>
                </c:pt>
                <c:pt idx="353">
                  <c:v>44104</c:v>
                </c:pt>
                <c:pt idx="354">
                  <c:v>44135</c:v>
                </c:pt>
                <c:pt idx="355">
                  <c:v>44165</c:v>
                </c:pt>
              </c:numCache>
            </c:numRef>
          </c:cat>
          <c:val>
            <c:numRef>
              <c:f>China!$B$8:$B$363</c:f>
              <c:numCache>
                <c:formatCode>0.0%</c:formatCode>
                <c:ptCount val="356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3-E649-A091-C0D0D3C3F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419099</xdr:colOff>
      <xdr:row>315</xdr:row>
      <xdr:rowOff>142875</xdr:rowOff>
    </xdr:from>
    <xdr:to>
      <xdr:col>28</xdr:col>
      <xdr:colOff>380999</xdr:colOff>
      <xdr:row>339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341</xdr:row>
      <xdr:rowOff>0</xdr:rowOff>
    </xdr:from>
    <xdr:to>
      <xdr:col>27</xdr:col>
      <xdr:colOff>571500</xdr:colOff>
      <xdr:row>355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316</xdr:row>
      <xdr:rowOff>0</xdr:rowOff>
    </xdr:from>
    <xdr:to>
      <xdr:col>41</xdr:col>
      <xdr:colOff>66675</xdr:colOff>
      <xdr:row>339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308</xdr:row>
      <xdr:rowOff>114301</xdr:rowOff>
    </xdr:from>
    <xdr:to>
      <xdr:col>14</xdr:col>
      <xdr:colOff>390525</xdr:colOff>
      <xdr:row>328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328</xdr:row>
      <xdr:rowOff>180975</xdr:rowOff>
    </xdr:from>
    <xdr:to>
      <xdr:col>12</xdr:col>
      <xdr:colOff>428626</xdr:colOff>
      <xdr:row>346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95249</xdr:colOff>
      <xdr:row>292</xdr:row>
      <xdr:rowOff>104775</xdr:rowOff>
    </xdr:from>
    <xdr:to>
      <xdr:col>14</xdr:col>
      <xdr:colOff>390524</xdr:colOff>
      <xdr:row>308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400050</xdr:colOff>
      <xdr:row>308</xdr:row>
      <xdr:rowOff>104775</xdr:rowOff>
    </xdr:from>
    <xdr:to>
      <xdr:col>24</xdr:col>
      <xdr:colOff>85725</xdr:colOff>
      <xdr:row>328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319</xdr:row>
      <xdr:rowOff>47625</xdr:rowOff>
    </xdr:from>
    <xdr:to>
      <xdr:col>13</xdr:col>
      <xdr:colOff>57150</xdr:colOff>
      <xdr:row>338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57" totalsRowShown="0" headerRowDxfId="31" dataDxfId="29" headerRowBorderDxfId="30">
  <autoFilter ref="A1:Q357" xr:uid="{00000000-0009-0000-0100-000001000000}"/>
  <tableColumns count="17">
    <tableColumn id="1" xr3:uid="{00000000-0010-0000-0000-000001000000}" name="Data" dataDxfId="28">
      <calculatedColumnFormula>IF(Database!B2="",#N/A,Database!B2)</calculatedColumnFormula>
    </tableColumn>
    <tableColumn id="2" xr3:uid="{00000000-0010-0000-0000-000002000000}" name="ITA" dataDxfId="27">
      <calculatedColumnFormula>VLOOKUP(A2,Database!$E:$AY,MATCH($B$1,Database!$E$1:$AY$1,0),FALSE)</calculatedColumnFormula>
    </tableColumn>
    <tableColumn id="3" xr3:uid="{00000000-0010-0000-0000-000003000000}" name="FRA" dataDxfId="26">
      <calculatedColumnFormula>VLOOKUP(A2,Database!$E:$AY,MATCH($C$1,Database!$E$1:$AY$1,0),FALSE)</calculatedColumnFormula>
    </tableColumn>
    <tableColumn id="4" xr3:uid="{00000000-0010-0000-0000-000004000000}" name="DEU" dataDxfId="25">
      <calculatedColumnFormula>VLOOKUP(A2,Database!$E:$AY,MATCH($D$1,Database!$E$1:$AY$1,0),FALSE)</calculatedColumnFormula>
    </tableColumn>
    <tableColumn id="5" xr3:uid="{00000000-0010-0000-0000-000005000000}" name="ESP" dataDxfId="24">
      <calculatedColumnFormula>VLOOKUP(A2,Database!$E:$AY,MATCH($E$1,Database!$E$1:$AY$1,0),FALSE)</calculatedColumnFormula>
    </tableColumn>
    <tableColumn id="6" xr3:uid="{00000000-0010-0000-0000-000006000000}" name="EA19" dataDxfId="23">
      <calculatedColumnFormula>VLOOKUP(A2,Database!$E:$AY,MATCH($F$1,Database!$E$1:$AY$1,0),FALSE)</calculatedColumnFormula>
    </tableColumn>
    <tableColumn id="12" xr3:uid="{00000000-0010-0000-0000-00000C000000}" name="GBR" dataDxfId="22">
      <calculatedColumnFormula>VLOOKUP(A2,Database!$E:$AY,MATCH($G$1,Database!$E$1:$AY$1,0),FALSE)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VLOOKUP(A2,Database!$E:$AY,MATCH($N$1,Database!$E$1:$AY$1,0),FALSE)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VLOOKUP(A2,Database!$E:$AY,MATCH($P$1,Database!$E$1:$AY$1,0),FALSE)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51" totalsRowShown="0" headerRowDxfId="11" dataDxfId="10">
  <autoFilter ref="A4:D351" xr:uid="{00000000-0009-0000-0100-000002000000}"/>
  <tableColumns count="4">
    <tableColumn id="1" xr3:uid="{00000000-0010-0000-0100-000001000000}" name="Month" dataDxfId="9">
      <calculatedColumnFormula>IF(Database!B2="",#N/A,Database!B2)</calculatedColumnFormula>
    </tableColumn>
    <tableColumn id="2" xr3:uid="{00000000-0010-0000-0100-000002000000}" name="FRA" dataDxfId="8">
      <calculatedColumnFormula>VLOOKUP(A5,Database!$E:$AY,MATCH($B$4,Database!$E$1:$AY$1,0),FALSE)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63" totalsRowShown="0" headerRowDxfId="5" dataDxfId="3" headerRowBorderDxfId="4">
  <autoFilter ref="A7:C363" xr:uid="{00000000-0009-0000-0100-000003000000}"/>
  <sortState xmlns:xlrd2="http://schemas.microsoft.com/office/spreadsheetml/2017/richdata2" ref="A8:B341">
    <sortCondition ref="A8:A341"/>
  </sortState>
  <tableColumns count="3">
    <tableColumn id="1" xr3:uid="{00000000-0010-0000-0200-000001000000}" name="Date" dataDxfId="2"/>
    <tableColumn id="2" xr3:uid="{00000000-0010-0000-0200-000002000000}" name="China Industrial Production YoY" dataDxfId="1"/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 x14ac:dyDescent="0.2"/>
  <cols>
    <col min="1" max="1" width="9.1640625" style="85" customWidth="1"/>
    <col min="2" max="10" width="12.83203125" style="85" customWidth="1"/>
    <col min="11" max="14" width="9.1640625" style="85" customWidth="1"/>
    <col min="15" max="16" width="19.1640625" style="85" customWidth="1"/>
    <col min="17" max="25" width="9.1640625" style="85" customWidth="1"/>
    <col min="26" max="16384" width="9.1640625" style="85"/>
  </cols>
  <sheetData>
    <row r="1" spans="2:16" x14ac:dyDescent="0.2">
      <c r="B1" s="97"/>
      <c r="C1" s="96"/>
      <c r="D1" s="96"/>
      <c r="E1" s="96"/>
      <c r="F1" s="96"/>
      <c r="G1" s="96"/>
      <c r="H1" s="96"/>
      <c r="I1" s="96"/>
      <c r="J1" s="96"/>
    </row>
    <row r="2" spans="2:16" ht="16" customHeight="1" thickBot="1" x14ac:dyDescent="0.25">
      <c r="B2" s="98"/>
      <c r="C2" s="98"/>
      <c r="D2" s="98"/>
      <c r="E2" s="98"/>
      <c r="F2" s="98"/>
      <c r="G2" s="98"/>
      <c r="H2" s="98"/>
      <c r="I2" s="98"/>
      <c r="J2" s="98"/>
    </row>
    <row r="3" spans="2:16" ht="16" customHeight="1" thickBot="1" x14ac:dyDescent="0.25">
      <c r="B3" s="99" t="s">
        <v>0</v>
      </c>
      <c r="C3" s="100"/>
      <c r="D3" s="100"/>
      <c r="E3" s="100"/>
      <c r="F3" s="100"/>
      <c r="G3" s="100"/>
      <c r="H3" s="100"/>
      <c r="I3" s="100"/>
      <c r="J3" s="101"/>
    </row>
    <row r="5" spans="2:16" x14ac:dyDescent="0.2">
      <c r="B5" s="102" t="s">
        <v>1</v>
      </c>
      <c r="C5" s="103"/>
      <c r="D5" s="103"/>
      <c r="E5" s="103"/>
      <c r="F5" s="103"/>
      <c r="G5" s="103"/>
      <c r="H5" s="103"/>
      <c r="I5" s="103"/>
      <c r="J5" s="104"/>
    </row>
    <row r="7" spans="2:16" ht="63" customHeight="1" x14ac:dyDescent="0.2">
      <c r="B7" s="105" t="s">
        <v>2</v>
      </c>
      <c r="C7" s="96"/>
      <c r="D7" s="96"/>
      <c r="E7" s="96"/>
      <c r="F7" s="96"/>
      <c r="G7" s="96"/>
      <c r="H7" s="96"/>
      <c r="I7" s="96"/>
      <c r="J7" s="96"/>
    </row>
    <row r="8" spans="2:16" ht="33.75" customHeight="1" x14ac:dyDescent="0.2">
      <c r="B8" s="106" t="s">
        <v>3</v>
      </c>
      <c r="C8" s="96"/>
      <c r="D8" s="96"/>
      <c r="E8" s="96"/>
      <c r="F8" s="96"/>
      <c r="G8" s="96"/>
      <c r="H8" s="96"/>
      <c r="I8" s="96"/>
      <c r="J8" s="96"/>
    </row>
    <row r="9" spans="2:16" x14ac:dyDescent="0.2">
      <c r="B9" s="65"/>
      <c r="C9" s="65"/>
      <c r="D9" s="65"/>
      <c r="E9" s="65"/>
    </row>
    <row r="10" spans="2:16" x14ac:dyDescent="0.2">
      <c r="B10" s="102" t="s">
        <v>4</v>
      </c>
      <c r="C10" s="103"/>
      <c r="D10" s="103"/>
      <c r="E10" s="103"/>
      <c r="F10" s="103"/>
      <c r="G10" s="103"/>
      <c r="H10" s="103"/>
      <c r="I10" s="103"/>
      <c r="J10" s="104"/>
    </row>
    <row r="12" spans="2:16" x14ac:dyDescent="0.2">
      <c r="B12" s="102" t="s">
        <v>5</v>
      </c>
      <c r="C12" s="103"/>
      <c r="D12" s="103"/>
      <c r="E12" s="103"/>
      <c r="F12" s="104"/>
      <c r="G12" s="102" t="s">
        <v>6</v>
      </c>
      <c r="H12" s="103"/>
      <c r="I12" s="103"/>
      <c r="J12" s="104"/>
      <c r="O12" s="86" t="s">
        <v>7</v>
      </c>
      <c r="P12" s="86" t="s">
        <v>8</v>
      </c>
    </row>
    <row r="13" spans="2:16" x14ac:dyDescent="0.2">
      <c r="O13" s="66" t="s">
        <v>9</v>
      </c>
      <c r="P13" s="66" t="s">
        <v>10</v>
      </c>
    </row>
    <row r="14" spans="2:16" x14ac:dyDescent="0.2">
      <c r="B14" s="85" t="s">
        <v>3</v>
      </c>
      <c r="G14" s="96" t="s">
        <v>11</v>
      </c>
      <c r="H14" s="96"/>
      <c r="I14" s="96"/>
      <c r="J14" s="96"/>
      <c r="O14" s="66" t="s">
        <v>12</v>
      </c>
      <c r="P14" s="66" t="s">
        <v>13</v>
      </c>
    </row>
    <row r="15" spans="2:16" x14ac:dyDescent="0.2">
      <c r="B15" s="85" t="s">
        <v>14</v>
      </c>
      <c r="G15" s="96" t="s">
        <v>15</v>
      </c>
      <c r="H15" s="96"/>
      <c r="I15" s="96"/>
      <c r="J15" s="96"/>
      <c r="O15" s="66" t="s">
        <v>16</v>
      </c>
      <c r="P15" s="66" t="s">
        <v>17</v>
      </c>
    </row>
    <row r="16" spans="2:16" ht="15.75" customHeight="1" x14ac:dyDescent="0.2">
      <c r="B16" s="85" t="s">
        <v>18</v>
      </c>
      <c r="G16" s="95" t="s">
        <v>19</v>
      </c>
      <c r="H16" s="96"/>
      <c r="I16" s="96"/>
      <c r="J16" s="96"/>
      <c r="O16" s="66" t="s">
        <v>20</v>
      </c>
      <c r="P16" s="66" t="s">
        <v>21</v>
      </c>
    </row>
    <row r="17" spans="2:16" ht="15.75" customHeight="1" x14ac:dyDescent="0.2">
      <c r="B17" s="85" t="s">
        <v>22</v>
      </c>
      <c r="G17" s="95"/>
      <c r="H17" s="96"/>
      <c r="I17" s="96"/>
      <c r="J17" s="96"/>
      <c r="O17" s="66" t="s">
        <v>23</v>
      </c>
      <c r="P17" s="66" t="s">
        <v>24</v>
      </c>
    </row>
    <row r="18" spans="2:16" ht="15.75" customHeight="1" x14ac:dyDescent="0.2">
      <c r="B18" s="85" t="s">
        <v>25</v>
      </c>
      <c r="G18" s="108"/>
      <c r="H18" s="96"/>
      <c r="I18" s="96"/>
      <c r="J18" s="96"/>
      <c r="O18" s="66" t="s">
        <v>26</v>
      </c>
      <c r="P18" s="66" t="s">
        <v>27</v>
      </c>
    </row>
    <row r="19" spans="2:16" ht="15.75" customHeight="1" x14ac:dyDescent="0.2">
      <c r="B19" s="85" t="s">
        <v>28</v>
      </c>
      <c r="G19" s="95"/>
      <c r="H19" s="96"/>
      <c r="I19" s="96"/>
      <c r="J19" s="96"/>
      <c r="O19" s="66" t="s">
        <v>29</v>
      </c>
      <c r="P19" s="66" t="s">
        <v>30</v>
      </c>
    </row>
    <row r="20" spans="2:16" ht="15.75" customHeight="1" x14ac:dyDescent="0.2">
      <c r="G20" s="95"/>
      <c r="H20" s="96"/>
      <c r="I20" s="96"/>
      <c r="J20" s="96"/>
      <c r="O20" s="66" t="s">
        <v>31</v>
      </c>
      <c r="P20" s="66" t="s">
        <v>32</v>
      </c>
    </row>
    <row r="21" spans="2:16" ht="31.5" customHeight="1" x14ac:dyDescent="0.2">
      <c r="B21" s="109" t="s">
        <v>33</v>
      </c>
      <c r="C21" s="96"/>
      <c r="D21" s="96"/>
      <c r="E21" s="96"/>
      <c r="F21" s="96"/>
      <c r="G21" s="95" t="s">
        <v>34</v>
      </c>
      <c r="H21" s="96"/>
      <c r="I21" s="96"/>
      <c r="J21" s="96"/>
      <c r="O21" s="66" t="s">
        <v>35</v>
      </c>
      <c r="P21" s="66" t="s">
        <v>36</v>
      </c>
    </row>
    <row r="22" spans="2:16" ht="15.75" customHeight="1" x14ac:dyDescent="0.2">
      <c r="G22" s="95"/>
      <c r="H22" s="96"/>
      <c r="I22" s="96"/>
      <c r="J22" s="96"/>
      <c r="O22" s="66" t="s">
        <v>37</v>
      </c>
      <c r="P22" s="66" t="s">
        <v>38</v>
      </c>
    </row>
    <row r="23" spans="2:16" ht="15.75" customHeight="1" x14ac:dyDescent="0.2">
      <c r="B23" s="106" t="s">
        <v>39</v>
      </c>
      <c r="C23" s="96"/>
      <c r="D23" s="96"/>
      <c r="E23" s="96"/>
      <c r="F23" s="96"/>
      <c r="G23" s="95" t="s">
        <v>40</v>
      </c>
      <c r="H23" s="96"/>
      <c r="I23" s="96"/>
      <c r="J23" s="96"/>
      <c r="O23" s="66" t="s">
        <v>41</v>
      </c>
      <c r="P23" s="66" t="s">
        <v>42</v>
      </c>
    </row>
    <row r="24" spans="2:16" ht="15.75" customHeight="1" x14ac:dyDescent="0.2">
      <c r="G24" s="95"/>
      <c r="H24" s="96"/>
      <c r="I24" s="96"/>
      <c r="J24" s="96"/>
      <c r="O24" s="66" t="s">
        <v>43</v>
      </c>
      <c r="P24" s="66" t="s">
        <v>44</v>
      </c>
    </row>
    <row r="25" spans="2:16" ht="15.75" customHeight="1" x14ac:dyDescent="0.2">
      <c r="B25" s="10" t="s">
        <v>45</v>
      </c>
      <c r="G25" s="95"/>
      <c r="H25" s="96"/>
      <c r="I25" s="96"/>
      <c r="J25" s="96"/>
      <c r="O25" s="66" t="s">
        <v>46</v>
      </c>
      <c r="P25" s="66" t="s">
        <v>47</v>
      </c>
    </row>
    <row r="26" spans="2:16" ht="15.75" customHeight="1" x14ac:dyDescent="0.2">
      <c r="G26" s="95"/>
      <c r="H26" s="96"/>
      <c r="I26" s="96"/>
      <c r="J26" s="96"/>
      <c r="O26" s="66" t="s">
        <v>48</v>
      </c>
      <c r="P26" s="66" t="s">
        <v>49</v>
      </c>
    </row>
    <row r="27" spans="2:16" ht="15.75" customHeight="1" x14ac:dyDescent="0.2">
      <c r="B27" s="96"/>
      <c r="C27" s="96"/>
      <c r="D27" s="96"/>
      <c r="E27" s="96"/>
      <c r="F27" s="96"/>
      <c r="G27" s="95"/>
      <c r="H27" s="96"/>
      <c r="I27" s="96"/>
      <c r="J27" s="96"/>
      <c r="O27" s="66" t="s">
        <v>50</v>
      </c>
      <c r="P27" s="66" t="s">
        <v>51</v>
      </c>
    </row>
    <row r="28" spans="2:16" x14ac:dyDescent="0.2">
      <c r="O28" s="66" t="s">
        <v>52</v>
      </c>
      <c r="P28" s="66" t="s">
        <v>53</v>
      </c>
    </row>
    <row r="29" spans="2:16" x14ac:dyDescent="0.2">
      <c r="O29" s="66" t="s">
        <v>54</v>
      </c>
      <c r="P29" s="66" t="s">
        <v>55</v>
      </c>
    </row>
    <row r="30" spans="2:16" x14ac:dyDescent="0.2">
      <c r="B30" s="67"/>
      <c r="O30" s="66" t="s">
        <v>56</v>
      </c>
      <c r="P30" s="66" t="s">
        <v>57</v>
      </c>
    </row>
    <row r="31" spans="2:16" ht="33.75" customHeight="1" x14ac:dyDescent="0.2">
      <c r="B31" s="107"/>
      <c r="C31" s="96"/>
      <c r="D31" s="96"/>
      <c r="E31" s="96"/>
      <c r="F31" s="96"/>
      <c r="G31" s="96"/>
      <c r="H31" s="96"/>
      <c r="I31" s="96"/>
      <c r="J31" s="96"/>
      <c r="O31" s="66" t="s">
        <v>58</v>
      </c>
      <c r="P31" s="66" t="s">
        <v>59</v>
      </c>
    </row>
    <row r="32" spans="2:16" x14ac:dyDescent="0.2">
      <c r="B32" s="68"/>
      <c r="O32" s="66" t="s">
        <v>60</v>
      </c>
      <c r="P32" s="66" t="s">
        <v>61</v>
      </c>
    </row>
    <row r="33" spans="15:16" x14ac:dyDescent="0.2">
      <c r="O33" s="66" t="s">
        <v>62</v>
      </c>
      <c r="P33" s="66" t="s">
        <v>63</v>
      </c>
    </row>
    <row r="34" spans="15:16" x14ac:dyDescent="0.2">
      <c r="O34" s="66" t="s">
        <v>64</v>
      </c>
      <c r="P34" s="66" t="s">
        <v>65</v>
      </c>
    </row>
    <row r="35" spans="15:16" x14ac:dyDescent="0.2">
      <c r="O35" s="66" t="s">
        <v>66</v>
      </c>
      <c r="P35" s="66" t="s">
        <v>67</v>
      </c>
    </row>
    <row r="36" spans="15:16" x14ac:dyDescent="0.2">
      <c r="O36" s="66" t="s">
        <v>68</v>
      </c>
      <c r="P36" s="66" t="s">
        <v>69</v>
      </c>
    </row>
    <row r="37" spans="15:16" x14ac:dyDescent="0.2">
      <c r="O37" s="66" t="s">
        <v>70</v>
      </c>
      <c r="P37" s="66" t="s">
        <v>71</v>
      </c>
    </row>
    <row r="38" spans="15:16" x14ac:dyDescent="0.2">
      <c r="O38" s="66" t="s">
        <v>72</v>
      </c>
      <c r="P38" s="66" t="s">
        <v>73</v>
      </c>
    </row>
    <row r="39" spans="15:16" x14ac:dyDescent="0.2">
      <c r="O39" s="66" t="s">
        <v>74</v>
      </c>
      <c r="P39" s="66" t="s">
        <v>75</v>
      </c>
    </row>
    <row r="40" spans="15:16" x14ac:dyDescent="0.2">
      <c r="O40" s="66" t="s">
        <v>76</v>
      </c>
      <c r="P40" s="66" t="s">
        <v>77</v>
      </c>
    </row>
    <row r="41" spans="15:16" x14ac:dyDescent="0.2">
      <c r="O41" s="66" t="s">
        <v>78</v>
      </c>
      <c r="P41" s="66" t="s">
        <v>79</v>
      </c>
    </row>
    <row r="42" spans="15:16" x14ac:dyDescent="0.2">
      <c r="O42" s="66" t="s">
        <v>80</v>
      </c>
      <c r="P42" s="66" t="s">
        <v>81</v>
      </c>
    </row>
    <row r="43" spans="15:16" x14ac:dyDescent="0.2">
      <c r="O43" s="66" t="s">
        <v>82</v>
      </c>
      <c r="P43" s="66" t="s">
        <v>83</v>
      </c>
    </row>
    <row r="44" spans="15:16" x14ac:dyDescent="0.2">
      <c r="O44" s="66" t="s">
        <v>84</v>
      </c>
      <c r="P44" s="66" t="s">
        <v>85</v>
      </c>
    </row>
    <row r="45" spans="15:16" x14ac:dyDescent="0.2">
      <c r="O45" s="66" t="s">
        <v>86</v>
      </c>
      <c r="P45" s="66" t="s">
        <v>87</v>
      </c>
    </row>
    <row r="46" spans="15:16" x14ac:dyDescent="0.2">
      <c r="O46" s="66" t="s">
        <v>88</v>
      </c>
      <c r="P46" s="66" t="s">
        <v>89</v>
      </c>
    </row>
    <row r="47" spans="15:16" x14ac:dyDescent="0.2">
      <c r="O47" s="66" t="s">
        <v>90</v>
      </c>
      <c r="P47" s="66" t="s">
        <v>91</v>
      </c>
    </row>
    <row r="48" spans="15:16" x14ac:dyDescent="0.2">
      <c r="O48" s="66" t="s">
        <v>92</v>
      </c>
      <c r="P48" s="66" t="s">
        <v>93</v>
      </c>
    </row>
    <row r="49" spans="15:16" x14ac:dyDescent="0.2">
      <c r="O49" s="66" t="s">
        <v>94</v>
      </c>
      <c r="P49" s="66" t="s">
        <v>95</v>
      </c>
    </row>
    <row r="50" spans="15:16" x14ac:dyDescent="0.2">
      <c r="O50" s="66" t="s">
        <v>96</v>
      </c>
      <c r="P50" s="66" t="s">
        <v>97</v>
      </c>
    </row>
    <row r="51" spans="15:16" x14ac:dyDescent="0.2">
      <c r="O51" s="66" t="s">
        <v>98</v>
      </c>
      <c r="P51" s="66" t="s">
        <v>99</v>
      </c>
    </row>
    <row r="52" spans="15:16" x14ac:dyDescent="0.2">
      <c r="O52" s="66" t="s">
        <v>100</v>
      </c>
      <c r="P52" s="66" t="s">
        <v>101</v>
      </c>
    </row>
    <row r="53" spans="15:16" x14ac:dyDescent="0.2">
      <c r="O53" s="66" t="s">
        <v>102</v>
      </c>
      <c r="P53" s="66" t="s">
        <v>103</v>
      </c>
    </row>
    <row r="54" spans="15:16" x14ac:dyDescent="0.2">
      <c r="O54" s="66" t="s">
        <v>104</v>
      </c>
      <c r="P54" s="66" t="s">
        <v>105</v>
      </c>
    </row>
    <row r="55" spans="15:16" x14ac:dyDescent="0.2">
      <c r="O55" s="66" t="s">
        <v>106</v>
      </c>
      <c r="P55" s="66" t="s">
        <v>107</v>
      </c>
    </row>
    <row r="56" spans="15:16" x14ac:dyDescent="0.2">
      <c r="O56" s="66" t="s">
        <v>108</v>
      </c>
      <c r="P56" s="66" t="s">
        <v>109</v>
      </c>
    </row>
    <row r="57" spans="15:16" x14ac:dyDescent="0.2">
      <c r="O57" s="66" t="s">
        <v>110</v>
      </c>
      <c r="P57" s="66" t="s">
        <v>111</v>
      </c>
    </row>
    <row r="58" spans="15:16" x14ac:dyDescent="0.2">
      <c r="O58" s="66" t="s">
        <v>112</v>
      </c>
      <c r="P58" s="66" t="s">
        <v>113</v>
      </c>
    </row>
    <row r="59" spans="15:16" x14ac:dyDescent="0.2">
      <c r="O59" s="66" t="s">
        <v>114</v>
      </c>
      <c r="P59" s="66" t="s">
        <v>115</v>
      </c>
    </row>
    <row r="60" spans="15:16" x14ac:dyDescent="0.2">
      <c r="O60" s="66" t="s">
        <v>116</v>
      </c>
      <c r="P60" s="66" t="s">
        <v>117</v>
      </c>
    </row>
    <row r="61" spans="15:16" x14ac:dyDescent="0.2">
      <c r="O61" s="66" t="s">
        <v>118</v>
      </c>
      <c r="P61" s="66" t="s">
        <v>119</v>
      </c>
    </row>
    <row r="62" spans="15:16" x14ac:dyDescent="0.2">
      <c r="O62" s="66" t="s">
        <v>120</v>
      </c>
      <c r="P62" s="66" t="s">
        <v>121</v>
      </c>
    </row>
    <row r="63" spans="15:16" x14ac:dyDescent="0.2">
      <c r="O63" s="66" t="s">
        <v>122</v>
      </c>
      <c r="P63" s="66" t="s">
        <v>123</v>
      </c>
    </row>
    <row r="64" spans="15:16" x14ac:dyDescent="0.2">
      <c r="O64" s="66" t="s">
        <v>124</v>
      </c>
      <c r="P64" s="66" t="s">
        <v>125</v>
      </c>
    </row>
    <row r="65" spans="15:16" x14ac:dyDescent="0.2">
      <c r="O65" s="66" t="s">
        <v>126</v>
      </c>
      <c r="P65" s="66" t="s">
        <v>127</v>
      </c>
    </row>
    <row r="66" spans="15:16" x14ac:dyDescent="0.2">
      <c r="O66" s="66" t="s">
        <v>128</v>
      </c>
      <c r="P66" s="66" t="s">
        <v>129</v>
      </c>
    </row>
    <row r="67" spans="15:16" x14ac:dyDescent="0.2">
      <c r="O67" s="66" t="s">
        <v>130</v>
      </c>
      <c r="P67" s="66" t="s">
        <v>131</v>
      </c>
    </row>
    <row r="68" spans="15:16" x14ac:dyDescent="0.2">
      <c r="O68" s="66" t="s">
        <v>132</v>
      </c>
      <c r="P68" s="66" t="s">
        <v>133</v>
      </c>
    </row>
    <row r="69" spans="15:16" x14ac:dyDescent="0.2">
      <c r="O69" s="66" t="s">
        <v>134</v>
      </c>
      <c r="P69" s="66" t="s">
        <v>135</v>
      </c>
    </row>
    <row r="70" spans="15:16" x14ac:dyDescent="0.2">
      <c r="O70" s="66" t="s">
        <v>136</v>
      </c>
      <c r="P70" s="66" t="s">
        <v>137</v>
      </c>
    </row>
    <row r="71" spans="15:16" x14ac:dyDescent="0.2">
      <c r="O71" s="66" t="s">
        <v>138</v>
      </c>
      <c r="P71" s="66" t="s">
        <v>139</v>
      </c>
    </row>
    <row r="72" spans="15:16" x14ac:dyDescent="0.2">
      <c r="O72" s="66" t="s">
        <v>140</v>
      </c>
      <c r="P72" s="66" t="s">
        <v>141</v>
      </c>
    </row>
    <row r="73" spans="15:16" x14ac:dyDescent="0.2">
      <c r="O73" s="66" t="s">
        <v>142</v>
      </c>
      <c r="P73" s="66" t="s">
        <v>143</v>
      </c>
    </row>
    <row r="74" spans="15:16" x14ac:dyDescent="0.2">
      <c r="O74" s="66" t="s">
        <v>144</v>
      </c>
      <c r="P74" s="66" t="s">
        <v>145</v>
      </c>
    </row>
    <row r="75" spans="15:16" x14ac:dyDescent="0.2">
      <c r="O75" s="66" t="s">
        <v>146</v>
      </c>
      <c r="P75" s="66" t="s">
        <v>147</v>
      </c>
    </row>
    <row r="76" spans="15:16" x14ac:dyDescent="0.2">
      <c r="O76" s="66" t="s">
        <v>148</v>
      </c>
      <c r="P76" s="66" t="s">
        <v>149</v>
      </c>
    </row>
    <row r="77" spans="15:16" x14ac:dyDescent="0.2">
      <c r="O77" s="66" t="s">
        <v>150</v>
      </c>
      <c r="P77" s="66" t="s">
        <v>151</v>
      </c>
    </row>
    <row r="78" spans="15:16" x14ac:dyDescent="0.2">
      <c r="O78" s="66" t="s">
        <v>152</v>
      </c>
      <c r="P78" s="66" t="s">
        <v>153</v>
      </c>
    </row>
    <row r="79" spans="15:16" x14ac:dyDescent="0.2">
      <c r="O79" s="66" t="s">
        <v>154</v>
      </c>
      <c r="P79" s="66" t="s">
        <v>155</v>
      </c>
    </row>
    <row r="80" spans="15:16" x14ac:dyDescent="0.2">
      <c r="O80" s="66" t="s">
        <v>156</v>
      </c>
      <c r="P80" s="66" t="s">
        <v>157</v>
      </c>
    </row>
    <row r="81" spans="15:16" x14ac:dyDescent="0.2">
      <c r="O81" s="66" t="s">
        <v>158</v>
      </c>
      <c r="P81" s="66" t="s">
        <v>159</v>
      </c>
    </row>
    <row r="82" spans="15:16" x14ac:dyDescent="0.2">
      <c r="O82" s="66" t="s">
        <v>160</v>
      </c>
      <c r="P82" s="66" t="s">
        <v>161</v>
      </c>
    </row>
    <row r="83" spans="15:16" x14ac:dyDescent="0.2">
      <c r="O83" s="66" t="s">
        <v>162</v>
      </c>
      <c r="P83" s="66" t="s">
        <v>163</v>
      </c>
    </row>
    <row r="84" spans="15:16" x14ac:dyDescent="0.2">
      <c r="O84" s="66" t="s">
        <v>164</v>
      </c>
      <c r="P84" s="66" t="s">
        <v>165</v>
      </c>
    </row>
    <row r="85" spans="15:16" x14ac:dyDescent="0.2">
      <c r="O85" s="66" t="s">
        <v>166</v>
      </c>
      <c r="P85" s="66" t="s">
        <v>167</v>
      </c>
    </row>
    <row r="86" spans="15:16" x14ac:dyDescent="0.2">
      <c r="O86" s="66" t="s">
        <v>168</v>
      </c>
      <c r="P86" s="66" t="s">
        <v>169</v>
      </c>
    </row>
    <row r="87" spans="15:16" x14ac:dyDescent="0.2">
      <c r="O87" s="66" t="s">
        <v>170</v>
      </c>
      <c r="P87" s="66" t="s">
        <v>171</v>
      </c>
    </row>
    <row r="88" spans="15:16" x14ac:dyDescent="0.2">
      <c r="O88" s="66" t="s">
        <v>172</v>
      </c>
      <c r="P88" s="66" t="s">
        <v>173</v>
      </c>
    </row>
    <row r="89" spans="15:16" x14ac:dyDescent="0.2">
      <c r="O89" s="66" t="s">
        <v>174</v>
      </c>
      <c r="P89" s="66" t="s">
        <v>175</v>
      </c>
    </row>
    <row r="90" spans="15:16" x14ac:dyDescent="0.2">
      <c r="O90" s="66" t="s">
        <v>176</v>
      </c>
      <c r="P90" s="66" t="s">
        <v>177</v>
      </c>
    </row>
    <row r="91" spans="15:16" x14ac:dyDescent="0.2">
      <c r="O91" s="66" t="s">
        <v>178</v>
      </c>
      <c r="P91" s="66" t="s">
        <v>179</v>
      </c>
    </row>
    <row r="92" spans="15:16" x14ac:dyDescent="0.2">
      <c r="O92" s="66" t="s">
        <v>180</v>
      </c>
      <c r="P92" s="66" t="s">
        <v>181</v>
      </c>
    </row>
    <row r="93" spans="15:16" x14ac:dyDescent="0.2">
      <c r="O93" s="66" t="s">
        <v>182</v>
      </c>
      <c r="P93" s="66" t="s">
        <v>183</v>
      </c>
    </row>
    <row r="94" spans="15:16" x14ac:dyDescent="0.2">
      <c r="O94" s="66" t="s">
        <v>184</v>
      </c>
      <c r="P94" s="66" t="s">
        <v>185</v>
      </c>
    </row>
    <row r="95" spans="15:16" x14ac:dyDescent="0.2">
      <c r="O95" s="66" t="s">
        <v>186</v>
      </c>
      <c r="P95" s="66" t="s">
        <v>187</v>
      </c>
    </row>
    <row r="96" spans="15:16" x14ac:dyDescent="0.2">
      <c r="O96" s="66" t="s">
        <v>188</v>
      </c>
      <c r="P96" s="66" t="s">
        <v>189</v>
      </c>
    </row>
    <row r="97" spans="15:16" x14ac:dyDescent="0.2">
      <c r="O97" s="66" t="s">
        <v>190</v>
      </c>
      <c r="P97" s="66" t="s">
        <v>191</v>
      </c>
    </row>
    <row r="98" spans="15:16" x14ac:dyDescent="0.2">
      <c r="O98" s="66" t="s">
        <v>192</v>
      </c>
      <c r="P98" s="66" t="s">
        <v>193</v>
      </c>
    </row>
    <row r="99" spans="15:16" x14ac:dyDescent="0.2">
      <c r="O99" s="66" t="s">
        <v>194</v>
      </c>
      <c r="P99" s="66" t="s">
        <v>195</v>
      </c>
    </row>
    <row r="100" spans="15:16" x14ac:dyDescent="0.2">
      <c r="O100" s="66" t="s">
        <v>196</v>
      </c>
      <c r="P100" s="66" t="s">
        <v>197</v>
      </c>
    </row>
    <row r="101" spans="15:16" x14ac:dyDescent="0.2">
      <c r="O101" s="66" t="s">
        <v>198</v>
      </c>
      <c r="P101" s="66" t="s">
        <v>199</v>
      </c>
    </row>
    <row r="102" spans="15:16" x14ac:dyDescent="0.2">
      <c r="O102" s="66" t="s">
        <v>200</v>
      </c>
      <c r="P102" s="66" t="s">
        <v>201</v>
      </c>
    </row>
    <row r="103" spans="15:16" x14ac:dyDescent="0.2">
      <c r="O103" s="66" t="s">
        <v>202</v>
      </c>
      <c r="P103" s="66" t="s">
        <v>203</v>
      </c>
    </row>
    <row r="104" spans="15:16" x14ac:dyDescent="0.2">
      <c r="O104" s="66" t="s">
        <v>204</v>
      </c>
      <c r="P104" s="66" t="s">
        <v>205</v>
      </c>
    </row>
    <row r="105" spans="15:16" x14ac:dyDescent="0.2">
      <c r="O105" s="66" t="s">
        <v>206</v>
      </c>
      <c r="P105" s="66" t="s">
        <v>207</v>
      </c>
    </row>
    <row r="106" spans="15:16" x14ac:dyDescent="0.2">
      <c r="O106" s="66" t="s">
        <v>208</v>
      </c>
      <c r="P106" s="66" t="s">
        <v>209</v>
      </c>
    </row>
    <row r="107" spans="15:16" x14ac:dyDescent="0.2">
      <c r="O107" s="66" t="s">
        <v>210</v>
      </c>
      <c r="P107" s="66" t="s">
        <v>211</v>
      </c>
    </row>
    <row r="108" spans="15:16" x14ac:dyDescent="0.2">
      <c r="O108" s="66" t="s">
        <v>212</v>
      </c>
      <c r="P108" s="66" t="s">
        <v>213</v>
      </c>
    </row>
    <row r="109" spans="15:16" x14ac:dyDescent="0.2">
      <c r="O109" s="66" t="s">
        <v>214</v>
      </c>
      <c r="P109" s="66" t="s">
        <v>215</v>
      </c>
    </row>
    <row r="110" spans="15:16" x14ac:dyDescent="0.2">
      <c r="O110" s="66" t="s">
        <v>216</v>
      </c>
      <c r="P110" s="66" t="s">
        <v>217</v>
      </c>
    </row>
    <row r="111" spans="15:16" x14ac:dyDescent="0.2">
      <c r="O111" s="66" t="s">
        <v>218</v>
      </c>
      <c r="P111" s="66" t="s">
        <v>219</v>
      </c>
    </row>
    <row r="112" spans="15:16" x14ac:dyDescent="0.2">
      <c r="O112" s="66" t="s">
        <v>220</v>
      </c>
      <c r="P112" s="66" t="s">
        <v>221</v>
      </c>
    </row>
    <row r="113" spans="15:16" x14ac:dyDescent="0.2">
      <c r="O113" s="66" t="s">
        <v>222</v>
      </c>
      <c r="P113" s="66" t="s">
        <v>223</v>
      </c>
    </row>
    <row r="114" spans="15:16" x14ac:dyDescent="0.2">
      <c r="O114" s="66" t="s">
        <v>224</v>
      </c>
      <c r="P114" s="66" t="s">
        <v>225</v>
      </c>
    </row>
    <row r="115" spans="15:16" x14ac:dyDescent="0.2">
      <c r="O115" s="66" t="s">
        <v>226</v>
      </c>
      <c r="P115" s="66" t="s">
        <v>227</v>
      </c>
    </row>
    <row r="116" spans="15:16" x14ac:dyDescent="0.2">
      <c r="O116" s="66" t="s">
        <v>228</v>
      </c>
      <c r="P116" s="66" t="s">
        <v>229</v>
      </c>
    </row>
    <row r="117" spans="15:16" x14ac:dyDescent="0.2">
      <c r="O117" s="66" t="s">
        <v>230</v>
      </c>
      <c r="P117" s="66" t="s">
        <v>231</v>
      </c>
    </row>
    <row r="118" spans="15:16" x14ac:dyDescent="0.2">
      <c r="O118" s="66" t="s">
        <v>232</v>
      </c>
      <c r="P118" s="66" t="s">
        <v>233</v>
      </c>
    </row>
    <row r="119" spans="15:16" x14ac:dyDescent="0.2">
      <c r="O119" s="66" t="s">
        <v>234</v>
      </c>
      <c r="P119" s="66" t="s">
        <v>235</v>
      </c>
    </row>
    <row r="120" spans="15:16" x14ac:dyDescent="0.2">
      <c r="O120" s="66" t="s">
        <v>236</v>
      </c>
      <c r="P120" s="66" t="s">
        <v>237</v>
      </c>
    </row>
    <row r="121" spans="15:16" x14ac:dyDescent="0.2">
      <c r="O121" s="66" t="s">
        <v>238</v>
      </c>
      <c r="P121" s="66" t="s">
        <v>239</v>
      </c>
    </row>
    <row r="122" spans="15:16" x14ac:dyDescent="0.2">
      <c r="O122" s="66" t="s">
        <v>240</v>
      </c>
      <c r="P122" s="66" t="s">
        <v>241</v>
      </c>
    </row>
    <row r="123" spans="15:16" x14ac:dyDescent="0.2">
      <c r="O123" s="66" t="s">
        <v>242</v>
      </c>
      <c r="P123" s="66" t="s">
        <v>243</v>
      </c>
    </row>
    <row r="124" spans="15:16" x14ac:dyDescent="0.2">
      <c r="O124" s="66" t="s">
        <v>244</v>
      </c>
      <c r="P124" s="66" t="s">
        <v>245</v>
      </c>
    </row>
    <row r="125" spans="15:16" x14ac:dyDescent="0.2">
      <c r="O125" s="66" t="s">
        <v>246</v>
      </c>
      <c r="P125" s="66" t="s">
        <v>247</v>
      </c>
    </row>
    <row r="126" spans="15:16" x14ac:dyDescent="0.2">
      <c r="O126" s="66" t="s">
        <v>248</v>
      </c>
      <c r="P126" s="66" t="s">
        <v>249</v>
      </c>
    </row>
    <row r="127" spans="15:16" x14ac:dyDescent="0.2">
      <c r="O127" s="66" t="s">
        <v>250</v>
      </c>
      <c r="P127" s="66" t="s">
        <v>251</v>
      </c>
    </row>
    <row r="128" spans="15:16" x14ac:dyDescent="0.2">
      <c r="O128" s="66" t="s">
        <v>252</v>
      </c>
      <c r="P128" s="66" t="s">
        <v>253</v>
      </c>
    </row>
    <row r="129" spans="15:16" x14ac:dyDescent="0.2">
      <c r="O129" s="66" t="s">
        <v>254</v>
      </c>
      <c r="P129" s="66" t="s">
        <v>255</v>
      </c>
    </row>
    <row r="130" spans="15:16" x14ac:dyDescent="0.2">
      <c r="O130" s="66" t="s">
        <v>256</v>
      </c>
      <c r="P130" s="66" t="s">
        <v>257</v>
      </c>
    </row>
    <row r="131" spans="15:16" x14ac:dyDescent="0.2">
      <c r="O131" s="66" t="s">
        <v>258</v>
      </c>
      <c r="P131" s="66" t="s">
        <v>259</v>
      </c>
    </row>
    <row r="132" spans="15:16" x14ac:dyDescent="0.2">
      <c r="O132" s="66" t="s">
        <v>260</v>
      </c>
      <c r="P132" s="66" t="s">
        <v>261</v>
      </c>
    </row>
    <row r="133" spans="15:16" x14ac:dyDescent="0.2">
      <c r="O133" s="66" t="s">
        <v>262</v>
      </c>
      <c r="P133" s="66" t="s">
        <v>263</v>
      </c>
    </row>
    <row r="134" spans="15:16" x14ac:dyDescent="0.2">
      <c r="O134" s="66" t="s">
        <v>264</v>
      </c>
      <c r="P134" s="66" t="s">
        <v>265</v>
      </c>
    </row>
    <row r="135" spans="15:16" x14ac:dyDescent="0.2">
      <c r="O135" s="66" t="s">
        <v>266</v>
      </c>
      <c r="P135" s="66" t="s">
        <v>267</v>
      </c>
    </row>
    <row r="136" spans="15:16" x14ac:dyDescent="0.2">
      <c r="O136" s="66" t="s">
        <v>268</v>
      </c>
      <c r="P136" s="66" t="s">
        <v>269</v>
      </c>
    </row>
    <row r="137" spans="15:16" x14ac:dyDescent="0.2">
      <c r="O137" s="66" t="s">
        <v>270</v>
      </c>
      <c r="P137" s="66" t="s">
        <v>271</v>
      </c>
    </row>
    <row r="138" spans="15:16" x14ac:dyDescent="0.2">
      <c r="O138" s="66" t="s">
        <v>272</v>
      </c>
      <c r="P138" s="66" t="s">
        <v>273</v>
      </c>
    </row>
    <row r="139" spans="15:16" x14ac:dyDescent="0.2">
      <c r="O139" s="66" t="s">
        <v>274</v>
      </c>
      <c r="P139" s="66" t="s">
        <v>275</v>
      </c>
    </row>
    <row r="140" spans="15:16" x14ac:dyDescent="0.2">
      <c r="O140" s="66" t="s">
        <v>276</v>
      </c>
      <c r="P140" s="66" t="s">
        <v>277</v>
      </c>
    </row>
    <row r="141" spans="15:16" x14ac:dyDescent="0.2">
      <c r="O141" s="66" t="s">
        <v>278</v>
      </c>
      <c r="P141" s="66" t="s">
        <v>279</v>
      </c>
    </row>
    <row r="142" spans="15:16" x14ac:dyDescent="0.2">
      <c r="O142" s="66" t="s">
        <v>280</v>
      </c>
      <c r="P142" s="66" t="s">
        <v>281</v>
      </c>
    </row>
    <row r="143" spans="15:16" x14ac:dyDescent="0.2">
      <c r="O143" s="66" t="s">
        <v>282</v>
      </c>
      <c r="P143" s="66" t="s">
        <v>283</v>
      </c>
    </row>
    <row r="144" spans="15:16" x14ac:dyDescent="0.2">
      <c r="O144" s="66" t="s">
        <v>284</v>
      </c>
      <c r="P144" s="66" t="s">
        <v>285</v>
      </c>
    </row>
    <row r="145" spans="15:16" x14ac:dyDescent="0.2">
      <c r="O145" s="66" t="s">
        <v>286</v>
      </c>
      <c r="P145" s="66" t="s">
        <v>287</v>
      </c>
    </row>
    <row r="146" spans="15:16" x14ac:dyDescent="0.2">
      <c r="O146" s="66" t="s">
        <v>288</v>
      </c>
      <c r="P146" s="66" t="s">
        <v>289</v>
      </c>
    </row>
    <row r="147" spans="15:16" x14ac:dyDescent="0.2">
      <c r="O147" s="66" t="s">
        <v>290</v>
      </c>
      <c r="P147" s="66" t="s">
        <v>291</v>
      </c>
    </row>
    <row r="148" spans="15:16" x14ac:dyDescent="0.2">
      <c r="O148" s="66" t="s">
        <v>292</v>
      </c>
      <c r="P148" s="66" t="s">
        <v>293</v>
      </c>
    </row>
    <row r="149" spans="15:16" x14ac:dyDescent="0.2">
      <c r="O149" s="66" t="s">
        <v>294</v>
      </c>
      <c r="P149" s="66" t="s">
        <v>295</v>
      </c>
    </row>
    <row r="150" spans="15:16" x14ac:dyDescent="0.2">
      <c r="O150" s="66" t="s">
        <v>296</v>
      </c>
      <c r="P150" s="66" t="s">
        <v>297</v>
      </c>
    </row>
    <row r="151" spans="15:16" x14ac:dyDescent="0.2">
      <c r="O151" s="66" t="s">
        <v>298</v>
      </c>
      <c r="P151" s="66" t="s">
        <v>299</v>
      </c>
    </row>
    <row r="152" spans="15:16" x14ac:dyDescent="0.2">
      <c r="O152" s="66" t="s">
        <v>300</v>
      </c>
      <c r="P152" s="66" t="s">
        <v>301</v>
      </c>
    </row>
    <row r="153" spans="15:16" x14ac:dyDescent="0.2">
      <c r="O153" s="66" t="s">
        <v>302</v>
      </c>
      <c r="P153" s="66" t="s">
        <v>303</v>
      </c>
    </row>
    <row r="154" spans="15:16" x14ac:dyDescent="0.2">
      <c r="O154" s="66" t="s">
        <v>304</v>
      </c>
      <c r="P154" s="66" t="s">
        <v>305</v>
      </c>
    </row>
    <row r="155" spans="15:16" x14ac:dyDescent="0.2">
      <c r="O155" s="66" t="s">
        <v>306</v>
      </c>
      <c r="P155" s="66" t="s">
        <v>307</v>
      </c>
    </row>
    <row r="156" spans="15:16" x14ac:dyDescent="0.2">
      <c r="O156" s="66" t="s">
        <v>308</v>
      </c>
      <c r="P156" s="66" t="s">
        <v>309</v>
      </c>
    </row>
    <row r="157" spans="15:16" x14ac:dyDescent="0.2">
      <c r="O157" s="66" t="s">
        <v>310</v>
      </c>
      <c r="P157" s="66" t="s">
        <v>311</v>
      </c>
    </row>
    <row r="158" spans="15:16" x14ac:dyDescent="0.2">
      <c r="O158" s="66" t="s">
        <v>312</v>
      </c>
      <c r="P158" s="66" t="s">
        <v>313</v>
      </c>
    </row>
    <row r="159" spans="15:16" x14ac:dyDescent="0.2">
      <c r="O159" s="66" t="s">
        <v>314</v>
      </c>
      <c r="P159" s="66" t="s">
        <v>315</v>
      </c>
    </row>
    <row r="160" spans="15:16" x14ac:dyDescent="0.2">
      <c r="O160" s="66" t="s">
        <v>316</v>
      </c>
      <c r="P160" s="66" t="s">
        <v>317</v>
      </c>
    </row>
    <row r="161" spans="15:16" x14ac:dyDescent="0.2">
      <c r="O161" s="66" t="s">
        <v>318</v>
      </c>
      <c r="P161" s="66" t="s">
        <v>319</v>
      </c>
    </row>
    <row r="162" spans="15:16" x14ac:dyDescent="0.2">
      <c r="O162" s="66" t="s">
        <v>320</v>
      </c>
      <c r="P162" s="66" t="s">
        <v>321</v>
      </c>
    </row>
    <row r="163" spans="15:16" x14ac:dyDescent="0.2">
      <c r="O163" s="66" t="s">
        <v>322</v>
      </c>
      <c r="P163" s="66" t="s">
        <v>323</v>
      </c>
    </row>
    <row r="164" spans="15:16" x14ac:dyDescent="0.2">
      <c r="O164" s="66" t="s">
        <v>324</v>
      </c>
      <c r="P164" s="66" t="s">
        <v>325</v>
      </c>
    </row>
    <row r="165" spans="15:16" x14ac:dyDescent="0.2">
      <c r="O165" s="66" t="s">
        <v>326</v>
      </c>
      <c r="P165" s="66" t="s">
        <v>327</v>
      </c>
    </row>
    <row r="166" spans="15:16" x14ac:dyDescent="0.2">
      <c r="O166" s="66" t="s">
        <v>328</v>
      </c>
      <c r="P166" s="66" t="s">
        <v>329</v>
      </c>
    </row>
    <row r="167" spans="15:16" x14ac:dyDescent="0.2">
      <c r="O167" s="66" t="s">
        <v>330</v>
      </c>
      <c r="P167" s="66" t="s">
        <v>331</v>
      </c>
    </row>
    <row r="168" spans="15:16" x14ac:dyDescent="0.2">
      <c r="O168" s="66" t="s">
        <v>332</v>
      </c>
      <c r="P168" s="66" t="s">
        <v>333</v>
      </c>
    </row>
    <row r="169" spans="15:16" x14ac:dyDescent="0.2">
      <c r="O169" s="66" t="s">
        <v>334</v>
      </c>
      <c r="P169" s="66" t="s">
        <v>335</v>
      </c>
    </row>
    <row r="170" spans="15:16" x14ac:dyDescent="0.2">
      <c r="O170" s="66" t="s">
        <v>336</v>
      </c>
      <c r="P170" s="66" t="s">
        <v>337</v>
      </c>
    </row>
    <row r="171" spans="15:16" x14ac:dyDescent="0.2">
      <c r="O171" s="66" t="s">
        <v>338</v>
      </c>
      <c r="P171" s="66" t="s">
        <v>339</v>
      </c>
    </row>
    <row r="172" spans="15:16" x14ac:dyDescent="0.2">
      <c r="O172" s="66" t="s">
        <v>340</v>
      </c>
      <c r="P172" s="66" t="s">
        <v>341</v>
      </c>
    </row>
    <row r="173" spans="15:16" x14ac:dyDescent="0.2">
      <c r="O173" s="66" t="s">
        <v>342</v>
      </c>
      <c r="P173" s="66" t="s">
        <v>343</v>
      </c>
    </row>
    <row r="174" spans="15:16" x14ac:dyDescent="0.2">
      <c r="O174" s="66" t="s">
        <v>344</v>
      </c>
      <c r="P174" s="66" t="s">
        <v>345</v>
      </c>
    </row>
    <row r="175" spans="15:16" x14ac:dyDescent="0.2">
      <c r="O175" s="66" t="s">
        <v>346</v>
      </c>
      <c r="P175" s="66" t="s">
        <v>347</v>
      </c>
    </row>
    <row r="176" spans="15:16" x14ac:dyDescent="0.2">
      <c r="O176" s="66" t="s">
        <v>348</v>
      </c>
      <c r="P176" s="66" t="s">
        <v>349</v>
      </c>
    </row>
    <row r="177" spans="15:16" x14ac:dyDescent="0.2">
      <c r="O177" s="66" t="s">
        <v>350</v>
      </c>
      <c r="P177" s="66" t="s">
        <v>351</v>
      </c>
    </row>
    <row r="178" spans="15:16" x14ac:dyDescent="0.2">
      <c r="O178" s="66" t="s">
        <v>352</v>
      </c>
      <c r="P178" s="66" t="s">
        <v>353</v>
      </c>
    </row>
    <row r="179" spans="15:16" x14ac:dyDescent="0.2">
      <c r="O179" s="66" t="s">
        <v>354</v>
      </c>
      <c r="P179" s="66" t="s">
        <v>355</v>
      </c>
    </row>
    <row r="180" spans="15:16" x14ac:dyDescent="0.2">
      <c r="O180" s="66" t="s">
        <v>356</v>
      </c>
      <c r="P180" s="66" t="s">
        <v>357</v>
      </c>
    </row>
    <row r="181" spans="15:16" x14ac:dyDescent="0.2">
      <c r="O181" s="66" t="s">
        <v>358</v>
      </c>
      <c r="P181" s="66" t="s">
        <v>359</v>
      </c>
    </row>
    <row r="182" spans="15:16" x14ac:dyDescent="0.2">
      <c r="O182" s="66" t="s">
        <v>360</v>
      </c>
      <c r="P182" s="66" t="s">
        <v>361</v>
      </c>
    </row>
    <row r="183" spans="15:16" x14ac:dyDescent="0.2">
      <c r="O183" s="66" t="s">
        <v>362</v>
      </c>
      <c r="P183" s="66" t="s">
        <v>363</v>
      </c>
    </row>
    <row r="184" spans="15:16" x14ac:dyDescent="0.2">
      <c r="O184" s="66" t="s">
        <v>364</v>
      </c>
      <c r="P184" s="66" t="s">
        <v>365</v>
      </c>
    </row>
    <row r="185" spans="15:16" x14ac:dyDescent="0.2">
      <c r="O185" s="66" t="s">
        <v>366</v>
      </c>
      <c r="P185" s="66" t="s">
        <v>367</v>
      </c>
    </row>
    <row r="186" spans="15:16" x14ac:dyDescent="0.2">
      <c r="O186" s="66" t="s">
        <v>368</v>
      </c>
      <c r="P186" s="66" t="s">
        <v>369</v>
      </c>
    </row>
    <row r="187" spans="15:16" x14ac:dyDescent="0.2">
      <c r="O187" s="66" t="s">
        <v>370</v>
      </c>
      <c r="P187" s="66" t="s">
        <v>371</v>
      </c>
    </row>
    <row r="188" spans="15:16" x14ac:dyDescent="0.2">
      <c r="O188" s="66" t="s">
        <v>372</v>
      </c>
      <c r="P188" s="66" t="s">
        <v>373</v>
      </c>
    </row>
    <row r="189" spans="15:16" x14ac:dyDescent="0.2">
      <c r="O189" s="66" t="s">
        <v>374</v>
      </c>
      <c r="P189" s="66" t="s">
        <v>375</v>
      </c>
    </row>
    <row r="190" spans="15:16" x14ac:dyDescent="0.2">
      <c r="O190" s="66" t="s">
        <v>376</v>
      </c>
      <c r="P190" s="66" t="s">
        <v>377</v>
      </c>
    </row>
    <row r="191" spans="15:16" x14ac:dyDescent="0.2">
      <c r="O191" s="66" t="s">
        <v>378</v>
      </c>
      <c r="P191" s="66" t="s">
        <v>379</v>
      </c>
    </row>
    <row r="192" spans="15:16" x14ac:dyDescent="0.2">
      <c r="O192" s="66" t="s">
        <v>380</v>
      </c>
      <c r="P192" s="66" t="s">
        <v>381</v>
      </c>
    </row>
    <row r="193" spans="15:16" x14ac:dyDescent="0.2">
      <c r="O193" s="66" t="s">
        <v>382</v>
      </c>
      <c r="P193" s="66" t="s">
        <v>383</v>
      </c>
    </row>
    <row r="194" spans="15:16" x14ac:dyDescent="0.2">
      <c r="O194" s="66" t="s">
        <v>384</v>
      </c>
      <c r="P194" s="66" t="s">
        <v>385</v>
      </c>
    </row>
    <row r="195" spans="15:16" x14ac:dyDescent="0.2">
      <c r="O195" s="66" t="s">
        <v>386</v>
      </c>
      <c r="P195" s="66" t="s">
        <v>387</v>
      </c>
    </row>
    <row r="196" spans="15:16" x14ac:dyDescent="0.2">
      <c r="O196" s="66" t="s">
        <v>388</v>
      </c>
      <c r="P196" s="66" t="s">
        <v>389</v>
      </c>
    </row>
    <row r="197" spans="15:16" x14ac:dyDescent="0.2">
      <c r="O197" s="66" t="s">
        <v>390</v>
      </c>
      <c r="P197" s="66" t="s">
        <v>391</v>
      </c>
    </row>
    <row r="198" spans="15:16" x14ac:dyDescent="0.2">
      <c r="O198" s="66" t="s">
        <v>392</v>
      </c>
      <c r="P198" s="66" t="s">
        <v>393</v>
      </c>
    </row>
    <row r="199" spans="15:16" x14ac:dyDescent="0.2">
      <c r="O199" s="66" t="s">
        <v>394</v>
      </c>
      <c r="P199" s="66" t="s">
        <v>395</v>
      </c>
    </row>
    <row r="200" spans="15:16" x14ac:dyDescent="0.2">
      <c r="O200" s="66" t="s">
        <v>396</v>
      </c>
      <c r="P200" s="66" t="s">
        <v>397</v>
      </c>
    </row>
    <row r="201" spans="15:16" x14ac:dyDescent="0.2">
      <c r="O201" s="66" t="s">
        <v>398</v>
      </c>
      <c r="P201" s="66" t="s">
        <v>399</v>
      </c>
    </row>
    <row r="202" spans="15:16" x14ac:dyDescent="0.2">
      <c r="O202" s="66" t="s">
        <v>400</v>
      </c>
      <c r="P202" s="66" t="s">
        <v>401</v>
      </c>
    </row>
    <row r="203" spans="15:16" x14ac:dyDescent="0.2">
      <c r="O203" s="66" t="s">
        <v>402</v>
      </c>
      <c r="P203" s="66" t="s">
        <v>403</v>
      </c>
    </row>
    <row r="204" spans="15:16" x14ac:dyDescent="0.2">
      <c r="O204" s="66" t="s">
        <v>404</v>
      </c>
      <c r="P204" s="66" t="s">
        <v>405</v>
      </c>
    </row>
    <row r="205" spans="15:16" x14ac:dyDescent="0.2">
      <c r="O205" s="66" t="s">
        <v>406</v>
      </c>
      <c r="P205" s="66" t="s">
        <v>407</v>
      </c>
    </row>
    <row r="206" spans="15:16" x14ac:dyDescent="0.2">
      <c r="O206" s="66" t="s">
        <v>408</v>
      </c>
      <c r="P206" s="66" t="s">
        <v>409</v>
      </c>
    </row>
    <row r="207" spans="15:16" x14ac:dyDescent="0.2">
      <c r="O207" s="66" t="s">
        <v>410</v>
      </c>
      <c r="P207" s="66" t="s">
        <v>411</v>
      </c>
    </row>
    <row r="208" spans="15:16" x14ac:dyDescent="0.2">
      <c r="O208" s="66" t="s">
        <v>412</v>
      </c>
      <c r="P208" s="66" t="s">
        <v>413</v>
      </c>
    </row>
    <row r="209" spans="15:16" x14ac:dyDescent="0.2">
      <c r="O209" s="66" t="s">
        <v>414</v>
      </c>
      <c r="P209" s="66" t="s">
        <v>415</v>
      </c>
    </row>
    <row r="210" spans="15:16" x14ac:dyDescent="0.2">
      <c r="O210" s="66" t="s">
        <v>416</v>
      </c>
      <c r="P210" s="66" t="s">
        <v>417</v>
      </c>
    </row>
    <row r="211" spans="15:16" x14ac:dyDescent="0.2">
      <c r="O211" s="66" t="s">
        <v>418</v>
      </c>
      <c r="P211" s="66" t="s">
        <v>419</v>
      </c>
    </row>
    <row r="212" spans="15:16" x14ac:dyDescent="0.2">
      <c r="O212" s="66" t="s">
        <v>420</v>
      </c>
      <c r="P212" s="66" t="s">
        <v>421</v>
      </c>
    </row>
    <row r="213" spans="15:16" x14ac:dyDescent="0.2">
      <c r="O213" s="66" t="s">
        <v>422</v>
      </c>
      <c r="P213" s="66" t="s">
        <v>423</v>
      </c>
    </row>
    <row r="214" spans="15:16" x14ac:dyDescent="0.2">
      <c r="O214" s="66" t="s">
        <v>424</v>
      </c>
      <c r="P214" s="66" t="s">
        <v>425</v>
      </c>
    </row>
    <row r="215" spans="15:16" x14ac:dyDescent="0.2">
      <c r="O215" s="66" t="s">
        <v>426</v>
      </c>
      <c r="P215" s="66" t="s">
        <v>427</v>
      </c>
    </row>
    <row r="216" spans="15:16" x14ac:dyDescent="0.2">
      <c r="O216" s="66" t="s">
        <v>428</v>
      </c>
      <c r="P216" s="66" t="s">
        <v>427</v>
      </c>
    </row>
    <row r="217" spans="15:16" x14ac:dyDescent="0.2">
      <c r="O217" s="66" t="s">
        <v>429</v>
      </c>
      <c r="P217" s="66" t="s">
        <v>430</v>
      </c>
    </row>
    <row r="218" spans="15:16" x14ac:dyDescent="0.2">
      <c r="O218" s="66" t="s">
        <v>431</v>
      </c>
      <c r="P218" s="66" t="s">
        <v>432</v>
      </c>
    </row>
    <row r="219" spans="15:16" x14ac:dyDescent="0.2">
      <c r="O219" s="66" t="s">
        <v>433</v>
      </c>
      <c r="P219" s="66" t="s">
        <v>434</v>
      </c>
    </row>
    <row r="220" spans="15:16" x14ac:dyDescent="0.2">
      <c r="O220" s="66" t="s">
        <v>435</v>
      </c>
      <c r="P220" s="66" t="s">
        <v>436</v>
      </c>
    </row>
    <row r="221" spans="15:16" x14ac:dyDescent="0.2">
      <c r="O221" s="66" t="s">
        <v>437</v>
      </c>
      <c r="P221" s="66" t="s">
        <v>438</v>
      </c>
    </row>
    <row r="222" spans="15:16" x14ac:dyDescent="0.2">
      <c r="O222" s="66" t="s">
        <v>439</v>
      </c>
      <c r="P222" s="66" t="s">
        <v>440</v>
      </c>
    </row>
    <row r="223" spans="15:16" x14ac:dyDescent="0.2">
      <c r="O223" s="66" t="s">
        <v>441</v>
      </c>
      <c r="P223" s="66" t="s">
        <v>442</v>
      </c>
    </row>
    <row r="224" spans="15:16" x14ac:dyDescent="0.2">
      <c r="O224" s="66" t="s">
        <v>443</v>
      </c>
      <c r="P224" s="66" t="s">
        <v>444</v>
      </c>
    </row>
    <row r="225" spans="15:16" x14ac:dyDescent="0.2">
      <c r="O225" s="66" t="s">
        <v>445</v>
      </c>
      <c r="P225" s="66" t="s">
        <v>446</v>
      </c>
    </row>
    <row r="226" spans="15:16" x14ac:dyDescent="0.2">
      <c r="O226" s="66" t="s">
        <v>447</v>
      </c>
      <c r="P226" s="66" t="s">
        <v>448</v>
      </c>
    </row>
    <row r="227" spans="15:16" x14ac:dyDescent="0.2">
      <c r="O227" s="66" t="s">
        <v>449</v>
      </c>
      <c r="P227" s="66" t="s">
        <v>450</v>
      </c>
    </row>
    <row r="228" spans="15:16" x14ac:dyDescent="0.2">
      <c r="O228" s="66" t="s">
        <v>451</v>
      </c>
      <c r="P228" s="66" t="s">
        <v>452</v>
      </c>
    </row>
    <row r="229" spans="15:16" x14ac:dyDescent="0.2">
      <c r="O229" s="66" t="s">
        <v>453</v>
      </c>
      <c r="P229" s="66" t="s">
        <v>454</v>
      </c>
    </row>
    <row r="230" spans="15:16" x14ac:dyDescent="0.2">
      <c r="O230" s="66" t="s">
        <v>455</v>
      </c>
      <c r="P230" s="66" t="s">
        <v>456</v>
      </c>
    </row>
    <row r="231" spans="15:16" x14ac:dyDescent="0.2">
      <c r="O231" s="66" t="s">
        <v>457</v>
      </c>
      <c r="P231" s="66" t="s">
        <v>458</v>
      </c>
    </row>
    <row r="232" spans="15:16" x14ac:dyDescent="0.2">
      <c r="O232" s="66" t="s">
        <v>459</v>
      </c>
      <c r="P232" s="66" t="s">
        <v>460</v>
      </c>
    </row>
    <row r="233" spans="15:16" x14ac:dyDescent="0.2">
      <c r="O233" s="66" t="s">
        <v>461</v>
      </c>
      <c r="P233" s="66" t="s">
        <v>462</v>
      </c>
    </row>
    <row r="234" spans="15:16" x14ac:dyDescent="0.2">
      <c r="O234" s="66" t="s">
        <v>463</v>
      </c>
      <c r="P234" s="66" t="s">
        <v>464</v>
      </c>
    </row>
    <row r="235" spans="15:16" x14ac:dyDescent="0.2">
      <c r="O235" s="66" t="s">
        <v>465</v>
      </c>
      <c r="P235" s="66" t="s">
        <v>466</v>
      </c>
    </row>
    <row r="236" spans="15:16" x14ac:dyDescent="0.2">
      <c r="O236" s="66" t="s">
        <v>467</v>
      </c>
      <c r="P236" s="66" t="s">
        <v>468</v>
      </c>
    </row>
    <row r="237" spans="15:16" x14ac:dyDescent="0.2">
      <c r="O237" s="66" t="s">
        <v>469</v>
      </c>
      <c r="P237" s="66" t="s">
        <v>470</v>
      </c>
    </row>
    <row r="238" spans="15:16" x14ac:dyDescent="0.2">
      <c r="O238" s="66" t="s">
        <v>471</v>
      </c>
      <c r="P238" s="66" t="s">
        <v>472</v>
      </c>
    </row>
    <row r="239" spans="15:16" x14ac:dyDescent="0.2">
      <c r="O239" s="66" t="s">
        <v>473</v>
      </c>
      <c r="P239" s="66" t="s">
        <v>474</v>
      </c>
    </row>
    <row r="240" spans="15:16" x14ac:dyDescent="0.2">
      <c r="O240" s="66" t="s">
        <v>475</v>
      </c>
      <c r="P240" s="66" t="s">
        <v>476</v>
      </c>
    </row>
    <row r="241" spans="15:16" x14ac:dyDescent="0.2">
      <c r="O241" s="66" t="s">
        <v>477</v>
      </c>
      <c r="P241" s="66" t="s">
        <v>478</v>
      </c>
    </row>
    <row r="242" spans="15:16" x14ac:dyDescent="0.2">
      <c r="O242" s="66" t="s">
        <v>479</v>
      </c>
      <c r="P242" s="66" t="s">
        <v>480</v>
      </c>
    </row>
    <row r="243" spans="15:16" x14ac:dyDescent="0.2">
      <c r="O243" s="66" t="s">
        <v>481</v>
      </c>
      <c r="P243" s="66" t="s">
        <v>482</v>
      </c>
    </row>
    <row r="244" spans="15:16" x14ac:dyDescent="0.2">
      <c r="O244" s="66" t="s">
        <v>483</v>
      </c>
      <c r="P244" s="66" t="s">
        <v>484</v>
      </c>
    </row>
    <row r="245" spans="15:16" x14ac:dyDescent="0.2">
      <c r="O245" s="66" t="s">
        <v>485</v>
      </c>
      <c r="P245" s="66" t="s">
        <v>486</v>
      </c>
    </row>
    <row r="246" spans="15:16" x14ac:dyDescent="0.2">
      <c r="O246" s="66" t="s">
        <v>487</v>
      </c>
      <c r="P246" s="66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1:M221"/>
  <sheetViews>
    <sheetView showGridLines="0" zoomScale="150" zoomScaleNormal="150" workbookViewId="0">
      <selection activeCell="G26" sqref="G26"/>
    </sheetView>
  </sheetViews>
  <sheetFormatPr baseColWidth="10" defaultColWidth="9.1640625" defaultRowHeight="15" x14ac:dyDescent="0.2"/>
  <cols>
    <col min="1" max="1" width="9.1640625" style="85" customWidth="1"/>
    <col min="2" max="2" width="2.1640625" style="85" customWidth="1"/>
    <col min="3" max="3" width="27.33203125" style="85" customWidth="1"/>
    <col min="4" max="6" width="32.6640625" style="87" customWidth="1"/>
    <col min="7" max="15" width="9.1640625" style="85" customWidth="1"/>
    <col min="16" max="16384" width="9.1640625" style="85"/>
  </cols>
  <sheetData>
    <row r="1" spans="2:6" x14ac:dyDescent="0.2">
      <c r="B1" s="110" t="s">
        <v>45</v>
      </c>
      <c r="C1" s="96"/>
      <c r="D1" s="111"/>
      <c r="E1" s="111"/>
      <c r="F1" s="111"/>
    </row>
    <row r="2" spans="2:6" ht="16" customHeight="1" thickBot="1" x14ac:dyDescent="0.25">
      <c r="B2" s="98"/>
      <c r="C2" s="98"/>
      <c r="D2" s="98"/>
      <c r="E2" s="98"/>
      <c r="F2" s="98"/>
    </row>
    <row r="3" spans="2:6" ht="16" customHeight="1" thickBot="1" x14ac:dyDescent="0.25">
      <c r="B3" s="99" t="s">
        <v>0</v>
      </c>
      <c r="C3" s="100"/>
      <c r="D3" s="100"/>
      <c r="E3" s="100"/>
      <c r="F3" s="101"/>
    </row>
    <row r="7" spans="2:6" ht="20" customHeight="1" x14ac:dyDescent="0.2">
      <c r="D7" s="70" t="s">
        <v>489</v>
      </c>
      <c r="E7" s="70" t="s">
        <v>490</v>
      </c>
      <c r="F7" s="70" t="s">
        <v>491</v>
      </c>
    </row>
    <row r="8" spans="2:6" ht="19" customHeight="1" x14ac:dyDescent="0.25">
      <c r="C8" s="71" t="s">
        <v>432</v>
      </c>
      <c r="D8" s="11">
        <f t="shared" ref="D8:D26" si="0">VLOOKUP(C8,$C$32:$M$212,2,FALSE)/$D$29</f>
        <v>0.2472163512061494</v>
      </c>
      <c r="E8" s="12">
        <v>20.585999999999999</v>
      </c>
      <c r="F8" s="12">
        <f>VLOOKUP(C8,'World Production data'!$A$2:$B$114,2,)</f>
        <v>5.3</v>
      </c>
    </row>
    <row r="9" spans="2:6" ht="19" customHeight="1" x14ac:dyDescent="0.25">
      <c r="C9" s="71" t="s">
        <v>492</v>
      </c>
      <c r="D9" s="11">
        <f t="shared" si="0"/>
        <v>0.15270807996127098</v>
      </c>
      <c r="E9" s="12">
        <v>21.3</v>
      </c>
      <c r="F9" s="12">
        <f>VLOOKUP(C9,'World Production data'!$A$2:$B$114,2,)</f>
        <v>3.3</v>
      </c>
    </row>
    <row r="10" spans="2:6" ht="19" customHeight="1" x14ac:dyDescent="0.25">
      <c r="C10" s="71" t="s">
        <v>95</v>
      </c>
      <c r="D10" s="11">
        <f t="shared" si="0"/>
        <v>0.17384373782338147</v>
      </c>
      <c r="E10" s="12">
        <v>44.643000000000001</v>
      </c>
      <c r="F10" s="12">
        <f>VLOOKUP(C10,'World Production data'!$A$2:$B$114,2,)</f>
        <v>3.8</v>
      </c>
    </row>
    <row r="11" spans="2:6" ht="19" customHeight="1" x14ac:dyDescent="0.25">
      <c r="C11" s="71" t="s">
        <v>231</v>
      </c>
      <c r="D11" s="11">
        <f t="shared" si="0"/>
        <v>5.9805646408709306E-2</v>
      </c>
      <c r="E11" s="12">
        <v>23.902999999999999</v>
      </c>
      <c r="F11" s="12">
        <f>VLOOKUP(C11,'World Production data'!$A$2:$B$114,2,)</f>
        <v>-4.0999999999999996</v>
      </c>
    </row>
    <row r="12" spans="2:6" ht="19" customHeight="1" x14ac:dyDescent="0.25">
      <c r="C12" s="71" t="s">
        <v>127</v>
      </c>
      <c r="D12" s="11">
        <f t="shared" si="0"/>
        <v>4.4939840124688574E-2</v>
      </c>
      <c r="E12" s="12">
        <v>20.091999999999999</v>
      </c>
      <c r="F12" s="12">
        <f>VLOOKUP(C12,'World Production data'!$A$2:$B$114,2,)</f>
        <v>-0.6</v>
      </c>
    </row>
    <row r="13" spans="2:6" ht="19" customHeight="1" x14ac:dyDescent="0.25">
      <c r="C13" s="71" t="s">
        <v>177</v>
      </c>
      <c r="D13" s="11">
        <f t="shared" si="0"/>
        <v>3.1975062285248726E-2</v>
      </c>
      <c r="E13" s="12">
        <v>17.218</v>
      </c>
      <c r="F13" s="12">
        <f>VLOOKUP(C13,'World Production data'!$A$2:$B$114,2,)</f>
        <v>1.4</v>
      </c>
    </row>
    <row r="14" spans="2:6" ht="19" customHeight="1" x14ac:dyDescent="0.25">
      <c r="C14" s="71" t="s">
        <v>211</v>
      </c>
      <c r="D14" s="11">
        <f t="shared" si="0"/>
        <v>3.0971413727550742E-2</v>
      </c>
      <c r="E14" s="12">
        <v>13.719333333333299</v>
      </c>
      <c r="F14" s="12">
        <f>VLOOKUP(C14,'World Production data'!$A$2:$B$114,2,)</f>
        <v>3.2</v>
      </c>
    </row>
    <row r="15" spans="2:6" ht="19" customHeight="1" x14ac:dyDescent="0.25">
      <c r="C15" s="71" t="s">
        <v>159</v>
      </c>
      <c r="D15" s="11">
        <f t="shared" si="0"/>
        <v>3.0735261125739453E-2</v>
      </c>
      <c r="E15" s="12">
        <v>23.459</v>
      </c>
      <c r="F15" s="12">
        <f>VLOOKUP(C15,'World Production data'!$A$2:$B$114,2,)</f>
        <v>0.8</v>
      </c>
    </row>
    <row r="16" spans="2:6" ht="19" customHeight="1" x14ac:dyDescent="0.25">
      <c r="C16" s="71" t="s">
        <v>75</v>
      </c>
      <c r="D16" s="11">
        <f t="shared" si="0"/>
        <v>1.7062025480865734E-2</v>
      </c>
      <c r="E16" s="12">
        <v>15</v>
      </c>
      <c r="F16" s="12">
        <f>VLOOKUP(C16,'World Production data'!$A$2:$B$114,2,)</f>
        <v>-7.8</v>
      </c>
    </row>
    <row r="17" spans="3:13" ht="19" customHeight="1" x14ac:dyDescent="0.25">
      <c r="C17" s="71" t="s">
        <v>225</v>
      </c>
      <c r="D17" s="11">
        <f t="shared" si="0"/>
        <v>2.2269190350804689E-2</v>
      </c>
      <c r="E17" s="12">
        <v>17.649999999999999</v>
      </c>
      <c r="F17" s="12">
        <f>VLOOKUP(C17,'World Production data'!$A$2:$B$114,2,)</f>
        <v>2</v>
      </c>
    </row>
    <row r="18" spans="3:13" ht="19" customHeight="1" x14ac:dyDescent="0.25">
      <c r="C18" s="71" t="s">
        <v>87</v>
      </c>
      <c r="D18" s="11">
        <f t="shared" si="0"/>
        <v>1.9399936238797513E-2</v>
      </c>
      <c r="E18" s="12">
        <v>23.545999999999999</v>
      </c>
      <c r="F18" s="12">
        <f>VLOOKUP(C18,'World Production data'!$A$2:$B$114,2,)</f>
        <v>3.89</v>
      </c>
    </row>
    <row r="19" spans="3:13" ht="19" customHeight="1" x14ac:dyDescent="0.25">
      <c r="C19" s="71" t="s">
        <v>456</v>
      </c>
      <c r="D19" s="11">
        <f t="shared" si="0"/>
        <v>1.7522523054397752E-2</v>
      </c>
      <c r="E19" s="12">
        <v>24.2</v>
      </c>
      <c r="F19" s="12">
        <f>VLOOKUP(C19,'World Production data'!$A$2:$B$114,2,)</f>
        <v>7.1</v>
      </c>
    </row>
    <row r="20" spans="3:13" ht="19" customHeight="1" x14ac:dyDescent="0.25">
      <c r="C20" s="71" t="s">
        <v>243</v>
      </c>
      <c r="D20" s="11">
        <f t="shared" si="0"/>
        <v>1.9258244677710736E-2</v>
      </c>
      <c r="E20" s="12">
        <v>31.08</v>
      </c>
      <c r="F20" s="12">
        <f>VLOOKUP(C20,'World Production data'!$A$2:$B$114,2,)</f>
        <v>4.5</v>
      </c>
    </row>
    <row r="21" spans="3:13" ht="19" customHeight="1" x14ac:dyDescent="0.25">
      <c r="C21" s="71" t="s">
        <v>49</v>
      </c>
      <c r="D21" s="11">
        <f t="shared" si="0"/>
        <v>1.5715955650541381E-2</v>
      </c>
      <c r="E21" s="12">
        <v>24.141999999999999</v>
      </c>
      <c r="F21" s="12">
        <f>VLOOKUP(C21,'World Production data'!$A$2:$B$114,2,)</f>
        <v>0.8</v>
      </c>
    </row>
    <row r="22" spans="3:13" ht="19" customHeight="1" x14ac:dyDescent="0.25">
      <c r="C22" s="71" t="s">
        <v>147</v>
      </c>
      <c r="D22" s="11">
        <f t="shared" si="0"/>
        <v>1.5125574146013154E-2</v>
      </c>
      <c r="E22" s="12">
        <v>21.103999999999999</v>
      </c>
      <c r="F22" s="12">
        <f>VLOOKUP(C22,'World Production data'!$A$2:$B$114,2,)</f>
        <v>-0.9</v>
      </c>
    </row>
    <row r="23" spans="3:13" ht="19" customHeight="1" x14ac:dyDescent="0.25">
      <c r="C23" s="71" t="s">
        <v>277</v>
      </c>
      <c r="D23" s="11">
        <f t="shared" si="0"/>
        <v>1.2705009977447427E-2</v>
      </c>
      <c r="E23" s="12">
        <v>22.957000000000001</v>
      </c>
      <c r="F23" s="12">
        <f>VLOOKUP(C23,'World Production data'!$A$2:$B$114,2,)</f>
        <v>0.7</v>
      </c>
    </row>
    <row r="24" spans="3:13" ht="19" customHeight="1" x14ac:dyDescent="0.25">
      <c r="C24" s="71" t="s">
        <v>209</v>
      </c>
      <c r="D24" s="11">
        <f t="shared" si="0"/>
        <v>1.2492472635817264E-2</v>
      </c>
      <c r="E24" s="12">
        <v>33.716999999999999</v>
      </c>
      <c r="F24" s="12">
        <f>VLOOKUP(C24,'World Production data'!$A$2:$B$114,2,)</f>
        <v>2.35</v>
      </c>
    </row>
    <row r="25" spans="3:13" ht="19" customHeight="1" x14ac:dyDescent="0.25">
      <c r="C25" s="71" t="s">
        <v>419</v>
      </c>
      <c r="D25" s="11">
        <f t="shared" si="0"/>
        <v>8.5014936652064565E-3</v>
      </c>
      <c r="E25" s="12">
        <v>30.97</v>
      </c>
      <c r="F25" s="12">
        <f>VLOOKUP(C25,'World Production data'!$A$2:$B$114,2,)</f>
        <v>8.5</v>
      </c>
    </row>
    <row r="26" spans="3:13" ht="19" customHeight="1" x14ac:dyDescent="0.25">
      <c r="C26" s="71" t="s">
        <v>315</v>
      </c>
      <c r="D26" s="11">
        <f t="shared" si="0"/>
        <v>1.0768558642594845E-2</v>
      </c>
      <c r="E26" s="12">
        <v>20.670999999999999</v>
      </c>
      <c r="F26" s="12">
        <f>VLOOKUP(C26,'World Production data'!$A$2:$B$114,2,)</f>
        <v>10.5</v>
      </c>
    </row>
    <row r="28" spans="3:13" x14ac:dyDescent="0.2">
      <c r="D28" s="88">
        <f>SUM(D32:D212)</f>
        <v>97624</v>
      </c>
      <c r="E28" s="80"/>
      <c r="F28" s="80"/>
    </row>
    <row r="29" spans="3:13" x14ac:dyDescent="0.2">
      <c r="C29" s="67" t="s">
        <v>493</v>
      </c>
      <c r="D29" s="85">
        <f>D28-VLOOKUP("Euro Area",C32:D212,2,)</f>
        <v>84691</v>
      </c>
    </row>
    <row r="30" spans="3:13" x14ac:dyDescent="0.2">
      <c r="C30" s="112"/>
      <c r="D30" s="113" t="s">
        <v>494</v>
      </c>
      <c r="E30" s="111"/>
      <c r="F30" s="111"/>
      <c r="G30" s="96"/>
      <c r="H30" s="96"/>
      <c r="I30" s="96"/>
      <c r="J30" s="96"/>
      <c r="K30" s="96"/>
      <c r="L30" s="96"/>
      <c r="M30" s="96"/>
    </row>
    <row r="31" spans="3:13" x14ac:dyDescent="0.2">
      <c r="C31" s="96"/>
      <c r="D31" s="111"/>
      <c r="E31" s="111"/>
      <c r="F31" s="111"/>
      <c r="G31" s="96"/>
      <c r="H31" s="96"/>
      <c r="I31" s="96"/>
      <c r="J31" s="96"/>
      <c r="K31" s="96"/>
      <c r="L31" s="96"/>
      <c r="M31" s="96"/>
    </row>
    <row r="32" spans="3:13" x14ac:dyDescent="0.2">
      <c r="C32" t="s">
        <v>432</v>
      </c>
      <c r="D32">
        <v>20937</v>
      </c>
    </row>
    <row r="33" spans="3:4" x14ac:dyDescent="0.2">
      <c r="C33" t="s">
        <v>95</v>
      </c>
      <c r="D33">
        <v>14723</v>
      </c>
    </row>
    <row r="34" spans="3:4" x14ac:dyDescent="0.2">
      <c r="C34" t="s">
        <v>492</v>
      </c>
      <c r="D34">
        <v>12933</v>
      </c>
    </row>
    <row r="35" spans="3:4" x14ac:dyDescent="0.2">
      <c r="C35" t="s">
        <v>231</v>
      </c>
      <c r="D35">
        <v>5065</v>
      </c>
    </row>
    <row r="36" spans="3:4" x14ac:dyDescent="0.2">
      <c r="C36" t="s">
        <v>127</v>
      </c>
      <c r="D36">
        <v>3806</v>
      </c>
    </row>
    <row r="37" spans="3:4" x14ac:dyDescent="0.2">
      <c r="C37" t="s">
        <v>177</v>
      </c>
      <c r="D37">
        <v>2708</v>
      </c>
    </row>
    <row r="38" spans="3:4" x14ac:dyDescent="0.2">
      <c r="C38" t="s">
        <v>211</v>
      </c>
      <c r="D38">
        <v>2623</v>
      </c>
    </row>
    <row r="39" spans="3:4" x14ac:dyDescent="0.2">
      <c r="C39" t="s">
        <v>159</v>
      </c>
      <c r="D39">
        <v>2603</v>
      </c>
    </row>
    <row r="40" spans="3:4" x14ac:dyDescent="0.2">
      <c r="C40" t="s">
        <v>225</v>
      </c>
      <c r="D40">
        <v>1886</v>
      </c>
    </row>
    <row r="41" spans="3:4" x14ac:dyDescent="0.2">
      <c r="C41" t="s">
        <v>87</v>
      </c>
      <c r="D41">
        <v>1643</v>
      </c>
    </row>
    <row r="42" spans="3:4" x14ac:dyDescent="0.2">
      <c r="C42" t="s">
        <v>243</v>
      </c>
      <c r="D42">
        <v>1631</v>
      </c>
    </row>
    <row r="43" spans="3:4" x14ac:dyDescent="0.2">
      <c r="C43" t="s">
        <v>456</v>
      </c>
      <c r="D43">
        <v>1484</v>
      </c>
    </row>
    <row r="44" spans="3:4" x14ac:dyDescent="0.2">
      <c r="C44" t="s">
        <v>75</v>
      </c>
      <c r="D44">
        <v>1445</v>
      </c>
    </row>
    <row r="45" spans="3:4" x14ac:dyDescent="0.2">
      <c r="C45" t="s">
        <v>49</v>
      </c>
      <c r="D45">
        <v>1331</v>
      </c>
    </row>
    <row r="46" spans="3:4" x14ac:dyDescent="0.2">
      <c r="C46" t="s">
        <v>147</v>
      </c>
      <c r="D46">
        <v>1281</v>
      </c>
    </row>
    <row r="47" spans="3:4" x14ac:dyDescent="0.2">
      <c r="C47" t="s">
        <v>277</v>
      </c>
      <c r="D47">
        <v>1076</v>
      </c>
    </row>
    <row r="48" spans="3:4" x14ac:dyDescent="0.2">
      <c r="C48" t="s">
        <v>209</v>
      </c>
      <c r="D48">
        <v>1058</v>
      </c>
    </row>
    <row r="49" spans="3:4" x14ac:dyDescent="0.2">
      <c r="C49" t="s">
        <v>315</v>
      </c>
      <c r="D49">
        <v>912</v>
      </c>
    </row>
    <row r="50" spans="3:4" x14ac:dyDescent="0.2">
      <c r="C50" t="s">
        <v>91</v>
      </c>
      <c r="D50">
        <v>748</v>
      </c>
    </row>
    <row r="51" spans="3:4" x14ac:dyDescent="0.2">
      <c r="C51" t="s">
        <v>419</v>
      </c>
      <c r="D51">
        <v>720</v>
      </c>
    </row>
    <row r="52" spans="3:4" x14ac:dyDescent="0.2">
      <c r="C52" t="s">
        <v>363</v>
      </c>
      <c r="D52">
        <v>700</v>
      </c>
    </row>
    <row r="53" spans="3:4" x14ac:dyDescent="0.2">
      <c r="C53" t="s">
        <v>495</v>
      </c>
      <c r="D53">
        <v>611</v>
      </c>
    </row>
    <row r="54" spans="3:4" x14ac:dyDescent="0.2">
      <c r="C54" t="s">
        <v>347</v>
      </c>
      <c r="D54">
        <v>594</v>
      </c>
    </row>
    <row r="55" spans="3:4" x14ac:dyDescent="0.2">
      <c r="C55" t="s">
        <v>391</v>
      </c>
      <c r="D55">
        <v>538</v>
      </c>
    </row>
    <row r="56" spans="3:4" x14ac:dyDescent="0.2">
      <c r="C56" t="s">
        <v>55</v>
      </c>
      <c r="D56">
        <v>515</v>
      </c>
    </row>
    <row r="57" spans="3:4" x14ac:dyDescent="0.2">
      <c r="C57" t="s">
        <v>405</v>
      </c>
      <c r="D57">
        <v>502</v>
      </c>
    </row>
    <row r="58" spans="3:4" x14ac:dyDescent="0.2">
      <c r="C58" t="s">
        <v>470</v>
      </c>
      <c r="D58">
        <v>482</v>
      </c>
    </row>
    <row r="59" spans="3:4" x14ac:dyDescent="0.2">
      <c r="C59" t="s">
        <v>309</v>
      </c>
      <c r="D59">
        <v>432</v>
      </c>
    </row>
    <row r="60" spans="3:4" x14ac:dyDescent="0.2">
      <c r="C60" t="s">
        <v>51</v>
      </c>
      <c r="D60">
        <v>429</v>
      </c>
    </row>
    <row r="61" spans="3:4" x14ac:dyDescent="0.2">
      <c r="C61" t="s">
        <v>36</v>
      </c>
      <c r="D61">
        <v>421</v>
      </c>
    </row>
    <row r="62" spans="3:4" x14ac:dyDescent="0.2">
      <c r="C62" t="s">
        <v>215</v>
      </c>
      <c r="D62">
        <v>419</v>
      </c>
    </row>
    <row r="63" spans="3:4" x14ac:dyDescent="0.2">
      <c r="C63" t="s">
        <v>223</v>
      </c>
      <c r="D63">
        <v>402</v>
      </c>
    </row>
    <row r="64" spans="3:4" x14ac:dyDescent="0.2">
      <c r="C64" t="s">
        <v>38</v>
      </c>
      <c r="D64">
        <v>383</v>
      </c>
    </row>
    <row r="65" spans="3:4" x14ac:dyDescent="0.2">
      <c r="C65" t="s">
        <v>141</v>
      </c>
      <c r="D65">
        <v>363</v>
      </c>
    </row>
    <row r="66" spans="3:4" x14ac:dyDescent="0.2">
      <c r="C66" t="s">
        <v>319</v>
      </c>
      <c r="D66">
        <v>362</v>
      </c>
    </row>
    <row r="67" spans="3:4" x14ac:dyDescent="0.2">
      <c r="C67" t="s">
        <v>341</v>
      </c>
      <c r="D67">
        <v>361</v>
      </c>
    </row>
    <row r="68" spans="3:4" x14ac:dyDescent="0.2">
      <c r="C68" t="s">
        <v>133</v>
      </c>
      <c r="D68">
        <v>352</v>
      </c>
    </row>
    <row r="69" spans="3:4" x14ac:dyDescent="0.2">
      <c r="C69" t="s">
        <v>201</v>
      </c>
      <c r="D69">
        <v>347</v>
      </c>
    </row>
    <row r="70" spans="3:4" x14ac:dyDescent="0.2">
      <c r="C70" t="s">
        <v>371</v>
      </c>
      <c r="D70">
        <v>340</v>
      </c>
    </row>
    <row r="71" spans="3:4" x14ac:dyDescent="0.2">
      <c r="C71" t="s">
        <v>301</v>
      </c>
      <c r="D71">
        <v>337</v>
      </c>
    </row>
    <row r="72" spans="3:4" x14ac:dyDescent="0.2">
      <c r="C72" t="s">
        <v>61</v>
      </c>
      <c r="D72">
        <v>324</v>
      </c>
    </row>
    <row r="73" spans="3:4" x14ac:dyDescent="0.2">
      <c r="C73" t="s">
        <v>484</v>
      </c>
      <c r="D73">
        <v>302</v>
      </c>
    </row>
    <row r="74" spans="3:4" x14ac:dyDescent="0.2">
      <c r="C74" t="s">
        <v>476</v>
      </c>
      <c r="D74">
        <v>271</v>
      </c>
    </row>
    <row r="75" spans="3:4" x14ac:dyDescent="0.2">
      <c r="C75" t="s">
        <v>107</v>
      </c>
      <c r="D75">
        <v>271</v>
      </c>
    </row>
    <row r="76" spans="3:4" x14ac:dyDescent="0.2">
      <c r="C76" t="s">
        <v>153</v>
      </c>
      <c r="D76">
        <v>271</v>
      </c>
    </row>
    <row r="77" spans="3:4" x14ac:dyDescent="0.2">
      <c r="C77" t="s">
        <v>333</v>
      </c>
      <c r="D77">
        <v>264</v>
      </c>
    </row>
    <row r="78" spans="3:4" x14ac:dyDescent="0.2">
      <c r="C78" t="s">
        <v>93</v>
      </c>
      <c r="D78">
        <v>253</v>
      </c>
    </row>
    <row r="79" spans="3:4" x14ac:dyDescent="0.2">
      <c r="C79" t="s">
        <v>359</v>
      </c>
      <c r="D79">
        <v>249</v>
      </c>
    </row>
    <row r="80" spans="3:4" x14ac:dyDescent="0.2">
      <c r="C80" t="s">
        <v>117</v>
      </c>
      <c r="D80">
        <v>244</v>
      </c>
    </row>
    <row r="81" spans="3:6" x14ac:dyDescent="0.2">
      <c r="C81" t="s">
        <v>351</v>
      </c>
      <c r="D81">
        <v>231</v>
      </c>
    </row>
    <row r="82" spans="3:6" x14ac:dyDescent="0.2">
      <c r="C82" t="s">
        <v>325</v>
      </c>
      <c r="D82">
        <v>212</v>
      </c>
    </row>
    <row r="83" spans="3:6" x14ac:dyDescent="0.2">
      <c r="C83" t="s">
        <v>339</v>
      </c>
      <c r="D83">
        <v>202</v>
      </c>
    </row>
    <row r="84" spans="3:6" x14ac:dyDescent="0.2">
      <c r="C84" t="s">
        <v>217</v>
      </c>
      <c r="D84">
        <v>192</v>
      </c>
    </row>
    <row r="85" spans="3:6" x14ac:dyDescent="0.2">
      <c r="C85" t="s">
        <v>191</v>
      </c>
      <c r="D85">
        <v>189</v>
      </c>
    </row>
    <row r="86" spans="3:6" x14ac:dyDescent="0.2">
      <c r="C86" t="s">
        <v>446</v>
      </c>
      <c r="D86">
        <v>170</v>
      </c>
    </row>
    <row r="87" spans="3:6" x14ac:dyDescent="0.2">
      <c r="C87" t="s">
        <v>219</v>
      </c>
      <c r="D87">
        <v>167</v>
      </c>
    </row>
    <row r="88" spans="3:6" x14ac:dyDescent="0.2">
      <c r="C88" t="s">
        <v>462</v>
      </c>
      <c r="D88">
        <v>156</v>
      </c>
    </row>
    <row r="89" spans="3:6" x14ac:dyDescent="0.2">
      <c r="C89" t="s">
        <v>207</v>
      </c>
      <c r="D89">
        <v>155</v>
      </c>
    </row>
    <row r="90" spans="3:6" x14ac:dyDescent="0.2">
      <c r="C90" t="s">
        <v>357</v>
      </c>
      <c r="D90">
        <v>146</v>
      </c>
    </row>
    <row r="91" spans="3:6" x14ac:dyDescent="0.2">
      <c r="C91" t="s">
        <v>137</v>
      </c>
      <c r="D91">
        <v>145</v>
      </c>
    </row>
    <row r="92" spans="3:6" x14ac:dyDescent="0.2">
      <c r="C92" t="s">
        <v>247</v>
      </c>
      <c r="D92">
        <v>136</v>
      </c>
      <c r="F92" s="81"/>
    </row>
    <row r="93" spans="3:6" x14ac:dyDescent="0.2">
      <c r="C93" t="s">
        <v>269</v>
      </c>
      <c r="D93">
        <v>113</v>
      </c>
    </row>
    <row r="94" spans="3:6" x14ac:dyDescent="0.2">
      <c r="C94" t="s">
        <v>149</v>
      </c>
      <c r="D94">
        <v>108</v>
      </c>
      <c r="F94" s="82"/>
    </row>
    <row r="95" spans="3:6" x14ac:dyDescent="0.2">
      <c r="C95" t="s">
        <v>496</v>
      </c>
      <c r="D95">
        <v>105</v>
      </c>
    </row>
    <row r="96" spans="3:6" x14ac:dyDescent="0.2">
      <c r="C96" t="s">
        <v>121</v>
      </c>
      <c r="D96">
        <v>103</v>
      </c>
      <c r="F96" s="82"/>
    </row>
    <row r="97" spans="3:12" x14ac:dyDescent="0.2">
      <c r="C97" t="s">
        <v>349</v>
      </c>
      <c r="D97">
        <v>103</v>
      </c>
      <c r="F97" s="82"/>
      <c r="G97" s="82"/>
      <c r="J97" s="82"/>
      <c r="K97" s="82"/>
      <c r="L97" s="82"/>
    </row>
    <row r="98" spans="3:12" x14ac:dyDescent="0.2">
      <c r="C98" t="s">
        <v>233</v>
      </c>
      <c r="D98">
        <v>99</v>
      </c>
    </row>
    <row r="99" spans="3:12" x14ac:dyDescent="0.2">
      <c r="C99" t="s">
        <v>139</v>
      </c>
      <c r="D99">
        <v>99</v>
      </c>
    </row>
    <row r="100" spans="3:12" x14ac:dyDescent="0.2">
      <c r="C100" t="s">
        <v>261</v>
      </c>
      <c r="D100">
        <v>81</v>
      </c>
    </row>
    <row r="101" spans="3:12" x14ac:dyDescent="0.2">
      <c r="C101" t="s">
        <v>135</v>
      </c>
      <c r="D101">
        <v>79</v>
      </c>
      <c r="F101" s="81"/>
    </row>
    <row r="102" spans="3:12" x14ac:dyDescent="0.2">
      <c r="C102" t="s">
        <v>195</v>
      </c>
      <c r="D102">
        <v>78</v>
      </c>
    </row>
    <row r="103" spans="3:12" x14ac:dyDescent="0.2">
      <c r="C103" t="s">
        <v>285</v>
      </c>
      <c r="D103">
        <v>76</v>
      </c>
      <c r="F103" s="82"/>
    </row>
    <row r="104" spans="3:12" x14ac:dyDescent="0.2">
      <c r="C104" t="s">
        <v>329</v>
      </c>
      <c r="D104">
        <v>76</v>
      </c>
      <c r="F104" s="82"/>
    </row>
    <row r="105" spans="3:12" x14ac:dyDescent="0.2">
      <c r="C105" t="s">
        <v>265</v>
      </c>
      <c r="D105">
        <v>73</v>
      </c>
    </row>
    <row r="106" spans="3:12" x14ac:dyDescent="0.2">
      <c r="C106" t="s">
        <v>179</v>
      </c>
      <c r="D106">
        <v>72</v>
      </c>
    </row>
    <row r="107" spans="3:12" x14ac:dyDescent="0.2">
      <c r="C107" t="s">
        <v>63</v>
      </c>
      <c r="D107">
        <v>69</v>
      </c>
    </row>
    <row r="108" spans="3:12" x14ac:dyDescent="0.2">
      <c r="C108" t="s">
        <v>397</v>
      </c>
      <c r="D108">
        <v>65</v>
      </c>
      <c r="F108" s="82"/>
      <c r="G108" s="82"/>
    </row>
    <row r="109" spans="3:12" x14ac:dyDescent="0.2">
      <c r="C109" t="s">
        <v>497</v>
      </c>
      <c r="D109">
        <v>62</v>
      </c>
    </row>
    <row r="110" spans="3:12" x14ac:dyDescent="0.2">
      <c r="C110" t="s">
        <v>21</v>
      </c>
      <c r="D110">
        <v>62</v>
      </c>
    </row>
    <row r="111" spans="3:12" x14ac:dyDescent="0.2">
      <c r="C111" t="s">
        <v>113</v>
      </c>
      <c r="D111">
        <v>62</v>
      </c>
      <c r="F111" s="81"/>
    </row>
    <row r="112" spans="3:12" x14ac:dyDescent="0.2">
      <c r="C112" t="s">
        <v>498</v>
      </c>
      <c r="D112">
        <v>61</v>
      </c>
      <c r="F112" s="82"/>
    </row>
    <row r="113" spans="3:7" x14ac:dyDescent="0.2">
      <c r="C113" t="s">
        <v>440</v>
      </c>
      <c r="D113">
        <v>60</v>
      </c>
      <c r="F113" s="82"/>
    </row>
    <row r="114" spans="3:7" x14ac:dyDescent="0.2">
      <c r="C114" t="s">
        <v>464</v>
      </c>
      <c r="D114">
        <v>58</v>
      </c>
    </row>
    <row r="115" spans="3:7" x14ac:dyDescent="0.2">
      <c r="C115" t="s">
        <v>167</v>
      </c>
      <c r="D115">
        <v>56</v>
      </c>
    </row>
    <row r="116" spans="3:7" x14ac:dyDescent="0.2">
      <c r="C116" t="s">
        <v>450</v>
      </c>
      <c r="D116">
        <v>56</v>
      </c>
    </row>
    <row r="117" spans="3:7" x14ac:dyDescent="0.2">
      <c r="C117" t="s">
        <v>267</v>
      </c>
      <c r="D117">
        <v>55</v>
      </c>
    </row>
    <row r="118" spans="3:7" x14ac:dyDescent="0.2">
      <c r="C118" t="s">
        <v>430</v>
      </c>
      <c r="D118">
        <v>54</v>
      </c>
    </row>
    <row r="119" spans="3:7" x14ac:dyDescent="0.2">
      <c r="C119" t="s">
        <v>171</v>
      </c>
      <c r="D119">
        <v>53</v>
      </c>
    </row>
    <row r="120" spans="3:7" x14ac:dyDescent="0.2">
      <c r="C120" t="s">
        <v>335</v>
      </c>
      <c r="D120">
        <v>53</v>
      </c>
      <c r="F120" s="82"/>
    </row>
    <row r="121" spans="3:7" x14ac:dyDescent="0.2">
      <c r="C121" t="s">
        <v>499</v>
      </c>
      <c r="D121">
        <v>53</v>
      </c>
    </row>
    <row r="122" spans="3:7" x14ac:dyDescent="0.2">
      <c r="C122" t="s">
        <v>103</v>
      </c>
      <c r="D122">
        <v>50</v>
      </c>
    </row>
    <row r="123" spans="3:7" x14ac:dyDescent="0.2">
      <c r="C123" t="s">
        <v>500</v>
      </c>
      <c r="D123">
        <v>45</v>
      </c>
      <c r="F123" s="82"/>
      <c r="G123" s="82"/>
    </row>
    <row r="124" spans="3:7" x14ac:dyDescent="0.2">
      <c r="C124" t="s">
        <v>229</v>
      </c>
      <c r="D124">
        <v>44</v>
      </c>
      <c r="F124" s="82"/>
    </row>
    <row r="125" spans="3:7" x14ac:dyDescent="0.2">
      <c r="C125" t="s">
        <v>501</v>
      </c>
      <c r="D125">
        <v>43</v>
      </c>
    </row>
    <row r="126" spans="3:7" x14ac:dyDescent="0.2">
      <c r="C126" t="s">
        <v>99</v>
      </c>
      <c r="D126">
        <v>40</v>
      </c>
      <c r="F126" s="81"/>
    </row>
    <row r="127" spans="3:7" x14ac:dyDescent="0.2">
      <c r="C127" t="s">
        <v>417</v>
      </c>
      <c r="D127">
        <v>39</v>
      </c>
    </row>
    <row r="128" spans="3:7" x14ac:dyDescent="0.2">
      <c r="C128" t="s">
        <v>65</v>
      </c>
      <c r="D128">
        <v>38</v>
      </c>
    </row>
    <row r="129" spans="3:6" x14ac:dyDescent="0.2">
      <c r="C129" t="s">
        <v>73</v>
      </c>
      <c r="D129">
        <v>37</v>
      </c>
    </row>
    <row r="130" spans="3:6" x14ac:dyDescent="0.2">
      <c r="C130" t="s">
        <v>502</v>
      </c>
      <c r="D130">
        <v>37</v>
      </c>
    </row>
    <row r="131" spans="3:6" x14ac:dyDescent="0.2">
      <c r="C131" t="s">
        <v>353</v>
      </c>
      <c r="D131">
        <v>35</v>
      </c>
    </row>
    <row r="132" spans="3:6" x14ac:dyDescent="0.2">
      <c r="C132" t="s">
        <v>321</v>
      </c>
      <c r="D132">
        <v>34</v>
      </c>
      <c r="F132" s="82"/>
    </row>
    <row r="133" spans="3:6" x14ac:dyDescent="0.2">
      <c r="C133" t="s">
        <v>452</v>
      </c>
      <c r="D133">
        <v>34</v>
      </c>
    </row>
    <row r="134" spans="3:6" x14ac:dyDescent="0.2">
      <c r="C134" t="s">
        <v>251</v>
      </c>
      <c r="D134">
        <v>33</v>
      </c>
      <c r="F134" s="82"/>
    </row>
    <row r="135" spans="3:6" x14ac:dyDescent="0.2">
      <c r="C135" t="s">
        <v>442</v>
      </c>
      <c r="D135">
        <v>31</v>
      </c>
    </row>
    <row r="136" spans="3:6" x14ac:dyDescent="0.2">
      <c r="C136" t="s">
        <v>367</v>
      </c>
      <c r="D136">
        <v>26</v>
      </c>
    </row>
    <row r="137" spans="3:6" x14ac:dyDescent="0.2">
      <c r="C137" t="s">
        <v>381</v>
      </c>
      <c r="D137">
        <v>25</v>
      </c>
    </row>
    <row r="138" spans="3:6" x14ac:dyDescent="0.2">
      <c r="C138" t="s">
        <v>235</v>
      </c>
      <c r="D138">
        <v>25</v>
      </c>
    </row>
    <row r="139" spans="3:6" x14ac:dyDescent="0.2">
      <c r="C139" t="s">
        <v>255</v>
      </c>
      <c r="D139">
        <v>25</v>
      </c>
      <c r="F139" s="82"/>
    </row>
    <row r="140" spans="3:6" x14ac:dyDescent="0.2">
      <c r="C140" t="s">
        <v>369</v>
      </c>
      <c r="D140">
        <v>25</v>
      </c>
    </row>
    <row r="141" spans="3:6" x14ac:dyDescent="0.2">
      <c r="C141" t="s">
        <v>345</v>
      </c>
      <c r="D141">
        <v>24</v>
      </c>
      <c r="F141" s="82"/>
    </row>
    <row r="142" spans="3:6" x14ac:dyDescent="0.2">
      <c r="C142" t="s">
        <v>203</v>
      </c>
      <c r="D142">
        <v>24</v>
      </c>
    </row>
    <row r="143" spans="3:6" x14ac:dyDescent="0.2">
      <c r="C143" t="s">
        <v>125</v>
      </c>
      <c r="D143">
        <v>24</v>
      </c>
    </row>
    <row r="144" spans="3:6" x14ac:dyDescent="0.2">
      <c r="C144" t="s">
        <v>482</v>
      </c>
      <c r="D144">
        <v>23</v>
      </c>
      <c r="F144" s="82"/>
    </row>
    <row r="145" spans="3:11" x14ac:dyDescent="0.2">
      <c r="C145" t="s">
        <v>415</v>
      </c>
      <c r="D145">
        <v>22</v>
      </c>
      <c r="F145" s="81"/>
    </row>
    <row r="146" spans="3:11" x14ac:dyDescent="0.2">
      <c r="C146" t="s">
        <v>221</v>
      </c>
      <c r="D146">
        <v>22</v>
      </c>
    </row>
    <row r="147" spans="3:11" x14ac:dyDescent="0.2">
      <c r="C147" t="s">
        <v>503</v>
      </c>
      <c r="D147">
        <v>20</v>
      </c>
      <c r="F147" s="81"/>
    </row>
    <row r="148" spans="3:11" x14ac:dyDescent="0.2">
      <c r="C148" t="s">
        <v>13</v>
      </c>
      <c r="D148">
        <v>20</v>
      </c>
      <c r="F148" s="82"/>
    </row>
    <row r="149" spans="3:11" x14ac:dyDescent="0.2">
      <c r="C149" t="s">
        <v>249</v>
      </c>
      <c r="D149">
        <v>19</v>
      </c>
      <c r="F149" s="82"/>
    </row>
    <row r="150" spans="3:11" x14ac:dyDescent="0.2">
      <c r="C150" t="s">
        <v>486</v>
      </c>
      <c r="D150">
        <v>19</v>
      </c>
      <c r="F150" s="82"/>
    </row>
    <row r="151" spans="3:11" x14ac:dyDescent="0.2">
      <c r="C151" t="s">
        <v>488</v>
      </c>
      <c r="D151">
        <v>17</v>
      </c>
      <c r="F151" s="82"/>
    </row>
    <row r="152" spans="3:11" x14ac:dyDescent="0.2">
      <c r="C152" t="s">
        <v>281</v>
      </c>
      <c r="D152">
        <v>17</v>
      </c>
      <c r="F152" s="82"/>
      <c r="K152" s="82"/>
    </row>
    <row r="153" spans="3:11" x14ac:dyDescent="0.2">
      <c r="C153" t="s">
        <v>59</v>
      </c>
      <c r="D153">
        <v>17</v>
      </c>
      <c r="F153" s="82"/>
    </row>
    <row r="154" spans="3:11" x14ac:dyDescent="0.2">
      <c r="C154" t="s">
        <v>83</v>
      </c>
      <c r="D154">
        <v>16</v>
      </c>
    </row>
    <row r="155" spans="3:11" x14ac:dyDescent="0.2">
      <c r="C155" t="s">
        <v>57</v>
      </c>
      <c r="D155">
        <v>16</v>
      </c>
      <c r="F155" s="82"/>
    </row>
    <row r="156" spans="3:11" x14ac:dyDescent="0.2">
      <c r="C156" t="s">
        <v>183</v>
      </c>
      <c r="D156">
        <v>16</v>
      </c>
      <c r="F156" s="82"/>
    </row>
    <row r="157" spans="3:11" x14ac:dyDescent="0.2">
      <c r="C157" t="s">
        <v>444</v>
      </c>
      <c r="D157">
        <v>16</v>
      </c>
      <c r="F157" s="82"/>
    </row>
    <row r="158" spans="3:11" x14ac:dyDescent="0.2">
      <c r="C158" t="s">
        <v>175</v>
      </c>
      <c r="D158">
        <v>16</v>
      </c>
    </row>
    <row r="159" spans="3:11" x14ac:dyDescent="0.2">
      <c r="C159" t="s">
        <v>504</v>
      </c>
      <c r="D159">
        <v>16</v>
      </c>
      <c r="F159" s="82"/>
      <c r="G159" s="82"/>
    </row>
    <row r="160" spans="3:11" x14ac:dyDescent="0.2">
      <c r="C160" t="s">
        <v>283</v>
      </c>
      <c r="D160">
        <v>15</v>
      </c>
    </row>
    <row r="161" spans="3:7" x14ac:dyDescent="0.2">
      <c r="C161" t="s">
        <v>27</v>
      </c>
      <c r="D161">
        <v>15</v>
      </c>
    </row>
    <row r="162" spans="3:7" x14ac:dyDescent="0.2">
      <c r="C162" t="s">
        <v>273</v>
      </c>
      <c r="D162">
        <v>14</v>
      </c>
      <c r="F162" s="82"/>
    </row>
    <row r="163" spans="3:7" x14ac:dyDescent="0.2">
      <c r="C163" t="s">
        <v>227</v>
      </c>
      <c r="D163">
        <v>14</v>
      </c>
    </row>
    <row r="164" spans="3:7" x14ac:dyDescent="0.2">
      <c r="C164" t="s">
        <v>291</v>
      </c>
      <c r="D164">
        <v>14</v>
      </c>
    </row>
    <row r="165" spans="3:7" x14ac:dyDescent="0.2">
      <c r="C165" t="s">
        <v>305</v>
      </c>
      <c r="D165">
        <v>14</v>
      </c>
    </row>
    <row r="166" spans="3:7" x14ac:dyDescent="0.2">
      <c r="C166" t="s">
        <v>287</v>
      </c>
      <c r="D166">
        <v>13</v>
      </c>
    </row>
    <row r="167" spans="3:7" x14ac:dyDescent="0.2">
      <c r="C167" t="s">
        <v>311</v>
      </c>
      <c r="D167">
        <v>13</v>
      </c>
      <c r="F167" s="82"/>
      <c r="G167" s="81"/>
    </row>
    <row r="168" spans="3:7" x14ac:dyDescent="0.2">
      <c r="C168" t="s">
        <v>436</v>
      </c>
      <c r="D168">
        <v>13</v>
      </c>
    </row>
    <row r="169" spans="3:7" x14ac:dyDescent="0.2">
      <c r="C169" t="s">
        <v>205</v>
      </c>
      <c r="D169">
        <v>13</v>
      </c>
      <c r="F169" s="82"/>
    </row>
    <row r="170" spans="3:7" x14ac:dyDescent="0.2">
      <c r="C170" t="s">
        <v>505</v>
      </c>
      <c r="D170">
        <v>12</v>
      </c>
      <c r="F170" s="82"/>
    </row>
    <row r="171" spans="3:7" x14ac:dyDescent="0.2">
      <c r="C171" t="s">
        <v>299</v>
      </c>
      <c r="D171">
        <v>12</v>
      </c>
    </row>
    <row r="172" spans="3:7" x14ac:dyDescent="0.2">
      <c r="C172" t="s">
        <v>454</v>
      </c>
      <c r="D172">
        <v>12</v>
      </c>
    </row>
    <row r="173" spans="3:7" x14ac:dyDescent="0.2">
      <c r="C173" t="s">
        <v>169</v>
      </c>
      <c r="D173">
        <v>12</v>
      </c>
    </row>
    <row r="174" spans="3:7" x14ac:dyDescent="0.2">
      <c r="C174" t="s">
        <v>297</v>
      </c>
      <c r="D174">
        <v>11</v>
      </c>
    </row>
    <row r="175" spans="3:7" x14ac:dyDescent="0.2">
      <c r="C175" t="s">
        <v>303</v>
      </c>
      <c r="D175">
        <v>11</v>
      </c>
    </row>
    <row r="176" spans="3:7" x14ac:dyDescent="0.2">
      <c r="C176" t="s">
        <v>506</v>
      </c>
      <c r="D176">
        <v>11</v>
      </c>
      <c r="F176" s="82"/>
    </row>
    <row r="177" spans="3:12" x14ac:dyDescent="0.2">
      <c r="C177" t="s">
        <v>67</v>
      </c>
      <c r="D177">
        <v>11</v>
      </c>
      <c r="F177" s="82"/>
    </row>
    <row r="178" spans="3:12" x14ac:dyDescent="0.2">
      <c r="C178" t="s">
        <v>401</v>
      </c>
      <c r="D178">
        <v>10</v>
      </c>
      <c r="F178" s="82"/>
    </row>
    <row r="179" spans="3:12" x14ac:dyDescent="0.2">
      <c r="C179" t="s">
        <v>189</v>
      </c>
      <c r="D179">
        <v>10</v>
      </c>
      <c r="F179" s="82"/>
    </row>
    <row r="180" spans="3:12" x14ac:dyDescent="0.2">
      <c r="C180" t="s">
        <v>361</v>
      </c>
      <c r="D180">
        <v>10</v>
      </c>
    </row>
    <row r="181" spans="3:12" x14ac:dyDescent="0.2">
      <c r="C181" t="s">
        <v>507</v>
      </c>
      <c r="D181">
        <v>10</v>
      </c>
      <c r="E181" s="81"/>
      <c r="F181" s="82"/>
      <c r="J181" s="82"/>
      <c r="K181" s="82"/>
      <c r="L181" s="82"/>
    </row>
    <row r="182" spans="3:12" x14ac:dyDescent="0.2">
      <c r="C182" t="s">
        <v>293</v>
      </c>
      <c r="D182">
        <v>8</v>
      </c>
      <c r="F182" s="82"/>
    </row>
    <row r="183" spans="3:12" x14ac:dyDescent="0.2">
      <c r="C183" t="s">
        <v>508</v>
      </c>
      <c r="D183">
        <v>8</v>
      </c>
      <c r="F183" s="82"/>
    </row>
    <row r="184" spans="3:12" x14ac:dyDescent="0.2">
      <c r="C184" t="s">
        <v>509</v>
      </c>
      <c r="D184">
        <v>8</v>
      </c>
      <c r="F184" s="82"/>
      <c r="G184" s="82"/>
      <c r="K184" s="81"/>
    </row>
    <row r="185" spans="3:12" x14ac:dyDescent="0.2">
      <c r="C185" t="s">
        <v>403</v>
      </c>
      <c r="D185">
        <v>8</v>
      </c>
      <c r="F185" s="82"/>
    </row>
    <row r="186" spans="3:12" x14ac:dyDescent="0.2">
      <c r="C186" t="s">
        <v>510</v>
      </c>
      <c r="D186">
        <v>8</v>
      </c>
      <c r="F186" s="82"/>
    </row>
    <row r="187" spans="3:12" x14ac:dyDescent="0.2">
      <c r="C187" t="s">
        <v>271</v>
      </c>
      <c r="D187">
        <v>7</v>
      </c>
      <c r="F187" s="82"/>
      <c r="G187" s="82"/>
      <c r="H187" s="82"/>
      <c r="I187" s="82"/>
      <c r="J187" s="82"/>
      <c r="K187" s="82"/>
      <c r="L187" s="82"/>
    </row>
    <row r="188" spans="3:12" x14ac:dyDescent="0.2">
      <c r="C188" t="s">
        <v>259</v>
      </c>
      <c r="D188">
        <v>7</v>
      </c>
      <c r="F188" s="82"/>
      <c r="G188" s="82"/>
      <c r="I188" s="81"/>
      <c r="J188" s="82"/>
      <c r="K188" s="82"/>
      <c r="L188" s="82"/>
    </row>
    <row r="189" spans="3:12" x14ac:dyDescent="0.2">
      <c r="C189" t="s">
        <v>143</v>
      </c>
      <c r="D189">
        <v>7</v>
      </c>
      <c r="F189" s="82"/>
      <c r="G189" s="82"/>
    </row>
    <row r="190" spans="3:12" x14ac:dyDescent="0.2">
      <c r="C190" t="s">
        <v>123</v>
      </c>
      <c r="D190">
        <v>6</v>
      </c>
      <c r="F190" s="82"/>
      <c r="G190" s="82"/>
    </row>
    <row r="191" spans="3:12" x14ac:dyDescent="0.2">
      <c r="C191" t="s">
        <v>199</v>
      </c>
      <c r="D191">
        <v>5</v>
      </c>
      <c r="F191" s="82"/>
      <c r="J191" s="81"/>
      <c r="K191" s="81"/>
    </row>
    <row r="192" spans="3:12" x14ac:dyDescent="0.2">
      <c r="C192" t="s">
        <v>511</v>
      </c>
      <c r="D192">
        <v>5</v>
      </c>
      <c r="F192" s="82"/>
      <c r="G192" s="82"/>
    </row>
    <row r="193" spans="3:12" x14ac:dyDescent="0.2">
      <c r="C193" t="s">
        <v>385</v>
      </c>
      <c r="D193">
        <v>5</v>
      </c>
      <c r="F193" s="82"/>
      <c r="G193" s="82"/>
      <c r="I193" s="82"/>
      <c r="J193" s="82"/>
      <c r="K193" s="82"/>
      <c r="L193" s="82"/>
    </row>
    <row r="194" spans="3:12" x14ac:dyDescent="0.2">
      <c r="C194" t="s">
        <v>379</v>
      </c>
      <c r="D194">
        <v>4</v>
      </c>
      <c r="F194" s="82"/>
    </row>
    <row r="195" spans="3:12" x14ac:dyDescent="0.2">
      <c r="C195" t="s">
        <v>389</v>
      </c>
      <c r="D195">
        <v>4</v>
      </c>
      <c r="F195" s="82"/>
    </row>
    <row r="196" spans="3:12" x14ac:dyDescent="0.2">
      <c r="C196" t="s">
        <v>393</v>
      </c>
      <c r="D196">
        <v>4</v>
      </c>
      <c r="F196" s="82"/>
    </row>
    <row r="197" spans="3:12" x14ac:dyDescent="0.2">
      <c r="C197" t="s">
        <v>275</v>
      </c>
      <c r="D197">
        <v>4</v>
      </c>
      <c r="F197" s="82"/>
    </row>
    <row r="198" spans="3:12" x14ac:dyDescent="0.2">
      <c r="C198" t="s">
        <v>155</v>
      </c>
      <c r="D198">
        <v>4</v>
      </c>
      <c r="F198" s="82"/>
    </row>
    <row r="199" spans="3:12" x14ac:dyDescent="0.2">
      <c r="C199" t="s">
        <v>129</v>
      </c>
      <c r="D199">
        <v>3</v>
      </c>
      <c r="F199" s="82"/>
    </row>
    <row r="200" spans="3:12" x14ac:dyDescent="0.2">
      <c r="C200" t="s">
        <v>53</v>
      </c>
      <c r="D200">
        <v>3</v>
      </c>
      <c r="F200" s="82"/>
    </row>
    <row r="201" spans="3:12" x14ac:dyDescent="0.2">
      <c r="C201" t="s">
        <v>253</v>
      </c>
      <c r="D201">
        <v>3</v>
      </c>
      <c r="F201" s="82"/>
    </row>
    <row r="202" spans="3:12" x14ac:dyDescent="0.2">
      <c r="C202" t="s">
        <v>263</v>
      </c>
      <c r="D202">
        <v>2</v>
      </c>
      <c r="F202" s="82"/>
    </row>
    <row r="203" spans="3:12" x14ac:dyDescent="0.2">
      <c r="C203" t="s">
        <v>111</v>
      </c>
      <c r="D203">
        <v>2</v>
      </c>
      <c r="F203" s="81"/>
    </row>
    <row r="204" spans="3:12" x14ac:dyDescent="0.2">
      <c r="C204" t="s">
        <v>85</v>
      </c>
      <c r="D204">
        <v>2</v>
      </c>
      <c r="F204" s="82"/>
    </row>
    <row r="205" spans="3:12" x14ac:dyDescent="0.2">
      <c r="C205" t="s">
        <v>81</v>
      </c>
      <c r="D205">
        <v>2</v>
      </c>
      <c r="F205" s="82"/>
    </row>
    <row r="206" spans="3:12" x14ac:dyDescent="0.2">
      <c r="C206" t="s">
        <v>411</v>
      </c>
      <c r="D206">
        <v>2</v>
      </c>
      <c r="F206" s="82"/>
      <c r="G206" s="82"/>
      <c r="K206" s="82"/>
    </row>
    <row r="207" spans="3:12" x14ac:dyDescent="0.2">
      <c r="C207" t="s">
        <v>185</v>
      </c>
      <c r="D207">
        <v>2</v>
      </c>
      <c r="F207" s="82"/>
    </row>
    <row r="208" spans="3:12" x14ac:dyDescent="0.2">
      <c r="C208" t="s">
        <v>512</v>
      </c>
      <c r="D208">
        <v>1</v>
      </c>
      <c r="F208" s="82"/>
    </row>
    <row r="209" spans="3:12" x14ac:dyDescent="0.2">
      <c r="C209" t="s">
        <v>109</v>
      </c>
      <c r="D209">
        <v>1</v>
      </c>
      <c r="F209" s="82"/>
    </row>
    <row r="210" spans="3:12" x14ac:dyDescent="0.2">
      <c r="C210" t="s">
        <v>395</v>
      </c>
      <c r="D210">
        <v>1</v>
      </c>
    </row>
    <row r="211" spans="3:12" x14ac:dyDescent="0.2">
      <c r="C211" t="s">
        <v>513</v>
      </c>
      <c r="D211">
        <v>1</v>
      </c>
      <c r="F211" s="82"/>
      <c r="G211" s="81"/>
      <c r="J211" s="82"/>
      <c r="K211" s="82"/>
      <c r="L211" s="82"/>
    </row>
    <row r="212" spans="3:12" x14ac:dyDescent="0.2">
      <c r="C212" t="s">
        <v>387</v>
      </c>
      <c r="D212">
        <v>0</v>
      </c>
      <c r="F212" s="82"/>
    </row>
    <row r="213" spans="3:12" x14ac:dyDescent="0.2">
      <c r="E213" s="80"/>
      <c r="F213" s="80"/>
    </row>
    <row r="214" spans="3:12" x14ac:dyDescent="0.2">
      <c r="E214" s="80"/>
      <c r="F214" s="80"/>
    </row>
    <row r="215" spans="3:12" x14ac:dyDescent="0.2">
      <c r="E215" s="80"/>
      <c r="F215" s="80"/>
    </row>
    <row r="216" spans="3:12" x14ac:dyDescent="0.2">
      <c r="E216" s="80"/>
      <c r="F216" s="80"/>
    </row>
    <row r="217" spans="3:12" x14ac:dyDescent="0.2">
      <c r="E217" s="80"/>
      <c r="F217" s="80"/>
    </row>
    <row r="218" spans="3:12" x14ac:dyDescent="0.2">
      <c r="E218" s="80"/>
      <c r="F218" s="80"/>
    </row>
    <row r="219" spans="3:12" x14ac:dyDescent="0.2">
      <c r="E219" s="80"/>
      <c r="F219" s="80"/>
    </row>
    <row r="220" spans="3:12" x14ac:dyDescent="0.2">
      <c r="E220" s="80"/>
      <c r="F220" s="80"/>
    </row>
    <row r="221" spans="3:12" x14ac:dyDescent="0.2">
      <c r="E221" s="80"/>
      <c r="F221" s="80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1" tint="0.499984740745262"/>
  </sheetPr>
  <dimension ref="A1:E116"/>
  <sheetViews>
    <sheetView zoomScale="174" zoomScaleNormal="174" workbookViewId="0">
      <selection activeCell="K10" sqref="K10"/>
    </sheetView>
  </sheetViews>
  <sheetFormatPr baseColWidth="10" defaultColWidth="9.1640625" defaultRowHeight="15" x14ac:dyDescent="0.2"/>
  <cols>
    <col min="1" max="1" width="29.6640625" style="85" customWidth="1"/>
    <col min="2" max="2" width="15.33203125" style="85" customWidth="1"/>
    <col min="3" max="3" width="17.1640625" style="85" customWidth="1"/>
    <col min="4" max="5" width="15.33203125" style="85" customWidth="1"/>
    <col min="6" max="13" width="9.1640625" style="85" customWidth="1"/>
    <col min="14" max="16384" width="9.1640625" style="85"/>
  </cols>
  <sheetData>
    <row r="1" spans="1:5" ht="20" customHeight="1" x14ac:dyDescent="0.2">
      <c r="A1" t="s">
        <v>8</v>
      </c>
      <c r="B1" t="s">
        <v>514</v>
      </c>
      <c r="C1" t="s">
        <v>515</v>
      </c>
      <c r="D1" t="s">
        <v>516</v>
      </c>
      <c r="E1" t="s">
        <v>517</v>
      </c>
    </row>
    <row r="2" spans="1:5" x14ac:dyDescent="0.2">
      <c r="A2" t="s">
        <v>137</v>
      </c>
      <c r="B2">
        <v>11.6</v>
      </c>
      <c r="C2" t="s">
        <v>518</v>
      </c>
      <c r="D2">
        <v>0.4</v>
      </c>
      <c r="E2" t="s">
        <v>519</v>
      </c>
    </row>
    <row r="3" spans="1:5" x14ac:dyDescent="0.2">
      <c r="A3" t="s">
        <v>21</v>
      </c>
      <c r="B3">
        <v>3</v>
      </c>
      <c r="C3" t="s">
        <v>518</v>
      </c>
      <c r="D3">
        <v>-3.94</v>
      </c>
      <c r="E3" t="s">
        <v>519</v>
      </c>
    </row>
    <row r="4" spans="1:5" x14ac:dyDescent="0.2">
      <c r="A4" t="s">
        <v>38</v>
      </c>
      <c r="B4">
        <v>4.3</v>
      </c>
      <c r="C4" t="s">
        <v>520</v>
      </c>
      <c r="D4">
        <v>10.1</v>
      </c>
      <c r="E4" t="s">
        <v>519</v>
      </c>
    </row>
    <row r="5" spans="1:5" x14ac:dyDescent="0.2">
      <c r="A5" t="s">
        <v>436</v>
      </c>
      <c r="B5">
        <v>3.9</v>
      </c>
      <c r="C5" t="s">
        <v>520</v>
      </c>
      <c r="D5">
        <v>-1.2</v>
      </c>
      <c r="E5" t="s">
        <v>519</v>
      </c>
    </row>
    <row r="6" spans="1:5" x14ac:dyDescent="0.2">
      <c r="A6" t="s">
        <v>49</v>
      </c>
      <c r="B6">
        <v>0.8</v>
      </c>
      <c r="C6" t="s">
        <v>518</v>
      </c>
      <c r="D6">
        <v>-1.7</v>
      </c>
      <c r="E6" t="s">
        <v>519</v>
      </c>
    </row>
    <row r="7" spans="1:5" x14ac:dyDescent="0.2">
      <c r="A7" t="s">
        <v>51</v>
      </c>
      <c r="B7">
        <v>3.3</v>
      </c>
      <c r="C7" t="s">
        <v>520</v>
      </c>
      <c r="D7">
        <v>5</v>
      </c>
      <c r="E7" t="s">
        <v>519</v>
      </c>
    </row>
    <row r="8" spans="1:5" x14ac:dyDescent="0.2">
      <c r="A8" t="s">
        <v>501</v>
      </c>
      <c r="B8">
        <v>4.5</v>
      </c>
      <c r="C8" t="s">
        <v>521</v>
      </c>
      <c r="D8">
        <v>2.6</v>
      </c>
      <c r="E8" t="s">
        <v>519</v>
      </c>
    </row>
    <row r="9" spans="1:5" x14ac:dyDescent="0.2">
      <c r="A9" t="s">
        <v>440</v>
      </c>
      <c r="B9">
        <v>6.7</v>
      </c>
      <c r="C9" t="s">
        <v>522</v>
      </c>
      <c r="D9">
        <v>7.1</v>
      </c>
      <c r="E9" t="s">
        <v>519</v>
      </c>
    </row>
    <row r="10" spans="1:5" x14ac:dyDescent="0.2">
      <c r="A10" t="s">
        <v>55</v>
      </c>
      <c r="B10">
        <v>10.9</v>
      </c>
      <c r="C10" t="s">
        <v>520</v>
      </c>
      <c r="D10">
        <v>18.100000000000001</v>
      </c>
      <c r="E10" t="s">
        <v>519</v>
      </c>
    </row>
    <row r="11" spans="1:5" x14ac:dyDescent="0.2">
      <c r="A11" t="s">
        <v>57</v>
      </c>
      <c r="B11">
        <v>38.6</v>
      </c>
      <c r="C11" t="s">
        <v>518</v>
      </c>
      <c r="D11">
        <v>3</v>
      </c>
      <c r="E11" t="s">
        <v>519</v>
      </c>
    </row>
    <row r="12" spans="1:5" x14ac:dyDescent="0.2">
      <c r="A12" t="s">
        <v>503</v>
      </c>
      <c r="B12">
        <v>8.1999999999999993</v>
      </c>
      <c r="C12" t="s">
        <v>520</v>
      </c>
      <c r="D12">
        <v>9.3000000000000007</v>
      </c>
      <c r="E12" t="s">
        <v>519</v>
      </c>
    </row>
    <row r="13" spans="1:5" x14ac:dyDescent="0.2">
      <c r="A13" t="s">
        <v>83</v>
      </c>
      <c r="B13">
        <v>186</v>
      </c>
      <c r="C13" t="s">
        <v>518</v>
      </c>
      <c r="D13">
        <v>-12</v>
      </c>
      <c r="E13" t="s">
        <v>519</v>
      </c>
    </row>
    <row r="14" spans="1:5" x14ac:dyDescent="0.2">
      <c r="A14" t="s">
        <v>75</v>
      </c>
      <c r="B14">
        <v>-7.8</v>
      </c>
      <c r="C14" t="s">
        <v>520</v>
      </c>
      <c r="D14">
        <v>-4</v>
      </c>
      <c r="E14" t="s">
        <v>519</v>
      </c>
    </row>
    <row r="15" spans="1:5" x14ac:dyDescent="0.2">
      <c r="A15" t="s">
        <v>63</v>
      </c>
      <c r="B15">
        <v>9.6999999999999993</v>
      </c>
      <c r="C15" t="s">
        <v>520</v>
      </c>
      <c r="D15">
        <v>9.6999999999999993</v>
      </c>
      <c r="E15" t="s">
        <v>519</v>
      </c>
    </row>
    <row r="16" spans="1:5" x14ac:dyDescent="0.2">
      <c r="A16" t="s">
        <v>59</v>
      </c>
      <c r="B16">
        <v>20.9</v>
      </c>
      <c r="C16" t="s">
        <v>518</v>
      </c>
      <c r="D16">
        <v>9.9</v>
      </c>
      <c r="E16" t="s">
        <v>519</v>
      </c>
    </row>
    <row r="17" spans="1:5" x14ac:dyDescent="0.2">
      <c r="A17" t="s">
        <v>53</v>
      </c>
      <c r="B17">
        <v>6.6</v>
      </c>
      <c r="C17" t="s">
        <v>518</v>
      </c>
      <c r="D17">
        <v>11.1</v>
      </c>
      <c r="E17" t="s">
        <v>519</v>
      </c>
    </row>
    <row r="18" spans="1:5" x14ac:dyDescent="0.2">
      <c r="A18" t="s">
        <v>523</v>
      </c>
    </row>
    <row r="19" spans="1:5" x14ac:dyDescent="0.2">
      <c r="A19" t="s">
        <v>99</v>
      </c>
      <c r="B19">
        <v>3</v>
      </c>
      <c r="C19" t="s">
        <v>524</v>
      </c>
      <c r="D19">
        <v>-5.6</v>
      </c>
      <c r="E19" t="s">
        <v>519</v>
      </c>
    </row>
    <row r="20" spans="1:5" x14ac:dyDescent="0.2">
      <c r="A20" t="s">
        <v>87</v>
      </c>
      <c r="B20">
        <v>3.89</v>
      </c>
      <c r="C20" t="s">
        <v>521</v>
      </c>
      <c r="D20">
        <v>6.13</v>
      </c>
      <c r="E20" t="s">
        <v>519</v>
      </c>
    </row>
    <row r="21" spans="1:5" x14ac:dyDescent="0.2">
      <c r="A21" t="s">
        <v>401</v>
      </c>
      <c r="B21">
        <v>-10.4</v>
      </c>
      <c r="C21" t="s">
        <v>524</v>
      </c>
      <c r="D21">
        <v>-3.3</v>
      </c>
      <c r="E21" t="s">
        <v>519</v>
      </c>
    </row>
    <row r="22" spans="1:5" x14ac:dyDescent="0.2">
      <c r="A22" t="s">
        <v>93</v>
      </c>
      <c r="B22">
        <v>1.3</v>
      </c>
      <c r="C22" t="s">
        <v>520</v>
      </c>
      <c r="D22">
        <v>-0.7</v>
      </c>
      <c r="E22" t="s">
        <v>519</v>
      </c>
    </row>
    <row r="23" spans="1:5" x14ac:dyDescent="0.2">
      <c r="A23" t="s">
        <v>95</v>
      </c>
      <c r="B23">
        <v>3.8</v>
      </c>
      <c r="C23" t="s">
        <v>522</v>
      </c>
      <c r="D23">
        <v>3.5</v>
      </c>
      <c r="E23" t="s">
        <v>519</v>
      </c>
    </row>
    <row r="24" spans="1:5" x14ac:dyDescent="0.2">
      <c r="A24" t="s">
        <v>107</v>
      </c>
      <c r="B24">
        <v>10.1</v>
      </c>
      <c r="C24" t="s">
        <v>520</v>
      </c>
      <c r="D24">
        <v>15.5</v>
      </c>
      <c r="E24" t="s">
        <v>519</v>
      </c>
    </row>
    <row r="25" spans="1:5" x14ac:dyDescent="0.2">
      <c r="A25" t="s">
        <v>103</v>
      </c>
      <c r="B25">
        <v>1.2</v>
      </c>
      <c r="C25" t="s">
        <v>525</v>
      </c>
      <c r="D25">
        <v>0.1</v>
      </c>
      <c r="E25" t="s">
        <v>519</v>
      </c>
    </row>
    <row r="26" spans="1:5" x14ac:dyDescent="0.2">
      <c r="A26" t="s">
        <v>113</v>
      </c>
      <c r="B26">
        <v>7.9</v>
      </c>
      <c r="C26" t="s">
        <v>526</v>
      </c>
      <c r="D26">
        <v>7.3</v>
      </c>
      <c r="E26" t="s">
        <v>519</v>
      </c>
    </row>
    <row r="27" spans="1:5" x14ac:dyDescent="0.2">
      <c r="A27" t="s">
        <v>167</v>
      </c>
      <c r="B27">
        <v>2.7</v>
      </c>
      <c r="C27" t="s">
        <v>520</v>
      </c>
      <c r="D27">
        <v>2.8</v>
      </c>
      <c r="E27" t="s">
        <v>519</v>
      </c>
    </row>
    <row r="28" spans="1:5" x14ac:dyDescent="0.2">
      <c r="A28" t="s">
        <v>121</v>
      </c>
      <c r="B28">
        <v>-12.7</v>
      </c>
      <c r="C28" t="s">
        <v>527</v>
      </c>
      <c r="D28">
        <v>-7.2</v>
      </c>
      <c r="E28" t="s">
        <v>519</v>
      </c>
    </row>
    <row r="29" spans="1:5" x14ac:dyDescent="0.2">
      <c r="A29" t="s">
        <v>125</v>
      </c>
      <c r="B29">
        <v>-1.3</v>
      </c>
      <c r="C29" t="s">
        <v>521</v>
      </c>
      <c r="D29">
        <v>8.9</v>
      </c>
      <c r="E29" t="s">
        <v>519</v>
      </c>
    </row>
    <row r="30" spans="1:5" x14ac:dyDescent="0.2">
      <c r="A30" t="s">
        <v>117</v>
      </c>
      <c r="B30">
        <v>-4.9000000000000004</v>
      </c>
      <c r="C30" t="s">
        <v>520</v>
      </c>
      <c r="D30">
        <v>-4</v>
      </c>
      <c r="E30" t="s">
        <v>519</v>
      </c>
    </row>
    <row r="31" spans="1:5" x14ac:dyDescent="0.2">
      <c r="A31" t="s">
        <v>133</v>
      </c>
      <c r="B31">
        <v>11.3</v>
      </c>
      <c r="C31" t="s">
        <v>520</v>
      </c>
      <c r="D31">
        <v>4.2</v>
      </c>
      <c r="E31" t="s">
        <v>519</v>
      </c>
    </row>
    <row r="32" spans="1:5" x14ac:dyDescent="0.2">
      <c r="A32" t="s">
        <v>381</v>
      </c>
      <c r="B32">
        <v>8.68</v>
      </c>
      <c r="C32" t="s">
        <v>528</v>
      </c>
      <c r="D32">
        <v>13.83</v>
      </c>
      <c r="E32" t="s">
        <v>519</v>
      </c>
    </row>
    <row r="33" spans="1:5" x14ac:dyDescent="0.2">
      <c r="A33" t="s">
        <v>442</v>
      </c>
      <c r="B33">
        <v>2.8</v>
      </c>
      <c r="C33" t="s">
        <v>520</v>
      </c>
      <c r="D33">
        <v>8.5</v>
      </c>
      <c r="E33" t="s">
        <v>519</v>
      </c>
    </row>
    <row r="34" spans="1:5" x14ac:dyDescent="0.2">
      <c r="A34" t="s">
        <v>492</v>
      </c>
      <c r="B34">
        <v>3.3</v>
      </c>
      <c r="C34" t="s">
        <v>520</v>
      </c>
      <c r="D34">
        <v>5.0999999999999996</v>
      </c>
      <c r="E34" t="s">
        <v>519</v>
      </c>
    </row>
    <row r="35" spans="1:5" x14ac:dyDescent="0.2">
      <c r="A35" t="s">
        <v>529</v>
      </c>
      <c r="B35">
        <v>3.6</v>
      </c>
      <c r="C35" t="s">
        <v>520</v>
      </c>
      <c r="D35">
        <v>4.8</v>
      </c>
      <c r="E35" t="s">
        <v>519</v>
      </c>
    </row>
    <row r="36" spans="1:5" x14ac:dyDescent="0.2">
      <c r="A36" t="s">
        <v>155</v>
      </c>
      <c r="B36">
        <v>-10.5</v>
      </c>
      <c r="C36" t="s">
        <v>521</v>
      </c>
      <c r="D36">
        <v>-12.2</v>
      </c>
      <c r="E36" t="s">
        <v>519</v>
      </c>
    </row>
    <row r="37" spans="1:5" x14ac:dyDescent="0.2">
      <c r="A37" t="s">
        <v>153</v>
      </c>
      <c r="B37">
        <v>5.5</v>
      </c>
      <c r="C37" t="s">
        <v>520</v>
      </c>
      <c r="D37">
        <v>6.7</v>
      </c>
      <c r="E37" t="s">
        <v>519</v>
      </c>
    </row>
    <row r="38" spans="1:5" x14ac:dyDescent="0.2">
      <c r="A38" t="s">
        <v>159</v>
      </c>
      <c r="B38">
        <v>0.8</v>
      </c>
      <c r="C38" t="s">
        <v>521</v>
      </c>
      <c r="D38">
        <v>3.9</v>
      </c>
      <c r="E38" t="s">
        <v>519</v>
      </c>
    </row>
    <row r="39" spans="1:5" x14ac:dyDescent="0.2">
      <c r="A39" t="s">
        <v>444</v>
      </c>
      <c r="B39">
        <v>34.299999999999997</v>
      </c>
      <c r="C39" t="s">
        <v>521</v>
      </c>
      <c r="D39">
        <v>47.8</v>
      </c>
      <c r="E39" t="s">
        <v>519</v>
      </c>
    </row>
    <row r="40" spans="1:5" x14ac:dyDescent="0.2">
      <c r="A40" t="s">
        <v>127</v>
      </c>
      <c r="B40">
        <v>-0.6</v>
      </c>
      <c r="C40" t="s">
        <v>520</v>
      </c>
      <c r="D40">
        <v>-0.4</v>
      </c>
      <c r="E40" t="s">
        <v>519</v>
      </c>
    </row>
    <row r="41" spans="1:5" x14ac:dyDescent="0.2">
      <c r="A41" t="s">
        <v>191</v>
      </c>
      <c r="B41">
        <v>16.5</v>
      </c>
      <c r="C41" t="s">
        <v>520</v>
      </c>
      <c r="D41">
        <v>9.9</v>
      </c>
      <c r="E41" t="s">
        <v>519</v>
      </c>
    </row>
    <row r="42" spans="1:5" x14ac:dyDescent="0.2">
      <c r="A42" t="s">
        <v>512</v>
      </c>
      <c r="B42">
        <v>8.6999999999999993</v>
      </c>
      <c r="C42" t="s">
        <v>518</v>
      </c>
      <c r="D42">
        <v>8.1999999999999993</v>
      </c>
      <c r="E42" t="s">
        <v>519</v>
      </c>
    </row>
    <row r="43" spans="1:5" x14ac:dyDescent="0.2">
      <c r="A43" t="s">
        <v>201</v>
      </c>
      <c r="B43">
        <v>7.8</v>
      </c>
      <c r="C43" t="s">
        <v>521</v>
      </c>
      <c r="D43">
        <v>5.6</v>
      </c>
      <c r="E43" t="s">
        <v>519</v>
      </c>
    </row>
    <row r="44" spans="1:5" x14ac:dyDescent="0.2">
      <c r="A44" t="s">
        <v>207</v>
      </c>
      <c r="B44">
        <v>-3.4</v>
      </c>
      <c r="C44" t="s">
        <v>520</v>
      </c>
      <c r="D44">
        <v>-2.2999999999999998</v>
      </c>
      <c r="E44" t="s">
        <v>519</v>
      </c>
    </row>
    <row r="45" spans="1:5" x14ac:dyDescent="0.2">
      <c r="A45" t="s">
        <v>211</v>
      </c>
      <c r="B45">
        <v>3.2</v>
      </c>
      <c r="C45" t="s">
        <v>520</v>
      </c>
      <c r="D45">
        <v>3.3</v>
      </c>
      <c r="E45" t="s">
        <v>519</v>
      </c>
    </row>
    <row r="46" spans="1:5" x14ac:dyDescent="0.2">
      <c r="A46" t="s">
        <v>209</v>
      </c>
      <c r="B46">
        <v>2.35</v>
      </c>
      <c r="C46" t="s">
        <v>521</v>
      </c>
      <c r="D46">
        <v>1.07</v>
      </c>
      <c r="E46" t="s">
        <v>519</v>
      </c>
    </row>
    <row r="47" spans="1:5" x14ac:dyDescent="0.2">
      <c r="A47" t="s">
        <v>217</v>
      </c>
      <c r="B47">
        <v>9.1</v>
      </c>
      <c r="C47" t="s">
        <v>524</v>
      </c>
      <c r="D47">
        <v>11.2</v>
      </c>
      <c r="E47" t="s">
        <v>519</v>
      </c>
    </row>
    <row r="48" spans="1:5" x14ac:dyDescent="0.2">
      <c r="A48" t="s">
        <v>219</v>
      </c>
      <c r="B48">
        <v>-22.5</v>
      </c>
      <c r="C48" t="s">
        <v>530</v>
      </c>
      <c r="D48">
        <v>0.9</v>
      </c>
      <c r="E48" t="s">
        <v>519</v>
      </c>
    </row>
    <row r="49" spans="1:5" x14ac:dyDescent="0.2">
      <c r="A49" t="s">
        <v>215</v>
      </c>
      <c r="B49">
        <v>-12.9</v>
      </c>
      <c r="C49" t="s">
        <v>520</v>
      </c>
      <c r="D49">
        <v>27.3</v>
      </c>
      <c r="E49" t="s">
        <v>519</v>
      </c>
    </row>
    <row r="50" spans="1:5" x14ac:dyDescent="0.2">
      <c r="A50" t="s">
        <v>223</v>
      </c>
      <c r="B50">
        <v>-12.6</v>
      </c>
      <c r="C50" t="s">
        <v>521</v>
      </c>
      <c r="D50">
        <v>8.24</v>
      </c>
      <c r="E50" t="s">
        <v>519</v>
      </c>
    </row>
    <row r="51" spans="1:5" x14ac:dyDescent="0.2">
      <c r="A51" t="s">
        <v>225</v>
      </c>
      <c r="B51">
        <v>2</v>
      </c>
      <c r="C51" t="s">
        <v>520</v>
      </c>
      <c r="D51">
        <v>4.5</v>
      </c>
      <c r="E51" t="s">
        <v>519</v>
      </c>
    </row>
    <row r="52" spans="1:5" x14ac:dyDescent="0.2">
      <c r="A52" t="s">
        <v>498</v>
      </c>
      <c r="B52">
        <v>-0.7</v>
      </c>
      <c r="C52" t="s">
        <v>527</v>
      </c>
      <c r="D52">
        <v>-14.3</v>
      </c>
      <c r="E52" t="s">
        <v>519</v>
      </c>
    </row>
    <row r="53" spans="1:5" x14ac:dyDescent="0.2">
      <c r="A53" t="s">
        <v>231</v>
      </c>
      <c r="B53">
        <v>-4.0999999999999996</v>
      </c>
      <c r="C53" t="s">
        <v>520</v>
      </c>
      <c r="D53">
        <v>-2.2999999999999998</v>
      </c>
      <c r="E53" t="s">
        <v>519</v>
      </c>
    </row>
    <row r="54" spans="1:5" x14ac:dyDescent="0.2">
      <c r="A54" t="s">
        <v>229</v>
      </c>
      <c r="B54">
        <v>4.84</v>
      </c>
      <c r="C54" t="s">
        <v>521</v>
      </c>
      <c r="D54">
        <v>7.5</v>
      </c>
      <c r="E54" t="s">
        <v>519</v>
      </c>
    </row>
    <row r="55" spans="1:5" x14ac:dyDescent="0.2">
      <c r="A55" t="s">
        <v>446</v>
      </c>
      <c r="B55">
        <v>6.8</v>
      </c>
      <c r="C55" t="s">
        <v>522</v>
      </c>
      <c r="D55">
        <v>4.2</v>
      </c>
      <c r="E55" t="s">
        <v>519</v>
      </c>
    </row>
    <row r="56" spans="1:5" x14ac:dyDescent="0.2">
      <c r="A56" t="s">
        <v>509</v>
      </c>
      <c r="B56">
        <v>43.6</v>
      </c>
      <c r="C56" t="s">
        <v>518</v>
      </c>
      <c r="D56">
        <v>19.3</v>
      </c>
      <c r="E56" t="s">
        <v>519</v>
      </c>
    </row>
    <row r="57" spans="1:5" x14ac:dyDescent="0.2">
      <c r="A57" t="s">
        <v>508</v>
      </c>
      <c r="B57">
        <v>51</v>
      </c>
      <c r="C57" t="s">
        <v>522</v>
      </c>
      <c r="D57">
        <v>46.4</v>
      </c>
      <c r="E57" t="s">
        <v>519</v>
      </c>
    </row>
    <row r="58" spans="1:5" x14ac:dyDescent="0.2">
      <c r="A58" t="s">
        <v>452</v>
      </c>
      <c r="B58">
        <v>2.4</v>
      </c>
      <c r="C58" t="s">
        <v>520</v>
      </c>
      <c r="D58">
        <v>5.8</v>
      </c>
      <c r="E58" t="s">
        <v>519</v>
      </c>
    </row>
    <row r="59" spans="1:5" x14ac:dyDescent="0.2">
      <c r="A59" t="s">
        <v>450</v>
      </c>
      <c r="B59">
        <v>22.6</v>
      </c>
      <c r="C59" t="s">
        <v>520</v>
      </c>
      <c r="D59">
        <v>20.2</v>
      </c>
      <c r="E59" t="s">
        <v>519</v>
      </c>
    </row>
    <row r="60" spans="1:5" x14ac:dyDescent="0.2">
      <c r="A60" t="s">
        <v>265</v>
      </c>
      <c r="B60">
        <v>5.2</v>
      </c>
      <c r="C60" t="s">
        <v>528</v>
      </c>
      <c r="D60">
        <v>1.8</v>
      </c>
      <c r="E60" t="s">
        <v>519</v>
      </c>
    </row>
    <row r="61" spans="1:5" x14ac:dyDescent="0.2">
      <c r="A61" t="s">
        <v>267</v>
      </c>
      <c r="B61">
        <v>-13.2</v>
      </c>
      <c r="C61" t="s">
        <v>518</v>
      </c>
      <c r="D61">
        <v>10.199999999999999</v>
      </c>
      <c r="E61" t="s">
        <v>519</v>
      </c>
    </row>
    <row r="62" spans="1:5" x14ac:dyDescent="0.2">
      <c r="A62" t="s">
        <v>169</v>
      </c>
      <c r="B62">
        <v>-6.5</v>
      </c>
      <c r="C62" t="s">
        <v>520</v>
      </c>
      <c r="D62">
        <v>-8</v>
      </c>
      <c r="E62" t="s">
        <v>519</v>
      </c>
    </row>
    <row r="63" spans="1:5" x14ac:dyDescent="0.2">
      <c r="A63" t="s">
        <v>301</v>
      </c>
      <c r="B63">
        <v>5.5</v>
      </c>
      <c r="C63" t="s">
        <v>520</v>
      </c>
      <c r="D63">
        <v>2.5</v>
      </c>
      <c r="E63" t="s">
        <v>519</v>
      </c>
    </row>
    <row r="64" spans="1:5" x14ac:dyDescent="0.2">
      <c r="A64" t="s">
        <v>281</v>
      </c>
      <c r="B64">
        <v>-1.06</v>
      </c>
      <c r="C64" t="s">
        <v>518</v>
      </c>
      <c r="D64">
        <v>3.6</v>
      </c>
      <c r="E64" t="s">
        <v>519</v>
      </c>
    </row>
    <row r="65" spans="1:5" x14ac:dyDescent="0.2">
      <c r="A65" t="s">
        <v>283</v>
      </c>
      <c r="B65">
        <v>-4.5</v>
      </c>
      <c r="C65" t="s">
        <v>520</v>
      </c>
      <c r="D65">
        <v>-3.1</v>
      </c>
      <c r="E65" t="s">
        <v>519</v>
      </c>
    </row>
    <row r="66" spans="1:5" x14ac:dyDescent="0.2">
      <c r="A66" t="s">
        <v>293</v>
      </c>
      <c r="B66">
        <v>-8.6999999999999993</v>
      </c>
      <c r="C66" t="s">
        <v>524</v>
      </c>
      <c r="D66">
        <v>-1</v>
      </c>
      <c r="E66" t="s">
        <v>519</v>
      </c>
    </row>
    <row r="67" spans="1:5" x14ac:dyDescent="0.2">
      <c r="A67" t="s">
        <v>297</v>
      </c>
      <c r="B67">
        <v>9.5</v>
      </c>
      <c r="C67" t="s">
        <v>521</v>
      </c>
      <c r="D67">
        <v>48</v>
      </c>
      <c r="E67" t="s">
        <v>519</v>
      </c>
    </row>
    <row r="68" spans="1:5" x14ac:dyDescent="0.2">
      <c r="A68" t="s">
        <v>277</v>
      </c>
      <c r="B68">
        <v>0.7</v>
      </c>
      <c r="C68" t="s">
        <v>520</v>
      </c>
      <c r="D68">
        <v>1.53</v>
      </c>
      <c r="E68" t="s">
        <v>519</v>
      </c>
    </row>
    <row r="69" spans="1:5" x14ac:dyDescent="0.2">
      <c r="A69" t="s">
        <v>454</v>
      </c>
      <c r="B69">
        <v>11</v>
      </c>
      <c r="C69" t="s">
        <v>520</v>
      </c>
      <c r="D69">
        <v>13.8</v>
      </c>
      <c r="E69" t="s">
        <v>519</v>
      </c>
    </row>
    <row r="70" spans="1:5" x14ac:dyDescent="0.2">
      <c r="A70" t="s">
        <v>287</v>
      </c>
      <c r="B70">
        <v>19.600000000000001</v>
      </c>
      <c r="C70" t="s">
        <v>526</v>
      </c>
      <c r="D70">
        <v>79.400000000000006</v>
      </c>
      <c r="E70" t="s">
        <v>519</v>
      </c>
    </row>
    <row r="71" spans="1:5" x14ac:dyDescent="0.2">
      <c r="A71" t="s">
        <v>511</v>
      </c>
      <c r="B71">
        <v>-3.4</v>
      </c>
      <c r="C71" t="s">
        <v>521</v>
      </c>
      <c r="D71">
        <v>5</v>
      </c>
      <c r="E71" t="s">
        <v>519</v>
      </c>
    </row>
    <row r="72" spans="1:5" x14ac:dyDescent="0.2">
      <c r="A72" t="s">
        <v>269</v>
      </c>
      <c r="B72">
        <v>3.3</v>
      </c>
      <c r="C72" t="s">
        <v>521</v>
      </c>
      <c r="D72">
        <v>19.899999999999999</v>
      </c>
      <c r="E72" t="s">
        <v>519</v>
      </c>
    </row>
    <row r="73" spans="1:5" x14ac:dyDescent="0.2">
      <c r="A73" t="s">
        <v>291</v>
      </c>
      <c r="B73">
        <v>-4</v>
      </c>
      <c r="C73" t="s">
        <v>527</v>
      </c>
      <c r="D73">
        <v>5.7</v>
      </c>
      <c r="E73" t="s">
        <v>519</v>
      </c>
    </row>
    <row r="74" spans="1:5" x14ac:dyDescent="0.2">
      <c r="A74" t="s">
        <v>315</v>
      </c>
      <c r="B74">
        <v>10.5</v>
      </c>
      <c r="C74" t="s">
        <v>528</v>
      </c>
      <c r="D74">
        <v>10.5</v>
      </c>
      <c r="E74" t="s">
        <v>519</v>
      </c>
    </row>
    <row r="75" spans="1:5" x14ac:dyDescent="0.2">
      <c r="A75" t="s">
        <v>325</v>
      </c>
      <c r="B75">
        <v>16.100000000000001</v>
      </c>
      <c r="C75" t="s">
        <v>518</v>
      </c>
      <c r="D75">
        <v>0.5</v>
      </c>
      <c r="E75" t="s">
        <v>519</v>
      </c>
    </row>
    <row r="76" spans="1:5" x14ac:dyDescent="0.2">
      <c r="A76" t="s">
        <v>305</v>
      </c>
      <c r="B76">
        <v>17.600000000000001</v>
      </c>
      <c r="C76" t="s">
        <v>530</v>
      </c>
      <c r="D76">
        <v>5.8</v>
      </c>
      <c r="E76" t="s">
        <v>519</v>
      </c>
    </row>
    <row r="77" spans="1:5" x14ac:dyDescent="0.2">
      <c r="A77" t="s">
        <v>309</v>
      </c>
      <c r="B77">
        <v>1.6</v>
      </c>
      <c r="C77" t="s">
        <v>527</v>
      </c>
      <c r="D77">
        <v>-10.3</v>
      </c>
      <c r="E77" t="s">
        <v>519</v>
      </c>
    </row>
    <row r="78" spans="1:5" x14ac:dyDescent="0.2">
      <c r="A78" t="s">
        <v>319</v>
      </c>
      <c r="B78">
        <v>6.9</v>
      </c>
      <c r="C78" t="s">
        <v>520</v>
      </c>
      <c r="D78">
        <v>7.9</v>
      </c>
      <c r="E78" t="s">
        <v>519</v>
      </c>
    </row>
    <row r="79" spans="1:5" x14ac:dyDescent="0.2">
      <c r="A79" t="s">
        <v>333</v>
      </c>
      <c r="B79">
        <v>-1.55</v>
      </c>
      <c r="C79" t="s">
        <v>520</v>
      </c>
      <c r="D79">
        <v>0.89</v>
      </c>
      <c r="E79" t="s">
        <v>519</v>
      </c>
    </row>
    <row r="80" spans="1:5" x14ac:dyDescent="0.2">
      <c r="A80" t="s">
        <v>504</v>
      </c>
      <c r="B80">
        <v>27.01</v>
      </c>
      <c r="C80" t="s">
        <v>526</v>
      </c>
      <c r="D80">
        <v>76.900000000000006</v>
      </c>
      <c r="E80" t="s">
        <v>519</v>
      </c>
    </row>
    <row r="81" spans="1:5" x14ac:dyDescent="0.2">
      <c r="A81" t="s">
        <v>335</v>
      </c>
      <c r="B81">
        <v>-44</v>
      </c>
      <c r="C81" t="s">
        <v>531</v>
      </c>
      <c r="D81">
        <v>-6.5</v>
      </c>
      <c r="E81" t="s">
        <v>519</v>
      </c>
    </row>
    <row r="82" spans="1:5" x14ac:dyDescent="0.2">
      <c r="A82" t="s">
        <v>339</v>
      </c>
      <c r="B82">
        <v>-0.43</v>
      </c>
      <c r="C82" t="s">
        <v>520</v>
      </c>
      <c r="D82">
        <v>5.78</v>
      </c>
      <c r="E82" t="s">
        <v>519</v>
      </c>
    </row>
    <row r="83" spans="1:5" x14ac:dyDescent="0.2">
      <c r="A83" t="s">
        <v>341</v>
      </c>
      <c r="B83">
        <v>24.8</v>
      </c>
      <c r="C83" t="s">
        <v>520</v>
      </c>
      <c r="D83">
        <v>122</v>
      </c>
      <c r="E83" t="s">
        <v>519</v>
      </c>
    </row>
    <row r="84" spans="1:5" x14ac:dyDescent="0.2">
      <c r="A84" t="s">
        <v>347</v>
      </c>
      <c r="B84">
        <v>15.2</v>
      </c>
      <c r="C84" t="s">
        <v>522</v>
      </c>
      <c r="D84">
        <v>7.8</v>
      </c>
      <c r="E84" t="s">
        <v>519</v>
      </c>
    </row>
    <row r="85" spans="1:5" x14ac:dyDescent="0.2">
      <c r="A85" t="s">
        <v>351</v>
      </c>
      <c r="B85">
        <v>-6.7</v>
      </c>
      <c r="C85" t="s">
        <v>520</v>
      </c>
      <c r="D85">
        <v>-5.6</v>
      </c>
      <c r="E85" t="s">
        <v>519</v>
      </c>
    </row>
    <row r="86" spans="1:5" x14ac:dyDescent="0.2">
      <c r="A86" t="s">
        <v>357</v>
      </c>
      <c r="B86">
        <v>-2</v>
      </c>
      <c r="C86" t="s">
        <v>528</v>
      </c>
      <c r="D86">
        <v>-2</v>
      </c>
      <c r="E86" t="s">
        <v>519</v>
      </c>
    </row>
    <row r="87" spans="1:5" x14ac:dyDescent="0.2">
      <c r="A87" t="s">
        <v>359</v>
      </c>
      <c r="B87">
        <v>-6.1</v>
      </c>
      <c r="C87" t="s">
        <v>520</v>
      </c>
      <c r="D87">
        <v>-3.5</v>
      </c>
      <c r="E87" t="s">
        <v>519</v>
      </c>
    </row>
    <row r="88" spans="1:5" x14ac:dyDescent="0.2">
      <c r="A88" t="s">
        <v>456</v>
      </c>
      <c r="B88">
        <v>7.1</v>
      </c>
      <c r="C88" t="s">
        <v>520</v>
      </c>
      <c r="D88">
        <v>6.9</v>
      </c>
      <c r="E88" t="s">
        <v>519</v>
      </c>
    </row>
    <row r="89" spans="1:5" x14ac:dyDescent="0.2">
      <c r="A89" t="s">
        <v>361</v>
      </c>
      <c r="B89">
        <v>14.8</v>
      </c>
      <c r="C89" t="s">
        <v>528</v>
      </c>
      <c r="D89">
        <v>6.2</v>
      </c>
      <c r="E89" t="s">
        <v>519</v>
      </c>
    </row>
    <row r="90" spans="1:5" x14ac:dyDescent="0.2">
      <c r="A90" t="s">
        <v>363</v>
      </c>
      <c r="B90">
        <v>6.5</v>
      </c>
      <c r="C90" t="s">
        <v>521</v>
      </c>
      <c r="D90">
        <v>5.8</v>
      </c>
      <c r="E90" t="s">
        <v>519</v>
      </c>
    </row>
    <row r="91" spans="1:5" x14ac:dyDescent="0.2">
      <c r="A91" t="s">
        <v>369</v>
      </c>
      <c r="B91">
        <v>8.6</v>
      </c>
      <c r="C91" t="s">
        <v>520</v>
      </c>
      <c r="D91">
        <v>15.6</v>
      </c>
      <c r="E91" t="s">
        <v>519</v>
      </c>
    </row>
    <row r="92" spans="1:5" x14ac:dyDescent="0.2">
      <c r="A92" t="s">
        <v>499</v>
      </c>
      <c r="B92">
        <v>0.9</v>
      </c>
      <c r="C92" t="s">
        <v>520</v>
      </c>
      <c r="D92">
        <v>1.4</v>
      </c>
      <c r="E92" t="s">
        <v>519</v>
      </c>
    </row>
    <row r="93" spans="1:5" x14ac:dyDescent="0.2">
      <c r="A93" t="s">
        <v>395</v>
      </c>
      <c r="B93">
        <v>-15.2</v>
      </c>
      <c r="C93" t="s">
        <v>521</v>
      </c>
      <c r="D93">
        <v>-8.5</v>
      </c>
      <c r="E93" t="s">
        <v>519</v>
      </c>
    </row>
    <row r="94" spans="1:5" x14ac:dyDescent="0.2">
      <c r="A94" t="s">
        <v>371</v>
      </c>
      <c r="B94">
        <v>16.899999999999999</v>
      </c>
      <c r="C94" t="s">
        <v>520</v>
      </c>
      <c r="D94">
        <v>-2.2000000000000002</v>
      </c>
      <c r="E94" t="s">
        <v>519</v>
      </c>
    </row>
    <row r="95" spans="1:5" x14ac:dyDescent="0.2">
      <c r="A95" t="s">
        <v>496</v>
      </c>
      <c r="B95">
        <v>-0.6</v>
      </c>
      <c r="C95" t="s">
        <v>520</v>
      </c>
      <c r="D95">
        <v>-4.9000000000000004</v>
      </c>
      <c r="E95" t="s">
        <v>519</v>
      </c>
    </row>
    <row r="96" spans="1:5" x14ac:dyDescent="0.2">
      <c r="A96" t="s">
        <v>171</v>
      </c>
      <c r="B96">
        <v>6.2</v>
      </c>
      <c r="C96" t="s">
        <v>520</v>
      </c>
      <c r="D96">
        <v>8.6</v>
      </c>
      <c r="E96" t="s">
        <v>519</v>
      </c>
    </row>
    <row r="97" spans="1:5" x14ac:dyDescent="0.2">
      <c r="A97" t="s">
        <v>484</v>
      </c>
      <c r="B97">
        <v>-8.9</v>
      </c>
      <c r="C97" t="s">
        <v>520</v>
      </c>
      <c r="D97">
        <v>0.7</v>
      </c>
      <c r="E97" t="s">
        <v>519</v>
      </c>
    </row>
    <row r="98" spans="1:5" x14ac:dyDescent="0.2">
      <c r="A98" t="s">
        <v>243</v>
      </c>
      <c r="B98">
        <v>4.5</v>
      </c>
      <c r="C98" t="s">
        <v>520</v>
      </c>
      <c r="D98">
        <v>-1.8</v>
      </c>
      <c r="E98" t="s">
        <v>519</v>
      </c>
    </row>
    <row r="99" spans="1:5" x14ac:dyDescent="0.2">
      <c r="A99" t="s">
        <v>147</v>
      </c>
      <c r="B99">
        <v>-0.9</v>
      </c>
      <c r="C99" t="s">
        <v>520</v>
      </c>
      <c r="D99">
        <v>0.4</v>
      </c>
      <c r="E99" t="s">
        <v>519</v>
      </c>
    </row>
    <row r="100" spans="1:5" x14ac:dyDescent="0.2">
      <c r="A100" t="s">
        <v>261</v>
      </c>
      <c r="B100">
        <v>0.04</v>
      </c>
      <c r="C100" t="s">
        <v>520</v>
      </c>
      <c r="D100">
        <v>-8.23</v>
      </c>
      <c r="E100" t="s">
        <v>519</v>
      </c>
    </row>
    <row r="101" spans="1:5" x14ac:dyDescent="0.2">
      <c r="A101" t="s">
        <v>391</v>
      </c>
      <c r="B101">
        <v>3.7</v>
      </c>
      <c r="C101" t="s">
        <v>520</v>
      </c>
      <c r="D101">
        <v>3.5</v>
      </c>
      <c r="E101" t="s">
        <v>519</v>
      </c>
    </row>
    <row r="102" spans="1:5" x14ac:dyDescent="0.2">
      <c r="A102" t="s">
        <v>91</v>
      </c>
      <c r="B102">
        <v>8.3000000000000007</v>
      </c>
      <c r="C102" t="s">
        <v>521</v>
      </c>
      <c r="D102">
        <v>16.100000000000001</v>
      </c>
      <c r="E102" t="s">
        <v>519</v>
      </c>
    </row>
    <row r="103" spans="1:5" x14ac:dyDescent="0.2">
      <c r="A103" t="s">
        <v>495</v>
      </c>
      <c r="B103">
        <v>11.25</v>
      </c>
      <c r="C103" t="s">
        <v>520</v>
      </c>
      <c r="D103">
        <v>11.61</v>
      </c>
      <c r="E103" t="s">
        <v>519</v>
      </c>
    </row>
    <row r="104" spans="1:5" x14ac:dyDescent="0.2">
      <c r="A104" t="s">
        <v>510</v>
      </c>
      <c r="B104">
        <v>23.4</v>
      </c>
      <c r="C104" t="s">
        <v>518</v>
      </c>
      <c r="D104">
        <v>21.5</v>
      </c>
      <c r="E104" t="s">
        <v>519</v>
      </c>
    </row>
    <row r="105" spans="1:5" x14ac:dyDescent="0.2">
      <c r="A105" t="s">
        <v>405</v>
      </c>
      <c r="B105">
        <v>2.91</v>
      </c>
      <c r="C105" t="s">
        <v>520</v>
      </c>
      <c r="D105">
        <v>0.3</v>
      </c>
      <c r="E105" t="s">
        <v>519</v>
      </c>
    </row>
    <row r="106" spans="1:5" x14ac:dyDescent="0.2">
      <c r="A106" t="s">
        <v>403</v>
      </c>
      <c r="B106">
        <v>13.4</v>
      </c>
      <c r="C106" t="s">
        <v>518</v>
      </c>
      <c r="D106">
        <v>6.8</v>
      </c>
      <c r="E106" t="s">
        <v>519</v>
      </c>
    </row>
    <row r="107" spans="1:5" x14ac:dyDescent="0.2">
      <c r="A107" t="s">
        <v>532</v>
      </c>
      <c r="B107">
        <v>10.4</v>
      </c>
      <c r="C107" t="s">
        <v>524</v>
      </c>
      <c r="D107">
        <v>18</v>
      </c>
      <c r="E107" t="s">
        <v>519</v>
      </c>
    </row>
    <row r="108" spans="1:5" x14ac:dyDescent="0.2">
      <c r="A108" t="s">
        <v>417</v>
      </c>
      <c r="B108">
        <v>4.5999999999999996</v>
      </c>
      <c r="C108" t="s">
        <v>521</v>
      </c>
      <c r="D108">
        <v>3.9</v>
      </c>
      <c r="E108" t="s">
        <v>519</v>
      </c>
    </row>
    <row r="109" spans="1:5" x14ac:dyDescent="0.2">
      <c r="A109" t="s">
        <v>419</v>
      </c>
      <c r="B109">
        <v>8.5</v>
      </c>
      <c r="C109" t="s">
        <v>520</v>
      </c>
      <c r="D109">
        <v>9</v>
      </c>
      <c r="E109" t="s">
        <v>519</v>
      </c>
    </row>
    <row r="110" spans="1:5" x14ac:dyDescent="0.2">
      <c r="A110" t="s">
        <v>462</v>
      </c>
      <c r="B110">
        <v>1.4</v>
      </c>
      <c r="C110" t="s">
        <v>520</v>
      </c>
      <c r="D110">
        <v>-0.7</v>
      </c>
      <c r="E110" t="s">
        <v>519</v>
      </c>
    </row>
    <row r="111" spans="1:5" x14ac:dyDescent="0.2">
      <c r="A111" t="s">
        <v>177</v>
      </c>
      <c r="B111">
        <v>1.4</v>
      </c>
      <c r="C111" t="s">
        <v>520</v>
      </c>
      <c r="D111">
        <v>2.9</v>
      </c>
      <c r="E111" t="s">
        <v>519</v>
      </c>
    </row>
    <row r="112" spans="1:5" x14ac:dyDescent="0.2">
      <c r="A112" t="s">
        <v>432</v>
      </c>
      <c r="B112">
        <v>5.3</v>
      </c>
      <c r="C112" t="s">
        <v>522</v>
      </c>
      <c r="D112">
        <v>5.3</v>
      </c>
      <c r="E112" t="s">
        <v>519</v>
      </c>
    </row>
    <row r="113" spans="1:5" x14ac:dyDescent="0.2">
      <c r="A113" t="s">
        <v>430</v>
      </c>
      <c r="B113">
        <v>6.9</v>
      </c>
      <c r="C113" t="s">
        <v>520</v>
      </c>
      <c r="D113">
        <v>12.2</v>
      </c>
      <c r="E113" t="s">
        <v>519</v>
      </c>
    </row>
    <row r="114" spans="1:5" x14ac:dyDescent="0.2">
      <c r="A114" t="s">
        <v>464</v>
      </c>
      <c r="B114">
        <v>8.5</v>
      </c>
      <c r="C114" t="s">
        <v>518</v>
      </c>
      <c r="D114">
        <v>3.8</v>
      </c>
      <c r="E114" t="s">
        <v>519</v>
      </c>
    </row>
    <row r="115" spans="1:5" x14ac:dyDescent="0.2">
      <c r="A115" t="s">
        <v>470</v>
      </c>
      <c r="B115">
        <v>-20.6</v>
      </c>
      <c r="C115" t="s">
        <v>533</v>
      </c>
      <c r="D115">
        <v>-47</v>
      </c>
      <c r="E115" t="s">
        <v>519</v>
      </c>
    </row>
    <row r="116" spans="1:5" x14ac:dyDescent="0.2">
      <c r="A116" t="s">
        <v>476</v>
      </c>
      <c r="B116">
        <v>5.6</v>
      </c>
      <c r="C116" t="s">
        <v>522</v>
      </c>
      <c r="D116">
        <v>-1.8</v>
      </c>
      <c r="E116" t="s">
        <v>519</v>
      </c>
    </row>
  </sheetData>
  <autoFilter ref="A1:E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 tint="0.499984740745262"/>
  </sheetPr>
  <dimension ref="A1:AZ1224"/>
  <sheetViews>
    <sheetView workbookViewId="0">
      <pane xSplit="7" ySplit="1" topLeftCell="T2" activePane="bottomRight" state="frozen"/>
      <selection activeCell="B3" sqref="B3:G3"/>
      <selection pane="topRight" activeCell="B3" sqref="B3:G3"/>
      <selection pane="bottomLeft" activeCell="B3" sqref="B3:G3"/>
      <selection pane="bottomRight" activeCell="AW1" sqref="AW1"/>
    </sheetView>
  </sheetViews>
  <sheetFormatPr baseColWidth="10" defaultColWidth="9.1640625" defaultRowHeight="15" x14ac:dyDescent="0.2"/>
  <cols>
    <col min="1" max="1" width="9.1640625" style="85" customWidth="1"/>
    <col min="2" max="2" width="11.1640625" style="85" customWidth="1"/>
    <col min="3" max="3" width="7" style="85" customWidth="1"/>
    <col min="4" max="4" width="4.6640625" style="85" customWidth="1"/>
    <col min="5" max="5" width="11" style="85" customWidth="1"/>
    <col min="6" max="6" width="10.6640625" style="85" bestFit="1" customWidth="1"/>
    <col min="7" max="7" width="10.6640625" style="49" bestFit="1" customWidth="1"/>
    <col min="8" max="10" width="9.1640625" style="20" customWidth="1"/>
    <col min="11" max="11" width="10.6640625" style="20" bestFit="1" customWidth="1"/>
    <col min="12" max="12" width="10.6640625" style="20" customWidth="1"/>
    <col min="13" max="51" width="9.1640625" style="20" customWidth="1"/>
    <col min="52" max="60" width="9.1640625" style="85" customWidth="1"/>
    <col min="61" max="16384" width="9.1640625" style="85"/>
  </cols>
  <sheetData>
    <row r="1" spans="1:52" x14ac:dyDescent="0.2">
      <c r="B1" t="s">
        <v>534</v>
      </c>
      <c r="G1" s="78"/>
      <c r="H1" s="79" t="s">
        <v>48</v>
      </c>
      <c r="I1" s="79" t="s">
        <v>50</v>
      </c>
      <c r="J1" s="79" t="s">
        <v>54</v>
      </c>
      <c r="K1" s="79" t="s">
        <v>86</v>
      </c>
      <c r="L1" s="79" t="s">
        <v>92</v>
      </c>
      <c r="M1" s="79" t="s">
        <v>535</v>
      </c>
      <c r="N1" s="79" t="s">
        <v>126</v>
      </c>
      <c r="O1" s="79" t="s">
        <v>132</v>
      </c>
      <c r="P1" s="79" t="s">
        <v>146</v>
      </c>
      <c r="Q1" s="79" t="s">
        <v>536</v>
      </c>
      <c r="R1" s="79" t="s">
        <v>152</v>
      </c>
      <c r="S1" s="79" t="s">
        <v>158</v>
      </c>
      <c r="T1" s="79" t="s">
        <v>176</v>
      </c>
      <c r="U1" s="79" t="s">
        <v>190</v>
      </c>
      <c r="V1" s="79" t="s">
        <v>206</v>
      </c>
      <c r="W1" s="79" t="s">
        <v>214</v>
      </c>
      <c r="X1" s="79" t="s">
        <v>220</v>
      </c>
      <c r="Y1" s="79" t="s">
        <v>222</v>
      </c>
      <c r="Z1" s="79" t="s">
        <v>224</v>
      </c>
      <c r="AA1" s="79" t="s">
        <v>230</v>
      </c>
      <c r="AB1" s="79" t="s">
        <v>537</v>
      </c>
      <c r="AC1" s="79" t="s">
        <v>264</v>
      </c>
      <c r="AD1" s="79" t="s">
        <v>538</v>
      </c>
      <c r="AE1" s="79" t="s">
        <v>276</v>
      </c>
      <c r="AF1" s="79" t="s">
        <v>314</v>
      </c>
      <c r="AG1" s="79" t="s">
        <v>318</v>
      </c>
      <c r="AH1" s="79" t="s">
        <v>539</v>
      </c>
      <c r="AI1" s="79" t="s">
        <v>346</v>
      </c>
      <c r="AJ1" s="79" t="s">
        <v>350</v>
      </c>
      <c r="AK1" s="79" t="s">
        <v>540</v>
      </c>
      <c r="AL1" s="79" t="s">
        <v>541</v>
      </c>
      <c r="AM1" s="79" t="s">
        <v>390</v>
      </c>
      <c r="AN1" s="79" t="s">
        <v>324</v>
      </c>
      <c r="AO1" s="79" t="s">
        <v>431</v>
      </c>
      <c r="AP1" s="79" t="s">
        <v>542</v>
      </c>
      <c r="AQ1" s="79" t="s">
        <v>543</v>
      </c>
      <c r="AR1" s="79" t="s">
        <v>544</v>
      </c>
      <c r="AS1" s="79" t="s">
        <v>90</v>
      </c>
      <c r="AT1" s="79" t="s">
        <v>210</v>
      </c>
      <c r="AU1" s="79" t="s">
        <v>483</v>
      </c>
      <c r="AV1" s="79" t="s">
        <v>545</v>
      </c>
      <c r="AW1" s="79" t="s">
        <v>546</v>
      </c>
      <c r="AX1" s="79" t="s">
        <v>418</v>
      </c>
      <c r="AY1" s="79" t="s">
        <v>74</v>
      </c>
      <c r="AZ1" s="79" t="s">
        <v>37</v>
      </c>
    </row>
    <row r="2" spans="1:52" x14ac:dyDescent="0.2">
      <c r="A2" t="s">
        <v>547</v>
      </c>
      <c r="B2" s="1">
        <v>6941</v>
      </c>
      <c r="C2" s="78">
        <v>2</v>
      </c>
      <c r="D2" s="1"/>
      <c r="E2" s="1">
        <f t="shared" ref="E2:E65" si="0">B2</f>
        <v>6941</v>
      </c>
      <c r="F2" s="2">
        <f t="shared" ref="F2:F65" si="1">B2</f>
        <v>6941</v>
      </c>
      <c r="G2" s="78">
        <v>0</v>
      </c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>
        <v>4.8144580000000001</v>
      </c>
      <c r="AP2" s="79"/>
      <c r="AQ2" s="79"/>
      <c r="AR2" s="79"/>
      <c r="AS2" s="79"/>
      <c r="AT2" s="79"/>
      <c r="AU2" s="79"/>
      <c r="AV2" s="79"/>
      <c r="AW2" s="79"/>
      <c r="AX2" s="79"/>
      <c r="AY2" s="79"/>
    </row>
    <row r="3" spans="1:52" x14ac:dyDescent="0.2">
      <c r="A3" t="s">
        <v>548</v>
      </c>
      <c r="B3" s="1">
        <v>6972</v>
      </c>
      <c r="C3" s="78">
        <v>3</v>
      </c>
      <c r="D3" s="1"/>
      <c r="E3" s="1">
        <f t="shared" si="0"/>
        <v>6972</v>
      </c>
      <c r="F3" s="2">
        <f t="shared" si="1"/>
        <v>6972</v>
      </c>
      <c r="G3" s="78">
        <v>1</v>
      </c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>
        <v>4.6016089999999998</v>
      </c>
      <c r="AP3" s="79"/>
      <c r="AQ3" s="79"/>
      <c r="AR3" s="79"/>
      <c r="AS3" s="79"/>
      <c r="AT3" s="79"/>
      <c r="AU3" s="79"/>
      <c r="AV3" s="79"/>
      <c r="AW3" s="79"/>
      <c r="AX3" s="79"/>
      <c r="AY3" s="79"/>
    </row>
    <row r="4" spans="1:52" x14ac:dyDescent="0.2">
      <c r="A4" t="s">
        <v>549</v>
      </c>
      <c r="B4" s="1">
        <v>7000</v>
      </c>
      <c r="C4" s="78">
        <v>4</v>
      </c>
      <c r="D4" s="1"/>
      <c r="E4" s="1">
        <f t="shared" si="0"/>
        <v>7000</v>
      </c>
      <c r="F4" s="2">
        <f t="shared" si="1"/>
        <v>7000</v>
      </c>
      <c r="G4" s="78">
        <v>2</v>
      </c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>
        <v>4.4686750000000002</v>
      </c>
      <c r="AP4" s="79"/>
      <c r="AQ4" s="79"/>
      <c r="AR4" s="79"/>
      <c r="AS4" s="79"/>
      <c r="AT4" s="79"/>
      <c r="AU4" s="79"/>
      <c r="AV4" s="79"/>
      <c r="AW4" s="79"/>
      <c r="AX4" s="79"/>
      <c r="AY4" s="79"/>
    </row>
    <row r="5" spans="1:52" x14ac:dyDescent="0.2">
      <c r="A5" t="s">
        <v>550</v>
      </c>
      <c r="B5" s="1">
        <v>7031</v>
      </c>
      <c r="C5" s="78">
        <v>5</v>
      </c>
      <c r="D5" s="1"/>
      <c r="E5" s="1">
        <f t="shared" si="0"/>
        <v>7031</v>
      </c>
      <c r="F5" s="2">
        <f t="shared" si="1"/>
        <v>7031</v>
      </c>
      <c r="G5" s="78">
        <v>3</v>
      </c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>
        <v>4.5484929999999997</v>
      </c>
      <c r="AP5" s="79"/>
      <c r="AQ5" s="79"/>
      <c r="AR5" s="79"/>
      <c r="AS5" s="79"/>
      <c r="AT5" s="79"/>
      <c r="AU5" s="79"/>
      <c r="AV5" s="79"/>
      <c r="AW5" s="79"/>
      <c r="AX5" s="79"/>
      <c r="AY5" s="79"/>
    </row>
    <row r="6" spans="1:52" x14ac:dyDescent="0.2">
      <c r="A6" t="s">
        <v>551</v>
      </c>
      <c r="B6" s="1">
        <v>7061</v>
      </c>
      <c r="C6" s="78">
        <v>6</v>
      </c>
      <c r="D6" s="1"/>
      <c r="E6" s="1">
        <f t="shared" si="0"/>
        <v>7061</v>
      </c>
      <c r="F6" s="2">
        <f t="shared" si="1"/>
        <v>7061</v>
      </c>
      <c r="G6" s="78">
        <v>4</v>
      </c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>
        <v>4.5750989999999998</v>
      </c>
      <c r="AP6" s="79"/>
      <c r="AQ6" s="79"/>
      <c r="AR6" s="79"/>
      <c r="AS6" s="79"/>
      <c r="AT6" s="79"/>
      <c r="AU6" s="79"/>
      <c r="AV6" s="79"/>
      <c r="AW6" s="79"/>
      <c r="AX6" s="79"/>
      <c r="AY6" s="79"/>
    </row>
    <row r="7" spans="1:52" x14ac:dyDescent="0.2">
      <c r="A7" t="s">
        <v>552</v>
      </c>
      <c r="B7" s="1">
        <v>7092</v>
      </c>
      <c r="C7" s="78">
        <v>7</v>
      </c>
      <c r="D7" s="1"/>
      <c r="E7" s="1">
        <f t="shared" si="0"/>
        <v>7092</v>
      </c>
      <c r="F7" s="2">
        <f t="shared" si="1"/>
        <v>7092</v>
      </c>
      <c r="G7" s="78">
        <v>5</v>
      </c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>
        <v>4.8676700000000004</v>
      </c>
      <c r="AP7" s="79"/>
      <c r="AQ7" s="79"/>
      <c r="AR7" s="79"/>
      <c r="AS7" s="79"/>
      <c r="AT7" s="79"/>
      <c r="AU7" s="79"/>
      <c r="AV7" s="79"/>
      <c r="AW7" s="79"/>
      <c r="AX7" s="79"/>
      <c r="AY7" s="79"/>
    </row>
    <row r="8" spans="1:52" x14ac:dyDescent="0.2">
      <c r="A8" t="s">
        <v>553</v>
      </c>
      <c r="B8" s="1">
        <v>7122</v>
      </c>
      <c r="C8" s="78">
        <v>8</v>
      </c>
      <c r="D8" s="1"/>
      <c r="E8" s="1">
        <f t="shared" si="0"/>
        <v>7122</v>
      </c>
      <c r="F8" s="2">
        <f t="shared" si="1"/>
        <v>7122</v>
      </c>
      <c r="G8" s="78">
        <v>6</v>
      </c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>
        <v>5.1602420000000002</v>
      </c>
      <c r="AP8" s="79"/>
      <c r="AQ8" s="79"/>
      <c r="AR8" s="79"/>
      <c r="AS8" s="79"/>
      <c r="AT8" s="79"/>
      <c r="AU8" s="79"/>
      <c r="AV8" s="79"/>
      <c r="AW8" s="79"/>
      <c r="AX8" s="79"/>
      <c r="AY8" s="79"/>
    </row>
    <row r="9" spans="1:52" x14ac:dyDescent="0.2">
      <c r="A9" t="s">
        <v>554</v>
      </c>
      <c r="B9" s="1">
        <v>7153</v>
      </c>
      <c r="C9" s="78">
        <v>9</v>
      </c>
      <c r="D9" s="1"/>
      <c r="E9" s="1">
        <f t="shared" si="0"/>
        <v>7153</v>
      </c>
      <c r="F9" s="2">
        <f t="shared" si="1"/>
        <v>7153</v>
      </c>
      <c r="G9" s="78">
        <v>7</v>
      </c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>
        <v>5.2400599999999997</v>
      </c>
      <c r="AP9" s="79"/>
      <c r="AQ9" s="79"/>
      <c r="AR9" s="79"/>
      <c r="AS9" s="79"/>
      <c r="AT9" s="79"/>
      <c r="AU9" s="79"/>
      <c r="AV9" s="79"/>
      <c r="AW9" s="79"/>
      <c r="AX9" s="79"/>
      <c r="AY9" s="79"/>
    </row>
    <row r="10" spans="1:52" x14ac:dyDescent="0.2">
      <c r="A10" t="s">
        <v>555</v>
      </c>
      <c r="B10" s="1">
        <v>7184</v>
      </c>
      <c r="C10" s="78">
        <v>10</v>
      </c>
      <c r="D10" s="1"/>
      <c r="E10" s="1">
        <f t="shared" si="0"/>
        <v>7184</v>
      </c>
      <c r="F10" s="2">
        <f t="shared" si="1"/>
        <v>7184</v>
      </c>
      <c r="G10" s="78">
        <v>8</v>
      </c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>
        <v>5.1336360000000001</v>
      </c>
      <c r="AP10" s="79"/>
      <c r="AQ10" s="79"/>
      <c r="AR10" s="79"/>
      <c r="AS10" s="79"/>
      <c r="AT10" s="79"/>
      <c r="AU10" s="79"/>
      <c r="AV10" s="79"/>
      <c r="AW10" s="79"/>
      <c r="AX10" s="79"/>
      <c r="AY10" s="79"/>
    </row>
    <row r="11" spans="1:52" x14ac:dyDescent="0.2">
      <c r="A11" t="s">
        <v>556</v>
      </c>
      <c r="B11" s="1">
        <v>7214</v>
      </c>
      <c r="C11" s="78">
        <v>11</v>
      </c>
      <c r="D11" s="1"/>
      <c r="E11" s="1">
        <f t="shared" si="0"/>
        <v>7214</v>
      </c>
      <c r="F11" s="2">
        <f t="shared" si="1"/>
        <v>7214</v>
      </c>
      <c r="G11" s="78">
        <v>9</v>
      </c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>
        <v>5.0804229999999997</v>
      </c>
      <c r="AP11" s="79"/>
      <c r="AQ11" s="79"/>
      <c r="AR11" s="79"/>
      <c r="AS11" s="79"/>
      <c r="AT11" s="79"/>
      <c r="AU11" s="79"/>
      <c r="AV11" s="79"/>
      <c r="AW11" s="79"/>
      <c r="AX11" s="79"/>
      <c r="AY11" s="79"/>
    </row>
    <row r="12" spans="1:52" x14ac:dyDescent="0.2">
      <c r="A12" t="s">
        <v>557</v>
      </c>
      <c r="B12" s="1">
        <v>7245</v>
      </c>
      <c r="C12" s="78">
        <v>12</v>
      </c>
      <c r="D12" s="1"/>
      <c r="E12" s="1">
        <f t="shared" si="0"/>
        <v>7245</v>
      </c>
      <c r="F12" s="2">
        <f t="shared" si="1"/>
        <v>7245</v>
      </c>
      <c r="G12" s="78">
        <v>10</v>
      </c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>
        <v>5.0006050000000002</v>
      </c>
      <c r="AP12" s="79"/>
      <c r="AQ12" s="79"/>
      <c r="AR12" s="79"/>
      <c r="AS12" s="79"/>
      <c r="AT12" s="79"/>
      <c r="AU12" s="79"/>
      <c r="AV12" s="79"/>
      <c r="AW12" s="79"/>
      <c r="AX12" s="79"/>
      <c r="AY12" s="79"/>
    </row>
    <row r="13" spans="1:52" x14ac:dyDescent="0.2">
      <c r="A13" t="s">
        <v>558</v>
      </c>
      <c r="B13" s="1">
        <v>7275</v>
      </c>
      <c r="C13" s="78">
        <v>13</v>
      </c>
      <c r="D13" s="1"/>
      <c r="E13" s="1">
        <f t="shared" si="0"/>
        <v>7275</v>
      </c>
      <c r="F13" s="2">
        <f t="shared" si="1"/>
        <v>7275</v>
      </c>
      <c r="G13" s="78">
        <v>11</v>
      </c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>
        <v>5.0804229999999997</v>
      </c>
      <c r="AP13" s="79"/>
      <c r="AQ13" s="79"/>
      <c r="AR13" s="79"/>
      <c r="AS13" s="79"/>
      <c r="AT13" s="79"/>
      <c r="AU13" s="79"/>
      <c r="AV13" s="79"/>
      <c r="AW13" s="79"/>
      <c r="AX13" s="79"/>
      <c r="AY13" s="79"/>
    </row>
    <row r="14" spans="1:52" x14ac:dyDescent="0.2">
      <c r="A14" t="s">
        <v>559</v>
      </c>
      <c r="B14" s="1">
        <v>7306</v>
      </c>
      <c r="C14" s="78">
        <v>14</v>
      </c>
      <c r="D14" s="1"/>
      <c r="E14" s="1">
        <f t="shared" si="0"/>
        <v>7306</v>
      </c>
      <c r="F14" s="2">
        <f t="shared" si="1"/>
        <v>7306</v>
      </c>
      <c r="G14" s="78">
        <v>12</v>
      </c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>
        <v>5.5592370000000004</v>
      </c>
      <c r="AP14" s="79"/>
      <c r="AQ14" s="79"/>
      <c r="AR14" s="79"/>
      <c r="AS14" s="79"/>
      <c r="AT14" s="79"/>
      <c r="AU14" s="79"/>
      <c r="AV14" s="79"/>
      <c r="AW14" s="79"/>
      <c r="AX14" s="79"/>
      <c r="AY14" s="79"/>
    </row>
    <row r="15" spans="1:52" x14ac:dyDescent="0.2">
      <c r="A15" t="s">
        <v>560</v>
      </c>
      <c r="B15" s="1">
        <v>7337</v>
      </c>
      <c r="C15" s="78">
        <v>15</v>
      </c>
      <c r="D15" s="1"/>
      <c r="E15" s="1">
        <f t="shared" si="0"/>
        <v>7337</v>
      </c>
      <c r="F15" s="2">
        <f t="shared" si="1"/>
        <v>7337</v>
      </c>
      <c r="G15" s="78">
        <v>13</v>
      </c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>
        <v>5.5592370000000004</v>
      </c>
      <c r="AP15" s="79"/>
      <c r="AQ15" s="79"/>
      <c r="AR15" s="79"/>
      <c r="AS15" s="79"/>
      <c r="AT15" s="79"/>
      <c r="AU15" s="79"/>
      <c r="AV15" s="79"/>
      <c r="AW15" s="79"/>
      <c r="AX15" s="79"/>
      <c r="AY15" s="79"/>
    </row>
    <row r="16" spans="1:52" x14ac:dyDescent="0.2">
      <c r="A16" t="s">
        <v>561</v>
      </c>
      <c r="B16" s="1">
        <v>7366</v>
      </c>
      <c r="C16" s="78">
        <v>16</v>
      </c>
      <c r="D16" s="1"/>
      <c r="E16" s="1">
        <f t="shared" si="0"/>
        <v>7366</v>
      </c>
      <c r="F16" s="2">
        <f t="shared" si="1"/>
        <v>7366</v>
      </c>
      <c r="G16" s="78">
        <v>14</v>
      </c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>
        <v>5.4528129999999999</v>
      </c>
      <c r="AP16" s="79"/>
      <c r="AQ16" s="79"/>
      <c r="AR16" s="79"/>
      <c r="AS16" s="79"/>
      <c r="AT16" s="79"/>
      <c r="AU16" s="79"/>
      <c r="AV16" s="79"/>
      <c r="AW16" s="79"/>
      <c r="AX16" s="79"/>
      <c r="AY16" s="79"/>
    </row>
    <row r="17" spans="1:51" x14ac:dyDescent="0.2">
      <c r="A17" t="s">
        <v>562</v>
      </c>
      <c r="B17" s="1">
        <v>7397</v>
      </c>
      <c r="C17" s="78">
        <v>17</v>
      </c>
      <c r="D17" s="1"/>
      <c r="E17" s="1">
        <f t="shared" si="0"/>
        <v>7397</v>
      </c>
      <c r="F17" s="2">
        <f t="shared" si="1"/>
        <v>7397</v>
      </c>
      <c r="G17" s="78">
        <v>15</v>
      </c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>
        <v>5.1602420000000002</v>
      </c>
      <c r="AP17" s="79"/>
      <c r="AQ17" s="79"/>
      <c r="AR17" s="79"/>
      <c r="AS17" s="79"/>
      <c r="AT17" s="79"/>
      <c r="AU17" s="79"/>
      <c r="AV17" s="79"/>
      <c r="AW17" s="79"/>
      <c r="AX17" s="79"/>
      <c r="AY17" s="79"/>
    </row>
    <row r="18" spans="1:51" x14ac:dyDescent="0.2">
      <c r="A18" t="s">
        <v>563</v>
      </c>
      <c r="B18" s="1">
        <v>7427</v>
      </c>
      <c r="C18" s="78">
        <v>18</v>
      </c>
      <c r="D18" s="1"/>
      <c r="E18" s="1">
        <f t="shared" si="0"/>
        <v>7427</v>
      </c>
      <c r="F18" s="2">
        <f t="shared" si="1"/>
        <v>7427</v>
      </c>
      <c r="G18" s="78">
        <v>16</v>
      </c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>
        <v>5.293272</v>
      </c>
      <c r="AP18" s="79"/>
      <c r="AQ18" s="79"/>
      <c r="AR18" s="79"/>
      <c r="AS18" s="79"/>
      <c r="AT18" s="79"/>
      <c r="AU18" s="79"/>
      <c r="AV18" s="79"/>
      <c r="AW18" s="79"/>
      <c r="AX18" s="79"/>
      <c r="AY18" s="79"/>
    </row>
    <row r="19" spans="1:51" x14ac:dyDescent="0.2">
      <c r="A19" t="s">
        <v>564</v>
      </c>
      <c r="B19" s="1">
        <v>7458</v>
      </c>
      <c r="C19" s="78">
        <v>19</v>
      </c>
      <c r="D19" s="1"/>
      <c r="E19" s="1">
        <f t="shared" si="0"/>
        <v>7458</v>
      </c>
      <c r="F19" s="2">
        <f t="shared" si="1"/>
        <v>7458</v>
      </c>
      <c r="G19" s="78">
        <v>17</v>
      </c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>
        <v>5.3464840000000002</v>
      </c>
      <c r="AP19" s="79"/>
      <c r="AQ19" s="79"/>
      <c r="AR19" s="79"/>
      <c r="AS19" s="79"/>
      <c r="AT19" s="79"/>
      <c r="AU19" s="79"/>
      <c r="AV19" s="79"/>
      <c r="AW19" s="79"/>
      <c r="AX19" s="79"/>
      <c r="AY19" s="79"/>
    </row>
    <row r="20" spans="1:51" x14ac:dyDescent="0.2">
      <c r="A20" t="s">
        <v>565</v>
      </c>
      <c r="B20" s="1">
        <v>7488</v>
      </c>
      <c r="C20" s="78">
        <v>20</v>
      </c>
      <c r="D20" s="1"/>
      <c r="E20" s="1">
        <f t="shared" si="0"/>
        <v>7488</v>
      </c>
      <c r="F20" s="2">
        <f t="shared" si="1"/>
        <v>7488</v>
      </c>
      <c r="G20" s="78">
        <v>18</v>
      </c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>
        <v>5.2134539999999996</v>
      </c>
      <c r="AP20" s="79"/>
      <c r="AQ20" s="79"/>
      <c r="AR20" s="79"/>
      <c r="AS20" s="79"/>
      <c r="AT20" s="79"/>
      <c r="AU20" s="79"/>
      <c r="AV20" s="79"/>
      <c r="AW20" s="79"/>
      <c r="AX20" s="79"/>
      <c r="AY20" s="79"/>
    </row>
    <row r="21" spans="1:51" x14ac:dyDescent="0.2">
      <c r="A21" t="s">
        <v>566</v>
      </c>
      <c r="B21" s="1">
        <v>7519</v>
      </c>
      <c r="C21" s="78">
        <v>21</v>
      </c>
      <c r="D21" s="1"/>
      <c r="E21" s="1">
        <f t="shared" si="0"/>
        <v>7519</v>
      </c>
      <c r="F21" s="2">
        <f t="shared" si="1"/>
        <v>7519</v>
      </c>
      <c r="G21" s="78">
        <v>19</v>
      </c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>
        <v>5.2400599999999997</v>
      </c>
      <c r="AP21" s="79"/>
      <c r="AQ21" s="79"/>
      <c r="AR21" s="79"/>
      <c r="AS21" s="79"/>
      <c r="AT21" s="79"/>
      <c r="AU21" s="79"/>
      <c r="AV21" s="79"/>
      <c r="AW21" s="79"/>
      <c r="AX21" s="79"/>
      <c r="AY21" s="79"/>
    </row>
    <row r="22" spans="1:51" x14ac:dyDescent="0.2">
      <c r="A22" t="s">
        <v>567</v>
      </c>
      <c r="B22" s="1">
        <v>7550</v>
      </c>
      <c r="C22" s="78">
        <v>22</v>
      </c>
      <c r="D22" s="1"/>
      <c r="E22" s="1">
        <f t="shared" si="0"/>
        <v>7550</v>
      </c>
      <c r="F22" s="2">
        <f t="shared" si="1"/>
        <v>7550</v>
      </c>
      <c r="G22" s="78">
        <v>20</v>
      </c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>
        <v>5.0538169999999996</v>
      </c>
      <c r="AP22" s="79"/>
      <c r="AQ22" s="79"/>
      <c r="AR22" s="79"/>
      <c r="AS22" s="79"/>
      <c r="AT22" s="79"/>
      <c r="AU22" s="79"/>
      <c r="AV22" s="79"/>
      <c r="AW22" s="79"/>
      <c r="AX22" s="79"/>
      <c r="AY22" s="79"/>
    </row>
    <row r="23" spans="1:51" x14ac:dyDescent="0.2">
      <c r="A23" t="s">
        <v>568</v>
      </c>
      <c r="B23" s="1">
        <v>7580</v>
      </c>
      <c r="C23" s="78">
        <v>23</v>
      </c>
      <c r="D23" s="1"/>
      <c r="E23" s="1">
        <f t="shared" si="0"/>
        <v>7580</v>
      </c>
      <c r="F23" s="2">
        <f t="shared" si="1"/>
        <v>7580</v>
      </c>
      <c r="G23" s="78">
        <v>21</v>
      </c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>
        <v>4.8410640000000003</v>
      </c>
      <c r="AP23" s="79"/>
      <c r="AQ23" s="79"/>
      <c r="AR23" s="79"/>
      <c r="AS23" s="79"/>
      <c r="AT23" s="79"/>
      <c r="AU23" s="79"/>
      <c r="AV23" s="79"/>
      <c r="AW23" s="79"/>
      <c r="AX23" s="79"/>
      <c r="AY23" s="79"/>
    </row>
    <row r="24" spans="1:51" x14ac:dyDescent="0.2">
      <c r="A24" t="s">
        <v>569</v>
      </c>
      <c r="B24" s="1">
        <v>7611</v>
      </c>
      <c r="C24" s="78">
        <v>24</v>
      </c>
      <c r="D24" s="1"/>
      <c r="E24" s="1">
        <f t="shared" si="0"/>
        <v>7611</v>
      </c>
      <c r="F24" s="2">
        <f t="shared" si="1"/>
        <v>7611</v>
      </c>
      <c r="G24" s="78">
        <v>22</v>
      </c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>
        <v>4.442069</v>
      </c>
      <c r="AP24" s="79"/>
      <c r="AQ24" s="79"/>
      <c r="AR24" s="79"/>
      <c r="AS24" s="79"/>
      <c r="AT24" s="79"/>
      <c r="AU24" s="79"/>
      <c r="AV24" s="79"/>
      <c r="AW24" s="79"/>
      <c r="AX24" s="79"/>
      <c r="AY24" s="79"/>
    </row>
    <row r="25" spans="1:51" x14ac:dyDescent="0.2">
      <c r="A25" t="s">
        <v>570</v>
      </c>
      <c r="B25" s="1">
        <v>7641</v>
      </c>
      <c r="C25" s="78">
        <v>25</v>
      </c>
      <c r="D25" s="1"/>
      <c r="E25" s="1">
        <f t="shared" si="0"/>
        <v>7641</v>
      </c>
      <c r="F25" s="2">
        <f t="shared" si="1"/>
        <v>7641</v>
      </c>
      <c r="G25" s="78">
        <v>23</v>
      </c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>
        <v>4.1761030000000003</v>
      </c>
      <c r="AP25" s="79"/>
      <c r="AQ25" s="79"/>
      <c r="AR25" s="79"/>
      <c r="AS25" s="79"/>
      <c r="AT25" s="79"/>
      <c r="AU25" s="79"/>
      <c r="AV25" s="79"/>
      <c r="AW25" s="79"/>
      <c r="AX25" s="79"/>
      <c r="AY25" s="79"/>
    </row>
    <row r="26" spans="1:51" x14ac:dyDescent="0.2">
      <c r="A26" t="s">
        <v>571</v>
      </c>
      <c r="B26" s="1">
        <v>7672</v>
      </c>
      <c r="C26" s="78">
        <v>26</v>
      </c>
      <c r="D26" s="1"/>
      <c r="E26" s="1">
        <f t="shared" si="0"/>
        <v>7672</v>
      </c>
      <c r="F26" s="2">
        <f t="shared" si="1"/>
        <v>7672</v>
      </c>
      <c r="G26" s="78">
        <v>24</v>
      </c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>
        <v>3.9366479999999999</v>
      </c>
      <c r="AP26" s="79"/>
      <c r="AQ26" s="79"/>
      <c r="AR26" s="79"/>
      <c r="AS26" s="79"/>
      <c r="AT26" s="79"/>
      <c r="AU26" s="79"/>
      <c r="AV26" s="79"/>
      <c r="AW26" s="79"/>
      <c r="AX26" s="79"/>
      <c r="AY26" s="79"/>
    </row>
    <row r="27" spans="1:51" x14ac:dyDescent="0.2">
      <c r="A27" t="s">
        <v>572</v>
      </c>
      <c r="B27" s="1">
        <v>7703</v>
      </c>
      <c r="C27" s="78">
        <v>27</v>
      </c>
      <c r="D27" s="1"/>
      <c r="E27" s="1">
        <f t="shared" si="0"/>
        <v>7703</v>
      </c>
      <c r="F27" s="2">
        <f t="shared" si="1"/>
        <v>7703</v>
      </c>
      <c r="G27" s="78">
        <v>25</v>
      </c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>
        <v>3.8569260000000001</v>
      </c>
      <c r="AP27" s="79"/>
      <c r="AQ27" s="79"/>
      <c r="AR27" s="79"/>
      <c r="AS27" s="79"/>
      <c r="AT27" s="79"/>
      <c r="AU27" s="79"/>
      <c r="AV27" s="79"/>
      <c r="AW27" s="79"/>
      <c r="AX27" s="79"/>
      <c r="AY27" s="79"/>
    </row>
    <row r="28" spans="1:51" x14ac:dyDescent="0.2">
      <c r="A28" t="s">
        <v>573</v>
      </c>
      <c r="B28" s="1">
        <v>7731</v>
      </c>
      <c r="C28" s="78">
        <v>28</v>
      </c>
      <c r="D28" s="1"/>
      <c r="E28" s="1">
        <f t="shared" si="0"/>
        <v>7731</v>
      </c>
      <c r="F28" s="2">
        <f t="shared" si="1"/>
        <v>7731</v>
      </c>
      <c r="G28" s="78">
        <v>26</v>
      </c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>
        <v>3.750502</v>
      </c>
      <c r="AP28" s="79"/>
      <c r="AQ28" s="79"/>
      <c r="AR28" s="79"/>
      <c r="AS28" s="79"/>
      <c r="AT28" s="79"/>
      <c r="AU28" s="79"/>
      <c r="AV28" s="79"/>
      <c r="AW28" s="79"/>
      <c r="AX28" s="79"/>
      <c r="AY28" s="79"/>
    </row>
    <row r="29" spans="1:51" x14ac:dyDescent="0.2">
      <c r="A29" t="s">
        <v>574</v>
      </c>
      <c r="B29" s="1">
        <v>7762</v>
      </c>
      <c r="C29" s="78">
        <v>29</v>
      </c>
      <c r="D29" s="1"/>
      <c r="E29" s="1">
        <f t="shared" si="0"/>
        <v>7762</v>
      </c>
      <c r="F29" s="2">
        <f t="shared" si="1"/>
        <v>7762</v>
      </c>
      <c r="G29" s="78">
        <v>27</v>
      </c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>
        <v>3.750502</v>
      </c>
      <c r="AP29" s="79"/>
      <c r="AQ29" s="79"/>
      <c r="AR29" s="79"/>
      <c r="AS29" s="79"/>
      <c r="AT29" s="79"/>
      <c r="AU29" s="79"/>
      <c r="AV29" s="79"/>
      <c r="AW29" s="79"/>
      <c r="AX29" s="79"/>
      <c r="AY29" s="79"/>
    </row>
    <row r="30" spans="1:51" x14ac:dyDescent="0.2">
      <c r="A30" t="s">
        <v>575</v>
      </c>
      <c r="B30" s="1">
        <v>7792</v>
      </c>
      <c r="C30" s="78">
        <v>30</v>
      </c>
      <c r="D30" s="1"/>
      <c r="E30" s="1">
        <f t="shared" si="0"/>
        <v>7792</v>
      </c>
      <c r="F30" s="2">
        <f t="shared" si="1"/>
        <v>7792</v>
      </c>
      <c r="G30" s="78">
        <v>28</v>
      </c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>
        <v>3.8569260000000001</v>
      </c>
      <c r="AP30" s="79"/>
      <c r="AQ30" s="79"/>
      <c r="AR30" s="79"/>
      <c r="AS30" s="79"/>
      <c r="AT30" s="79"/>
      <c r="AU30" s="79"/>
      <c r="AV30" s="79"/>
      <c r="AW30" s="79"/>
      <c r="AX30" s="79"/>
      <c r="AY30" s="79"/>
    </row>
    <row r="31" spans="1:51" x14ac:dyDescent="0.2">
      <c r="A31" t="s">
        <v>576</v>
      </c>
      <c r="B31" s="1">
        <v>7823</v>
      </c>
      <c r="C31" s="78">
        <v>31</v>
      </c>
      <c r="D31" s="1"/>
      <c r="E31" s="1">
        <f t="shared" si="0"/>
        <v>7823</v>
      </c>
      <c r="F31" s="2">
        <f t="shared" si="1"/>
        <v>7823</v>
      </c>
      <c r="G31" s="78">
        <v>29</v>
      </c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>
        <v>3.8303199999999999</v>
      </c>
      <c r="AP31" s="79"/>
      <c r="AQ31" s="79"/>
      <c r="AR31" s="79"/>
      <c r="AS31" s="79"/>
      <c r="AT31" s="79"/>
      <c r="AU31" s="79"/>
      <c r="AV31" s="79"/>
      <c r="AW31" s="79"/>
      <c r="AX31" s="79"/>
      <c r="AY31" s="79"/>
    </row>
    <row r="32" spans="1:51" x14ac:dyDescent="0.2">
      <c r="A32" t="s">
        <v>577</v>
      </c>
      <c r="B32" s="1">
        <v>7853</v>
      </c>
      <c r="C32" s="78">
        <v>32</v>
      </c>
      <c r="D32" s="1"/>
      <c r="E32" s="1">
        <f t="shared" si="0"/>
        <v>7853</v>
      </c>
      <c r="F32" s="2">
        <f t="shared" si="1"/>
        <v>7853</v>
      </c>
      <c r="G32" s="78">
        <v>30</v>
      </c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>
        <v>3.8037139999999998</v>
      </c>
      <c r="AP32" s="79"/>
      <c r="AQ32" s="79"/>
      <c r="AR32" s="79"/>
      <c r="AS32" s="79"/>
      <c r="AT32" s="79"/>
      <c r="AU32" s="79"/>
      <c r="AV32" s="79"/>
      <c r="AW32" s="79"/>
      <c r="AX32" s="79"/>
      <c r="AY32" s="79"/>
    </row>
    <row r="33" spans="1:51" x14ac:dyDescent="0.2">
      <c r="A33" t="s">
        <v>578</v>
      </c>
      <c r="B33" s="1">
        <v>7884</v>
      </c>
      <c r="C33" s="78">
        <v>33</v>
      </c>
      <c r="D33" s="1"/>
      <c r="E33" s="1">
        <f t="shared" si="0"/>
        <v>7884</v>
      </c>
      <c r="F33" s="2">
        <f t="shared" si="1"/>
        <v>7884</v>
      </c>
      <c r="G33" s="78">
        <v>31</v>
      </c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>
        <v>3.9366479999999999</v>
      </c>
      <c r="AP33" s="79"/>
      <c r="AQ33" s="79"/>
      <c r="AR33" s="79"/>
      <c r="AS33" s="79"/>
      <c r="AT33" s="79"/>
      <c r="AU33" s="79"/>
      <c r="AV33" s="79"/>
      <c r="AW33" s="79"/>
      <c r="AX33" s="79"/>
      <c r="AY33" s="79"/>
    </row>
    <row r="34" spans="1:51" x14ac:dyDescent="0.2">
      <c r="A34" t="s">
        <v>579</v>
      </c>
      <c r="B34" s="1">
        <v>7915</v>
      </c>
      <c r="C34" s="78">
        <v>34</v>
      </c>
      <c r="D34" s="1"/>
      <c r="E34" s="1">
        <f t="shared" si="0"/>
        <v>7915</v>
      </c>
      <c r="F34" s="2">
        <f t="shared" si="1"/>
        <v>7915</v>
      </c>
      <c r="G34" s="78">
        <v>32</v>
      </c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>
        <v>3.9632540000000001</v>
      </c>
      <c r="AP34" s="79"/>
      <c r="AQ34" s="79"/>
      <c r="AR34" s="79"/>
      <c r="AS34" s="79"/>
      <c r="AT34" s="79"/>
      <c r="AU34" s="79"/>
      <c r="AV34" s="79"/>
      <c r="AW34" s="79"/>
      <c r="AX34" s="79"/>
      <c r="AY34" s="79"/>
    </row>
    <row r="35" spans="1:51" x14ac:dyDescent="0.2">
      <c r="A35" t="s">
        <v>580</v>
      </c>
      <c r="B35" s="1">
        <v>7945</v>
      </c>
      <c r="C35" s="78">
        <v>35</v>
      </c>
      <c r="D35" s="1"/>
      <c r="E35" s="1">
        <f t="shared" si="0"/>
        <v>7945</v>
      </c>
      <c r="F35" s="2">
        <f t="shared" si="1"/>
        <v>7945</v>
      </c>
      <c r="G35" s="78">
        <v>33</v>
      </c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>
        <v>4.2027099999999997</v>
      </c>
      <c r="AP35" s="79"/>
      <c r="AQ35" s="79"/>
      <c r="AR35" s="79"/>
      <c r="AS35" s="79"/>
      <c r="AT35" s="79"/>
      <c r="AU35" s="79"/>
      <c r="AV35" s="79"/>
      <c r="AW35" s="79"/>
      <c r="AX35" s="79"/>
      <c r="AY35" s="79"/>
    </row>
    <row r="36" spans="1:51" x14ac:dyDescent="0.2">
      <c r="A36" t="s">
        <v>581</v>
      </c>
      <c r="B36" s="1">
        <v>7976</v>
      </c>
      <c r="C36" s="78">
        <v>36</v>
      </c>
      <c r="D36" s="1"/>
      <c r="E36" s="1">
        <f t="shared" si="0"/>
        <v>7976</v>
      </c>
      <c r="F36" s="2">
        <f t="shared" si="1"/>
        <v>7976</v>
      </c>
      <c r="G36" s="78">
        <v>34</v>
      </c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>
        <v>4.1494970000000002</v>
      </c>
      <c r="AP36" s="79"/>
      <c r="AQ36" s="79"/>
      <c r="AR36" s="79"/>
      <c r="AS36" s="79"/>
      <c r="AT36" s="79"/>
      <c r="AU36" s="79"/>
      <c r="AV36" s="79"/>
      <c r="AW36" s="79"/>
      <c r="AX36" s="79"/>
      <c r="AY36" s="79"/>
    </row>
    <row r="37" spans="1:51" x14ac:dyDescent="0.2">
      <c r="A37" t="s">
        <v>582</v>
      </c>
      <c r="B37" s="1">
        <v>8006</v>
      </c>
      <c r="C37" s="78">
        <v>37</v>
      </c>
      <c r="D37" s="1"/>
      <c r="E37" s="1">
        <f t="shared" si="0"/>
        <v>8006</v>
      </c>
      <c r="F37" s="2">
        <f t="shared" si="1"/>
        <v>8006</v>
      </c>
      <c r="G37" s="78">
        <v>35</v>
      </c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>
        <v>4.1228910000000001</v>
      </c>
      <c r="AP37" s="79"/>
      <c r="AQ37" s="79"/>
      <c r="AR37" s="79"/>
      <c r="AS37" s="79"/>
      <c r="AT37" s="79"/>
      <c r="AU37" s="79"/>
      <c r="AV37" s="79"/>
      <c r="AW37" s="79"/>
      <c r="AX37" s="79"/>
      <c r="AY37" s="79"/>
    </row>
    <row r="38" spans="1:51" x14ac:dyDescent="0.2">
      <c r="A38" t="s">
        <v>583</v>
      </c>
      <c r="B38" s="1">
        <v>8037</v>
      </c>
      <c r="C38" s="78">
        <v>38</v>
      </c>
      <c r="D38" s="1"/>
      <c r="E38" s="1">
        <f t="shared" si="0"/>
        <v>8037</v>
      </c>
      <c r="F38" s="2">
        <f t="shared" si="1"/>
        <v>8037</v>
      </c>
      <c r="G38" s="78">
        <v>36</v>
      </c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>
        <v>4.282432</v>
      </c>
      <c r="AP38" s="79"/>
      <c r="AQ38" s="79"/>
      <c r="AR38" s="79"/>
      <c r="AS38" s="79"/>
      <c r="AT38" s="79"/>
      <c r="AU38" s="79"/>
      <c r="AV38" s="79"/>
      <c r="AW38" s="79"/>
      <c r="AX38" s="79"/>
      <c r="AY38" s="79"/>
    </row>
    <row r="39" spans="1:51" x14ac:dyDescent="0.2">
      <c r="A39" t="s">
        <v>584</v>
      </c>
      <c r="B39" s="1">
        <v>8068</v>
      </c>
      <c r="C39" s="78">
        <v>39</v>
      </c>
      <c r="D39" s="1"/>
      <c r="E39" s="1">
        <f t="shared" si="0"/>
        <v>8068</v>
      </c>
      <c r="F39" s="2">
        <f t="shared" si="1"/>
        <v>8068</v>
      </c>
      <c r="G39" s="78">
        <v>37</v>
      </c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>
        <v>4.4686750000000002</v>
      </c>
      <c r="AP39" s="79"/>
      <c r="AQ39" s="79"/>
      <c r="AR39" s="79"/>
      <c r="AS39" s="79"/>
      <c r="AT39" s="79"/>
      <c r="AU39" s="79"/>
      <c r="AV39" s="79"/>
      <c r="AW39" s="79"/>
      <c r="AX39" s="79"/>
      <c r="AY39" s="79"/>
    </row>
    <row r="40" spans="1:51" x14ac:dyDescent="0.2">
      <c r="A40" t="s">
        <v>585</v>
      </c>
      <c r="B40" s="1">
        <v>8096</v>
      </c>
      <c r="C40" s="78">
        <v>40</v>
      </c>
      <c r="D40" s="1"/>
      <c r="E40" s="1">
        <f t="shared" si="0"/>
        <v>8096</v>
      </c>
      <c r="F40" s="2">
        <f t="shared" si="1"/>
        <v>8096</v>
      </c>
      <c r="G40" s="78">
        <v>38</v>
      </c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>
        <v>4.7080339999999996</v>
      </c>
      <c r="AP40" s="79"/>
      <c r="AQ40" s="79"/>
      <c r="AR40" s="79"/>
      <c r="AS40" s="79"/>
      <c r="AT40" s="79"/>
      <c r="AU40" s="79"/>
      <c r="AV40" s="79"/>
      <c r="AW40" s="79"/>
      <c r="AX40" s="79"/>
      <c r="AY40" s="79"/>
    </row>
    <row r="41" spans="1:51" x14ac:dyDescent="0.2">
      <c r="A41" t="s">
        <v>586</v>
      </c>
      <c r="B41" s="1">
        <v>8127</v>
      </c>
      <c r="C41" s="78">
        <v>41</v>
      </c>
      <c r="D41" s="1"/>
      <c r="E41" s="1">
        <f t="shared" si="0"/>
        <v>8127</v>
      </c>
      <c r="F41" s="2">
        <f t="shared" si="1"/>
        <v>8127</v>
      </c>
      <c r="G41" s="78">
        <v>39</v>
      </c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>
        <v>4.5484929999999997</v>
      </c>
      <c r="AP41" s="79"/>
      <c r="AQ41" s="79"/>
      <c r="AR41" s="79"/>
      <c r="AS41" s="79"/>
      <c r="AT41" s="79"/>
      <c r="AU41" s="79"/>
      <c r="AV41" s="79"/>
      <c r="AW41" s="79"/>
      <c r="AX41" s="79"/>
      <c r="AY41" s="79"/>
    </row>
    <row r="42" spans="1:51" x14ac:dyDescent="0.2">
      <c r="A42" t="s">
        <v>587</v>
      </c>
      <c r="B42" s="1">
        <v>8157</v>
      </c>
      <c r="C42" s="78">
        <v>42</v>
      </c>
      <c r="D42" s="1"/>
      <c r="E42" s="1">
        <f t="shared" si="0"/>
        <v>8157</v>
      </c>
      <c r="F42" s="2">
        <f t="shared" si="1"/>
        <v>8157</v>
      </c>
      <c r="G42" s="78">
        <v>40</v>
      </c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>
        <v>4.787852</v>
      </c>
      <c r="AP42" s="79"/>
      <c r="AQ42" s="79"/>
      <c r="AR42" s="79"/>
      <c r="AS42" s="79"/>
      <c r="AT42" s="79"/>
      <c r="AU42" s="79"/>
      <c r="AV42" s="79"/>
      <c r="AW42" s="79"/>
      <c r="AX42" s="79"/>
      <c r="AY42" s="79"/>
    </row>
    <row r="43" spans="1:51" x14ac:dyDescent="0.2">
      <c r="A43" t="s">
        <v>588</v>
      </c>
      <c r="B43" s="1">
        <v>8188</v>
      </c>
      <c r="C43" s="78">
        <v>43</v>
      </c>
      <c r="D43" s="1"/>
      <c r="E43" s="1">
        <f t="shared" si="0"/>
        <v>8188</v>
      </c>
      <c r="F43" s="2">
        <f t="shared" si="1"/>
        <v>8188</v>
      </c>
      <c r="G43" s="78">
        <v>41</v>
      </c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>
        <v>5.0272110000000003</v>
      </c>
      <c r="AP43" s="79"/>
      <c r="AQ43" s="79"/>
      <c r="AR43" s="79"/>
      <c r="AS43" s="79"/>
      <c r="AT43" s="79"/>
      <c r="AU43" s="79"/>
      <c r="AV43" s="79"/>
      <c r="AW43" s="79"/>
      <c r="AX43" s="79"/>
      <c r="AY43" s="79"/>
    </row>
    <row r="44" spans="1:51" x14ac:dyDescent="0.2">
      <c r="A44" t="s">
        <v>589</v>
      </c>
      <c r="B44" s="1">
        <v>8218</v>
      </c>
      <c r="C44" s="78">
        <v>44</v>
      </c>
      <c r="D44" s="1"/>
      <c r="E44" s="1">
        <f t="shared" si="0"/>
        <v>8218</v>
      </c>
      <c r="F44" s="2">
        <f t="shared" si="1"/>
        <v>8218</v>
      </c>
      <c r="G44" s="78">
        <v>42</v>
      </c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>
        <v>5.0272110000000003</v>
      </c>
      <c r="AP44" s="79"/>
      <c r="AQ44" s="79"/>
      <c r="AR44" s="79"/>
      <c r="AS44" s="79"/>
      <c r="AT44" s="79"/>
      <c r="AU44" s="79"/>
      <c r="AV44" s="79"/>
      <c r="AW44" s="79"/>
      <c r="AX44" s="79"/>
      <c r="AY44" s="79"/>
    </row>
    <row r="45" spans="1:51" x14ac:dyDescent="0.2">
      <c r="A45" t="s">
        <v>590</v>
      </c>
      <c r="B45" s="1">
        <v>8249</v>
      </c>
      <c r="C45" s="78">
        <v>45</v>
      </c>
      <c r="D45" s="1"/>
      <c r="E45" s="1">
        <f t="shared" si="0"/>
        <v>8249</v>
      </c>
      <c r="F45" s="2">
        <f t="shared" si="1"/>
        <v>8249</v>
      </c>
      <c r="G45" s="78">
        <v>43</v>
      </c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>
        <v>4.9208819999999998</v>
      </c>
      <c r="AP45" s="79"/>
      <c r="AQ45" s="79"/>
      <c r="AR45" s="79"/>
      <c r="AS45" s="79"/>
      <c r="AT45" s="79"/>
      <c r="AU45" s="79"/>
      <c r="AV45" s="79"/>
      <c r="AW45" s="79"/>
      <c r="AX45" s="79"/>
      <c r="AY45" s="79"/>
    </row>
    <row r="46" spans="1:51" x14ac:dyDescent="0.2">
      <c r="A46" t="s">
        <v>591</v>
      </c>
      <c r="B46" s="1">
        <v>8280</v>
      </c>
      <c r="C46" s="78">
        <v>46</v>
      </c>
      <c r="D46" s="1"/>
      <c r="E46" s="1">
        <f t="shared" si="0"/>
        <v>8280</v>
      </c>
      <c r="F46" s="2">
        <f t="shared" si="1"/>
        <v>8280</v>
      </c>
      <c r="G46" s="78">
        <v>44</v>
      </c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>
        <v>5.1868480000000003</v>
      </c>
      <c r="AP46" s="79"/>
      <c r="AQ46" s="79"/>
      <c r="AR46" s="79"/>
      <c r="AS46" s="79"/>
      <c r="AT46" s="79"/>
      <c r="AU46" s="79"/>
      <c r="AV46" s="79"/>
      <c r="AW46" s="79"/>
      <c r="AX46" s="79"/>
      <c r="AY46" s="79"/>
    </row>
    <row r="47" spans="1:51" x14ac:dyDescent="0.2">
      <c r="A47" t="s">
        <v>592</v>
      </c>
      <c r="B47" s="1">
        <v>8310</v>
      </c>
      <c r="C47" s="78">
        <v>47</v>
      </c>
      <c r="D47" s="1"/>
      <c r="E47" s="1">
        <f t="shared" si="0"/>
        <v>8310</v>
      </c>
      <c r="F47" s="2">
        <f t="shared" si="1"/>
        <v>8310</v>
      </c>
      <c r="G47" s="78">
        <v>45</v>
      </c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>
        <v>5.479419</v>
      </c>
      <c r="AP47" s="79"/>
      <c r="AQ47" s="79"/>
      <c r="AR47" s="79"/>
      <c r="AS47" s="79"/>
      <c r="AT47" s="79"/>
      <c r="AU47" s="79"/>
      <c r="AV47" s="79"/>
      <c r="AW47" s="79"/>
      <c r="AX47" s="79"/>
      <c r="AY47" s="79"/>
    </row>
    <row r="48" spans="1:51" x14ac:dyDescent="0.2">
      <c r="A48" t="s">
        <v>593</v>
      </c>
      <c r="B48" s="1">
        <v>8341</v>
      </c>
      <c r="C48" s="78">
        <v>48</v>
      </c>
      <c r="D48" s="1"/>
      <c r="E48" s="1">
        <f t="shared" si="0"/>
        <v>8341</v>
      </c>
      <c r="F48" s="2">
        <f t="shared" si="1"/>
        <v>8341</v>
      </c>
      <c r="G48" s="78">
        <v>46</v>
      </c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>
        <v>5.7187780000000004</v>
      </c>
      <c r="AP48" s="79"/>
      <c r="AQ48" s="79"/>
      <c r="AR48" s="79"/>
      <c r="AS48" s="79"/>
      <c r="AT48" s="79"/>
      <c r="AU48" s="79"/>
      <c r="AV48" s="79"/>
      <c r="AW48" s="79"/>
      <c r="AX48" s="79"/>
      <c r="AY48" s="79"/>
    </row>
    <row r="49" spans="1:51" x14ac:dyDescent="0.2">
      <c r="A49" t="s">
        <v>594</v>
      </c>
      <c r="B49" s="1">
        <v>8371</v>
      </c>
      <c r="C49" s="78">
        <v>49</v>
      </c>
      <c r="D49" s="1"/>
      <c r="E49" s="1">
        <f t="shared" si="0"/>
        <v>8371</v>
      </c>
      <c r="F49" s="2">
        <f t="shared" si="1"/>
        <v>8371</v>
      </c>
      <c r="G49" s="78">
        <v>47</v>
      </c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>
        <v>5.8784140000000003</v>
      </c>
      <c r="AP49" s="79"/>
      <c r="AQ49" s="79"/>
      <c r="AR49" s="79"/>
      <c r="AS49" s="79"/>
      <c r="AT49" s="79"/>
      <c r="AU49" s="79"/>
      <c r="AV49" s="79"/>
      <c r="AW49" s="79"/>
      <c r="AX49" s="79"/>
      <c r="AY49" s="79"/>
    </row>
    <row r="50" spans="1:51" x14ac:dyDescent="0.2">
      <c r="A50" t="s">
        <v>595</v>
      </c>
      <c r="B50" s="1">
        <v>8402</v>
      </c>
      <c r="C50" s="78">
        <v>50</v>
      </c>
      <c r="D50" s="1"/>
      <c r="E50" s="1">
        <f t="shared" si="0"/>
        <v>8402</v>
      </c>
      <c r="F50" s="2">
        <f t="shared" si="1"/>
        <v>8402</v>
      </c>
      <c r="G50" s="78">
        <v>48</v>
      </c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>
        <v>5.7453839999999996</v>
      </c>
      <c r="AP50" s="79"/>
      <c r="AQ50" s="79"/>
      <c r="AR50" s="79"/>
      <c r="AS50" s="79"/>
      <c r="AT50" s="79"/>
      <c r="AU50" s="79"/>
      <c r="AV50" s="79"/>
      <c r="AW50" s="79"/>
      <c r="AX50" s="79"/>
      <c r="AY50" s="79"/>
    </row>
    <row r="51" spans="1:51" x14ac:dyDescent="0.2">
      <c r="A51" t="s">
        <v>596</v>
      </c>
      <c r="B51" s="1">
        <v>8433</v>
      </c>
      <c r="C51" s="78">
        <v>51</v>
      </c>
      <c r="D51" s="1"/>
      <c r="E51" s="1">
        <f t="shared" si="0"/>
        <v>8433</v>
      </c>
      <c r="F51" s="2">
        <f t="shared" si="1"/>
        <v>8433</v>
      </c>
      <c r="G51" s="78">
        <v>49</v>
      </c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>
        <v>5.825202</v>
      </c>
      <c r="AP51" s="79"/>
      <c r="AQ51" s="79"/>
      <c r="AR51" s="79"/>
      <c r="AS51" s="79"/>
      <c r="AT51" s="79"/>
      <c r="AU51" s="79"/>
      <c r="AV51" s="79"/>
      <c r="AW51" s="79"/>
      <c r="AX51" s="79"/>
      <c r="AY51" s="79"/>
    </row>
    <row r="52" spans="1:51" x14ac:dyDescent="0.2">
      <c r="A52" t="s">
        <v>597</v>
      </c>
      <c r="B52" s="1">
        <v>8461</v>
      </c>
      <c r="C52" s="78">
        <v>52</v>
      </c>
      <c r="D52" s="1"/>
      <c r="E52" s="1">
        <f t="shared" si="0"/>
        <v>8461</v>
      </c>
      <c r="F52" s="2">
        <f t="shared" si="1"/>
        <v>8461</v>
      </c>
      <c r="G52" s="78">
        <v>50</v>
      </c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>
        <v>6.0114450000000001</v>
      </c>
      <c r="AP52" s="79"/>
      <c r="AQ52" s="79"/>
      <c r="AR52" s="79"/>
      <c r="AS52" s="79"/>
      <c r="AT52" s="79"/>
      <c r="AU52" s="79"/>
      <c r="AV52" s="79"/>
      <c r="AW52" s="79"/>
      <c r="AX52" s="79"/>
      <c r="AY52" s="79"/>
    </row>
    <row r="53" spans="1:51" x14ac:dyDescent="0.2">
      <c r="A53" t="s">
        <v>598</v>
      </c>
      <c r="B53" s="1">
        <v>8492</v>
      </c>
      <c r="C53" s="78">
        <v>53</v>
      </c>
      <c r="D53" s="1"/>
      <c r="E53" s="1">
        <f t="shared" si="0"/>
        <v>8492</v>
      </c>
      <c r="F53" s="2">
        <f t="shared" si="1"/>
        <v>8492</v>
      </c>
      <c r="G53" s="78">
        <v>51</v>
      </c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  <c r="AK53" s="79"/>
      <c r="AL53" s="79"/>
      <c r="AM53" s="79"/>
      <c r="AN53" s="79"/>
      <c r="AO53" s="79">
        <v>6.14438</v>
      </c>
      <c r="AP53" s="79"/>
      <c r="AQ53" s="79"/>
      <c r="AR53" s="79"/>
      <c r="AS53" s="79"/>
      <c r="AT53" s="79"/>
      <c r="AU53" s="79"/>
      <c r="AV53" s="79"/>
      <c r="AW53" s="79"/>
      <c r="AX53" s="79"/>
      <c r="AY53" s="79"/>
    </row>
    <row r="54" spans="1:51" x14ac:dyDescent="0.2">
      <c r="A54" t="s">
        <v>599</v>
      </c>
      <c r="B54" s="1">
        <v>8522</v>
      </c>
      <c r="C54" s="78">
        <v>54</v>
      </c>
      <c r="D54" s="1"/>
      <c r="E54" s="1">
        <f t="shared" si="0"/>
        <v>8522</v>
      </c>
      <c r="F54" s="2">
        <f t="shared" si="1"/>
        <v>8522</v>
      </c>
      <c r="G54" s="78">
        <v>52</v>
      </c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>
        <v>6.2241980000000003</v>
      </c>
      <c r="AP54" s="79"/>
      <c r="AQ54" s="79"/>
      <c r="AR54" s="79"/>
      <c r="AS54" s="79">
        <v>2.0277669999999999</v>
      </c>
      <c r="AT54" s="79"/>
      <c r="AU54" s="79">
        <v>1.630733</v>
      </c>
      <c r="AV54" s="79"/>
      <c r="AW54" s="79"/>
      <c r="AX54" s="79"/>
      <c r="AY54" s="79"/>
    </row>
    <row r="55" spans="1:51" x14ac:dyDescent="0.2">
      <c r="A55" t="s">
        <v>600</v>
      </c>
      <c r="B55" s="1">
        <v>8553</v>
      </c>
      <c r="C55" s="78">
        <v>55</v>
      </c>
      <c r="D55" s="1"/>
      <c r="E55" s="1">
        <f t="shared" si="0"/>
        <v>8553</v>
      </c>
      <c r="F55" s="2">
        <f t="shared" si="1"/>
        <v>8553</v>
      </c>
      <c r="G55" s="78">
        <v>53</v>
      </c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>
        <v>6.1709860000000001</v>
      </c>
      <c r="AP55" s="79"/>
      <c r="AQ55" s="79"/>
      <c r="AR55" s="79"/>
      <c r="AS55" s="79">
        <v>3.6659320000000002</v>
      </c>
      <c r="AT55" s="79"/>
      <c r="AU55" s="79">
        <v>1.842597</v>
      </c>
      <c r="AV55" s="79"/>
      <c r="AW55" s="79"/>
      <c r="AX55" s="79"/>
      <c r="AY55" s="79"/>
    </row>
    <row r="56" spans="1:51" x14ac:dyDescent="0.2">
      <c r="A56" t="s">
        <v>601</v>
      </c>
      <c r="B56" s="1">
        <v>8583</v>
      </c>
      <c r="C56" s="78">
        <v>56</v>
      </c>
      <c r="D56" s="1"/>
      <c r="E56" s="1">
        <f t="shared" si="0"/>
        <v>8583</v>
      </c>
      <c r="F56" s="2">
        <f t="shared" si="1"/>
        <v>8583</v>
      </c>
      <c r="G56" s="78">
        <v>54</v>
      </c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>
        <v>6.1177739999999998</v>
      </c>
      <c r="AP56" s="79"/>
      <c r="AQ56" s="79"/>
      <c r="AR56" s="79"/>
      <c r="AS56" s="79">
        <v>4.3889999999999998E-2</v>
      </c>
      <c r="AT56" s="79"/>
      <c r="AU56" s="79">
        <v>0.98706300000000002</v>
      </c>
      <c r="AV56" s="79"/>
      <c r="AW56" s="79"/>
      <c r="AX56" s="79"/>
      <c r="AY56" s="79"/>
    </row>
    <row r="57" spans="1:51" x14ac:dyDescent="0.2">
      <c r="A57" t="s">
        <v>602</v>
      </c>
      <c r="B57" s="1">
        <v>8614</v>
      </c>
      <c r="C57" s="78">
        <v>57</v>
      </c>
      <c r="D57" s="1"/>
      <c r="E57" s="1">
        <f t="shared" si="0"/>
        <v>8614</v>
      </c>
      <c r="F57" s="2">
        <f t="shared" si="1"/>
        <v>8614</v>
      </c>
      <c r="G57" s="78">
        <v>55</v>
      </c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>
        <v>6.0114450000000001</v>
      </c>
      <c r="AP57" s="79"/>
      <c r="AQ57" s="79"/>
      <c r="AR57" s="79"/>
      <c r="AS57" s="79">
        <v>3.4219460000000002</v>
      </c>
      <c r="AT57" s="79"/>
      <c r="AU57" s="79">
        <v>0.72531999999999996</v>
      </c>
      <c r="AV57" s="79"/>
      <c r="AW57" s="79"/>
      <c r="AX57" s="79"/>
      <c r="AY57" s="79"/>
    </row>
    <row r="58" spans="1:51" x14ac:dyDescent="0.2">
      <c r="A58" t="s">
        <v>603</v>
      </c>
      <c r="B58" s="1">
        <v>8645</v>
      </c>
      <c r="C58" s="78">
        <v>58</v>
      </c>
      <c r="D58" s="1"/>
      <c r="E58" s="1">
        <f t="shared" si="0"/>
        <v>8645</v>
      </c>
      <c r="F58" s="2">
        <f t="shared" si="1"/>
        <v>8645</v>
      </c>
      <c r="G58" s="78">
        <v>56</v>
      </c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>
        <v>5.8784140000000003</v>
      </c>
      <c r="AP58" s="79"/>
      <c r="AQ58" s="79"/>
      <c r="AR58" s="79"/>
      <c r="AS58" s="79">
        <v>1.3555710000000001</v>
      </c>
      <c r="AT58" s="79"/>
      <c r="AU58" s="79">
        <v>-0.43698700000000001</v>
      </c>
      <c r="AV58" s="79"/>
      <c r="AW58" s="79"/>
      <c r="AX58" s="79"/>
      <c r="AY58" s="79"/>
    </row>
    <row r="59" spans="1:51" x14ac:dyDescent="0.2">
      <c r="A59" t="s">
        <v>604</v>
      </c>
      <c r="B59" s="1">
        <v>8675</v>
      </c>
      <c r="C59" s="78">
        <v>59</v>
      </c>
      <c r="D59" s="1"/>
      <c r="E59" s="1">
        <f t="shared" si="0"/>
        <v>8675</v>
      </c>
      <c r="F59" s="2">
        <f t="shared" si="1"/>
        <v>8675</v>
      </c>
      <c r="G59" s="78">
        <v>57</v>
      </c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>
        <v>5.8518080000000001</v>
      </c>
      <c r="AP59" s="79"/>
      <c r="AQ59" s="79"/>
      <c r="AR59" s="79"/>
      <c r="AS59" s="79">
        <v>1.2421260000000001</v>
      </c>
      <c r="AT59" s="79"/>
      <c r="AU59" s="79">
        <v>2.233625</v>
      </c>
      <c r="AV59" s="79"/>
      <c r="AW59" s="79"/>
      <c r="AX59" s="79"/>
      <c r="AY59" s="79"/>
    </row>
    <row r="60" spans="1:51" x14ac:dyDescent="0.2">
      <c r="A60" t="s">
        <v>605</v>
      </c>
      <c r="B60" s="1">
        <v>8706</v>
      </c>
      <c r="C60" s="78">
        <v>60</v>
      </c>
      <c r="D60" s="1"/>
      <c r="E60" s="1">
        <f t="shared" si="0"/>
        <v>8706</v>
      </c>
      <c r="F60" s="2">
        <f t="shared" si="1"/>
        <v>8706</v>
      </c>
      <c r="G60" s="78">
        <v>58</v>
      </c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>
        <v>5.8518080000000001</v>
      </c>
      <c r="AP60" s="79"/>
      <c r="AQ60" s="79"/>
      <c r="AR60" s="79"/>
      <c r="AS60" s="79">
        <v>1.9580439999999999</v>
      </c>
      <c r="AT60" s="79"/>
      <c r="AU60" s="79">
        <v>0.90900000000000003</v>
      </c>
      <c r="AV60" s="79"/>
      <c r="AW60" s="79"/>
      <c r="AX60" s="79"/>
      <c r="AY60" s="79"/>
    </row>
    <row r="61" spans="1:51" x14ac:dyDescent="0.2">
      <c r="A61" t="s">
        <v>606</v>
      </c>
      <c r="B61" s="1">
        <v>8736</v>
      </c>
      <c r="C61" s="78">
        <v>61</v>
      </c>
      <c r="D61" s="1"/>
      <c r="E61" s="1">
        <f t="shared" si="0"/>
        <v>8736</v>
      </c>
      <c r="F61" s="2">
        <f t="shared" si="1"/>
        <v>8736</v>
      </c>
      <c r="G61" s="78">
        <v>59</v>
      </c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>
        <v>5.7187780000000004</v>
      </c>
      <c r="AP61" s="79"/>
      <c r="AQ61" s="79"/>
      <c r="AR61" s="79"/>
      <c r="AS61" s="79">
        <v>0.57539600000000002</v>
      </c>
      <c r="AT61" s="79"/>
      <c r="AU61" s="79">
        <v>2.5865809999999998</v>
      </c>
      <c r="AV61" s="79"/>
      <c r="AW61" s="79"/>
      <c r="AX61" s="79"/>
      <c r="AY61" s="79"/>
    </row>
    <row r="62" spans="1:51" x14ac:dyDescent="0.2">
      <c r="A62" t="s">
        <v>607</v>
      </c>
      <c r="B62" s="1">
        <v>8767</v>
      </c>
      <c r="C62" s="78">
        <v>62</v>
      </c>
      <c r="D62" s="1"/>
      <c r="E62" s="1">
        <f t="shared" si="0"/>
        <v>8767</v>
      </c>
      <c r="F62" s="2">
        <f t="shared" si="1"/>
        <v>8767</v>
      </c>
      <c r="G62" s="78">
        <v>60</v>
      </c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>
        <v>5.8518080000000001</v>
      </c>
      <c r="AP62" s="79"/>
      <c r="AQ62" s="79"/>
      <c r="AR62" s="79"/>
      <c r="AS62" s="79">
        <v>1.155195</v>
      </c>
      <c r="AT62" s="79"/>
      <c r="AU62" s="79">
        <v>0.640571</v>
      </c>
      <c r="AV62" s="79"/>
      <c r="AW62" s="79"/>
      <c r="AX62" s="79"/>
      <c r="AY62" s="79"/>
    </row>
    <row r="63" spans="1:51" x14ac:dyDescent="0.2">
      <c r="A63" t="s">
        <v>608</v>
      </c>
      <c r="B63" s="1">
        <v>8798</v>
      </c>
      <c r="C63" s="78">
        <v>63</v>
      </c>
      <c r="D63" s="1"/>
      <c r="E63" s="1">
        <f t="shared" si="0"/>
        <v>8798</v>
      </c>
      <c r="F63" s="2">
        <f t="shared" si="1"/>
        <v>8798</v>
      </c>
      <c r="G63" s="78">
        <v>61</v>
      </c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>
        <v>5.9582329999999999</v>
      </c>
      <c r="AP63" s="79"/>
      <c r="AQ63" s="79"/>
      <c r="AR63" s="79"/>
      <c r="AS63" s="79">
        <v>1.370741</v>
      </c>
      <c r="AT63" s="79"/>
      <c r="AU63" s="79">
        <v>1.9520280000000001</v>
      </c>
      <c r="AV63" s="79"/>
      <c r="AW63" s="79"/>
      <c r="AX63" s="79"/>
      <c r="AY63" s="79"/>
    </row>
    <row r="64" spans="1:51" x14ac:dyDescent="0.2">
      <c r="A64" t="s">
        <v>609</v>
      </c>
      <c r="B64" s="1">
        <v>8827</v>
      </c>
      <c r="C64" s="78">
        <v>64</v>
      </c>
      <c r="D64" s="1"/>
      <c r="E64" s="1">
        <f t="shared" si="0"/>
        <v>8827</v>
      </c>
      <c r="F64" s="2">
        <f t="shared" si="1"/>
        <v>8827</v>
      </c>
      <c r="G64" s="78">
        <v>62</v>
      </c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>
        <v>5.8518080000000001</v>
      </c>
      <c r="AP64" s="79"/>
      <c r="AQ64" s="79"/>
      <c r="AR64" s="79"/>
      <c r="AS64" s="79">
        <v>0.64523900000000001</v>
      </c>
      <c r="AT64" s="79"/>
      <c r="AU64" s="79">
        <v>1.280861</v>
      </c>
      <c r="AV64" s="79"/>
      <c r="AW64" s="79"/>
      <c r="AX64" s="79"/>
      <c r="AY64" s="79"/>
    </row>
    <row r="65" spans="1:51" x14ac:dyDescent="0.2">
      <c r="A65" t="s">
        <v>610</v>
      </c>
      <c r="B65" s="1">
        <v>8858</v>
      </c>
      <c r="C65" s="78">
        <v>65</v>
      </c>
      <c r="D65" s="1"/>
      <c r="E65" s="1">
        <f t="shared" si="0"/>
        <v>8858</v>
      </c>
      <c r="F65" s="2">
        <f t="shared" si="1"/>
        <v>8858</v>
      </c>
      <c r="G65" s="78">
        <v>63</v>
      </c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>
        <v>5.6656610000000001</v>
      </c>
      <c r="AP65" s="79"/>
      <c r="AQ65" s="79"/>
      <c r="AR65" s="79"/>
      <c r="AS65" s="79">
        <v>-0.90559900000000004</v>
      </c>
      <c r="AT65" s="79"/>
      <c r="AU65" s="79">
        <v>1.322738</v>
      </c>
      <c r="AV65" s="79"/>
      <c r="AW65" s="79"/>
      <c r="AX65" s="79"/>
      <c r="AY65" s="79"/>
    </row>
    <row r="66" spans="1:51" x14ac:dyDescent="0.2">
      <c r="A66" t="s">
        <v>611</v>
      </c>
      <c r="B66" s="1">
        <v>8888</v>
      </c>
      <c r="C66" s="78">
        <v>66</v>
      </c>
      <c r="D66" s="1"/>
      <c r="E66" s="1">
        <f t="shared" ref="E66:E129" si="2">B66</f>
        <v>8888</v>
      </c>
      <c r="F66" s="2">
        <f t="shared" ref="F66:F129" si="3">B66</f>
        <v>8888</v>
      </c>
      <c r="G66" s="78">
        <v>64</v>
      </c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79">
        <v>5.4262069999999998</v>
      </c>
      <c r="AP66" s="79"/>
      <c r="AQ66" s="79"/>
      <c r="AR66" s="79"/>
      <c r="AS66" s="79">
        <v>3.8353809999999999</v>
      </c>
      <c r="AT66" s="79"/>
      <c r="AU66" s="79">
        <v>2.6442269999999999</v>
      </c>
      <c r="AV66" s="79"/>
      <c r="AW66" s="79"/>
      <c r="AX66" s="79"/>
      <c r="AY66" s="79"/>
    </row>
    <row r="67" spans="1:51" x14ac:dyDescent="0.2">
      <c r="A67" t="s">
        <v>612</v>
      </c>
      <c r="B67" s="1">
        <v>8919</v>
      </c>
      <c r="C67" s="78">
        <v>67</v>
      </c>
      <c r="D67" s="1"/>
      <c r="E67" s="1">
        <f t="shared" si="2"/>
        <v>8919</v>
      </c>
      <c r="F67" s="2">
        <f t="shared" si="3"/>
        <v>8919</v>
      </c>
      <c r="G67" s="78">
        <v>65</v>
      </c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79">
        <v>5.1868480000000003</v>
      </c>
      <c r="AP67" s="79"/>
      <c r="AQ67" s="79"/>
      <c r="AR67" s="79"/>
      <c r="AS67" s="79">
        <v>2.2287379999999999</v>
      </c>
      <c r="AT67" s="79"/>
      <c r="AU67" s="79">
        <v>2.639167</v>
      </c>
      <c r="AV67" s="79"/>
      <c r="AW67" s="79"/>
      <c r="AX67" s="79"/>
      <c r="AY67" s="79"/>
    </row>
    <row r="68" spans="1:51" x14ac:dyDescent="0.2">
      <c r="A68" t="s">
        <v>613</v>
      </c>
      <c r="B68" s="1">
        <v>8949</v>
      </c>
      <c r="C68" s="78">
        <v>68</v>
      </c>
      <c r="D68" s="1"/>
      <c r="E68" s="1">
        <f t="shared" si="2"/>
        <v>8949</v>
      </c>
      <c r="F68" s="2">
        <f t="shared" si="3"/>
        <v>8949</v>
      </c>
      <c r="G68" s="78">
        <v>66</v>
      </c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>
        <v>5.1070289999999998</v>
      </c>
      <c r="AP68" s="79"/>
      <c r="AQ68" s="79"/>
      <c r="AR68" s="79"/>
      <c r="AS68" s="79">
        <v>1.0864780000000001</v>
      </c>
      <c r="AT68" s="79"/>
      <c r="AU68" s="79">
        <v>1.7621709999999999</v>
      </c>
      <c r="AV68" s="79"/>
      <c r="AW68" s="79"/>
      <c r="AX68" s="79"/>
      <c r="AY68" s="79"/>
    </row>
    <row r="69" spans="1:51" x14ac:dyDescent="0.2">
      <c r="A69" t="s">
        <v>614</v>
      </c>
      <c r="B69" s="1">
        <v>8980</v>
      </c>
      <c r="C69" s="78">
        <v>69</v>
      </c>
      <c r="D69" s="1"/>
      <c r="E69" s="1">
        <f t="shared" si="2"/>
        <v>8980</v>
      </c>
      <c r="F69" s="2">
        <f t="shared" si="3"/>
        <v>8980</v>
      </c>
      <c r="G69" s="78">
        <v>67</v>
      </c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  <c r="AK69" s="79"/>
      <c r="AL69" s="79"/>
      <c r="AM69" s="79"/>
      <c r="AN69" s="79"/>
      <c r="AO69" s="79">
        <v>5.293272</v>
      </c>
      <c r="AP69" s="79"/>
      <c r="AQ69" s="79"/>
      <c r="AR69" s="79"/>
      <c r="AS69" s="79">
        <v>0.124763</v>
      </c>
      <c r="AT69" s="79"/>
      <c r="AU69" s="79">
        <v>1.873092</v>
      </c>
      <c r="AV69" s="79"/>
      <c r="AW69" s="79"/>
      <c r="AX69" s="79"/>
      <c r="AY69" s="79"/>
    </row>
    <row r="70" spans="1:51" x14ac:dyDescent="0.2">
      <c r="A70" t="s">
        <v>615</v>
      </c>
      <c r="B70" s="1">
        <v>9011</v>
      </c>
      <c r="C70" s="78">
        <v>70</v>
      </c>
      <c r="D70" s="1"/>
      <c r="E70" s="1">
        <f t="shared" si="2"/>
        <v>9011</v>
      </c>
      <c r="F70" s="2">
        <f t="shared" si="3"/>
        <v>9011</v>
      </c>
      <c r="G70" s="78">
        <v>68</v>
      </c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79"/>
      <c r="AL70" s="79"/>
      <c r="AM70" s="79"/>
      <c r="AN70" s="79"/>
      <c r="AO70" s="79">
        <v>5.479419</v>
      </c>
      <c r="AP70" s="79"/>
      <c r="AQ70" s="79"/>
      <c r="AR70" s="79"/>
      <c r="AS70" s="79">
        <v>3.526249</v>
      </c>
      <c r="AT70" s="79"/>
      <c r="AU70" s="79">
        <v>1.8098669999999999</v>
      </c>
      <c r="AV70" s="79"/>
      <c r="AW70" s="79"/>
      <c r="AX70" s="79"/>
      <c r="AY70" s="79"/>
    </row>
    <row r="71" spans="1:51" x14ac:dyDescent="0.2">
      <c r="A71" t="s">
        <v>616</v>
      </c>
      <c r="B71" s="1">
        <v>9041</v>
      </c>
      <c r="C71" s="78">
        <v>71</v>
      </c>
      <c r="D71" s="1"/>
      <c r="E71" s="1">
        <f t="shared" si="2"/>
        <v>9041</v>
      </c>
      <c r="F71" s="2">
        <f t="shared" si="3"/>
        <v>9041</v>
      </c>
      <c r="G71" s="78">
        <v>69</v>
      </c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>
        <v>5.6124489999999998</v>
      </c>
      <c r="AP71" s="79"/>
      <c r="AQ71" s="79"/>
      <c r="AR71" s="79"/>
      <c r="AS71" s="79">
        <v>-0.54606100000000002</v>
      </c>
      <c r="AT71" s="79"/>
      <c r="AU71" s="79">
        <v>0.93956899999999999</v>
      </c>
      <c r="AV71" s="79"/>
      <c r="AW71" s="79"/>
      <c r="AX71" s="79"/>
      <c r="AY71" s="79"/>
    </row>
    <row r="72" spans="1:51" x14ac:dyDescent="0.2">
      <c r="A72" t="s">
        <v>617</v>
      </c>
      <c r="B72" s="1">
        <v>9072</v>
      </c>
      <c r="C72" s="78">
        <v>72</v>
      </c>
      <c r="D72" s="1"/>
      <c r="E72" s="1">
        <f t="shared" si="2"/>
        <v>9072</v>
      </c>
      <c r="F72" s="2">
        <f t="shared" si="3"/>
        <v>9072</v>
      </c>
      <c r="G72" s="78">
        <v>70</v>
      </c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  <c r="AK72" s="79"/>
      <c r="AL72" s="79"/>
      <c r="AM72" s="79"/>
      <c r="AN72" s="79"/>
      <c r="AO72" s="79">
        <v>5.7188739999999996</v>
      </c>
      <c r="AP72" s="79"/>
      <c r="AQ72" s="79"/>
      <c r="AR72" s="79"/>
      <c r="AS72" s="79">
        <v>-0.61158199999999996</v>
      </c>
      <c r="AT72" s="79"/>
      <c r="AU72" s="79">
        <v>2.9242729999999999</v>
      </c>
      <c r="AV72" s="79"/>
      <c r="AW72" s="79"/>
      <c r="AX72" s="79"/>
      <c r="AY72" s="79"/>
    </row>
    <row r="73" spans="1:51" x14ac:dyDescent="0.2">
      <c r="A73" t="s">
        <v>618</v>
      </c>
      <c r="B73" s="1">
        <v>9102</v>
      </c>
      <c r="C73" s="78">
        <v>73</v>
      </c>
      <c r="D73" s="1"/>
      <c r="E73" s="1">
        <f t="shared" si="2"/>
        <v>9102</v>
      </c>
      <c r="F73" s="2">
        <f t="shared" si="3"/>
        <v>9102</v>
      </c>
      <c r="G73" s="78">
        <v>71</v>
      </c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>
        <v>5.8784140000000003</v>
      </c>
      <c r="AP73" s="79"/>
      <c r="AQ73" s="79"/>
      <c r="AR73" s="79"/>
      <c r="AS73" s="79">
        <v>2.4858690000000001</v>
      </c>
      <c r="AT73" s="79"/>
      <c r="AU73" s="79">
        <v>1.9239980000000001</v>
      </c>
      <c r="AV73" s="79"/>
      <c r="AW73" s="79"/>
      <c r="AX73" s="79"/>
      <c r="AY73" s="79"/>
    </row>
    <row r="74" spans="1:51" x14ac:dyDescent="0.2">
      <c r="A74" t="s">
        <v>619</v>
      </c>
      <c r="B74" s="1">
        <v>9133</v>
      </c>
      <c r="C74" s="78">
        <v>74</v>
      </c>
      <c r="D74" s="1"/>
      <c r="E74" s="1">
        <f t="shared" si="2"/>
        <v>9133</v>
      </c>
      <c r="F74" s="2">
        <f t="shared" si="3"/>
        <v>9133</v>
      </c>
      <c r="G74" s="78">
        <v>72</v>
      </c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>
        <v>6.0646570000000004</v>
      </c>
      <c r="AP74" s="79"/>
      <c r="AQ74" s="79"/>
      <c r="AR74" s="79"/>
      <c r="AS74" s="79">
        <v>0.120877</v>
      </c>
      <c r="AT74" s="79"/>
      <c r="AU74" s="79">
        <v>0.96739399999999998</v>
      </c>
      <c r="AV74" s="79"/>
      <c r="AW74" s="79"/>
      <c r="AX74" s="79"/>
      <c r="AY74" s="79"/>
    </row>
    <row r="75" spans="1:51" x14ac:dyDescent="0.2">
      <c r="A75" t="s">
        <v>620</v>
      </c>
      <c r="B75" s="1">
        <v>9164</v>
      </c>
      <c r="C75" s="78">
        <v>75</v>
      </c>
      <c r="D75" s="1"/>
      <c r="E75" s="1">
        <f t="shared" si="2"/>
        <v>9164</v>
      </c>
      <c r="F75" s="2">
        <f t="shared" si="3"/>
        <v>9164</v>
      </c>
      <c r="G75" s="78">
        <v>73</v>
      </c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79">
        <v>6.0646570000000004</v>
      </c>
      <c r="AP75" s="79"/>
      <c r="AQ75" s="79"/>
      <c r="AR75" s="79"/>
      <c r="AS75" s="79">
        <v>1.059563</v>
      </c>
      <c r="AT75" s="79"/>
      <c r="AU75" s="79">
        <v>-0.315747</v>
      </c>
      <c r="AV75" s="79"/>
      <c r="AW75" s="79"/>
      <c r="AX75" s="79"/>
      <c r="AY75" s="79"/>
    </row>
    <row r="76" spans="1:51" x14ac:dyDescent="0.2">
      <c r="A76" t="s">
        <v>621</v>
      </c>
      <c r="B76" s="1">
        <v>9192</v>
      </c>
      <c r="C76" s="78">
        <v>76</v>
      </c>
      <c r="D76" s="1"/>
      <c r="E76" s="1">
        <f t="shared" si="2"/>
        <v>9192</v>
      </c>
      <c r="F76" s="2">
        <f t="shared" si="3"/>
        <v>9192</v>
      </c>
      <c r="G76" s="78">
        <v>74</v>
      </c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>
        <v>6.0646570000000004</v>
      </c>
      <c r="AP76" s="79"/>
      <c r="AQ76" s="79"/>
      <c r="AR76" s="79"/>
      <c r="AS76" s="79">
        <v>-0.26158399999999998</v>
      </c>
      <c r="AT76" s="79"/>
      <c r="AU76" s="79">
        <v>1.6633230000000001</v>
      </c>
      <c r="AV76" s="79"/>
      <c r="AW76" s="79"/>
      <c r="AX76" s="79"/>
      <c r="AY76" s="79"/>
    </row>
    <row r="77" spans="1:51" x14ac:dyDescent="0.2">
      <c r="A77" t="s">
        <v>622</v>
      </c>
      <c r="B77" s="1">
        <v>9223</v>
      </c>
      <c r="C77" s="78">
        <v>77</v>
      </c>
      <c r="D77" s="1"/>
      <c r="E77" s="1">
        <f t="shared" si="2"/>
        <v>9223</v>
      </c>
      <c r="F77" s="2">
        <f t="shared" si="3"/>
        <v>9223</v>
      </c>
      <c r="G77" s="78">
        <v>75</v>
      </c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>
        <v>6.1177739999999998</v>
      </c>
      <c r="AP77" s="79"/>
      <c r="AQ77" s="79"/>
      <c r="AR77" s="79"/>
      <c r="AS77" s="79">
        <v>-1.346317</v>
      </c>
      <c r="AT77" s="79"/>
      <c r="AU77" s="79">
        <v>1.4043380000000001</v>
      </c>
      <c r="AV77" s="79"/>
      <c r="AW77" s="79"/>
      <c r="AX77" s="79"/>
      <c r="AY77" s="79"/>
    </row>
    <row r="78" spans="1:51" x14ac:dyDescent="0.2">
      <c r="A78" t="s">
        <v>623</v>
      </c>
      <c r="B78" s="1">
        <v>9253</v>
      </c>
      <c r="C78" s="78">
        <v>78</v>
      </c>
      <c r="D78" s="1"/>
      <c r="E78" s="1">
        <f t="shared" si="2"/>
        <v>9253</v>
      </c>
      <c r="F78" s="2">
        <f t="shared" si="3"/>
        <v>9253</v>
      </c>
      <c r="G78" s="78">
        <v>76</v>
      </c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  <c r="AK78" s="79"/>
      <c r="AL78" s="79"/>
      <c r="AM78" s="79"/>
      <c r="AN78" s="79"/>
      <c r="AO78" s="79">
        <v>6.0911670000000004</v>
      </c>
      <c r="AP78" s="79"/>
      <c r="AQ78" s="79"/>
      <c r="AR78" s="79"/>
      <c r="AS78" s="79">
        <v>5.1304239999999997</v>
      </c>
      <c r="AT78" s="79"/>
      <c r="AU78" s="79">
        <v>1.0882419999999999</v>
      </c>
      <c r="AV78" s="79"/>
      <c r="AW78" s="79"/>
      <c r="AX78" s="79"/>
      <c r="AY78" s="79"/>
    </row>
    <row r="79" spans="1:51" x14ac:dyDescent="0.2">
      <c r="A79" t="s">
        <v>624</v>
      </c>
      <c r="B79" s="1">
        <v>9284</v>
      </c>
      <c r="C79" s="78">
        <v>79</v>
      </c>
      <c r="D79" s="1"/>
      <c r="E79" s="1">
        <f t="shared" si="2"/>
        <v>9284</v>
      </c>
      <c r="F79" s="2">
        <f t="shared" si="3"/>
        <v>9284</v>
      </c>
      <c r="G79" s="78">
        <v>77</v>
      </c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  <c r="AK79" s="79"/>
      <c r="AL79" s="79"/>
      <c r="AM79" s="79"/>
      <c r="AN79" s="79"/>
      <c r="AO79" s="79">
        <v>6.0380510000000003</v>
      </c>
      <c r="AP79" s="79"/>
      <c r="AQ79" s="79"/>
      <c r="AR79" s="79"/>
      <c r="AS79" s="79">
        <v>-1.2562260000000001</v>
      </c>
      <c r="AT79" s="79"/>
      <c r="AU79" s="79">
        <v>1.47329</v>
      </c>
      <c r="AV79" s="79"/>
      <c r="AW79" s="79"/>
      <c r="AX79" s="79"/>
      <c r="AY79" s="79"/>
    </row>
    <row r="80" spans="1:51" x14ac:dyDescent="0.2">
      <c r="A80" t="s">
        <v>625</v>
      </c>
      <c r="B80" s="1">
        <v>9314</v>
      </c>
      <c r="C80" s="78">
        <v>80</v>
      </c>
      <c r="D80" s="1"/>
      <c r="E80" s="1">
        <f t="shared" si="2"/>
        <v>9314</v>
      </c>
      <c r="F80" s="2">
        <f t="shared" si="3"/>
        <v>9314</v>
      </c>
      <c r="G80" s="78">
        <v>78</v>
      </c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>
        <v>6.1975920000000002</v>
      </c>
      <c r="AP80" s="79"/>
      <c r="AQ80" s="79"/>
      <c r="AR80" s="79"/>
      <c r="AS80" s="79">
        <v>1.1506179999999999</v>
      </c>
      <c r="AT80" s="79"/>
      <c r="AU80" s="79">
        <v>0.32904099999999997</v>
      </c>
      <c r="AV80" s="79"/>
      <c r="AW80" s="79"/>
      <c r="AX80" s="79"/>
      <c r="AY80" s="79"/>
    </row>
    <row r="81" spans="1:51" x14ac:dyDescent="0.2">
      <c r="A81" t="s">
        <v>626</v>
      </c>
      <c r="B81" s="1">
        <v>9345</v>
      </c>
      <c r="C81" s="78">
        <v>81</v>
      </c>
      <c r="D81" s="1"/>
      <c r="E81" s="1">
        <f t="shared" si="2"/>
        <v>9345</v>
      </c>
      <c r="F81" s="2">
        <f t="shared" si="3"/>
        <v>9345</v>
      </c>
      <c r="G81" s="78">
        <v>79</v>
      </c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>
        <v>6.0911670000000004</v>
      </c>
      <c r="AP81" s="79"/>
      <c r="AQ81" s="79"/>
      <c r="AR81" s="79"/>
      <c r="AS81" s="79">
        <v>2.8051900000000001</v>
      </c>
      <c r="AT81" s="79"/>
      <c r="AU81" s="79">
        <v>3.635516</v>
      </c>
      <c r="AV81" s="79"/>
      <c r="AW81" s="79"/>
      <c r="AX81" s="79"/>
      <c r="AY81" s="79"/>
    </row>
    <row r="82" spans="1:51" x14ac:dyDescent="0.2">
      <c r="A82" t="s">
        <v>627</v>
      </c>
      <c r="B82" s="1">
        <v>9376</v>
      </c>
      <c r="C82" s="78">
        <v>82</v>
      </c>
      <c r="D82" s="1"/>
      <c r="E82" s="1">
        <f t="shared" si="2"/>
        <v>9376</v>
      </c>
      <c r="F82" s="2">
        <f t="shared" si="3"/>
        <v>9376</v>
      </c>
      <c r="G82" s="78">
        <v>80</v>
      </c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>
        <v>6.0114450000000001</v>
      </c>
      <c r="AP82" s="79"/>
      <c r="AQ82" s="79"/>
      <c r="AR82" s="79"/>
      <c r="AS82" s="79">
        <v>-0.97919800000000001</v>
      </c>
      <c r="AT82" s="79"/>
      <c r="AU82" s="79">
        <v>0.15892600000000001</v>
      </c>
      <c r="AV82" s="79"/>
      <c r="AW82" s="79"/>
      <c r="AX82" s="79"/>
      <c r="AY82" s="79"/>
    </row>
    <row r="83" spans="1:51" x14ac:dyDescent="0.2">
      <c r="A83" t="s">
        <v>628</v>
      </c>
      <c r="B83" s="1">
        <v>9406</v>
      </c>
      <c r="C83" s="78">
        <v>83</v>
      </c>
      <c r="D83" s="1"/>
      <c r="E83" s="1">
        <f t="shared" si="2"/>
        <v>9406</v>
      </c>
      <c r="F83" s="2">
        <f t="shared" si="3"/>
        <v>9406</v>
      </c>
      <c r="G83" s="78">
        <v>81</v>
      </c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>
        <v>6.2508039999999996</v>
      </c>
      <c r="AP83" s="79"/>
      <c r="AQ83" s="79"/>
      <c r="AR83" s="79"/>
      <c r="AS83" s="79">
        <v>-1.163089</v>
      </c>
      <c r="AT83" s="79"/>
      <c r="AU83" s="79">
        <v>5.0283369999999996</v>
      </c>
      <c r="AV83" s="79"/>
      <c r="AW83" s="79"/>
      <c r="AX83" s="79"/>
      <c r="AY83" s="79"/>
    </row>
    <row r="84" spans="1:51" x14ac:dyDescent="0.2">
      <c r="A84" t="s">
        <v>629</v>
      </c>
      <c r="B84" s="1">
        <v>9437</v>
      </c>
      <c r="C84" s="78">
        <v>84</v>
      </c>
      <c r="D84" s="1"/>
      <c r="E84" s="1">
        <f t="shared" si="2"/>
        <v>9437</v>
      </c>
      <c r="F84" s="2">
        <f t="shared" si="3"/>
        <v>9437</v>
      </c>
      <c r="G84" s="78">
        <v>82</v>
      </c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>
        <v>6.3838340000000002</v>
      </c>
      <c r="AP84" s="79"/>
      <c r="AQ84" s="79"/>
      <c r="AR84" s="79"/>
      <c r="AS84" s="79">
        <v>0.51321899999999998</v>
      </c>
      <c r="AT84" s="79"/>
      <c r="AU84" s="79">
        <v>-1.8157479999999999</v>
      </c>
      <c r="AV84" s="79"/>
      <c r="AW84" s="79"/>
      <c r="AX84" s="79"/>
      <c r="AY84" s="79"/>
    </row>
    <row r="85" spans="1:51" x14ac:dyDescent="0.2">
      <c r="A85" t="s">
        <v>630</v>
      </c>
      <c r="B85" s="1">
        <v>9467</v>
      </c>
      <c r="C85" s="78">
        <v>85</v>
      </c>
      <c r="D85" s="1"/>
      <c r="E85" s="1">
        <f t="shared" si="2"/>
        <v>9467</v>
      </c>
      <c r="F85" s="2">
        <f t="shared" si="3"/>
        <v>9467</v>
      </c>
      <c r="G85" s="78">
        <v>83</v>
      </c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  <c r="AJ85" s="79"/>
      <c r="AK85" s="79"/>
      <c r="AL85" s="79"/>
      <c r="AM85" s="79"/>
      <c r="AN85" s="79"/>
      <c r="AO85" s="79">
        <v>6.4635569999999998</v>
      </c>
      <c r="AP85" s="79"/>
      <c r="AQ85" s="79"/>
      <c r="AR85" s="79"/>
      <c r="AS85" s="79">
        <v>1.58853</v>
      </c>
      <c r="AT85" s="79"/>
      <c r="AU85" s="79">
        <v>1.641869</v>
      </c>
      <c r="AV85" s="79"/>
      <c r="AW85" s="79"/>
      <c r="AX85" s="79"/>
      <c r="AY85" s="79"/>
    </row>
    <row r="86" spans="1:51" x14ac:dyDescent="0.2">
      <c r="A86" t="s">
        <v>631</v>
      </c>
      <c r="B86" s="1">
        <v>9498</v>
      </c>
      <c r="C86" s="78">
        <v>86</v>
      </c>
      <c r="D86" s="1"/>
      <c r="E86" s="1">
        <f t="shared" si="2"/>
        <v>9498</v>
      </c>
      <c r="F86" s="2">
        <f t="shared" si="3"/>
        <v>9498</v>
      </c>
      <c r="G86" s="78">
        <v>84</v>
      </c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>
        <v>6.3572280000000001</v>
      </c>
      <c r="AP86" s="79"/>
      <c r="AQ86" s="79"/>
      <c r="AR86" s="79"/>
      <c r="AS86" s="79">
        <v>0.55338399999999999</v>
      </c>
      <c r="AT86" s="79"/>
      <c r="AU86" s="79">
        <v>0.44336900000000001</v>
      </c>
      <c r="AV86" s="79"/>
      <c r="AW86" s="79"/>
      <c r="AX86" s="79"/>
      <c r="AY86" s="79"/>
    </row>
    <row r="87" spans="1:51" x14ac:dyDescent="0.2">
      <c r="A87" t="s">
        <v>632</v>
      </c>
      <c r="B87" s="1">
        <v>9529</v>
      </c>
      <c r="C87" s="78">
        <v>87</v>
      </c>
      <c r="D87" s="1"/>
      <c r="E87" s="1">
        <f t="shared" si="2"/>
        <v>9529</v>
      </c>
      <c r="F87" s="2">
        <f t="shared" si="3"/>
        <v>9529</v>
      </c>
      <c r="G87" s="78">
        <v>85</v>
      </c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>
        <v>6.3572280000000001</v>
      </c>
      <c r="AP87" s="79"/>
      <c r="AQ87" s="79"/>
      <c r="AR87" s="79"/>
      <c r="AS87" s="79">
        <v>2.7617889999999998</v>
      </c>
      <c r="AT87" s="79"/>
      <c r="AU87" s="79">
        <v>1.0793269999999999</v>
      </c>
      <c r="AV87" s="79"/>
      <c r="AW87" s="79"/>
      <c r="AX87" s="79"/>
      <c r="AY87" s="79"/>
    </row>
    <row r="88" spans="1:51" x14ac:dyDescent="0.2">
      <c r="A88" t="s">
        <v>633</v>
      </c>
      <c r="B88" s="1">
        <v>9557</v>
      </c>
      <c r="C88" s="78">
        <v>88</v>
      </c>
      <c r="D88" s="1"/>
      <c r="E88" s="1">
        <f t="shared" si="2"/>
        <v>9557</v>
      </c>
      <c r="F88" s="2">
        <f t="shared" si="3"/>
        <v>9557</v>
      </c>
      <c r="G88" s="78">
        <v>86</v>
      </c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  <c r="AK88" s="79"/>
      <c r="AL88" s="79"/>
      <c r="AM88" s="79"/>
      <c r="AN88" s="79"/>
      <c r="AO88" s="79">
        <v>6.4370469999999997</v>
      </c>
      <c r="AP88" s="79"/>
      <c r="AQ88" s="79"/>
      <c r="AR88" s="79"/>
      <c r="AS88" s="79">
        <v>2.4320740000000001</v>
      </c>
      <c r="AT88" s="79"/>
      <c r="AU88" s="79">
        <v>1.8906130000000001</v>
      </c>
      <c r="AV88" s="79"/>
      <c r="AW88" s="79"/>
      <c r="AX88" s="79"/>
      <c r="AY88" s="79"/>
    </row>
    <row r="89" spans="1:51" x14ac:dyDescent="0.2">
      <c r="A89" t="s">
        <v>634</v>
      </c>
      <c r="B89" s="1">
        <v>9588</v>
      </c>
      <c r="C89" s="78">
        <v>89</v>
      </c>
      <c r="D89" s="1"/>
      <c r="E89" s="1">
        <f t="shared" si="2"/>
        <v>9588</v>
      </c>
      <c r="F89" s="2">
        <f t="shared" si="3"/>
        <v>9588</v>
      </c>
      <c r="G89" s="78">
        <v>87</v>
      </c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>
        <v>6.4370469999999997</v>
      </c>
      <c r="AP89" s="79"/>
      <c r="AQ89" s="79"/>
      <c r="AR89" s="79"/>
      <c r="AS89" s="79">
        <v>-2.3935149999999998</v>
      </c>
      <c r="AT89" s="79"/>
      <c r="AU89" s="79">
        <v>0.71868799999999999</v>
      </c>
      <c r="AV89" s="79"/>
      <c r="AW89" s="79"/>
      <c r="AX89" s="79"/>
      <c r="AY89" s="79"/>
    </row>
    <row r="90" spans="1:51" x14ac:dyDescent="0.2">
      <c r="A90" t="s">
        <v>635</v>
      </c>
      <c r="B90" s="1">
        <v>9618</v>
      </c>
      <c r="C90" s="78">
        <v>90</v>
      </c>
      <c r="D90" s="1"/>
      <c r="E90" s="1">
        <f t="shared" si="2"/>
        <v>9618</v>
      </c>
      <c r="F90" s="2">
        <f t="shared" si="3"/>
        <v>9618</v>
      </c>
      <c r="G90" s="78">
        <v>88</v>
      </c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  <c r="AJ90" s="79"/>
      <c r="AK90" s="79"/>
      <c r="AL90" s="79"/>
      <c r="AM90" s="79"/>
      <c r="AN90" s="79"/>
      <c r="AO90" s="79">
        <v>6.3838340000000002</v>
      </c>
      <c r="AP90" s="79"/>
      <c r="AQ90" s="79"/>
      <c r="AR90" s="79"/>
      <c r="AS90" s="79">
        <v>3.5186000000000002</v>
      </c>
      <c r="AT90" s="79"/>
      <c r="AU90" s="79">
        <v>-8.4331000000000003E-2</v>
      </c>
      <c r="AV90" s="79"/>
      <c r="AW90" s="79"/>
      <c r="AX90" s="79"/>
      <c r="AY90" s="79"/>
    </row>
    <row r="91" spans="1:51" x14ac:dyDescent="0.2">
      <c r="A91" t="s">
        <v>636</v>
      </c>
      <c r="B91" s="1">
        <v>9649</v>
      </c>
      <c r="C91" s="78">
        <v>91</v>
      </c>
      <c r="D91" s="1"/>
      <c r="E91" s="1">
        <f t="shared" si="2"/>
        <v>9649</v>
      </c>
      <c r="F91" s="2">
        <f t="shared" si="3"/>
        <v>9649</v>
      </c>
      <c r="G91" s="78">
        <v>89</v>
      </c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  <c r="AK91" s="79"/>
      <c r="AL91" s="79"/>
      <c r="AM91" s="79"/>
      <c r="AN91" s="79"/>
      <c r="AO91" s="79">
        <v>6.4635569999999998</v>
      </c>
      <c r="AP91" s="79"/>
      <c r="AQ91" s="79"/>
      <c r="AR91" s="79"/>
      <c r="AS91" s="79">
        <v>4.1585570000000001</v>
      </c>
      <c r="AT91" s="79"/>
      <c r="AU91" s="79">
        <v>4.5667660000000003</v>
      </c>
      <c r="AV91" s="79"/>
      <c r="AW91" s="79"/>
      <c r="AX91" s="79"/>
      <c r="AY91" s="79"/>
    </row>
    <row r="92" spans="1:51" x14ac:dyDescent="0.2">
      <c r="A92" t="s">
        <v>637</v>
      </c>
      <c r="B92" s="1">
        <v>9679</v>
      </c>
      <c r="C92" s="78">
        <v>92</v>
      </c>
      <c r="D92" s="1"/>
      <c r="E92" s="1">
        <f t="shared" si="2"/>
        <v>9679</v>
      </c>
      <c r="F92" s="2">
        <f t="shared" si="3"/>
        <v>9679</v>
      </c>
      <c r="G92" s="78">
        <v>90</v>
      </c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>
        <v>6.4901629999999999</v>
      </c>
      <c r="AP92" s="79"/>
      <c r="AQ92" s="79"/>
      <c r="AR92" s="79"/>
      <c r="AS92" s="79">
        <v>-0.223326</v>
      </c>
      <c r="AT92" s="79"/>
      <c r="AU92" s="79">
        <v>-1.349817</v>
      </c>
      <c r="AV92" s="79"/>
      <c r="AW92" s="79"/>
      <c r="AX92" s="79"/>
      <c r="AY92" s="79"/>
    </row>
    <row r="93" spans="1:51" x14ac:dyDescent="0.2">
      <c r="A93" t="s">
        <v>638</v>
      </c>
      <c r="B93" s="1">
        <v>9710</v>
      </c>
      <c r="C93" s="78">
        <v>93</v>
      </c>
      <c r="D93" s="1"/>
      <c r="E93" s="1">
        <f t="shared" si="2"/>
        <v>9710</v>
      </c>
      <c r="F93" s="2">
        <f t="shared" si="3"/>
        <v>9710</v>
      </c>
      <c r="G93" s="78">
        <v>91</v>
      </c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  <c r="AK93" s="79"/>
      <c r="AL93" s="79"/>
      <c r="AM93" s="79"/>
      <c r="AN93" s="79"/>
      <c r="AO93" s="79">
        <v>6.5699810000000003</v>
      </c>
      <c r="AP93" s="79"/>
      <c r="AQ93" s="79"/>
      <c r="AR93" s="79"/>
      <c r="AS93" s="79">
        <v>1.9961420000000001</v>
      </c>
      <c r="AT93" s="79"/>
      <c r="AU93" s="79">
        <v>2.1524909999999999</v>
      </c>
      <c r="AV93" s="79"/>
      <c r="AW93" s="79"/>
      <c r="AX93" s="79"/>
      <c r="AY93" s="79"/>
    </row>
    <row r="94" spans="1:51" x14ac:dyDescent="0.2">
      <c r="A94" t="s">
        <v>639</v>
      </c>
      <c r="B94" s="1">
        <v>9741</v>
      </c>
      <c r="C94" s="78">
        <v>94</v>
      </c>
      <c r="D94" s="1"/>
      <c r="E94" s="1">
        <f t="shared" si="2"/>
        <v>9741</v>
      </c>
      <c r="F94" s="2">
        <f t="shared" si="3"/>
        <v>9741</v>
      </c>
      <c r="G94" s="78">
        <v>92</v>
      </c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79"/>
      <c r="AG94" s="79"/>
      <c r="AH94" s="79"/>
      <c r="AI94" s="79"/>
      <c r="AJ94" s="79"/>
      <c r="AK94" s="79"/>
      <c r="AL94" s="79"/>
      <c r="AM94" s="79"/>
      <c r="AN94" s="79"/>
      <c r="AO94" s="79">
        <v>6.6764060000000001</v>
      </c>
      <c r="AP94" s="79"/>
      <c r="AQ94" s="79"/>
      <c r="AR94" s="79"/>
      <c r="AS94" s="79">
        <v>1.1864410000000001</v>
      </c>
      <c r="AT94" s="79"/>
      <c r="AU94" s="79">
        <v>2.0405880000000001</v>
      </c>
      <c r="AV94" s="79"/>
      <c r="AW94" s="79"/>
      <c r="AX94" s="79"/>
      <c r="AY94" s="79"/>
    </row>
    <row r="95" spans="1:51" x14ac:dyDescent="0.2">
      <c r="A95" t="s">
        <v>640</v>
      </c>
      <c r="B95" s="1">
        <v>9771</v>
      </c>
      <c r="C95" s="78">
        <v>95</v>
      </c>
      <c r="D95" s="1"/>
      <c r="E95" s="1">
        <f t="shared" si="2"/>
        <v>9771</v>
      </c>
      <c r="F95" s="2">
        <f t="shared" si="3"/>
        <v>9771</v>
      </c>
      <c r="G95" s="78">
        <v>93</v>
      </c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  <c r="AK95" s="79"/>
      <c r="AL95" s="79"/>
      <c r="AM95" s="79"/>
      <c r="AN95" s="79"/>
      <c r="AO95" s="79">
        <v>6.6764060000000001</v>
      </c>
      <c r="AP95" s="79"/>
      <c r="AQ95" s="79"/>
      <c r="AR95" s="79"/>
      <c r="AS95" s="79">
        <v>1.3967689999999999</v>
      </c>
      <c r="AT95" s="79"/>
      <c r="AU95" s="79">
        <v>-1.154461</v>
      </c>
      <c r="AV95" s="79"/>
      <c r="AW95" s="79"/>
      <c r="AX95" s="79"/>
      <c r="AY95" s="79"/>
    </row>
    <row r="96" spans="1:51" x14ac:dyDescent="0.2">
      <c r="A96" t="s">
        <v>641</v>
      </c>
      <c r="B96" s="1">
        <v>9802</v>
      </c>
      <c r="C96" s="78">
        <v>96</v>
      </c>
      <c r="D96" s="1"/>
      <c r="E96" s="1">
        <f t="shared" si="2"/>
        <v>9802</v>
      </c>
      <c r="F96" s="2">
        <f t="shared" si="3"/>
        <v>9802</v>
      </c>
      <c r="G96" s="78">
        <v>94</v>
      </c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  <c r="AK96" s="79"/>
      <c r="AL96" s="79"/>
      <c r="AM96" s="79"/>
      <c r="AN96" s="79"/>
      <c r="AO96" s="79">
        <v>6.6497999999999999</v>
      </c>
      <c r="AP96" s="79"/>
      <c r="AQ96" s="79"/>
      <c r="AR96" s="79"/>
      <c r="AS96" s="79">
        <v>0.404999</v>
      </c>
      <c r="AT96" s="79"/>
      <c r="AU96" s="79">
        <v>3.5184989999999998</v>
      </c>
      <c r="AV96" s="79"/>
      <c r="AW96" s="79"/>
      <c r="AX96" s="79"/>
      <c r="AY96" s="79"/>
    </row>
    <row r="97" spans="1:51" x14ac:dyDescent="0.2">
      <c r="A97" t="s">
        <v>642</v>
      </c>
      <c r="B97" s="1">
        <v>9832</v>
      </c>
      <c r="C97" s="78">
        <v>97</v>
      </c>
      <c r="D97" s="1"/>
      <c r="E97" s="1">
        <f t="shared" si="2"/>
        <v>9832</v>
      </c>
      <c r="F97" s="2">
        <f t="shared" si="3"/>
        <v>9832</v>
      </c>
      <c r="G97" s="78">
        <v>95</v>
      </c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79"/>
      <c r="AK97" s="79"/>
      <c r="AL97" s="79"/>
      <c r="AM97" s="79"/>
      <c r="AN97" s="79"/>
      <c r="AO97" s="79">
        <v>6.6231929999999997</v>
      </c>
      <c r="AP97" s="79"/>
      <c r="AQ97" s="79"/>
      <c r="AR97" s="79"/>
      <c r="AS97" s="79">
        <v>1.1145609999999999</v>
      </c>
      <c r="AT97" s="79"/>
      <c r="AU97" s="79">
        <v>1.481128</v>
      </c>
      <c r="AV97" s="79"/>
      <c r="AW97" s="79"/>
      <c r="AX97" s="79"/>
      <c r="AY97" s="79"/>
    </row>
    <row r="98" spans="1:51" x14ac:dyDescent="0.2">
      <c r="A98" t="s">
        <v>643</v>
      </c>
      <c r="B98" s="1">
        <v>9863</v>
      </c>
      <c r="C98" s="78">
        <v>98</v>
      </c>
      <c r="D98" s="1"/>
      <c r="E98" s="1">
        <f t="shared" si="2"/>
        <v>9863</v>
      </c>
      <c r="F98" s="2">
        <f t="shared" si="3"/>
        <v>9863</v>
      </c>
      <c r="G98" s="78">
        <v>96</v>
      </c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79"/>
      <c r="AJ98" s="79"/>
      <c r="AK98" s="79"/>
      <c r="AL98" s="79"/>
      <c r="AM98" s="79"/>
      <c r="AN98" s="79"/>
      <c r="AO98" s="79">
        <v>6.5965870000000004</v>
      </c>
      <c r="AP98" s="79"/>
      <c r="AQ98" s="79"/>
      <c r="AR98" s="79"/>
      <c r="AS98" s="79">
        <v>1.5904259999999999</v>
      </c>
      <c r="AT98" s="79"/>
      <c r="AU98" s="79">
        <v>-0.81523000000000001</v>
      </c>
      <c r="AV98" s="79"/>
      <c r="AW98" s="79"/>
      <c r="AX98" s="79"/>
      <c r="AY98" s="79"/>
    </row>
    <row r="99" spans="1:51" x14ac:dyDescent="0.2">
      <c r="A99" t="s">
        <v>644</v>
      </c>
      <c r="B99" s="1">
        <v>9894</v>
      </c>
      <c r="C99" s="78">
        <v>99</v>
      </c>
      <c r="D99" s="1"/>
      <c r="E99" s="1">
        <f t="shared" si="2"/>
        <v>9894</v>
      </c>
      <c r="F99" s="2">
        <f t="shared" si="3"/>
        <v>9894</v>
      </c>
      <c r="G99" s="78">
        <v>97</v>
      </c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  <c r="AK99" s="79"/>
      <c r="AL99" s="79"/>
      <c r="AM99" s="79"/>
      <c r="AN99" s="79"/>
      <c r="AO99" s="79">
        <v>6.6497999999999999</v>
      </c>
      <c r="AP99" s="79"/>
      <c r="AQ99" s="79"/>
      <c r="AR99" s="79"/>
      <c r="AS99" s="79">
        <v>0.61742699999999995</v>
      </c>
      <c r="AT99" s="79"/>
      <c r="AU99" s="79">
        <v>1.302659</v>
      </c>
      <c r="AV99" s="79"/>
      <c r="AW99" s="79"/>
      <c r="AX99" s="79"/>
      <c r="AY99" s="79"/>
    </row>
    <row r="100" spans="1:51" x14ac:dyDescent="0.2">
      <c r="A100" t="s">
        <v>645</v>
      </c>
      <c r="B100" s="1">
        <v>9922</v>
      </c>
      <c r="C100" s="78">
        <v>100</v>
      </c>
      <c r="D100" s="1"/>
      <c r="E100" s="1">
        <f t="shared" si="2"/>
        <v>9922</v>
      </c>
      <c r="F100" s="2">
        <f t="shared" si="3"/>
        <v>9922</v>
      </c>
      <c r="G100" s="78">
        <v>98</v>
      </c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79"/>
      <c r="AG100" s="79"/>
      <c r="AH100" s="79"/>
      <c r="AI100" s="79"/>
      <c r="AJ100" s="79"/>
      <c r="AK100" s="79"/>
      <c r="AL100" s="79"/>
      <c r="AM100" s="79"/>
      <c r="AN100" s="79"/>
      <c r="AO100" s="79">
        <v>6.7296180000000003</v>
      </c>
      <c r="AP100" s="79"/>
      <c r="AQ100" s="79"/>
      <c r="AR100" s="79"/>
      <c r="AS100" s="79">
        <v>0.749718</v>
      </c>
      <c r="AT100" s="79"/>
      <c r="AU100" s="79">
        <v>0.71876200000000001</v>
      </c>
      <c r="AV100" s="79"/>
      <c r="AW100" s="79"/>
      <c r="AX100" s="79"/>
      <c r="AY100" s="79"/>
    </row>
    <row r="101" spans="1:51" x14ac:dyDescent="0.2">
      <c r="A101" t="s">
        <v>646</v>
      </c>
      <c r="B101" s="1">
        <v>9953</v>
      </c>
      <c r="C101" s="78">
        <v>101</v>
      </c>
      <c r="D101" s="1"/>
      <c r="E101" s="1">
        <f t="shared" si="2"/>
        <v>9953</v>
      </c>
      <c r="F101" s="2">
        <f t="shared" si="3"/>
        <v>9953</v>
      </c>
      <c r="G101" s="78">
        <v>99</v>
      </c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79"/>
      <c r="AH101" s="79"/>
      <c r="AI101" s="79"/>
      <c r="AJ101" s="79"/>
      <c r="AK101" s="79"/>
      <c r="AL101" s="79"/>
      <c r="AM101" s="79"/>
      <c r="AN101" s="79"/>
      <c r="AO101" s="79">
        <v>6.5699810000000003</v>
      </c>
      <c r="AP101" s="79"/>
      <c r="AQ101" s="79"/>
      <c r="AR101" s="79"/>
      <c r="AS101" s="79">
        <v>0.917431</v>
      </c>
      <c r="AT101" s="79"/>
      <c r="AU101" s="79">
        <v>-0.58952000000000004</v>
      </c>
      <c r="AV101" s="79"/>
      <c r="AW101" s="79"/>
      <c r="AX101" s="79"/>
      <c r="AY101" s="79"/>
    </row>
    <row r="102" spans="1:51" x14ac:dyDescent="0.2">
      <c r="A102" t="s">
        <v>647</v>
      </c>
      <c r="B102" s="1">
        <v>9983</v>
      </c>
      <c r="C102" s="78">
        <v>102</v>
      </c>
      <c r="D102" s="1"/>
      <c r="E102" s="1">
        <f t="shared" si="2"/>
        <v>9983</v>
      </c>
      <c r="F102" s="2">
        <f t="shared" si="3"/>
        <v>9983</v>
      </c>
      <c r="G102" s="78">
        <v>100</v>
      </c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  <c r="AK102" s="79"/>
      <c r="AL102" s="79"/>
      <c r="AM102" s="79"/>
      <c r="AN102" s="79"/>
      <c r="AO102" s="79">
        <v>6.6231929999999997</v>
      </c>
      <c r="AP102" s="79"/>
      <c r="AQ102" s="79"/>
      <c r="AR102" s="79"/>
      <c r="AS102" s="79">
        <v>0.285354</v>
      </c>
      <c r="AT102" s="79"/>
      <c r="AU102" s="79">
        <v>1.04617</v>
      </c>
      <c r="AV102" s="79"/>
      <c r="AW102" s="79"/>
      <c r="AX102" s="79"/>
      <c r="AY102" s="79"/>
    </row>
    <row r="103" spans="1:51" x14ac:dyDescent="0.2">
      <c r="A103" t="s">
        <v>648</v>
      </c>
      <c r="B103" s="1">
        <v>10014</v>
      </c>
      <c r="C103" s="78">
        <v>103</v>
      </c>
      <c r="D103" s="1"/>
      <c r="E103" s="1">
        <f t="shared" si="2"/>
        <v>10014</v>
      </c>
      <c r="F103" s="2">
        <f t="shared" si="3"/>
        <v>10014</v>
      </c>
      <c r="G103" s="78">
        <v>101</v>
      </c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>
        <v>6.5965870000000004</v>
      </c>
      <c r="AP103" s="79"/>
      <c r="AQ103" s="79"/>
      <c r="AR103" s="79"/>
      <c r="AS103" s="79">
        <v>0.84103399999999995</v>
      </c>
      <c r="AT103" s="79"/>
      <c r="AU103" s="79">
        <v>6.1773000000000002E-2</v>
      </c>
      <c r="AV103" s="79"/>
      <c r="AW103" s="79"/>
      <c r="AX103" s="79"/>
      <c r="AY103" s="79"/>
    </row>
    <row r="104" spans="1:51" x14ac:dyDescent="0.2">
      <c r="A104" t="s">
        <v>649</v>
      </c>
      <c r="B104" s="1">
        <v>10044</v>
      </c>
      <c r="C104" s="78">
        <v>104</v>
      </c>
      <c r="D104" s="1"/>
      <c r="E104" s="1">
        <f t="shared" si="2"/>
        <v>10044</v>
      </c>
      <c r="F104" s="2">
        <f t="shared" si="3"/>
        <v>10044</v>
      </c>
      <c r="G104" s="78">
        <v>102</v>
      </c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79"/>
      <c r="AG104" s="79"/>
      <c r="AH104" s="79"/>
      <c r="AI104" s="79"/>
      <c r="AJ104" s="79"/>
      <c r="AK104" s="79"/>
      <c r="AL104" s="79"/>
      <c r="AM104" s="79"/>
      <c r="AN104" s="79"/>
      <c r="AO104" s="79">
        <v>6.516769</v>
      </c>
      <c r="AP104" s="79"/>
      <c r="AQ104" s="79"/>
      <c r="AR104" s="79"/>
      <c r="AS104" s="79">
        <v>1.7654259999999999</v>
      </c>
      <c r="AT104" s="79"/>
      <c r="AU104" s="79">
        <v>1.770999</v>
      </c>
      <c r="AV104" s="79"/>
      <c r="AW104" s="79"/>
      <c r="AX104" s="79"/>
      <c r="AY104" s="79"/>
    </row>
    <row r="105" spans="1:51" x14ac:dyDescent="0.2">
      <c r="A105" t="s">
        <v>650</v>
      </c>
      <c r="B105" s="1">
        <v>10075</v>
      </c>
      <c r="C105" s="78">
        <v>105</v>
      </c>
      <c r="D105" s="1"/>
      <c r="E105" s="1">
        <f t="shared" si="2"/>
        <v>10075</v>
      </c>
      <c r="F105" s="2">
        <f t="shared" si="3"/>
        <v>10075</v>
      </c>
      <c r="G105" s="78">
        <v>103</v>
      </c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  <c r="AK105" s="79"/>
      <c r="AL105" s="79"/>
      <c r="AM105" s="79"/>
      <c r="AN105" s="79"/>
      <c r="AO105" s="79">
        <v>6.516769</v>
      </c>
      <c r="AP105" s="79"/>
      <c r="AQ105" s="79"/>
      <c r="AR105" s="79"/>
      <c r="AS105" s="79">
        <v>0.49811100000000003</v>
      </c>
      <c r="AT105" s="79"/>
      <c r="AU105" s="79">
        <v>1.2896780000000001</v>
      </c>
      <c r="AV105" s="79"/>
      <c r="AW105" s="79"/>
      <c r="AX105" s="79"/>
      <c r="AY105" s="79"/>
    </row>
    <row r="106" spans="1:51" x14ac:dyDescent="0.2">
      <c r="A106" t="s">
        <v>651</v>
      </c>
      <c r="B106" s="1">
        <v>10106</v>
      </c>
      <c r="C106" s="78">
        <v>106</v>
      </c>
      <c r="D106" s="1"/>
      <c r="E106" s="1">
        <f t="shared" si="2"/>
        <v>10106</v>
      </c>
      <c r="F106" s="2">
        <f t="shared" si="3"/>
        <v>10106</v>
      </c>
      <c r="G106" s="78">
        <v>104</v>
      </c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/>
      <c r="AG106" s="79"/>
      <c r="AH106" s="79"/>
      <c r="AI106" s="79"/>
      <c r="AJ106" s="79"/>
      <c r="AK106" s="79"/>
      <c r="AL106" s="79"/>
      <c r="AM106" s="79"/>
      <c r="AN106" s="79"/>
      <c r="AO106" s="79">
        <v>6.4104400000000004</v>
      </c>
      <c r="AP106" s="79"/>
      <c r="AQ106" s="79"/>
      <c r="AR106" s="79"/>
      <c r="AS106" s="79">
        <v>-8.7897000000000003E-2</v>
      </c>
      <c r="AT106" s="79"/>
      <c r="AU106" s="79">
        <v>-0.44474799999999998</v>
      </c>
      <c r="AV106" s="79"/>
      <c r="AW106" s="79"/>
      <c r="AX106" s="79"/>
      <c r="AY106" s="79"/>
    </row>
    <row r="107" spans="1:51" x14ac:dyDescent="0.2">
      <c r="A107" t="s">
        <v>652</v>
      </c>
      <c r="B107" s="1">
        <v>10136</v>
      </c>
      <c r="C107" s="78">
        <v>107</v>
      </c>
      <c r="D107" s="1"/>
      <c r="E107" s="1">
        <f t="shared" si="2"/>
        <v>10136</v>
      </c>
      <c r="F107" s="2">
        <f t="shared" si="3"/>
        <v>10136</v>
      </c>
      <c r="G107" s="78">
        <v>105</v>
      </c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79"/>
      <c r="AG107" s="79"/>
      <c r="AH107" s="79"/>
      <c r="AI107" s="79"/>
      <c r="AJ107" s="79"/>
      <c r="AK107" s="79"/>
      <c r="AL107" s="79"/>
      <c r="AM107" s="79"/>
      <c r="AN107" s="79"/>
      <c r="AO107" s="79">
        <v>6.2774099999999997</v>
      </c>
      <c r="AP107" s="79"/>
      <c r="AQ107" s="79"/>
      <c r="AR107" s="79"/>
      <c r="AS107" s="79">
        <v>0.92373099999999997</v>
      </c>
      <c r="AT107" s="79"/>
      <c r="AU107" s="79">
        <v>2.8921260000000002</v>
      </c>
      <c r="AV107" s="79"/>
      <c r="AW107" s="79"/>
      <c r="AX107" s="79"/>
      <c r="AY107" s="79"/>
    </row>
    <row r="108" spans="1:51" x14ac:dyDescent="0.2">
      <c r="A108" t="s">
        <v>653</v>
      </c>
      <c r="B108" s="1">
        <v>10167</v>
      </c>
      <c r="C108" s="78">
        <v>108</v>
      </c>
      <c r="D108" s="1"/>
      <c r="E108" s="1">
        <f t="shared" si="2"/>
        <v>10167</v>
      </c>
      <c r="F108" s="2">
        <f t="shared" si="3"/>
        <v>10167</v>
      </c>
      <c r="G108" s="78">
        <v>106</v>
      </c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  <c r="AK108" s="79"/>
      <c r="AL108" s="79"/>
      <c r="AM108" s="79"/>
      <c r="AN108" s="79"/>
      <c r="AO108" s="79">
        <v>6.2774099999999997</v>
      </c>
      <c r="AP108" s="79"/>
      <c r="AQ108" s="79"/>
      <c r="AR108" s="79"/>
      <c r="AS108" s="79">
        <v>1.7627550000000001</v>
      </c>
      <c r="AT108" s="79"/>
      <c r="AU108" s="79">
        <v>1.926215</v>
      </c>
      <c r="AV108" s="79"/>
      <c r="AW108" s="79"/>
      <c r="AX108" s="79"/>
      <c r="AY108" s="79"/>
    </row>
    <row r="109" spans="1:51" x14ac:dyDescent="0.2">
      <c r="A109" t="s">
        <v>654</v>
      </c>
      <c r="B109" s="1">
        <v>10197</v>
      </c>
      <c r="C109" s="78">
        <v>109</v>
      </c>
      <c r="D109" s="1"/>
      <c r="E109" s="1">
        <f t="shared" si="2"/>
        <v>10197</v>
      </c>
      <c r="F109" s="2">
        <f t="shared" si="3"/>
        <v>10197</v>
      </c>
      <c r="G109" s="78">
        <v>107</v>
      </c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  <c r="AK109" s="79"/>
      <c r="AL109" s="79"/>
      <c r="AM109" s="79"/>
      <c r="AN109" s="79"/>
      <c r="AO109" s="79">
        <v>6.3040159999999998</v>
      </c>
      <c r="AP109" s="79"/>
      <c r="AQ109" s="79"/>
      <c r="AR109" s="79"/>
      <c r="AS109" s="79">
        <v>1.460966</v>
      </c>
      <c r="AT109" s="79"/>
      <c r="AU109" s="79">
        <v>1.8685750000000001</v>
      </c>
      <c r="AV109" s="79"/>
      <c r="AW109" s="79"/>
      <c r="AX109" s="79"/>
      <c r="AY109" s="79"/>
    </row>
    <row r="110" spans="1:51" x14ac:dyDescent="0.2">
      <c r="A110" t="s">
        <v>655</v>
      </c>
      <c r="B110" s="1">
        <v>10228</v>
      </c>
      <c r="C110" s="78">
        <v>110</v>
      </c>
      <c r="D110" s="1"/>
      <c r="E110" s="1">
        <f t="shared" si="2"/>
        <v>10228</v>
      </c>
      <c r="F110" s="2">
        <f t="shared" si="3"/>
        <v>10228</v>
      </c>
      <c r="G110" s="78">
        <v>108</v>
      </c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9"/>
      <c r="AI110" s="79"/>
      <c r="AJ110" s="79"/>
      <c r="AK110" s="79"/>
      <c r="AL110" s="79"/>
      <c r="AM110" s="79"/>
      <c r="AN110" s="79"/>
      <c r="AO110" s="79">
        <v>6.4370469999999997</v>
      </c>
      <c r="AP110" s="79"/>
      <c r="AQ110" s="79"/>
      <c r="AR110" s="79"/>
      <c r="AS110" s="79">
        <v>0.30252600000000002</v>
      </c>
      <c r="AT110" s="79"/>
      <c r="AU110" s="79">
        <v>1.374417</v>
      </c>
      <c r="AV110" s="79"/>
      <c r="AW110" s="79"/>
      <c r="AX110" s="79"/>
      <c r="AY110" s="79"/>
    </row>
    <row r="111" spans="1:51" x14ac:dyDescent="0.2">
      <c r="A111" t="s">
        <v>656</v>
      </c>
      <c r="B111" s="1">
        <v>10259</v>
      </c>
      <c r="C111" s="78">
        <v>111</v>
      </c>
      <c r="D111" s="1"/>
      <c r="E111" s="1">
        <f t="shared" si="2"/>
        <v>10259</v>
      </c>
      <c r="F111" s="2">
        <f t="shared" si="3"/>
        <v>10259</v>
      </c>
      <c r="G111" s="78">
        <v>109</v>
      </c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79"/>
      <c r="AH111" s="79"/>
      <c r="AI111" s="79"/>
      <c r="AJ111" s="79"/>
      <c r="AK111" s="79"/>
      <c r="AL111" s="79"/>
      <c r="AM111" s="79"/>
      <c r="AN111" s="79"/>
      <c r="AO111" s="79">
        <v>6.4901629999999999</v>
      </c>
      <c r="AP111" s="79"/>
      <c r="AQ111" s="79"/>
      <c r="AR111" s="79"/>
      <c r="AS111" s="79">
        <v>-2.4245969999999999</v>
      </c>
      <c r="AT111" s="79"/>
      <c r="AU111" s="79">
        <v>1.1325670000000001</v>
      </c>
      <c r="AV111" s="79"/>
      <c r="AW111" s="79"/>
      <c r="AX111" s="79"/>
      <c r="AY111" s="79"/>
    </row>
    <row r="112" spans="1:51" x14ac:dyDescent="0.2">
      <c r="A112" t="s">
        <v>657</v>
      </c>
      <c r="B112" s="1">
        <v>10288</v>
      </c>
      <c r="C112" s="78">
        <v>112</v>
      </c>
      <c r="D112" s="1"/>
      <c r="E112" s="1">
        <f t="shared" si="2"/>
        <v>10288</v>
      </c>
      <c r="F112" s="2">
        <f t="shared" si="3"/>
        <v>10288</v>
      </c>
      <c r="G112" s="78">
        <v>110</v>
      </c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79"/>
      <c r="AH112" s="79"/>
      <c r="AI112" s="79"/>
      <c r="AJ112" s="79"/>
      <c r="AK112" s="79"/>
      <c r="AL112" s="79"/>
      <c r="AM112" s="79"/>
      <c r="AN112" s="79"/>
      <c r="AO112" s="79">
        <v>6.5433750000000002</v>
      </c>
      <c r="AP112" s="79"/>
      <c r="AQ112" s="79"/>
      <c r="AR112" s="79"/>
      <c r="AS112" s="79">
        <v>-3.5727120000000001</v>
      </c>
      <c r="AT112" s="79"/>
      <c r="AU112" s="79">
        <v>-0.94391400000000003</v>
      </c>
      <c r="AV112" s="79"/>
      <c r="AW112" s="79"/>
      <c r="AX112" s="79"/>
      <c r="AY112" s="79"/>
    </row>
    <row r="113" spans="1:51" x14ac:dyDescent="0.2">
      <c r="A113" t="s">
        <v>658</v>
      </c>
      <c r="B113" s="1">
        <v>10319</v>
      </c>
      <c r="C113" s="78">
        <v>113</v>
      </c>
      <c r="D113" s="1"/>
      <c r="E113" s="1">
        <f t="shared" si="2"/>
        <v>10319</v>
      </c>
      <c r="F113" s="2">
        <f t="shared" si="3"/>
        <v>10319</v>
      </c>
      <c r="G113" s="78">
        <v>111</v>
      </c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  <c r="AK113" s="79"/>
      <c r="AL113" s="79"/>
      <c r="AM113" s="79"/>
      <c r="AN113" s="79"/>
      <c r="AO113" s="79">
        <v>6.516769</v>
      </c>
      <c r="AP113" s="79"/>
      <c r="AQ113" s="79"/>
      <c r="AR113" s="79"/>
      <c r="AS113" s="79">
        <v>-2.1271309999999999</v>
      </c>
      <c r="AT113" s="79"/>
      <c r="AU113" s="79">
        <v>-0.40046599999999999</v>
      </c>
      <c r="AV113" s="79"/>
      <c r="AW113" s="79"/>
      <c r="AX113" s="79"/>
      <c r="AY113" s="79"/>
    </row>
    <row r="114" spans="1:51" x14ac:dyDescent="0.2">
      <c r="A114" t="s">
        <v>659</v>
      </c>
      <c r="B114" s="1">
        <v>10349</v>
      </c>
      <c r="C114" s="78">
        <v>114</v>
      </c>
      <c r="D114" s="1"/>
      <c r="E114" s="1">
        <f t="shared" si="2"/>
        <v>10349</v>
      </c>
      <c r="F114" s="2">
        <f t="shared" si="3"/>
        <v>10349</v>
      </c>
      <c r="G114" s="78">
        <v>112</v>
      </c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79"/>
      <c r="AG114" s="79"/>
      <c r="AH114" s="79"/>
      <c r="AI114" s="79"/>
      <c r="AJ114" s="79"/>
      <c r="AK114" s="79"/>
      <c r="AL114" s="79"/>
      <c r="AM114" s="79"/>
      <c r="AN114" s="79"/>
      <c r="AO114" s="79">
        <v>6.5965870000000004</v>
      </c>
      <c r="AP114" s="79"/>
      <c r="AQ114" s="79"/>
      <c r="AR114" s="79"/>
      <c r="AS114" s="79">
        <v>-1.071447</v>
      </c>
      <c r="AT114" s="79"/>
      <c r="AU114" s="79">
        <v>1.7237830000000001</v>
      </c>
      <c r="AV114" s="79"/>
      <c r="AW114" s="79"/>
      <c r="AX114" s="79"/>
      <c r="AY114" s="79"/>
    </row>
    <row r="115" spans="1:51" x14ac:dyDescent="0.2">
      <c r="A115" t="s">
        <v>660</v>
      </c>
      <c r="B115" s="1">
        <v>10380</v>
      </c>
      <c r="C115" s="78">
        <v>115</v>
      </c>
      <c r="D115" s="1"/>
      <c r="E115" s="1">
        <f t="shared" si="2"/>
        <v>10380</v>
      </c>
      <c r="F115" s="2">
        <f t="shared" si="3"/>
        <v>10380</v>
      </c>
      <c r="G115" s="78">
        <v>113</v>
      </c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9"/>
      <c r="AI115" s="79"/>
      <c r="AJ115" s="79"/>
      <c r="AK115" s="79"/>
      <c r="AL115" s="79"/>
      <c r="AM115" s="79"/>
      <c r="AN115" s="79"/>
      <c r="AO115" s="79">
        <v>6.6497999999999999</v>
      </c>
      <c r="AP115" s="79"/>
      <c r="AQ115" s="79"/>
      <c r="AR115" s="79"/>
      <c r="AS115" s="79">
        <v>-1.1369469999999999</v>
      </c>
      <c r="AT115" s="79"/>
      <c r="AU115" s="79">
        <v>0.80066499999999996</v>
      </c>
      <c r="AV115" s="79"/>
      <c r="AW115" s="79"/>
      <c r="AX115" s="79"/>
      <c r="AY115" s="79"/>
    </row>
    <row r="116" spans="1:51" x14ac:dyDescent="0.2">
      <c r="A116" t="s">
        <v>661</v>
      </c>
      <c r="B116" s="1">
        <v>10410</v>
      </c>
      <c r="C116" s="78">
        <v>116</v>
      </c>
      <c r="D116" s="1"/>
      <c r="E116" s="1">
        <f t="shared" si="2"/>
        <v>10410</v>
      </c>
      <c r="F116" s="2">
        <f t="shared" si="3"/>
        <v>10410</v>
      </c>
      <c r="G116" s="78">
        <v>114</v>
      </c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79"/>
      <c r="AG116" s="79"/>
      <c r="AH116" s="79"/>
      <c r="AI116" s="79"/>
      <c r="AJ116" s="79"/>
      <c r="AK116" s="79"/>
      <c r="AL116" s="79"/>
      <c r="AM116" s="79"/>
      <c r="AN116" s="79"/>
      <c r="AO116" s="79">
        <v>6.7296180000000003</v>
      </c>
      <c r="AP116" s="79"/>
      <c r="AQ116" s="79"/>
      <c r="AR116" s="79"/>
      <c r="AS116" s="79">
        <v>-0.71389599999999998</v>
      </c>
      <c r="AT116" s="79"/>
      <c r="AU116" s="79">
        <v>0.82446600000000003</v>
      </c>
      <c r="AV116" s="79"/>
      <c r="AW116" s="79"/>
      <c r="AX116" s="79"/>
      <c r="AY116" s="79"/>
    </row>
    <row r="117" spans="1:51" x14ac:dyDescent="0.2">
      <c r="A117" t="s">
        <v>662</v>
      </c>
      <c r="B117" s="1">
        <v>10441</v>
      </c>
      <c r="C117" s="78">
        <v>117</v>
      </c>
      <c r="D117" s="1"/>
      <c r="E117" s="1">
        <f t="shared" si="2"/>
        <v>10441</v>
      </c>
      <c r="F117" s="2">
        <f t="shared" si="3"/>
        <v>10441</v>
      </c>
      <c r="G117" s="78">
        <v>115</v>
      </c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9"/>
      <c r="AI117" s="79"/>
      <c r="AJ117" s="79"/>
      <c r="AK117" s="79"/>
      <c r="AL117" s="79"/>
      <c r="AM117" s="79"/>
      <c r="AN117" s="79"/>
      <c r="AO117" s="79">
        <v>6.8625530000000001</v>
      </c>
      <c r="AP117" s="79"/>
      <c r="AQ117" s="79"/>
      <c r="AR117" s="79"/>
      <c r="AS117" s="79">
        <v>-8.8898000000000005E-2</v>
      </c>
      <c r="AT117" s="79"/>
      <c r="AU117" s="79">
        <v>1.314344</v>
      </c>
      <c r="AV117" s="79"/>
      <c r="AW117" s="79"/>
      <c r="AX117" s="79"/>
      <c r="AY117" s="79"/>
    </row>
    <row r="118" spans="1:51" x14ac:dyDescent="0.2">
      <c r="A118" t="s">
        <v>663</v>
      </c>
      <c r="B118" s="1">
        <v>10472</v>
      </c>
      <c r="C118" s="78">
        <v>118</v>
      </c>
      <c r="D118" s="1"/>
      <c r="E118" s="1">
        <f t="shared" si="2"/>
        <v>10472</v>
      </c>
      <c r="F118" s="2">
        <f t="shared" si="3"/>
        <v>10472</v>
      </c>
      <c r="G118" s="78">
        <v>116</v>
      </c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79"/>
      <c r="AG118" s="79"/>
      <c r="AH118" s="79"/>
      <c r="AI118" s="79"/>
      <c r="AJ118" s="79"/>
      <c r="AK118" s="79"/>
      <c r="AL118" s="79"/>
      <c r="AM118" s="79"/>
      <c r="AN118" s="79"/>
      <c r="AO118" s="79">
        <v>6.9157650000000004</v>
      </c>
      <c r="AP118" s="79"/>
      <c r="AQ118" s="79"/>
      <c r="AR118" s="79"/>
      <c r="AS118" s="79">
        <v>0.51292800000000005</v>
      </c>
      <c r="AT118" s="79"/>
      <c r="AU118" s="79">
        <v>-1.995152</v>
      </c>
      <c r="AV118" s="79"/>
      <c r="AW118" s="79"/>
      <c r="AX118" s="79"/>
      <c r="AY118" s="79"/>
    </row>
    <row r="119" spans="1:51" x14ac:dyDescent="0.2">
      <c r="A119" t="s">
        <v>664</v>
      </c>
      <c r="B119" s="1">
        <v>10502</v>
      </c>
      <c r="C119" s="78">
        <v>119</v>
      </c>
      <c r="D119" s="1"/>
      <c r="E119" s="1">
        <f t="shared" si="2"/>
        <v>10502</v>
      </c>
      <c r="F119" s="2">
        <f t="shared" si="3"/>
        <v>10502</v>
      </c>
      <c r="G119" s="78">
        <v>117</v>
      </c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79"/>
      <c r="AG119" s="79"/>
      <c r="AH119" s="79"/>
      <c r="AI119" s="79"/>
      <c r="AJ119" s="79"/>
      <c r="AK119" s="79"/>
      <c r="AL119" s="79"/>
      <c r="AM119" s="79"/>
      <c r="AN119" s="79"/>
      <c r="AO119" s="79">
        <v>7.0487950000000001</v>
      </c>
      <c r="AP119" s="79"/>
      <c r="AQ119" s="79"/>
      <c r="AR119" s="79"/>
      <c r="AS119" s="79">
        <v>1.658509</v>
      </c>
      <c r="AT119" s="79"/>
      <c r="AU119" s="79">
        <v>2.379248</v>
      </c>
      <c r="AV119" s="79"/>
      <c r="AW119" s="79"/>
      <c r="AX119" s="79"/>
      <c r="AY119" s="79"/>
    </row>
    <row r="120" spans="1:51" x14ac:dyDescent="0.2">
      <c r="A120" t="s">
        <v>665</v>
      </c>
      <c r="B120" s="1">
        <v>10533</v>
      </c>
      <c r="C120" s="78">
        <v>120</v>
      </c>
      <c r="D120" s="1"/>
      <c r="E120" s="1">
        <f t="shared" si="2"/>
        <v>10533</v>
      </c>
      <c r="F120" s="2">
        <f t="shared" si="3"/>
        <v>10533</v>
      </c>
      <c r="G120" s="78">
        <v>118</v>
      </c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79"/>
      <c r="AG120" s="79"/>
      <c r="AH120" s="79"/>
      <c r="AI120" s="79"/>
      <c r="AJ120" s="79"/>
      <c r="AK120" s="79"/>
      <c r="AL120" s="79"/>
      <c r="AM120" s="79"/>
      <c r="AN120" s="79"/>
      <c r="AO120" s="79">
        <v>7.1817299999999999</v>
      </c>
      <c r="AP120" s="79"/>
      <c r="AQ120" s="79"/>
      <c r="AR120" s="79"/>
      <c r="AS120" s="79">
        <v>1.119221</v>
      </c>
      <c r="AT120" s="79"/>
      <c r="AU120" s="79">
        <v>-0.73083699999999996</v>
      </c>
      <c r="AV120" s="79"/>
      <c r="AW120" s="79"/>
      <c r="AX120" s="79"/>
      <c r="AY120" s="79"/>
    </row>
    <row r="121" spans="1:51" x14ac:dyDescent="0.2">
      <c r="A121" t="s">
        <v>666</v>
      </c>
      <c r="B121" s="1">
        <v>10563</v>
      </c>
      <c r="C121" s="78">
        <v>121</v>
      </c>
      <c r="D121" s="1"/>
      <c r="E121" s="1">
        <f t="shared" si="2"/>
        <v>10563</v>
      </c>
      <c r="F121" s="2">
        <f t="shared" si="3"/>
        <v>10563</v>
      </c>
      <c r="G121" s="78">
        <v>119</v>
      </c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79"/>
      <c r="AG121" s="79"/>
      <c r="AH121" s="79"/>
      <c r="AI121" s="79"/>
      <c r="AJ121" s="79"/>
      <c r="AK121" s="79"/>
      <c r="AL121" s="79"/>
      <c r="AM121" s="79"/>
      <c r="AN121" s="79"/>
      <c r="AO121" s="79">
        <v>7.3147599999999997</v>
      </c>
      <c r="AP121" s="79"/>
      <c r="AQ121" s="79"/>
      <c r="AR121" s="79"/>
      <c r="AS121" s="79">
        <v>-5.8254E-2</v>
      </c>
      <c r="AT121" s="79"/>
      <c r="AU121" s="79">
        <v>-0.218388</v>
      </c>
      <c r="AV121" s="79"/>
      <c r="AW121" s="79"/>
      <c r="AX121" s="79"/>
      <c r="AY121" s="79"/>
    </row>
    <row r="122" spans="1:51" x14ac:dyDescent="0.2">
      <c r="A122" t="s">
        <v>667</v>
      </c>
      <c r="B122" s="1">
        <v>10594</v>
      </c>
      <c r="C122" s="78">
        <v>122</v>
      </c>
      <c r="D122" s="1"/>
      <c r="E122" s="1">
        <f t="shared" si="2"/>
        <v>10594</v>
      </c>
      <c r="F122" s="2">
        <f t="shared" si="3"/>
        <v>10594</v>
      </c>
      <c r="G122" s="78">
        <v>120</v>
      </c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79"/>
      <c r="AG122" s="79"/>
      <c r="AH122" s="79"/>
      <c r="AI122" s="79"/>
      <c r="AJ122" s="79"/>
      <c r="AK122" s="79"/>
      <c r="AL122" s="79"/>
      <c r="AM122" s="79"/>
      <c r="AN122" s="79"/>
      <c r="AO122" s="79">
        <v>7.4211850000000004</v>
      </c>
      <c r="AP122" s="79"/>
      <c r="AQ122" s="79"/>
      <c r="AR122" s="79"/>
      <c r="AS122" s="79">
        <v>-5.0689999999999997E-3</v>
      </c>
      <c r="AT122" s="79"/>
      <c r="AU122" s="79">
        <v>9.6063999999999997E-2</v>
      </c>
      <c r="AV122" s="79"/>
      <c r="AW122" s="79"/>
      <c r="AX122" s="79"/>
      <c r="AY122" s="79"/>
    </row>
    <row r="123" spans="1:51" x14ac:dyDescent="0.2">
      <c r="A123" t="s">
        <v>668</v>
      </c>
      <c r="B123" s="1">
        <v>10625</v>
      </c>
      <c r="C123" s="78">
        <v>123</v>
      </c>
      <c r="D123" s="1"/>
      <c r="E123" s="1">
        <f t="shared" si="2"/>
        <v>10625</v>
      </c>
      <c r="F123" s="2">
        <f t="shared" si="3"/>
        <v>10625</v>
      </c>
      <c r="G123" s="78">
        <v>121</v>
      </c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9"/>
      <c r="AI123" s="79"/>
      <c r="AJ123" s="79"/>
      <c r="AK123" s="79"/>
      <c r="AL123" s="79"/>
      <c r="AM123" s="79"/>
      <c r="AN123" s="79"/>
      <c r="AO123" s="79">
        <v>7.3945780000000001</v>
      </c>
      <c r="AP123" s="79"/>
      <c r="AQ123" s="79"/>
      <c r="AR123" s="79"/>
      <c r="AS123" s="79">
        <v>0.78059699999999999</v>
      </c>
      <c r="AT123" s="79"/>
      <c r="AU123" s="79">
        <v>-0.38587300000000002</v>
      </c>
      <c r="AV123" s="79"/>
      <c r="AW123" s="79"/>
      <c r="AX123" s="79"/>
      <c r="AY123" s="79"/>
    </row>
    <row r="124" spans="1:51" x14ac:dyDescent="0.2">
      <c r="A124" t="s">
        <v>669</v>
      </c>
      <c r="B124" s="1">
        <v>10653</v>
      </c>
      <c r="C124" s="78">
        <v>124</v>
      </c>
      <c r="D124" s="1"/>
      <c r="E124" s="1">
        <f t="shared" si="2"/>
        <v>10653</v>
      </c>
      <c r="F124" s="2">
        <f t="shared" si="3"/>
        <v>10653</v>
      </c>
      <c r="G124" s="78">
        <v>122</v>
      </c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  <c r="AK124" s="79"/>
      <c r="AL124" s="79"/>
      <c r="AM124" s="79"/>
      <c r="AN124" s="79"/>
      <c r="AO124" s="79">
        <v>7.4211850000000004</v>
      </c>
      <c r="AP124" s="79"/>
      <c r="AQ124" s="79"/>
      <c r="AR124" s="79"/>
      <c r="AS124" s="79">
        <v>-6.2868999999999994E-2</v>
      </c>
      <c r="AT124" s="79"/>
      <c r="AU124" s="79">
        <v>0.51350600000000002</v>
      </c>
      <c r="AV124" s="79"/>
      <c r="AW124" s="79"/>
      <c r="AX124" s="79"/>
      <c r="AY124" s="79"/>
    </row>
    <row r="125" spans="1:51" x14ac:dyDescent="0.2">
      <c r="A125" t="s">
        <v>670</v>
      </c>
      <c r="B125" s="1">
        <v>10684</v>
      </c>
      <c r="C125" s="78">
        <v>125</v>
      </c>
      <c r="D125" s="1"/>
      <c r="E125" s="1">
        <f t="shared" si="2"/>
        <v>10684</v>
      </c>
      <c r="F125" s="2">
        <f t="shared" si="3"/>
        <v>10684</v>
      </c>
      <c r="G125" s="78">
        <v>123</v>
      </c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9"/>
      <c r="AI125" s="79"/>
      <c r="AJ125" s="79"/>
      <c r="AK125" s="79"/>
      <c r="AL125" s="79"/>
      <c r="AM125" s="79"/>
      <c r="AN125" s="79"/>
      <c r="AO125" s="79">
        <v>7.5542150000000001</v>
      </c>
      <c r="AP125" s="79"/>
      <c r="AQ125" s="79"/>
      <c r="AR125" s="79"/>
      <c r="AS125" s="79">
        <v>-1.2581999999999999E-2</v>
      </c>
      <c r="AT125" s="79"/>
      <c r="AU125" s="79">
        <v>1.6443369999999999</v>
      </c>
      <c r="AV125" s="79"/>
      <c r="AW125" s="79"/>
      <c r="AX125" s="79"/>
      <c r="AY125" s="79"/>
    </row>
    <row r="126" spans="1:51" x14ac:dyDescent="0.2">
      <c r="A126" t="s">
        <v>671</v>
      </c>
      <c r="B126" s="1">
        <v>10714</v>
      </c>
      <c r="C126" s="78">
        <v>126</v>
      </c>
      <c r="D126" s="1"/>
      <c r="E126" s="1">
        <f t="shared" si="2"/>
        <v>10714</v>
      </c>
      <c r="F126" s="2">
        <f t="shared" si="3"/>
        <v>10714</v>
      </c>
      <c r="G126" s="78">
        <v>124</v>
      </c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  <c r="AD126" s="79"/>
      <c r="AE126" s="79"/>
      <c r="AF126" s="79"/>
      <c r="AG126" s="79"/>
      <c r="AH126" s="79"/>
      <c r="AI126" s="79"/>
      <c r="AJ126" s="79"/>
      <c r="AK126" s="79"/>
      <c r="AL126" s="79"/>
      <c r="AM126" s="79"/>
      <c r="AN126" s="79"/>
      <c r="AO126" s="79">
        <v>7.6871499999999999</v>
      </c>
      <c r="AP126" s="79"/>
      <c r="AQ126" s="79"/>
      <c r="AR126" s="79"/>
      <c r="AS126" s="79">
        <v>0.22650100000000001</v>
      </c>
      <c r="AT126" s="79"/>
      <c r="AU126" s="79">
        <v>1.932725</v>
      </c>
      <c r="AV126" s="79"/>
      <c r="AW126" s="79"/>
      <c r="AX126" s="79"/>
      <c r="AY126" s="79"/>
    </row>
    <row r="127" spans="1:51" x14ac:dyDescent="0.2">
      <c r="A127" t="s">
        <v>672</v>
      </c>
      <c r="B127" s="1">
        <v>10745</v>
      </c>
      <c r="C127" s="78">
        <v>127</v>
      </c>
      <c r="D127" s="1"/>
      <c r="E127" s="1">
        <f t="shared" si="2"/>
        <v>10745</v>
      </c>
      <c r="F127" s="2">
        <f t="shared" si="3"/>
        <v>10745</v>
      </c>
      <c r="G127" s="78">
        <v>125</v>
      </c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79"/>
      <c r="AG127" s="79"/>
      <c r="AH127" s="79"/>
      <c r="AI127" s="79"/>
      <c r="AJ127" s="79"/>
      <c r="AK127" s="79"/>
      <c r="AL127" s="79"/>
      <c r="AM127" s="79"/>
      <c r="AN127" s="79"/>
      <c r="AO127" s="79">
        <v>7.7403620000000002</v>
      </c>
      <c r="AP127" s="79"/>
      <c r="AQ127" s="79"/>
      <c r="AR127" s="79"/>
      <c r="AS127" s="79">
        <v>3.5153999999999998E-2</v>
      </c>
      <c r="AT127" s="79"/>
      <c r="AU127" s="79">
        <v>-1.075844</v>
      </c>
      <c r="AV127" s="79"/>
      <c r="AW127" s="79"/>
      <c r="AX127" s="79"/>
      <c r="AY127" s="79"/>
    </row>
    <row r="128" spans="1:51" x14ac:dyDescent="0.2">
      <c r="A128" t="s">
        <v>673</v>
      </c>
      <c r="B128" s="1">
        <v>10775</v>
      </c>
      <c r="C128" s="78">
        <v>128</v>
      </c>
      <c r="D128" s="1"/>
      <c r="E128" s="1">
        <f t="shared" si="2"/>
        <v>10775</v>
      </c>
      <c r="F128" s="2">
        <f t="shared" si="3"/>
        <v>10775</v>
      </c>
      <c r="G128" s="78">
        <v>126</v>
      </c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79"/>
      <c r="AM128" s="79"/>
      <c r="AN128" s="79"/>
      <c r="AO128" s="79">
        <v>7.8467859999999998</v>
      </c>
      <c r="AP128" s="79"/>
      <c r="AQ128" s="79"/>
      <c r="AR128" s="79"/>
      <c r="AS128" s="79">
        <v>0.38655600000000001</v>
      </c>
      <c r="AT128" s="79"/>
      <c r="AU128" s="79">
        <v>0.91014499999999998</v>
      </c>
      <c r="AV128" s="79"/>
      <c r="AW128" s="79"/>
      <c r="AX128" s="79"/>
      <c r="AY128" s="79"/>
    </row>
    <row r="129" spans="1:51" x14ac:dyDescent="0.2">
      <c r="A129" t="s">
        <v>674</v>
      </c>
      <c r="B129" s="1">
        <v>10806</v>
      </c>
      <c r="C129" s="78">
        <v>129</v>
      </c>
      <c r="D129" s="1"/>
      <c r="E129" s="1">
        <f t="shared" si="2"/>
        <v>10806</v>
      </c>
      <c r="F129" s="2">
        <f t="shared" si="3"/>
        <v>10806</v>
      </c>
      <c r="G129" s="78">
        <v>127</v>
      </c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79"/>
      <c r="AD129" s="79"/>
      <c r="AE129" s="79"/>
      <c r="AF129" s="79"/>
      <c r="AG129" s="79"/>
      <c r="AH129" s="79"/>
      <c r="AI129" s="79"/>
      <c r="AJ129" s="79"/>
      <c r="AK129" s="79"/>
      <c r="AL129" s="79"/>
      <c r="AM129" s="79"/>
      <c r="AN129" s="79"/>
      <c r="AO129" s="79">
        <v>7.7669680000000003</v>
      </c>
      <c r="AP129" s="79"/>
      <c r="AQ129" s="79"/>
      <c r="AR129" s="79"/>
      <c r="AS129" s="79">
        <v>0.72512699999999997</v>
      </c>
      <c r="AT129" s="79"/>
      <c r="AU129" s="79">
        <v>1.7503629999999999</v>
      </c>
      <c r="AV129" s="79"/>
      <c r="AW129" s="79"/>
      <c r="AX129" s="79"/>
      <c r="AY129" s="79"/>
    </row>
    <row r="130" spans="1:51" x14ac:dyDescent="0.2">
      <c r="A130" t="s">
        <v>675</v>
      </c>
      <c r="B130" s="1">
        <v>10837</v>
      </c>
      <c r="C130" s="78">
        <v>130</v>
      </c>
      <c r="D130" s="1"/>
      <c r="E130" s="1">
        <f t="shared" ref="E130:E193" si="4">B130</f>
        <v>10837</v>
      </c>
      <c r="F130" s="2">
        <f t="shared" ref="F130:F193" si="5">B130</f>
        <v>10837</v>
      </c>
      <c r="G130" s="78">
        <v>128</v>
      </c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79"/>
      <c r="AG130" s="79"/>
      <c r="AH130" s="79"/>
      <c r="AI130" s="79"/>
      <c r="AJ130" s="79"/>
      <c r="AK130" s="79"/>
      <c r="AL130" s="79"/>
      <c r="AM130" s="79"/>
      <c r="AN130" s="79"/>
      <c r="AO130" s="79">
        <v>7.7137560000000001</v>
      </c>
      <c r="AP130" s="79"/>
      <c r="AQ130" s="79"/>
      <c r="AR130" s="79"/>
      <c r="AS130" s="79">
        <v>0.56103099999999995</v>
      </c>
      <c r="AT130" s="79"/>
      <c r="AU130" s="79">
        <v>0.64602999999999999</v>
      </c>
      <c r="AV130" s="79"/>
      <c r="AW130" s="79"/>
      <c r="AX130" s="79"/>
      <c r="AY130" s="79"/>
    </row>
    <row r="131" spans="1:51" x14ac:dyDescent="0.2">
      <c r="A131" t="s">
        <v>676</v>
      </c>
      <c r="B131" s="1">
        <v>10867</v>
      </c>
      <c r="C131" s="78">
        <v>131</v>
      </c>
      <c r="D131" s="1"/>
      <c r="E131" s="1">
        <f t="shared" si="4"/>
        <v>10867</v>
      </c>
      <c r="F131" s="2">
        <f t="shared" si="5"/>
        <v>10867</v>
      </c>
      <c r="G131" s="78">
        <v>129</v>
      </c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79"/>
      <c r="AH131" s="79"/>
      <c r="AI131" s="79"/>
      <c r="AJ131" s="79"/>
      <c r="AK131" s="79"/>
      <c r="AL131" s="79"/>
      <c r="AM131" s="79"/>
      <c r="AN131" s="79"/>
      <c r="AO131" s="79">
        <v>7.5807250000000002</v>
      </c>
      <c r="AP131" s="79"/>
      <c r="AQ131" s="79"/>
      <c r="AR131" s="79"/>
      <c r="AS131" s="79">
        <v>0.94053200000000003</v>
      </c>
      <c r="AT131" s="79"/>
      <c r="AU131" s="79">
        <v>0.74638499999999997</v>
      </c>
      <c r="AV131" s="79"/>
      <c r="AW131" s="79"/>
      <c r="AX131" s="79"/>
      <c r="AY131" s="79"/>
    </row>
    <row r="132" spans="1:51" x14ac:dyDescent="0.2">
      <c r="A132" t="s">
        <v>677</v>
      </c>
      <c r="B132" s="1">
        <v>10898</v>
      </c>
      <c r="C132" s="78">
        <v>132</v>
      </c>
      <c r="D132" s="1"/>
      <c r="E132" s="1">
        <f t="shared" si="4"/>
        <v>10898</v>
      </c>
      <c r="F132" s="2">
        <f t="shared" si="5"/>
        <v>10898</v>
      </c>
      <c r="G132" s="78">
        <v>130</v>
      </c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  <c r="AD132" s="79"/>
      <c r="AE132" s="79"/>
      <c r="AF132" s="79"/>
      <c r="AG132" s="79"/>
      <c r="AH132" s="79"/>
      <c r="AI132" s="79"/>
      <c r="AJ132" s="79"/>
      <c r="AK132" s="79"/>
      <c r="AL132" s="79"/>
      <c r="AM132" s="79"/>
      <c r="AN132" s="79"/>
      <c r="AO132" s="79">
        <v>7.2083360000000001</v>
      </c>
      <c r="AP132" s="79"/>
      <c r="AQ132" s="79"/>
      <c r="AR132" s="79"/>
      <c r="AS132" s="79">
        <v>1.530937</v>
      </c>
      <c r="AT132" s="79"/>
      <c r="AU132" s="79">
        <v>2.0521560000000001</v>
      </c>
      <c r="AV132" s="79"/>
      <c r="AW132" s="79"/>
      <c r="AX132" s="79"/>
      <c r="AY132" s="79"/>
    </row>
    <row r="133" spans="1:51" x14ac:dyDescent="0.2">
      <c r="A133" t="s">
        <v>678</v>
      </c>
      <c r="B133" s="1">
        <v>10928</v>
      </c>
      <c r="C133" s="78">
        <v>133</v>
      </c>
      <c r="D133" s="1"/>
      <c r="E133" s="1">
        <f t="shared" si="4"/>
        <v>10928</v>
      </c>
      <c r="F133" s="2">
        <f t="shared" si="5"/>
        <v>10928</v>
      </c>
      <c r="G133" s="78">
        <v>131</v>
      </c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9"/>
      <c r="AI133" s="79"/>
      <c r="AJ133" s="79"/>
      <c r="AK133" s="79"/>
      <c r="AL133" s="79"/>
      <c r="AM133" s="79"/>
      <c r="AN133" s="79"/>
      <c r="AO133" s="79">
        <v>6.8891590000000003</v>
      </c>
      <c r="AP133" s="79"/>
      <c r="AQ133" s="79"/>
      <c r="AR133" s="79"/>
      <c r="AS133" s="79">
        <v>1.89392</v>
      </c>
      <c r="AT133" s="79"/>
      <c r="AU133" s="79">
        <v>2.0544449999999999</v>
      </c>
      <c r="AV133" s="79"/>
      <c r="AW133" s="79"/>
      <c r="AX133" s="79"/>
      <c r="AY133" s="79"/>
    </row>
    <row r="134" spans="1:51" x14ac:dyDescent="0.2">
      <c r="A134" t="s">
        <v>679</v>
      </c>
      <c r="B134" s="1">
        <v>10959</v>
      </c>
      <c r="C134" s="78">
        <v>134</v>
      </c>
      <c r="D134" s="1"/>
      <c r="E134" s="1">
        <f t="shared" si="4"/>
        <v>10959</v>
      </c>
      <c r="F134" s="2">
        <f t="shared" si="5"/>
        <v>10959</v>
      </c>
      <c r="G134" s="78">
        <v>132</v>
      </c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9"/>
      <c r="AI134" s="79"/>
      <c r="AJ134" s="79"/>
      <c r="AK134" s="79"/>
      <c r="AL134" s="79"/>
      <c r="AM134" s="79"/>
      <c r="AN134" s="79"/>
      <c r="AO134" s="79">
        <v>6.8891590000000003</v>
      </c>
      <c r="AP134" s="79"/>
      <c r="AQ134" s="79"/>
      <c r="AR134" s="79"/>
      <c r="AS134" s="79">
        <v>0.29104400000000002</v>
      </c>
      <c r="AT134" s="79"/>
      <c r="AU134" s="79">
        <v>1.901049</v>
      </c>
      <c r="AV134" s="79"/>
      <c r="AW134" s="79"/>
      <c r="AX134" s="79"/>
      <c r="AY134" s="79"/>
    </row>
    <row r="135" spans="1:51" x14ac:dyDescent="0.2">
      <c r="A135" t="s">
        <v>680</v>
      </c>
      <c r="B135" s="1">
        <v>10990</v>
      </c>
      <c r="C135" s="78">
        <v>135</v>
      </c>
      <c r="D135" s="1"/>
      <c r="E135" s="1">
        <f t="shared" si="4"/>
        <v>10990</v>
      </c>
      <c r="F135" s="2">
        <f t="shared" si="5"/>
        <v>10990</v>
      </c>
      <c r="G135" s="78">
        <v>133</v>
      </c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79"/>
      <c r="AG135" s="79"/>
      <c r="AH135" s="79"/>
      <c r="AI135" s="79"/>
      <c r="AJ135" s="79"/>
      <c r="AK135" s="79"/>
      <c r="AL135" s="79"/>
      <c r="AM135" s="79"/>
      <c r="AN135" s="79"/>
      <c r="AO135" s="79">
        <v>6.8625530000000001</v>
      </c>
      <c r="AP135" s="79"/>
      <c r="AQ135" s="79"/>
      <c r="AR135" s="79"/>
      <c r="AS135" s="79">
        <v>0.66569500000000004</v>
      </c>
      <c r="AT135" s="79"/>
      <c r="AU135" s="79">
        <v>1.7120139999999999</v>
      </c>
      <c r="AV135" s="79"/>
      <c r="AW135" s="79"/>
      <c r="AX135" s="79"/>
      <c r="AY135" s="79"/>
    </row>
    <row r="136" spans="1:51" x14ac:dyDescent="0.2">
      <c r="A136" t="s">
        <v>681</v>
      </c>
      <c r="B136" s="1">
        <v>11018</v>
      </c>
      <c r="C136" s="78">
        <v>136</v>
      </c>
      <c r="D136" s="1"/>
      <c r="E136" s="1">
        <f t="shared" si="4"/>
        <v>11018</v>
      </c>
      <c r="F136" s="2">
        <f t="shared" si="5"/>
        <v>11018</v>
      </c>
      <c r="G136" s="78">
        <v>134</v>
      </c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/>
      <c r="AC136" s="79"/>
      <c r="AD136" s="79"/>
      <c r="AE136" s="79"/>
      <c r="AF136" s="79"/>
      <c r="AG136" s="79"/>
      <c r="AH136" s="79"/>
      <c r="AI136" s="79"/>
      <c r="AJ136" s="79"/>
      <c r="AK136" s="79"/>
      <c r="AL136" s="79"/>
      <c r="AM136" s="79"/>
      <c r="AN136" s="79"/>
      <c r="AO136" s="79">
        <v>6.7562239999999996</v>
      </c>
      <c r="AP136" s="79"/>
      <c r="AQ136" s="79"/>
      <c r="AR136" s="79"/>
      <c r="AS136" s="79">
        <v>0.441722</v>
      </c>
      <c r="AT136" s="79"/>
      <c r="AU136" s="79">
        <v>0.224772</v>
      </c>
      <c r="AV136" s="79"/>
      <c r="AW136" s="79"/>
      <c r="AX136" s="79"/>
      <c r="AY136" s="79"/>
    </row>
    <row r="137" spans="1:51" x14ac:dyDescent="0.2">
      <c r="A137" t="s">
        <v>682</v>
      </c>
      <c r="B137" s="1">
        <v>11049</v>
      </c>
      <c r="C137" s="78">
        <v>137</v>
      </c>
      <c r="D137" s="1"/>
      <c r="E137" s="1">
        <f t="shared" si="4"/>
        <v>11049</v>
      </c>
      <c r="F137" s="2">
        <f t="shared" si="5"/>
        <v>11049</v>
      </c>
      <c r="G137" s="78">
        <v>135</v>
      </c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79"/>
      <c r="AD137" s="79"/>
      <c r="AE137" s="79"/>
      <c r="AF137" s="79"/>
      <c r="AG137" s="79"/>
      <c r="AH137" s="79"/>
      <c r="AI137" s="79"/>
      <c r="AJ137" s="79"/>
      <c r="AK137" s="79"/>
      <c r="AL137" s="79"/>
      <c r="AM137" s="79"/>
      <c r="AN137" s="79"/>
      <c r="AO137" s="79">
        <v>6.7030120000000002</v>
      </c>
      <c r="AP137" s="79"/>
      <c r="AQ137" s="79"/>
      <c r="AR137" s="79"/>
      <c r="AS137" s="79">
        <v>0.235268</v>
      </c>
      <c r="AT137" s="79"/>
      <c r="AU137" s="79">
        <v>1.2420169999999999</v>
      </c>
      <c r="AV137" s="79"/>
      <c r="AW137" s="79"/>
      <c r="AX137" s="79"/>
      <c r="AY137" s="79"/>
    </row>
    <row r="138" spans="1:51" x14ac:dyDescent="0.2">
      <c r="A138" t="s">
        <v>683</v>
      </c>
      <c r="B138" s="1">
        <v>11079</v>
      </c>
      <c r="C138" s="78">
        <v>138</v>
      </c>
      <c r="D138" s="1"/>
      <c r="E138" s="1">
        <f t="shared" si="4"/>
        <v>11079</v>
      </c>
      <c r="F138" s="2">
        <f t="shared" si="5"/>
        <v>11079</v>
      </c>
      <c r="G138" s="78">
        <v>136</v>
      </c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  <c r="AG138" s="79"/>
      <c r="AH138" s="79"/>
      <c r="AI138" s="79"/>
      <c r="AJ138" s="79"/>
      <c r="AK138" s="79"/>
      <c r="AL138" s="79"/>
      <c r="AM138" s="79"/>
      <c r="AN138" s="79"/>
      <c r="AO138" s="79">
        <v>6.5965870000000004</v>
      </c>
      <c r="AP138" s="79"/>
      <c r="AQ138" s="79"/>
      <c r="AR138" s="79"/>
      <c r="AS138" s="79">
        <v>0.70940700000000001</v>
      </c>
      <c r="AT138" s="79"/>
      <c r="AU138" s="79">
        <v>2.1838549999999999</v>
      </c>
      <c r="AV138" s="79"/>
      <c r="AW138" s="79"/>
      <c r="AX138" s="79"/>
      <c r="AY138" s="79"/>
    </row>
    <row r="139" spans="1:51" x14ac:dyDescent="0.2">
      <c r="A139" t="s">
        <v>684</v>
      </c>
      <c r="B139" s="1">
        <v>11110</v>
      </c>
      <c r="C139" s="78">
        <v>139</v>
      </c>
      <c r="D139" s="1"/>
      <c r="E139" s="1">
        <f t="shared" si="4"/>
        <v>11110</v>
      </c>
      <c r="F139" s="2">
        <f t="shared" si="5"/>
        <v>11110</v>
      </c>
      <c r="G139" s="78">
        <v>137</v>
      </c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79"/>
      <c r="AG139" s="79"/>
      <c r="AH139" s="79"/>
      <c r="AI139" s="79"/>
      <c r="AJ139" s="79"/>
      <c r="AK139" s="79"/>
      <c r="AL139" s="79"/>
      <c r="AM139" s="79"/>
      <c r="AN139" s="79"/>
      <c r="AO139" s="79">
        <v>6.4104400000000004</v>
      </c>
      <c r="AP139" s="79"/>
      <c r="AQ139" s="79"/>
      <c r="AR139" s="79"/>
      <c r="AS139" s="79">
        <v>0.28268900000000002</v>
      </c>
      <c r="AT139" s="79"/>
      <c r="AU139" s="79">
        <v>1.4554039999999999</v>
      </c>
      <c r="AV139" s="79"/>
      <c r="AW139" s="79"/>
      <c r="AX139" s="79"/>
      <c r="AY139" s="79"/>
    </row>
    <row r="140" spans="1:51" x14ac:dyDescent="0.2">
      <c r="A140" t="s">
        <v>685</v>
      </c>
      <c r="B140" s="1">
        <v>11140</v>
      </c>
      <c r="C140" s="78">
        <v>140</v>
      </c>
      <c r="D140" s="1"/>
      <c r="E140" s="1">
        <f t="shared" si="4"/>
        <v>11140</v>
      </c>
      <c r="F140" s="2">
        <f t="shared" si="5"/>
        <v>11140</v>
      </c>
      <c r="G140" s="78">
        <v>138</v>
      </c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79"/>
      <c r="AG140" s="79"/>
      <c r="AH140" s="79"/>
      <c r="AI140" s="79"/>
      <c r="AJ140" s="79"/>
      <c r="AK140" s="79"/>
      <c r="AL140" s="79"/>
      <c r="AM140" s="79"/>
      <c r="AN140" s="79"/>
      <c r="AO140" s="79">
        <v>6.1177739999999998</v>
      </c>
      <c r="AP140" s="79"/>
      <c r="AQ140" s="79"/>
      <c r="AR140" s="79"/>
      <c r="AS140" s="79">
        <v>-0.204738</v>
      </c>
      <c r="AT140" s="79"/>
      <c r="AU140" s="79">
        <v>0.62388500000000002</v>
      </c>
      <c r="AV140" s="79"/>
      <c r="AW140" s="79"/>
      <c r="AX140" s="79"/>
      <c r="AY140" s="79"/>
    </row>
    <row r="141" spans="1:51" x14ac:dyDescent="0.2">
      <c r="A141" t="s">
        <v>686</v>
      </c>
      <c r="B141" s="1">
        <v>11171</v>
      </c>
      <c r="C141" s="78">
        <v>141</v>
      </c>
      <c r="D141" s="1"/>
      <c r="E141" s="1">
        <f t="shared" si="4"/>
        <v>11171</v>
      </c>
      <c r="F141" s="2">
        <f t="shared" si="5"/>
        <v>11171</v>
      </c>
      <c r="G141" s="78">
        <v>139</v>
      </c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79"/>
      <c r="AJ141" s="79"/>
      <c r="AK141" s="79"/>
      <c r="AL141" s="79"/>
      <c r="AM141" s="79"/>
      <c r="AN141" s="79"/>
      <c r="AO141" s="79">
        <v>5.984839</v>
      </c>
      <c r="AP141" s="79"/>
      <c r="AQ141" s="79"/>
      <c r="AR141" s="79"/>
      <c r="AS141" s="79">
        <v>-0.30471399999999998</v>
      </c>
      <c r="AT141" s="79"/>
      <c r="AU141" s="79">
        <v>-0.92637899999999995</v>
      </c>
      <c r="AV141" s="79"/>
      <c r="AW141" s="79"/>
      <c r="AX141" s="79"/>
      <c r="AY141" s="79"/>
    </row>
    <row r="142" spans="1:51" x14ac:dyDescent="0.2">
      <c r="A142" t="s">
        <v>687</v>
      </c>
      <c r="B142" s="1">
        <v>11202</v>
      </c>
      <c r="C142" s="78">
        <v>142</v>
      </c>
      <c r="D142" s="1"/>
      <c r="E142" s="1">
        <f t="shared" si="4"/>
        <v>11202</v>
      </c>
      <c r="F142" s="2">
        <f t="shared" si="5"/>
        <v>11202</v>
      </c>
      <c r="G142" s="78">
        <v>140</v>
      </c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79"/>
      <c r="AG142" s="79"/>
      <c r="AH142" s="79"/>
      <c r="AI142" s="79"/>
      <c r="AJ142" s="79"/>
      <c r="AK142" s="79"/>
      <c r="AL142" s="79"/>
      <c r="AM142" s="79"/>
      <c r="AN142" s="79"/>
      <c r="AO142" s="79">
        <v>5.8784140000000003</v>
      </c>
      <c r="AP142" s="79"/>
      <c r="AQ142" s="79"/>
      <c r="AR142" s="79"/>
      <c r="AS142" s="79">
        <v>-1.1749069999999999</v>
      </c>
      <c r="AT142" s="79"/>
      <c r="AU142" s="79">
        <v>-0.83441699999999996</v>
      </c>
      <c r="AV142" s="79"/>
      <c r="AW142" s="79"/>
      <c r="AX142" s="79"/>
      <c r="AY142" s="79"/>
    </row>
    <row r="143" spans="1:51" x14ac:dyDescent="0.2">
      <c r="A143" t="s">
        <v>688</v>
      </c>
      <c r="B143" s="1">
        <v>11232</v>
      </c>
      <c r="C143" s="78">
        <v>143</v>
      </c>
      <c r="D143" s="1"/>
      <c r="E143" s="1">
        <f t="shared" si="4"/>
        <v>11232</v>
      </c>
      <c r="F143" s="2">
        <f t="shared" si="5"/>
        <v>11232</v>
      </c>
      <c r="G143" s="78">
        <v>141</v>
      </c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  <c r="AK143" s="79"/>
      <c r="AL143" s="79"/>
      <c r="AM143" s="79"/>
      <c r="AN143" s="79"/>
      <c r="AO143" s="79">
        <v>5.7187780000000004</v>
      </c>
      <c r="AP143" s="79"/>
      <c r="AQ143" s="79"/>
      <c r="AR143" s="79"/>
      <c r="AS143" s="79">
        <v>-0.50012100000000004</v>
      </c>
      <c r="AT143" s="79"/>
      <c r="AU143" s="79">
        <v>-2.5571E-2</v>
      </c>
      <c r="AV143" s="79"/>
      <c r="AW143" s="79"/>
      <c r="AX143" s="79"/>
      <c r="AY143" s="79"/>
    </row>
    <row r="144" spans="1:51" x14ac:dyDescent="0.2">
      <c r="A144" t="s">
        <v>689</v>
      </c>
      <c r="B144" s="1">
        <v>11263</v>
      </c>
      <c r="C144" s="78">
        <v>144</v>
      </c>
      <c r="D144" s="1"/>
      <c r="E144" s="1">
        <f t="shared" si="4"/>
        <v>11263</v>
      </c>
      <c r="F144" s="2">
        <f t="shared" si="5"/>
        <v>11263</v>
      </c>
      <c r="G144" s="78">
        <v>142</v>
      </c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  <c r="AD144" s="79"/>
      <c r="AE144" s="79"/>
      <c r="AF144" s="79"/>
      <c r="AG144" s="79"/>
      <c r="AH144" s="79"/>
      <c r="AI144" s="79"/>
      <c r="AJ144" s="79"/>
      <c r="AK144" s="79"/>
      <c r="AL144" s="79"/>
      <c r="AM144" s="79"/>
      <c r="AN144" s="79"/>
      <c r="AO144" s="79">
        <v>5.5858429999999997</v>
      </c>
      <c r="AP144" s="79"/>
      <c r="AQ144" s="79"/>
      <c r="AR144" s="79"/>
      <c r="AS144" s="79">
        <v>-0.136518</v>
      </c>
      <c r="AT144" s="79"/>
      <c r="AU144" s="79">
        <v>-2.1140400000000001</v>
      </c>
      <c r="AV144" s="79"/>
      <c r="AW144" s="79"/>
      <c r="AX144" s="79"/>
      <c r="AY144" s="79"/>
    </row>
    <row r="145" spans="1:51" x14ac:dyDescent="0.2">
      <c r="A145" t="s">
        <v>690</v>
      </c>
      <c r="B145" s="1">
        <v>11293</v>
      </c>
      <c r="C145" s="78">
        <v>145</v>
      </c>
      <c r="D145" s="1"/>
      <c r="E145" s="1">
        <f t="shared" si="4"/>
        <v>11293</v>
      </c>
      <c r="F145" s="2">
        <f t="shared" si="5"/>
        <v>11293</v>
      </c>
      <c r="G145" s="78">
        <v>143</v>
      </c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79"/>
      <c r="AG145" s="79"/>
      <c r="AH145" s="79"/>
      <c r="AI145" s="79"/>
      <c r="AJ145" s="79"/>
      <c r="AK145" s="79"/>
      <c r="AL145" s="79"/>
      <c r="AM145" s="79"/>
      <c r="AN145" s="79"/>
      <c r="AO145" s="79">
        <v>5.4528129999999999</v>
      </c>
      <c r="AP145" s="79"/>
      <c r="AQ145" s="79"/>
      <c r="AR145" s="79"/>
      <c r="AS145" s="79">
        <v>0.17480899999999999</v>
      </c>
      <c r="AT145" s="79"/>
      <c r="AU145" s="79">
        <v>-1.5434810000000001</v>
      </c>
      <c r="AV145" s="79"/>
      <c r="AW145" s="79"/>
      <c r="AX145" s="79"/>
      <c r="AY145" s="79"/>
    </row>
    <row r="146" spans="1:51" x14ac:dyDescent="0.2">
      <c r="A146" t="s">
        <v>691</v>
      </c>
      <c r="B146" s="1">
        <v>11324</v>
      </c>
      <c r="C146" s="78">
        <v>146</v>
      </c>
      <c r="D146" s="1"/>
      <c r="E146" s="1">
        <f t="shared" si="4"/>
        <v>11324</v>
      </c>
      <c r="F146" s="2">
        <f t="shared" si="5"/>
        <v>11324</v>
      </c>
      <c r="G146" s="78">
        <v>144</v>
      </c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  <c r="AK146" s="79"/>
      <c r="AL146" s="79"/>
      <c r="AM146" s="79"/>
      <c r="AN146" s="79"/>
      <c r="AO146" s="79">
        <v>5.4262069999999998</v>
      </c>
      <c r="AP146" s="79"/>
      <c r="AQ146" s="79"/>
      <c r="AR146" s="79"/>
      <c r="AS146" s="79">
        <v>0.91572799999999999</v>
      </c>
      <c r="AT146" s="79"/>
      <c r="AU146" s="79">
        <v>0.41525400000000001</v>
      </c>
      <c r="AV146" s="79"/>
      <c r="AW146" s="79"/>
      <c r="AX146" s="79"/>
      <c r="AY146" s="79"/>
    </row>
    <row r="147" spans="1:51" x14ac:dyDescent="0.2">
      <c r="A147" t="s">
        <v>692</v>
      </c>
      <c r="B147" s="1">
        <v>11355</v>
      </c>
      <c r="C147" s="78">
        <v>147</v>
      </c>
      <c r="D147" s="1"/>
      <c r="E147" s="1">
        <f t="shared" si="4"/>
        <v>11355</v>
      </c>
      <c r="F147" s="2">
        <f t="shared" si="5"/>
        <v>11355</v>
      </c>
      <c r="G147" s="78">
        <v>145</v>
      </c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79"/>
      <c r="AG147" s="79"/>
      <c r="AH147" s="79"/>
      <c r="AI147" s="79"/>
      <c r="AJ147" s="79"/>
      <c r="AK147" s="79"/>
      <c r="AL147" s="79"/>
      <c r="AM147" s="79"/>
      <c r="AN147" s="79"/>
      <c r="AO147" s="79">
        <v>5.4528129999999999</v>
      </c>
      <c r="AP147" s="79"/>
      <c r="AQ147" s="79"/>
      <c r="AR147" s="79"/>
      <c r="AS147" s="79">
        <v>0.42975999999999998</v>
      </c>
      <c r="AT147" s="79"/>
      <c r="AU147" s="79">
        <v>1.152779</v>
      </c>
      <c r="AV147" s="79"/>
      <c r="AW147" s="79"/>
      <c r="AX147" s="79"/>
      <c r="AY147" s="79"/>
    </row>
    <row r="148" spans="1:51" x14ac:dyDescent="0.2">
      <c r="A148" t="s">
        <v>693</v>
      </c>
      <c r="B148" s="1">
        <v>11383</v>
      </c>
      <c r="C148" s="78">
        <v>148</v>
      </c>
      <c r="D148" s="1"/>
      <c r="E148" s="1">
        <f t="shared" si="4"/>
        <v>11383</v>
      </c>
      <c r="F148" s="2">
        <f t="shared" si="5"/>
        <v>11383</v>
      </c>
      <c r="G148" s="78">
        <v>146</v>
      </c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  <c r="AD148" s="79"/>
      <c r="AE148" s="79"/>
      <c r="AF148" s="79"/>
      <c r="AG148" s="79"/>
      <c r="AH148" s="79"/>
      <c r="AI148" s="79"/>
      <c r="AJ148" s="79"/>
      <c r="AK148" s="79"/>
      <c r="AL148" s="79"/>
      <c r="AM148" s="79"/>
      <c r="AN148" s="79"/>
      <c r="AO148" s="79">
        <v>5.5592370000000004</v>
      </c>
      <c r="AP148" s="79"/>
      <c r="AQ148" s="79"/>
      <c r="AR148" s="79"/>
      <c r="AS148" s="79">
        <v>0.70960699999999999</v>
      </c>
      <c r="AT148" s="79"/>
      <c r="AU148" s="79">
        <v>2.5363720000000001</v>
      </c>
      <c r="AV148" s="79"/>
      <c r="AW148" s="79"/>
      <c r="AX148" s="79"/>
      <c r="AY148" s="79"/>
    </row>
    <row r="149" spans="1:51" x14ac:dyDescent="0.2">
      <c r="A149" t="s">
        <v>694</v>
      </c>
      <c r="B149" s="1">
        <v>11414</v>
      </c>
      <c r="C149" s="78">
        <v>149</v>
      </c>
      <c r="D149" s="1"/>
      <c r="E149" s="1">
        <f t="shared" si="4"/>
        <v>11414</v>
      </c>
      <c r="F149" s="2">
        <f t="shared" si="5"/>
        <v>11414</v>
      </c>
      <c r="G149" s="78">
        <v>147</v>
      </c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79"/>
      <c r="AG149" s="79"/>
      <c r="AH149" s="79"/>
      <c r="AI149" s="79"/>
      <c r="AJ149" s="79"/>
      <c r="AK149" s="79"/>
      <c r="AL149" s="79"/>
      <c r="AM149" s="79"/>
      <c r="AN149" s="79"/>
      <c r="AO149" s="79">
        <v>5.5858429999999997</v>
      </c>
      <c r="AP149" s="79"/>
      <c r="AQ149" s="79"/>
      <c r="AR149" s="79"/>
      <c r="AS149" s="79">
        <v>0.58752000000000004</v>
      </c>
      <c r="AT149" s="79"/>
      <c r="AU149" s="79">
        <v>1.696766</v>
      </c>
      <c r="AV149" s="79"/>
      <c r="AW149" s="79"/>
      <c r="AX149" s="79"/>
      <c r="AY149" s="79"/>
    </row>
    <row r="150" spans="1:51" x14ac:dyDescent="0.2">
      <c r="A150" t="s">
        <v>695</v>
      </c>
      <c r="B150" s="1">
        <v>11444</v>
      </c>
      <c r="C150" s="78">
        <v>150</v>
      </c>
      <c r="D150" s="1"/>
      <c r="E150" s="1">
        <f t="shared" si="4"/>
        <v>11444</v>
      </c>
      <c r="F150" s="2">
        <f t="shared" si="5"/>
        <v>11444</v>
      </c>
      <c r="G150" s="78">
        <v>148</v>
      </c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/>
      <c r="AK150" s="79"/>
      <c r="AL150" s="79"/>
      <c r="AM150" s="79"/>
      <c r="AN150" s="79"/>
      <c r="AO150" s="79">
        <v>5.5060250000000002</v>
      </c>
      <c r="AP150" s="79"/>
      <c r="AQ150" s="79"/>
      <c r="AR150" s="79"/>
      <c r="AS150" s="79">
        <v>0.64418399999999998</v>
      </c>
      <c r="AT150" s="79"/>
      <c r="AU150" s="79">
        <v>2.0774919999999999</v>
      </c>
      <c r="AV150" s="79"/>
      <c r="AW150" s="79"/>
      <c r="AX150" s="79"/>
      <c r="AY150" s="79"/>
    </row>
    <row r="151" spans="1:51" x14ac:dyDescent="0.2">
      <c r="A151" t="s">
        <v>696</v>
      </c>
      <c r="B151" s="1">
        <v>11475</v>
      </c>
      <c r="C151" s="78">
        <v>151</v>
      </c>
      <c r="D151" s="1"/>
      <c r="E151" s="1">
        <f t="shared" si="4"/>
        <v>11475</v>
      </c>
      <c r="F151" s="2">
        <f t="shared" si="5"/>
        <v>11475</v>
      </c>
      <c r="G151" s="78">
        <v>149</v>
      </c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>
        <v>5.3729940000000003</v>
      </c>
      <c r="AP151" s="79"/>
      <c r="AQ151" s="79"/>
      <c r="AR151" s="79"/>
      <c r="AS151" s="79">
        <v>1.506108</v>
      </c>
      <c r="AT151" s="79"/>
      <c r="AU151" s="79">
        <v>-1.65747</v>
      </c>
      <c r="AV151" s="79"/>
      <c r="AW151" s="79"/>
      <c r="AX151" s="79"/>
      <c r="AY151" s="79"/>
    </row>
    <row r="152" spans="1:51" x14ac:dyDescent="0.2">
      <c r="A152" t="s">
        <v>697</v>
      </c>
      <c r="B152" s="1">
        <v>11505</v>
      </c>
      <c r="C152" s="78">
        <v>152</v>
      </c>
      <c r="D152" s="1"/>
      <c r="E152" s="1">
        <f t="shared" si="4"/>
        <v>11505</v>
      </c>
      <c r="F152" s="2">
        <f t="shared" si="5"/>
        <v>11505</v>
      </c>
      <c r="G152" s="78">
        <v>150</v>
      </c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>
        <v>5.293272</v>
      </c>
      <c r="AP152" s="79"/>
      <c r="AQ152" s="79"/>
      <c r="AR152" s="79"/>
      <c r="AS152" s="79">
        <v>1.042697</v>
      </c>
      <c r="AT152" s="79"/>
      <c r="AU152" s="79">
        <v>0.154613</v>
      </c>
      <c r="AV152" s="79"/>
      <c r="AW152" s="79"/>
      <c r="AX152" s="79"/>
      <c r="AY152" s="79"/>
    </row>
    <row r="153" spans="1:51" x14ac:dyDescent="0.2">
      <c r="A153" t="s">
        <v>698</v>
      </c>
      <c r="B153" s="1">
        <v>11536</v>
      </c>
      <c r="C153" s="78">
        <v>153</v>
      </c>
      <c r="D153" s="1"/>
      <c r="E153" s="1">
        <f t="shared" si="4"/>
        <v>11536</v>
      </c>
      <c r="F153" s="2">
        <f t="shared" si="5"/>
        <v>11536</v>
      </c>
      <c r="G153" s="78">
        <v>151</v>
      </c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>
        <v>5.1070289999999998</v>
      </c>
      <c r="AP153" s="79"/>
      <c r="AQ153" s="79"/>
      <c r="AR153" s="79"/>
      <c r="AS153" s="79">
        <v>0.74799800000000005</v>
      </c>
      <c r="AT153" s="79"/>
      <c r="AU153" s="79">
        <v>-0.59577599999999997</v>
      </c>
      <c r="AV153" s="79"/>
      <c r="AW153" s="79"/>
      <c r="AX153" s="79"/>
      <c r="AY153" s="79"/>
    </row>
    <row r="154" spans="1:51" x14ac:dyDescent="0.2">
      <c r="A154" t="s">
        <v>699</v>
      </c>
      <c r="B154" s="1">
        <v>11567</v>
      </c>
      <c r="C154" s="78">
        <v>154</v>
      </c>
      <c r="D154" s="1"/>
      <c r="E154" s="1">
        <f t="shared" si="4"/>
        <v>11567</v>
      </c>
      <c r="F154" s="2">
        <f t="shared" si="5"/>
        <v>11567</v>
      </c>
      <c r="G154" s="78">
        <v>152</v>
      </c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>
        <v>4.8676700000000004</v>
      </c>
      <c r="AP154" s="79"/>
      <c r="AQ154" s="79"/>
      <c r="AR154" s="79"/>
      <c r="AS154" s="79">
        <v>0.91182300000000005</v>
      </c>
      <c r="AT154" s="79"/>
      <c r="AU154" s="79">
        <v>-0.72714199999999996</v>
      </c>
      <c r="AV154" s="79"/>
      <c r="AW154" s="79"/>
      <c r="AX154" s="79"/>
      <c r="AY154" s="79"/>
    </row>
    <row r="155" spans="1:51" x14ac:dyDescent="0.2">
      <c r="A155" t="s">
        <v>700</v>
      </c>
      <c r="B155" s="1">
        <v>11597</v>
      </c>
      <c r="C155" s="78">
        <v>155</v>
      </c>
      <c r="D155" s="1"/>
      <c r="E155" s="1">
        <f t="shared" si="4"/>
        <v>11597</v>
      </c>
      <c r="F155" s="2">
        <f t="shared" si="5"/>
        <v>11597</v>
      </c>
      <c r="G155" s="78">
        <v>153</v>
      </c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>
        <v>4.6814270000000002</v>
      </c>
      <c r="AP155" s="79"/>
      <c r="AQ155" s="79"/>
      <c r="AR155" s="79"/>
      <c r="AS155" s="79">
        <v>0.47520600000000002</v>
      </c>
      <c r="AT155" s="79"/>
      <c r="AU155" s="79">
        <v>-0.26397900000000002</v>
      </c>
      <c r="AV155" s="79"/>
      <c r="AW155" s="79"/>
      <c r="AX155" s="79"/>
      <c r="AY155" s="79"/>
    </row>
    <row r="156" spans="1:51" x14ac:dyDescent="0.2">
      <c r="A156" t="s">
        <v>701</v>
      </c>
      <c r="B156" s="1">
        <v>11628</v>
      </c>
      <c r="C156" s="78">
        <v>156</v>
      </c>
      <c r="D156" s="1"/>
      <c r="E156" s="1">
        <f t="shared" si="4"/>
        <v>11628</v>
      </c>
      <c r="F156" s="2">
        <f t="shared" si="5"/>
        <v>11628</v>
      </c>
      <c r="G156" s="78">
        <v>154</v>
      </c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>
        <v>4.628215</v>
      </c>
      <c r="AP156" s="79"/>
      <c r="AQ156" s="79"/>
      <c r="AR156" s="79"/>
      <c r="AS156" s="79">
        <v>0.96502900000000003</v>
      </c>
      <c r="AT156" s="79"/>
      <c r="AU156" s="79">
        <v>1.06934</v>
      </c>
      <c r="AV156" s="79"/>
      <c r="AW156" s="79"/>
      <c r="AX156" s="79"/>
      <c r="AY156" s="79"/>
    </row>
    <row r="157" spans="1:51" x14ac:dyDescent="0.2">
      <c r="A157" t="s">
        <v>702</v>
      </c>
      <c r="B157" s="1">
        <v>11658</v>
      </c>
      <c r="C157" s="78">
        <v>157</v>
      </c>
      <c r="D157" s="1"/>
      <c r="E157" s="1">
        <f t="shared" si="4"/>
        <v>11658</v>
      </c>
      <c r="F157" s="2">
        <f t="shared" si="5"/>
        <v>11658</v>
      </c>
      <c r="G157" s="78">
        <v>155</v>
      </c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  <c r="AK157" s="79"/>
      <c r="AL157" s="79"/>
      <c r="AM157" s="79"/>
      <c r="AN157" s="79"/>
      <c r="AO157" s="79">
        <v>4.6016089999999998</v>
      </c>
      <c r="AP157" s="79"/>
      <c r="AQ157" s="79"/>
      <c r="AR157" s="79"/>
      <c r="AS157" s="79">
        <v>1.7378999999999999E-2</v>
      </c>
      <c r="AT157" s="79"/>
      <c r="AU157" s="79">
        <v>-1.1913959999999999</v>
      </c>
      <c r="AV157" s="79"/>
      <c r="AW157" s="79"/>
      <c r="AX157" s="79"/>
      <c r="AY157" s="79"/>
    </row>
    <row r="158" spans="1:51" x14ac:dyDescent="0.2">
      <c r="A158" t="s">
        <v>703</v>
      </c>
      <c r="B158" s="1">
        <v>11689</v>
      </c>
      <c r="C158" s="78">
        <v>158</v>
      </c>
      <c r="D158" s="1"/>
      <c r="E158" s="1">
        <f t="shared" si="4"/>
        <v>11689</v>
      </c>
      <c r="F158" s="2">
        <f t="shared" si="5"/>
        <v>11689</v>
      </c>
      <c r="G158" s="78">
        <v>156</v>
      </c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79"/>
      <c r="AL158" s="79"/>
      <c r="AM158" s="79"/>
      <c r="AN158" s="79"/>
      <c r="AO158" s="79">
        <v>4.4686750000000002</v>
      </c>
      <c r="AP158" s="79"/>
      <c r="AQ158" s="79"/>
      <c r="AR158" s="79"/>
      <c r="AS158" s="79">
        <v>0.78351700000000002</v>
      </c>
      <c r="AT158" s="79"/>
      <c r="AU158" s="79">
        <v>0.69040999999999997</v>
      </c>
      <c r="AV158" s="79"/>
      <c r="AW158" s="79"/>
      <c r="AX158" s="79"/>
      <c r="AY158" s="79"/>
    </row>
    <row r="159" spans="1:51" x14ac:dyDescent="0.2">
      <c r="A159" t="s">
        <v>704</v>
      </c>
      <c r="B159" s="1">
        <v>11720</v>
      </c>
      <c r="C159" s="78">
        <v>159</v>
      </c>
      <c r="D159" s="1"/>
      <c r="E159" s="1">
        <f t="shared" si="4"/>
        <v>11720</v>
      </c>
      <c r="F159" s="2">
        <f t="shared" si="5"/>
        <v>11720</v>
      </c>
      <c r="G159" s="78">
        <v>157</v>
      </c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79"/>
      <c r="AL159" s="79"/>
      <c r="AM159" s="79"/>
      <c r="AN159" s="79"/>
      <c r="AO159" s="79">
        <v>4.3622500000000004</v>
      </c>
      <c r="AP159" s="79"/>
      <c r="AQ159" s="79"/>
      <c r="AR159" s="79"/>
      <c r="AS159" s="79">
        <v>0.123472</v>
      </c>
      <c r="AT159" s="79"/>
      <c r="AU159" s="79">
        <v>0.22503500000000001</v>
      </c>
      <c r="AV159" s="79"/>
      <c r="AW159" s="79"/>
      <c r="AX159" s="79"/>
      <c r="AY159" s="79"/>
    </row>
    <row r="160" spans="1:51" x14ac:dyDescent="0.2">
      <c r="A160" t="s">
        <v>705</v>
      </c>
      <c r="B160" s="1">
        <v>11749</v>
      </c>
      <c r="C160" s="78">
        <v>160</v>
      </c>
      <c r="D160" s="1"/>
      <c r="E160" s="1">
        <f t="shared" si="4"/>
        <v>11749</v>
      </c>
      <c r="F160" s="2">
        <f t="shared" si="5"/>
        <v>11749</v>
      </c>
      <c r="G160" s="78">
        <v>158</v>
      </c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79"/>
      <c r="AL160" s="79"/>
      <c r="AM160" s="79"/>
      <c r="AN160" s="79"/>
      <c r="AO160" s="79">
        <v>4.3090380000000001</v>
      </c>
      <c r="AP160" s="79"/>
      <c r="AQ160" s="79"/>
      <c r="AR160" s="79"/>
      <c r="AS160" s="79">
        <v>-2.1128999999999998E-2</v>
      </c>
      <c r="AT160" s="79"/>
      <c r="AU160" s="79">
        <v>0.41988300000000001</v>
      </c>
      <c r="AV160" s="79"/>
      <c r="AW160" s="79"/>
      <c r="AX160" s="79"/>
      <c r="AY160" s="79"/>
    </row>
    <row r="161" spans="1:51" x14ac:dyDescent="0.2">
      <c r="A161" t="s">
        <v>706</v>
      </c>
      <c r="B161" s="1">
        <v>11780</v>
      </c>
      <c r="C161" s="78">
        <v>161</v>
      </c>
      <c r="D161" s="1"/>
      <c r="E161" s="1">
        <f t="shared" si="4"/>
        <v>11780</v>
      </c>
      <c r="F161" s="2">
        <f t="shared" si="5"/>
        <v>11780</v>
      </c>
      <c r="G161" s="78">
        <v>159</v>
      </c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  <c r="AK161" s="79"/>
      <c r="AL161" s="79"/>
      <c r="AM161" s="79"/>
      <c r="AN161" s="79"/>
      <c r="AO161" s="79">
        <v>4.0164669999999996</v>
      </c>
      <c r="AP161" s="79"/>
      <c r="AQ161" s="79"/>
      <c r="AR161" s="79"/>
      <c r="AS161" s="79">
        <v>2.5909999999999999E-2</v>
      </c>
      <c r="AT161" s="79"/>
      <c r="AU161" s="79">
        <v>0.72728300000000001</v>
      </c>
      <c r="AV161" s="79"/>
      <c r="AW161" s="79"/>
      <c r="AX161" s="79"/>
      <c r="AY161" s="79"/>
    </row>
    <row r="162" spans="1:51" x14ac:dyDescent="0.2">
      <c r="A162" t="s">
        <v>707</v>
      </c>
      <c r="B162" s="1">
        <v>11810</v>
      </c>
      <c r="C162" s="78">
        <v>162</v>
      </c>
      <c r="D162" s="1"/>
      <c r="E162" s="1">
        <f t="shared" si="4"/>
        <v>11810</v>
      </c>
      <c r="F162" s="2">
        <f t="shared" si="5"/>
        <v>11810</v>
      </c>
      <c r="G162" s="78">
        <v>160</v>
      </c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/>
      <c r="AK162" s="79"/>
      <c r="AL162" s="79"/>
      <c r="AM162" s="79"/>
      <c r="AN162" s="79"/>
      <c r="AO162" s="79">
        <v>3.8834360000000001</v>
      </c>
      <c r="AP162" s="79"/>
      <c r="AQ162" s="79"/>
      <c r="AR162" s="79"/>
      <c r="AS162" s="79">
        <v>0.80300499999999997</v>
      </c>
      <c r="AT162" s="79"/>
      <c r="AU162" s="79">
        <v>0.356603</v>
      </c>
      <c r="AV162" s="79"/>
      <c r="AW162" s="79"/>
      <c r="AX162" s="79"/>
      <c r="AY162" s="79"/>
    </row>
    <row r="163" spans="1:51" x14ac:dyDescent="0.2">
      <c r="A163" t="s">
        <v>708</v>
      </c>
      <c r="B163" s="1">
        <v>11841</v>
      </c>
      <c r="C163" s="78">
        <v>163</v>
      </c>
      <c r="D163" s="1"/>
      <c r="E163" s="1">
        <f t="shared" si="4"/>
        <v>11841</v>
      </c>
      <c r="F163" s="2">
        <f t="shared" si="5"/>
        <v>11841</v>
      </c>
      <c r="G163" s="78">
        <v>161</v>
      </c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79"/>
      <c r="AG163" s="79"/>
      <c r="AH163" s="79"/>
      <c r="AI163" s="79"/>
      <c r="AJ163" s="79"/>
      <c r="AK163" s="79"/>
      <c r="AL163" s="79"/>
      <c r="AM163" s="79"/>
      <c r="AN163" s="79"/>
      <c r="AO163" s="79">
        <v>3.750502</v>
      </c>
      <c r="AP163" s="79"/>
      <c r="AQ163" s="79"/>
      <c r="AR163" s="79"/>
      <c r="AS163" s="79">
        <v>0.94547400000000004</v>
      </c>
      <c r="AT163" s="79"/>
      <c r="AU163" s="79">
        <v>0.36492799999999997</v>
      </c>
      <c r="AV163" s="79"/>
      <c r="AW163" s="79"/>
      <c r="AX163" s="79"/>
      <c r="AY163" s="79"/>
    </row>
    <row r="164" spans="1:51" x14ac:dyDescent="0.2">
      <c r="A164" t="s">
        <v>709</v>
      </c>
      <c r="B164" s="1">
        <v>11871</v>
      </c>
      <c r="C164" s="78">
        <v>164</v>
      </c>
      <c r="D164" s="1"/>
      <c r="E164" s="1">
        <f t="shared" si="4"/>
        <v>11871</v>
      </c>
      <c r="F164" s="2">
        <f t="shared" si="5"/>
        <v>11871</v>
      </c>
      <c r="G164" s="78">
        <v>162</v>
      </c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79"/>
      <c r="AD164" s="79"/>
      <c r="AE164" s="79"/>
      <c r="AF164" s="79"/>
      <c r="AG164" s="79"/>
      <c r="AH164" s="79"/>
      <c r="AI164" s="79"/>
      <c r="AJ164" s="79"/>
      <c r="AK164" s="79"/>
      <c r="AL164" s="79"/>
      <c r="AM164" s="79"/>
      <c r="AN164" s="79"/>
      <c r="AO164" s="79">
        <v>3.6440769999999998</v>
      </c>
      <c r="AP164" s="79"/>
      <c r="AQ164" s="79"/>
      <c r="AR164" s="79"/>
      <c r="AS164" s="79">
        <v>0.91811399999999999</v>
      </c>
      <c r="AT164" s="79"/>
      <c r="AU164" s="79">
        <v>1.2276320000000001</v>
      </c>
      <c r="AV164" s="79"/>
      <c r="AW164" s="79"/>
      <c r="AX164" s="79"/>
      <c r="AY164" s="79"/>
    </row>
    <row r="165" spans="1:51" x14ac:dyDescent="0.2">
      <c r="A165" t="s">
        <v>710</v>
      </c>
      <c r="B165" s="1">
        <v>11902</v>
      </c>
      <c r="C165" s="78">
        <v>165</v>
      </c>
      <c r="D165" s="1"/>
      <c r="E165" s="1">
        <f t="shared" si="4"/>
        <v>11902</v>
      </c>
      <c r="F165" s="2">
        <f t="shared" si="5"/>
        <v>11902</v>
      </c>
      <c r="G165" s="78">
        <v>163</v>
      </c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/>
      <c r="AI165" s="79"/>
      <c r="AJ165" s="79"/>
      <c r="AK165" s="79"/>
      <c r="AL165" s="79"/>
      <c r="AM165" s="79"/>
      <c r="AN165" s="79"/>
      <c r="AO165" s="79">
        <v>3.750502</v>
      </c>
      <c r="AP165" s="79"/>
      <c r="AQ165" s="79"/>
      <c r="AR165" s="79"/>
      <c r="AS165" s="79">
        <v>0.42850500000000002</v>
      </c>
      <c r="AT165" s="79"/>
      <c r="AU165" s="79">
        <v>1.5029429999999999</v>
      </c>
      <c r="AV165" s="79"/>
      <c r="AW165" s="79"/>
      <c r="AX165" s="79"/>
      <c r="AY165" s="79"/>
    </row>
    <row r="166" spans="1:51" x14ac:dyDescent="0.2">
      <c r="A166" t="s">
        <v>711</v>
      </c>
      <c r="B166" s="1">
        <v>11933</v>
      </c>
      <c r="C166" s="78">
        <v>166</v>
      </c>
      <c r="D166" s="1"/>
      <c r="E166" s="1">
        <f t="shared" si="4"/>
        <v>11933</v>
      </c>
      <c r="F166" s="2">
        <f t="shared" si="5"/>
        <v>11933</v>
      </c>
      <c r="G166" s="78">
        <v>164</v>
      </c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79"/>
      <c r="AG166" s="79"/>
      <c r="AH166" s="79"/>
      <c r="AI166" s="79"/>
      <c r="AJ166" s="79"/>
      <c r="AK166" s="79"/>
      <c r="AL166" s="79"/>
      <c r="AM166" s="79"/>
      <c r="AN166" s="79"/>
      <c r="AO166" s="79">
        <v>3.9898609999999999</v>
      </c>
      <c r="AP166" s="79"/>
      <c r="AQ166" s="79"/>
      <c r="AR166" s="79"/>
      <c r="AS166" s="79">
        <v>0.765038</v>
      </c>
      <c r="AT166" s="79"/>
      <c r="AU166" s="79">
        <v>0.71005499999999999</v>
      </c>
      <c r="AV166" s="79"/>
      <c r="AW166" s="79"/>
      <c r="AX166" s="79"/>
      <c r="AY166" s="79"/>
    </row>
    <row r="167" spans="1:51" x14ac:dyDescent="0.2">
      <c r="A167" t="s">
        <v>712</v>
      </c>
      <c r="B167" s="1">
        <v>11963</v>
      </c>
      <c r="C167" s="78">
        <v>167</v>
      </c>
      <c r="D167" s="1"/>
      <c r="E167" s="1">
        <f t="shared" si="4"/>
        <v>11963</v>
      </c>
      <c r="F167" s="2">
        <f t="shared" si="5"/>
        <v>11963</v>
      </c>
      <c r="G167" s="78">
        <v>165</v>
      </c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79"/>
      <c r="AG167" s="79"/>
      <c r="AH167" s="79"/>
      <c r="AI167" s="79"/>
      <c r="AJ167" s="79"/>
      <c r="AK167" s="79"/>
      <c r="AL167" s="79"/>
      <c r="AM167" s="79"/>
      <c r="AN167" s="79"/>
      <c r="AO167" s="79">
        <v>4.1228910000000001</v>
      </c>
      <c r="AP167" s="79"/>
      <c r="AQ167" s="79"/>
      <c r="AR167" s="79"/>
      <c r="AS167" s="79">
        <v>1.11191</v>
      </c>
      <c r="AT167" s="79"/>
      <c r="AU167" s="79">
        <v>1.344919</v>
      </c>
      <c r="AV167" s="79"/>
      <c r="AW167" s="79"/>
      <c r="AX167" s="79"/>
      <c r="AY167" s="79"/>
    </row>
    <row r="168" spans="1:51" x14ac:dyDescent="0.2">
      <c r="A168" t="s">
        <v>713</v>
      </c>
      <c r="B168" s="1">
        <v>11994</v>
      </c>
      <c r="C168" s="78">
        <v>168</v>
      </c>
      <c r="D168" s="1"/>
      <c r="E168" s="1">
        <f t="shared" si="4"/>
        <v>11994</v>
      </c>
      <c r="F168" s="2">
        <f t="shared" si="5"/>
        <v>11994</v>
      </c>
      <c r="G168" s="78">
        <v>166</v>
      </c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  <c r="AK168" s="79"/>
      <c r="AL168" s="79"/>
      <c r="AM168" s="79"/>
      <c r="AN168" s="79"/>
      <c r="AO168" s="79">
        <v>4.1228910000000001</v>
      </c>
      <c r="AP168" s="79"/>
      <c r="AQ168" s="79"/>
      <c r="AR168" s="79"/>
      <c r="AS168" s="79">
        <v>1.397197</v>
      </c>
      <c r="AT168" s="79"/>
      <c r="AU168" s="79">
        <v>0.93898000000000004</v>
      </c>
      <c r="AV168" s="79"/>
      <c r="AW168" s="79"/>
      <c r="AX168" s="79"/>
      <c r="AY168" s="79"/>
    </row>
    <row r="169" spans="1:51" x14ac:dyDescent="0.2">
      <c r="A169" t="s">
        <v>714</v>
      </c>
      <c r="B169" s="1">
        <v>12024</v>
      </c>
      <c r="C169" s="78">
        <v>169</v>
      </c>
      <c r="D169" s="1"/>
      <c r="E169" s="1">
        <f t="shared" si="4"/>
        <v>12024</v>
      </c>
      <c r="F169" s="2">
        <f t="shared" si="5"/>
        <v>12024</v>
      </c>
      <c r="G169" s="78">
        <v>167</v>
      </c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79"/>
      <c r="AD169" s="79"/>
      <c r="AE169" s="79"/>
      <c r="AF169" s="79"/>
      <c r="AG169" s="79"/>
      <c r="AH169" s="79"/>
      <c r="AI169" s="79"/>
      <c r="AJ169" s="79"/>
      <c r="AK169" s="79"/>
      <c r="AL169" s="79"/>
      <c r="AM169" s="79"/>
      <c r="AN169" s="79"/>
      <c r="AO169" s="79">
        <v>4.0430729999999997</v>
      </c>
      <c r="AP169" s="79"/>
      <c r="AQ169" s="79"/>
      <c r="AR169" s="79"/>
      <c r="AS169" s="79">
        <v>0.44122499999999998</v>
      </c>
      <c r="AT169" s="79"/>
      <c r="AU169" s="79">
        <v>0.61931599999999998</v>
      </c>
      <c r="AV169" s="79"/>
      <c r="AW169" s="79"/>
      <c r="AX169" s="79"/>
      <c r="AY169" s="79"/>
    </row>
    <row r="170" spans="1:51" x14ac:dyDescent="0.2">
      <c r="A170" t="s">
        <v>715</v>
      </c>
      <c r="B170" s="1">
        <v>12055</v>
      </c>
      <c r="C170" s="78">
        <v>170</v>
      </c>
      <c r="D170" s="1"/>
      <c r="E170" s="1">
        <f t="shared" si="4"/>
        <v>12055</v>
      </c>
      <c r="F170" s="2">
        <f t="shared" si="5"/>
        <v>12055</v>
      </c>
      <c r="G170" s="78">
        <v>168</v>
      </c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  <c r="AG170" s="79"/>
      <c r="AH170" s="79"/>
      <c r="AI170" s="79"/>
      <c r="AJ170" s="79"/>
      <c r="AK170" s="79"/>
      <c r="AL170" s="79"/>
      <c r="AM170" s="79"/>
      <c r="AN170" s="79"/>
      <c r="AO170" s="79">
        <v>3.9632540000000001</v>
      </c>
      <c r="AP170" s="79"/>
      <c r="AQ170" s="79"/>
      <c r="AR170" s="79"/>
      <c r="AS170" s="79">
        <v>1.6313759999999999</v>
      </c>
      <c r="AT170" s="79"/>
      <c r="AU170" s="79">
        <v>0.43385699999999999</v>
      </c>
      <c r="AV170" s="79"/>
      <c r="AW170" s="79"/>
      <c r="AX170" s="79"/>
      <c r="AY170" s="79"/>
    </row>
    <row r="171" spans="1:51" x14ac:dyDescent="0.2">
      <c r="A171" t="s">
        <v>716</v>
      </c>
      <c r="B171" s="1">
        <v>12086</v>
      </c>
      <c r="C171" s="78">
        <v>171</v>
      </c>
      <c r="D171" s="1"/>
      <c r="E171" s="1">
        <f t="shared" si="4"/>
        <v>12086</v>
      </c>
      <c r="F171" s="2">
        <f t="shared" si="5"/>
        <v>12086</v>
      </c>
      <c r="G171" s="78">
        <v>169</v>
      </c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>
        <v>3.9898609999999999</v>
      </c>
      <c r="AP171" s="79"/>
      <c r="AQ171" s="79"/>
      <c r="AR171" s="79"/>
      <c r="AS171" s="79">
        <v>1.0590459999999999</v>
      </c>
      <c r="AT171" s="79"/>
      <c r="AU171" s="79">
        <v>8.0345E-2</v>
      </c>
      <c r="AV171" s="79"/>
      <c r="AW171" s="79"/>
      <c r="AX171" s="79"/>
      <c r="AY171" s="79"/>
    </row>
    <row r="172" spans="1:51" x14ac:dyDescent="0.2">
      <c r="A172" t="s">
        <v>717</v>
      </c>
      <c r="B172" s="1">
        <v>12114</v>
      </c>
      <c r="C172" s="78">
        <v>172</v>
      </c>
      <c r="D172" s="1"/>
      <c r="E172" s="1">
        <f t="shared" si="4"/>
        <v>12114</v>
      </c>
      <c r="F172" s="2">
        <f t="shared" si="5"/>
        <v>12114</v>
      </c>
      <c r="G172" s="78">
        <v>170</v>
      </c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  <c r="AK172" s="79"/>
      <c r="AL172" s="79"/>
      <c r="AM172" s="79"/>
      <c r="AN172" s="79"/>
      <c r="AO172" s="79">
        <v>3.750502</v>
      </c>
      <c r="AP172" s="79"/>
      <c r="AQ172" s="79"/>
      <c r="AR172" s="79"/>
      <c r="AS172" s="79">
        <v>1.3313200000000001</v>
      </c>
      <c r="AT172" s="79"/>
      <c r="AU172" s="79">
        <v>-0.61883200000000005</v>
      </c>
      <c r="AV172" s="79"/>
      <c r="AW172" s="79"/>
      <c r="AX172" s="79"/>
      <c r="AY172" s="79"/>
    </row>
    <row r="173" spans="1:51" x14ac:dyDescent="0.2">
      <c r="A173" t="s">
        <v>718</v>
      </c>
      <c r="B173" s="1">
        <v>12145</v>
      </c>
      <c r="C173" s="78">
        <v>173</v>
      </c>
      <c r="D173" s="1"/>
      <c r="E173" s="1">
        <f t="shared" si="4"/>
        <v>12145</v>
      </c>
      <c r="F173" s="2">
        <f t="shared" si="5"/>
        <v>12145</v>
      </c>
      <c r="G173" s="78">
        <v>171</v>
      </c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  <c r="AG173" s="79"/>
      <c r="AH173" s="79"/>
      <c r="AI173" s="79"/>
      <c r="AJ173" s="79"/>
      <c r="AK173" s="79"/>
      <c r="AL173" s="79"/>
      <c r="AM173" s="79"/>
      <c r="AN173" s="79"/>
      <c r="AO173" s="79">
        <v>4.0164669999999996</v>
      </c>
      <c r="AP173" s="79"/>
      <c r="AQ173" s="79"/>
      <c r="AR173" s="79"/>
      <c r="AS173" s="79">
        <v>1.541258</v>
      </c>
      <c r="AT173" s="79"/>
      <c r="AU173" s="79">
        <v>8.0050999999999997E-2</v>
      </c>
      <c r="AV173" s="79"/>
      <c r="AW173" s="79"/>
      <c r="AX173" s="79"/>
      <c r="AY173" s="79"/>
    </row>
    <row r="174" spans="1:51" x14ac:dyDescent="0.2">
      <c r="A174" t="s">
        <v>719</v>
      </c>
      <c r="B174" s="1">
        <v>12175</v>
      </c>
      <c r="C174" s="78">
        <v>174</v>
      </c>
      <c r="D174" s="1"/>
      <c r="E174" s="1">
        <f t="shared" si="4"/>
        <v>12175</v>
      </c>
      <c r="F174" s="2">
        <f t="shared" si="5"/>
        <v>12175</v>
      </c>
      <c r="G174" s="78">
        <v>172</v>
      </c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  <c r="AD174" s="79"/>
      <c r="AE174" s="79"/>
      <c r="AF174" s="79"/>
      <c r="AG174" s="79"/>
      <c r="AH174" s="79"/>
      <c r="AI174" s="79"/>
      <c r="AJ174" s="79"/>
      <c r="AK174" s="79"/>
      <c r="AL174" s="79"/>
      <c r="AM174" s="79"/>
      <c r="AN174" s="79"/>
      <c r="AO174" s="79">
        <v>4.6814270000000002</v>
      </c>
      <c r="AP174" s="79"/>
      <c r="AQ174" s="79"/>
      <c r="AR174" s="79"/>
      <c r="AS174" s="79">
        <v>0.293292</v>
      </c>
      <c r="AT174" s="79"/>
      <c r="AU174" s="79">
        <v>-8.2521999999999998E-2</v>
      </c>
      <c r="AV174" s="79"/>
      <c r="AW174" s="79"/>
      <c r="AX174" s="79"/>
      <c r="AY174" s="79"/>
    </row>
    <row r="175" spans="1:51" x14ac:dyDescent="0.2">
      <c r="A175" t="s">
        <v>720</v>
      </c>
      <c r="B175" s="1">
        <v>12206</v>
      </c>
      <c r="C175" s="78">
        <v>175</v>
      </c>
      <c r="D175" s="1"/>
      <c r="E175" s="1">
        <f t="shared" si="4"/>
        <v>12206</v>
      </c>
      <c r="F175" s="2">
        <f t="shared" si="5"/>
        <v>12206</v>
      </c>
      <c r="G175" s="78">
        <v>173</v>
      </c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79"/>
      <c r="AG175" s="79"/>
      <c r="AH175" s="79"/>
      <c r="AI175" s="79"/>
      <c r="AJ175" s="79"/>
      <c r="AK175" s="79"/>
      <c r="AL175" s="79"/>
      <c r="AM175" s="79"/>
      <c r="AN175" s="79"/>
      <c r="AO175" s="79">
        <v>5.3996009999999997</v>
      </c>
      <c r="AP175" s="79"/>
      <c r="AQ175" s="79"/>
      <c r="AR175" s="79"/>
      <c r="AS175" s="79">
        <v>-0.24895999999999999</v>
      </c>
      <c r="AT175" s="79"/>
      <c r="AU175" s="79">
        <v>-8.4042000000000006E-2</v>
      </c>
      <c r="AV175" s="79"/>
      <c r="AW175" s="79"/>
      <c r="AX175" s="79"/>
      <c r="AY175" s="79"/>
    </row>
    <row r="176" spans="1:51" x14ac:dyDescent="0.2">
      <c r="A176" t="s">
        <v>721</v>
      </c>
      <c r="B176" s="1">
        <v>12236</v>
      </c>
      <c r="C176" s="78">
        <v>176</v>
      </c>
      <c r="D176" s="1"/>
      <c r="E176" s="1">
        <f t="shared" si="4"/>
        <v>12236</v>
      </c>
      <c r="F176" s="2">
        <f t="shared" si="5"/>
        <v>12236</v>
      </c>
      <c r="G176" s="78">
        <v>174</v>
      </c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/>
      <c r="AC176" s="79"/>
      <c r="AD176" s="79"/>
      <c r="AE176" s="79"/>
      <c r="AF176" s="79"/>
      <c r="AG176" s="79"/>
      <c r="AH176" s="79"/>
      <c r="AI176" s="79"/>
      <c r="AJ176" s="79"/>
      <c r="AK176" s="79"/>
      <c r="AL176" s="79"/>
      <c r="AM176" s="79"/>
      <c r="AN176" s="79"/>
      <c r="AO176" s="79">
        <v>5.9050209999999996</v>
      </c>
      <c r="AP176" s="79"/>
      <c r="AQ176" s="79"/>
      <c r="AR176" s="79"/>
      <c r="AS176" s="79">
        <v>-0.13336300000000001</v>
      </c>
      <c r="AT176" s="79"/>
      <c r="AU176" s="79">
        <v>9.2814999999999995E-2</v>
      </c>
      <c r="AV176" s="79"/>
      <c r="AW176" s="79"/>
      <c r="AX176" s="79"/>
      <c r="AY176" s="79"/>
    </row>
    <row r="177" spans="1:52" x14ac:dyDescent="0.2">
      <c r="A177" t="s">
        <v>722</v>
      </c>
      <c r="B177" s="1">
        <v>12267</v>
      </c>
      <c r="C177" s="78">
        <v>177</v>
      </c>
      <c r="D177" s="1"/>
      <c r="E177" s="1">
        <f t="shared" si="4"/>
        <v>12267</v>
      </c>
      <c r="F177" s="2">
        <f t="shared" si="5"/>
        <v>12267</v>
      </c>
      <c r="G177" s="78">
        <v>175</v>
      </c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79"/>
      <c r="AG177" s="79"/>
      <c r="AH177" s="79"/>
      <c r="AI177" s="79"/>
      <c r="AJ177" s="79"/>
      <c r="AK177" s="79"/>
      <c r="AL177" s="79"/>
      <c r="AM177" s="79"/>
      <c r="AN177" s="79"/>
      <c r="AO177" s="79">
        <v>5.6656610000000001</v>
      </c>
      <c r="AP177" s="79"/>
      <c r="AQ177" s="79"/>
      <c r="AR177" s="79"/>
      <c r="AS177" s="79">
        <v>-0.31965500000000002</v>
      </c>
      <c r="AT177" s="79"/>
      <c r="AU177" s="79">
        <v>-0.79542299999999999</v>
      </c>
      <c r="AV177" s="79"/>
      <c r="AW177" s="79"/>
      <c r="AX177" s="79"/>
      <c r="AY177" s="79"/>
    </row>
    <row r="178" spans="1:52" x14ac:dyDescent="0.2">
      <c r="A178" t="s">
        <v>723</v>
      </c>
      <c r="B178" s="1">
        <v>12298</v>
      </c>
      <c r="C178" s="78">
        <v>178</v>
      </c>
      <c r="D178" s="1"/>
      <c r="E178" s="1">
        <f t="shared" si="4"/>
        <v>12298</v>
      </c>
      <c r="F178" s="2">
        <f t="shared" si="5"/>
        <v>12298</v>
      </c>
      <c r="G178" s="78">
        <v>176</v>
      </c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  <c r="AG178" s="79"/>
      <c r="AH178" s="79"/>
      <c r="AI178" s="79"/>
      <c r="AJ178" s="79"/>
      <c r="AK178" s="79"/>
      <c r="AL178" s="79"/>
      <c r="AM178" s="79"/>
      <c r="AN178" s="79"/>
      <c r="AO178" s="79">
        <v>5.3464840000000002</v>
      </c>
      <c r="AP178" s="79"/>
      <c r="AQ178" s="79"/>
      <c r="AR178" s="79"/>
      <c r="AS178" s="79">
        <v>-0.52381900000000003</v>
      </c>
      <c r="AT178" s="79"/>
      <c r="AU178" s="79">
        <v>-0.22564899999999999</v>
      </c>
      <c r="AV178" s="79"/>
      <c r="AW178" s="79"/>
      <c r="AX178" s="79"/>
      <c r="AY178" s="79"/>
    </row>
    <row r="179" spans="1:52" x14ac:dyDescent="0.2">
      <c r="A179" t="s">
        <v>724</v>
      </c>
      <c r="B179" s="1">
        <v>12328</v>
      </c>
      <c r="C179" s="78">
        <v>179</v>
      </c>
      <c r="D179" s="1"/>
      <c r="E179" s="1">
        <f t="shared" si="4"/>
        <v>12328</v>
      </c>
      <c r="F179" s="2">
        <f t="shared" si="5"/>
        <v>12328</v>
      </c>
      <c r="G179" s="78">
        <v>177</v>
      </c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79"/>
      <c r="AG179" s="79"/>
      <c r="AH179" s="79"/>
      <c r="AI179" s="79"/>
      <c r="AJ179" s="79"/>
      <c r="AK179" s="79"/>
      <c r="AL179" s="79"/>
      <c r="AM179" s="79"/>
      <c r="AN179" s="79"/>
      <c r="AO179" s="79">
        <v>5.0804229999999997</v>
      </c>
      <c r="AP179" s="79"/>
      <c r="AQ179" s="79"/>
      <c r="AR179" s="79"/>
      <c r="AS179" s="79">
        <v>4.1995999999999999E-2</v>
      </c>
      <c r="AT179" s="79"/>
      <c r="AU179" s="79">
        <v>-3.8786000000000001E-2</v>
      </c>
      <c r="AV179" s="79"/>
      <c r="AW179" s="79"/>
      <c r="AX179" s="79"/>
      <c r="AY179" s="79"/>
    </row>
    <row r="180" spans="1:52" x14ac:dyDescent="0.2">
      <c r="A180" t="s">
        <v>725</v>
      </c>
      <c r="B180" s="1">
        <v>12359</v>
      </c>
      <c r="C180" s="78">
        <v>180</v>
      </c>
      <c r="D180" s="1"/>
      <c r="E180" s="1">
        <f t="shared" si="4"/>
        <v>12359</v>
      </c>
      <c r="F180" s="2">
        <f t="shared" si="5"/>
        <v>12359</v>
      </c>
      <c r="G180" s="78">
        <v>178</v>
      </c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  <c r="AA180" s="79"/>
      <c r="AB180" s="79"/>
      <c r="AC180" s="79"/>
      <c r="AD180" s="79"/>
      <c r="AE180" s="79"/>
      <c r="AF180" s="79"/>
      <c r="AG180" s="79"/>
      <c r="AH180" s="79"/>
      <c r="AI180" s="79"/>
      <c r="AJ180" s="79"/>
      <c r="AK180" s="79"/>
      <c r="AL180" s="79"/>
      <c r="AM180" s="79"/>
      <c r="AN180" s="79"/>
      <c r="AO180" s="79">
        <v>4.787852</v>
      </c>
      <c r="AP180" s="79"/>
      <c r="AQ180" s="79"/>
      <c r="AR180" s="79"/>
      <c r="AS180" s="79">
        <v>0.102257</v>
      </c>
      <c r="AT180" s="79"/>
      <c r="AU180" s="79">
        <v>-0.172065</v>
      </c>
      <c r="AV180" s="79"/>
      <c r="AW180" s="79"/>
      <c r="AX180" s="79"/>
      <c r="AY180" s="79"/>
    </row>
    <row r="181" spans="1:52" x14ac:dyDescent="0.2">
      <c r="A181" t="s">
        <v>726</v>
      </c>
      <c r="B181" s="1">
        <v>12389</v>
      </c>
      <c r="C181" s="78">
        <v>181</v>
      </c>
      <c r="D181" s="1"/>
      <c r="E181" s="1">
        <f t="shared" si="4"/>
        <v>12389</v>
      </c>
      <c r="F181" s="2">
        <f t="shared" si="5"/>
        <v>12389</v>
      </c>
      <c r="G181" s="78">
        <v>179</v>
      </c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  <c r="AG181" s="79"/>
      <c r="AH181" s="79"/>
      <c r="AI181" s="79"/>
      <c r="AJ181" s="79"/>
      <c r="AK181" s="79"/>
      <c r="AL181" s="79"/>
      <c r="AM181" s="79"/>
      <c r="AN181" s="79"/>
      <c r="AO181" s="79">
        <v>4.8144580000000001</v>
      </c>
      <c r="AP181" s="79"/>
      <c r="AQ181" s="79"/>
      <c r="AR181" s="79"/>
      <c r="AS181" s="79">
        <v>0.60887100000000005</v>
      </c>
      <c r="AT181" s="79"/>
      <c r="AU181" s="79">
        <v>-0.70074800000000004</v>
      </c>
      <c r="AV181" s="79"/>
      <c r="AW181" s="79"/>
      <c r="AX181" s="79"/>
      <c r="AY181" s="79"/>
    </row>
    <row r="182" spans="1:52" x14ac:dyDescent="0.2">
      <c r="A182" t="s">
        <v>727</v>
      </c>
      <c r="B182" s="1">
        <v>12420</v>
      </c>
      <c r="C182" s="78">
        <v>182</v>
      </c>
      <c r="D182" s="1"/>
      <c r="E182" s="1">
        <f t="shared" si="4"/>
        <v>12420</v>
      </c>
      <c r="F182" s="2">
        <f t="shared" si="5"/>
        <v>12420</v>
      </c>
      <c r="G182" s="78">
        <v>180</v>
      </c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79"/>
      <c r="AG182" s="79"/>
      <c r="AH182" s="79"/>
      <c r="AI182" s="79"/>
      <c r="AJ182" s="79"/>
      <c r="AK182" s="79"/>
      <c r="AL182" s="79"/>
      <c r="AM182" s="79"/>
      <c r="AN182" s="79"/>
      <c r="AO182" s="79">
        <v>4.9739990000000001</v>
      </c>
      <c r="AP182" s="79"/>
      <c r="AQ182" s="79"/>
      <c r="AR182" s="79"/>
      <c r="AS182" s="79">
        <v>-0.24853900000000001</v>
      </c>
      <c r="AT182" s="79"/>
      <c r="AU182" s="79">
        <v>-0.61337299999999995</v>
      </c>
      <c r="AV182" s="79"/>
      <c r="AW182" s="79"/>
      <c r="AX182" s="79"/>
      <c r="AY182" s="79"/>
    </row>
    <row r="183" spans="1:52" x14ac:dyDescent="0.2">
      <c r="A183" t="s">
        <v>728</v>
      </c>
      <c r="B183" s="1">
        <v>12451</v>
      </c>
      <c r="C183" s="78">
        <v>183</v>
      </c>
      <c r="D183" s="1"/>
      <c r="E183" s="1">
        <f t="shared" si="4"/>
        <v>12451</v>
      </c>
      <c r="F183" s="2">
        <f t="shared" si="5"/>
        <v>12451</v>
      </c>
      <c r="G183" s="78">
        <v>181</v>
      </c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79"/>
      <c r="AG183" s="79"/>
      <c r="AH183" s="79"/>
      <c r="AI183" s="79"/>
      <c r="AJ183" s="79"/>
      <c r="AK183" s="79"/>
      <c r="AL183" s="79"/>
      <c r="AM183" s="79"/>
      <c r="AN183" s="79"/>
      <c r="AO183" s="79">
        <v>5.2134539999999996</v>
      </c>
      <c r="AP183" s="79"/>
      <c r="AQ183" s="79"/>
      <c r="AR183" s="79"/>
      <c r="AS183" s="79">
        <v>-0.75363400000000003</v>
      </c>
      <c r="AT183" s="79"/>
      <c r="AU183" s="79">
        <v>-1.1577360000000001</v>
      </c>
      <c r="AV183" s="79"/>
      <c r="AW183" s="79"/>
      <c r="AX183" s="79"/>
      <c r="AY183" s="79"/>
    </row>
    <row r="184" spans="1:52" x14ac:dyDescent="0.2">
      <c r="A184" t="s">
        <v>729</v>
      </c>
      <c r="B184" s="1">
        <v>12479</v>
      </c>
      <c r="C184" s="78">
        <v>184</v>
      </c>
      <c r="D184" s="1"/>
      <c r="E184" s="1">
        <f t="shared" si="4"/>
        <v>12479</v>
      </c>
      <c r="F184" s="2">
        <f t="shared" si="5"/>
        <v>12479</v>
      </c>
      <c r="G184" s="78">
        <v>182</v>
      </c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  <c r="AK184" s="79"/>
      <c r="AL184" s="79"/>
      <c r="AM184" s="79"/>
      <c r="AN184" s="79"/>
      <c r="AO184" s="79">
        <v>5.4528129999999999</v>
      </c>
      <c r="AP184" s="79"/>
      <c r="AQ184" s="79"/>
      <c r="AR184" s="79"/>
      <c r="AS184" s="79">
        <v>-0.71053599999999995</v>
      </c>
      <c r="AT184" s="79"/>
      <c r="AU184" s="79">
        <v>-0.84971399999999997</v>
      </c>
      <c r="AV184" s="79"/>
      <c r="AW184" s="79"/>
      <c r="AX184" s="79"/>
      <c r="AY184" s="79"/>
    </row>
    <row r="185" spans="1:52" x14ac:dyDescent="0.2">
      <c r="A185" t="s">
        <v>730</v>
      </c>
      <c r="B185" s="1">
        <v>12510</v>
      </c>
      <c r="C185" s="78">
        <v>185</v>
      </c>
      <c r="D185" s="1"/>
      <c r="E185" s="1">
        <f t="shared" si="4"/>
        <v>12510</v>
      </c>
      <c r="F185" s="2">
        <f t="shared" si="5"/>
        <v>12510</v>
      </c>
      <c r="G185" s="78">
        <v>183</v>
      </c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79"/>
      <c r="AG185" s="79"/>
      <c r="AH185" s="79"/>
      <c r="AI185" s="79"/>
      <c r="AJ185" s="79"/>
      <c r="AK185" s="79"/>
      <c r="AL185" s="79"/>
      <c r="AM185" s="79"/>
      <c r="AN185" s="79"/>
      <c r="AO185" s="79">
        <v>5.4528129999999999</v>
      </c>
      <c r="AP185" s="79"/>
      <c r="AQ185" s="79"/>
      <c r="AR185" s="79"/>
      <c r="AS185" s="79">
        <v>4.3778999999999998E-2</v>
      </c>
      <c r="AT185" s="79"/>
      <c r="AU185" s="79">
        <v>0.88590199999999997</v>
      </c>
      <c r="AV185" s="79"/>
      <c r="AW185" s="79"/>
      <c r="AX185" s="79"/>
      <c r="AY185" s="79"/>
    </row>
    <row r="186" spans="1:52" x14ac:dyDescent="0.2">
      <c r="A186" t="s">
        <v>731</v>
      </c>
      <c r="B186" s="1">
        <v>12540</v>
      </c>
      <c r="C186" s="78">
        <v>186</v>
      </c>
      <c r="D186" s="1"/>
      <c r="E186" s="1">
        <f t="shared" si="4"/>
        <v>12540</v>
      </c>
      <c r="F186" s="2">
        <f t="shared" si="5"/>
        <v>12540</v>
      </c>
      <c r="G186" s="78">
        <v>184</v>
      </c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79"/>
      <c r="AG186" s="79"/>
      <c r="AH186" s="79"/>
      <c r="AI186" s="79"/>
      <c r="AJ186" s="79"/>
      <c r="AK186" s="79"/>
      <c r="AL186" s="79"/>
      <c r="AM186" s="79"/>
      <c r="AN186" s="79"/>
      <c r="AO186" s="79">
        <v>5.5592370000000004</v>
      </c>
      <c r="AP186" s="79"/>
      <c r="AQ186" s="79"/>
      <c r="AR186" s="79"/>
      <c r="AS186" s="79">
        <v>0.77367399999999997</v>
      </c>
      <c r="AT186" s="79"/>
      <c r="AU186" s="79">
        <v>1.096857</v>
      </c>
      <c r="AV186" s="79"/>
      <c r="AW186" s="79"/>
      <c r="AX186" s="79"/>
      <c r="AY186" s="79"/>
      <c r="AZ186">
        <v>2.8529589999999998</v>
      </c>
    </row>
    <row r="187" spans="1:52" x14ac:dyDescent="0.2">
      <c r="A187" t="s">
        <v>732</v>
      </c>
      <c r="B187" s="1">
        <v>12571</v>
      </c>
      <c r="C187" s="78">
        <v>187</v>
      </c>
      <c r="D187" s="1"/>
      <c r="E187" s="1">
        <f t="shared" si="4"/>
        <v>12571</v>
      </c>
      <c r="F187" s="2">
        <f t="shared" si="5"/>
        <v>12571</v>
      </c>
      <c r="G187" s="78">
        <v>185</v>
      </c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  <c r="AG187" s="79"/>
      <c r="AH187" s="79"/>
      <c r="AI187" s="79"/>
      <c r="AJ187" s="79"/>
      <c r="AK187" s="79"/>
      <c r="AL187" s="79"/>
      <c r="AM187" s="79"/>
      <c r="AN187" s="79"/>
      <c r="AO187" s="79">
        <v>5.4528129999999999</v>
      </c>
      <c r="AP187" s="79"/>
      <c r="AQ187" s="79"/>
      <c r="AR187" s="79"/>
      <c r="AS187" s="79">
        <v>0.220969</v>
      </c>
      <c r="AT187" s="79"/>
      <c r="AU187" s="79">
        <v>1.4395180000000001</v>
      </c>
      <c r="AV187" s="79"/>
      <c r="AW187" s="79"/>
      <c r="AX187" s="79"/>
      <c r="AY187" s="79"/>
      <c r="AZ187">
        <v>2.0102359999999999</v>
      </c>
    </row>
    <row r="188" spans="1:52" x14ac:dyDescent="0.2">
      <c r="A188" t="s">
        <v>733</v>
      </c>
      <c r="B188" s="1">
        <v>12601</v>
      </c>
      <c r="C188" s="78">
        <v>188</v>
      </c>
      <c r="D188" s="1"/>
      <c r="E188" s="1">
        <f t="shared" si="4"/>
        <v>12601</v>
      </c>
      <c r="F188" s="2">
        <f t="shared" si="5"/>
        <v>12601</v>
      </c>
      <c r="G188" s="78">
        <v>186</v>
      </c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79"/>
      <c r="AG188" s="79"/>
      <c r="AH188" s="79"/>
      <c r="AI188" s="79"/>
      <c r="AJ188" s="79"/>
      <c r="AK188" s="79"/>
      <c r="AL188" s="79"/>
      <c r="AM188" s="79"/>
      <c r="AN188" s="79"/>
      <c r="AO188" s="79">
        <v>5.0804229999999997</v>
      </c>
      <c r="AP188" s="79"/>
      <c r="AQ188" s="79"/>
      <c r="AR188" s="79"/>
      <c r="AS188" s="79">
        <v>0.48010799999999998</v>
      </c>
      <c r="AT188" s="79"/>
      <c r="AU188" s="79">
        <v>0.74085199999999996</v>
      </c>
      <c r="AV188" s="79"/>
      <c r="AW188" s="79"/>
      <c r="AX188" s="79"/>
      <c r="AY188" s="79"/>
      <c r="AZ188">
        <v>0.80545500000000003</v>
      </c>
    </row>
    <row r="189" spans="1:52" x14ac:dyDescent="0.2">
      <c r="A189" t="s">
        <v>734</v>
      </c>
      <c r="B189" s="1">
        <v>12632</v>
      </c>
      <c r="C189" s="78">
        <v>189</v>
      </c>
      <c r="D189" s="1"/>
      <c r="E189" s="1">
        <f t="shared" si="4"/>
        <v>12632</v>
      </c>
      <c r="F189" s="2">
        <f t="shared" si="5"/>
        <v>12632</v>
      </c>
      <c r="G189" s="78">
        <v>187</v>
      </c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/>
      <c r="AI189" s="79"/>
      <c r="AJ189" s="79"/>
      <c r="AK189" s="79"/>
      <c r="AL189" s="79"/>
      <c r="AM189" s="79"/>
      <c r="AN189" s="79"/>
      <c r="AO189" s="79">
        <v>5.0272110000000003</v>
      </c>
      <c r="AP189" s="79"/>
      <c r="AQ189" s="79"/>
      <c r="AR189" s="79"/>
      <c r="AS189" s="79">
        <v>0.46631699999999998</v>
      </c>
      <c r="AT189" s="79"/>
      <c r="AU189" s="79">
        <v>-0.14249200000000001</v>
      </c>
      <c r="AV189" s="79"/>
      <c r="AW189" s="79"/>
      <c r="AX189" s="79"/>
      <c r="AY189" s="79"/>
      <c r="AZ189">
        <v>1.4213389999999999</v>
      </c>
    </row>
    <row r="190" spans="1:52" x14ac:dyDescent="0.2">
      <c r="A190" t="s">
        <v>735</v>
      </c>
      <c r="B190" s="1">
        <v>12663</v>
      </c>
      <c r="C190" s="78">
        <v>190</v>
      </c>
      <c r="D190" s="1"/>
      <c r="E190" s="1">
        <f t="shared" si="4"/>
        <v>12663</v>
      </c>
      <c r="F190" s="2">
        <f t="shared" si="5"/>
        <v>12663</v>
      </c>
      <c r="G190" s="78">
        <v>188</v>
      </c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  <c r="AK190" s="79"/>
      <c r="AL190" s="79"/>
      <c r="AM190" s="79"/>
      <c r="AN190" s="79"/>
      <c r="AO190" s="79">
        <v>4.7346399999999997</v>
      </c>
      <c r="AP190" s="79"/>
      <c r="AQ190" s="79"/>
      <c r="AR190" s="79"/>
      <c r="AS190" s="79">
        <v>-0.319434</v>
      </c>
      <c r="AT190" s="79"/>
      <c r="AU190" s="79">
        <v>1.084857</v>
      </c>
      <c r="AV190" s="79"/>
      <c r="AW190" s="79"/>
      <c r="AX190" s="79"/>
      <c r="AY190" s="79"/>
      <c r="AZ190">
        <v>2.06826</v>
      </c>
    </row>
    <row r="191" spans="1:52" x14ac:dyDescent="0.2">
      <c r="A191" t="s">
        <v>736</v>
      </c>
      <c r="B191" s="1">
        <v>12693</v>
      </c>
      <c r="C191" s="78">
        <v>191</v>
      </c>
      <c r="D191" s="1"/>
      <c r="E191" s="1">
        <f t="shared" si="4"/>
        <v>12693</v>
      </c>
      <c r="F191" s="2">
        <f t="shared" si="5"/>
        <v>12693</v>
      </c>
      <c r="G191" s="78">
        <v>189</v>
      </c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  <c r="AK191" s="79"/>
      <c r="AL191" s="79"/>
      <c r="AM191" s="79"/>
      <c r="AN191" s="79"/>
      <c r="AO191" s="79">
        <v>4.9474879999999999</v>
      </c>
      <c r="AP191" s="79"/>
      <c r="AQ191" s="79"/>
      <c r="AR191" s="79"/>
      <c r="AS191" s="79">
        <v>0.69041600000000003</v>
      </c>
      <c r="AT191" s="79"/>
      <c r="AU191" s="79">
        <v>1.1247549999999999</v>
      </c>
      <c r="AV191" s="79"/>
      <c r="AW191" s="79"/>
      <c r="AX191" s="79"/>
      <c r="AY191" s="79"/>
      <c r="AZ191">
        <v>0.25239099999999998</v>
      </c>
    </row>
    <row r="192" spans="1:52" x14ac:dyDescent="0.2">
      <c r="A192" t="s">
        <v>737</v>
      </c>
      <c r="B192" s="1">
        <v>12724</v>
      </c>
      <c r="C192" s="78">
        <v>192</v>
      </c>
      <c r="D192" s="1"/>
      <c r="E192" s="1">
        <f t="shared" si="4"/>
        <v>12724</v>
      </c>
      <c r="F192" s="2">
        <f t="shared" si="5"/>
        <v>12724</v>
      </c>
      <c r="G192" s="78">
        <v>190</v>
      </c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79"/>
      <c r="AG192" s="79"/>
      <c r="AH192" s="79"/>
      <c r="AI192" s="79"/>
      <c r="AJ192" s="79"/>
      <c r="AK192" s="79"/>
      <c r="AL192" s="79"/>
      <c r="AM192" s="79"/>
      <c r="AN192" s="79"/>
      <c r="AO192" s="79">
        <v>5.0006050000000002</v>
      </c>
      <c r="AP192" s="79"/>
      <c r="AQ192" s="79"/>
      <c r="AR192" s="79"/>
      <c r="AS192" s="79">
        <v>0.33766400000000002</v>
      </c>
      <c r="AT192" s="79"/>
      <c r="AU192" s="79">
        <v>1.6691180000000001</v>
      </c>
      <c r="AV192" s="79"/>
      <c r="AW192" s="79"/>
      <c r="AX192" s="79"/>
      <c r="AY192" s="79"/>
      <c r="AZ192">
        <v>1.2409349999999999</v>
      </c>
    </row>
    <row r="193" spans="1:52" x14ac:dyDescent="0.2">
      <c r="A193" t="s">
        <v>738</v>
      </c>
      <c r="B193" s="1">
        <v>12754</v>
      </c>
      <c r="C193" s="78">
        <v>193</v>
      </c>
      <c r="D193" s="1"/>
      <c r="E193" s="1">
        <f t="shared" si="4"/>
        <v>12754</v>
      </c>
      <c r="F193" s="2">
        <f t="shared" si="5"/>
        <v>12754</v>
      </c>
      <c r="G193" s="78">
        <v>191</v>
      </c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  <c r="AG193" s="79"/>
      <c r="AH193" s="79"/>
      <c r="AI193" s="79"/>
      <c r="AJ193" s="79"/>
      <c r="AK193" s="79"/>
      <c r="AL193" s="79"/>
      <c r="AM193" s="79"/>
      <c r="AN193" s="79"/>
      <c r="AO193" s="79">
        <v>5.3198780000000001</v>
      </c>
      <c r="AP193" s="79"/>
      <c r="AQ193" s="79"/>
      <c r="AR193" s="79"/>
      <c r="AS193" s="79">
        <v>-0.55288400000000004</v>
      </c>
      <c r="AT193" s="79"/>
      <c r="AU193" s="79">
        <v>0.36122300000000002</v>
      </c>
      <c r="AV193" s="79"/>
      <c r="AW193" s="79"/>
      <c r="AX193" s="79"/>
      <c r="AY193" s="79"/>
      <c r="AZ193">
        <v>-1.5431220000000001</v>
      </c>
    </row>
    <row r="194" spans="1:52" x14ac:dyDescent="0.2">
      <c r="A194" t="s">
        <v>739</v>
      </c>
      <c r="B194" s="1">
        <v>12785</v>
      </c>
      <c r="C194" s="78">
        <v>194</v>
      </c>
      <c r="D194" s="1"/>
      <c r="E194" s="1">
        <f t="shared" ref="E194:E257" si="6">B194</f>
        <v>12785</v>
      </c>
      <c r="F194" s="2">
        <f t="shared" ref="F194:F257" si="7">B194</f>
        <v>12785</v>
      </c>
      <c r="G194" s="78">
        <v>192</v>
      </c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>
        <v>5.7453839999999996</v>
      </c>
      <c r="AP194" s="79">
        <v>0.59941199999999994</v>
      </c>
      <c r="AQ194" s="79"/>
      <c r="AR194" s="79"/>
      <c r="AS194" s="79">
        <v>0.26224700000000001</v>
      </c>
      <c r="AT194" s="79"/>
      <c r="AU194" s="79">
        <v>0.444021</v>
      </c>
      <c r="AV194" s="79"/>
      <c r="AW194" s="79"/>
      <c r="AX194" s="79"/>
      <c r="AY194" s="79"/>
      <c r="AZ194">
        <v>-3.7903039999999999</v>
      </c>
    </row>
    <row r="195" spans="1:52" x14ac:dyDescent="0.2">
      <c r="A195" t="s">
        <v>740</v>
      </c>
      <c r="B195" s="1">
        <v>12816</v>
      </c>
      <c r="C195" s="78">
        <v>195</v>
      </c>
      <c r="D195" s="1"/>
      <c r="E195" s="1">
        <f t="shared" si="6"/>
        <v>12816</v>
      </c>
      <c r="F195" s="2">
        <f t="shared" si="7"/>
        <v>12816</v>
      </c>
      <c r="G195" s="78">
        <v>193</v>
      </c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>
        <v>5.8518080000000001</v>
      </c>
      <c r="AP195" s="79">
        <v>0.29017999999999999</v>
      </c>
      <c r="AQ195" s="79"/>
      <c r="AR195" s="79"/>
      <c r="AS195" s="79">
        <v>0.70269700000000002</v>
      </c>
      <c r="AT195" s="79"/>
      <c r="AU195" s="79">
        <v>0.431641</v>
      </c>
      <c r="AV195" s="79"/>
      <c r="AW195" s="79"/>
      <c r="AX195" s="79"/>
      <c r="AY195" s="79"/>
      <c r="AZ195">
        <v>-0.38629999999999998</v>
      </c>
    </row>
    <row r="196" spans="1:52" x14ac:dyDescent="0.2">
      <c r="A196" t="s">
        <v>741</v>
      </c>
      <c r="B196" s="1">
        <v>12844</v>
      </c>
      <c r="C196" s="78">
        <v>196</v>
      </c>
      <c r="D196" s="1"/>
      <c r="E196" s="1">
        <f t="shared" si="6"/>
        <v>12844</v>
      </c>
      <c r="F196" s="2">
        <f t="shared" si="7"/>
        <v>12844</v>
      </c>
      <c r="G196" s="78">
        <v>194</v>
      </c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>
        <v>5.825202</v>
      </c>
      <c r="AP196" s="79">
        <v>0.28776200000000002</v>
      </c>
      <c r="AQ196" s="79"/>
      <c r="AR196" s="79"/>
      <c r="AS196" s="79">
        <v>0.107137</v>
      </c>
      <c r="AT196" s="79"/>
      <c r="AU196" s="79">
        <v>0.39465299999999998</v>
      </c>
      <c r="AV196" s="79"/>
      <c r="AW196" s="79"/>
      <c r="AX196" s="79"/>
      <c r="AY196" s="79"/>
      <c r="AZ196">
        <v>0.76678500000000005</v>
      </c>
    </row>
    <row r="197" spans="1:52" x14ac:dyDescent="0.2">
      <c r="A197" t="s">
        <v>742</v>
      </c>
      <c r="B197" s="1">
        <v>12875</v>
      </c>
      <c r="C197" s="78">
        <v>197</v>
      </c>
      <c r="D197" s="1"/>
      <c r="E197" s="1">
        <f t="shared" si="6"/>
        <v>12875</v>
      </c>
      <c r="F197" s="2">
        <f t="shared" si="7"/>
        <v>12875</v>
      </c>
      <c r="G197" s="78">
        <v>195</v>
      </c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  <c r="AK197" s="79"/>
      <c r="AL197" s="79"/>
      <c r="AM197" s="79"/>
      <c r="AN197" s="79"/>
      <c r="AO197" s="79">
        <v>5.7187780000000004</v>
      </c>
      <c r="AP197" s="79">
        <v>0.12825800000000001</v>
      </c>
      <c r="AQ197" s="79"/>
      <c r="AR197" s="79"/>
      <c r="AS197" s="79">
        <v>0.25314399999999998</v>
      </c>
      <c r="AT197" s="79"/>
      <c r="AU197" s="79">
        <v>1.4032389999999999</v>
      </c>
      <c r="AV197" s="79"/>
      <c r="AW197" s="79"/>
      <c r="AX197" s="79"/>
      <c r="AY197" s="79"/>
      <c r="AZ197">
        <v>2.74966</v>
      </c>
    </row>
    <row r="198" spans="1:52" x14ac:dyDescent="0.2">
      <c r="A198" t="s">
        <v>743</v>
      </c>
      <c r="B198" s="1">
        <v>12905</v>
      </c>
      <c r="C198" s="78">
        <v>198</v>
      </c>
      <c r="D198" s="1"/>
      <c r="E198" s="1">
        <f t="shared" si="6"/>
        <v>12905</v>
      </c>
      <c r="F198" s="2">
        <f t="shared" si="7"/>
        <v>12905</v>
      </c>
      <c r="G198" s="78">
        <v>196</v>
      </c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  <c r="AK198" s="79"/>
      <c r="AL198" s="79"/>
      <c r="AM198" s="79"/>
      <c r="AN198" s="79"/>
      <c r="AO198" s="79">
        <v>5.7187780000000004</v>
      </c>
      <c r="AP198" s="79">
        <v>0.71737799999999996</v>
      </c>
      <c r="AQ198" s="79"/>
      <c r="AR198" s="79"/>
      <c r="AS198" s="79">
        <v>-0.26941300000000001</v>
      </c>
      <c r="AT198" s="79"/>
      <c r="AU198" s="79">
        <v>1.873041</v>
      </c>
      <c r="AV198" s="79"/>
      <c r="AW198" s="79"/>
      <c r="AX198" s="79"/>
      <c r="AY198" s="79">
        <v>-0.10174</v>
      </c>
      <c r="AZ198">
        <v>2.2287659999999998</v>
      </c>
    </row>
    <row r="199" spans="1:52" x14ac:dyDescent="0.2">
      <c r="A199" t="s">
        <v>744</v>
      </c>
      <c r="B199" s="1">
        <v>12936</v>
      </c>
      <c r="C199" s="78">
        <v>199</v>
      </c>
      <c r="D199" s="1"/>
      <c r="E199" s="1">
        <f t="shared" si="6"/>
        <v>12936</v>
      </c>
      <c r="F199" s="2">
        <f t="shared" si="7"/>
        <v>12936</v>
      </c>
      <c r="G199" s="78">
        <v>197</v>
      </c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79"/>
      <c r="AG199" s="79"/>
      <c r="AH199" s="79"/>
      <c r="AI199" s="79"/>
      <c r="AJ199" s="79"/>
      <c r="AK199" s="79"/>
      <c r="AL199" s="79"/>
      <c r="AM199" s="79"/>
      <c r="AN199" s="79"/>
      <c r="AO199" s="79">
        <v>5.7985959999999999</v>
      </c>
      <c r="AP199" s="79">
        <v>0.64868099999999995</v>
      </c>
      <c r="AQ199" s="79"/>
      <c r="AR199" s="79"/>
      <c r="AS199" s="79">
        <v>-0.29262899999999997</v>
      </c>
      <c r="AT199" s="79">
        <v>0.488981</v>
      </c>
      <c r="AU199" s="79">
        <v>1.13476</v>
      </c>
      <c r="AV199" s="79"/>
      <c r="AW199" s="79"/>
      <c r="AX199" s="79"/>
      <c r="AY199" s="79">
        <v>3.8989240000000001</v>
      </c>
      <c r="AZ199">
        <v>2.296678</v>
      </c>
    </row>
    <row r="200" spans="1:52" x14ac:dyDescent="0.2">
      <c r="A200" t="s">
        <v>745</v>
      </c>
      <c r="B200" s="1">
        <v>12966</v>
      </c>
      <c r="C200" s="78">
        <v>200</v>
      </c>
      <c r="D200" s="1"/>
      <c r="E200" s="1">
        <f t="shared" si="6"/>
        <v>12966</v>
      </c>
      <c r="F200" s="2">
        <f t="shared" si="7"/>
        <v>12966</v>
      </c>
      <c r="G200" s="78">
        <v>198</v>
      </c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/>
      <c r="AK200" s="79"/>
      <c r="AL200" s="79"/>
      <c r="AM200" s="79"/>
      <c r="AN200" s="79"/>
      <c r="AO200" s="79">
        <v>5.7985959999999999</v>
      </c>
      <c r="AP200" s="79">
        <v>0.42272100000000001</v>
      </c>
      <c r="AQ200" s="79"/>
      <c r="AR200" s="79"/>
      <c r="AS200" s="79">
        <v>0.53301200000000004</v>
      </c>
      <c r="AT200" s="79">
        <v>1.585574</v>
      </c>
      <c r="AU200" s="79">
        <v>0.94847400000000004</v>
      </c>
      <c r="AV200" s="79"/>
      <c r="AW200" s="79"/>
      <c r="AX200" s="79"/>
      <c r="AY200" s="79">
        <v>-1.0150520000000001</v>
      </c>
      <c r="AZ200">
        <v>1.8222659999999999</v>
      </c>
    </row>
    <row r="201" spans="1:52" x14ac:dyDescent="0.2">
      <c r="A201" t="s">
        <v>746</v>
      </c>
      <c r="B201" s="1">
        <v>12997</v>
      </c>
      <c r="C201" s="78">
        <v>201</v>
      </c>
      <c r="D201" s="1"/>
      <c r="E201" s="1">
        <f t="shared" si="6"/>
        <v>12997</v>
      </c>
      <c r="F201" s="2">
        <f t="shared" si="7"/>
        <v>12997</v>
      </c>
      <c r="G201" s="78">
        <v>199</v>
      </c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79"/>
      <c r="AL201" s="79"/>
      <c r="AM201" s="79"/>
      <c r="AN201" s="79"/>
      <c r="AO201" s="79">
        <v>6.0114450000000001</v>
      </c>
      <c r="AP201" s="79">
        <v>0.21604699999999999</v>
      </c>
      <c r="AQ201" s="79"/>
      <c r="AR201" s="79"/>
      <c r="AS201" s="79">
        <v>0.76194700000000004</v>
      </c>
      <c r="AT201" s="79">
        <v>0.75236199999999998</v>
      </c>
      <c r="AU201" s="79">
        <v>0.28728500000000001</v>
      </c>
      <c r="AV201" s="79"/>
      <c r="AW201" s="79"/>
      <c r="AX201" s="79"/>
      <c r="AY201" s="79">
        <v>0.89437599999999995</v>
      </c>
      <c r="AZ201">
        <v>2.1002049999999999</v>
      </c>
    </row>
    <row r="202" spans="1:52" x14ac:dyDescent="0.2">
      <c r="A202" t="s">
        <v>747</v>
      </c>
      <c r="B202" s="1">
        <v>13028</v>
      </c>
      <c r="C202" s="78">
        <v>202</v>
      </c>
      <c r="D202" s="1"/>
      <c r="E202" s="1">
        <f t="shared" si="6"/>
        <v>13028</v>
      </c>
      <c r="F202" s="2">
        <f t="shared" si="7"/>
        <v>13028</v>
      </c>
      <c r="G202" s="78">
        <v>200</v>
      </c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  <c r="AD202" s="79"/>
      <c r="AE202" s="79"/>
      <c r="AF202" s="79"/>
      <c r="AG202" s="79"/>
      <c r="AH202" s="79"/>
      <c r="AI202" s="79"/>
      <c r="AJ202" s="79"/>
      <c r="AK202" s="79"/>
      <c r="AL202" s="79"/>
      <c r="AM202" s="79"/>
      <c r="AN202" s="79"/>
      <c r="AO202" s="79">
        <v>6.1709860000000001</v>
      </c>
      <c r="AP202" s="79">
        <v>1.2901149999999999</v>
      </c>
      <c r="AQ202" s="79"/>
      <c r="AR202" s="79"/>
      <c r="AS202" s="79">
        <v>0.71053999999999995</v>
      </c>
      <c r="AT202" s="79">
        <v>0.40984799999999999</v>
      </c>
      <c r="AU202" s="79">
        <v>0.61166399999999999</v>
      </c>
      <c r="AV202" s="79"/>
      <c r="AW202" s="79"/>
      <c r="AX202" s="79"/>
      <c r="AY202" s="79">
        <v>0.935087</v>
      </c>
      <c r="AZ202">
        <v>1.487514</v>
      </c>
    </row>
    <row r="203" spans="1:52" x14ac:dyDescent="0.2">
      <c r="A203" t="s">
        <v>748</v>
      </c>
      <c r="B203" s="1">
        <v>13058</v>
      </c>
      <c r="C203" s="78">
        <v>203</v>
      </c>
      <c r="D203" s="1"/>
      <c r="E203" s="1">
        <f t="shared" si="6"/>
        <v>13058</v>
      </c>
      <c r="F203" s="2">
        <f t="shared" si="7"/>
        <v>13058</v>
      </c>
      <c r="G203" s="78">
        <v>201</v>
      </c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  <c r="AK203" s="79"/>
      <c r="AL203" s="79"/>
      <c r="AM203" s="79"/>
      <c r="AN203" s="79"/>
      <c r="AO203" s="79">
        <v>6.3572280000000001</v>
      </c>
      <c r="AP203" s="79">
        <v>0.76673800000000003</v>
      </c>
      <c r="AQ203" s="79"/>
      <c r="AR203" s="79"/>
      <c r="AS203" s="79">
        <v>1.187225</v>
      </c>
      <c r="AT203" s="79">
        <v>1.1928319999999999</v>
      </c>
      <c r="AU203" s="79">
        <v>0.208898</v>
      </c>
      <c r="AV203" s="79"/>
      <c r="AW203" s="79"/>
      <c r="AX203" s="79"/>
      <c r="AY203" s="79">
        <v>1.1070519999999999</v>
      </c>
      <c r="AZ203">
        <v>2.517217</v>
      </c>
    </row>
    <row r="204" spans="1:52" x14ac:dyDescent="0.2">
      <c r="A204" t="s">
        <v>749</v>
      </c>
      <c r="B204" s="1">
        <v>13089</v>
      </c>
      <c r="C204" s="78">
        <v>204</v>
      </c>
      <c r="D204" s="1"/>
      <c r="E204" s="1">
        <f t="shared" si="6"/>
        <v>13089</v>
      </c>
      <c r="F204" s="2">
        <f t="shared" si="7"/>
        <v>13089</v>
      </c>
      <c r="G204" s="78">
        <v>202</v>
      </c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79"/>
      <c r="AG204" s="79"/>
      <c r="AH204" s="79"/>
      <c r="AI204" s="79"/>
      <c r="AJ204" s="79"/>
      <c r="AK204" s="79"/>
      <c r="AL204" s="79"/>
      <c r="AM204" s="79"/>
      <c r="AN204" s="79"/>
      <c r="AO204" s="79">
        <v>6.4901629999999999</v>
      </c>
      <c r="AP204" s="79">
        <v>1.1004529999999999</v>
      </c>
      <c r="AQ204" s="79"/>
      <c r="AR204" s="79"/>
      <c r="AS204" s="79">
        <v>0.91810599999999998</v>
      </c>
      <c r="AT204" s="79">
        <v>1.6008560000000001</v>
      </c>
      <c r="AU204" s="79">
        <v>0.15098600000000001</v>
      </c>
      <c r="AV204" s="79"/>
      <c r="AW204" s="79"/>
      <c r="AX204" s="79"/>
      <c r="AY204" s="79">
        <v>0.77366999999999997</v>
      </c>
      <c r="AZ204">
        <v>1.351458</v>
      </c>
    </row>
    <row r="205" spans="1:52" x14ac:dyDescent="0.2">
      <c r="A205" t="s">
        <v>750</v>
      </c>
      <c r="B205" s="1">
        <v>13119</v>
      </c>
      <c r="C205" s="78">
        <v>205</v>
      </c>
      <c r="D205" s="1"/>
      <c r="E205" s="1">
        <f t="shared" si="6"/>
        <v>13119</v>
      </c>
      <c r="F205" s="2">
        <f t="shared" si="7"/>
        <v>13119</v>
      </c>
      <c r="G205" s="78">
        <v>203</v>
      </c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  <c r="AD205" s="79"/>
      <c r="AE205" s="79"/>
      <c r="AF205" s="79"/>
      <c r="AG205" s="79"/>
      <c r="AH205" s="79"/>
      <c r="AI205" s="79"/>
      <c r="AJ205" s="79"/>
      <c r="AK205" s="79"/>
      <c r="AL205" s="79"/>
      <c r="AM205" s="79"/>
      <c r="AN205" s="79"/>
      <c r="AO205" s="79">
        <v>6.5699810000000003</v>
      </c>
      <c r="AP205" s="79">
        <v>0.61275599999999997</v>
      </c>
      <c r="AQ205" s="79"/>
      <c r="AR205" s="79"/>
      <c r="AS205" s="79">
        <v>0.69943299999999997</v>
      </c>
      <c r="AT205" s="79">
        <v>1.6300749999999999</v>
      </c>
      <c r="AU205" s="79">
        <v>0.126386</v>
      </c>
      <c r="AV205" s="79"/>
      <c r="AW205" s="79"/>
      <c r="AX205" s="79"/>
      <c r="AY205" s="79">
        <v>-1.88679</v>
      </c>
      <c r="AZ205">
        <v>0.51742200000000005</v>
      </c>
    </row>
    <row r="206" spans="1:52" x14ac:dyDescent="0.2">
      <c r="A206" t="s">
        <v>751</v>
      </c>
      <c r="B206" s="1">
        <v>13150</v>
      </c>
      <c r="C206" s="78">
        <v>206</v>
      </c>
      <c r="D206" s="1"/>
      <c r="E206" s="1">
        <f t="shared" si="6"/>
        <v>13150</v>
      </c>
      <c r="F206" s="2">
        <f t="shared" si="7"/>
        <v>13150</v>
      </c>
      <c r="G206" s="78">
        <v>204</v>
      </c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79"/>
      <c r="AG206" s="79"/>
      <c r="AH206" s="79"/>
      <c r="AI206" s="79"/>
      <c r="AJ206" s="79"/>
      <c r="AK206" s="79"/>
      <c r="AL206" s="79"/>
      <c r="AM206" s="79"/>
      <c r="AN206" s="79"/>
      <c r="AO206" s="79">
        <v>6.4635569999999998</v>
      </c>
      <c r="AP206" s="79">
        <v>0.41788999999999998</v>
      </c>
      <c r="AQ206" s="79"/>
      <c r="AR206" s="79"/>
      <c r="AS206" s="79">
        <v>1.1817249999999999</v>
      </c>
      <c r="AT206" s="79">
        <v>1.3107359999999999</v>
      </c>
      <c r="AU206" s="79">
        <v>0.14141899999999999</v>
      </c>
      <c r="AV206" s="79"/>
      <c r="AW206" s="79"/>
      <c r="AX206" s="79">
        <v>-9.5249E-2</v>
      </c>
      <c r="AY206" s="79">
        <v>1.5257890000000001</v>
      </c>
      <c r="AZ206">
        <v>1.9595050000000001</v>
      </c>
    </row>
    <row r="207" spans="1:52" x14ac:dyDescent="0.2">
      <c r="A207" t="s">
        <v>752</v>
      </c>
      <c r="B207" s="1">
        <v>13181</v>
      </c>
      <c r="C207" s="78">
        <v>207</v>
      </c>
      <c r="D207" s="1"/>
      <c r="E207" s="1">
        <f t="shared" si="6"/>
        <v>13181</v>
      </c>
      <c r="F207" s="2">
        <f t="shared" si="7"/>
        <v>13181</v>
      </c>
      <c r="G207" s="78">
        <v>205</v>
      </c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79"/>
      <c r="AG207" s="79"/>
      <c r="AH207" s="79"/>
      <c r="AI207" s="79"/>
      <c r="AJ207" s="79"/>
      <c r="AK207" s="79"/>
      <c r="AL207" s="79"/>
      <c r="AM207" s="79"/>
      <c r="AN207" s="79"/>
      <c r="AO207" s="79">
        <v>6.3040159999999998</v>
      </c>
      <c r="AP207" s="79">
        <v>0.562276</v>
      </c>
      <c r="AQ207" s="79"/>
      <c r="AR207" s="79"/>
      <c r="AS207" s="79">
        <v>-0.100578</v>
      </c>
      <c r="AT207" s="79">
        <v>1.814746</v>
      </c>
      <c r="AU207" s="79">
        <v>-0.219162</v>
      </c>
      <c r="AV207" s="79"/>
      <c r="AW207" s="79"/>
      <c r="AX207" s="79">
        <v>0.49554399999999998</v>
      </c>
      <c r="AY207" s="79">
        <v>9.7457000000000002E-2</v>
      </c>
      <c r="AZ207">
        <v>-0.304614</v>
      </c>
    </row>
    <row r="208" spans="1:52" x14ac:dyDescent="0.2">
      <c r="A208" t="s">
        <v>753</v>
      </c>
      <c r="B208" s="1">
        <v>13210</v>
      </c>
      <c r="C208" s="78">
        <v>208</v>
      </c>
      <c r="D208" s="1"/>
      <c r="E208" s="1">
        <f t="shared" si="6"/>
        <v>13210</v>
      </c>
      <c r="F208" s="2">
        <f t="shared" si="7"/>
        <v>13210</v>
      </c>
      <c r="G208" s="78">
        <v>206</v>
      </c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  <c r="AD208" s="79"/>
      <c r="AE208" s="79"/>
      <c r="AF208" s="79"/>
      <c r="AG208" s="79"/>
      <c r="AH208" s="79"/>
      <c r="AI208" s="79"/>
      <c r="AJ208" s="79"/>
      <c r="AK208" s="79"/>
      <c r="AL208" s="79"/>
      <c r="AM208" s="79"/>
      <c r="AN208" s="79"/>
      <c r="AO208" s="79">
        <v>6.3838340000000002</v>
      </c>
      <c r="AP208" s="79">
        <v>0.27610600000000002</v>
      </c>
      <c r="AQ208" s="79"/>
      <c r="AR208" s="79"/>
      <c r="AS208" s="79">
        <v>-0.33855600000000002</v>
      </c>
      <c r="AT208" s="79">
        <v>1.31071</v>
      </c>
      <c r="AU208" s="79">
        <v>9.6626000000000004E-2</v>
      </c>
      <c r="AV208" s="79"/>
      <c r="AW208" s="79"/>
      <c r="AX208" s="79">
        <v>-2.5921750000000001</v>
      </c>
      <c r="AY208" s="79">
        <v>-1.175934</v>
      </c>
      <c r="AZ208">
        <v>-2.5492659999999998</v>
      </c>
    </row>
    <row r="209" spans="1:52" x14ac:dyDescent="0.2">
      <c r="A209" t="s">
        <v>754</v>
      </c>
      <c r="B209" s="1">
        <v>13241</v>
      </c>
      <c r="C209" s="78">
        <v>209</v>
      </c>
      <c r="D209" s="1"/>
      <c r="E209" s="1">
        <f t="shared" si="6"/>
        <v>13241</v>
      </c>
      <c r="F209" s="2">
        <f t="shared" si="7"/>
        <v>13241</v>
      </c>
      <c r="G209" s="78">
        <v>207</v>
      </c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79"/>
      <c r="AG209" s="79"/>
      <c r="AH209" s="79"/>
      <c r="AI209" s="79"/>
      <c r="AJ209" s="79"/>
      <c r="AK209" s="79"/>
      <c r="AL209" s="79"/>
      <c r="AM209" s="79"/>
      <c r="AN209" s="79"/>
      <c r="AO209" s="79">
        <v>6.7828299999999997</v>
      </c>
      <c r="AP209" s="79">
        <v>0.85796499999999998</v>
      </c>
      <c r="AQ209" s="79"/>
      <c r="AR209" s="79"/>
      <c r="AS209" s="79">
        <v>6.3097E-2</v>
      </c>
      <c r="AT209" s="79">
        <v>1.624153</v>
      </c>
      <c r="AU209" s="79">
        <v>0.91959100000000005</v>
      </c>
      <c r="AV209" s="79"/>
      <c r="AW209" s="79"/>
      <c r="AX209" s="79">
        <v>-2.5303499999999999</v>
      </c>
      <c r="AY209" s="79">
        <v>0.21180599999999999</v>
      </c>
      <c r="AZ209">
        <v>-1.2458530000000001</v>
      </c>
    </row>
    <row r="210" spans="1:52" x14ac:dyDescent="0.2">
      <c r="A210" t="s">
        <v>755</v>
      </c>
      <c r="B210" s="1">
        <v>13271</v>
      </c>
      <c r="C210" s="78">
        <v>210</v>
      </c>
      <c r="D210" s="1"/>
      <c r="E210" s="1">
        <f t="shared" si="6"/>
        <v>13271</v>
      </c>
      <c r="F210" s="2">
        <f t="shared" si="7"/>
        <v>13271</v>
      </c>
      <c r="G210" s="78">
        <v>208</v>
      </c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>
        <v>6.9157650000000004</v>
      </c>
      <c r="AP210" s="79">
        <v>0.67621500000000001</v>
      </c>
      <c r="AQ210" s="79"/>
      <c r="AR210" s="79"/>
      <c r="AS210" s="79">
        <v>0.91053399999999995</v>
      </c>
      <c r="AT210" s="79">
        <v>2.5822319999999999</v>
      </c>
      <c r="AU210" s="79">
        <v>0.795848</v>
      </c>
      <c r="AV210" s="79"/>
      <c r="AW210" s="79"/>
      <c r="AX210" s="79">
        <v>0.82798899999999998</v>
      </c>
      <c r="AY210" s="79">
        <v>0.47206100000000001</v>
      </c>
      <c r="AZ210">
        <v>-1.129907</v>
      </c>
    </row>
    <row r="211" spans="1:52" x14ac:dyDescent="0.2">
      <c r="A211" t="s">
        <v>756</v>
      </c>
      <c r="B211" s="1">
        <v>13302</v>
      </c>
      <c r="C211" s="78">
        <v>211</v>
      </c>
      <c r="D211" s="1"/>
      <c r="E211" s="1">
        <f t="shared" si="6"/>
        <v>13302</v>
      </c>
      <c r="F211" s="2">
        <f t="shared" si="7"/>
        <v>13302</v>
      </c>
      <c r="G211" s="78">
        <v>209</v>
      </c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  <c r="AA211" s="79"/>
      <c r="AB211" s="79"/>
      <c r="AC211" s="79"/>
      <c r="AD211" s="79"/>
      <c r="AE211" s="79"/>
      <c r="AF211" s="79"/>
      <c r="AG211" s="79"/>
      <c r="AH211" s="79"/>
      <c r="AI211" s="79"/>
      <c r="AJ211" s="79"/>
      <c r="AK211" s="79"/>
      <c r="AL211" s="79"/>
      <c r="AM211" s="79"/>
      <c r="AN211" s="79"/>
      <c r="AO211" s="79">
        <v>7.0487950000000001</v>
      </c>
      <c r="AP211" s="79">
        <v>1.097075</v>
      </c>
      <c r="AQ211" s="79"/>
      <c r="AR211" s="79"/>
      <c r="AS211" s="79">
        <v>0.62266600000000005</v>
      </c>
      <c r="AT211" s="79">
        <v>1.2453289999999999</v>
      </c>
      <c r="AU211" s="79">
        <v>1.0921190000000001</v>
      </c>
      <c r="AV211" s="79"/>
      <c r="AW211" s="79"/>
      <c r="AX211" s="79">
        <v>0.38146099999999999</v>
      </c>
      <c r="AY211" s="79">
        <v>-1.4397999999999999E-2</v>
      </c>
      <c r="AZ211">
        <v>-0.28815000000000002</v>
      </c>
    </row>
    <row r="212" spans="1:52" x14ac:dyDescent="0.2">
      <c r="A212" t="s">
        <v>757</v>
      </c>
      <c r="B212" s="1">
        <v>13332</v>
      </c>
      <c r="C212" s="78">
        <v>212</v>
      </c>
      <c r="D212" s="1"/>
      <c r="E212" s="1">
        <f t="shared" si="6"/>
        <v>13332</v>
      </c>
      <c r="F212" s="2">
        <f t="shared" si="7"/>
        <v>13332</v>
      </c>
      <c r="G212" s="78">
        <v>210</v>
      </c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  <c r="AA212" s="79"/>
      <c r="AB212" s="79"/>
      <c r="AC212" s="79"/>
      <c r="AD212" s="79"/>
      <c r="AE212" s="79"/>
      <c r="AF212" s="79"/>
      <c r="AG212" s="79"/>
      <c r="AH212" s="79"/>
      <c r="AI212" s="79"/>
      <c r="AJ212" s="79"/>
      <c r="AK212" s="79"/>
      <c r="AL212" s="79"/>
      <c r="AM212" s="79"/>
      <c r="AN212" s="79"/>
      <c r="AO212" s="79">
        <v>7.1817299999999999</v>
      </c>
      <c r="AP212" s="79">
        <v>1.28413</v>
      </c>
      <c r="AQ212" s="79"/>
      <c r="AR212" s="79"/>
      <c r="AS212" s="79">
        <v>2.3634719999999998</v>
      </c>
      <c r="AT212" s="79">
        <v>1.65076</v>
      </c>
      <c r="AU212" s="79">
        <v>1.099653</v>
      </c>
      <c r="AV212" s="79"/>
      <c r="AW212" s="79"/>
      <c r="AX212" s="79">
        <v>0.28058300000000003</v>
      </c>
      <c r="AY212" s="79">
        <v>1.4821569999999999</v>
      </c>
      <c r="AZ212">
        <v>1.6728209999999999</v>
      </c>
    </row>
    <row r="213" spans="1:52" x14ac:dyDescent="0.2">
      <c r="A213" t="s">
        <v>758</v>
      </c>
      <c r="B213" s="1">
        <v>13363</v>
      </c>
      <c r="C213" s="78">
        <v>213</v>
      </c>
      <c r="D213" s="1"/>
      <c r="E213" s="1">
        <f t="shared" si="6"/>
        <v>13363</v>
      </c>
      <c r="F213" s="2">
        <f t="shared" si="7"/>
        <v>13363</v>
      </c>
      <c r="G213" s="78">
        <v>211</v>
      </c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  <c r="AA213" s="79"/>
      <c r="AB213" s="79"/>
      <c r="AC213" s="79"/>
      <c r="AD213" s="79"/>
      <c r="AE213" s="79"/>
      <c r="AF213" s="79"/>
      <c r="AG213" s="79"/>
      <c r="AH213" s="79"/>
      <c r="AI213" s="79"/>
      <c r="AJ213" s="79"/>
      <c r="AK213" s="79"/>
      <c r="AL213" s="79"/>
      <c r="AM213" s="79"/>
      <c r="AN213" s="79"/>
      <c r="AO213" s="79">
        <v>7.2881539999999996</v>
      </c>
      <c r="AP213" s="79">
        <v>1.1065210000000001</v>
      </c>
      <c r="AQ213" s="79"/>
      <c r="AR213" s="79"/>
      <c r="AS213" s="79">
        <v>0.77563599999999999</v>
      </c>
      <c r="AT213" s="79">
        <v>2.0995270000000001</v>
      </c>
      <c r="AU213" s="79">
        <v>1.124835</v>
      </c>
      <c r="AV213" s="79"/>
      <c r="AW213" s="79"/>
      <c r="AX213" s="79">
        <v>0.95572800000000002</v>
      </c>
      <c r="AY213" s="79">
        <v>1.7541789999999999</v>
      </c>
      <c r="AZ213">
        <v>-0.34000200000000003</v>
      </c>
    </row>
    <row r="214" spans="1:52" x14ac:dyDescent="0.2">
      <c r="A214" t="s">
        <v>759</v>
      </c>
      <c r="B214" s="1">
        <v>13394</v>
      </c>
      <c r="C214" s="78">
        <v>214</v>
      </c>
      <c r="D214" s="1"/>
      <c r="E214" s="1">
        <f t="shared" si="6"/>
        <v>13394</v>
      </c>
      <c r="F214" s="2">
        <f t="shared" si="7"/>
        <v>13394</v>
      </c>
      <c r="G214" s="78">
        <v>212</v>
      </c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  <c r="AA214" s="79"/>
      <c r="AB214" s="79"/>
      <c r="AC214" s="79"/>
      <c r="AD214" s="79"/>
      <c r="AE214" s="79"/>
      <c r="AF214" s="79"/>
      <c r="AG214" s="79"/>
      <c r="AH214" s="79"/>
      <c r="AI214" s="79"/>
      <c r="AJ214" s="79"/>
      <c r="AK214" s="79"/>
      <c r="AL214" s="79"/>
      <c r="AM214" s="79"/>
      <c r="AN214" s="79"/>
      <c r="AO214" s="79">
        <v>7.4211850000000004</v>
      </c>
      <c r="AP214" s="79">
        <v>0.91200199999999998</v>
      </c>
      <c r="AQ214" s="79"/>
      <c r="AR214" s="79"/>
      <c r="AS214" s="79">
        <v>0.417097</v>
      </c>
      <c r="AT214" s="79">
        <v>0.134907</v>
      </c>
      <c r="AU214" s="79">
        <v>0.92010400000000003</v>
      </c>
      <c r="AV214" s="79"/>
      <c r="AW214" s="79"/>
      <c r="AX214" s="79">
        <v>5.0357539999999998</v>
      </c>
      <c r="AY214" s="79">
        <v>0.69636100000000001</v>
      </c>
      <c r="AZ214">
        <v>-1.608892</v>
      </c>
    </row>
    <row r="215" spans="1:52" x14ac:dyDescent="0.2">
      <c r="A215" t="s">
        <v>760</v>
      </c>
      <c r="B215" s="1">
        <v>13424</v>
      </c>
      <c r="C215" s="78">
        <v>215</v>
      </c>
      <c r="D215" s="1"/>
      <c r="E215" s="1">
        <f t="shared" si="6"/>
        <v>13424</v>
      </c>
      <c r="F215" s="2">
        <f t="shared" si="7"/>
        <v>13424</v>
      </c>
      <c r="G215" s="78">
        <v>213</v>
      </c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  <c r="AA215" s="79"/>
      <c r="AB215" s="79"/>
      <c r="AC215" s="79"/>
      <c r="AD215" s="79"/>
      <c r="AE215" s="79"/>
      <c r="AF215" s="79"/>
      <c r="AG215" s="79"/>
      <c r="AH215" s="79"/>
      <c r="AI215" s="79"/>
      <c r="AJ215" s="79"/>
      <c r="AK215" s="79"/>
      <c r="AL215" s="79"/>
      <c r="AM215" s="79"/>
      <c r="AN215" s="79"/>
      <c r="AO215" s="79">
        <v>7.527609</v>
      </c>
      <c r="AP215" s="79">
        <v>0.52792499999999998</v>
      </c>
      <c r="AQ215" s="79"/>
      <c r="AR215" s="79"/>
      <c r="AS215" s="79">
        <v>0.77675899999999998</v>
      </c>
      <c r="AT215" s="79">
        <v>1.327693</v>
      </c>
      <c r="AU215" s="79">
        <v>0.99038599999999999</v>
      </c>
      <c r="AV215" s="79"/>
      <c r="AW215" s="79"/>
      <c r="AX215" s="79">
        <v>2.3347090000000001</v>
      </c>
      <c r="AY215" s="79">
        <v>1.3809370000000001</v>
      </c>
      <c r="AZ215">
        <v>-0.255185</v>
      </c>
    </row>
    <row r="216" spans="1:52" x14ac:dyDescent="0.2">
      <c r="A216" t="s">
        <v>761</v>
      </c>
      <c r="B216" s="1">
        <v>13455</v>
      </c>
      <c r="C216" s="78">
        <v>216</v>
      </c>
      <c r="D216" s="1"/>
      <c r="E216" s="1">
        <f t="shared" si="6"/>
        <v>13455</v>
      </c>
      <c r="F216" s="2">
        <f t="shared" si="7"/>
        <v>13455</v>
      </c>
      <c r="G216" s="78">
        <v>214</v>
      </c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79"/>
      <c r="AG216" s="79"/>
      <c r="AH216" s="79"/>
      <c r="AI216" s="79"/>
      <c r="AJ216" s="79"/>
      <c r="AK216" s="79"/>
      <c r="AL216" s="79"/>
      <c r="AM216" s="79"/>
      <c r="AN216" s="79"/>
      <c r="AO216" s="79">
        <v>7.7403620000000002</v>
      </c>
      <c r="AP216" s="79">
        <v>0.81737000000000004</v>
      </c>
      <c r="AQ216" s="79"/>
      <c r="AR216" s="79"/>
      <c r="AS216" s="79">
        <v>0.98213700000000004</v>
      </c>
      <c r="AT216" s="79">
        <v>4.1890999999999998E-2</v>
      </c>
      <c r="AU216" s="79">
        <v>0.85076399999999996</v>
      </c>
      <c r="AV216" s="79"/>
      <c r="AW216" s="79"/>
      <c r="AX216" s="79">
        <v>-0.28128799999999998</v>
      </c>
      <c r="AY216" s="79">
        <v>1.2951440000000001</v>
      </c>
      <c r="AZ216">
        <v>0.30685800000000002</v>
      </c>
    </row>
    <row r="217" spans="1:52" x14ac:dyDescent="0.2">
      <c r="A217" t="s">
        <v>762</v>
      </c>
      <c r="B217" s="1">
        <v>13485</v>
      </c>
      <c r="C217" s="78">
        <v>217</v>
      </c>
      <c r="D217" s="1"/>
      <c r="E217" s="1">
        <f t="shared" si="6"/>
        <v>13485</v>
      </c>
      <c r="F217" s="2">
        <f t="shared" si="7"/>
        <v>13485</v>
      </c>
      <c r="G217" s="78">
        <v>215</v>
      </c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79"/>
      <c r="AD217" s="79"/>
      <c r="AE217" s="79"/>
      <c r="AF217" s="79"/>
      <c r="AG217" s="79"/>
      <c r="AH217" s="79"/>
      <c r="AI217" s="79"/>
      <c r="AJ217" s="79"/>
      <c r="AK217" s="79"/>
      <c r="AL217" s="79"/>
      <c r="AM217" s="79"/>
      <c r="AN217" s="79"/>
      <c r="AO217" s="79">
        <v>7.9797209999999996</v>
      </c>
      <c r="AP217" s="79">
        <v>0.82184999999999997</v>
      </c>
      <c r="AQ217" s="79"/>
      <c r="AR217" s="79"/>
      <c r="AS217" s="79">
        <v>3.8084E-2</v>
      </c>
      <c r="AT217" s="79">
        <v>0.54066099999999995</v>
      </c>
      <c r="AU217" s="79">
        <v>0.64940799999999999</v>
      </c>
      <c r="AV217" s="79"/>
      <c r="AW217" s="79"/>
      <c r="AX217" s="79">
        <v>-4.4903599999999999</v>
      </c>
      <c r="AY217" s="79">
        <v>-0.29327500000000001</v>
      </c>
      <c r="AZ217">
        <v>0.16364600000000001</v>
      </c>
    </row>
    <row r="218" spans="1:52" x14ac:dyDescent="0.2">
      <c r="A218" t="s">
        <v>763</v>
      </c>
      <c r="B218" s="1">
        <v>13516</v>
      </c>
      <c r="C218" s="78">
        <v>218</v>
      </c>
      <c r="D218" s="1"/>
      <c r="E218" s="1">
        <f t="shared" si="6"/>
        <v>13516</v>
      </c>
      <c r="F218" s="2">
        <f t="shared" si="7"/>
        <v>13516</v>
      </c>
      <c r="G218" s="78">
        <v>216</v>
      </c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  <c r="AA218" s="79"/>
      <c r="AB218" s="79"/>
      <c r="AC218" s="79"/>
      <c r="AD218" s="79"/>
      <c r="AE218" s="79"/>
      <c r="AF218" s="79"/>
      <c r="AG218" s="79"/>
      <c r="AH218" s="79"/>
      <c r="AI218" s="79"/>
      <c r="AJ218" s="79"/>
      <c r="AK218" s="79"/>
      <c r="AL218" s="79"/>
      <c r="AM218" s="79"/>
      <c r="AN218" s="79"/>
      <c r="AO218" s="79">
        <v>7.9531150000000004</v>
      </c>
      <c r="AP218" s="79">
        <v>0.161665</v>
      </c>
      <c r="AQ218" s="79"/>
      <c r="AR218" s="79"/>
      <c r="AS218" s="79">
        <v>0.24374100000000001</v>
      </c>
      <c r="AT218" s="79">
        <v>2.081372</v>
      </c>
      <c r="AU218" s="79">
        <v>0.49991000000000002</v>
      </c>
      <c r="AV218" s="79"/>
      <c r="AW218" s="79"/>
      <c r="AX218" s="79">
        <v>-5.155386</v>
      </c>
      <c r="AY218" s="79">
        <v>-5.4800000000000001E-2</v>
      </c>
      <c r="AZ218">
        <v>-0.82981799999999994</v>
      </c>
    </row>
    <row r="219" spans="1:52" x14ac:dyDescent="0.2">
      <c r="A219" t="s">
        <v>764</v>
      </c>
      <c r="B219" s="1">
        <v>13547</v>
      </c>
      <c r="C219" s="78">
        <v>219</v>
      </c>
      <c r="D219" s="1"/>
      <c r="E219" s="1">
        <f t="shared" si="6"/>
        <v>13547</v>
      </c>
      <c r="F219" s="2">
        <f t="shared" si="7"/>
        <v>13547</v>
      </c>
      <c r="G219" s="78">
        <v>217</v>
      </c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79"/>
      <c r="AG219" s="79"/>
      <c r="AH219" s="79"/>
      <c r="AI219" s="79"/>
      <c r="AJ219" s="79"/>
      <c r="AK219" s="79"/>
      <c r="AL219" s="79"/>
      <c r="AM219" s="79"/>
      <c r="AN219" s="79"/>
      <c r="AO219" s="79">
        <v>8.0595400000000001</v>
      </c>
      <c r="AP219" s="79">
        <v>6.9639000000000006E-2</v>
      </c>
      <c r="AQ219" s="79"/>
      <c r="AR219" s="79"/>
      <c r="AS219" s="79">
        <v>-0.30732199999999998</v>
      </c>
      <c r="AT219" s="79">
        <v>1.2368589999999999</v>
      </c>
      <c r="AU219" s="79">
        <v>0.26557900000000001</v>
      </c>
      <c r="AV219" s="79"/>
      <c r="AW219" s="79"/>
      <c r="AX219" s="79">
        <v>2.2898079999999998</v>
      </c>
      <c r="AY219" s="79">
        <v>-0.41062599999999999</v>
      </c>
      <c r="AZ219">
        <v>-4.6458789999999999</v>
      </c>
    </row>
    <row r="220" spans="1:52" x14ac:dyDescent="0.2">
      <c r="A220" t="s">
        <v>765</v>
      </c>
      <c r="B220" s="1">
        <v>13575</v>
      </c>
      <c r="C220" s="78">
        <v>220</v>
      </c>
      <c r="D220" s="1"/>
      <c r="E220" s="1">
        <f t="shared" si="6"/>
        <v>13575</v>
      </c>
      <c r="F220" s="2">
        <f t="shared" si="7"/>
        <v>13575</v>
      </c>
      <c r="G220" s="78">
        <v>218</v>
      </c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79"/>
      <c r="AD220" s="79"/>
      <c r="AE220" s="79"/>
      <c r="AF220" s="79"/>
      <c r="AG220" s="79"/>
      <c r="AH220" s="79"/>
      <c r="AI220" s="79"/>
      <c r="AJ220" s="79"/>
      <c r="AK220" s="79"/>
      <c r="AL220" s="79"/>
      <c r="AM220" s="79"/>
      <c r="AN220" s="79"/>
      <c r="AO220" s="79">
        <v>8.2457820000000002</v>
      </c>
      <c r="AP220" s="79">
        <v>0.21526999999999999</v>
      </c>
      <c r="AQ220" s="79"/>
      <c r="AR220" s="79"/>
      <c r="AS220" s="79">
        <v>-4.7284E-2</v>
      </c>
      <c r="AT220" s="79">
        <v>2.2958829999999999</v>
      </c>
      <c r="AU220" s="79">
        <v>0.768899</v>
      </c>
      <c r="AV220" s="79"/>
      <c r="AW220" s="79"/>
      <c r="AX220" s="79">
        <v>-3.650652</v>
      </c>
      <c r="AY220" s="79">
        <v>-0.38252599999999998</v>
      </c>
      <c r="AZ220">
        <v>-5.6948730000000003</v>
      </c>
    </row>
    <row r="221" spans="1:52" x14ac:dyDescent="0.2">
      <c r="A221" t="s">
        <v>766</v>
      </c>
      <c r="B221" s="1">
        <v>13606</v>
      </c>
      <c r="C221" s="78">
        <v>221</v>
      </c>
      <c r="D221" s="1"/>
      <c r="E221" s="1">
        <f t="shared" si="6"/>
        <v>13606</v>
      </c>
      <c r="F221" s="2">
        <f t="shared" si="7"/>
        <v>13606</v>
      </c>
      <c r="G221" s="78">
        <v>219</v>
      </c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  <c r="AA221" s="79"/>
      <c r="AB221" s="79"/>
      <c r="AC221" s="79"/>
      <c r="AD221" s="79"/>
      <c r="AE221" s="79"/>
      <c r="AF221" s="79"/>
      <c r="AG221" s="79"/>
      <c r="AH221" s="79"/>
      <c r="AI221" s="79"/>
      <c r="AJ221" s="79"/>
      <c r="AK221" s="79"/>
      <c r="AL221" s="79"/>
      <c r="AM221" s="79"/>
      <c r="AN221" s="79"/>
      <c r="AO221" s="79">
        <v>8.2457820000000002</v>
      </c>
      <c r="AP221" s="79">
        <v>0.128193</v>
      </c>
      <c r="AQ221" s="79"/>
      <c r="AR221" s="79"/>
      <c r="AS221" s="79">
        <v>0.26906400000000003</v>
      </c>
      <c r="AT221" s="79">
        <v>0.80709699999999995</v>
      </c>
      <c r="AU221" s="79">
        <v>1.2975950000000001</v>
      </c>
      <c r="AV221" s="79"/>
      <c r="AW221" s="79"/>
      <c r="AX221" s="79">
        <v>5.6200150000000004</v>
      </c>
      <c r="AY221" s="79">
        <v>1.898301</v>
      </c>
      <c r="AZ221">
        <v>-4.931019</v>
      </c>
    </row>
    <row r="222" spans="1:52" x14ac:dyDescent="0.2">
      <c r="A222" t="s">
        <v>767</v>
      </c>
      <c r="B222" s="1">
        <v>13636</v>
      </c>
      <c r="C222" s="78">
        <v>222</v>
      </c>
      <c r="D222" s="1"/>
      <c r="E222" s="1">
        <f t="shared" si="6"/>
        <v>13636</v>
      </c>
      <c r="F222" s="2">
        <f t="shared" si="7"/>
        <v>13636</v>
      </c>
      <c r="G222" s="78">
        <v>220</v>
      </c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/>
      <c r="AC222" s="79"/>
      <c r="AD222" s="79"/>
      <c r="AE222" s="79"/>
      <c r="AF222" s="79"/>
      <c r="AG222" s="79"/>
      <c r="AH222" s="79"/>
      <c r="AI222" s="79"/>
      <c r="AJ222" s="79"/>
      <c r="AK222" s="79"/>
      <c r="AL222" s="79"/>
      <c r="AM222" s="79"/>
      <c r="AN222" s="79"/>
      <c r="AO222" s="79">
        <v>8.2723879999999994</v>
      </c>
      <c r="AP222" s="79">
        <v>0.49740800000000002</v>
      </c>
      <c r="AQ222" s="79"/>
      <c r="AR222" s="79"/>
      <c r="AS222" s="79">
        <v>8.5785E-2</v>
      </c>
      <c r="AT222" s="79">
        <v>0.62376200000000004</v>
      </c>
      <c r="AU222" s="79">
        <v>1.2109559999999999</v>
      </c>
      <c r="AV222" s="79"/>
      <c r="AW222" s="79"/>
      <c r="AX222" s="79">
        <v>3.9037929999999998</v>
      </c>
      <c r="AY222" s="79">
        <v>1.177176</v>
      </c>
      <c r="AZ222">
        <v>0.42398599999999997</v>
      </c>
    </row>
    <row r="223" spans="1:52" x14ac:dyDescent="0.2">
      <c r="A223" t="s">
        <v>768</v>
      </c>
      <c r="B223" s="1">
        <v>13667</v>
      </c>
      <c r="C223" s="78">
        <v>223</v>
      </c>
      <c r="D223" s="1"/>
      <c r="E223" s="1">
        <f t="shared" si="6"/>
        <v>13667</v>
      </c>
      <c r="F223" s="2">
        <f t="shared" si="7"/>
        <v>13667</v>
      </c>
      <c r="G223" s="78">
        <v>221</v>
      </c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  <c r="AA223" s="79"/>
      <c r="AB223" s="79"/>
      <c r="AC223" s="79"/>
      <c r="AD223" s="79"/>
      <c r="AE223" s="79"/>
      <c r="AF223" s="79"/>
      <c r="AG223" s="79"/>
      <c r="AH223" s="79"/>
      <c r="AI223" s="79"/>
      <c r="AJ223" s="79"/>
      <c r="AK223" s="79"/>
      <c r="AL223" s="79"/>
      <c r="AM223" s="79"/>
      <c r="AN223" s="79"/>
      <c r="AO223" s="79">
        <v>8.1659640000000007</v>
      </c>
      <c r="AP223" s="79">
        <v>0.39623700000000001</v>
      </c>
      <c r="AQ223" s="79"/>
      <c r="AR223" s="79"/>
      <c r="AS223" s="79">
        <v>0.158717</v>
      </c>
      <c r="AT223" s="79">
        <v>0.59356299999999995</v>
      </c>
      <c r="AU223" s="79">
        <v>0.82027899999999998</v>
      </c>
      <c r="AV223" s="79"/>
      <c r="AW223" s="79"/>
      <c r="AX223" s="79">
        <v>1.353065</v>
      </c>
      <c r="AY223" s="79">
        <v>0.948905</v>
      </c>
      <c r="AZ223">
        <v>7.4496999999999994E-2</v>
      </c>
    </row>
    <row r="224" spans="1:52" x14ac:dyDescent="0.2">
      <c r="A224" t="s">
        <v>769</v>
      </c>
      <c r="B224" s="1">
        <v>13697</v>
      </c>
      <c r="C224" s="78">
        <v>224</v>
      </c>
      <c r="D224" s="1"/>
      <c r="E224" s="1">
        <f t="shared" si="6"/>
        <v>13697</v>
      </c>
      <c r="F224" s="2">
        <f t="shared" si="7"/>
        <v>13697</v>
      </c>
      <c r="G224" s="78">
        <v>222</v>
      </c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  <c r="AA224" s="79"/>
      <c r="AB224" s="79"/>
      <c r="AC224" s="79"/>
      <c r="AD224" s="79"/>
      <c r="AE224" s="79"/>
      <c r="AF224" s="79"/>
      <c r="AG224" s="79"/>
      <c r="AH224" s="79"/>
      <c r="AI224" s="79"/>
      <c r="AJ224" s="79"/>
      <c r="AK224" s="79"/>
      <c r="AL224" s="79"/>
      <c r="AM224" s="79"/>
      <c r="AN224" s="79"/>
      <c r="AO224" s="79">
        <v>8.2191759999999991</v>
      </c>
      <c r="AP224" s="79">
        <v>0.159858</v>
      </c>
      <c r="AQ224" s="79"/>
      <c r="AR224" s="79"/>
      <c r="AS224" s="79">
        <v>-0.38487700000000002</v>
      </c>
      <c r="AT224" s="79">
        <v>7.8241000000000005E-2</v>
      </c>
      <c r="AU224" s="79">
        <v>0.668049</v>
      </c>
      <c r="AV224" s="79"/>
      <c r="AW224" s="79"/>
      <c r="AX224" s="79">
        <v>0.60312399999999999</v>
      </c>
      <c r="AY224" s="79">
        <v>1.124827</v>
      </c>
      <c r="AZ224">
        <v>1.0190570000000001</v>
      </c>
    </row>
    <row r="225" spans="1:52" x14ac:dyDescent="0.2">
      <c r="A225" t="s">
        <v>770</v>
      </c>
      <c r="B225" s="1">
        <v>13728</v>
      </c>
      <c r="C225" s="78">
        <v>225</v>
      </c>
      <c r="D225" s="1"/>
      <c r="E225" s="1">
        <f t="shared" si="6"/>
        <v>13728</v>
      </c>
      <c r="F225" s="2">
        <f t="shared" si="7"/>
        <v>13728</v>
      </c>
      <c r="G225" s="78">
        <v>223</v>
      </c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79"/>
      <c r="AG225" s="79"/>
      <c r="AH225" s="79"/>
      <c r="AI225" s="79"/>
      <c r="AJ225" s="79"/>
      <c r="AK225" s="79"/>
      <c r="AL225" s="79"/>
      <c r="AM225" s="79"/>
      <c r="AN225" s="79"/>
      <c r="AO225" s="79">
        <v>8.1659640000000007</v>
      </c>
      <c r="AP225" s="79">
        <v>-0.24873700000000001</v>
      </c>
      <c r="AQ225" s="79"/>
      <c r="AR225" s="79"/>
      <c r="AS225" s="79">
        <v>-0.69151300000000004</v>
      </c>
      <c r="AT225" s="79">
        <v>2.2510949999999998</v>
      </c>
      <c r="AU225" s="79">
        <v>0.92537000000000003</v>
      </c>
      <c r="AV225" s="79"/>
      <c r="AW225" s="79"/>
      <c r="AX225" s="79">
        <v>1.4488920000000001</v>
      </c>
      <c r="AY225" s="79">
        <v>-0.66331899999999999</v>
      </c>
      <c r="AZ225">
        <v>3.695017</v>
      </c>
    </row>
    <row r="226" spans="1:52" x14ac:dyDescent="0.2">
      <c r="A226" t="s">
        <v>771</v>
      </c>
      <c r="B226" s="1">
        <v>13759</v>
      </c>
      <c r="C226" s="78">
        <v>226</v>
      </c>
      <c r="D226" s="1"/>
      <c r="E226" s="1">
        <f t="shared" si="6"/>
        <v>13759</v>
      </c>
      <c r="F226" s="2">
        <f t="shared" si="7"/>
        <v>13759</v>
      </c>
      <c r="G226" s="78">
        <v>224</v>
      </c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  <c r="AA226" s="79"/>
      <c r="AB226" s="79"/>
      <c r="AC226" s="79"/>
      <c r="AD226" s="79"/>
      <c r="AE226" s="79"/>
      <c r="AF226" s="79"/>
      <c r="AG226" s="79"/>
      <c r="AH226" s="79"/>
      <c r="AI226" s="79"/>
      <c r="AJ226" s="79"/>
      <c r="AK226" s="79"/>
      <c r="AL226" s="79"/>
      <c r="AM226" s="79"/>
      <c r="AN226" s="79"/>
      <c r="AO226" s="79">
        <v>7.8999990000000002</v>
      </c>
      <c r="AP226" s="79">
        <v>5.1971000000000003E-2</v>
      </c>
      <c r="AQ226" s="79"/>
      <c r="AR226" s="79"/>
      <c r="AS226" s="79">
        <v>0.211446</v>
      </c>
      <c r="AT226" s="79">
        <v>2.5331990000000002</v>
      </c>
      <c r="AU226" s="79">
        <v>0.488346</v>
      </c>
      <c r="AV226" s="79">
        <v>1.115437</v>
      </c>
      <c r="AW226" s="79"/>
      <c r="AX226" s="79">
        <v>0.36245300000000003</v>
      </c>
      <c r="AY226" s="79">
        <v>-0.63078299999999998</v>
      </c>
      <c r="AZ226">
        <v>3.1643249999999998</v>
      </c>
    </row>
    <row r="227" spans="1:52" x14ac:dyDescent="0.2">
      <c r="A227" t="s">
        <v>772</v>
      </c>
      <c r="B227" s="1">
        <v>13789</v>
      </c>
      <c r="C227" s="78">
        <v>227</v>
      </c>
      <c r="D227" s="1"/>
      <c r="E227" s="1">
        <f t="shared" si="6"/>
        <v>13789</v>
      </c>
      <c r="F227" s="2">
        <f t="shared" si="7"/>
        <v>13789</v>
      </c>
      <c r="G227" s="78">
        <v>225</v>
      </c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  <c r="AA227" s="79"/>
      <c r="AB227" s="79"/>
      <c r="AC227" s="79"/>
      <c r="AD227" s="79"/>
      <c r="AE227" s="79"/>
      <c r="AF227" s="79"/>
      <c r="AG227" s="79"/>
      <c r="AH227" s="79"/>
      <c r="AI227" s="79"/>
      <c r="AJ227" s="79"/>
      <c r="AK227" s="79"/>
      <c r="AL227" s="79"/>
      <c r="AM227" s="79"/>
      <c r="AN227" s="79"/>
      <c r="AO227" s="79">
        <v>7.3147599999999997</v>
      </c>
      <c r="AP227" s="79">
        <v>0.49831599999999998</v>
      </c>
      <c r="AQ227" s="79"/>
      <c r="AR227" s="79"/>
      <c r="AS227" s="79">
        <v>0.97676099999999999</v>
      </c>
      <c r="AT227" s="79">
        <v>2.6321129999999999</v>
      </c>
      <c r="AU227" s="79">
        <v>0.54267500000000002</v>
      </c>
      <c r="AV227" s="79">
        <v>1.688167</v>
      </c>
      <c r="AW227" s="79"/>
      <c r="AX227" s="79">
        <v>2.8920599999999999</v>
      </c>
      <c r="AY227" s="79">
        <v>0.76287199999999999</v>
      </c>
      <c r="AZ227">
        <v>2.443638</v>
      </c>
    </row>
    <row r="228" spans="1:52" x14ac:dyDescent="0.2">
      <c r="A228" t="s">
        <v>773</v>
      </c>
      <c r="B228" s="1">
        <v>13820</v>
      </c>
      <c r="C228" s="78">
        <v>228</v>
      </c>
      <c r="D228" s="1"/>
      <c r="E228" s="1">
        <f t="shared" si="6"/>
        <v>13820</v>
      </c>
      <c r="F228" s="2">
        <f t="shared" si="7"/>
        <v>13820</v>
      </c>
      <c r="G228" s="78">
        <v>226</v>
      </c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79"/>
      <c r="AD228" s="79"/>
      <c r="AE228" s="79"/>
      <c r="AF228" s="79"/>
      <c r="AG228" s="79"/>
      <c r="AH228" s="79"/>
      <c r="AI228" s="79"/>
      <c r="AJ228" s="79"/>
      <c r="AK228" s="79"/>
      <c r="AL228" s="79"/>
      <c r="AM228" s="79"/>
      <c r="AN228" s="79"/>
      <c r="AO228" s="79">
        <v>6.5965870000000004</v>
      </c>
      <c r="AP228" s="79">
        <v>0.76700999999999997</v>
      </c>
      <c r="AQ228" s="79"/>
      <c r="AR228" s="79"/>
      <c r="AS228" s="79">
        <v>1.2226330000000001</v>
      </c>
      <c r="AT228" s="79">
        <v>3.283207</v>
      </c>
      <c r="AU228" s="79">
        <v>0.57686000000000004</v>
      </c>
      <c r="AV228" s="79">
        <v>1.8238190000000001</v>
      </c>
      <c r="AW228" s="79"/>
      <c r="AX228" s="79">
        <v>2.0181290000000001</v>
      </c>
      <c r="AY228" s="79">
        <v>1.1747350000000001</v>
      </c>
      <c r="AZ228">
        <v>1.8764989999999999</v>
      </c>
    </row>
    <row r="229" spans="1:52" x14ac:dyDescent="0.2">
      <c r="A229" t="s">
        <v>774</v>
      </c>
      <c r="B229" s="1">
        <v>13850</v>
      </c>
      <c r="C229" s="78">
        <v>229</v>
      </c>
      <c r="D229" s="1"/>
      <c r="E229" s="1">
        <f t="shared" si="6"/>
        <v>13850</v>
      </c>
      <c r="F229" s="2">
        <f t="shared" si="7"/>
        <v>13850</v>
      </c>
      <c r="G229" s="78">
        <v>227</v>
      </c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79"/>
      <c r="AG229" s="79"/>
      <c r="AH229" s="79"/>
      <c r="AI229" s="79"/>
      <c r="AJ229" s="79"/>
      <c r="AK229" s="79"/>
      <c r="AL229" s="79"/>
      <c r="AM229" s="79"/>
      <c r="AN229" s="79"/>
      <c r="AO229" s="79">
        <v>6.0114450000000001</v>
      </c>
      <c r="AP229" s="79">
        <v>0.57961099999999999</v>
      </c>
      <c r="AQ229" s="79"/>
      <c r="AR229" s="79"/>
      <c r="AS229" s="79">
        <v>0.67164500000000005</v>
      </c>
      <c r="AT229" s="79">
        <v>0.36449100000000001</v>
      </c>
      <c r="AU229" s="79">
        <v>1.513863</v>
      </c>
      <c r="AV229" s="79">
        <v>1.8786670000000001</v>
      </c>
      <c r="AW229" s="79"/>
      <c r="AX229" s="79">
        <v>4.0089509999999997</v>
      </c>
      <c r="AY229" s="79">
        <v>2.116082</v>
      </c>
      <c r="AZ229">
        <v>3.2540589999999998</v>
      </c>
    </row>
    <row r="230" spans="1:52" x14ac:dyDescent="0.2">
      <c r="A230" t="s">
        <v>775</v>
      </c>
      <c r="B230" s="1">
        <v>13881</v>
      </c>
      <c r="C230" s="78">
        <v>230</v>
      </c>
      <c r="D230" s="1"/>
      <c r="E230" s="1">
        <f t="shared" si="6"/>
        <v>13881</v>
      </c>
      <c r="F230" s="2">
        <f t="shared" si="7"/>
        <v>13881</v>
      </c>
      <c r="G230" s="78">
        <v>228</v>
      </c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  <c r="AA230" s="79"/>
      <c r="AB230" s="79"/>
      <c r="AC230" s="79"/>
      <c r="AD230" s="79"/>
      <c r="AE230" s="79"/>
      <c r="AF230" s="79"/>
      <c r="AG230" s="79"/>
      <c r="AH230" s="79"/>
      <c r="AI230" s="79"/>
      <c r="AJ230" s="79"/>
      <c r="AK230" s="79"/>
      <c r="AL230" s="79"/>
      <c r="AM230" s="79"/>
      <c r="AN230" s="79"/>
      <c r="AO230" s="79">
        <v>5.8784140000000003</v>
      </c>
      <c r="AP230" s="79">
        <v>0.53414700000000004</v>
      </c>
      <c r="AQ230" s="79"/>
      <c r="AR230" s="79"/>
      <c r="AS230" s="79">
        <v>0.406113</v>
      </c>
      <c r="AT230" s="79">
        <v>2.2249650000000001</v>
      </c>
      <c r="AU230" s="79">
        <v>1.3974340000000001</v>
      </c>
      <c r="AV230" s="79">
        <v>1.927184</v>
      </c>
      <c r="AW230" s="79"/>
      <c r="AX230" s="79">
        <v>2.1151629999999999</v>
      </c>
      <c r="AY230" s="79">
        <v>2.0624220000000002</v>
      </c>
      <c r="AZ230">
        <v>-1.1068629999999999</v>
      </c>
    </row>
    <row r="231" spans="1:52" x14ac:dyDescent="0.2">
      <c r="A231" t="s">
        <v>776</v>
      </c>
      <c r="B231" s="1">
        <v>13912</v>
      </c>
      <c r="C231" s="78">
        <v>231</v>
      </c>
      <c r="D231" s="1"/>
      <c r="E231" s="1">
        <f t="shared" si="6"/>
        <v>13912</v>
      </c>
      <c r="F231" s="2">
        <f t="shared" si="7"/>
        <v>13912</v>
      </c>
      <c r="G231" s="78">
        <v>229</v>
      </c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  <c r="AA231" s="79"/>
      <c r="AB231" s="79"/>
      <c r="AC231" s="79"/>
      <c r="AD231" s="79"/>
      <c r="AE231" s="79"/>
      <c r="AF231" s="79"/>
      <c r="AG231" s="79"/>
      <c r="AH231" s="79"/>
      <c r="AI231" s="79"/>
      <c r="AJ231" s="79"/>
      <c r="AK231" s="79"/>
      <c r="AL231" s="79"/>
      <c r="AM231" s="79"/>
      <c r="AN231" s="79"/>
      <c r="AO231" s="79">
        <v>5.825202</v>
      </c>
      <c r="AP231" s="79">
        <v>0.295346</v>
      </c>
      <c r="AQ231" s="79"/>
      <c r="AR231" s="79"/>
      <c r="AS231" s="79">
        <v>0.26047700000000001</v>
      </c>
      <c r="AT231" s="79">
        <v>2.3656619999999999</v>
      </c>
      <c r="AU231" s="79">
        <v>1.6351150000000001</v>
      </c>
      <c r="AV231" s="79">
        <v>1.514535</v>
      </c>
      <c r="AW231" s="79"/>
      <c r="AX231" s="79">
        <v>0.35284700000000002</v>
      </c>
      <c r="AY231" s="79">
        <v>1.132182</v>
      </c>
      <c r="AZ231">
        <v>5.0302220000000002</v>
      </c>
    </row>
    <row r="232" spans="1:52" x14ac:dyDescent="0.2">
      <c r="A232" t="s">
        <v>777</v>
      </c>
      <c r="B232" s="1">
        <v>13940</v>
      </c>
      <c r="C232" s="78">
        <v>232</v>
      </c>
      <c r="D232" s="1"/>
      <c r="E232" s="1">
        <f t="shared" si="6"/>
        <v>13940</v>
      </c>
      <c r="F232" s="2">
        <f t="shared" si="7"/>
        <v>13940</v>
      </c>
      <c r="G232" s="78">
        <v>230</v>
      </c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79"/>
      <c r="AG232" s="79"/>
      <c r="AH232" s="79"/>
      <c r="AI232" s="79"/>
      <c r="AJ232" s="79"/>
      <c r="AK232" s="79"/>
      <c r="AL232" s="79"/>
      <c r="AM232" s="79"/>
      <c r="AN232" s="79"/>
      <c r="AO232" s="79">
        <v>5.825202</v>
      </c>
      <c r="AP232" s="79">
        <v>0.37790200000000002</v>
      </c>
      <c r="AQ232" s="79"/>
      <c r="AR232" s="79"/>
      <c r="AS232" s="79">
        <v>0.14745800000000001</v>
      </c>
      <c r="AT232" s="79">
        <v>2.1349749999999998</v>
      </c>
      <c r="AU232" s="79">
        <v>1.0678650000000001</v>
      </c>
      <c r="AV232" s="79">
        <v>1.118171</v>
      </c>
      <c r="AW232" s="79"/>
      <c r="AX232" s="79">
        <v>1.123807</v>
      </c>
      <c r="AY232" s="79">
        <v>0.88536000000000004</v>
      </c>
      <c r="AZ232">
        <v>1.3660540000000001</v>
      </c>
    </row>
    <row r="233" spans="1:52" x14ac:dyDescent="0.2">
      <c r="A233" t="s">
        <v>778</v>
      </c>
      <c r="B233" s="1">
        <v>13971</v>
      </c>
      <c r="C233" s="78">
        <v>233</v>
      </c>
      <c r="D233" s="1"/>
      <c r="E233" s="1">
        <f t="shared" si="6"/>
        <v>13971</v>
      </c>
      <c r="F233" s="2">
        <f t="shared" si="7"/>
        <v>13971</v>
      </c>
      <c r="G233" s="78">
        <v>231</v>
      </c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  <c r="AD233" s="79"/>
      <c r="AE233" s="79"/>
      <c r="AF233" s="79"/>
      <c r="AG233" s="79"/>
      <c r="AH233" s="79"/>
      <c r="AI233" s="79"/>
      <c r="AJ233" s="79"/>
      <c r="AK233" s="79"/>
      <c r="AL233" s="79"/>
      <c r="AM233" s="79"/>
      <c r="AN233" s="79"/>
      <c r="AO233" s="79">
        <v>5.7187780000000004</v>
      </c>
      <c r="AP233" s="79">
        <v>0.166713</v>
      </c>
      <c r="AQ233" s="79"/>
      <c r="AR233" s="79"/>
      <c r="AS233" s="79">
        <v>1.2089840000000001</v>
      </c>
      <c r="AT233" s="79">
        <v>1.8810389999999999</v>
      </c>
      <c r="AU233" s="79">
        <v>1.0166269999999999</v>
      </c>
      <c r="AV233" s="79">
        <v>1.7480819999999999</v>
      </c>
      <c r="AW233" s="79"/>
      <c r="AX233" s="79">
        <v>5.4996460000000003</v>
      </c>
      <c r="AY233" s="79">
        <v>0.349215</v>
      </c>
      <c r="AZ233">
        <v>2.9710869999999998</v>
      </c>
    </row>
    <row r="234" spans="1:52" x14ac:dyDescent="0.2">
      <c r="A234" t="s">
        <v>779</v>
      </c>
      <c r="B234" s="1">
        <v>14001</v>
      </c>
      <c r="C234" s="78">
        <v>234</v>
      </c>
      <c r="D234" s="1"/>
      <c r="E234" s="1">
        <f t="shared" si="6"/>
        <v>14001</v>
      </c>
      <c r="F234" s="2">
        <f t="shared" si="7"/>
        <v>14001</v>
      </c>
      <c r="G234" s="78">
        <v>232</v>
      </c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  <c r="AD234" s="79"/>
      <c r="AE234" s="79"/>
      <c r="AF234" s="79"/>
      <c r="AG234" s="79"/>
      <c r="AH234" s="79"/>
      <c r="AI234" s="79"/>
      <c r="AJ234" s="79"/>
      <c r="AK234" s="79"/>
      <c r="AL234" s="79"/>
      <c r="AM234" s="79"/>
      <c r="AN234" s="79"/>
      <c r="AO234" s="79">
        <v>5.5858429999999997</v>
      </c>
      <c r="AP234" s="79">
        <v>0.68785600000000002</v>
      </c>
      <c r="AQ234" s="79"/>
      <c r="AR234" s="79"/>
      <c r="AS234" s="79">
        <v>1.1366350000000001</v>
      </c>
      <c r="AT234" s="79">
        <v>2.9665330000000001</v>
      </c>
      <c r="AU234" s="79">
        <v>1.794583</v>
      </c>
      <c r="AV234" s="79">
        <v>1.522295</v>
      </c>
      <c r="AW234" s="79"/>
      <c r="AX234" s="79">
        <v>0.41931099999999999</v>
      </c>
      <c r="AY234" s="79">
        <v>1.9964489999999999</v>
      </c>
      <c r="AZ234">
        <v>2.0873140000000001</v>
      </c>
    </row>
    <row r="235" spans="1:52" x14ac:dyDescent="0.2">
      <c r="A235" t="s">
        <v>780</v>
      </c>
      <c r="B235" s="1">
        <v>14032</v>
      </c>
      <c r="C235" s="78">
        <v>235</v>
      </c>
      <c r="D235" s="1"/>
      <c r="E235" s="1">
        <f t="shared" si="6"/>
        <v>14032</v>
      </c>
      <c r="F235" s="2">
        <f t="shared" si="7"/>
        <v>14032</v>
      </c>
      <c r="G235" s="78">
        <v>233</v>
      </c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  <c r="AD235" s="79"/>
      <c r="AE235" s="79"/>
      <c r="AF235" s="79"/>
      <c r="AG235" s="79"/>
      <c r="AH235" s="79"/>
      <c r="AI235" s="79"/>
      <c r="AJ235" s="79"/>
      <c r="AK235" s="79"/>
      <c r="AL235" s="79"/>
      <c r="AM235" s="79"/>
      <c r="AN235" s="79"/>
      <c r="AO235" s="79">
        <v>5.6390549999999999</v>
      </c>
      <c r="AP235" s="79">
        <v>0.73801000000000005</v>
      </c>
      <c r="AQ235" s="79"/>
      <c r="AR235" s="79"/>
      <c r="AS235" s="79">
        <v>0.99370999999999998</v>
      </c>
      <c r="AT235" s="79">
        <v>1.399216</v>
      </c>
      <c r="AU235" s="79">
        <v>1.3636219999999999</v>
      </c>
      <c r="AV235" s="79">
        <v>1.762205</v>
      </c>
      <c r="AW235" s="79"/>
      <c r="AX235" s="79">
        <v>1.025129</v>
      </c>
      <c r="AY235" s="79">
        <v>-1.1306750000000001</v>
      </c>
      <c r="AZ235">
        <v>0.75438700000000003</v>
      </c>
    </row>
    <row r="236" spans="1:52" x14ac:dyDescent="0.2">
      <c r="A236" t="s">
        <v>781</v>
      </c>
      <c r="B236" s="1">
        <v>14062</v>
      </c>
      <c r="C236" s="78">
        <v>236</v>
      </c>
      <c r="D236" s="1"/>
      <c r="E236" s="1">
        <f t="shared" si="6"/>
        <v>14062</v>
      </c>
      <c r="F236" s="2">
        <f t="shared" si="7"/>
        <v>14062</v>
      </c>
      <c r="G236" s="78">
        <v>234</v>
      </c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  <c r="AD236" s="79"/>
      <c r="AE236" s="79"/>
      <c r="AF236" s="79"/>
      <c r="AG236" s="79"/>
      <c r="AH236" s="79"/>
      <c r="AI236" s="79"/>
      <c r="AJ236" s="79"/>
      <c r="AK236" s="79"/>
      <c r="AL236" s="79"/>
      <c r="AM236" s="79"/>
      <c r="AN236" s="79"/>
      <c r="AO236" s="79">
        <v>5.9582329999999999</v>
      </c>
      <c r="AP236" s="79">
        <v>0.60723099999999997</v>
      </c>
      <c r="AQ236" s="79"/>
      <c r="AR236" s="79"/>
      <c r="AS236" s="79">
        <v>0.89664200000000005</v>
      </c>
      <c r="AT236" s="79">
        <v>2.537604</v>
      </c>
      <c r="AU236" s="79">
        <v>0.66961099999999996</v>
      </c>
      <c r="AV236" s="79">
        <v>2.06284</v>
      </c>
      <c r="AW236" s="79"/>
      <c r="AX236" s="79">
        <v>3.3586469999999999</v>
      </c>
      <c r="AY236" s="79">
        <v>1.4877640000000001</v>
      </c>
      <c r="AZ236">
        <v>1.8371999999999999</v>
      </c>
    </row>
    <row r="237" spans="1:52" x14ac:dyDescent="0.2">
      <c r="A237" t="s">
        <v>782</v>
      </c>
      <c r="B237" s="1">
        <v>14093</v>
      </c>
      <c r="C237" s="78">
        <v>237</v>
      </c>
      <c r="D237" s="1"/>
      <c r="E237" s="1">
        <f t="shared" si="6"/>
        <v>14093</v>
      </c>
      <c r="F237" s="2">
        <f t="shared" si="7"/>
        <v>14093</v>
      </c>
      <c r="G237" s="78">
        <v>235</v>
      </c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  <c r="AD237" s="79"/>
      <c r="AE237" s="79"/>
      <c r="AF237" s="79"/>
      <c r="AG237" s="79"/>
      <c r="AH237" s="79"/>
      <c r="AI237" s="79"/>
      <c r="AJ237" s="79"/>
      <c r="AK237" s="79"/>
      <c r="AL237" s="79"/>
      <c r="AM237" s="79"/>
      <c r="AN237" s="79"/>
      <c r="AO237" s="79">
        <v>6.2774099999999997</v>
      </c>
      <c r="AP237" s="79">
        <v>0.89256999999999997</v>
      </c>
      <c r="AQ237" s="79"/>
      <c r="AR237" s="79"/>
      <c r="AS237" s="79">
        <v>1.114749</v>
      </c>
      <c r="AT237" s="79">
        <v>2.5104220000000002</v>
      </c>
      <c r="AU237" s="79">
        <v>1.756821</v>
      </c>
      <c r="AV237" s="79">
        <v>1.9306049999999999</v>
      </c>
      <c r="AW237" s="79"/>
      <c r="AX237" s="79">
        <v>2.064101</v>
      </c>
      <c r="AY237" s="79">
        <v>1.362482</v>
      </c>
      <c r="AZ237">
        <v>2.7491430000000001</v>
      </c>
    </row>
    <row r="238" spans="1:52" x14ac:dyDescent="0.2">
      <c r="A238" t="s">
        <v>783</v>
      </c>
      <c r="B238" s="1">
        <v>14124</v>
      </c>
      <c r="C238" s="78">
        <v>238</v>
      </c>
      <c r="D238" s="1"/>
      <c r="E238" s="1">
        <f t="shared" si="6"/>
        <v>14124</v>
      </c>
      <c r="F238" s="2">
        <f t="shared" si="7"/>
        <v>14124</v>
      </c>
      <c r="G238" s="78">
        <v>236</v>
      </c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79"/>
      <c r="AG238" s="79"/>
      <c r="AH238" s="79"/>
      <c r="AI238" s="79"/>
      <c r="AJ238" s="79"/>
      <c r="AK238" s="79"/>
      <c r="AL238" s="79"/>
      <c r="AM238" s="79"/>
      <c r="AN238" s="79"/>
      <c r="AO238" s="79">
        <v>6.4635569999999998</v>
      </c>
      <c r="AP238" s="79">
        <v>1.069016</v>
      </c>
      <c r="AQ238" s="79"/>
      <c r="AR238" s="79"/>
      <c r="AS238" s="79">
        <v>0.85515699999999994</v>
      </c>
      <c r="AT238" s="79">
        <v>1.3233429999999999</v>
      </c>
      <c r="AU238" s="79">
        <v>1.420302</v>
      </c>
      <c r="AV238" s="79">
        <v>1.9251039999999999</v>
      </c>
      <c r="AW238" s="79"/>
      <c r="AX238" s="79">
        <v>2.7738070000000001</v>
      </c>
      <c r="AY238" s="79">
        <v>0.52484299999999995</v>
      </c>
      <c r="AZ238">
        <v>1.148671</v>
      </c>
    </row>
    <row r="239" spans="1:52" x14ac:dyDescent="0.2">
      <c r="A239" t="s">
        <v>784</v>
      </c>
      <c r="B239" s="1">
        <v>14154</v>
      </c>
      <c r="C239" s="78">
        <v>239</v>
      </c>
      <c r="D239" s="1"/>
      <c r="E239" s="1">
        <f t="shared" si="6"/>
        <v>14154</v>
      </c>
      <c r="F239" s="2">
        <f t="shared" si="7"/>
        <v>14154</v>
      </c>
      <c r="G239" s="78">
        <v>237</v>
      </c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  <c r="AD239" s="79"/>
      <c r="AE239" s="79"/>
      <c r="AF239" s="79"/>
      <c r="AG239" s="79"/>
      <c r="AH239" s="79"/>
      <c r="AI239" s="79"/>
      <c r="AJ239" s="79"/>
      <c r="AK239" s="79"/>
      <c r="AL239" s="79"/>
      <c r="AM239" s="79"/>
      <c r="AN239" s="79"/>
      <c r="AO239" s="79">
        <v>6.6231929999999997</v>
      </c>
      <c r="AP239" s="79">
        <v>0.65242100000000003</v>
      </c>
      <c r="AQ239" s="79"/>
      <c r="AR239" s="79"/>
      <c r="AS239" s="79">
        <v>0.82546399999999998</v>
      </c>
      <c r="AT239" s="79">
        <v>3.193479</v>
      </c>
      <c r="AU239" s="79">
        <v>1.3811329999999999</v>
      </c>
      <c r="AV239" s="79">
        <v>2.2961290000000001</v>
      </c>
      <c r="AW239" s="79"/>
      <c r="AX239" s="79">
        <v>-1.730059</v>
      </c>
      <c r="AY239" s="79">
        <v>1.5759540000000001</v>
      </c>
      <c r="AZ239">
        <v>2.8115939999999999</v>
      </c>
    </row>
    <row r="240" spans="1:52" x14ac:dyDescent="0.2">
      <c r="A240" t="s">
        <v>785</v>
      </c>
      <c r="B240" s="1">
        <v>14185</v>
      </c>
      <c r="C240" s="78">
        <v>240</v>
      </c>
      <c r="D240" s="1"/>
      <c r="E240" s="1">
        <f t="shared" si="6"/>
        <v>14185</v>
      </c>
      <c r="F240" s="2">
        <f t="shared" si="7"/>
        <v>14185</v>
      </c>
      <c r="G240" s="78">
        <v>238</v>
      </c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  <c r="AD240" s="79"/>
      <c r="AE240" s="79"/>
      <c r="AF240" s="79"/>
      <c r="AG240" s="79"/>
      <c r="AH240" s="79"/>
      <c r="AI240" s="79"/>
      <c r="AJ240" s="79"/>
      <c r="AK240" s="79"/>
      <c r="AL240" s="79"/>
      <c r="AM240" s="79"/>
      <c r="AN240" s="79"/>
      <c r="AO240" s="79">
        <v>6.8891590000000003</v>
      </c>
      <c r="AP240" s="79">
        <v>1.116927</v>
      </c>
      <c r="AQ240" s="79"/>
      <c r="AR240" s="79"/>
      <c r="AS240" s="79">
        <v>1.5726830000000001</v>
      </c>
      <c r="AT240" s="79">
        <v>2.3606750000000001</v>
      </c>
      <c r="AU240" s="79">
        <v>1.3827689999999999</v>
      </c>
      <c r="AV240" s="79">
        <v>1.899241</v>
      </c>
      <c r="AW240" s="79"/>
      <c r="AX240" s="79">
        <v>2.9869859999999999</v>
      </c>
      <c r="AY240" s="79">
        <v>1.2802800000000001</v>
      </c>
      <c r="AZ240">
        <v>2.0753879999999998</v>
      </c>
    </row>
    <row r="241" spans="1:52" x14ac:dyDescent="0.2">
      <c r="A241" t="s">
        <v>786</v>
      </c>
      <c r="B241" s="1">
        <v>14215</v>
      </c>
      <c r="C241" s="78">
        <v>241</v>
      </c>
      <c r="D241" s="1"/>
      <c r="E241" s="1">
        <f t="shared" si="6"/>
        <v>14215</v>
      </c>
      <c r="F241" s="2">
        <f t="shared" si="7"/>
        <v>14215</v>
      </c>
      <c r="G241" s="78">
        <v>239</v>
      </c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  <c r="AD241" s="79"/>
      <c r="AE241" s="79"/>
      <c r="AF241" s="79"/>
      <c r="AG241" s="79"/>
      <c r="AH241" s="79"/>
      <c r="AI241" s="79"/>
      <c r="AJ241" s="79"/>
      <c r="AK241" s="79"/>
      <c r="AL241" s="79"/>
      <c r="AM241" s="79"/>
      <c r="AN241" s="79"/>
      <c r="AO241" s="79">
        <v>6.9689769999999998</v>
      </c>
      <c r="AP241" s="79">
        <v>0.75171200000000005</v>
      </c>
      <c r="AQ241" s="79"/>
      <c r="AR241" s="79"/>
      <c r="AS241" s="79">
        <v>0.85977000000000003</v>
      </c>
      <c r="AT241" s="79">
        <v>2.2247029999999999</v>
      </c>
      <c r="AU241" s="79">
        <v>1.623794</v>
      </c>
      <c r="AV241" s="79">
        <v>1.8136509999999999</v>
      </c>
      <c r="AW241" s="79"/>
      <c r="AX241" s="79">
        <v>3.5402130000000001</v>
      </c>
      <c r="AY241" s="79">
        <v>1.654601</v>
      </c>
      <c r="AZ241">
        <v>2.4813900000000002</v>
      </c>
    </row>
    <row r="242" spans="1:52" x14ac:dyDescent="0.2">
      <c r="A242" t="s">
        <v>787</v>
      </c>
      <c r="B242" s="1">
        <v>14246</v>
      </c>
      <c r="C242" s="78">
        <v>242</v>
      </c>
      <c r="D242" s="1"/>
      <c r="E242" s="1">
        <f t="shared" si="6"/>
        <v>14246</v>
      </c>
      <c r="F242" s="2">
        <f t="shared" si="7"/>
        <v>14246</v>
      </c>
      <c r="G242" s="78">
        <v>240</v>
      </c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79"/>
      <c r="AG242" s="79"/>
      <c r="AH242" s="79"/>
      <c r="AI242" s="79"/>
      <c r="AJ242" s="79"/>
      <c r="AK242" s="79"/>
      <c r="AL242" s="79"/>
      <c r="AM242" s="79"/>
      <c r="AN242" s="79"/>
      <c r="AO242" s="79">
        <v>6.9689769999999998</v>
      </c>
      <c r="AP242" s="79">
        <v>0.64599300000000004</v>
      </c>
      <c r="AQ242" s="79"/>
      <c r="AR242" s="79"/>
      <c r="AS242" s="79">
        <v>1.0956399999999999</v>
      </c>
      <c r="AT242" s="79">
        <v>2.142407</v>
      </c>
      <c r="AU242" s="79">
        <v>0.81950900000000004</v>
      </c>
      <c r="AV242" s="79">
        <v>2.5237980000000002</v>
      </c>
      <c r="AW242" s="79"/>
      <c r="AX242" s="79">
        <v>-1.500318</v>
      </c>
      <c r="AY242" s="79">
        <v>1.861019</v>
      </c>
      <c r="AZ242">
        <v>2.1412300000000002</v>
      </c>
    </row>
    <row r="243" spans="1:52" x14ac:dyDescent="0.2">
      <c r="A243" t="s">
        <v>788</v>
      </c>
      <c r="B243" s="1">
        <v>14277</v>
      </c>
      <c r="C243" s="78">
        <v>243</v>
      </c>
      <c r="D243" s="1"/>
      <c r="E243" s="1">
        <f t="shared" si="6"/>
        <v>14277</v>
      </c>
      <c r="F243" s="2">
        <f t="shared" si="7"/>
        <v>14277</v>
      </c>
      <c r="G243" s="78">
        <v>241</v>
      </c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  <c r="AD243" s="79"/>
      <c r="AE243" s="79"/>
      <c r="AF243" s="79"/>
      <c r="AG243" s="79"/>
      <c r="AH243" s="79"/>
      <c r="AI243" s="79"/>
      <c r="AJ243" s="79"/>
      <c r="AK243" s="79"/>
      <c r="AL243" s="79"/>
      <c r="AM243" s="79"/>
      <c r="AN243" s="79"/>
      <c r="AO243" s="79">
        <v>7.022189</v>
      </c>
      <c r="AP243" s="79">
        <v>0.47855199999999998</v>
      </c>
      <c r="AQ243" s="79"/>
      <c r="AR243" s="79"/>
      <c r="AS243" s="79">
        <v>0.81038200000000005</v>
      </c>
      <c r="AT243" s="79">
        <v>1.58819</v>
      </c>
      <c r="AU243" s="79">
        <v>1.1719299999999999</v>
      </c>
      <c r="AV243" s="79">
        <v>2.2051099999999999</v>
      </c>
      <c r="AW243" s="79"/>
      <c r="AX243" s="79">
        <v>-1.4231039999999999</v>
      </c>
      <c r="AY243" s="79">
        <v>1.0142100000000001</v>
      </c>
      <c r="AZ243">
        <v>1.274967</v>
      </c>
    </row>
    <row r="244" spans="1:52" x14ac:dyDescent="0.2">
      <c r="A244" t="s">
        <v>789</v>
      </c>
      <c r="B244" s="1">
        <v>14305</v>
      </c>
      <c r="C244" s="78">
        <v>244</v>
      </c>
      <c r="D244" s="1"/>
      <c r="E244" s="1">
        <f t="shared" si="6"/>
        <v>14305</v>
      </c>
      <c r="F244" s="2">
        <f t="shared" si="7"/>
        <v>14305</v>
      </c>
      <c r="G244" s="78">
        <v>242</v>
      </c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  <c r="AD244" s="79"/>
      <c r="AE244" s="79"/>
      <c r="AF244" s="79"/>
      <c r="AG244" s="79"/>
      <c r="AH244" s="79"/>
      <c r="AI244" s="79"/>
      <c r="AJ244" s="79"/>
      <c r="AK244" s="79"/>
      <c r="AL244" s="79"/>
      <c r="AM244" s="79"/>
      <c r="AN244" s="79"/>
      <c r="AO244" s="79">
        <v>7.0487950000000001</v>
      </c>
      <c r="AP244" s="79">
        <v>0.52129800000000004</v>
      </c>
      <c r="AQ244" s="79"/>
      <c r="AR244" s="79"/>
      <c r="AS244" s="79">
        <v>0.63072600000000001</v>
      </c>
      <c r="AT244" s="79">
        <v>5.0021490000000002</v>
      </c>
      <c r="AU244" s="79">
        <v>1.416847</v>
      </c>
      <c r="AV244" s="79">
        <v>3.193832</v>
      </c>
      <c r="AW244" s="79"/>
      <c r="AX244" s="79">
        <v>5.0814269999999997</v>
      </c>
      <c r="AY244" s="79">
        <v>1.4993080000000001</v>
      </c>
      <c r="AZ244">
        <v>3.0028679999999999</v>
      </c>
    </row>
    <row r="245" spans="1:52" x14ac:dyDescent="0.2">
      <c r="A245" t="s">
        <v>790</v>
      </c>
      <c r="B245" s="1">
        <v>14336</v>
      </c>
      <c r="C245" s="78">
        <v>245</v>
      </c>
      <c r="D245" s="1"/>
      <c r="E245" s="1">
        <f t="shared" si="6"/>
        <v>14336</v>
      </c>
      <c r="F245" s="2">
        <f t="shared" si="7"/>
        <v>14336</v>
      </c>
      <c r="G245" s="78">
        <v>243</v>
      </c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  <c r="AD245" s="79"/>
      <c r="AE245" s="79"/>
      <c r="AF245" s="79"/>
      <c r="AG245" s="79"/>
      <c r="AH245" s="79"/>
      <c r="AI245" s="79"/>
      <c r="AJ245" s="79"/>
      <c r="AK245" s="79"/>
      <c r="AL245" s="79"/>
      <c r="AM245" s="79"/>
      <c r="AN245" s="79"/>
      <c r="AO245" s="79">
        <v>7.022189</v>
      </c>
      <c r="AP245" s="79">
        <v>0.55313999999999997</v>
      </c>
      <c r="AQ245" s="79"/>
      <c r="AR245" s="79"/>
      <c r="AS245" s="79">
        <v>0.89205999999999996</v>
      </c>
      <c r="AT245" s="79">
        <v>1.6278000000000001E-2</v>
      </c>
      <c r="AU245" s="79">
        <v>0.42021199999999997</v>
      </c>
      <c r="AV245" s="79">
        <v>2.6531720000000001</v>
      </c>
      <c r="AW245" s="79"/>
      <c r="AX245" s="79">
        <v>4.0274510000000001</v>
      </c>
      <c r="AY245" s="79">
        <v>1.7038150000000001</v>
      </c>
      <c r="AZ245">
        <v>0.96692299999999998</v>
      </c>
    </row>
    <row r="246" spans="1:52" x14ac:dyDescent="0.2">
      <c r="A246" t="s">
        <v>791</v>
      </c>
      <c r="B246" s="1">
        <v>14366</v>
      </c>
      <c r="C246" s="78">
        <v>246</v>
      </c>
      <c r="D246" s="1"/>
      <c r="E246" s="1">
        <f t="shared" si="6"/>
        <v>14366</v>
      </c>
      <c r="F246" s="2">
        <f t="shared" si="7"/>
        <v>14366</v>
      </c>
      <c r="G246" s="78">
        <v>244</v>
      </c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  <c r="AD246" s="79"/>
      <c r="AE246" s="79"/>
      <c r="AF246" s="79"/>
      <c r="AG246" s="79"/>
      <c r="AH246" s="79"/>
      <c r="AI246" s="79"/>
      <c r="AJ246" s="79"/>
      <c r="AK246" s="79"/>
      <c r="AL246" s="79"/>
      <c r="AM246" s="79"/>
      <c r="AN246" s="79"/>
      <c r="AO246" s="79">
        <v>6.9955829999999999</v>
      </c>
      <c r="AP246" s="79">
        <v>-0.36227900000000002</v>
      </c>
      <c r="AQ246" s="79"/>
      <c r="AR246" s="79"/>
      <c r="AS246" s="79">
        <v>0.64210999999999996</v>
      </c>
      <c r="AT246" s="79">
        <v>0.61519299999999999</v>
      </c>
      <c r="AU246" s="79">
        <v>1.2208680000000001</v>
      </c>
      <c r="AV246" s="79">
        <v>0.62160199999999999</v>
      </c>
      <c r="AW246" s="79"/>
      <c r="AX246" s="79">
        <v>-5.0557619999999996</v>
      </c>
      <c r="AY246" s="79">
        <v>1.9575959999999999</v>
      </c>
      <c r="AZ246">
        <v>0.69386199999999998</v>
      </c>
    </row>
    <row r="247" spans="1:52" x14ac:dyDescent="0.2">
      <c r="A247" t="s">
        <v>792</v>
      </c>
      <c r="B247" s="1">
        <v>14397</v>
      </c>
      <c r="C247" s="78">
        <v>247</v>
      </c>
      <c r="D247" s="1"/>
      <c r="E247" s="1">
        <f t="shared" si="6"/>
        <v>14397</v>
      </c>
      <c r="F247" s="2">
        <f t="shared" si="7"/>
        <v>14397</v>
      </c>
      <c r="G247" s="78">
        <v>245</v>
      </c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79"/>
      <c r="AG247" s="79"/>
      <c r="AH247" s="79"/>
      <c r="AI247" s="79"/>
      <c r="AJ247" s="79"/>
      <c r="AK247" s="79"/>
      <c r="AL247" s="79"/>
      <c r="AM247" s="79"/>
      <c r="AN247" s="79"/>
      <c r="AO247" s="79">
        <v>7.1552199999999999</v>
      </c>
      <c r="AP247" s="79">
        <v>-0.57220400000000005</v>
      </c>
      <c r="AQ247" s="79"/>
      <c r="AR247" s="79"/>
      <c r="AS247" s="79">
        <v>0.115191</v>
      </c>
      <c r="AT247" s="79">
        <v>0.53967600000000004</v>
      </c>
      <c r="AU247" s="79">
        <v>0.23897599999999999</v>
      </c>
      <c r="AV247" s="79">
        <v>-1.490669</v>
      </c>
      <c r="AW247" s="79"/>
      <c r="AX247" s="79">
        <v>-3.0923929999999999</v>
      </c>
      <c r="AY247" s="79">
        <v>1.3331980000000001</v>
      </c>
      <c r="AZ247">
        <v>0.70453900000000003</v>
      </c>
    </row>
    <row r="248" spans="1:52" x14ac:dyDescent="0.2">
      <c r="A248" t="s">
        <v>793</v>
      </c>
      <c r="B248" s="1">
        <v>14427</v>
      </c>
      <c r="C248" s="78">
        <v>248</v>
      </c>
      <c r="D248" s="1"/>
      <c r="E248" s="1">
        <f t="shared" si="6"/>
        <v>14427</v>
      </c>
      <c r="F248" s="2">
        <f t="shared" si="7"/>
        <v>14427</v>
      </c>
      <c r="G248" s="78">
        <v>246</v>
      </c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  <c r="AD248" s="79"/>
      <c r="AE248" s="79"/>
      <c r="AF248" s="79"/>
      <c r="AG248" s="79"/>
      <c r="AH248" s="79"/>
      <c r="AI248" s="79"/>
      <c r="AJ248" s="79"/>
      <c r="AK248" s="79"/>
      <c r="AL248" s="79"/>
      <c r="AM248" s="79"/>
      <c r="AN248" s="79"/>
      <c r="AO248" s="79">
        <v>7.367972</v>
      </c>
      <c r="AP248" s="79">
        <v>-1.704736</v>
      </c>
      <c r="AQ248" s="79"/>
      <c r="AR248" s="79"/>
      <c r="AS248" s="79">
        <v>-1.913999</v>
      </c>
      <c r="AT248" s="79">
        <v>0.85921400000000003</v>
      </c>
      <c r="AU248" s="79">
        <v>-0.56932700000000003</v>
      </c>
      <c r="AV248" s="79">
        <v>-3.252211</v>
      </c>
      <c r="AW248" s="79"/>
      <c r="AX248" s="79">
        <v>-0.91615500000000005</v>
      </c>
      <c r="AY248" s="79">
        <v>-3.8816069999999998</v>
      </c>
      <c r="AZ248">
        <v>-4.7943249999999997</v>
      </c>
    </row>
    <row r="249" spans="1:52" x14ac:dyDescent="0.2">
      <c r="A249" t="s">
        <v>794</v>
      </c>
      <c r="B249" s="1">
        <v>14458</v>
      </c>
      <c r="C249" s="78">
        <v>249</v>
      </c>
      <c r="D249" s="1"/>
      <c r="E249" s="1">
        <f t="shared" si="6"/>
        <v>14458</v>
      </c>
      <c r="F249" s="2">
        <f t="shared" si="7"/>
        <v>14458</v>
      </c>
      <c r="G249" s="78">
        <v>247</v>
      </c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  <c r="AD249" s="79"/>
      <c r="AE249" s="79"/>
      <c r="AF249" s="79"/>
      <c r="AG249" s="79"/>
      <c r="AH249" s="79"/>
      <c r="AI249" s="79"/>
      <c r="AJ249" s="79"/>
      <c r="AK249" s="79"/>
      <c r="AL249" s="79"/>
      <c r="AM249" s="79"/>
      <c r="AN249" s="79"/>
      <c r="AO249" s="79">
        <v>7.4743969999999997</v>
      </c>
      <c r="AP249" s="79">
        <v>-2.9788760000000001</v>
      </c>
      <c r="AQ249" s="79"/>
      <c r="AR249" s="79"/>
      <c r="AS249" s="79">
        <v>-1.5565260000000001</v>
      </c>
      <c r="AT249" s="79">
        <v>-1.723446</v>
      </c>
      <c r="AU249" s="79">
        <v>-1.555488</v>
      </c>
      <c r="AV249" s="79">
        <v>-3.5269819999999998</v>
      </c>
      <c r="AW249" s="79"/>
      <c r="AX249" s="79">
        <v>-4.0494539999999999</v>
      </c>
      <c r="AY249" s="79">
        <v>-1.3404990000000001</v>
      </c>
      <c r="AZ249">
        <v>-3.5403739999999999</v>
      </c>
    </row>
    <row r="250" spans="1:52" x14ac:dyDescent="0.2">
      <c r="A250" t="s">
        <v>795</v>
      </c>
      <c r="B250" s="1">
        <v>14489</v>
      </c>
      <c r="C250" s="78">
        <v>250</v>
      </c>
      <c r="D250" s="1"/>
      <c r="E250" s="1">
        <f t="shared" si="6"/>
        <v>14489</v>
      </c>
      <c r="F250" s="2">
        <f t="shared" si="7"/>
        <v>14489</v>
      </c>
      <c r="G250" s="78">
        <v>248</v>
      </c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  <c r="AD250" s="79"/>
      <c r="AE250" s="79"/>
      <c r="AF250" s="79"/>
      <c r="AG250" s="79"/>
      <c r="AH250" s="79"/>
      <c r="AI250" s="79"/>
      <c r="AJ250" s="79"/>
      <c r="AK250" s="79"/>
      <c r="AL250" s="79"/>
      <c r="AM250" s="79"/>
      <c r="AN250" s="79"/>
      <c r="AO250" s="79">
        <v>7.9266050000000003</v>
      </c>
      <c r="AP250" s="79">
        <v>-0.242649</v>
      </c>
      <c r="AQ250" s="79"/>
      <c r="AR250" s="79"/>
      <c r="AS250" s="79">
        <v>-1.0895E-2</v>
      </c>
      <c r="AT250" s="79">
        <v>5.3708739999999997</v>
      </c>
      <c r="AU250" s="79">
        <v>-0.34317500000000001</v>
      </c>
      <c r="AV250" s="79">
        <v>-1.458861</v>
      </c>
      <c r="AW250" s="79"/>
      <c r="AX250" s="79">
        <v>1.9618450000000001</v>
      </c>
      <c r="AY250" s="79">
        <v>1.760859</v>
      </c>
      <c r="AZ250">
        <v>-2.2054309999999999</v>
      </c>
    </row>
    <row r="251" spans="1:52" x14ac:dyDescent="0.2">
      <c r="A251" t="s">
        <v>796</v>
      </c>
      <c r="B251" s="1">
        <v>14519</v>
      </c>
      <c r="C251" s="78">
        <v>251</v>
      </c>
      <c r="D251" s="1"/>
      <c r="E251" s="1">
        <f t="shared" si="6"/>
        <v>14519</v>
      </c>
      <c r="F251" s="2">
        <f t="shared" si="7"/>
        <v>14519</v>
      </c>
      <c r="G251" s="78">
        <v>249</v>
      </c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  <c r="AD251" s="79"/>
      <c r="AE251" s="79"/>
      <c r="AF251" s="79"/>
      <c r="AG251" s="79"/>
      <c r="AH251" s="79"/>
      <c r="AI251" s="79"/>
      <c r="AJ251" s="79"/>
      <c r="AK251" s="79"/>
      <c r="AL251" s="79"/>
      <c r="AM251" s="79"/>
      <c r="AN251" s="79"/>
      <c r="AO251" s="79">
        <v>8.3255040000000005</v>
      </c>
      <c r="AP251" s="79">
        <v>0.32786500000000002</v>
      </c>
      <c r="AQ251" s="79"/>
      <c r="AR251" s="79"/>
      <c r="AS251" s="79">
        <v>0.99473199999999995</v>
      </c>
      <c r="AT251" s="79">
        <v>2.5589189999999999</v>
      </c>
      <c r="AU251" s="79">
        <v>0.231904</v>
      </c>
      <c r="AV251" s="79">
        <v>0.41042499999999998</v>
      </c>
      <c r="AW251" s="79"/>
      <c r="AX251" s="79">
        <v>1.5701000000000001</v>
      </c>
      <c r="AY251" s="79">
        <v>2.40666</v>
      </c>
      <c r="AZ251">
        <v>3.844624</v>
      </c>
    </row>
    <row r="252" spans="1:52" x14ac:dyDescent="0.2">
      <c r="A252" t="s">
        <v>797</v>
      </c>
      <c r="B252" s="1">
        <v>14550</v>
      </c>
      <c r="C252" s="78">
        <v>252</v>
      </c>
      <c r="D252" s="1"/>
      <c r="E252" s="1">
        <f t="shared" si="6"/>
        <v>14550</v>
      </c>
      <c r="F252" s="2">
        <f t="shared" si="7"/>
        <v>14550</v>
      </c>
      <c r="G252" s="78">
        <v>250</v>
      </c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  <c r="AG252" s="79"/>
      <c r="AH252" s="79"/>
      <c r="AI252" s="79"/>
      <c r="AJ252" s="79"/>
      <c r="AK252" s="79"/>
      <c r="AL252" s="79"/>
      <c r="AM252" s="79"/>
      <c r="AN252" s="79"/>
      <c r="AO252" s="79">
        <v>8.5383530000000007</v>
      </c>
      <c r="AP252" s="79">
        <v>0.54097899999999999</v>
      </c>
      <c r="AQ252" s="79"/>
      <c r="AR252" s="79"/>
      <c r="AS252" s="79">
        <v>0.24870400000000001</v>
      </c>
      <c r="AT252" s="79">
        <v>2.1730559999999999</v>
      </c>
      <c r="AU252" s="79">
        <v>0.66676899999999995</v>
      </c>
      <c r="AV252" s="79">
        <v>1.0817079999999999</v>
      </c>
      <c r="AW252" s="79"/>
      <c r="AX252" s="79">
        <v>2.1431840000000002</v>
      </c>
      <c r="AY252" s="79">
        <v>2.4501849999999998</v>
      </c>
      <c r="AZ252">
        <v>1.8071440000000001</v>
      </c>
    </row>
    <row r="253" spans="1:52" x14ac:dyDescent="0.2">
      <c r="A253" t="s">
        <v>798</v>
      </c>
      <c r="B253" s="1">
        <v>14580</v>
      </c>
      <c r="C253" s="78">
        <v>253</v>
      </c>
      <c r="D253" s="1"/>
      <c r="E253" s="1">
        <f t="shared" si="6"/>
        <v>14580</v>
      </c>
      <c r="F253" s="2">
        <f t="shared" si="7"/>
        <v>14580</v>
      </c>
      <c r="G253" s="78">
        <v>251</v>
      </c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  <c r="AD253" s="79"/>
      <c r="AE253" s="79"/>
      <c r="AF253" s="79"/>
      <c r="AG253" s="79"/>
      <c r="AH253" s="79"/>
      <c r="AI253" s="79"/>
      <c r="AJ253" s="79"/>
      <c r="AK253" s="79"/>
      <c r="AL253" s="79"/>
      <c r="AM253" s="79"/>
      <c r="AN253" s="79"/>
      <c r="AO253" s="79">
        <v>8.5383530000000007</v>
      </c>
      <c r="AP253" s="79">
        <v>0.41467199999999999</v>
      </c>
      <c r="AQ253" s="79"/>
      <c r="AR253" s="79"/>
      <c r="AS253" s="79">
        <v>1.0244310000000001</v>
      </c>
      <c r="AT253" s="79">
        <v>2.616574</v>
      </c>
      <c r="AU253" s="79">
        <v>1.138547</v>
      </c>
      <c r="AV253" s="79">
        <v>2.1384620000000001</v>
      </c>
      <c r="AW253" s="79"/>
      <c r="AX253" s="79">
        <v>1.706515</v>
      </c>
      <c r="AY253" s="79">
        <v>2.0724680000000002</v>
      </c>
      <c r="AZ253">
        <v>3.1713300000000002</v>
      </c>
    </row>
    <row r="254" spans="1:52" x14ac:dyDescent="0.2">
      <c r="A254" t="s">
        <v>799</v>
      </c>
      <c r="B254" s="1">
        <v>14611</v>
      </c>
      <c r="C254" s="78">
        <v>254</v>
      </c>
      <c r="D254" s="1"/>
      <c r="E254" s="1">
        <f t="shared" si="6"/>
        <v>14611</v>
      </c>
      <c r="F254" s="2">
        <f t="shared" si="7"/>
        <v>14611</v>
      </c>
      <c r="G254" s="78">
        <v>252</v>
      </c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79"/>
      <c r="AG254" s="79"/>
      <c r="AH254" s="79"/>
      <c r="AI254" s="79"/>
      <c r="AJ254" s="79"/>
      <c r="AK254" s="79"/>
      <c r="AL254" s="79"/>
      <c r="AM254" s="79"/>
      <c r="AN254" s="79"/>
      <c r="AO254" s="79">
        <v>8.4319290000000002</v>
      </c>
      <c r="AP254" s="79">
        <v>0.91421600000000003</v>
      </c>
      <c r="AQ254" s="79"/>
      <c r="AR254" s="79"/>
      <c r="AS254" s="79">
        <v>0.981325</v>
      </c>
      <c r="AT254" s="79">
        <v>2.5267390000000001</v>
      </c>
      <c r="AU254" s="79">
        <v>0.68224399999999996</v>
      </c>
      <c r="AV254" s="79">
        <v>0.95009900000000003</v>
      </c>
      <c r="AW254" s="79"/>
      <c r="AX254" s="79">
        <v>2.5831019999999998</v>
      </c>
      <c r="AY254" s="79">
        <v>1.3035460000000001</v>
      </c>
      <c r="AZ254">
        <v>4.4866229999999998</v>
      </c>
    </row>
    <row r="255" spans="1:52" x14ac:dyDescent="0.2">
      <c r="A255" t="s">
        <v>800</v>
      </c>
      <c r="B255" s="1">
        <v>14642</v>
      </c>
      <c r="C255" s="78">
        <v>255</v>
      </c>
      <c r="D255" s="1"/>
      <c r="E255" s="1">
        <f t="shared" si="6"/>
        <v>14642</v>
      </c>
      <c r="F255" s="2">
        <f t="shared" si="7"/>
        <v>14642</v>
      </c>
      <c r="G255" s="78">
        <v>253</v>
      </c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79"/>
      <c r="AG255" s="79"/>
      <c r="AH255" s="79"/>
      <c r="AI255" s="79"/>
      <c r="AJ255" s="79"/>
      <c r="AK255" s="79"/>
      <c r="AL255" s="79"/>
      <c r="AM255" s="79"/>
      <c r="AN255" s="79"/>
      <c r="AO255" s="79">
        <v>8.1659640000000007</v>
      </c>
      <c r="AP255" s="79">
        <v>0.46664299999999997</v>
      </c>
      <c r="AQ255" s="79"/>
      <c r="AR255" s="79"/>
      <c r="AS255" s="79">
        <v>0.44251099999999999</v>
      </c>
      <c r="AT255" s="79">
        <v>2.3651339999999998</v>
      </c>
      <c r="AU255" s="79">
        <v>1.111748</v>
      </c>
      <c r="AV255" s="79">
        <v>0.52351300000000001</v>
      </c>
      <c r="AW255" s="79"/>
      <c r="AX255" s="79">
        <v>2.314438</v>
      </c>
      <c r="AY255" s="79">
        <v>1.0865819999999999</v>
      </c>
      <c r="AZ255">
        <v>0.41106700000000002</v>
      </c>
    </row>
    <row r="256" spans="1:52" x14ac:dyDescent="0.2">
      <c r="A256" t="s">
        <v>801</v>
      </c>
      <c r="B256" s="1">
        <v>14671</v>
      </c>
      <c r="C256" s="78">
        <v>256</v>
      </c>
      <c r="D256" s="1"/>
      <c r="E256" s="1">
        <f t="shared" si="6"/>
        <v>14671</v>
      </c>
      <c r="F256" s="2">
        <f t="shared" si="7"/>
        <v>14671</v>
      </c>
      <c r="G256" s="78">
        <v>254</v>
      </c>
      <c r="H256" s="79"/>
      <c r="I256" s="79"/>
      <c r="J256" s="79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  <c r="AA256" s="79"/>
      <c r="AB256" s="79"/>
      <c r="AC256" s="79"/>
      <c r="AD256" s="79"/>
      <c r="AE256" s="79"/>
      <c r="AF256" s="79"/>
      <c r="AG256" s="79"/>
      <c r="AH256" s="79"/>
      <c r="AI256" s="79"/>
      <c r="AJ256" s="79"/>
      <c r="AK256" s="79"/>
      <c r="AL256" s="79"/>
      <c r="AM256" s="79"/>
      <c r="AN256" s="79"/>
      <c r="AO256" s="79">
        <v>7.9797209999999996</v>
      </c>
      <c r="AP256" s="79">
        <v>0.62213700000000005</v>
      </c>
      <c r="AQ256" s="79"/>
      <c r="AR256" s="79"/>
      <c r="AS256" s="79">
        <v>0.70068399999999997</v>
      </c>
      <c r="AT256" s="79">
        <v>2.6853850000000001</v>
      </c>
      <c r="AU256" s="79">
        <v>1.0696239999999999</v>
      </c>
      <c r="AV256" s="79">
        <v>1.25698</v>
      </c>
      <c r="AW256" s="79"/>
      <c r="AX256" s="79">
        <v>3.5567880000000001</v>
      </c>
      <c r="AY256" s="79">
        <v>1.169951</v>
      </c>
      <c r="AZ256">
        <v>1.402793</v>
      </c>
    </row>
    <row r="257" spans="1:52" x14ac:dyDescent="0.2">
      <c r="A257" t="s">
        <v>802</v>
      </c>
      <c r="B257" s="1">
        <v>14702</v>
      </c>
      <c r="C257" s="78">
        <v>257</v>
      </c>
      <c r="D257" s="1"/>
      <c r="E257" s="1">
        <f t="shared" si="6"/>
        <v>14702</v>
      </c>
      <c r="F257" s="2">
        <f t="shared" si="7"/>
        <v>14702</v>
      </c>
      <c r="G257" s="78">
        <v>255</v>
      </c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  <c r="AA257" s="79"/>
      <c r="AB257" s="79"/>
      <c r="AC257" s="79"/>
      <c r="AD257" s="79"/>
      <c r="AE257" s="79"/>
      <c r="AF257" s="79"/>
      <c r="AG257" s="79"/>
      <c r="AH257" s="79"/>
      <c r="AI257" s="79"/>
      <c r="AJ257" s="79"/>
      <c r="AK257" s="79"/>
      <c r="AL257" s="79"/>
      <c r="AM257" s="79"/>
      <c r="AN257" s="79"/>
      <c r="AO257" s="79">
        <v>8.1393579999999996</v>
      </c>
      <c r="AP257" s="79">
        <v>0.80811999999999995</v>
      </c>
      <c r="AQ257" s="79"/>
      <c r="AR257" s="79"/>
      <c r="AS257" s="79">
        <v>0.48022700000000001</v>
      </c>
      <c r="AT257" s="79">
        <v>2.2198099999999998</v>
      </c>
      <c r="AU257" s="79">
        <v>0.95082599999999995</v>
      </c>
      <c r="AV257" s="79">
        <v>0.95366799999999996</v>
      </c>
      <c r="AW257" s="79">
        <v>2.6</v>
      </c>
      <c r="AX257" s="79">
        <v>2.5774970000000001</v>
      </c>
      <c r="AY257" s="79">
        <v>1.3284119999999999</v>
      </c>
      <c r="AZ257">
        <v>2.3993880000000001</v>
      </c>
    </row>
    <row r="258" spans="1:52" x14ac:dyDescent="0.2">
      <c r="A258" t="s">
        <v>803</v>
      </c>
      <c r="B258" s="1">
        <v>14732</v>
      </c>
      <c r="C258" s="78">
        <v>258</v>
      </c>
      <c r="D258" s="1"/>
      <c r="E258" s="1">
        <f t="shared" ref="E258:E321" si="8">B258</f>
        <v>14732</v>
      </c>
      <c r="F258" s="2">
        <f t="shared" ref="F258:F321" si="9">B258</f>
        <v>14732</v>
      </c>
      <c r="G258" s="78">
        <v>256</v>
      </c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  <c r="AA258" s="79"/>
      <c r="AB258" s="79"/>
      <c r="AC258" s="79"/>
      <c r="AD258" s="79"/>
      <c r="AE258" s="79"/>
      <c r="AF258" s="79"/>
      <c r="AG258" s="79"/>
      <c r="AH258" s="79"/>
      <c r="AI258" s="79"/>
      <c r="AJ258" s="79"/>
      <c r="AK258" s="79"/>
      <c r="AL258" s="79"/>
      <c r="AM258" s="79"/>
      <c r="AN258" s="79"/>
      <c r="AO258" s="79">
        <v>8.3787160000000007</v>
      </c>
      <c r="AP258" s="79">
        <v>2.2554000000000001E-2</v>
      </c>
      <c r="AQ258" s="79"/>
      <c r="AR258" s="79"/>
      <c r="AS258" s="79">
        <v>0.48772799999999999</v>
      </c>
      <c r="AT258" s="79">
        <v>1.7460850000000001</v>
      </c>
      <c r="AU258" s="79">
        <v>0.57494199999999995</v>
      </c>
      <c r="AV258" s="79">
        <v>1.1886859999999999</v>
      </c>
      <c r="AW258" s="79">
        <v>2.2999999999999998</v>
      </c>
      <c r="AX258" s="79">
        <v>2.1815479999999998</v>
      </c>
      <c r="AY258" s="79">
        <v>1.063795</v>
      </c>
      <c r="AZ258">
        <v>0.97264300000000004</v>
      </c>
    </row>
    <row r="259" spans="1:52" x14ac:dyDescent="0.2">
      <c r="A259" t="s">
        <v>804</v>
      </c>
      <c r="B259" s="1">
        <v>14763</v>
      </c>
      <c r="C259" s="78">
        <v>259</v>
      </c>
      <c r="D259" s="1"/>
      <c r="E259" s="1">
        <f t="shared" si="8"/>
        <v>14763</v>
      </c>
      <c r="F259" s="2">
        <f t="shared" si="9"/>
        <v>14763</v>
      </c>
      <c r="G259" s="78">
        <v>257</v>
      </c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  <c r="AA259" s="79"/>
      <c r="AB259" s="79"/>
      <c r="AC259" s="79"/>
      <c r="AD259" s="79"/>
      <c r="AE259" s="79"/>
      <c r="AF259" s="79"/>
      <c r="AG259" s="79"/>
      <c r="AH259" s="79"/>
      <c r="AI259" s="79"/>
      <c r="AJ259" s="79"/>
      <c r="AK259" s="79"/>
      <c r="AL259" s="79"/>
      <c r="AM259" s="79"/>
      <c r="AN259" s="79"/>
      <c r="AO259" s="79">
        <v>8.6447780000000005</v>
      </c>
      <c r="AP259" s="79">
        <v>-4.3499999999999997E-3</v>
      </c>
      <c r="AQ259" s="79"/>
      <c r="AR259" s="79"/>
      <c r="AS259" s="79">
        <v>-0.32037599999999999</v>
      </c>
      <c r="AT259" s="79">
        <v>-1.463069</v>
      </c>
      <c r="AU259" s="79">
        <v>0.29820200000000002</v>
      </c>
      <c r="AV259" s="79">
        <v>1.1377520000000001</v>
      </c>
      <c r="AW259" s="79">
        <v>1.8</v>
      </c>
      <c r="AX259" s="79">
        <v>2.651322</v>
      </c>
      <c r="AY259" s="79">
        <v>3.7405000000000001E-2</v>
      </c>
      <c r="AZ259">
        <v>0.78903500000000004</v>
      </c>
    </row>
    <row r="260" spans="1:52" x14ac:dyDescent="0.2">
      <c r="A260" t="s">
        <v>805</v>
      </c>
      <c r="B260" s="1">
        <v>14793</v>
      </c>
      <c r="C260" s="78">
        <v>260</v>
      </c>
      <c r="D260" s="1"/>
      <c r="E260" s="1">
        <f t="shared" si="8"/>
        <v>14793</v>
      </c>
      <c r="F260" s="2">
        <f t="shared" si="9"/>
        <v>14793</v>
      </c>
      <c r="G260" s="78">
        <v>258</v>
      </c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  <c r="AA260" s="79"/>
      <c r="AB260" s="79"/>
      <c r="AC260" s="79"/>
      <c r="AD260" s="79"/>
      <c r="AE260" s="79"/>
      <c r="AF260" s="79"/>
      <c r="AG260" s="79"/>
      <c r="AH260" s="79"/>
      <c r="AI260" s="79"/>
      <c r="AJ260" s="79"/>
      <c r="AK260" s="79"/>
      <c r="AL260" s="79"/>
      <c r="AM260" s="79"/>
      <c r="AN260" s="79"/>
      <c r="AO260" s="79">
        <v>8.7511060000000001</v>
      </c>
      <c r="AP260" s="79">
        <v>-0.287329</v>
      </c>
      <c r="AQ260" s="79"/>
      <c r="AR260" s="79"/>
      <c r="AS260" s="79">
        <v>0.61047200000000001</v>
      </c>
      <c r="AT260" s="79">
        <v>1.9657610000000001</v>
      </c>
      <c r="AU260" s="79">
        <v>0.76210199999999995</v>
      </c>
      <c r="AV260" s="79">
        <v>1.3125340000000001</v>
      </c>
      <c r="AW260" s="79">
        <v>1.5</v>
      </c>
      <c r="AX260" s="79">
        <v>1.0936900000000001</v>
      </c>
      <c r="AY260" s="79">
        <v>0.57438999999999996</v>
      </c>
      <c r="AZ260">
        <v>7.0025000000000004E-2</v>
      </c>
    </row>
    <row r="261" spans="1:52" x14ac:dyDescent="0.2">
      <c r="A261" t="s">
        <v>806</v>
      </c>
      <c r="B261" s="1">
        <v>14824</v>
      </c>
      <c r="C261" s="78">
        <v>261</v>
      </c>
      <c r="D261" s="1"/>
      <c r="E261" s="1">
        <f t="shared" si="8"/>
        <v>14824</v>
      </c>
      <c r="F261" s="2">
        <f t="shared" si="9"/>
        <v>14824</v>
      </c>
      <c r="G261" s="78">
        <v>259</v>
      </c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  <c r="AA261" s="79"/>
      <c r="AB261" s="79"/>
      <c r="AC261" s="79"/>
      <c r="AD261" s="79"/>
      <c r="AE261" s="79"/>
      <c r="AF261" s="79"/>
      <c r="AG261" s="79"/>
      <c r="AH261" s="79"/>
      <c r="AI261" s="79"/>
      <c r="AJ261" s="79"/>
      <c r="AK261" s="79"/>
      <c r="AL261" s="79"/>
      <c r="AM261" s="79"/>
      <c r="AN261" s="79"/>
      <c r="AO261" s="79">
        <v>8.8043180000000003</v>
      </c>
      <c r="AP261" s="79">
        <v>-0.15964800000000001</v>
      </c>
      <c r="AQ261" s="79"/>
      <c r="AR261" s="79"/>
      <c r="AS261" s="79">
        <v>9.0397000000000005E-2</v>
      </c>
      <c r="AT261" s="79">
        <v>1.7540089999999999</v>
      </c>
      <c r="AU261" s="79">
        <v>0.39977099999999999</v>
      </c>
      <c r="AV261" s="79">
        <v>0.84598200000000001</v>
      </c>
      <c r="AW261" s="79">
        <v>2</v>
      </c>
      <c r="AX261" s="79">
        <v>-0.38822200000000001</v>
      </c>
      <c r="AY261" s="79">
        <v>-0.42493799999999998</v>
      </c>
      <c r="AZ261">
        <v>-1.0638399999999999</v>
      </c>
    </row>
    <row r="262" spans="1:52" x14ac:dyDescent="0.2">
      <c r="A262" t="s">
        <v>807</v>
      </c>
      <c r="B262" s="1">
        <v>14855</v>
      </c>
      <c r="C262" s="78">
        <v>262</v>
      </c>
      <c r="D262" s="1"/>
      <c r="E262" s="1">
        <f t="shared" si="8"/>
        <v>14855</v>
      </c>
      <c r="F262" s="2">
        <f t="shared" si="9"/>
        <v>14855</v>
      </c>
      <c r="G262" s="78">
        <v>260</v>
      </c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  <c r="AA262" s="79"/>
      <c r="AB262" s="79"/>
      <c r="AC262" s="79"/>
      <c r="AD262" s="79"/>
      <c r="AE262" s="79"/>
      <c r="AF262" s="79"/>
      <c r="AG262" s="79"/>
      <c r="AH262" s="79"/>
      <c r="AI262" s="79"/>
      <c r="AJ262" s="79"/>
      <c r="AK262" s="79"/>
      <c r="AL262" s="79"/>
      <c r="AM262" s="79"/>
      <c r="AN262" s="79"/>
      <c r="AO262" s="79">
        <v>8.9905609999999996</v>
      </c>
      <c r="AP262" s="79">
        <v>-0.33341900000000002</v>
      </c>
      <c r="AQ262" s="79"/>
      <c r="AR262" s="79"/>
      <c r="AS262" s="79">
        <v>0.24796599999999999</v>
      </c>
      <c r="AT262" s="79">
        <v>1.459641</v>
      </c>
      <c r="AU262" s="79">
        <v>0.89771699999999999</v>
      </c>
      <c r="AV262" s="79">
        <v>1.0146539999999999</v>
      </c>
      <c r="AW262" s="79">
        <v>2.1</v>
      </c>
      <c r="AX262" s="79">
        <v>1.6830769999999999</v>
      </c>
      <c r="AY262" s="79">
        <v>0.84326800000000002</v>
      </c>
      <c r="AZ262">
        <v>-3.4464359999999998</v>
      </c>
    </row>
    <row r="263" spans="1:52" x14ac:dyDescent="0.2">
      <c r="A263" t="s">
        <v>808</v>
      </c>
      <c r="B263" s="1">
        <v>14885</v>
      </c>
      <c r="C263" s="78">
        <v>263</v>
      </c>
      <c r="D263" s="1"/>
      <c r="E263" s="1">
        <f t="shared" si="8"/>
        <v>14885</v>
      </c>
      <c r="F263" s="2">
        <f t="shared" si="9"/>
        <v>14885</v>
      </c>
      <c r="G263" s="78">
        <v>261</v>
      </c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  <c r="AA263" s="79"/>
      <c r="AB263" s="79"/>
      <c r="AC263" s="79"/>
      <c r="AD263" s="79"/>
      <c r="AE263" s="79"/>
      <c r="AF263" s="79"/>
      <c r="AG263" s="79"/>
      <c r="AH263" s="79"/>
      <c r="AI263" s="79"/>
      <c r="AJ263" s="79"/>
      <c r="AK263" s="79"/>
      <c r="AL263" s="79"/>
      <c r="AM263" s="79"/>
      <c r="AN263" s="79"/>
      <c r="AO263" s="79">
        <v>9.1234959999999994</v>
      </c>
      <c r="AP263" s="79">
        <v>-0.138372</v>
      </c>
      <c r="AQ263" s="79"/>
      <c r="AR263" s="79"/>
      <c r="AS263" s="79">
        <v>0.51575199999999999</v>
      </c>
      <c r="AT263" s="79">
        <v>1.2281660000000001</v>
      </c>
      <c r="AU263" s="79">
        <v>0.29933199999999999</v>
      </c>
      <c r="AV263" s="79">
        <v>0.55447500000000005</v>
      </c>
      <c r="AW263" s="79">
        <v>1.8</v>
      </c>
      <c r="AX263" s="79">
        <v>1.58142</v>
      </c>
      <c r="AY263" s="79">
        <v>1.9792149999999999</v>
      </c>
      <c r="AZ263">
        <v>3.1260919999999999</v>
      </c>
    </row>
    <row r="264" spans="1:52" x14ac:dyDescent="0.2">
      <c r="A264" t="s">
        <v>809</v>
      </c>
      <c r="B264" s="1">
        <v>14916</v>
      </c>
      <c r="C264" s="78">
        <v>264</v>
      </c>
      <c r="D264" s="1"/>
      <c r="E264" s="1">
        <f t="shared" si="8"/>
        <v>14916</v>
      </c>
      <c r="F264" s="2">
        <f t="shared" si="9"/>
        <v>14916</v>
      </c>
      <c r="G264" s="78">
        <v>262</v>
      </c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  <c r="AA264" s="79"/>
      <c r="AB264" s="79"/>
      <c r="AC264" s="79"/>
      <c r="AD264" s="79"/>
      <c r="AE264" s="79"/>
      <c r="AF264" s="79"/>
      <c r="AG264" s="79"/>
      <c r="AH264" s="79"/>
      <c r="AI264" s="79"/>
      <c r="AJ264" s="79"/>
      <c r="AK264" s="79"/>
      <c r="AL264" s="79"/>
      <c r="AM264" s="79"/>
      <c r="AN264" s="79"/>
      <c r="AO264" s="79">
        <v>9.3363449999999997</v>
      </c>
      <c r="AP264" s="79">
        <v>-0.43011500000000003</v>
      </c>
      <c r="AQ264" s="79"/>
      <c r="AR264" s="79"/>
      <c r="AS264" s="79">
        <v>0.201542</v>
      </c>
      <c r="AT264" s="79">
        <v>1.289361</v>
      </c>
      <c r="AU264" s="79">
        <v>0.43578499999999998</v>
      </c>
      <c r="AV264" s="79">
        <v>0.14448</v>
      </c>
      <c r="AW264" s="79">
        <v>2</v>
      </c>
      <c r="AX264" s="79">
        <v>1.334811</v>
      </c>
      <c r="AY264" s="79">
        <v>-0.23691300000000001</v>
      </c>
      <c r="AZ264">
        <v>1.730653</v>
      </c>
    </row>
    <row r="265" spans="1:52" x14ac:dyDescent="0.2">
      <c r="A265" t="s">
        <v>810</v>
      </c>
      <c r="B265" s="1">
        <v>14946</v>
      </c>
      <c r="C265" s="78">
        <v>265</v>
      </c>
      <c r="D265" s="1"/>
      <c r="E265" s="1">
        <f t="shared" si="8"/>
        <v>14946</v>
      </c>
      <c r="F265" s="2">
        <f t="shared" si="9"/>
        <v>14946</v>
      </c>
      <c r="G265" s="78">
        <v>263</v>
      </c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  <c r="AA265" s="79"/>
      <c r="AB265" s="79"/>
      <c r="AC265" s="79"/>
      <c r="AD265" s="79"/>
      <c r="AE265" s="79"/>
      <c r="AF265" s="79"/>
      <c r="AG265" s="79"/>
      <c r="AH265" s="79"/>
      <c r="AI265" s="79"/>
      <c r="AJ265" s="79"/>
      <c r="AK265" s="79"/>
      <c r="AL265" s="79"/>
      <c r="AM265" s="79"/>
      <c r="AN265" s="79"/>
      <c r="AO265" s="79">
        <v>9.6555219999999995</v>
      </c>
      <c r="AP265" s="79">
        <v>-0.34357500000000002</v>
      </c>
      <c r="AQ265" s="79"/>
      <c r="AR265" s="79"/>
      <c r="AS265" s="79">
        <v>0.41332099999999999</v>
      </c>
      <c r="AT265" s="79">
        <v>1.5955870000000001</v>
      </c>
      <c r="AU265" s="79">
        <v>0.41364600000000001</v>
      </c>
      <c r="AV265" s="79">
        <v>0.74194400000000005</v>
      </c>
      <c r="AW265" s="79">
        <v>1.9</v>
      </c>
      <c r="AX265" s="79">
        <v>3.6208469999999999</v>
      </c>
      <c r="AY265" s="79">
        <v>0.136486</v>
      </c>
      <c r="AZ265">
        <v>-6.4560999999999993E-2</v>
      </c>
    </row>
    <row r="266" spans="1:52" x14ac:dyDescent="0.2">
      <c r="A266" t="s">
        <v>811</v>
      </c>
      <c r="B266" s="1">
        <v>14977</v>
      </c>
      <c r="C266" s="78">
        <v>266</v>
      </c>
      <c r="D266" s="1"/>
      <c r="E266" s="1">
        <f t="shared" si="8"/>
        <v>14977</v>
      </c>
      <c r="F266" s="2">
        <f t="shared" si="9"/>
        <v>14977</v>
      </c>
      <c r="G266" s="78">
        <v>264</v>
      </c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  <c r="AA266" s="79"/>
      <c r="AB266" s="79"/>
      <c r="AC266" s="79"/>
      <c r="AD266" s="79"/>
      <c r="AE266" s="79"/>
      <c r="AF266" s="79"/>
      <c r="AG266" s="79"/>
      <c r="AH266" s="79"/>
      <c r="AI266" s="79"/>
      <c r="AJ266" s="79"/>
      <c r="AK266" s="79"/>
      <c r="AL266" s="79"/>
      <c r="AM266" s="79"/>
      <c r="AN266" s="79"/>
      <c r="AO266" s="79">
        <v>9.8948809999999998</v>
      </c>
      <c r="AP266" s="79">
        <v>0.50396600000000003</v>
      </c>
      <c r="AQ266" s="79"/>
      <c r="AR266" s="79"/>
      <c r="AS266" s="79">
        <v>0.78637699999999999</v>
      </c>
      <c r="AT266" s="79">
        <v>1.478413</v>
      </c>
      <c r="AU266" s="79">
        <v>1.0600080000000001</v>
      </c>
      <c r="AV266" s="79">
        <v>0.25529099999999999</v>
      </c>
      <c r="AW266" s="79">
        <v>1.8</v>
      </c>
      <c r="AX266" s="79">
        <v>2.6178720000000002</v>
      </c>
      <c r="AY266" s="79">
        <v>2.1752449999999999</v>
      </c>
      <c r="AZ266">
        <v>0.59127200000000002</v>
      </c>
    </row>
    <row r="267" spans="1:52" x14ac:dyDescent="0.2">
      <c r="A267" t="s">
        <v>812</v>
      </c>
      <c r="B267" s="1">
        <v>15008</v>
      </c>
      <c r="C267" s="78">
        <v>267</v>
      </c>
      <c r="D267" s="1"/>
      <c r="E267" s="1">
        <f t="shared" si="8"/>
        <v>15008</v>
      </c>
      <c r="F267" s="2">
        <f t="shared" si="9"/>
        <v>15008</v>
      </c>
      <c r="G267" s="78">
        <v>265</v>
      </c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  <c r="AA267" s="79"/>
      <c r="AB267" s="79"/>
      <c r="AC267" s="79"/>
      <c r="AD267" s="79"/>
      <c r="AE267" s="79"/>
      <c r="AF267" s="79"/>
      <c r="AG267" s="79"/>
      <c r="AH267" s="79"/>
      <c r="AI267" s="79"/>
      <c r="AJ267" s="79"/>
      <c r="AK267" s="79"/>
      <c r="AL267" s="79"/>
      <c r="AM267" s="79"/>
      <c r="AN267" s="79"/>
      <c r="AO267" s="79">
        <v>10.18745</v>
      </c>
      <c r="AP267" s="79">
        <v>0.35470299999999999</v>
      </c>
      <c r="AQ267" s="79"/>
      <c r="AR267" s="79"/>
      <c r="AS267" s="79">
        <v>0.69904599999999995</v>
      </c>
      <c r="AT267" s="79">
        <v>1.6423650000000001</v>
      </c>
      <c r="AU267" s="79">
        <v>0.45909699999999998</v>
      </c>
      <c r="AV267" s="79">
        <v>0.68747400000000003</v>
      </c>
      <c r="AW267" s="79">
        <v>2.1</v>
      </c>
      <c r="AX267" s="79">
        <v>1.346778</v>
      </c>
      <c r="AY267" s="79">
        <v>0.39621099999999998</v>
      </c>
      <c r="AZ267">
        <v>0.60662099999999997</v>
      </c>
    </row>
    <row r="268" spans="1:52" x14ac:dyDescent="0.2">
      <c r="A268" t="s">
        <v>813</v>
      </c>
      <c r="B268" s="1">
        <v>15036</v>
      </c>
      <c r="C268" s="78">
        <v>268</v>
      </c>
      <c r="D268" s="1"/>
      <c r="E268" s="1">
        <f t="shared" si="8"/>
        <v>15036</v>
      </c>
      <c r="F268" s="2">
        <f t="shared" si="9"/>
        <v>15036</v>
      </c>
      <c r="G268" s="78">
        <v>266</v>
      </c>
      <c r="H268" s="79"/>
      <c r="I268" s="79"/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/>
      <c r="AA268" s="79"/>
      <c r="AB268" s="79"/>
      <c r="AC268" s="79"/>
      <c r="AD268" s="79"/>
      <c r="AE268" s="79"/>
      <c r="AF268" s="79"/>
      <c r="AG268" s="79"/>
      <c r="AH268" s="79"/>
      <c r="AI268" s="79"/>
      <c r="AJ268" s="79"/>
      <c r="AK268" s="79"/>
      <c r="AL268" s="79"/>
      <c r="AM268" s="79"/>
      <c r="AN268" s="79"/>
      <c r="AO268" s="79">
        <v>10.506629999999999</v>
      </c>
      <c r="AP268" s="79">
        <v>0.22969400000000001</v>
      </c>
      <c r="AQ268" s="79"/>
      <c r="AR268" s="79"/>
      <c r="AS268" s="79">
        <v>0.17405300000000001</v>
      </c>
      <c r="AT268" s="79">
        <v>2.1633990000000001</v>
      </c>
      <c r="AU268" s="79">
        <v>1.287982</v>
      </c>
      <c r="AV268" s="79">
        <v>0.47390300000000002</v>
      </c>
      <c r="AW268" s="79">
        <v>1.6</v>
      </c>
      <c r="AX268" s="79">
        <v>0.73230300000000004</v>
      </c>
      <c r="AY268" s="79">
        <v>-0.106866</v>
      </c>
      <c r="AZ268">
        <v>-0.94705099999999998</v>
      </c>
    </row>
    <row r="269" spans="1:52" x14ac:dyDescent="0.2">
      <c r="A269" t="s">
        <v>814</v>
      </c>
      <c r="B269" s="1">
        <v>15067</v>
      </c>
      <c r="C269" s="78">
        <v>269</v>
      </c>
      <c r="D269" s="1"/>
      <c r="E269" s="1">
        <f t="shared" si="8"/>
        <v>15067</v>
      </c>
      <c r="F269" s="2">
        <f t="shared" si="9"/>
        <v>15067</v>
      </c>
      <c r="G269" s="78">
        <v>267</v>
      </c>
      <c r="H269" s="79"/>
      <c r="I269" s="79"/>
      <c r="J269" s="79"/>
      <c r="K269" s="79"/>
      <c r="L269" s="79"/>
      <c r="M269" s="79"/>
      <c r="N269" s="79"/>
      <c r="O269" s="79"/>
      <c r="P269" s="79"/>
      <c r="Q269" s="79"/>
      <c r="R269" s="79"/>
      <c r="S269" s="79"/>
      <c r="T269" s="79"/>
      <c r="U269" s="79"/>
      <c r="V269" s="79"/>
      <c r="W269" s="79"/>
      <c r="X269" s="79"/>
      <c r="Y269" s="79"/>
      <c r="Z269" s="79"/>
      <c r="AA269" s="79"/>
      <c r="AB269" s="79"/>
      <c r="AC269" s="79"/>
      <c r="AD269" s="79"/>
      <c r="AE269" s="79"/>
      <c r="AF269" s="79"/>
      <c r="AG269" s="79"/>
      <c r="AH269" s="79"/>
      <c r="AI269" s="79"/>
      <c r="AJ269" s="79"/>
      <c r="AK269" s="79"/>
      <c r="AL269" s="79"/>
      <c r="AM269" s="79"/>
      <c r="AN269" s="79"/>
      <c r="AO269" s="79">
        <v>10.533239999999999</v>
      </c>
      <c r="AP269" s="79">
        <v>0.47331600000000001</v>
      </c>
      <c r="AQ269" s="79"/>
      <c r="AR269" s="79"/>
      <c r="AS269" s="79">
        <v>0.73952099999999998</v>
      </c>
      <c r="AT269" s="79">
        <v>1.1721619999999999</v>
      </c>
      <c r="AU269" s="79">
        <v>-0.39010400000000001</v>
      </c>
      <c r="AV269" s="79">
        <v>0.38609700000000002</v>
      </c>
      <c r="AW269" s="79">
        <v>1.8</v>
      </c>
      <c r="AX269" s="79">
        <v>2.6644199999999998</v>
      </c>
      <c r="AY269" s="79">
        <v>0.71516999999999997</v>
      </c>
      <c r="AZ269">
        <v>-1.5097160000000001</v>
      </c>
    </row>
    <row r="270" spans="1:52" x14ac:dyDescent="0.2">
      <c r="A270" t="s">
        <v>815</v>
      </c>
      <c r="B270" s="1">
        <v>15097</v>
      </c>
      <c r="C270" s="78">
        <v>270</v>
      </c>
      <c r="D270" s="1"/>
      <c r="E270" s="1">
        <f t="shared" si="8"/>
        <v>15097</v>
      </c>
      <c r="F270" s="2">
        <f t="shared" si="9"/>
        <v>15097</v>
      </c>
      <c r="G270" s="78">
        <v>268</v>
      </c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  <c r="AA270" s="79"/>
      <c r="AB270" s="79"/>
      <c r="AC270" s="79"/>
      <c r="AD270" s="79"/>
      <c r="AE270" s="79"/>
      <c r="AF270" s="79"/>
      <c r="AG270" s="79"/>
      <c r="AH270" s="79"/>
      <c r="AI270" s="79"/>
      <c r="AJ270" s="79"/>
      <c r="AK270" s="79"/>
      <c r="AL270" s="79"/>
      <c r="AM270" s="79"/>
      <c r="AN270" s="79"/>
      <c r="AO270" s="79">
        <v>11.01205</v>
      </c>
      <c r="AP270" s="79">
        <v>0.196961</v>
      </c>
      <c r="AQ270" s="79"/>
      <c r="AR270" s="79"/>
      <c r="AS270" s="79">
        <v>0.60089499999999996</v>
      </c>
      <c r="AT270" s="79">
        <v>2.25766</v>
      </c>
      <c r="AU270" s="79">
        <v>0.244204</v>
      </c>
      <c r="AV270" s="79">
        <v>0.26533099999999998</v>
      </c>
      <c r="AW270" s="79">
        <v>1.8</v>
      </c>
      <c r="AX270" s="79">
        <v>-1.549806</v>
      </c>
      <c r="AY270" s="79">
        <v>-1.3846799999999999</v>
      </c>
      <c r="AZ270">
        <v>-0.63941499999999996</v>
      </c>
    </row>
    <row r="271" spans="1:52" x14ac:dyDescent="0.2">
      <c r="A271" t="s">
        <v>816</v>
      </c>
      <c r="B271" s="1">
        <v>15128</v>
      </c>
      <c r="C271" s="78">
        <v>271</v>
      </c>
      <c r="D271" s="1"/>
      <c r="E271" s="1">
        <f t="shared" si="8"/>
        <v>15128</v>
      </c>
      <c r="F271" s="2">
        <f t="shared" si="9"/>
        <v>15128</v>
      </c>
      <c r="G271" s="78">
        <v>269</v>
      </c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  <c r="AA271" s="79"/>
      <c r="AB271" s="79"/>
      <c r="AC271" s="79"/>
      <c r="AD271" s="79"/>
      <c r="AE271" s="79"/>
      <c r="AF271" s="79"/>
      <c r="AG271" s="79"/>
      <c r="AH271" s="79"/>
      <c r="AI271" s="79"/>
      <c r="AJ271" s="79"/>
      <c r="AK271" s="79"/>
      <c r="AL271" s="79"/>
      <c r="AM271" s="79"/>
      <c r="AN271" s="79"/>
      <c r="AO271" s="79">
        <v>11.09187</v>
      </c>
      <c r="AP271" s="79">
        <v>0.40272000000000002</v>
      </c>
      <c r="AQ271" s="79"/>
      <c r="AR271" s="79"/>
      <c r="AS271" s="79">
        <v>0.78321200000000002</v>
      </c>
      <c r="AT271" s="79">
        <v>1.8509439999999999</v>
      </c>
      <c r="AU271" s="79">
        <v>0.63747399999999999</v>
      </c>
      <c r="AV271" s="79">
        <v>-0.55189500000000002</v>
      </c>
      <c r="AW271" s="79">
        <v>1.8</v>
      </c>
      <c r="AX271" s="79">
        <v>2.3568370000000001</v>
      </c>
      <c r="AY271" s="79">
        <v>0.18439800000000001</v>
      </c>
      <c r="AZ271">
        <v>-0.78907700000000003</v>
      </c>
    </row>
    <row r="272" spans="1:52" x14ac:dyDescent="0.2">
      <c r="A272" t="s">
        <v>817</v>
      </c>
      <c r="B272" s="1">
        <v>15158</v>
      </c>
      <c r="C272" s="78">
        <v>272</v>
      </c>
      <c r="D272" s="1"/>
      <c r="E272" s="1">
        <f t="shared" si="8"/>
        <v>15158</v>
      </c>
      <c r="F272" s="2">
        <f t="shared" si="9"/>
        <v>15158</v>
      </c>
      <c r="G272" s="78">
        <v>270</v>
      </c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  <c r="AA272" s="79"/>
      <c r="AB272" s="79"/>
      <c r="AC272" s="79"/>
      <c r="AD272" s="79"/>
      <c r="AE272" s="79"/>
      <c r="AF272" s="79"/>
      <c r="AG272" s="79"/>
      <c r="AH272" s="79"/>
      <c r="AI272" s="79"/>
      <c r="AJ272" s="79"/>
      <c r="AK272" s="79"/>
      <c r="AL272" s="79"/>
      <c r="AM272" s="79"/>
      <c r="AN272" s="79"/>
      <c r="AO272" s="79">
        <v>11.2249</v>
      </c>
      <c r="AP272" s="79">
        <v>0.47856500000000002</v>
      </c>
      <c r="AQ272" s="79"/>
      <c r="AR272" s="79"/>
      <c r="AS272" s="79">
        <v>0.81407300000000005</v>
      </c>
      <c r="AT272" s="79">
        <v>1.511692</v>
      </c>
      <c r="AU272" s="79">
        <v>1.086025</v>
      </c>
      <c r="AV272" s="79">
        <v>-0.34673900000000002</v>
      </c>
      <c r="AW272" s="79">
        <v>1.7</v>
      </c>
      <c r="AX272" s="79">
        <v>1.494893</v>
      </c>
      <c r="AY272" s="79">
        <v>0.37363499999999999</v>
      </c>
      <c r="AZ272">
        <v>0.47013199999999999</v>
      </c>
    </row>
    <row r="273" spans="1:52" x14ac:dyDescent="0.2">
      <c r="A273" t="s">
        <v>818</v>
      </c>
      <c r="B273" s="1">
        <v>15189</v>
      </c>
      <c r="C273" s="78">
        <v>273</v>
      </c>
      <c r="D273" s="1"/>
      <c r="E273" s="1">
        <f t="shared" si="8"/>
        <v>15189</v>
      </c>
      <c r="F273" s="2">
        <f t="shared" si="9"/>
        <v>15189</v>
      </c>
      <c r="G273" s="78">
        <v>271</v>
      </c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  <c r="AA273" s="79"/>
      <c r="AB273" s="79"/>
      <c r="AC273" s="79"/>
      <c r="AD273" s="79"/>
      <c r="AE273" s="79"/>
      <c r="AF273" s="79"/>
      <c r="AG273" s="79"/>
      <c r="AH273" s="79"/>
      <c r="AI273" s="79"/>
      <c r="AJ273" s="79"/>
      <c r="AK273" s="79"/>
      <c r="AL273" s="79"/>
      <c r="AM273" s="79"/>
      <c r="AN273" s="79"/>
      <c r="AO273" s="79">
        <v>11.35783</v>
      </c>
      <c r="AP273" s="79">
        <v>0.72725799999999996</v>
      </c>
      <c r="AQ273" s="79"/>
      <c r="AR273" s="79"/>
      <c r="AS273" s="79">
        <v>-0.31773800000000002</v>
      </c>
      <c r="AT273" s="79">
        <v>1.772913</v>
      </c>
      <c r="AU273" s="79">
        <v>0.430871</v>
      </c>
      <c r="AV273" s="79">
        <v>-1.189103</v>
      </c>
      <c r="AW273" s="79">
        <v>1.7</v>
      </c>
      <c r="AX273" s="79">
        <v>1.9680169999999999</v>
      </c>
      <c r="AY273" s="79">
        <v>-0.90687300000000004</v>
      </c>
      <c r="AZ273">
        <v>1.47343</v>
      </c>
    </row>
    <row r="274" spans="1:52" x14ac:dyDescent="0.2">
      <c r="A274" t="s">
        <v>819</v>
      </c>
      <c r="B274" s="1">
        <v>15220</v>
      </c>
      <c r="C274" s="78">
        <v>274</v>
      </c>
      <c r="D274" s="1"/>
      <c r="E274" s="1">
        <f t="shared" si="8"/>
        <v>15220</v>
      </c>
      <c r="F274" s="2">
        <f t="shared" si="9"/>
        <v>15220</v>
      </c>
      <c r="G274" s="78">
        <v>272</v>
      </c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9"/>
      <c r="X274" s="79"/>
      <c r="Y274" s="79"/>
      <c r="Z274" s="79"/>
      <c r="AA274" s="79"/>
      <c r="AB274" s="79"/>
      <c r="AC274" s="79"/>
      <c r="AD274" s="79"/>
      <c r="AE274" s="79"/>
      <c r="AF274" s="79"/>
      <c r="AG274" s="79"/>
      <c r="AH274" s="79"/>
      <c r="AI274" s="79"/>
      <c r="AJ274" s="79"/>
      <c r="AK274" s="79"/>
      <c r="AL274" s="79"/>
      <c r="AM274" s="79"/>
      <c r="AN274" s="79"/>
      <c r="AO274" s="79">
        <v>11.35783</v>
      </c>
      <c r="AP274" s="79">
        <v>0.41881800000000002</v>
      </c>
      <c r="AQ274" s="79"/>
      <c r="AR274" s="79"/>
      <c r="AS274" s="79">
        <v>2.7512999999999999E-2</v>
      </c>
      <c r="AT274" s="79">
        <v>2.2849050000000002</v>
      </c>
      <c r="AU274" s="79">
        <v>-0.52217400000000003</v>
      </c>
      <c r="AV274" s="79">
        <v>-0.91502399999999995</v>
      </c>
      <c r="AW274" s="79">
        <v>1.8</v>
      </c>
      <c r="AX274" s="79">
        <v>1.4543280000000001</v>
      </c>
      <c r="AY274" s="79">
        <v>-2.3154599999999999</v>
      </c>
      <c r="AZ274">
        <v>2.3655029999999999</v>
      </c>
    </row>
    <row r="275" spans="1:52" x14ac:dyDescent="0.2">
      <c r="A275" t="s">
        <v>820</v>
      </c>
      <c r="B275" s="1">
        <v>15250</v>
      </c>
      <c r="C275" s="78">
        <v>275</v>
      </c>
      <c r="D275" s="1"/>
      <c r="E275" s="1">
        <f t="shared" si="8"/>
        <v>15250</v>
      </c>
      <c r="F275" s="2">
        <f t="shared" si="9"/>
        <v>15250</v>
      </c>
      <c r="G275" s="78">
        <v>273</v>
      </c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9"/>
      <c r="X275" s="79"/>
      <c r="Y275" s="79"/>
      <c r="Z275" s="79"/>
      <c r="AA275" s="79"/>
      <c r="AB275" s="79"/>
      <c r="AC275" s="79"/>
      <c r="AD275" s="79"/>
      <c r="AE275" s="79"/>
      <c r="AF275" s="79"/>
      <c r="AG275" s="79"/>
      <c r="AH275" s="79"/>
      <c r="AI275" s="79"/>
      <c r="AJ275" s="79"/>
      <c r="AK275" s="79"/>
      <c r="AL275" s="79"/>
      <c r="AM275" s="79"/>
      <c r="AN275" s="79"/>
      <c r="AO275" s="79">
        <v>11.464259999999999</v>
      </c>
      <c r="AP275" s="79">
        <v>0.37406600000000001</v>
      </c>
      <c r="AQ275" s="79"/>
      <c r="AR275" s="79"/>
      <c r="AS275" s="79">
        <v>0.63140700000000005</v>
      </c>
      <c r="AT275" s="79">
        <v>2.0919189999999999</v>
      </c>
      <c r="AU275" s="79">
        <v>5.5541E-2</v>
      </c>
      <c r="AV275" s="79">
        <v>-6.3603000000000007E-2</v>
      </c>
      <c r="AW275" s="79">
        <v>1.7</v>
      </c>
      <c r="AX275" s="79">
        <v>1.2173309999999999</v>
      </c>
      <c r="AY275" s="79">
        <v>-1.498764</v>
      </c>
      <c r="AZ275">
        <v>-3.4886E-2</v>
      </c>
    </row>
    <row r="276" spans="1:52" x14ac:dyDescent="0.2">
      <c r="A276" t="s">
        <v>821</v>
      </c>
      <c r="B276" s="1">
        <v>15281</v>
      </c>
      <c r="C276" s="78">
        <v>276</v>
      </c>
      <c r="D276" s="1"/>
      <c r="E276" s="1">
        <f t="shared" si="8"/>
        <v>15281</v>
      </c>
      <c r="F276" s="2">
        <f t="shared" si="9"/>
        <v>15281</v>
      </c>
      <c r="G276" s="78">
        <v>274</v>
      </c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  <c r="AA276" s="79"/>
      <c r="AB276" s="79"/>
      <c r="AC276" s="79"/>
      <c r="AD276" s="79"/>
      <c r="AE276" s="79"/>
      <c r="AF276" s="79"/>
      <c r="AG276" s="79"/>
      <c r="AH276" s="79"/>
      <c r="AI276" s="79"/>
      <c r="AJ276" s="79"/>
      <c r="AK276" s="79"/>
      <c r="AL276" s="79"/>
      <c r="AM276" s="79"/>
      <c r="AN276" s="79"/>
      <c r="AO276" s="79">
        <v>11.517469999999999</v>
      </c>
      <c r="AP276" s="79">
        <v>0.478352</v>
      </c>
      <c r="AQ276" s="79"/>
      <c r="AR276" s="79"/>
      <c r="AS276" s="79">
        <v>0.37902599999999997</v>
      </c>
      <c r="AT276" s="79">
        <v>1.8262609999999999</v>
      </c>
      <c r="AU276" s="79">
        <v>8.0881999999999996E-2</v>
      </c>
      <c r="AV276" s="79">
        <v>-0.38760800000000001</v>
      </c>
      <c r="AW276" s="79">
        <v>1.5</v>
      </c>
      <c r="AX276" s="79">
        <v>0.89080400000000004</v>
      </c>
      <c r="AY276" s="79">
        <v>-0.92578300000000002</v>
      </c>
      <c r="AZ276">
        <v>-1.203864</v>
      </c>
    </row>
    <row r="277" spans="1:52" x14ac:dyDescent="0.2">
      <c r="A277" t="s">
        <v>822</v>
      </c>
      <c r="B277" s="1">
        <v>15311</v>
      </c>
      <c r="C277" s="78">
        <v>277</v>
      </c>
      <c r="D277" s="1"/>
      <c r="E277" s="1">
        <f t="shared" si="8"/>
        <v>15311</v>
      </c>
      <c r="F277" s="2">
        <f t="shared" si="9"/>
        <v>15311</v>
      </c>
      <c r="G277" s="78">
        <v>275</v>
      </c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79"/>
      <c r="W277" s="79"/>
      <c r="X277" s="79"/>
      <c r="Y277" s="79"/>
      <c r="Z277" s="79"/>
      <c r="AA277" s="79"/>
      <c r="AB277" s="79"/>
      <c r="AC277" s="79"/>
      <c r="AD277" s="79"/>
      <c r="AE277" s="79"/>
      <c r="AF277" s="79"/>
      <c r="AG277" s="79"/>
      <c r="AH277" s="79"/>
      <c r="AI277" s="79"/>
      <c r="AJ277" s="79"/>
      <c r="AK277" s="79"/>
      <c r="AL277" s="79"/>
      <c r="AM277" s="79"/>
      <c r="AN277" s="79"/>
      <c r="AO277" s="79">
        <v>11.703620000000001</v>
      </c>
      <c r="AP277" s="79">
        <v>0.69231200000000004</v>
      </c>
      <c r="AQ277" s="79"/>
      <c r="AR277" s="79"/>
      <c r="AS277" s="79">
        <v>0.57474099999999995</v>
      </c>
      <c r="AT277" s="79">
        <v>2.3746450000000001</v>
      </c>
      <c r="AU277" s="79">
        <v>-0.20319899999999999</v>
      </c>
      <c r="AV277" s="79">
        <v>5.2004000000000002E-2</v>
      </c>
      <c r="AW277" s="79">
        <v>1.4</v>
      </c>
      <c r="AX277" s="79">
        <v>0.68060100000000001</v>
      </c>
      <c r="AY277" s="79">
        <v>-0.88670899999999997</v>
      </c>
      <c r="AZ277">
        <v>-0.74516099999999996</v>
      </c>
    </row>
    <row r="278" spans="1:52" x14ac:dyDescent="0.2">
      <c r="A278" t="s">
        <v>823</v>
      </c>
      <c r="B278" s="1">
        <v>15342</v>
      </c>
      <c r="C278" s="78">
        <v>278</v>
      </c>
      <c r="D278" s="1"/>
      <c r="E278" s="1">
        <f t="shared" si="8"/>
        <v>15342</v>
      </c>
      <c r="F278" s="2">
        <f t="shared" si="9"/>
        <v>15342</v>
      </c>
      <c r="G278" s="78">
        <v>276</v>
      </c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79"/>
      <c r="W278" s="79"/>
      <c r="X278" s="79"/>
      <c r="Y278" s="79"/>
      <c r="Z278" s="79"/>
      <c r="AA278" s="79"/>
      <c r="AB278" s="79"/>
      <c r="AC278" s="79"/>
      <c r="AD278" s="79"/>
      <c r="AE278" s="79"/>
      <c r="AF278" s="79"/>
      <c r="AG278" s="79"/>
      <c r="AH278" s="79"/>
      <c r="AI278" s="79"/>
      <c r="AJ278" s="79"/>
      <c r="AK278" s="79"/>
      <c r="AL278" s="79"/>
      <c r="AM278" s="79"/>
      <c r="AN278" s="79"/>
      <c r="AO278" s="79">
        <v>11.943070000000001</v>
      </c>
      <c r="AP278" s="79">
        <v>0.28004899999999999</v>
      </c>
      <c r="AQ278" s="79"/>
      <c r="AR278" s="79"/>
      <c r="AS278" s="79">
        <v>0.31068200000000001</v>
      </c>
      <c r="AT278" s="79">
        <v>1.575107</v>
      </c>
      <c r="AU278" s="79">
        <v>0.88730900000000001</v>
      </c>
      <c r="AV278" s="79">
        <v>-0.32725599999999999</v>
      </c>
      <c r="AW278" s="79">
        <v>1.9</v>
      </c>
      <c r="AX278" s="79">
        <v>1.3919379999999999</v>
      </c>
      <c r="AY278" s="79">
        <v>-0.120794</v>
      </c>
      <c r="AZ278">
        <v>-1.309288</v>
      </c>
    </row>
    <row r="279" spans="1:52" x14ac:dyDescent="0.2">
      <c r="A279" t="s">
        <v>824</v>
      </c>
      <c r="B279" s="1">
        <v>15373</v>
      </c>
      <c r="C279" s="78">
        <v>279</v>
      </c>
      <c r="D279" s="1"/>
      <c r="E279" s="1">
        <f t="shared" si="8"/>
        <v>15373</v>
      </c>
      <c r="F279" s="2">
        <f t="shared" si="9"/>
        <v>15373</v>
      </c>
      <c r="G279" s="78">
        <v>277</v>
      </c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  <c r="AD279" s="79"/>
      <c r="AE279" s="79"/>
      <c r="AF279" s="79"/>
      <c r="AG279" s="79"/>
      <c r="AH279" s="79"/>
      <c r="AI279" s="79"/>
      <c r="AJ279" s="79"/>
      <c r="AK279" s="79"/>
      <c r="AL279" s="79"/>
      <c r="AM279" s="79"/>
      <c r="AN279" s="79"/>
      <c r="AO279" s="79">
        <v>12.15582</v>
      </c>
      <c r="AP279" s="79">
        <v>0.339397</v>
      </c>
      <c r="AQ279" s="79"/>
      <c r="AR279" s="79"/>
      <c r="AS279" s="79">
        <v>0.39857100000000001</v>
      </c>
      <c r="AT279" s="79">
        <v>1.485708</v>
      </c>
      <c r="AU279" s="79">
        <v>0.244169</v>
      </c>
      <c r="AV279" s="79">
        <v>6.4782999999999993E-2</v>
      </c>
      <c r="AW279" s="79">
        <v>1.7</v>
      </c>
      <c r="AX279" s="79">
        <v>-2.5773869999999999</v>
      </c>
      <c r="AY279" s="79">
        <v>-0.79843900000000001</v>
      </c>
      <c r="AZ279">
        <v>0.14916499999999999</v>
      </c>
    </row>
    <row r="280" spans="1:52" x14ac:dyDescent="0.2">
      <c r="A280" t="s">
        <v>825</v>
      </c>
      <c r="B280" s="1">
        <v>15401</v>
      </c>
      <c r="C280" s="78">
        <v>280</v>
      </c>
      <c r="D280" s="1"/>
      <c r="E280" s="1">
        <f t="shared" si="8"/>
        <v>15401</v>
      </c>
      <c r="F280" s="2">
        <f t="shared" si="9"/>
        <v>15401</v>
      </c>
      <c r="G280" s="78">
        <v>278</v>
      </c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  <c r="AD280" s="79"/>
      <c r="AE280" s="79"/>
      <c r="AF280" s="79"/>
      <c r="AG280" s="79"/>
      <c r="AH280" s="79"/>
      <c r="AI280" s="79"/>
      <c r="AJ280" s="79"/>
      <c r="AK280" s="79"/>
      <c r="AL280" s="79"/>
      <c r="AM280" s="79"/>
      <c r="AN280" s="79"/>
      <c r="AO280" s="79">
        <v>12.28885</v>
      </c>
      <c r="AP280" s="79">
        <v>0.76308900000000002</v>
      </c>
      <c r="AQ280" s="79"/>
      <c r="AR280" s="79"/>
      <c r="AS280" s="79">
        <v>-0.138319</v>
      </c>
      <c r="AT280" s="79">
        <v>1.3832800000000001</v>
      </c>
      <c r="AU280" s="79">
        <v>9.6876000000000004E-2</v>
      </c>
      <c r="AV280" s="79">
        <v>0.81654499999999997</v>
      </c>
      <c r="AW280" s="79">
        <v>1.6</v>
      </c>
      <c r="AX280" s="79">
        <v>4.6010929999999997</v>
      </c>
      <c r="AY280" s="79">
        <v>-0.26941599999999999</v>
      </c>
      <c r="AZ280">
        <v>0.67073899999999997</v>
      </c>
    </row>
    <row r="281" spans="1:52" x14ac:dyDescent="0.2">
      <c r="A281" t="s">
        <v>826</v>
      </c>
      <c r="B281" s="1">
        <v>15432</v>
      </c>
      <c r="C281" s="78">
        <v>281</v>
      </c>
      <c r="D281" s="1"/>
      <c r="E281" s="1">
        <f t="shared" si="8"/>
        <v>15432</v>
      </c>
      <c r="F281" s="2">
        <f t="shared" si="9"/>
        <v>15432</v>
      </c>
      <c r="G281" s="78">
        <v>279</v>
      </c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  <c r="AD281" s="79"/>
      <c r="AE281" s="79"/>
      <c r="AF281" s="79"/>
      <c r="AG281" s="79"/>
      <c r="AH281" s="79"/>
      <c r="AI281" s="79"/>
      <c r="AJ281" s="79"/>
      <c r="AK281" s="79"/>
      <c r="AL281" s="79"/>
      <c r="AM281" s="79"/>
      <c r="AN281" s="79"/>
      <c r="AO281" s="79">
        <v>11.943070000000001</v>
      </c>
      <c r="AP281" s="79">
        <v>0.66242699999999999</v>
      </c>
      <c r="AQ281" s="79"/>
      <c r="AR281" s="79"/>
      <c r="AS281" s="79">
        <v>0.38975100000000001</v>
      </c>
      <c r="AT281" s="79">
        <v>1.3960669999999999</v>
      </c>
      <c r="AU281" s="79">
        <v>-0.118535</v>
      </c>
      <c r="AV281" s="79">
        <v>0.73407699999999998</v>
      </c>
      <c r="AW281" s="79">
        <v>1.5</v>
      </c>
      <c r="AX281" s="79">
        <v>1.795582</v>
      </c>
      <c r="AY281" s="79">
        <v>1.0463519999999999</v>
      </c>
      <c r="AZ281">
        <v>0.73945300000000003</v>
      </c>
    </row>
    <row r="282" spans="1:52" x14ac:dyDescent="0.2">
      <c r="A282" t="s">
        <v>827</v>
      </c>
      <c r="B282" s="1">
        <v>15462</v>
      </c>
      <c r="C282" s="78">
        <v>282</v>
      </c>
      <c r="D282" s="1"/>
      <c r="E282" s="1">
        <f t="shared" si="8"/>
        <v>15462</v>
      </c>
      <c r="F282" s="2">
        <f t="shared" si="9"/>
        <v>15462</v>
      </c>
      <c r="G282" s="78">
        <v>280</v>
      </c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  <c r="AD282" s="79"/>
      <c r="AE282" s="79"/>
      <c r="AF282" s="79"/>
      <c r="AG282" s="79"/>
      <c r="AH282" s="79"/>
      <c r="AI282" s="79"/>
      <c r="AJ282" s="79"/>
      <c r="AK282" s="79"/>
      <c r="AL282" s="79"/>
      <c r="AM282" s="79"/>
      <c r="AN282" s="79"/>
      <c r="AO282" s="79">
        <v>11.969580000000001</v>
      </c>
      <c r="AP282" s="79">
        <v>0.68140500000000004</v>
      </c>
      <c r="AQ282" s="79"/>
      <c r="AR282" s="79"/>
      <c r="AS282" s="79">
        <v>0.73123800000000005</v>
      </c>
      <c r="AT282" s="79">
        <v>1.4807399999999999</v>
      </c>
      <c r="AU282" s="79">
        <v>0.72147899999999998</v>
      </c>
      <c r="AV282" s="79">
        <v>0.509826</v>
      </c>
      <c r="AW282" s="79">
        <v>1.8</v>
      </c>
      <c r="AX282" s="79">
        <v>2.5302720000000001</v>
      </c>
      <c r="AY282" s="79">
        <v>0.41150100000000001</v>
      </c>
      <c r="AZ282">
        <v>1.863032</v>
      </c>
    </row>
    <row r="283" spans="1:52" x14ac:dyDescent="0.2">
      <c r="A283" t="s">
        <v>828</v>
      </c>
      <c r="B283" s="1">
        <v>15493</v>
      </c>
      <c r="C283" s="78">
        <v>283</v>
      </c>
      <c r="D283" s="1"/>
      <c r="E283" s="1">
        <f t="shared" si="8"/>
        <v>15493</v>
      </c>
      <c r="F283" s="2">
        <f t="shared" si="9"/>
        <v>15493</v>
      </c>
      <c r="G283" s="78">
        <v>281</v>
      </c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  <c r="AD283" s="79"/>
      <c r="AE283" s="79"/>
      <c r="AF283" s="79"/>
      <c r="AG283" s="79"/>
      <c r="AH283" s="79"/>
      <c r="AI283" s="79"/>
      <c r="AJ283" s="79"/>
      <c r="AK283" s="79"/>
      <c r="AL283" s="79"/>
      <c r="AM283" s="79"/>
      <c r="AN283" s="79"/>
      <c r="AO283" s="79">
        <v>11.99628</v>
      </c>
      <c r="AP283" s="79">
        <v>0.65750299999999995</v>
      </c>
      <c r="AQ283" s="79"/>
      <c r="AR283" s="79"/>
      <c r="AS283" s="79">
        <v>0.68273799999999996</v>
      </c>
      <c r="AT283" s="79">
        <v>1.9471639999999999</v>
      </c>
      <c r="AU283" s="79">
        <v>0.56303099999999995</v>
      </c>
      <c r="AV283" s="79">
        <v>0.29770600000000003</v>
      </c>
      <c r="AW283" s="79">
        <v>1.8</v>
      </c>
      <c r="AX283" s="79">
        <v>1.2957860000000001</v>
      </c>
      <c r="AY283" s="79">
        <v>0.62721099999999996</v>
      </c>
      <c r="AZ283">
        <v>0.50400599999999995</v>
      </c>
    </row>
    <row r="284" spans="1:52" x14ac:dyDescent="0.2">
      <c r="A284" t="s">
        <v>829</v>
      </c>
      <c r="B284" s="1">
        <v>15523</v>
      </c>
      <c r="C284" s="78">
        <v>284</v>
      </c>
      <c r="D284" s="1"/>
      <c r="E284" s="1">
        <f t="shared" si="8"/>
        <v>15523</v>
      </c>
      <c r="F284" s="2">
        <f t="shared" si="9"/>
        <v>15523</v>
      </c>
      <c r="G284" s="78">
        <v>282</v>
      </c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  <c r="AD284" s="79"/>
      <c r="AE284" s="79"/>
      <c r="AF284" s="79"/>
      <c r="AG284" s="79"/>
      <c r="AH284" s="79"/>
      <c r="AI284" s="79"/>
      <c r="AJ284" s="79"/>
      <c r="AK284" s="79"/>
      <c r="AL284" s="79"/>
      <c r="AM284" s="79"/>
      <c r="AN284" s="79"/>
      <c r="AO284" s="79">
        <v>12.28885</v>
      </c>
      <c r="AP284" s="79">
        <v>0.66171999999999997</v>
      </c>
      <c r="AQ284" s="79"/>
      <c r="AR284" s="79"/>
      <c r="AS284" s="79">
        <v>0.80540999999999996</v>
      </c>
      <c r="AT284" s="79">
        <v>1.9216629999999999</v>
      </c>
      <c r="AU284" s="79">
        <v>0.76217000000000001</v>
      </c>
      <c r="AV284" s="79">
        <v>0.10421900000000001</v>
      </c>
      <c r="AW284" s="79">
        <v>1.5</v>
      </c>
      <c r="AX284" s="79">
        <v>1.6265529999999999</v>
      </c>
      <c r="AY284" s="79">
        <v>4.8686E-2</v>
      </c>
      <c r="AZ284">
        <v>0.76431300000000002</v>
      </c>
    </row>
    <row r="285" spans="1:52" x14ac:dyDescent="0.2">
      <c r="A285" t="s">
        <v>830</v>
      </c>
      <c r="B285" s="1">
        <v>15554</v>
      </c>
      <c r="C285" s="78">
        <v>285</v>
      </c>
      <c r="D285" s="1"/>
      <c r="E285" s="1">
        <f t="shared" si="8"/>
        <v>15554</v>
      </c>
      <c r="F285" s="2">
        <f t="shared" si="9"/>
        <v>15554</v>
      </c>
      <c r="G285" s="78">
        <v>283</v>
      </c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  <c r="AD285" s="79"/>
      <c r="AE285" s="79"/>
      <c r="AF285" s="79"/>
      <c r="AG285" s="79"/>
      <c r="AH285" s="79"/>
      <c r="AI285" s="79"/>
      <c r="AJ285" s="79"/>
      <c r="AK285" s="79"/>
      <c r="AL285" s="79"/>
      <c r="AM285" s="79"/>
      <c r="AN285" s="79"/>
      <c r="AO285" s="79">
        <v>12.661239999999999</v>
      </c>
      <c r="AP285" s="79">
        <v>0.38589200000000001</v>
      </c>
      <c r="AQ285" s="79"/>
      <c r="AR285" s="79"/>
      <c r="AS285" s="79">
        <v>0.98545499999999997</v>
      </c>
      <c r="AT285" s="79">
        <v>1.9922679999999999</v>
      </c>
      <c r="AU285" s="79">
        <v>-0.65532500000000005</v>
      </c>
      <c r="AV285" s="79">
        <v>0.36728499999999997</v>
      </c>
      <c r="AW285" s="79">
        <v>1.5</v>
      </c>
      <c r="AX285" s="79">
        <v>1.547741</v>
      </c>
      <c r="AY285" s="79">
        <v>0.13438700000000001</v>
      </c>
      <c r="AZ285">
        <v>0.74026899999999995</v>
      </c>
    </row>
    <row r="286" spans="1:52" x14ac:dyDescent="0.2">
      <c r="A286" t="s">
        <v>831</v>
      </c>
      <c r="B286" s="1">
        <v>15585</v>
      </c>
      <c r="C286" s="78">
        <v>286</v>
      </c>
      <c r="E286" s="1">
        <f t="shared" si="8"/>
        <v>15585</v>
      </c>
      <c r="F286" s="2">
        <f t="shared" si="9"/>
        <v>15585</v>
      </c>
      <c r="G286" s="78">
        <v>284</v>
      </c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  <c r="AD286" s="79"/>
      <c r="AE286" s="79"/>
      <c r="AF286" s="79"/>
      <c r="AG286" s="79"/>
      <c r="AH286" s="79"/>
      <c r="AI286" s="79"/>
      <c r="AJ286" s="79"/>
      <c r="AK286" s="79"/>
      <c r="AL286" s="79"/>
      <c r="AM286" s="79"/>
      <c r="AN286" s="79"/>
      <c r="AO286" s="79">
        <v>12.95382</v>
      </c>
      <c r="AP286" s="79">
        <v>0.449432</v>
      </c>
      <c r="AQ286" s="79"/>
      <c r="AR286" s="79"/>
      <c r="AS286" s="79">
        <v>0.72029799999999999</v>
      </c>
      <c r="AT286" s="79">
        <v>1.949581</v>
      </c>
      <c r="AU286" s="79">
        <v>-0.17366500000000001</v>
      </c>
      <c r="AV286" s="79">
        <v>0.924794</v>
      </c>
      <c r="AW286" s="79">
        <v>1.7</v>
      </c>
      <c r="AX286" s="79">
        <v>0.934697</v>
      </c>
      <c r="AY286" s="79">
        <v>0.166024</v>
      </c>
      <c r="AZ286">
        <v>-4.0314560000000004</v>
      </c>
    </row>
    <row r="287" spans="1:52" x14ac:dyDescent="0.2">
      <c r="A287" t="s">
        <v>832</v>
      </c>
      <c r="B287" s="1">
        <v>15615</v>
      </c>
      <c r="C287" s="78">
        <v>287</v>
      </c>
      <c r="E287" s="1">
        <f t="shared" si="8"/>
        <v>15615</v>
      </c>
      <c r="F287" s="2">
        <f t="shared" si="9"/>
        <v>15615</v>
      </c>
      <c r="G287" s="78">
        <v>285</v>
      </c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  <c r="AD287" s="79"/>
      <c r="AE287" s="79"/>
      <c r="AF287" s="79"/>
      <c r="AG287" s="79"/>
      <c r="AH287" s="79"/>
      <c r="AI287" s="79"/>
      <c r="AJ287" s="79"/>
      <c r="AK287" s="79"/>
      <c r="AL287" s="79"/>
      <c r="AM287" s="79"/>
      <c r="AN287" s="79"/>
      <c r="AO287" s="79">
        <v>13.37942</v>
      </c>
      <c r="AP287" s="79"/>
      <c r="AQ287" s="79"/>
      <c r="AR287" s="79"/>
      <c r="AS287" s="79"/>
      <c r="AT287" s="79"/>
      <c r="AU287" s="79"/>
      <c r="AV287" s="79"/>
      <c r="AW287" s="79">
        <v>1.6</v>
      </c>
      <c r="AX287" s="79"/>
      <c r="AY287" s="79"/>
    </row>
    <row r="288" spans="1:52" x14ac:dyDescent="0.2">
      <c r="A288" t="s">
        <v>833</v>
      </c>
      <c r="B288" s="1">
        <v>15646</v>
      </c>
      <c r="C288" s="78">
        <v>288</v>
      </c>
      <c r="E288" s="1">
        <f t="shared" si="8"/>
        <v>15646</v>
      </c>
      <c r="F288" s="2">
        <f t="shared" si="9"/>
        <v>15646</v>
      </c>
      <c r="G288" s="78">
        <v>286</v>
      </c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  <c r="AD288" s="79"/>
      <c r="AE288" s="79"/>
      <c r="AF288" s="79"/>
      <c r="AG288" s="79"/>
      <c r="AH288" s="79"/>
      <c r="AI288" s="79"/>
      <c r="AJ288" s="79"/>
      <c r="AK288" s="79"/>
      <c r="AL288" s="79"/>
      <c r="AM288" s="79"/>
      <c r="AN288" s="79"/>
      <c r="AO288" s="79">
        <v>13.698600000000001</v>
      </c>
      <c r="AP288" s="79"/>
      <c r="AQ288" s="79"/>
      <c r="AR288" s="79"/>
      <c r="AS288" s="79"/>
      <c r="AT288" s="79"/>
      <c r="AU288" s="79"/>
      <c r="AV288" s="79"/>
      <c r="AW288" s="79"/>
      <c r="AX288" s="79"/>
      <c r="AY288" s="79"/>
    </row>
    <row r="289" spans="1:51" x14ac:dyDescent="0.2">
      <c r="A289" t="s">
        <v>834</v>
      </c>
      <c r="B289" s="1">
        <v>15676</v>
      </c>
      <c r="C289" s="78">
        <v>289</v>
      </c>
      <c r="E289" s="1">
        <f t="shared" si="8"/>
        <v>15676</v>
      </c>
      <c r="F289" s="2">
        <f t="shared" si="9"/>
        <v>15676</v>
      </c>
      <c r="G289" s="78">
        <v>287</v>
      </c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  <c r="AD289" s="79"/>
      <c r="AE289" s="79"/>
      <c r="AF289" s="79"/>
      <c r="AG289" s="79"/>
      <c r="AH289" s="79"/>
      <c r="AI289" s="79"/>
      <c r="AJ289" s="79"/>
      <c r="AK289" s="79"/>
      <c r="AL289" s="79"/>
      <c r="AM289" s="79"/>
      <c r="AN289" s="79"/>
      <c r="AO289" s="79">
        <v>14.017770000000001</v>
      </c>
      <c r="AP289" s="79"/>
      <c r="AQ289" s="79"/>
      <c r="AR289" s="79"/>
      <c r="AS289" s="79"/>
      <c r="AT289" s="79"/>
      <c r="AU289" s="79"/>
      <c r="AV289" s="79"/>
      <c r="AW289" s="79"/>
      <c r="AX289" s="79"/>
      <c r="AY289" s="79"/>
    </row>
    <row r="290" spans="1:51" x14ac:dyDescent="0.2">
      <c r="A290" t="s">
        <v>835</v>
      </c>
      <c r="B290" s="1">
        <v>15707</v>
      </c>
      <c r="C290" s="78">
        <v>290</v>
      </c>
      <c r="E290" s="1">
        <f t="shared" si="8"/>
        <v>15707</v>
      </c>
      <c r="F290" s="2">
        <f t="shared" si="9"/>
        <v>15707</v>
      </c>
      <c r="G290" s="78">
        <v>288</v>
      </c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  <c r="AD290" s="79"/>
      <c r="AE290" s="79"/>
      <c r="AF290" s="79"/>
      <c r="AG290" s="79"/>
      <c r="AH290" s="79"/>
      <c r="AI290" s="79"/>
      <c r="AJ290" s="79"/>
      <c r="AK290" s="79"/>
      <c r="AL290" s="79"/>
      <c r="AM290" s="79"/>
      <c r="AN290" s="79"/>
      <c r="AO290" s="79">
        <v>14.1508</v>
      </c>
      <c r="AP290" s="79"/>
      <c r="AQ290" s="79"/>
      <c r="AR290" s="79"/>
      <c r="AS290" s="79"/>
      <c r="AT290" s="79"/>
      <c r="AU290" s="79"/>
      <c r="AV290" s="79"/>
      <c r="AW290" s="79"/>
      <c r="AX290" s="79"/>
      <c r="AY290" s="79"/>
    </row>
    <row r="291" spans="1:51" x14ac:dyDescent="0.2">
      <c r="A291" t="s">
        <v>836</v>
      </c>
      <c r="B291" s="1">
        <v>15738</v>
      </c>
      <c r="C291" s="78">
        <v>291</v>
      </c>
      <c r="E291" s="1">
        <f t="shared" si="8"/>
        <v>15738</v>
      </c>
      <c r="F291" s="2">
        <f t="shared" si="9"/>
        <v>15738</v>
      </c>
      <c r="G291" s="78">
        <v>289</v>
      </c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  <c r="AD291" s="79"/>
      <c r="AE291" s="79"/>
      <c r="AF291" s="79"/>
      <c r="AG291" s="79"/>
      <c r="AH291" s="79"/>
      <c r="AI291" s="79"/>
      <c r="AJ291" s="79"/>
      <c r="AK291" s="79"/>
      <c r="AL291" s="79"/>
      <c r="AM291" s="79"/>
      <c r="AN291" s="79"/>
      <c r="AO291" s="79">
        <v>14.52319</v>
      </c>
      <c r="AP291" s="79"/>
      <c r="AQ291" s="79"/>
      <c r="AR291" s="79"/>
      <c r="AS291" s="79"/>
      <c r="AT291" s="79"/>
      <c r="AU291" s="79"/>
      <c r="AV291" s="79"/>
      <c r="AW291" s="79"/>
      <c r="AX291" s="79"/>
      <c r="AY291" s="79"/>
    </row>
    <row r="292" spans="1:51" x14ac:dyDescent="0.2">
      <c r="A292" t="s">
        <v>837</v>
      </c>
      <c r="B292" s="1">
        <v>15766</v>
      </c>
      <c r="C292" s="78">
        <v>292</v>
      </c>
      <c r="E292" s="1">
        <f t="shared" si="8"/>
        <v>15766</v>
      </c>
      <c r="F292" s="2">
        <f t="shared" si="9"/>
        <v>15766</v>
      </c>
      <c r="G292" s="78">
        <v>290</v>
      </c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  <c r="AD292" s="79"/>
      <c r="AE292" s="79"/>
      <c r="AF292" s="79"/>
      <c r="AG292" s="79"/>
      <c r="AH292" s="79"/>
      <c r="AI292" s="79"/>
      <c r="AJ292" s="79"/>
      <c r="AK292" s="79"/>
      <c r="AL292" s="79"/>
      <c r="AM292" s="79"/>
      <c r="AN292" s="79"/>
      <c r="AO292" s="79">
        <v>14.629519999999999</v>
      </c>
      <c r="AP292" s="79"/>
      <c r="AQ292" s="79"/>
      <c r="AR292" s="79"/>
      <c r="AS292" s="79"/>
      <c r="AT292" s="79"/>
      <c r="AU292" s="79"/>
      <c r="AV292" s="79"/>
      <c r="AW292" s="79"/>
      <c r="AX292" s="79"/>
      <c r="AY292" s="79"/>
    </row>
    <row r="293" spans="1:51" x14ac:dyDescent="0.2">
      <c r="A293" t="s">
        <v>838</v>
      </c>
      <c r="B293" s="1">
        <v>15797</v>
      </c>
      <c r="C293" s="78">
        <v>293</v>
      </c>
      <c r="E293" s="1">
        <f t="shared" si="8"/>
        <v>15797</v>
      </c>
      <c r="F293" s="2">
        <f t="shared" si="9"/>
        <v>15797</v>
      </c>
      <c r="G293" s="78">
        <v>291</v>
      </c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79"/>
      <c r="AG293" s="79"/>
      <c r="AH293" s="79"/>
      <c r="AI293" s="79"/>
      <c r="AJ293" s="79"/>
      <c r="AK293" s="79"/>
      <c r="AL293" s="79"/>
      <c r="AM293" s="79"/>
      <c r="AN293" s="79"/>
      <c r="AO293" s="79">
        <v>14.815759999999999</v>
      </c>
      <c r="AP293" s="79"/>
      <c r="AQ293" s="79"/>
      <c r="AR293" s="79"/>
      <c r="AS293" s="79"/>
      <c r="AT293" s="79"/>
      <c r="AU293" s="79"/>
      <c r="AV293" s="79"/>
      <c r="AW293" s="79"/>
      <c r="AX293" s="79"/>
      <c r="AY293" s="79"/>
    </row>
    <row r="294" spans="1:51" x14ac:dyDescent="0.2">
      <c r="A294" t="s">
        <v>839</v>
      </c>
      <c r="B294" s="1">
        <v>15827</v>
      </c>
      <c r="C294" s="78">
        <v>294</v>
      </c>
      <c r="E294" s="1">
        <f t="shared" si="8"/>
        <v>15827</v>
      </c>
      <c r="F294" s="2">
        <f t="shared" si="9"/>
        <v>15827</v>
      </c>
      <c r="G294" s="78">
        <v>292</v>
      </c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  <c r="AD294" s="79"/>
      <c r="AE294" s="79"/>
      <c r="AF294" s="79"/>
      <c r="AG294" s="79"/>
      <c r="AH294" s="79"/>
      <c r="AI294" s="79"/>
      <c r="AJ294" s="79"/>
      <c r="AK294" s="79"/>
      <c r="AL294" s="79"/>
      <c r="AM294" s="79"/>
      <c r="AN294" s="79"/>
      <c r="AO294" s="79">
        <v>14.922090000000001</v>
      </c>
      <c r="AP294" s="79"/>
      <c r="AQ294" s="79"/>
      <c r="AR294" s="79"/>
      <c r="AS294" s="79"/>
      <c r="AT294" s="79"/>
      <c r="AU294" s="79"/>
      <c r="AV294" s="79"/>
      <c r="AW294" s="79"/>
      <c r="AX294" s="79"/>
      <c r="AY294" s="79"/>
    </row>
    <row r="295" spans="1:51" x14ac:dyDescent="0.2">
      <c r="A295" t="s">
        <v>840</v>
      </c>
      <c r="B295" s="1">
        <v>15858</v>
      </c>
      <c r="C295" s="78">
        <v>295</v>
      </c>
      <c r="E295" s="1">
        <f t="shared" si="8"/>
        <v>15858</v>
      </c>
      <c r="F295" s="2">
        <f t="shared" si="9"/>
        <v>15858</v>
      </c>
      <c r="G295" s="78">
        <v>293</v>
      </c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  <c r="AD295" s="79"/>
      <c r="AE295" s="79"/>
      <c r="AF295" s="79"/>
      <c r="AG295" s="79"/>
      <c r="AH295" s="79"/>
      <c r="AI295" s="79"/>
      <c r="AJ295" s="79"/>
      <c r="AK295" s="79"/>
      <c r="AL295" s="79"/>
      <c r="AM295" s="79"/>
      <c r="AN295" s="79"/>
      <c r="AO295" s="79">
        <v>14.842370000000001</v>
      </c>
      <c r="AP295" s="79"/>
      <c r="AQ295" s="79"/>
      <c r="AR295" s="79"/>
      <c r="AS295" s="79"/>
      <c r="AT295" s="79"/>
      <c r="AU295" s="79"/>
      <c r="AV295" s="79"/>
      <c r="AW295" s="79"/>
      <c r="AX295" s="79"/>
      <c r="AY295" s="79"/>
    </row>
    <row r="296" spans="1:51" x14ac:dyDescent="0.2">
      <c r="A296" t="s">
        <v>841</v>
      </c>
      <c r="B296" s="1">
        <v>15888</v>
      </c>
      <c r="C296" s="78">
        <v>296</v>
      </c>
      <c r="E296" s="1">
        <f t="shared" si="8"/>
        <v>15888</v>
      </c>
      <c r="F296" s="2">
        <f t="shared" si="9"/>
        <v>15888</v>
      </c>
      <c r="G296" s="78">
        <v>294</v>
      </c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  <c r="AD296" s="79"/>
      <c r="AE296" s="79"/>
      <c r="AF296" s="79"/>
      <c r="AG296" s="79"/>
      <c r="AH296" s="79"/>
      <c r="AI296" s="79"/>
      <c r="AJ296" s="79"/>
      <c r="AK296" s="79"/>
      <c r="AL296" s="79"/>
      <c r="AM296" s="79"/>
      <c r="AN296" s="79"/>
      <c r="AO296" s="79">
        <v>15.29448</v>
      </c>
      <c r="AP296" s="79"/>
      <c r="AQ296" s="79"/>
      <c r="AR296" s="79"/>
      <c r="AS296" s="79"/>
      <c r="AT296" s="79"/>
      <c r="AU296" s="79"/>
      <c r="AV296" s="79"/>
      <c r="AW296" s="79"/>
      <c r="AX296" s="79"/>
      <c r="AY296" s="79"/>
    </row>
    <row r="297" spans="1:51" x14ac:dyDescent="0.2">
      <c r="A297" t="s">
        <v>842</v>
      </c>
      <c r="B297" s="1">
        <v>15919</v>
      </c>
      <c r="C297" s="78">
        <v>297</v>
      </c>
      <c r="E297" s="1">
        <f t="shared" si="8"/>
        <v>15919</v>
      </c>
      <c r="F297" s="2">
        <f t="shared" si="9"/>
        <v>15919</v>
      </c>
      <c r="G297" s="78">
        <v>295</v>
      </c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  <c r="AD297" s="79"/>
      <c r="AE297" s="79"/>
      <c r="AF297" s="79"/>
      <c r="AG297" s="79"/>
      <c r="AH297" s="79"/>
      <c r="AI297" s="79"/>
      <c r="AJ297" s="79"/>
      <c r="AK297" s="79"/>
      <c r="AL297" s="79"/>
      <c r="AM297" s="79"/>
      <c r="AN297" s="79"/>
      <c r="AO297" s="79">
        <v>15.613759999999999</v>
      </c>
      <c r="AP297" s="79"/>
      <c r="AQ297" s="79"/>
      <c r="AR297" s="79"/>
      <c r="AS297" s="79"/>
      <c r="AT297" s="79"/>
      <c r="AU297" s="79"/>
      <c r="AV297" s="79"/>
      <c r="AW297" s="79"/>
      <c r="AX297" s="79"/>
      <c r="AY297" s="79"/>
    </row>
    <row r="298" spans="1:51" x14ac:dyDescent="0.2">
      <c r="A298" t="s">
        <v>843</v>
      </c>
      <c r="B298" s="1">
        <v>15950</v>
      </c>
      <c r="C298" s="78">
        <v>298</v>
      </c>
      <c r="E298" s="1">
        <f t="shared" si="8"/>
        <v>15950</v>
      </c>
      <c r="F298" s="2">
        <f t="shared" si="9"/>
        <v>15950</v>
      </c>
      <c r="G298" s="78">
        <v>296</v>
      </c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  <c r="AD298" s="79"/>
      <c r="AE298" s="79"/>
      <c r="AF298" s="79"/>
      <c r="AG298" s="79"/>
      <c r="AH298" s="79"/>
      <c r="AI298" s="79"/>
      <c r="AJ298" s="79"/>
      <c r="AK298" s="79"/>
      <c r="AL298" s="79"/>
      <c r="AM298" s="79"/>
      <c r="AN298" s="79"/>
      <c r="AO298" s="79">
        <v>16.01275</v>
      </c>
      <c r="AP298" s="79"/>
      <c r="AQ298" s="79"/>
      <c r="AR298" s="79"/>
      <c r="AS298" s="79"/>
      <c r="AT298" s="79"/>
      <c r="AU298" s="79"/>
      <c r="AV298" s="79"/>
      <c r="AW298" s="79"/>
      <c r="AX298" s="79"/>
      <c r="AY298" s="79"/>
    </row>
    <row r="299" spans="1:51" x14ac:dyDescent="0.2">
      <c r="A299" t="s">
        <v>844</v>
      </c>
      <c r="B299" s="1">
        <v>15980</v>
      </c>
      <c r="C299" s="78">
        <v>299</v>
      </c>
      <c r="E299" s="1">
        <f t="shared" si="8"/>
        <v>15980</v>
      </c>
      <c r="F299" s="2">
        <f t="shared" si="9"/>
        <v>15980</v>
      </c>
      <c r="G299" s="78">
        <v>297</v>
      </c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  <c r="AD299" s="79"/>
      <c r="AE299" s="79"/>
      <c r="AF299" s="79"/>
      <c r="AG299" s="79"/>
      <c r="AH299" s="79"/>
      <c r="AI299" s="79"/>
      <c r="AJ299" s="79"/>
      <c r="AK299" s="79"/>
      <c r="AL299" s="79"/>
      <c r="AM299" s="79"/>
      <c r="AN299" s="79"/>
      <c r="AO299" s="79">
        <v>16.252109999999998</v>
      </c>
      <c r="AP299" s="79"/>
      <c r="AQ299" s="79"/>
      <c r="AR299" s="79"/>
      <c r="AS299" s="79"/>
      <c r="AT299" s="79"/>
      <c r="AU299" s="79"/>
      <c r="AV299" s="79"/>
      <c r="AW299" s="79"/>
      <c r="AX299" s="79"/>
      <c r="AY299" s="79"/>
    </row>
    <row r="300" spans="1:51" x14ac:dyDescent="0.2">
      <c r="A300" t="s">
        <v>845</v>
      </c>
      <c r="B300" s="1">
        <v>16011</v>
      </c>
      <c r="C300" s="78">
        <v>300</v>
      </c>
      <c r="E300" s="1">
        <f t="shared" si="8"/>
        <v>16011</v>
      </c>
      <c r="F300" s="2">
        <f t="shared" si="9"/>
        <v>16011</v>
      </c>
      <c r="G300" s="78">
        <v>298</v>
      </c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  <c r="AD300" s="79"/>
      <c r="AE300" s="79"/>
      <c r="AF300" s="79"/>
      <c r="AG300" s="79"/>
      <c r="AH300" s="79"/>
      <c r="AI300" s="79"/>
      <c r="AJ300" s="79"/>
      <c r="AK300" s="79"/>
      <c r="AL300" s="79"/>
      <c r="AM300" s="79"/>
      <c r="AN300" s="79"/>
      <c r="AO300" s="79">
        <v>16.464860000000002</v>
      </c>
      <c r="AP300" s="79"/>
      <c r="AQ300" s="79"/>
      <c r="AR300" s="79"/>
      <c r="AS300" s="79"/>
      <c r="AT300" s="79"/>
      <c r="AU300" s="79"/>
      <c r="AV300" s="79"/>
      <c r="AW300" s="79"/>
      <c r="AX300" s="79"/>
      <c r="AY300" s="79"/>
    </row>
    <row r="301" spans="1:51" x14ac:dyDescent="0.2">
      <c r="A301" t="s">
        <v>846</v>
      </c>
      <c r="B301" s="1">
        <v>16041</v>
      </c>
      <c r="C301" s="78">
        <v>301</v>
      </c>
      <c r="E301" s="1">
        <f t="shared" si="8"/>
        <v>16041</v>
      </c>
      <c r="F301" s="2">
        <f t="shared" si="9"/>
        <v>16041</v>
      </c>
      <c r="G301" s="78">
        <v>299</v>
      </c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  <c r="AD301" s="79"/>
      <c r="AE301" s="79"/>
      <c r="AF301" s="79"/>
      <c r="AG301" s="79"/>
      <c r="AH301" s="79"/>
      <c r="AI301" s="79"/>
      <c r="AJ301" s="79"/>
      <c r="AK301" s="79"/>
      <c r="AL301" s="79"/>
      <c r="AM301" s="79"/>
      <c r="AN301" s="79"/>
      <c r="AO301" s="79">
        <v>16.252109999999998</v>
      </c>
      <c r="AP301" s="79"/>
      <c r="AQ301" s="79"/>
      <c r="AR301" s="79"/>
      <c r="AS301" s="79"/>
      <c r="AT301" s="79"/>
      <c r="AU301" s="79"/>
      <c r="AV301" s="79"/>
      <c r="AW301" s="79"/>
      <c r="AX301" s="79"/>
      <c r="AY301" s="79"/>
    </row>
    <row r="302" spans="1:51" x14ac:dyDescent="0.2">
      <c r="A302" t="s">
        <v>847</v>
      </c>
      <c r="B302" s="1">
        <v>16072</v>
      </c>
      <c r="C302" s="78">
        <v>302</v>
      </c>
      <c r="E302" s="1">
        <f t="shared" si="8"/>
        <v>16072</v>
      </c>
      <c r="F302" s="2">
        <f t="shared" si="9"/>
        <v>16072</v>
      </c>
      <c r="G302" s="78">
        <v>300</v>
      </c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  <c r="AA302" s="79"/>
      <c r="AB302" s="79"/>
      <c r="AC302" s="79"/>
      <c r="AD302" s="79"/>
      <c r="AE302" s="79"/>
      <c r="AF302" s="79"/>
      <c r="AG302" s="79"/>
      <c r="AH302" s="79"/>
      <c r="AI302" s="79"/>
      <c r="AJ302" s="79"/>
      <c r="AK302" s="79"/>
      <c r="AL302" s="79"/>
      <c r="AM302" s="79"/>
      <c r="AN302" s="79"/>
      <c r="AO302" s="79">
        <v>16.43826</v>
      </c>
      <c r="AP302" s="79"/>
      <c r="AQ302" s="79"/>
      <c r="AR302" s="79"/>
      <c r="AS302" s="79"/>
      <c r="AT302" s="79"/>
      <c r="AU302" s="79"/>
      <c r="AV302" s="79"/>
      <c r="AW302" s="79"/>
      <c r="AX302" s="79"/>
      <c r="AY302" s="79"/>
    </row>
    <row r="303" spans="1:51" x14ac:dyDescent="0.2">
      <c r="A303" t="s">
        <v>848</v>
      </c>
      <c r="B303" s="1">
        <v>16103</v>
      </c>
      <c r="C303" s="78">
        <v>303</v>
      </c>
      <c r="E303" s="1">
        <f t="shared" si="8"/>
        <v>16103</v>
      </c>
      <c r="F303" s="2">
        <f t="shared" si="9"/>
        <v>16103</v>
      </c>
      <c r="G303" s="78">
        <v>301</v>
      </c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  <c r="AA303" s="79"/>
      <c r="AB303" s="79"/>
      <c r="AC303" s="79"/>
      <c r="AD303" s="79"/>
      <c r="AE303" s="79"/>
      <c r="AF303" s="79"/>
      <c r="AG303" s="79"/>
      <c r="AH303" s="79"/>
      <c r="AI303" s="79"/>
      <c r="AJ303" s="79"/>
      <c r="AK303" s="79"/>
      <c r="AL303" s="79"/>
      <c r="AM303" s="79"/>
      <c r="AN303" s="79"/>
      <c r="AO303" s="79">
        <v>16.571290000000001</v>
      </c>
      <c r="AP303" s="79"/>
      <c r="AQ303" s="79"/>
      <c r="AR303" s="79"/>
      <c r="AS303" s="79"/>
      <c r="AT303" s="79"/>
      <c r="AU303" s="79"/>
      <c r="AV303" s="79"/>
      <c r="AW303" s="79"/>
      <c r="AX303" s="79"/>
      <c r="AY303" s="79"/>
    </row>
    <row r="304" spans="1:51" x14ac:dyDescent="0.2">
      <c r="A304" t="s">
        <v>849</v>
      </c>
      <c r="B304" s="1">
        <v>16132</v>
      </c>
      <c r="C304" s="78">
        <v>304</v>
      </c>
      <c r="E304" s="1">
        <f t="shared" si="8"/>
        <v>16132</v>
      </c>
      <c r="F304" s="2">
        <f t="shared" si="9"/>
        <v>16132</v>
      </c>
      <c r="G304" s="78">
        <v>302</v>
      </c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  <c r="AA304" s="79"/>
      <c r="AB304" s="79"/>
      <c r="AC304" s="79"/>
      <c r="AD304" s="79"/>
      <c r="AE304" s="79"/>
      <c r="AF304" s="79"/>
      <c r="AG304" s="79"/>
      <c r="AH304" s="79"/>
      <c r="AI304" s="79"/>
      <c r="AJ304" s="79"/>
      <c r="AK304" s="79"/>
      <c r="AL304" s="79"/>
      <c r="AM304" s="79"/>
      <c r="AN304" s="79"/>
      <c r="AO304" s="79">
        <v>16.54468</v>
      </c>
      <c r="AP304" s="79"/>
      <c r="AQ304" s="79"/>
      <c r="AR304" s="79"/>
      <c r="AS304" s="79"/>
      <c r="AT304" s="79"/>
      <c r="AU304" s="79"/>
      <c r="AV304" s="79"/>
      <c r="AW304" s="79"/>
      <c r="AX304" s="79"/>
      <c r="AY304" s="79"/>
    </row>
    <row r="305" spans="1:51" x14ac:dyDescent="0.2">
      <c r="A305" t="s">
        <v>850</v>
      </c>
      <c r="B305" s="1">
        <v>16163</v>
      </c>
      <c r="C305" s="78">
        <v>305</v>
      </c>
      <c r="E305" s="1">
        <f t="shared" si="8"/>
        <v>16163</v>
      </c>
      <c r="F305" s="2">
        <f t="shared" si="9"/>
        <v>16163</v>
      </c>
      <c r="G305" s="78">
        <v>303</v>
      </c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>
        <v>16.54468</v>
      </c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</row>
    <row r="306" spans="1:51" x14ac:dyDescent="0.2">
      <c r="A306" t="s">
        <v>851</v>
      </c>
      <c r="B306" s="1">
        <v>16193</v>
      </c>
      <c r="C306" s="78">
        <v>306</v>
      </c>
      <c r="E306" s="1">
        <f t="shared" si="8"/>
        <v>16193</v>
      </c>
      <c r="F306" s="2">
        <f t="shared" si="9"/>
        <v>16193</v>
      </c>
      <c r="G306" s="78">
        <v>304</v>
      </c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79"/>
      <c r="W306" s="79"/>
      <c r="X306" s="79"/>
      <c r="Y306" s="79"/>
      <c r="Z306" s="79"/>
      <c r="AA306" s="79"/>
      <c r="AB306" s="79"/>
      <c r="AC306" s="79"/>
      <c r="AD306" s="79"/>
      <c r="AE306" s="79"/>
      <c r="AF306" s="79"/>
      <c r="AG306" s="79"/>
      <c r="AH306" s="79"/>
      <c r="AI306" s="79"/>
      <c r="AJ306" s="79"/>
      <c r="AK306" s="79"/>
      <c r="AL306" s="79"/>
      <c r="AM306" s="79"/>
      <c r="AN306" s="79"/>
      <c r="AO306" s="79">
        <v>16.43835</v>
      </c>
      <c r="AP306" s="79"/>
      <c r="AQ306" s="79"/>
      <c r="AR306" s="79"/>
      <c r="AS306" s="79"/>
      <c r="AT306" s="79"/>
      <c r="AU306" s="79"/>
      <c r="AV306" s="79"/>
      <c r="AW306" s="79"/>
      <c r="AX306" s="79"/>
      <c r="AY306" s="79"/>
    </row>
    <row r="307" spans="1:51" x14ac:dyDescent="0.2">
      <c r="A307" t="s">
        <v>852</v>
      </c>
      <c r="B307" s="1">
        <v>16224</v>
      </c>
      <c r="C307" s="78">
        <v>307</v>
      </c>
      <c r="E307" s="1">
        <f t="shared" si="8"/>
        <v>16224</v>
      </c>
      <c r="F307" s="2">
        <f t="shared" si="9"/>
        <v>16224</v>
      </c>
      <c r="G307" s="78">
        <v>305</v>
      </c>
      <c r="H307" s="79"/>
      <c r="I307" s="79"/>
      <c r="J307" s="79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79"/>
      <c r="W307" s="79"/>
      <c r="X307" s="79"/>
      <c r="Y307" s="79"/>
      <c r="Z307" s="79"/>
      <c r="AA307" s="79"/>
      <c r="AB307" s="79"/>
      <c r="AC307" s="79"/>
      <c r="AD307" s="79"/>
      <c r="AE307" s="79"/>
      <c r="AF307" s="79"/>
      <c r="AG307" s="79"/>
      <c r="AH307" s="79"/>
      <c r="AI307" s="79"/>
      <c r="AJ307" s="79"/>
      <c r="AK307" s="79"/>
      <c r="AL307" s="79"/>
      <c r="AM307" s="79"/>
      <c r="AN307" s="79"/>
      <c r="AO307" s="79">
        <v>16.38514</v>
      </c>
      <c r="AP307" s="79"/>
      <c r="AQ307" s="79"/>
      <c r="AR307" s="79"/>
      <c r="AS307" s="79"/>
      <c r="AT307" s="79"/>
      <c r="AU307" s="79"/>
      <c r="AV307" s="79"/>
      <c r="AW307" s="79"/>
      <c r="AX307" s="79"/>
      <c r="AY307" s="79"/>
    </row>
    <row r="308" spans="1:51" x14ac:dyDescent="0.2">
      <c r="A308" t="s">
        <v>853</v>
      </c>
      <c r="B308" s="1">
        <v>16254</v>
      </c>
      <c r="C308" s="78">
        <v>308</v>
      </c>
      <c r="E308" s="1">
        <f t="shared" si="8"/>
        <v>16254</v>
      </c>
      <c r="F308" s="2">
        <f t="shared" si="9"/>
        <v>16254</v>
      </c>
      <c r="G308" s="78">
        <v>306</v>
      </c>
      <c r="H308" s="79"/>
      <c r="I308" s="79"/>
      <c r="J308" s="79"/>
      <c r="K308" s="79"/>
      <c r="L308" s="79"/>
      <c r="M308" s="79"/>
      <c r="N308" s="79"/>
      <c r="O308" s="79"/>
      <c r="P308" s="79"/>
      <c r="Q308" s="79"/>
      <c r="R308" s="79"/>
      <c r="S308" s="79"/>
      <c r="T308" s="79"/>
      <c r="U308" s="79"/>
      <c r="V308" s="79"/>
      <c r="W308" s="79"/>
      <c r="X308" s="79"/>
      <c r="Y308" s="79"/>
      <c r="Z308" s="79"/>
      <c r="AA308" s="79"/>
      <c r="AB308" s="79"/>
      <c r="AC308" s="79"/>
      <c r="AD308" s="79"/>
      <c r="AE308" s="79"/>
      <c r="AF308" s="79"/>
      <c r="AG308" s="79"/>
      <c r="AH308" s="79"/>
      <c r="AI308" s="79"/>
      <c r="AJ308" s="79"/>
      <c r="AK308" s="79"/>
      <c r="AL308" s="79"/>
      <c r="AM308" s="79"/>
      <c r="AN308" s="79"/>
      <c r="AO308" s="79">
        <v>16.358529999999998</v>
      </c>
      <c r="AP308" s="79"/>
      <c r="AQ308" s="79"/>
      <c r="AR308" s="79"/>
      <c r="AS308" s="79"/>
      <c r="AT308" s="79"/>
      <c r="AU308" s="79"/>
      <c r="AV308" s="79"/>
      <c r="AW308" s="79"/>
      <c r="AX308" s="79"/>
      <c r="AY308" s="79"/>
    </row>
    <row r="309" spans="1:51" x14ac:dyDescent="0.2">
      <c r="A309" t="s">
        <v>854</v>
      </c>
      <c r="B309" s="1">
        <v>16285</v>
      </c>
      <c r="C309" s="78">
        <v>309</v>
      </c>
      <c r="E309" s="1">
        <f t="shared" si="8"/>
        <v>16285</v>
      </c>
      <c r="F309" s="2">
        <f t="shared" si="9"/>
        <v>16285</v>
      </c>
      <c r="G309" s="78">
        <v>307</v>
      </c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  <c r="AA309" s="79"/>
      <c r="AB309" s="79"/>
      <c r="AC309" s="79"/>
      <c r="AD309" s="79"/>
      <c r="AE309" s="79"/>
      <c r="AF309" s="79"/>
      <c r="AG309" s="79"/>
      <c r="AH309" s="79"/>
      <c r="AI309" s="79"/>
      <c r="AJ309" s="79"/>
      <c r="AK309" s="79"/>
      <c r="AL309" s="79"/>
      <c r="AM309" s="79"/>
      <c r="AN309" s="79"/>
      <c r="AO309" s="79">
        <v>16.571290000000001</v>
      </c>
      <c r="AP309" s="79"/>
      <c r="AQ309" s="79"/>
      <c r="AR309" s="79"/>
      <c r="AS309" s="79"/>
      <c r="AT309" s="79"/>
      <c r="AU309" s="79"/>
      <c r="AV309" s="79"/>
      <c r="AW309" s="79"/>
      <c r="AX309" s="79"/>
      <c r="AY309" s="79"/>
    </row>
    <row r="310" spans="1:51" x14ac:dyDescent="0.2">
      <c r="A310" t="s">
        <v>855</v>
      </c>
      <c r="B310" s="1">
        <v>16316</v>
      </c>
      <c r="C310" s="78">
        <v>310</v>
      </c>
      <c r="E310" s="1">
        <f t="shared" si="8"/>
        <v>16316</v>
      </c>
      <c r="F310" s="2">
        <f t="shared" si="9"/>
        <v>16316</v>
      </c>
      <c r="G310" s="78">
        <v>308</v>
      </c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79"/>
      <c r="W310" s="79"/>
      <c r="X310" s="79"/>
      <c r="Y310" s="79"/>
      <c r="Z310" s="79"/>
      <c r="AA310" s="79"/>
      <c r="AB310" s="79"/>
      <c r="AC310" s="79"/>
      <c r="AD310" s="79"/>
      <c r="AE310" s="79"/>
      <c r="AF310" s="79"/>
      <c r="AG310" s="79"/>
      <c r="AH310" s="79"/>
      <c r="AI310" s="79"/>
      <c r="AJ310" s="79"/>
      <c r="AK310" s="79"/>
      <c r="AL310" s="79"/>
      <c r="AM310" s="79"/>
      <c r="AN310" s="79"/>
      <c r="AO310" s="79">
        <v>16.464860000000002</v>
      </c>
      <c r="AP310" s="79"/>
      <c r="AQ310" s="79"/>
      <c r="AR310" s="79"/>
      <c r="AS310" s="79"/>
      <c r="AT310" s="79"/>
      <c r="AU310" s="79"/>
      <c r="AV310" s="79"/>
      <c r="AW310" s="79"/>
      <c r="AX310" s="79"/>
      <c r="AY310" s="79"/>
    </row>
    <row r="311" spans="1:51" x14ac:dyDescent="0.2">
      <c r="A311" t="s">
        <v>856</v>
      </c>
      <c r="B311" s="1">
        <v>16346</v>
      </c>
      <c r="C311" s="78">
        <v>311</v>
      </c>
      <c r="E311" s="1">
        <f t="shared" si="8"/>
        <v>16346</v>
      </c>
      <c r="F311" s="2">
        <f t="shared" si="9"/>
        <v>16346</v>
      </c>
      <c r="G311" s="78">
        <v>309</v>
      </c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  <c r="AA311" s="79"/>
      <c r="AB311" s="79"/>
      <c r="AC311" s="79"/>
      <c r="AD311" s="79"/>
      <c r="AE311" s="79"/>
      <c r="AF311" s="79"/>
      <c r="AG311" s="79"/>
      <c r="AH311" s="79"/>
      <c r="AI311" s="79"/>
      <c r="AJ311" s="79"/>
      <c r="AK311" s="79"/>
      <c r="AL311" s="79"/>
      <c r="AM311" s="79"/>
      <c r="AN311" s="79"/>
      <c r="AO311" s="79">
        <v>16.518070000000002</v>
      </c>
      <c r="AP311" s="79"/>
      <c r="AQ311" s="79"/>
      <c r="AR311" s="79"/>
      <c r="AS311" s="79"/>
      <c r="AT311" s="79"/>
      <c r="AU311" s="79"/>
      <c r="AV311" s="79"/>
      <c r="AW311" s="79"/>
      <c r="AX311" s="79"/>
      <c r="AY311" s="79"/>
    </row>
    <row r="312" spans="1:51" x14ac:dyDescent="0.2">
      <c r="A312" t="s">
        <v>857</v>
      </c>
      <c r="B312" s="1">
        <v>16377</v>
      </c>
      <c r="C312" s="78">
        <v>312</v>
      </c>
      <c r="E312" s="1">
        <f t="shared" si="8"/>
        <v>16377</v>
      </c>
      <c r="F312" s="2">
        <f t="shared" si="9"/>
        <v>16377</v>
      </c>
      <c r="G312" s="78">
        <v>310</v>
      </c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  <c r="AA312" s="79"/>
      <c r="AB312" s="79"/>
      <c r="AC312" s="79"/>
      <c r="AD312" s="79"/>
      <c r="AE312" s="79"/>
      <c r="AF312" s="79"/>
      <c r="AG312" s="79"/>
      <c r="AH312" s="79"/>
      <c r="AI312" s="79"/>
      <c r="AJ312" s="79"/>
      <c r="AK312" s="79"/>
      <c r="AL312" s="79"/>
      <c r="AM312" s="79"/>
      <c r="AN312" s="79"/>
      <c r="AO312" s="79">
        <v>16.38514</v>
      </c>
      <c r="AP312" s="79"/>
      <c r="AQ312" s="79"/>
      <c r="AR312" s="79"/>
      <c r="AS312" s="79"/>
      <c r="AT312" s="79"/>
      <c r="AU312" s="79"/>
      <c r="AV312" s="79"/>
      <c r="AW312" s="79"/>
      <c r="AX312" s="79"/>
      <c r="AY312" s="79"/>
    </row>
    <row r="313" spans="1:51" x14ac:dyDescent="0.2">
      <c r="A313" t="s">
        <v>858</v>
      </c>
      <c r="B313" s="1">
        <v>16407</v>
      </c>
      <c r="C313" s="78">
        <v>313</v>
      </c>
      <c r="E313" s="1">
        <f t="shared" si="8"/>
        <v>16407</v>
      </c>
      <c r="F313" s="2">
        <f t="shared" si="9"/>
        <v>16407</v>
      </c>
      <c r="G313" s="78">
        <v>311</v>
      </c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79"/>
      <c r="W313" s="79"/>
      <c r="X313" s="79"/>
      <c r="Y313" s="79"/>
      <c r="Z313" s="79"/>
      <c r="AA313" s="79"/>
      <c r="AB313" s="79"/>
      <c r="AC313" s="79"/>
      <c r="AD313" s="79"/>
      <c r="AE313" s="79"/>
      <c r="AF313" s="79"/>
      <c r="AG313" s="79"/>
      <c r="AH313" s="79"/>
      <c r="AI313" s="79"/>
      <c r="AJ313" s="79"/>
      <c r="AK313" s="79"/>
      <c r="AL313" s="79"/>
      <c r="AM313" s="79"/>
      <c r="AN313" s="79"/>
      <c r="AO313" s="79">
        <v>16.33193</v>
      </c>
      <c r="AP313" s="79"/>
      <c r="AQ313" s="79"/>
      <c r="AR313" s="79"/>
      <c r="AS313" s="79"/>
      <c r="AT313" s="79"/>
      <c r="AU313" s="79"/>
      <c r="AV313" s="79"/>
      <c r="AW313" s="79"/>
      <c r="AX313" s="79"/>
      <c r="AY313" s="79"/>
    </row>
    <row r="314" spans="1:51" x14ac:dyDescent="0.2">
      <c r="A314" t="s">
        <v>859</v>
      </c>
      <c r="B314" s="1">
        <v>16438</v>
      </c>
      <c r="C314" s="78">
        <v>314</v>
      </c>
      <c r="E314" s="1">
        <f t="shared" si="8"/>
        <v>16438</v>
      </c>
      <c r="F314" s="2">
        <f t="shared" si="9"/>
        <v>16438</v>
      </c>
      <c r="G314" s="78">
        <v>312</v>
      </c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  <c r="AA314" s="79"/>
      <c r="AB314" s="79"/>
      <c r="AC314" s="79"/>
      <c r="AD314" s="79"/>
      <c r="AE314" s="79"/>
      <c r="AF314" s="79"/>
      <c r="AG314" s="79"/>
      <c r="AH314" s="79"/>
      <c r="AI314" s="79"/>
      <c r="AJ314" s="79"/>
      <c r="AK314" s="79"/>
      <c r="AL314" s="79"/>
      <c r="AM314" s="79"/>
      <c r="AN314" s="79"/>
      <c r="AO314" s="79">
        <v>16.17229</v>
      </c>
      <c r="AP314" s="79"/>
      <c r="AQ314" s="79"/>
      <c r="AR314" s="79"/>
      <c r="AS314" s="79"/>
      <c r="AT314" s="79"/>
      <c r="AU314" s="79"/>
      <c r="AV314" s="79"/>
      <c r="AW314" s="79"/>
      <c r="AX314" s="79"/>
      <c r="AY314" s="79"/>
    </row>
    <row r="315" spans="1:51" x14ac:dyDescent="0.2">
      <c r="A315" t="s">
        <v>860</v>
      </c>
      <c r="B315" s="1">
        <v>16469</v>
      </c>
      <c r="C315" s="78">
        <v>315</v>
      </c>
      <c r="E315" s="1">
        <f t="shared" si="8"/>
        <v>16469</v>
      </c>
      <c r="F315" s="2">
        <f t="shared" si="9"/>
        <v>16469</v>
      </c>
      <c r="G315" s="78">
        <v>313</v>
      </c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  <c r="AA315" s="79"/>
      <c r="AB315" s="79"/>
      <c r="AC315" s="79"/>
      <c r="AD315" s="79"/>
      <c r="AE315" s="79"/>
      <c r="AF315" s="79"/>
      <c r="AG315" s="79"/>
      <c r="AH315" s="79"/>
      <c r="AI315" s="79"/>
      <c r="AJ315" s="79"/>
      <c r="AK315" s="79"/>
      <c r="AL315" s="79"/>
      <c r="AM315" s="79"/>
      <c r="AN315" s="79"/>
      <c r="AO315" s="79">
        <v>16.11908</v>
      </c>
      <c r="AP315" s="79"/>
      <c r="AQ315" s="79"/>
      <c r="AR315" s="79"/>
      <c r="AS315" s="79"/>
      <c r="AT315" s="79"/>
      <c r="AU315" s="79"/>
      <c r="AV315" s="79"/>
      <c r="AW315" s="79"/>
      <c r="AX315" s="79"/>
      <c r="AY315" s="79"/>
    </row>
    <row r="316" spans="1:51" x14ac:dyDescent="0.2">
      <c r="A316" t="s">
        <v>861</v>
      </c>
      <c r="B316" s="1">
        <v>16497</v>
      </c>
      <c r="C316" s="78">
        <v>316</v>
      </c>
      <c r="E316" s="1">
        <f t="shared" si="8"/>
        <v>16497</v>
      </c>
      <c r="F316" s="2">
        <f t="shared" si="9"/>
        <v>16497</v>
      </c>
      <c r="G316" s="78">
        <v>314</v>
      </c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  <c r="AE316" s="79"/>
      <c r="AF316" s="79"/>
      <c r="AG316" s="79"/>
      <c r="AH316" s="79"/>
      <c r="AI316" s="79"/>
      <c r="AJ316" s="79"/>
      <c r="AK316" s="79"/>
      <c r="AL316" s="79"/>
      <c r="AM316" s="79"/>
      <c r="AN316" s="79"/>
      <c r="AO316" s="79">
        <v>16.01266</v>
      </c>
      <c r="AP316" s="79"/>
      <c r="AQ316" s="79"/>
      <c r="AR316" s="79"/>
      <c r="AS316" s="79"/>
      <c r="AT316" s="79"/>
      <c r="AU316" s="79"/>
      <c r="AV316" s="79"/>
      <c r="AW316" s="79"/>
      <c r="AX316" s="79"/>
      <c r="AY316" s="79"/>
    </row>
    <row r="317" spans="1:51" x14ac:dyDescent="0.2">
      <c r="A317" t="s">
        <v>862</v>
      </c>
      <c r="B317" s="1">
        <v>16528</v>
      </c>
      <c r="C317" s="78">
        <v>317</v>
      </c>
      <c r="E317" s="1">
        <f t="shared" si="8"/>
        <v>16528</v>
      </c>
      <c r="F317" s="2">
        <f t="shared" si="9"/>
        <v>16528</v>
      </c>
      <c r="G317" s="78">
        <v>315</v>
      </c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  <c r="AA317" s="79"/>
      <c r="AB317" s="79"/>
      <c r="AC317" s="79"/>
      <c r="AD317" s="79"/>
      <c r="AE317" s="79"/>
      <c r="AF317" s="79"/>
      <c r="AG317" s="79"/>
      <c r="AH317" s="79"/>
      <c r="AI317" s="79"/>
      <c r="AJ317" s="79"/>
      <c r="AK317" s="79"/>
      <c r="AL317" s="79"/>
      <c r="AM317" s="79"/>
      <c r="AN317" s="79"/>
      <c r="AO317" s="79">
        <v>15.720079999999999</v>
      </c>
      <c r="AP317" s="79"/>
      <c r="AQ317" s="79"/>
      <c r="AR317" s="79"/>
      <c r="AS317" s="79"/>
      <c r="AT317" s="79"/>
      <c r="AU317" s="79"/>
      <c r="AV317" s="79"/>
      <c r="AW317" s="79"/>
      <c r="AX317" s="79"/>
      <c r="AY317" s="79"/>
    </row>
    <row r="318" spans="1:51" x14ac:dyDescent="0.2">
      <c r="A318" t="s">
        <v>863</v>
      </c>
      <c r="B318" s="1">
        <v>16558</v>
      </c>
      <c r="C318" s="78">
        <v>318</v>
      </c>
      <c r="E318" s="1">
        <f t="shared" si="8"/>
        <v>16558</v>
      </c>
      <c r="F318" s="2">
        <f t="shared" si="9"/>
        <v>16558</v>
      </c>
      <c r="G318" s="78">
        <v>316</v>
      </c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  <c r="AA318" s="79"/>
      <c r="AB318" s="79"/>
      <c r="AC318" s="79"/>
      <c r="AD318" s="79"/>
      <c r="AE318" s="79"/>
      <c r="AF318" s="79"/>
      <c r="AG318" s="79"/>
      <c r="AH318" s="79"/>
      <c r="AI318" s="79"/>
      <c r="AJ318" s="79"/>
      <c r="AK318" s="79"/>
      <c r="AL318" s="79"/>
      <c r="AM318" s="79"/>
      <c r="AN318" s="79"/>
      <c r="AO318" s="79">
        <v>15.29458</v>
      </c>
      <c r="AP318" s="79"/>
      <c r="AQ318" s="79"/>
      <c r="AR318" s="79"/>
      <c r="AS318" s="79"/>
      <c r="AT318" s="79"/>
      <c r="AU318" s="79"/>
      <c r="AV318" s="79"/>
      <c r="AW318" s="79"/>
      <c r="AX318" s="79"/>
      <c r="AY318" s="79"/>
    </row>
    <row r="319" spans="1:51" x14ac:dyDescent="0.2">
      <c r="A319" t="s">
        <v>864</v>
      </c>
      <c r="B319" s="1">
        <v>16589</v>
      </c>
      <c r="C319" s="78">
        <v>319</v>
      </c>
      <c r="E319" s="1">
        <f t="shared" si="8"/>
        <v>16589</v>
      </c>
      <c r="F319" s="2">
        <f t="shared" si="9"/>
        <v>16589</v>
      </c>
      <c r="G319" s="78">
        <v>317</v>
      </c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  <c r="AA319" s="79"/>
      <c r="AB319" s="79"/>
      <c r="AC319" s="79"/>
      <c r="AD319" s="79"/>
      <c r="AE319" s="79"/>
      <c r="AF319" s="79"/>
      <c r="AG319" s="79"/>
      <c r="AH319" s="79"/>
      <c r="AI319" s="79"/>
      <c r="AJ319" s="79"/>
      <c r="AK319" s="79"/>
      <c r="AL319" s="79"/>
      <c r="AM319" s="79"/>
      <c r="AN319" s="79"/>
      <c r="AO319" s="79">
        <v>14.948700000000001</v>
      </c>
      <c r="AP319" s="79"/>
      <c r="AQ319" s="79"/>
      <c r="AR319" s="79"/>
      <c r="AS319" s="79"/>
      <c r="AT319" s="79"/>
      <c r="AU319" s="79"/>
      <c r="AV319" s="79"/>
      <c r="AW319" s="79"/>
      <c r="AX319" s="79"/>
      <c r="AY319" s="79"/>
    </row>
    <row r="320" spans="1:51" x14ac:dyDescent="0.2">
      <c r="A320" t="s">
        <v>865</v>
      </c>
      <c r="B320" s="1">
        <v>16619</v>
      </c>
      <c r="C320" s="78">
        <v>320</v>
      </c>
      <c r="E320" s="1">
        <f t="shared" si="8"/>
        <v>16619</v>
      </c>
      <c r="F320" s="2">
        <f t="shared" si="9"/>
        <v>16619</v>
      </c>
      <c r="G320" s="78">
        <v>318</v>
      </c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  <c r="AA320" s="79"/>
      <c r="AB320" s="79"/>
      <c r="AC320" s="79"/>
      <c r="AD320" s="79"/>
      <c r="AE320" s="79"/>
      <c r="AF320" s="79"/>
      <c r="AG320" s="79"/>
      <c r="AH320" s="79"/>
      <c r="AI320" s="79"/>
      <c r="AJ320" s="79"/>
      <c r="AK320" s="79"/>
      <c r="AL320" s="79"/>
      <c r="AM320" s="79"/>
      <c r="AN320" s="79"/>
      <c r="AO320" s="79">
        <v>14.603009999999999</v>
      </c>
      <c r="AP320" s="79"/>
      <c r="AQ320" s="79"/>
      <c r="AR320" s="79"/>
      <c r="AS320" s="79"/>
      <c r="AT320" s="79"/>
      <c r="AU320" s="79"/>
      <c r="AV320" s="79"/>
      <c r="AW320" s="79"/>
      <c r="AX320" s="79"/>
      <c r="AY320" s="79"/>
    </row>
    <row r="321" spans="1:51" x14ac:dyDescent="0.2">
      <c r="A321" t="s">
        <v>866</v>
      </c>
      <c r="B321" s="1">
        <v>16650</v>
      </c>
      <c r="C321" s="78">
        <v>321</v>
      </c>
      <c r="E321" s="1">
        <f t="shared" si="8"/>
        <v>16650</v>
      </c>
      <c r="F321" s="2">
        <f t="shared" si="9"/>
        <v>16650</v>
      </c>
      <c r="G321" s="78">
        <v>319</v>
      </c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  <c r="AA321" s="79"/>
      <c r="AB321" s="79"/>
      <c r="AC321" s="79"/>
      <c r="AD321" s="79"/>
      <c r="AE321" s="79"/>
      <c r="AF321" s="79"/>
      <c r="AG321" s="79"/>
      <c r="AH321" s="79"/>
      <c r="AI321" s="79"/>
      <c r="AJ321" s="79"/>
      <c r="AK321" s="79"/>
      <c r="AL321" s="79"/>
      <c r="AM321" s="79"/>
      <c r="AN321" s="79"/>
      <c r="AO321" s="79">
        <v>13.08685</v>
      </c>
      <c r="AP321" s="79"/>
      <c r="AQ321" s="79"/>
      <c r="AR321" s="79"/>
      <c r="AS321" s="79"/>
      <c r="AT321" s="79"/>
      <c r="AU321" s="79"/>
      <c r="AV321" s="79"/>
      <c r="AW321" s="79"/>
      <c r="AX321" s="79"/>
      <c r="AY321" s="79"/>
    </row>
    <row r="322" spans="1:51" x14ac:dyDescent="0.2">
      <c r="A322" t="s">
        <v>867</v>
      </c>
      <c r="B322" s="1">
        <v>16681</v>
      </c>
      <c r="C322" s="78">
        <v>322</v>
      </c>
      <c r="E322" s="1">
        <f t="shared" ref="E322:E385" si="10">B322</f>
        <v>16681</v>
      </c>
      <c r="F322" s="2">
        <f t="shared" ref="F322:F385" si="11">B322</f>
        <v>16681</v>
      </c>
      <c r="G322" s="78">
        <v>320</v>
      </c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  <c r="AA322" s="79"/>
      <c r="AB322" s="79"/>
      <c r="AC322" s="79"/>
      <c r="AD322" s="79"/>
      <c r="AE322" s="79"/>
      <c r="AF322" s="79"/>
      <c r="AG322" s="79"/>
      <c r="AH322" s="79"/>
      <c r="AI322" s="79"/>
      <c r="AJ322" s="79"/>
      <c r="AK322" s="79"/>
      <c r="AL322" s="79"/>
      <c r="AM322" s="79"/>
      <c r="AN322" s="79"/>
      <c r="AO322" s="79">
        <v>11.91647</v>
      </c>
      <c r="AP322" s="79"/>
      <c r="AQ322" s="79"/>
      <c r="AR322" s="79"/>
      <c r="AS322" s="79"/>
      <c r="AT322" s="79"/>
      <c r="AU322" s="79"/>
      <c r="AV322" s="79"/>
      <c r="AW322" s="79"/>
      <c r="AX322" s="79"/>
      <c r="AY322" s="79"/>
    </row>
    <row r="323" spans="1:51" x14ac:dyDescent="0.2">
      <c r="A323" t="s">
        <v>868</v>
      </c>
      <c r="B323" s="1">
        <v>16711</v>
      </c>
      <c r="C323" s="78">
        <v>323</v>
      </c>
      <c r="E323" s="1">
        <f t="shared" si="10"/>
        <v>16711</v>
      </c>
      <c r="F323" s="2">
        <f t="shared" si="11"/>
        <v>16711</v>
      </c>
      <c r="G323" s="78">
        <v>321</v>
      </c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  <c r="AA323" s="79"/>
      <c r="AB323" s="79"/>
      <c r="AC323" s="79"/>
      <c r="AD323" s="79"/>
      <c r="AE323" s="79"/>
      <c r="AF323" s="79"/>
      <c r="AG323" s="79"/>
      <c r="AH323" s="79"/>
      <c r="AI323" s="79"/>
      <c r="AJ323" s="79"/>
      <c r="AK323" s="79"/>
      <c r="AL323" s="79"/>
      <c r="AM323" s="79"/>
      <c r="AN323" s="79"/>
      <c r="AO323" s="79">
        <v>11.43765</v>
      </c>
      <c r="AP323" s="79"/>
      <c r="AQ323" s="79"/>
      <c r="AR323" s="79"/>
      <c r="AS323" s="79"/>
      <c r="AT323" s="79"/>
      <c r="AU323" s="79"/>
      <c r="AV323" s="79"/>
      <c r="AW323" s="79"/>
      <c r="AX323" s="79"/>
      <c r="AY323" s="79"/>
    </row>
    <row r="324" spans="1:51" x14ac:dyDescent="0.2">
      <c r="A324" t="s">
        <v>869</v>
      </c>
      <c r="B324" s="1">
        <v>16742</v>
      </c>
      <c r="C324" s="78">
        <v>324</v>
      </c>
      <c r="E324" s="1">
        <f t="shared" si="10"/>
        <v>16742</v>
      </c>
      <c r="F324" s="2">
        <f t="shared" si="11"/>
        <v>16742</v>
      </c>
      <c r="G324" s="78">
        <v>322</v>
      </c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  <c r="AA324" s="79"/>
      <c r="AB324" s="79"/>
      <c r="AC324" s="79"/>
      <c r="AD324" s="79"/>
      <c r="AE324" s="79"/>
      <c r="AF324" s="79"/>
      <c r="AG324" s="79"/>
      <c r="AH324" s="79"/>
      <c r="AI324" s="79"/>
      <c r="AJ324" s="79"/>
      <c r="AK324" s="79"/>
      <c r="AL324" s="79"/>
      <c r="AM324" s="79"/>
      <c r="AN324" s="79"/>
      <c r="AO324" s="79">
        <v>11.863250000000001</v>
      </c>
      <c r="AP324" s="79"/>
      <c r="AQ324" s="79"/>
      <c r="AR324" s="79"/>
      <c r="AS324" s="79"/>
      <c r="AT324" s="79"/>
      <c r="AU324" s="79"/>
      <c r="AV324" s="79"/>
      <c r="AW324" s="79"/>
      <c r="AX324" s="79"/>
      <c r="AY324" s="79"/>
    </row>
    <row r="325" spans="1:51" x14ac:dyDescent="0.2">
      <c r="A325" t="s">
        <v>870</v>
      </c>
      <c r="B325" s="1">
        <v>16772</v>
      </c>
      <c r="C325" s="78">
        <v>325</v>
      </c>
      <c r="E325" s="1">
        <f t="shared" si="10"/>
        <v>16772</v>
      </c>
      <c r="F325" s="2">
        <f t="shared" si="11"/>
        <v>16772</v>
      </c>
      <c r="G325" s="78">
        <v>323</v>
      </c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  <c r="AD325" s="79"/>
      <c r="AE325" s="79"/>
      <c r="AF325" s="79"/>
      <c r="AG325" s="79"/>
      <c r="AH325" s="79"/>
      <c r="AI325" s="79"/>
      <c r="AJ325" s="79"/>
      <c r="AK325" s="79"/>
      <c r="AL325" s="79"/>
      <c r="AM325" s="79"/>
      <c r="AN325" s="79"/>
      <c r="AO325" s="79">
        <v>11.91647</v>
      </c>
      <c r="AP325" s="79"/>
      <c r="AQ325" s="79"/>
      <c r="AR325" s="79"/>
      <c r="AS325" s="79"/>
      <c r="AT325" s="79"/>
      <c r="AU325" s="79"/>
      <c r="AV325" s="79"/>
      <c r="AW325" s="79"/>
      <c r="AX325" s="79"/>
      <c r="AY325" s="79"/>
    </row>
    <row r="326" spans="1:51" x14ac:dyDescent="0.2">
      <c r="A326" t="s">
        <v>871</v>
      </c>
      <c r="B326" s="1">
        <v>16803</v>
      </c>
      <c r="C326" s="78">
        <v>326</v>
      </c>
      <c r="E326" s="1">
        <f t="shared" si="10"/>
        <v>16803</v>
      </c>
      <c r="F326" s="2">
        <f t="shared" si="11"/>
        <v>16803</v>
      </c>
      <c r="G326" s="78">
        <v>324</v>
      </c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  <c r="AD326" s="79"/>
      <c r="AE326" s="79"/>
      <c r="AF326" s="79"/>
      <c r="AG326" s="79"/>
      <c r="AH326" s="79"/>
      <c r="AI326" s="79"/>
      <c r="AJ326" s="79"/>
      <c r="AK326" s="79"/>
      <c r="AL326" s="79"/>
      <c r="AM326" s="79"/>
      <c r="AN326" s="79"/>
      <c r="AO326" s="79">
        <v>11.25141</v>
      </c>
      <c r="AP326" s="79"/>
      <c r="AQ326" s="79"/>
      <c r="AR326" s="79"/>
      <c r="AS326" s="79"/>
      <c r="AT326" s="79"/>
      <c r="AU326" s="79"/>
      <c r="AV326" s="79"/>
      <c r="AW326" s="79"/>
      <c r="AX326" s="79"/>
      <c r="AY326" s="79"/>
    </row>
    <row r="327" spans="1:51" x14ac:dyDescent="0.2">
      <c r="A327" t="s">
        <v>872</v>
      </c>
      <c r="B327" s="1">
        <v>16834</v>
      </c>
      <c r="C327" s="78">
        <v>327</v>
      </c>
      <c r="E327" s="1">
        <f t="shared" si="10"/>
        <v>16834</v>
      </c>
      <c r="F327" s="2">
        <f t="shared" si="11"/>
        <v>16834</v>
      </c>
      <c r="G327" s="78">
        <v>325</v>
      </c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  <c r="AD327" s="79"/>
      <c r="AE327" s="79"/>
      <c r="AF327" s="79"/>
      <c r="AG327" s="79"/>
      <c r="AH327" s="79"/>
      <c r="AI327" s="79"/>
      <c r="AJ327" s="79"/>
      <c r="AK327" s="79"/>
      <c r="AL327" s="79"/>
      <c r="AM327" s="79"/>
      <c r="AN327" s="79"/>
      <c r="AO327" s="79">
        <v>10.692869999999999</v>
      </c>
      <c r="AP327" s="79"/>
      <c r="AQ327" s="79"/>
      <c r="AR327" s="79"/>
      <c r="AS327" s="79"/>
      <c r="AT327" s="79"/>
      <c r="AU327" s="79"/>
      <c r="AV327" s="79"/>
      <c r="AW327" s="79"/>
      <c r="AX327" s="79"/>
      <c r="AY327" s="79"/>
    </row>
    <row r="328" spans="1:51" x14ac:dyDescent="0.2">
      <c r="A328" t="s">
        <v>873</v>
      </c>
      <c r="B328" s="1">
        <v>16862</v>
      </c>
      <c r="C328" s="78">
        <v>328</v>
      </c>
      <c r="E328" s="1">
        <f t="shared" si="10"/>
        <v>16862</v>
      </c>
      <c r="F328" s="2">
        <f t="shared" si="11"/>
        <v>16862</v>
      </c>
      <c r="G328" s="78">
        <v>326</v>
      </c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  <c r="AD328" s="79"/>
      <c r="AE328" s="79"/>
      <c r="AF328" s="79"/>
      <c r="AG328" s="79"/>
      <c r="AH328" s="79"/>
      <c r="AI328" s="79"/>
      <c r="AJ328" s="79"/>
      <c r="AK328" s="79"/>
      <c r="AL328" s="79"/>
      <c r="AM328" s="79"/>
      <c r="AN328" s="79"/>
      <c r="AO328" s="79">
        <v>11.810040000000001</v>
      </c>
      <c r="AP328" s="79"/>
      <c r="AQ328" s="79"/>
      <c r="AR328" s="79"/>
      <c r="AS328" s="79"/>
      <c r="AT328" s="79"/>
      <c r="AU328" s="79"/>
      <c r="AV328" s="79"/>
      <c r="AW328" s="79"/>
      <c r="AX328" s="79"/>
      <c r="AY328" s="79"/>
    </row>
    <row r="329" spans="1:51" x14ac:dyDescent="0.2">
      <c r="A329" t="s">
        <v>874</v>
      </c>
      <c r="B329" s="1">
        <v>16893</v>
      </c>
      <c r="C329" s="78">
        <v>329</v>
      </c>
      <c r="E329" s="1">
        <f t="shared" si="10"/>
        <v>16893</v>
      </c>
      <c r="F329" s="2">
        <f t="shared" si="11"/>
        <v>16893</v>
      </c>
      <c r="G329" s="78">
        <v>327</v>
      </c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  <c r="AD329" s="79"/>
      <c r="AE329" s="79"/>
      <c r="AF329" s="79"/>
      <c r="AG329" s="79"/>
      <c r="AH329" s="79"/>
      <c r="AI329" s="79"/>
      <c r="AJ329" s="79"/>
      <c r="AK329" s="79"/>
      <c r="AL329" s="79"/>
      <c r="AM329" s="79"/>
      <c r="AN329" s="79"/>
      <c r="AO329" s="79">
        <v>11.597289999999999</v>
      </c>
      <c r="AP329" s="79"/>
      <c r="AQ329" s="79"/>
      <c r="AR329" s="79"/>
      <c r="AS329" s="79"/>
      <c r="AT329" s="79"/>
      <c r="AU329" s="79"/>
      <c r="AV329" s="79"/>
      <c r="AW329" s="79"/>
      <c r="AX329" s="79"/>
      <c r="AY329" s="79"/>
    </row>
    <row r="330" spans="1:51" x14ac:dyDescent="0.2">
      <c r="A330" t="s">
        <v>875</v>
      </c>
      <c r="B330" s="1">
        <v>16923</v>
      </c>
      <c r="C330" s="78">
        <v>330</v>
      </c>
      <c r="E330" s="1">
        <f t="shared" si="10"/>
        <v>16923</v>
      </c>
      <c r="F330" s="2">
        <f t="shared" si="11"/>
        <v>16923</v>
      </c>
      <c r="G330" s="78">
        <v>328</v>
      </c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  <c r="AD330" s="79"/>
      <c r="AE330" s="79"/>
      <c r="AF330" s="79"/>
      <c r="AG330" s="79"/>
      <c r="AH330" s="79"/>
      <c r="AI330" s="79"/>
      <c r="AJ330" s="79"/>
      <c r="AK330" s="79"/>
      <c r="AL330" s="79"/>
      <c r="AM330" s="79"/>
      <c r="AN330" s="79"/>
      <c r="AO330" s="79">
        <v>11.17169</v>
      </c>
      <c r="AP330" s="79"/>
      <c r="AQ330" s="79"/>
      <c r="AR330" s="79"/>
      <c r="AS330" s="79"/>
      <c r="AT330" s="79"/>
      <c r="AU330" s="79"/>
      <c r="AV330" s="79"/>
      <c r="AW330" s="79"/>
      <c r="AX330" s="79"/>
      <c r="AY330" s="79"/>
    </row>
    <row r="331" spans="1:51" x14ac:dyDescent="0.2">
      <c r="A331" t="s">
        <v>876</v>
      </c>
      <c r="B331" s="1">
        <v>16954</v>
      </c>
      <c r="C331" s="78">
        <v>331</v>
      </c>
      <c r="E331" s="1">
        <f t="shared" si="10"/>
        <v>16954</v>
      </c>
      <c r="F331" s="2">
        <f t="shared" si="11"/>
        <v>16954</v>
      </c>
      <c r="G331" s="78">
        <v>329</v>
      </c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  <c r="AD331" s="79"/>
      <c r="AE331" s="79"/>
      <c r="AF331" s="79"/>
      <c r="AG331" s="79"/>
      <c r="AH331" s="79"/>
      <c r="AI331" s="79"/>
      <c r="AJ331" s="79"/>
      <c r="AK331" s="79"/>
      <c r="AL331" s="79"/>
      <c r="AM331" s="79"/>
      <c r="AN331" s="79"/>
      <c r="AO331" s="79">
        <v>11.863250000000001</v>
      </c>
      <c r="AP331" s="79"/>
      <c r="AQ331" s="79"/>
      <c r="AR331" s="79"/>
      <c r="AS331" s="79"/>
      <c r="AT331" s="79"/>
      <c r="AU331" s="79"/>
      <c r="AV331" s="79"/>
      <c r="AW331" s="79"/>
      <c r="AX331" s="79"/>
      <c r="AY331" s="79"/>
    </row>
    <row r="332" spans="1:51" x14ac:dyDescent="0.2">
      <c r="A332" t="s">
        <v>877</v>
      </c>
      <c r="B332" s="1">
        <v>16984</v>
      </c>
      <c r="C332" s="78">
        <v>332</v>
      </c>
      <c r="E332" s="1">
        <f t="shared" si="10"/>
        <v>16984</v>
      </c>
      <c r="F332" s="2">
        <f t="shared" si="11"/>
        <v>16984</v>
      </c>
      <c r="G332" s="78">
        <v>330</v>
      </c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  <c r="AD332" s="79"/>
      <c r="AE332" s="79"/>
      <c r="AF332" s="79"/>
      <c r="AG332" s="79"/>
      <c r="AH332" s="79"/>
      <c r="AI332" s="79"/>
      <c r="AJ332" s="79"/>
      <c r="AK332" s="79"/>
      <c r="AL332" s="79"/>
      <c r="AM332" s="79"/>
      <c r="AN332" s="79"/>
      <c r="AO332" s="79">
        <v>12.26225</v>
      </c>
      <c r="AP332" s="79"/>
      <c r="AQ332" s="79"/>
      <c r="AR332" s="79"/>
      <c r="AS332" s="79"/>
      <c r="AT332" s="79"/>
      <c r="AU332" s="79"/>
      <c r="AV332" s="79"/>
      <c r="AW332" s="79"/>
      <c r="AX332" s="79"/>
      <c r="AY332" s="79"/>
    </row>
    <row r="333" spans="1:51" x14ac:dyDescent="0.2">
      <c r="A333" t="s">
        <v>878</v>
      </c>
      <c r="B333" s="1">
        <v>17015</v>
      </c>
      <c r="C333" s="78">
        <v>333</v>
      </c>
      <c r="E333" s="1">
        <f t="shared" si="10"/>
        <v>17015</v>
      </c>
      <c r="F333" s="2">
        <f t="shared" si="11"/>
        <v>17015</v>
      </c>
      <c r="G333" s="78">
        <v>331</v>
      </c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  <c r="AD333" s="79"/>
      <c r="AE333" s="79"/>
      <c r="AF333" s="79"/>
      <c r="AG333" s="79"/>
      <c r="AH333" s="79"/>
      <c r="AI333" s="79"/>
      <c r="AJ333" s="79"/>
      <c r="AK333" s="79"/>
      <c r="AL333" s="79"/>
      <c r="AM333" s="79"/>
      <c r="AN333" s="79"/>
      <c r="AO333" s="79">
        <v>12.714359999999999</v>
      </c>
      <c r="AP333" s="79"/>
      <c r="AQ333" s="79"/>
      <c r="AR333" s="79"/>
      <c r="AS333" s="79"/>
      <c r="AT333" s="79"/>
      <c r="AU333" s="79"/>
      <c r="AV333" s="79"/>
      <c r="AW333" s="79"/>
      <c r="AX333" s="79"/>
      <c r="AY333" s="79"/>
    </row>
    <row r="334" spans="1:51" x14ac:dyDescent="0.2">
      <c r="A334" t="s">
        <v>879</v>
      </c>
      <c r="B334" s="1">
        <v>17046</v>
      </c>
      <c r="C334" s="78">
        <v>334</v>
      </c>
      <c r="E334" s="1">
        <f t="shared" si="10"/>
        <v>17046</v>
      </c>
      <c r="F334" s="2">
        <f t="shared" si="11"/>
        <v>17046</v>
      </c>
      <c r="G334" s="78">
        <v>332</v>
      </c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  <c r="AD334" s="79"/>
      <c r="AE334" s="79"/>
      <c r="AF334" s="79"/>
      <c r="AG334" s="79"/>
      <c r="AH334" s="79"/>
      <c r="AI334" s="79"/>
      <c r="AJ334" s="79"/>
      <c r="AK334" s="79"/>
      <c r="AL334" s="79"/>
      <c r="AM334" s="79"/>
      <c r="AN334" s="79"/>
      <c r="AO334" s="79">
        <v>12.95382</v>
      </c>
      <c r="AP334" s="79"/>
      <c r="AQ334" s="79"/>
      <c r="AR334" s="79"/>
      <c r="AS334" s="79"/>
      <c r="AT334" s="79"/>
      <c r="AU334" s="79"/>
      <c r="AV334" s="79"/>
      <c r="AW334" s="79"/>
      <c r="AX334" s="79"/>
      <c r="AY334" s="79"/>
    </row>
    <row r="335" spans="1:51" x14ac:dyDescent="0.2">
      <c r="A335" t="s">
        <v>880</v>
      </c>
      <c r="B335" s="1">
        <v>17076</v>
      </c>
      <c r="C335" s="78">
        <v>335</v>
      </c>
      <c r="E335" s="1">
        <f t="shared" si="10"/>
        <v>17076</v>
      </c>
      <c r="F335" s="2">
        <f t="shared" si="11"/>
        <v>17076</v>
      </c>
      <c r="G335" s="78">
        <v>333</v>
      </c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>
        <v>13.19317</v>
      </c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</row>
    <row r="336" spans="1:51" x14ac:dyDescent="0.2">
      <c r="A336" t="s">
        <v>881</v>
      </c>
      <c r="B336" s="1">
        <v>17107</v>
      </c>
      <c r="C336" s="78">
        <v>336</v>
      </c>
      <c r="E336" s="1">
        <f t="shared" si="10"/>
        <v>17107</v>
      </c>
      <c r="F336" s="2">
        <f t="shared" si="11"/>
        <v>17107</v>
      </c>
      <c r="G336" s="78">
        <v>334</v>
      </c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>
        <v>13.27299</v>
      </c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</row>
    <row r="337" spans="1:51" x14ac:dyDescent="0.2">
      <c r="A337" t="s">
        <v>882</v>
      </c>
      <c r="B337" s="1">
        <v>17137</v>
      </c>
      <c r="C337" s="78">
        <v>337</v>
      </c>
      <c r="E337" s="1">
        <f t="shared" si="10"/>
        <v>17137</v>
      </c>
      <c r="F337" s="2">
        <f t="shared" si="11"/>
        <v>17137</v>
      </c>
      <c r="G337" s="78">
        <v>335</v>
      </c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  <c r="AK337" s="79"/>
      <c r="AL337" s="79"/>
      <c r="AM337" s="79"/>
      <c r="AN337" s="79"/>
      <c r="AO337" s="79">
        <v>13.35281</v>
      </c>
      <c r="AP337" s="79"/>
      <c r="AQ337" s="79"/>
      <c r="AR337" s="79"/>
      <c r="AS337" s="79"/>
      <c r="AT337" s="79"/>
      <c r="AU337" s="79"/>
      <c r="AV337" s="79"/>
      <c r="AW337" s="79"/>
      <c r="AX337" s="79"/>
      <c r="AY337" s="79"/>
    </row>
    <row r="338" spans="1:51" x14ac:dyDescent="0.2">
      <c r="A338" t="s">
        <v>883</v>
      </c>
      <c r="B338" s="1">
        <v>17168</v>
      </c>
      <c r="C338" s="78">
        <v>338</v>
      </c>
      <c r="E338" s="1">
        <f t="shared" si="10"/>
        <v>17168</v>
      </c>
      <c r="F338" s="2">
        <f t="shared" si="11"/>
        <v>17168</v>
      </c>
      <c r="G338" s="78">
        <v>336</v>
      </c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  <c r="AD338" s="79"/>
      <c r="AE338" s="79"/>
      <c r="AF338" s="79"/>
      <c r="AG338" s="79"/>
      <c r="AH338" s="79"/>
      <c r="AI338" s="79"/>
      <c r="AJ338" s="79"/>
      <c r="AK338" s="79"/>
      <c r="AL338" s="79"/>
      <c r="AM338" s="79"/>
      <c r="AN338" s="79"/>
      <c r="AO338" s="79">
        <v>13.51235</v>
      </c>
      <c r="AP338" s="79"/>
      <c r="AQ338" s="79"/>
      <c r="AR338" s="79"/>
      <c r="AS338" s="79"/>
      <c r="AT338" s="79"/>
      <c r="AU338" s="79"/>
      <c r="AV338" s="79"/>
      <c r="AW338" s="79"/>
      <c r="AX338" s="79"/>
      <c r="AY338" s="79"/>
    </row>
    <row r="339" spans="1:51" x14ac:dyDescent="0.2">
      <c r="A339" t="s">
        <v>884</v>
      </c>
      <c r="B339" s="1">
        <v>17199</v>
      </c>
      <c r="C339" s="78">
        <v>339</v>
      </c>
      <c r="E339" s="1">
        <f t="shared" si="10"/>
        <v>17199</v>
      </c>
      <c r="F339" s="2">
        <f t="shared" si="11"/>
        <v>17199</v>
      </c>
      <c r="G339" s="78">
        <v>337</v>
      </c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  <c r="AD339" s="79"/>
      <c r="AE339" s="79"/>
      <c r="AF339" s="79"/>
      <c r="AG339" s="79"/>
      <c r="AH339" s="79"/>
      <c r="AI339" s="79"/>
      <c r="AJ339" s="79"/>
      <c r="AK339" s="79"/>
      <c r="AL339" s="79"/>
      <c r="AM339" s="79"/>
      <c r="AN339" s="79"/>
      <c r="AO339" s="79">
        <v>13.592169999999999</v>
      </c>
      <c r="AP339" s="79"/>
      <c r="AQ339" s="79"/>
      <c r="AR339" s="79"/>
      <c r="AS339" s="79"/>
      <c r="AT339" s="79"/>
      <c r="AU339" s="79"/>
      <c r="AV339" s="79"/>
      <c r="AW339" s="79"/>
      <c r="AX339" s="79"/>
      <c r="AY339" s="79"/>
    </row>
    <row r="340" spans="1:51" x14ac:dyDescent="0.2">
      <c r="A340" t="s">
        <v>885</v>
      </c>
      <c r="B340" s="1">
        <v>17227</v>
      </c>
      <c r="C340" s="78">
        <v>340</v>
      </c>
      <c r="E340" s="1">
        <f t="shared" si="10"/>
        <v>17227</v>
      </c>
      <c r="F340" s="2">
        <f t="shared" si="11"/>
        <v>17227</v>
      </c>
      <c r="G340" s="78">
        <v>338</v>
      </c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  <c r="AD340" s="79"/>
      <c r="AE340" s="79"/>
      <c r="AF340" s="79"/>
      <c r="AG340" s="79"/>
      <c r="AH340" s="79"/>
      <c r="AI340" s="79"/>
      <c r="AJ340" s="79"/>
      <c r="AK340" s="79"/>
      <c r="AL340" s="79"/>
      <c r="AM340" s="79"/>
      <c r="AN340" s="79"/>
      <c r="AO340" s="79">
        <v>13.671989999999999</v>
      </c>
      <c r="AP340" s="79"/>
      <c r="AQ340" s="79"/>
      <c r="AR340" s="79"/>
      <c r="AS340" s="79"/>
      <c r="AT340" s="79"/>
      <c r="AU340" s="79"/>
      <c r="AV340" s="79"/>
      <c r="AW340" s="79"/>
      <c r="AX340" s="79"/>
      <c r="AY340" s="79"/>
    </row>
    <row r="341" spans="1:51" x14ac:dyDescent="0.2">
      <c r="A341" t="s">
        <v>886</v>
      </c>
      <c r="B341" s="1">
        <v>17258</v>
      </c>
      <c r="C341" s="78">
        <v>341</v>
      </c>
      <c r="E341" s="1">
        <f t="shared" si="10"/>
        <v>17258</v>
      </c>
      <c r="F341" s="2">
        <f t="shared" si="11"/>
        <v>17258</v>
      </c>
      <c r="G341" s="78">
        <v>339</v>
      </c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  <c r="AD341" s="79"/>
      <c r="AE341" s="79"/>
      <c r="AF341" s="79"/>
      <c r="AG341" s="79"/>
      <c r="AH341" s="79"/>
      <c r="AI341" s="79"/>
      <c r="AJ341" s="79"/>
      <c r="AK341" s="79"/>
      <c r="AL341" s="79"/>
      <c r="AM341" s="79"/>
      <c r="AN341" s="79"/>
      <c r="AO341" s="79">
        <v>13.56556</v>
      </c>
      <c r="AP341" s="79"/>
      <c r="AQ341" s="79"/>
      <c r="AR341" s="79"/>
      <c r="AS341" s="79"/>
      <c r="AT341" s="79"/>
      <c r="AU341" s="79"/>
      <c r="AV341" s="79"/>
      <c r="AW341" s="79"/>
      <c r="AX341" s="79"/>
      <c r="AY341" s="79"/>
    </row>
    <row r="342" spans="1:51" x14ac:dyDescent="0.2">
      <c r="A342" t="s">
        <v>887</v>
      </c>
      <c r="B342" s="1">
        <v>17288</v>
      </c>
      <c r="C342" s="78">
        <v>342</v>
      </c>
      <c r="E342" s="1">
        <f t="shared" si="10"/>
        <v>17288</v>
      </c>
      <c r="F342" s="2">
        <f t="shared" si="11"/>
        <v>17288</v>
      </c>
      <c r="G342" s="78">
        <v>340</v>
      </c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  <c r="AD342" s="79"/>
      <c r="AE342" s="79"/>
      <c r="AF342" s="79"/>
      <c r="AG342" s="79"/>
      <c r="AH342" s="79"/>
      <c r="AI342" s="79"/>
      <c r="AJ342" s="79"/>
      <c r="AK342" s="79"/>
      <c r="AL342" s="79"/>
      <c r="AM342" s="79"/>
      <c r="AN342" s="79"/>
      <c r="AO342" s="79">
        <v>13.618779999999999</v>
      </c>
      <c r="AP342" s="79"/>
      <c r="AQ342" s="79"/>
      <c r="AR342" s="79"/>
      <c r="AS342" s="79"/>
      <c r="AT342" s="79"/>
      <c r="AU342" s="79"/>
      <c r="AV342" s="79"/>
      <c r="AW342" s="79"/>
      <c r="AX342" s="79"/>
      <c r="AY342" s="79"/>
    </row>
    <row r="343" spans="1:51" x14ac:dyDescent="0.2">
      <c r="A343" t="s">
        <v>888</v>
      </c>
      <c r="B343" s="1">
        <v>17319</v>
      </c>
      <c r="C343" s="78">
        <v>343</v>
      </c>
      <c r="E343" s="1">
        <f t="shared" si="10"/>
        <v>17319</v>
      </c>
      <c r="F343" s="2">
        <f t="shared" si="11"/>
        <v>17319</v>
      </c>
      <c r="G343" s="78">
        <v>341</v>
      </c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  <c r="AD343" s="79"/>
      <c r="AE343" s="79"/>
      <c r="AF343" s="79"/>
      <c r="AG343" s="79"/>
      <c r="AH343" s="79"/>
      <c r="AI343" s="79"/>
      <c r="AJ343" s="79"/>
      <c r="AK343" s="79"/>
      <c r="AL343" s="79"/>
      <c r="AM343" s="79"/>
      <c r="AN343" s="79"/>
      <c r="AO343" s="79">
        <v>13.618779999999999</v>
      </c>
      <c r="AP343" s="79"/>
      <c r="AQ343" s="79"/>
      <c r="AR343" s="79"/>
      <c r="AS343" s="79"/>
      <c r="AT343" s="79"/>
      <c r="AU343" s="79"/>
      <c r="AV343" s="79"/>
      <c r="AW343" s="79"/>
      <c r="AX343" s="79"/>
      <c r="AY343" s="79"/>
    </row>
    <row r="344" spans="1:51" x14ac:dyDescent="0.2">
      <c r="A344" t="s">
        <v>889</v>
      </c>
      <c r="B344" s="1">
        <v>17349</v>
      </c>
      <c r="C344" s="78">
        <v>344</v>
      </c>
      <c r="E344" s="1">
        <f t="shared" si="10"/>
        <v>17349</v>
      </c>
      <c r="F344" s="2">
        <f t="shared" si="11"/>
        <v>17349</v>
      </c>
      <c r="G344" s="78">
        <v>342</v>
      </c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  <c r="AD344" s="79"/>
      <c r="AE344" s="79"/>
      <c r="AF344" s="79"/>
      <c r="AG344" s="79"/>
      <c r="AH344" s="79"/>
      <c r="AI344" s="79"/>
      <c r="AJ344" s="79"/>
      <c r="AK344" s="79"/>
      <c r="AL344" s="79"/>
      <c r="AM344" s="79"/>
      <c r="AN344" s="79"/>
      <c r="AO344" s="79">
        <v>13.538959999999999</v>
      </c>
      <c r="AP344" s="79"/>
      <c r="AQ344" s="79"/>
      <c r="AR344" s="79"/>
      <c r="AS344" s="79"/>
      <c r="AT344" s="79"/>
      <c r="AU344" s="79"/>
      <c r="AV344" s="79"/>
      <c r="AW344" s="79"/>
      <c r="AX344" s="79"/>
      <c r="AY344" s="79"/>
    </row>
    <row r="345" spans="1:51" x14ac:dyDescent="0.2">
      <c r="A345" t="s">
        <v>890</v>
      </c>
      <c r="B345" s="1">
        <v>17380</v>
      </c>
      <c r="C345" s="78">
        <v>345</v>
      </c>
      <c r="E345" s="1">
        <f t="shared" si="10"/>
        <v>17380</v>
      </c>
      <c r="F345" s="2">
        <f t="shared" si="11"/>
        <v>17380</v>
      </c>
      <c r="G345" s="78">
        <v>343</v>
      </c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  <c r="AD345" s="79"/>
      <c r="AE345" s="79"/>
      <c r="AF345" s="79"/>
      <c r="AG345" s="79"/>
      <c r="AH345" s="79"/>
      <c r="AI345" s="79"/>
      <c r="AJ345" s="79"/>
      <c r="AK345" s="79"/>
      <c r="AL345" s="79"/>
      <c r="AM345" s="79"/>
      <c r="AN345" s="79"/>
      <c r="AO345" s="79">
        <v>13.618779999999999</v>
      </c>
      <c r="AP345" s="79"/>
      <c r="AQ345" s="79"/>
      <c r="AR345" s="79"/>
      <c r="AS345" s="79"/>
      <c r="AT345" s="79"/>
      <c r="AU345" s="79"/>
      <c r="AV345" s="79"/>
      <c r="AW345" s="79"/>
      <c r="AX345" s="79"/>
      <c r="AY345" s="79"/>
    </row>
    <row r="346" spans="1:51" x14ac:dyDescent="0.2">
      <c r="A346" t="s">
        <v>891</v>
      </c>
      <c r="B346" s="1">
        <v>17411</v>
      </c>
      <c r="C346" s="78">
        <v>346</v>
      </c>
      <c r="E346" s="1">
        <f t="shared" si="10"/>
        <v>17411</v>
      </c>
      <c r="F346" s="2">
        <f t="shared" si="11"/>
        <v>17411</v>
      </c>
      <c r="G346" s="78">
        <v>344</v>
      </c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  <c r="AD346" s="79"/>
      <c r="AE346" s="79"/>
      <c r="AF346" s="79"/>
      <c r="AG346" s="79"/>
      <c r="AH346" s="79"/>
      <c r="AI346" s="79"/>
      <c r="AJ346" s="79"/>
      <c r="AK346" s="79"/>
      <c r="AL346" s="79"/>
      <c r="AM346" s="79"/>
      <c r="AN346" s="79"/>
      <c r="AO346" s="79">
        <v>13.725199999999999</v>
      </c>
      <c r="AP346" s="79"/>
      <c r="AQ346" s="79"/>
      <c r="AR346" s="79"/>
      <c r="AS346" s="79"/>
      <c r="AT346" s="79"/>
      <c r="AU346" s="79"/>
      <c r="AV346" s="79"/>
      <c r="AW346" s="79"/>
      <c r="AX346" s="79"/>
      <c r="AY346" s="79"/>
    </row>
    <row r="347" spans="1:51" x14ac:dyDescent="0.2">
      <c r="A347" t="s">
        <v>892</v>
      </c>
      <c r="B347" s="1">
        <v>17441</v>
      </c>
      <c r="C347" s="78">
        <v>347</v>
      </c>
      <c r="E347" s="1">
        <f t="shared" si="10"/>
        <v>17441</v>
      </c>
      <c r="F347" s="2">
        <f t="shared" si="11"/>
        <v>17441</v>
      </c>
      <c r="G347" s="78">
        <v>345</v>
      </c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  <c r="AD347" s="79"/>
      <c r="AE347" s="79"/>
      <c r="AF347" s="79"/>
      <c r="AG347" s="79"/>
      <c r="AH347" s="79"/>
      <c r="AI347" s="79"/>
      <c r="AJ347" s="79"/>
      <c r="AK347" s="79"/>
      <c r="AL347" s="79"/>
      <c r="AM347" s="79"/>
      <c r="AN347" s="79"/>
      <c r="AO347" s="79">
        <v>13.858140000000001</v>
      </c>
      <c r="AP347" s="79"/>
      <c r="AQ347" s="79"/>
      <c r="AR347" s="79"/>
      <c r="AS347" s="79"/>
      <c r="AT347" s="79"/>
      <c r="AU347" s="79"/>
      <c r="AV347" s="79"/>
      <c r="AW347" s="79"/>
      <c r="AX347" s="79"/>
      <c r="AY347" s="79"/>
    </row>
    <row r="348" spans="1:51" x14ac:dyDescent="0.2">
      <c r="A348" t="s">
        <v>893</v>
      </c>
      <c r="B348" s="1">
        <v>17472</v>
      </c>
      <c r="C348" s="78">
        <v>348</v>
      </c>
      <c r="E348" s="1">
        <f t="shared" si="10"/>
        <v>17472</v>
      </c>
      <c r="F348" s="2">
        <f t="shared" si="11"/>
        <v>17472</v>
      </c>
      <c r="G348" s="78">
        <v>346</v>
      </c>
      <c r="H348" s="79"/>
      <c r="I348" s="79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  <c r="AA348" s="79"/>
      <c r="AB348" s="79"/>
      <c r="AC348" s="79"/>
      <c r="AD348" s="79"/>
      <c r="AE348" s="79"/>
      <c r="AF348" s="79"/>
      <c r="AG348" s="79"/>
      <c r="AH348" s="79"/>
      <c r="AI348" s="79"/>
      <c r="AJ348" s="79"/>
      <c r="AK348" s="79"/>
      <c r="AL348" s="79"/>
      <c r="AM348" s="79"/>
      <c r="AN348" s="79"/>
      <c r="AO348" s="79">
        <v>14.04438</v>
      </c>
      <c r="AP348" s="79"/>
      <c r="AQ348" s="79"/>
      <c r="AR348" s="79"/>
      <c r="AS348" s="79"/>
      <c r="AT348" s="79"/>
      <c r="AU348" s="79"/>
      <c r="AV348" s="79"/>
      <c r="AW348" s="79"/>
      <c r="AX348" s="79"/>
      <c r="AY348" s="79"/>
    </row>
    <row r="349" spans="1:51" x14ac:dyDescent="0.2">
      <c r="A349" t="s">
        <v>894</v>
      </c>
      <c r="B349" s="1">
        <v>17502</v>
      </c>
      <c r="C349" s="78">
        <v>349</v>
      </c>
      <c r="E349" s="1">
        <f t="shared" si="10"/>
        <v>17502</v>
      </c>
      <c r="F349" s="2">
        <f t="shared" si="11"/>
        <v>17502</v>
      </c>
      <c r="G349" s="78">
        <v>347</v>
      </c>
      <c r="H349" s="79"/>
      <c r="I349" s="79"/>
      <c r="J349" s="79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  <c r="AA349" s="79"/>
      <c r="AB349" s="79"/>
      <c r="AC349" s="79"/>
      <c r="AD349" s="79"/>
      <c r="AE349" s="79"/>
      <c r="AF349" s="79"/>
      <c r="AG349" s="79"/>
      <c r="AH349" s="79"/>
      <c r="AI349" s="79"/>
      <c r="AJ349" s="79"/>
      <c r="AK349" s="79"/>
      <c r="AL349" s="79"/>
      <c r="AM349" s="79"/>
      <c r="AN349" s="79"/>
      <c r="AO349" s="79">
        <v>14.09759</v>
      </c>
      <c r="AP349" s="79"/>
      <c r="AQ349" s="79"/>
      <c r="AR349" s="79"/>
      <c r="AS349" s="79"/>
      <c r="AT349" s="79"/>
      <c r="AU349" s="79"/>
      <c r="AV349" s="79"/>
      <c r="AW349" s="79"/>
      <c r="AX349" s="79"/>
      <c r="AY349" s="79"/>
    </row>
    <row r="350" spans="1:51" x14ac:dyDescent="0.2">
      <c r="A350" t="s">
        <v>895</v>
      </c>
      <c r="B350" s="1">
        <v>17533</v>
      </c>
      <c r="C350" s="78">
        <v>350</v>
      </c>
      <c r="E350" s="1">
        <f t="shared" si="10"/>
        <v>17533</v>
      </c>
      <c r="F350" s="2">
        <f t="shared" si="11"/>
        <v>17533</v>
      </c>
      <c r="G350" s="78">
        <v>348</v>
      </c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  <c r="AA350" s="79"/>
      <c r="AB350" s="79"/>
      <c r="AC350" s="79"/>
      <c r="AD350" s="79"/>
      <c r="AE350" s="79"/>
      <c r="AF350" s="79"/>
      <c r="AG350" s="79"/>
      <c r="AH350" s="79"/>
      <c r="AI350" s="79"/>
      <c r="AJ350" s="79"/>
      <c r="AK350" s="79"/>
      <c r="AL350" s="79"/>
      <c r="AM350" s="79"/>
      <c r="AN350" s="79"/>
      <c r="AO350" s="79">
        <v>14.17741</v>
      </c>
      <c r="AP350" s="79"/>
      <c r="AQ350" s="79"/>
      <c r="AR350" s="79"/>
      <c r="AS350" s="79"/>
      <c r="AT350" s="79"/>
      <c r="AU350" s="79"/>
      <c r="AV350" s="79"/>
      <c r="AW350" s="79"/>
      <c r="AX350" s="79"/>
      <c r="AY350" s="79"/>
    </row>
    <row r="351" spans="1:51" x14ac:dyDescent="0.2">
      <c r="A351" t="s">
        <v>896</v>
      </c>
      <c r="B351" s="1">
        <v>17564</v>
      </c>
      <c r="C351" s="78">
        <v>351</v>
      </c>
      <c r="E351" s="1">
        <f t="shared" si="10"/>
        <v>17564</v>
      </c>
      <c r="F351" s="2">
        <f t="shared" si="11"/>
        <v>17564</v>
      </c>
      <c r="G351" s="78">
        <v>349</v>
      </c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  <c r="AA351" s="79"/>
      <c r="AB351" s="79"/>
      <c r="AC351" s="79"/>
      <c r="AD351" s="79"/>
      <c r="AE351" s="79"/>
      <c r="AF351" s="79"/>
      <c r="AG351" s="79"/>
      <c r="AH351" s="79"/>
      <c r="AI351" s="79"/>
      <c r="AJ351" s="79"/>
      <c r="AK351" s="79"/>
      <c r="AL351" s="79"/>
      <c r="AM351" s="79"/>
      <c r="AN351" s="79"/>
      <c r="AO351" s="79">
        <v>14.20401</v>
      </c>
      <c r="AP351" s="79"/>
      <c r="AQ351" s="79"/>
      <c r="AR351" s="79"/>
      <c r="AS351" s="79"/>
      <c r="AT351" s="79"/>
      <c r="AU351" s="79"/>
      <c r="AV351" s="79"/>
      <c r="AW351" s="79"/>
      <c r="AX351" s="79"/>
      <c r="AY351" s="79"/>
    </row>
    <row r="352" spans="1:51" x14ac:dyDescent="0.2">
      <c r="A352" t="s">
        <v>897</v>
      </c>
      <c r="B352" s="1">
        <v>17593</v>
      </c>
      <c r="C352" s="78">
        <v>352</v>
      </c>
      <c r="E352" s="1">
        <f t="shared" si="10"/>
        <v>17593</v>
      </c>
      <c r="F352" s="2">
        <f t="shared" si="11"/>
        <v>17593</v>
      </c>
      <c r="G352" s="78">
        <v>350</v>
      </c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  <c r="AA352" s="79"/>
      <c r="AB352" s="79"/>
      <c r="AC352" s="79"/>
      <c r="AD352" s="79"/>
      <c r="AE352" s="79"/>
      <c r="AF352" s="79"/>
      <c r="AG352" s="79"/>
      <c r="AH352" s="79"/>
      <c r="AI352" s="79"/>
      <c r="AJ352" s="79"/>
      <c r="AK352" s="79"/>
      <c r="AL352" s="79"/>
      <c r="AM352" s="79"/>
      <c r="AN352" s="79"/>
      <c r="AO352" s="79">
        <v>14.04438</v>
      </c>
      <c r="AP352" s="79"/>
      <c r="AQ352" s="79"/>
      <c r="AR352" s="79"/>
      <c r="AS352" s="79"/>
      <c r="AT352" s="79"/>
      <c r="AU352" s="79"/>
      <c r="AV352" s="79"/>
      <c r="AW352" s="79"/>
      <c r="AX352" s="79"/>
      <c r="AY352" s="79"/>
    </row>
    <row r="353" spans="1:51" x14ac:dyDescent="0.2">
      <c r="A353" t="s">
        <v>898</v>
      </c>
      <c r="B353" s="1">
        <v>17624</v>
      </c>
      <c r="C353" s="78">
        <v>353</v>
      </c>
      <c r="E353" s="1">
        <f t="shared" si="10"/>
        <v>17624</v>
      </c>
      <c r="F353" s="2">
        <f t="shared" si="11"/>
        <v>17624</v>
      </c>
      <c r="G353" s="78">
        <v>351</v>
      </c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  <c r="AA353" s="79"/>
      <c r="AB353" s="79"/>
      <c r="AC353" s="79"/>
      <c r="AD353" s="79"/>
      <c r="AE353" s="79"/>
      <c r="AF353" s="79"/>
      <c r="AG353" s="79"/>
      <c r="AH353" s="79"/>
      <c r="AI353" s="79"/>
      <c r="AJ353" s="79"/>
      <c r="AK353" s="79"/>
      <c r="AL353" s="79"/>
      <c r="AM353" s="79"/>
      <c r="AN353" s="79"/>
      <c r="AO353" s="79">
        <v>14.07098</v>
      </c>
      <c r="AP353" s="79"/>
      <c r="AQ353" s="79"/>
      <c r="AR353" s="79"/>
      <c r="AS353" s="79"/>
      <c r="AT353" s="79"/>
      <c r="AU353" s="79"/>
      <c r="AV353" s="79"/>
      <c r="AW353" s="79"/>
      <c r="AX353" s="79"/>
      <c r="AY353" s="79"/>
    </row>
    <row r="354" spans="1:51" x14ac:dyDescent="0.2">
      <c r="A354" t="s">
        <v>899</v>
      </c>
      <c r="B354" s="1">
        <v>17654</v>
      </c>
      <c r="C354" s="78">
        <v>354</v>
      </c>
      <c r="E354" s="1">
        <f t="shared" si="10"/>
        <v>17654</v>
      </c>
      <c r="F354" s="2">
        <f t="shared" si="11"/>
        <v>17654</v>
      </c>
      <c r="G354" s="78">
        <v>352</v>
      </c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  <c r="AA354" s="79"/>
      <c r="AB354" s="79"/>
      <c r="AC354" s="79"/>
      <c r="AD354" s="79"/>
      <c r="AE354" s="79"/>
      <c r="AF354" s="79"/>
      <c r="AG354" s="79"/>
      <c r="AH354" s="79"/>
      <c r="AI354" s="79"/>
      <c r="AJ354" s="79"/>
      <c r="AK354" s="79"/>
      <c r="AL354" s="79"/>
      <c r="AM354" s="79"/>
      <c r="AN354" s="79"/>
      <c r="AO354" s="79">
        <v>14.31034</v>
      </c>
      <c r="AP354" s="79"/>
      <c r="AQ354" s="79"/>
      <c r="AR354" s="79"/>
      <c r="AS354" s="79"/>
      <c r="AT354" s="79"/>
      <c r="AU354" s="79"/>
      <c r="AV354" s="79"/>
      <c r="AW354" s="79"/>
      <c r="AX354" s="79"/>
      <c r="AY354" s="79"/>
    </row>
    <row r="355" spans="1:51" x14ac:dyDescent="0.2">
      <c r="A355" t="s">
        <v>900</v>
      </c>
      <c r="B355" s="1">
        <v>17685</v>
      </c>
      <c r="C355" s="78">
        <v>355</v>
      </c>
      <c r="E355" s="1">
        <f t="shared" si="10"/>
        <v>17685</v>
      </c>
      <c r="F355" s="2">
        <f t="shared" si="11"/>
        <v>17685</v>
      </c>
      <c r="G355" s="78">
        <v>353</v>
      </c>
      <c r="H355" s="79"/>
      <c r="I355" s="79"/>
      <c r="J355" s="79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9"/>
      <c r="X355" s="79"/>
      <c r="Y355" s="79"/>
      <c r="Z355" s="79"/>
      <c r="AA355" s="79"/>
      <c r="AB355" s="79"/>
      <c r="AC355" s="79"/>
      <c r="AD355" s="79"/>
      <c r="AE355" s="79"/>
      <c r="AF355" s="79"/>
      <c r="AG355" s="79"/>
      <c r="AH355" s="79"/>
      <c r="AI355" s="79"/>
      <c r="AJ355" s="79"/>
      <c r="AK355" s="79"/>
      <c r="AL355" s="79"/>
      <c r="AM355" s="79"/>
      <c r="AN355" s="79"/>
      <c r="AO355" s="79">
        <v>14.496589999999999</v>
      </c>
      <c r="AP355" s="79"/>
      <c r="AQ355" s="79"/>
      <c r="AR355" s="79"/>
      <c r="AS355" s="79"/>
      <c r="AT355" s="79"/>
      <c r="AU355" s="79"/>
      <c r="AV355" s="79"/>
      <c r="AW355" s="79"/>
      <c r="AX355" s="79"/>
      <c r="AY355" s="79"/>
    </row>
    <row r="356" spans="1:51" x14ac:dyDescent="0.2">
      <c r="A356" t="s">
        <v>901</v>
      </c>
      <c r="B356" s="1">
        <v>17715</v>
      </c>
      <c r="C356" s="78">
        <v>356</v>
      </c>
      <c r="E356" s="1">
        <f t="shared" si="10"/>
        <v>17715</v>
      </c>
      <c r="F356" s="2">
        <f t="shared" si="11"/>
        <v>17715</v>
      </c>
      <c r="G356" s="78">
        <v>354</v>
      </c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  <c r="AA356" s="79"/>
      <c r="AB356" s="79"/>
      <c r="AC356" s="79"/>
      <c r="AD356" s="79"/>
      <c r="AE356" s="79"/>
      <c r="AF356" s="79"/>
      <c r="AG356" s="79"/>
      <c r="AH356" s="79"/>
      <c r="AI356" s="79"/>
      <c r="AJ356" s="79"/>
      <c r="AK356" s="79"/>
      <c r="AL356" s="79"/>
      <c r="AM356" s="79"/>
      <c r="AN356" s="79"/>
      <c r="AO356" s="79">
        <v>14.496589999999999</v>
      </c>
      <c r="AP356" s="79"/>
      <c r="AQ356" s="79"/>
      <c r="AR356" s="79"/>
      <c r="AS356" s="79"/>
      <c r="AT356" s="79"/>
      <c r="AU356" s="79"/>
      <c r="AV356" s="79"/>
      <c r="AW356" s="79"/>
      <c r="AX356" s="79"/>
      <c r="AY356" s="79"/>
    </row>
    <row r="357" spans="1:51" x14ac:dyDescent="0.2">
      <c r="A357" t="s">
        <v>902</v>
      </c>
      <c r="B357" s="1">
        <v>17746</v>
      </c>
      <c r="C357" s="78">
        <v>357</v>
      </c>
      <c r="E357" s="1">
        <f t="shared" si="10"/>
        <v>17746</v>
      </c>
      <c r="F357" s="2">
        <f t="shared" si="11"/>
        <v>17746</v>
      </c>
      <c r="G357" s="78">
        <v>355</v>
      </c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  <c r="AA357" s="79"/>
      <c r="AB357" s="79"/>
      <c r="AC357" s="79"/>
      <c r="AD357" s="79"/>
      <c r="AE357" s="79"/>
      <c r="AF357" s="79"/>
      <c r="AG357" s="79"/>
      <c r="AH357" s="79"/>
      <c r="AI357" s="79"/>
      <c r="AJ357" s="79"/>
      <c r="AK357" s="79"/>
      <c r="AL357" s="79"/>
      <c r="AM357" s="79"/>
      <c r="AN357" s="79"/>
      <c r="AO357" s="79">
        <v>14.44337</v>
      </c>
      <c r="AP357" s="79"/>
      <c r="AQ357" s="79"/>
      <c r="AR357" s="79"/>
      <c r="AS357" s="79"/>
      <c r="AT357" s="79"/>
      <c r="AU357" s="79"/>
      <c r="AV357" s="79"/>
      <c r="AW357" s="79"/>
      <c r="AX357" s="79"/>
      <c r="AY357" s="79"/>
    </row>
    <row r="358" spans="1:51" x14ac:dyDescent="0.2">
      <c r="A358" t="s">
        <v>903</v>
      </c>
      <c r="B358" s="1">
        <v>17777</v>
      </c>
      <c r="C358" s="78">
        <v>358</v>
      </c>
      <c r="E358" s="1">
        <f t="shared" si="10"/>
        <v>17777</v>
      </c>
      <c r="F358" s="2">
        <f t="shared" si="11"/>
        <v>17777</v>
      </c>
      <c r="G358" s="78">
        <v>356</v>
      </c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  <c r="AA358" s="79"/>
      <c r="AB358" s="79"/>
      <c r="AC358" s="79"/>
      <c r="AD358" s="79"/>
      <c r="AE358" s="79"/>
      <c r="AF358" s="79"/>
      <c r="AG358" s="79"/>
      <c r="AH358" s="79"/>
      <c r="AI358" s="79"/>
      <c r="AJ358" s="79"/>
      <c r="AK358" s="79"/>
      <c r="AL358" s="79"/>
      <c r="AM358" s="79"/>
      <c r="AN358" s="79"/>
      <c r="AO358" s="79">
        <v>14.33695</v>
      </c>
      <c r="AP358" s="79"/>
      <c r="AQ358" s="79"/>
      <c r="AR358" s="79"/>
      <c r="AS358" s="79"/>
      <c r="AT358" s="79"/>
      <c r="AU358" s="79"/>
      <c r="AV358" s="79"/>
      <c r="AW358" s="79"/>
      <c r="AX358" s="79"/>
      <c r="AY358" s="79"/>
    </row>
    <row r="359" spans="1:51" x14ac:dyDescent="0.2">
      <c r="A359" t="s">
        <v>904</v>
      </c>
      <c r="B359" s="1">
        <v>17807</v>
      </c>
      <c r="C359" s="78">
        <v>359</v>
      </c>
      <c r="E359" s="1">
        <f t="shared" si="10"/>
        <v>17807</v>
      </c>
      <c r="F359" s="2">
        <f t="shared" si="11"/>
        <v>17807</v>
      </c>
      <c r="G359" s="78">
        <v>357</v>
      </c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  <c r="AA359" s="79"/>
      <c r="AB359" s="79"/>
      <c r="AC359" s="79"/>
      <c r="AD359" s="79"/>
      <c r="AE359" s="79"/>
      <c r="AF359" s="79"/>
      <c r="AG359" s="79"/>
      <c r="AH359" s="79"/>
      <c r="AI359" s="79"/>
      <c r="AJ359" s="79"/>
      <c r="AK359" s="79"/>
      <c r="AL359" s="79"/>
      <c r="AM359" s="79"/>
      <c r="AN359" s="79"/>
      <c r="AO359" s="79">
        <v>14.44337</v>
      </c>
      <c r="AP359" s="79"/>
      <c r="AQ359" s="79"/>
      <c r="AR359" s="79"/>
      <c r="AS359" s="79"/>
      <c r="AT359" s="79"/>
      <c r="AU359" s="79"/>
      <c r="AV359" s="79"/>
      <c r="AW359" s="79"/>
      <c r="AX359" s="79"/>
      <c r="AY359" s="79"/>
    </row>
    <row r="360" spans="1:51" x14ac:dyDescent="0.2">
      <c r="A360" t="s">
        <v>905</v>
      </c>
      <c r="B360" s="1">
        <v>17838</v>
      </c>
      <c r="C360" s="78">
        <v>360</v>
      </c>
      <c r="E360" s="1">
        <f t="shared" si="10"/>
        <v>17838</v>
      </c>
      <c r="F360" s="2">
        <f t="shared" si="11"/>
        <v>17838</v>
      </c>
      <c r="G360" s="78">
        <v>358</v>
      </c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  <c r="AA360" s="79"/>
      <c r="AB360" s="79"/>
      <c r="AC360" s="79"/>
      <c r="AD360" s="79"/>
      <c r="AE360" s="79"/>
      <c r="AF360" s="79"/>
      <c r="AG360" s="79"/>
      <c r="AH360" s="79"/>
      <c r="AI360" s="79"/>
      <c r="AJ360" s="79"/>
      <c r="AK360" s="79"/>
      <c r="AL360" s="79"/>
      <c r="AM360" s="79"/>
      <c r="AN360" s="79"/>
      <c r="AO360" s="79">
        <v>14.25713</v>
      </c>
      <c r="AP360" s="79"/>
      <c r="AQ360" s="79"/>
      <c r="AR360" s="79"/>
      <c r="AS360" s="79"/>
      <c r="AT360" s="79"/>
      <c r="AU360" s="79"/>
      <c r="AV360" s="79"/>
      <c r="AW360" s="79"/>
      <c r="AX360" s="79"/>
      <c r="AY360" s="79"/>
    </row>
    <row r="361" spans="1:51" x14ac:dyDescent="0.2">
      <c r="A361" t="s">
        <v>906</v>
      </c>
      <c r="B361" s="1">
        <v>17868</v>
      </c>
      <c r="C361" s="78">
        <v>361</v>
      </c>
      <c r="E361" s="1">
        <f t="shared" si="10"/>
        <v>17868</v>
      </c>
      <c r="F361" s="2">
        <f t="shared" si="11"/>
        <v>17868</v>
      </c>
      <c r="G361" s="78">
        <v>359</v>
      </c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  <c r="AA361" s="79"/>
      <c r="AB361" s="79"/>
      <c r="AC361" s="79"/>
      <c r="AD361" s="79"/>
      <c r="AE361" s="79"/>
      <c r="AF361" s="79"/>
      <c r="AG361" s="79"/>
      <c r="AH361" s="79"/>
      <c r="AI361" s="79"/>
      <c r="AJ361" s="79"/>
      <c r="AK361" s="79"/>
      <c r="AL361" s="79"/>
      <c r="AM361" s="79"/>
      <c r="AN361" s="79"/>
      <c r="AO361" s="79">
        <v>14.1242</v>
      </c>
      <c r="AP361" s="79"/>
      <c r="AQ361" s="79"/>
      <c r="AR361" s="79"/>
      <c r="AS361" s="79"/>
      <c r="AT361" s="79"/>
      <c r="AU361" s="79"/>
      <c r="AV361" s="79"/>
      <c r="AW361" s="79"/>
      <c r="AX361" s="79"/>
      <c r="AY361" s="79"/>
    </row>
    <row r="362" spans="1:51" x14ac:dyDescent="0.2">
      <c r="A362" t="s">
        <v>907</v>
      </c>
      <c r="B362" s="1">
        <v>17899</v>
      </c>
      <c r="C362" s="78">
        <v>362</v>
      </c>
      <c r="E362" s="1">
        <f t="shared" si="10"/>
        <v>17899</v>
      </c>
      <c r="F362" s="2">
        <f t="shared" si="11"/>
        <v>17899</v>
      </c>
      <c r="G362" s="78">
        <v>360</v>
      </c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  <c r="AA362" s="79"/>
      <c r="AB362" s="79"/>
      <c r="AC362" s="79"/>
      <c r="AD362" s="79"/>
      <c r="AE362" s="79"/>
      <c r="AF362" s="79"/>
      <c r="AG362" s="79"/>
      <c r="AH362" s="79"/>
      <c r="AI362" s="79"/>
      <c r="AJ362" s="79"/>
      <c r="AK362" s="79"/>
      <c r="AL362" s="79"/>
      <c r="AM362" s="79"/>
      <c r="AN362" s="79"/>
      <c r="AO362" s="79">
        <v>13.99117</v>
      </c>
      <c r="AP362" s="79"/>
      <c r="AQ362" s="79"/>
      <c r="AR362" s="79"/>
      <c r="AS362" s="79"/>
      <c r="AT362" s="79"/>
      <c r="AU362" s="79"/>
      <c r="AV362" s="79"/>
      <c r="AW362" s="79"/>
      <c r="AX362" s="79"/>
      <c r="AY362" s="79"/>
    </row>
    <row r="363" spans="1:51" x14ac:dyDescent="0.2">
      <c r="A363" t="s">
        <v>908</v>
      </c>
      <c r="B363" s="1">
        <v>17930</v>
      </c>
      <c r="C363" s="78">
        <v>363</v>
      </c>
      <c r="E363" s="1">
        <f t="shared" si="10"/>
        <v>17930</v>
      </c>
      <c r="F363" s="2">
        <f t="shared" si="11"/>
        <v>17930</v>
      </c>
      <c r="G363" s="78">
        <v>361</v>
      </c>
      <c r="H363" s="79"/>
      <c r="I363" s="79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  <c r="AA363" s="79"/>
      <c r="AB363" s="79"/>
      <c r="AC363" s="79"/>
      <c r="AD363" s="79"/>
      <c r="AE363" s="79"/>
      <c r="AF363" s="79"/>
      <c r="AG363" s="79"/>
      <c r="AH363" s="79"/>
      <c r="AI363" s="79"/>
      <c r="AJ363" s="79"/>
      <c r="AK363" s="79"/>
      <c r="AL363" s="79"/>
      <c r="AM363" s="79"/>
      <c r="AN363" s="79"/>
      <c r="AO363" s="79">
        <v>13.858230000000001</v>
      </c>
      <c r="AP363" s="79"/>
      <c r="AQ363" s="79"/>
      <c r="AR363" s="79"/>
      <c r="AS363" s="79"/>
      <c r="AT363" s="79"/>
      <c r="AU363" s="79"/>
      <c r="AV363" s="79"/>
      <c r="AW363" s="79"/>
      <c r="AX363" s="79"/>
      <c r="AY363" s="79"/>
    </row>
    <row r="364" spans="1:51" x14ac:dyDescent="0.2">
      <c r="A364" t="s">
        <v>909</v>
      </c>
      <c r="B364" s="1">
        <v>17958</v>
      </c>
      <c r="C364" s="78">
        <v>364</v>
      </c>
      <c r="E364" s="1">
        <f t="shared" si="10"/>
        <v>17958</v>
      </c>
      <c r="F364" s="2">
        <f t="shared" si="11"/>
        <v>17958</v>
      </c>
      <c r="G364" s="78">
        <v>362</v>
      </c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  <c r="AA364" s="79"/>
      <c r="AB364" s="79"/>
      <c r="AC364" s="79"/>
      <c r="AD364" s="79"/>
      <c r="AE364" s="79"/>
      <c r="AF364" s="79"/>
      <c r="AG364" s="79"/>
      <c r="AH364" s="79"/>
      <c r="AI364" s="79"/>
      <c r="AJ364" s="79"/>
      <c r="AK364" s="79"/>
      <c r="AL364" s="79"/>
      <c r="AM364" s="79"/>
      <c r="AN364" s="79"/>
      <c r="AO364" s="79">
        <v>13.592169999999999</v>
      </c>
      <c r="AP364" s="79"/>
      <c r="AQ364" s="79"/>
      <c r="AR364" s="79"/>
      <c r="AS364" s="79"/>
      <c r="AT364" s="79"/>
      <c r="AU364" s="79"/>
      <c r="AV364" s="79"/>
      <c r="AW364" s="79"/>
      <c r="AX364" s="79"/>
      <c r="AY364" s="79"/>
    </row>
    <row r="365" spans="1:51" x14ac:dyDescent="0.2">
      <c r="A365" t="s">
        <v>910</v>
      </c>
      <c r="B365" s="1">
        <v>17989</v>
      </c>
      <c r="C365" s="78">
        <v>365</v>
      </c>
      <c r="E365" s="1">
        <f t="shared" si="10"/>
        <v>17989</v>
      </c>
      <c r="F365" s="2">
        <f t="shared" si="11"/>
        <v>17989</v>
      </c>
      <c r="G365" s="78">
        <v>363</v>
      </c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  <c r="AA365" s="79"/>
      <c r="AB365" s="79"/>
      <c r="AC365" s="79"/>
      <c r="AD365" s="79"/>
      <c r="AE365" s="79"/>
      <c r="AF365" s="79"/>
      <c r="AG365" s="79"/>
      <c r="AH365" s="79"/>
      <c r="AI365" s="79"/>
      <c r="AJ365" s="79"/>
      <c r="AK365" s="79"/>
      <c r="AL365" s="79"/>
      <c r="AM365" s="79"/>
      <c r="AN365" s="79"/>
      <c r="AO365" s="79">
        <v>13.51235</v>
      </c>
      <c r="AP365" s="79"/>
      <c r="AQ365" s="79"/>
      <c r="AR365" s="79"/>
      <c r="AS365" s="79"/>
      <c r="AT365" s="79"/>
      <c r="AU365" s="79"/>
      <c r="AV365" s="79"/>
      <c r="AW365" s="79"/>
      <c r="AX365" s="79"/>
      <c r="AY365" s="79"/>
    </row>
    <row r="366" spans="1:51" x14ac:dyDescent="0.2">
      <c r="A366" t="s">
        <v>911</v>
      </c>
      <c r="B366" s="1">
        <v>18019</v>
      </c>
      <c r="C366" s="78">
        <v>366</v>
      </c>
      <c r="E366" s="1">
        <f t="shared" si="10"/>
        <v>18019</v>
      </c>
      <c r="F366" s="2">
        <f t="shared" si="11"/>
        <v>18019</v>
      </c>
      <c r="G366" s="78">
        <v>364</v>
      </c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  <c r="AA366" s="79"/>
      <c r="AB366" s="79"/>
      <c r="AC366" s="79"/>
      <c r="AD366" s="79"/>
      <c r="AE366" s="79"/>
      <c r="AF366" s="79"/>
      <c r="AG366" s="79"/>
      <c r="AH366" s="79"/>
      <c r="AI366" s="79"/>
      <c r="AJ366" s="79"/>
      <c r="AK366" s="79"/>
      <c r="AL366" s="79"/>
      <c r="AM366" s="79"/>
      <c r="AN366" s="79"/>
      <c r="AO366" s="79">
        <v>13.32621</v>
      </c>
      <c r="AP366" s="79"/>
      <c r="AQ366" s="79"/>
      <c r="AR366" s="79"/>
      <c r="AS366" s="79"/>
      <c r="AT366" s="79"/>
      <c r="AU366" s="79"/>
      <c r="AV366" s="79"/>
      <c r="AW366" s="79"/>
      <c r="AX366" s="79"/>
      <c r="AY366" s="79"/>
    </row>
    <row r="367" spans="1:51" x14ac:dyDescent="0.2">
      <c r="A367" t="s">
        <v>912</v>
      </c>
      <c r="B367" s="1">
        <v>18050</v>
      </c>
      <c r="C367" s="78">
        <v>367</v>
      </c>
      <c r="E367" s="1">
        <f t="shared" si="10"/>
        <v>18050</v>
      </c>
      <c r="F367" s="2">
        <f t="shared" si="11"/>
        <v>18050</v>
      </c>
      <c r="G367" s="78">
        <v>365</v>
      </c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  <c r="AA367" s="79"/>
      <c r="AB367" s="79"/>
      <c r="AC367" s="79"/>
      <c r="AD367" s="79"/>
      <c r="AE367" s="79"/>
      <c r="AF367" s="79"/>
      <c r="AG367" s="79"/>
      <c r="AH367" s="79"/>
      <c r="AI367" s="79"/>
      <c r="AJ367" s="79"/>
      <c r="AK367" s="79"/>
      <c r="AL367" s="79"/>
      <c r="AM367" s="79"/>
      <c r="AN367" s="79"/>
      <c r="AO367" s="79">
        <v>13.2996</v>
      </c>
      <c r="AP367" s="79"/>
      <c r="AQ367" s="79"/>
      <c r="AR367" s="79"/>
      <c r="AS367" s="79"/>
      <c r="AT367" s="79"/>
      <c r="AU367" s="79"/>
      <c r="AV367" s="79"/>
      <c r="AW367" s="79"/>
      <c r="AX367" s="79"/>
      <c r="AY367" s="79"/>
    </row>
    <row r="368" spans="1:51" x14ac:dyDescent="0.2">
      <c r="A368" t="s">
        <v>913</v>
      </c>
      <c r="B368" s="1">
        <v>18080</v>
      </c>
      <c r="C368" s="78">
        <v>368</v>
      </c>
      <c r="E368" s="1">
        <f t="shared" si="10"/>
        <v>18080</v>
      </c>
      <c r="F368" s="2">
        <f t="shared" si="11"/>
        <v>18080</v>
      </c>
      <c r="G368" s="78">
        <v>366</v>
      </c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  <c r="AA368" s="79"/>
      <c r="AB368" s="79"/>
      <c r="AC368" s="79"/>
      <c r="AD368" s="79"/>
      <c r="AE368" s="79"/>
      <c r="AF368" s="79"/>
      <c r="AG368" s="79"/>
      <c r="AH368" s="79"/>
      <c r="AI368" s="79"/>
      <c r="AJ368" s="79"/>
      <c r="AK368" s="79"/>
      <c r="AL368" s="79"/>
      <c r="AM368" s="79"/>
      <c r="AN368" s="79"/>
      <c r="AO368" s="79">
        <v>13.27299</v>
      </c>
      <c r="AP368" s="79"/>
      <c r="AQ368" s="79"/>
      <c r="AR368" s="79"/>
      <c r="AS368" s="79"/>
      <c r="AT368" s="79"/>
      <c r="AU368" s="79"/>
      <c r="AV368" s="79"/>
      <c r="AW368" s="79"/>
      <c r="AX368" s="79"/>
      <c r="AY368" s="79"/>
    </row>
    <row r="369" spans="1:51" x14ac:dyDescent="0.2">
      <c r="A369" t="s">
        <v>914</v>
      </c>
      <c r="B369" s="1">
        <v>18111</v>
      </c>
      <c r="C369" s="78">
        <v>369</v>
      </c>
      <c r="E369" s="1">
        <f t="shared" si="10"/>
        <v>18111</v>
      </c>
      <c r="F369" s="2">
        <f t="shared" si="11"/>
        <v>18111</v>
      </c>
      <c r="G369" s="78">
        <v>367</v>
      </c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  <c r="AA369" s="79"/>
      <c r="AB369" s="79"/>
      <c r="AC369" s="79"/>
      <c r="AD369" s="79"/>
      <c r="AE369" s="79"/>
      <c r="AF369" s="79"/>
      <c r="AG369" s="79"/>
      <c r="AH369" s="79"/>
      <c r="AI369" s="79"/>
      <c r="AJ369" s="79"/>
      <c r="AK369" s="79"/>
      <c r="AL369" s="79"/>
      <c r="AM369" s="79"/>
      <c r="AN369" s="79"/>
      <c r="AO369" s="79">
        <v>13.40602</v>
      </c>
      <c r="AP369" s="79"/>
      <c r="AQ369" s="79"/>
      <c r="AR369" s="79"/>
      <c r="AS369" s="79"/>
      <c r="AT369" s="79"/>
      <c r="AU369" s="79"/>
      <c r="AV369" s="79"/>
      <c r="AW369" s="79"/>
      <c r="AX369" s="79"/>
      <c r="AY369" s="79"/>
    </row>
    <row r="370" spans="1:51" x14ac:dyDescent="0.2">
      <c r="A370" t="s">
        <v>915</v>
      </c>
      <c r="B370" s="1">
        <v>18142</v>
      </c>
      <c r="C370" s="78">
        <v>370</v>
      </c>
      <c r="E370" s="1">
        <f t="shared" si="10"/>
        <v>18142</v>
      </c>
      <c r="F370" s="2">
        <f t="shared" si="11"/>
        <v>18142</v>
      </c>
      <c r="G370" s="78">
        <v>368</v>
      </c>
      <c r="H370" s="79"/>
      <c r="I370" s="79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  <c r="AA370" s="79"/>
      <c r="AB370" s="79"/>
      <c r="AC370" s="79"/>
      <c r="AD370" s="79"/>
      <c r="AE370" s="79"/>
      <c r="AF370" s="79"/>
      <c r="AG370" s="79"/>
      <c r="AH370" s="79"/>
      <c r="AI370" s="79"/>
      <c r="AJ370" s="79"/>
      <c r="AK370" s="79"/>
      <c r="AL370" s="79"/>
      <c r="AM370" s="79"/>
      <c r="AN370" s="79"/>
      <c r="AO370" s="79">
        <v>13.538959999999999</v>
      </c>
      <c r="AP370" s="79"/>
      <c r="AQ370" s="79"/>
      <c r="AR370" s="79"/>
      <c r="AS370" s="79"/>
      <c r="AT370" s="79"/>
      <c r="AU370" s="79"/>
      <c r="AV370" s="79"/>
      <c r="AW370" s="79"/>
      <c r="AX370" s="79"/>
      <c r="AY370" s="79"/>
    </row>
    <row r="371" spans="1:51" x14ac:dyDescent="0.2">
      <c r="A371" t="s">
        <v>916</v>
      </c>
      <c r="B371" s="1">
        <v>18172</v>
      </c>
      <c r="C371" s="78">
        <v>371</v>
      </c>
      <c r="E371" s="1">
        <f t="shared" si="10"/>
        <v>18172</v>
      </c>
      <c r="F371" s="2">
        <f t="shared" si="11"/>
        <v>18172</v>
      </c>
      <c r="G371" s="78">
        <v>369</v>
      </c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  <c r="AD371" s="79"/>
      <c r="AE371" s="79"/>
      <c r="AF371" s="79"/>
      <c r="AG371" s="79"/>
      <c r="AH371" s="79"/>
      <c r="AI371" s="79"/>
      <c r="AJ371" s="79"/>
      <c r="AK371" s="79"/>
      <c r="AL371" s="79"/>
      <c r="AM371" s="79"/>
      <c r="AN371" s="79"/>
      <c r="AO371" s="79">
        <v>13.03363</v>
      </c>
      <c r="AP371" s="79"/>
      <c r="AQ371" s="79"/>
      <c r="AR371" s="79"/>
      <c r="AS371" s="79"/>
      <c r="AT371" s="79"/>
      <c r="AU371" s="79"/>
      <c r="AV371" s="79"/>
      <c r="AW371" s="79"/>
      <c r="AX371" s="79"/>
      <c r="AY371" s="79"/>
    </row>
    <row r="372" spans="1:51" x14ac:dyDescent="0.2">
      <c r="A372" t="s">
        <v>917</v>
      </c>
      <c r="B372" s="1">
        <v>18203</v>
      </c>
      <c r="C372" s="78">
        <v>372</v>
      </c>
      <c r="E372" s="1">
        <f t="shared" si="10"/>
        <v>18203</v>
      </c>
      <c r="F372" s="2">
        <f t="shared" si="11"/>
        <v>18203</v>
      </c>
      <c r="G372" s="78">
        <v>370</v>
      </c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  <c r="AD372" s="79"/>
      <c r="AE372" s="79"/>
      <c r="AF372" s="79"/>
      <c r="AG372" s="79"/>
      <c r="AH372" s="79"/>
      <c r="AI372" s="79"/>
      <c r="AJ372" s="79"/>
      <c r="AK372" s="79"/>
      <c r="AL372" s="79"/>
      <c r="AM372" s="79"/>
      <c r="AN372" s="79"/>
      <c r="AO372" s="79">
        <v>13.37942</v>
      </c>
      <c r="AP372" s="79"/>
      <c r="AQ372" s="79"/>
      <c r="AR372" s="79"/>
      <c r="AS372" s="79"/>
      <c r="AT372" s="79"/>
      <c r="AU372" s="79"/>
      <c r="AV372" s="79"/>
      <c r="AW372" s="79"/>
      <c r="AX372" s="79"/>
      <c r="AY372" s="79"/>
    </row>
    <row r="373" spans="1:51" x14ac:dyDescent="0.2">
      <c r="A373" t="s">
        <v>918</v>
      </c>
      <c r="B373" s="1">
        <v>18233</v>
      </c>
      <c r="C373" s="78">
        <v>373</v>
      </c>
      <c r="E373" s="1">
        <f t="shared" si="10"/>
        <v>18233</v>
      </c>
      <c r="F373" s="2">
        <f t="shared" si="11"/>
        <v>18233</v>
      </c>
      <c r="G373" s="78">
        <v>371</v>
      </c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  <c r="AD373" s="79"/>
      <c r="AE373" s="79"/>
      <c r="AF373" s="79"/>
      <c r="AG373" s="79"/>
      <c r="AH373" s="79"/>
      <c r="AI373" s="79"/>
      <c r="AJ373" s="79"/>
      <c r="AK373" s="79"/>
      <c r="AL373" s="79"/>
      <c r="AM373" s="79"/>
      <c r="AN373" s="79"/>
      <c r="AO373" s="79">
        <v>13.618779999999999</v>
      </c>
      <c r="AP373" s="79"/>
      <c r="AQ373" s="79"/>
      <c r="AR373" s="79"/>
      <c r="AS373" s="79"/>
      <c r="AT373" s="79"/>
      <c r="AU373" s="79"/>
      <c r="AV373" s="79"/>
      <c r="AW373" s="79"/>
      <c r="AX373" s="79"/>
      <c r="AY373" s="79"/>
    </row>
    <row r="374" spans="1:51" x14ac:dyDescent="0.2">
      <c r="A374" t="s">
        <v>919</v>
      </c>
      <c r="B374" s="1">
        <v>18264</v>
      </c>
      <c r="C374" s="78">
        <v>374</v>
      </c>
      <c r="E374" s="1">
        <f t="shared" si="10"/>
        <v>18264</v>
      </c>
      <c r="F374" s="2">
        <f t="shared" si="11"/>
        <v>18264</v>
      </c>
      <c r="G374" s="78">
        <v>372</v>
      </c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  <c r="AD374" s="79"/>
      <c r="AE374" s="79"/>
      <c r="AF374" s="79"/>
      <c r="AG374" s="79"/>
      <c r="AH374" s="79"/>
      <c r="AI374" s="79"/>
      <c r="AJ374" s="79"/>
      <c r="AK374" s="79"/>
      <c r="AL374" s="79"/>
      <c r="AM374" s="79"/>
      <c r="AN374" s="79"/>
      <c r="AO374" s="79">
        <v>13.858140000000001</v>
      </c>
      <c r="AP374" s="79"/>
      <c r="AQ374" s="79"/>
      <c r="AR374" s="79"/>
      <c r="AS374" s="79"/>
      <c r="AT374" s="79"/>
      <c r="AU374" s="79"/>
      <c r="AV374" s="79"/>
      <c r="AW374" s="79"/>
      <c r="AX374" s="79"/>
      <c r="AY374" s="79"/>
    </row>
    <row r="375" spans="1:51" x14ac:dyDescent="0.2">
      <c r="A375" t="s">
        <v>920</v>
      </c>
      <c r="B375" s="1">
        <v>18295</v>
      </c>
      <c r="C375" s="78">
        <v>375</v>
      </c>
      <c r="E375" s="1">
        <f t="shared" si="10"/>
        <v>18295</v>
      </c>
      <c r="F375" s="2">
        <f t="shared" si="11"/>
        <v>18295</v>
      </c>
      <c r="G375" s="78">
        <v>373</v>
      </c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  <c r="AD375" s="79"/>
      <c r="AE375" s="79"/>
      <c r="AF375" s="79"/>
      <c r="AG375" s="79"/>
      <c r="AH375" s="79"/>
      <c r="AI375" s="79"/>
      <c r="AJ375" s="79"/>
      <c r="AK375" s="79"/>
      <c r="AL375" s="79"/>
      <c r="AM375" s="79"/>
      <c r="AN375" s="79"/>
      <c r="AO375" s="79">
        <v>13.911350000000001</v>
      </c>
      <c r="AP375" s="79"/>
      <c r="AQ375" s="79"/>
      <c r="AR375" s="79"/>
      <c r="AS375" s="79"/>
      <c r="AT375" s="79"/>
      <c r="AU375" s="79"/>
      <c r="AV375" s="79"/>
      <c r="AW375" s="79"/>
      <c r="AX375" s="79"/>
      <c r="AY375" s="79"/>
    </row>
    <row r="376" spans="1:51" x14ac:dyDescent="0.2">
      <c r="A376" t="s">
        <v>921</v>
      </c>
      <c r="B376" s="1">
        <v>18323</v>
      </c>
      <c r="C376" s="78">
        <v>376</v>
      </c>
      <c r="E376" s="1">
        <f t="shared" si="10"/>
        <v>18323</v>
      </c>
      <c r="F376" s="2">
        <f t="shared" si="11"/>
        <v>18323</v>
      </c>
      <c r="G376" s="78">
        <v>374</v>
      </c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  <c r="AD376" s="79"/>
      <c r="AE376" s="79"/>
      <c r="AF376" s="79"/>
      <c r="AG376" s="79"/>
      <c r="AH376" s="79"/>
      <c r="AI376" s="79"/>
      <c r="AJ376" s="79"/>
      <c r="AK376" s="79"/>
      <c r="AL376" s="79"/>
      <c r="AM376" s="79"/>
      <c r="AN376" s="79"/>
      <c r="AO376" s="79">
        <v>14.36356</v>
      </c>
      <c r="AP376" s="79"/>
      <c r="AQ376" s="79"/>
      <c r="AR376" s="79"/>
      <c r="AS376" s="79"/>
      <c r="AT376" s="79"/>
      <c r="AU376" s="79"/>
      <c r="AV376" s="79"/>
      <c r="AW376" s="79"/>
      <c r="AX376" s="79"/>
      <c r="AY376" s="79"/>
    </row>
    <row r="377" spans="1:51" x14ac:dyDescent="0.2">
      <c r="A377" t="s">
        <v>922</v>
      </c>
      <c r="B377" s="1">
        <v>18354</v>
      </c>
      <c r="C377" s="78">
        <v>377</v>
      </c>
      <c r="E377" s="1">
        <f t="shared" si="10"/>
        <v>18354</v>
      </c>
      <c r="F377" s="2">
        <f t="shared" si="11"/>
        <v>18354</v>
      </c>
      <c r="G377" s="78">
        <v>375</v>
      </c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  <c r="AD377" s="79"/>
      <c r="AE377" s="79"/>
      <c r="AF377" s="79"/>
      <c r="AG377" s="79"/>
      <c r="AH377" s="79"/>
      <c r="AI377" s="79"/>
      <c r="AJ377" s="79"/>
      <c r="AK377" s="79"/>
      <c r="AL377" s="79"/>
      <c r="AM377" s="79"/>
      <c r="AN377" s="79"/>
      <c r="AO377" s="79">
        <v>14.842370000000001</v>
      </c>
      <c r="AP377" s="79"/>
      <c r="AQ377" s="79"/>
      <c r="AR377" s="79"/>
      <c r="AS377" s="79"/>
      <c r="AT377" s="79"/>
      <c r="AU377" s="79"/>
      <c r="AV377" s="79"/>
      <c r="AW377" s="79"/>
      <c r="AX377" s="79"/>
      <c r="AY377" s="79"/>
    </row>
    <row r="378" spans="1:51" x14ac:dyDescent="0.2">
      <c r="A378" t="s">
        <v>923</v>
      </c>
      <c r="B378" s="1">
        <v>18384</v>
      </c>
      <c r="C378" s="78">
        <v>378</v>
      </c>
      <c r="E378" s="1">
        <f t="shared" si="10"/>
        <v>18384</v>
      </c>
      <c r="F378" s="2">
        <f t="shared" si="11"/>
        <v>18384</v>
      </c>
      <c r="G378" s="78">
        <v>376</v>
      </c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  <c r="AD378" s="79"/>
      <c r="AE378" s="79"/>
      <c r="AF378" s="79"/>
      <c r="AG378" s="79"/>
      <c r="AH378" s="79"/>
      <c r="AI378" s="79"/>
      <c r="AJ378" s="79"/>
      <c r="AK378" s="79"/>
      <c r="AL378" s="79"/>
      <c r="AM378" s="79"/>
      <c r="AN378" s="79"/>
      <c r="AO378" s="79">
        <v>15.18815</v>
      </c>
      <c r="AP378" s="79"/>
      <c r="AQ378" s="79"/>
      <c r="AR378" s="79"/>
      <c r="AS378" s="79"/>
      <c r="AT378" s="79"/>
      <c r="AU378" s="79"/>
      <c r="AV378" s="79"/>
      <c r="AW378" s="79"/>
      <c r="AX378" s="79"/>
      <c r="AY378" s="79"/>
    </row>
    <row r="379" spans="1:51" x14ac:dyDescent="0.2">
      <c r="A379" t="s">
        <v>924</v>
      </c>
      <c r="B379" s="1">
        <v>18415</v>
      </c>
      <c r="C379" s="78">
        <v>379</v>
      </c>
      <c r="E379" s="1">
        <f t="shared" si="10"/>
        <v>18415</v>
      </c>
      <c r="F379" s="2">
        <f t="shared" si="11"/>
        <v>18415</v>
      </c>
      <c r="G379" s="78">
        <v>377</v>
      </c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  <c r="AD379" s="79"/>
      <c r="AE379" s="79"/>
      <c r="AF379" s="79"/>
      <c r="AG379" s="79"/>
      <c r="AH379" s="79"/>
      <c r="AI379" s="79"/>
      <c r="AJ379" s="79"/>
      <c r="AK379" s="79"/>
      <c r="AL379" s="79"/>
      <c r="AM379" s="79"/>
      <c r="AN379" s="79"/>
      <c r="AO379" s="79">
        <v>15.640359999999999</v>
      </c>
      <c r="AP379" s="79"/>
      <c r="AQ379" s="79"/>
      <c r="AR379" s="79"/>
      <c r="AS379" s="79"/>
      <c r="AT379" s="79"/>
      <c r="AU379" s="79"/>
      <c r="AV379" s="79"/>
      <c r="AW379" s="79"/>
      <c r="AX379" s="79"/>
      <c r="AY379" s="79"/>
    </row>
    <row r="380" spans="1:51" x14ac:dyDescent="0.2">
      <c r="A380" t="s">
        <v>925</v>
      </c>
      <c r="B380" s="1">
        <v>18445</v>
      </c>
      <c r="C380" s="78">
        <v>380</v>
      </c>
      <c r="E380" s="1">
        <f t="shared" si="10"/>
        <v>18445</v>
      </c>
      <c r="F380" s="2">
        <f t="shared" si="11"/>
        <v>18445</v>
      </c>
      <c r="G380" s="78">
        <v>378</v>
      </c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  <c r="AD380" s="79"/>
      <c r="AE380" s="79"/>
      <c r="AF380" s="79"/>
      <c r="AG380" s="79"/>
      <c r="AH380" s="79"/>
      <c r="AI380" s="79"/>
      <c r="AJ380" s="79"/>
      <c r="AK380" s="79"/>
      <c r="AL380" s="79"/>
      <c r="AM380" s="79"/>
      <c r="AN380" s="79"/>
      <c r="AO380" s="79">
        <v>16.145689999999998</v>
      </c>
      <c r="AP380" s="79"/>
      <c r="AQ380" s="79"/>
      <c r="AR380" s="79"/>
      <c r="AS380" s="79"/>
      <c r="AT380" s="79"/>
      <c r="AU380" s="79"/>
      <c r="AV380" s="79"/>
      <c r="AW380" s="79"/>
      <c r="AX380" s="79"/>
      <c r="AY380" s="79"/>
    </row>
    <row r="381" spans="1:51" x14ac:dyDescent="0.2">
      <c r="A381" t="s">
        <v>926</v>
      </c>
      <c r="B381" s="1">
        <v>18476</v>
      </c>
      <c r="C381" s="78">
        <v>381</v>
      </c>
      <c r="E381" s="1">
        <f t="shared" si="10"/>
        <v>18476</v>
      </c>
      <c r="F381" s="2">
        <f t="shared" si="11"/>
        <v>18476</v>
      </c>
      <c r="G381" s="78">
        <v>379</v>
      </c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  <c r="AD381" s="79"/>
      <c r="AE381" s="79"/>
      <c r="AF381" s="79"/>
      <c r="AG381" s="79"/>
      <c r="AH381" s="79"/>
      <c r="AI381" s="79"/>
      <c r="AJ381" s="79"/>
      <c r="AK381" s="79"/>
      <c r="AL381" s="79"/>
      <c r="AM381" s="79"/>
      <c r="AN381" s="79"/>
      <c r="AO381" s="79">
        <v>16.651109999999999</v>
      </c>
      <c r="AP381" s="79"/>
      <c r="AQ381" s="79"/>
      <c r="AR381" s="79"/>
      <c r="AS381" s="79"/>
      <c r="AT381" s="79"/>
      <c r="AU381" s="79"/>
      <c r="AV381" s="79"/>
      <c r="AW381" s="79"/>
      <c r="AX381" s="79"/>
      <c r="AY381" s="79"/>
    </row>
    <row r="382" spans="1:51" x14ac:dyDescent="0.2">
      <c r="A382" t="s">
        <v>927</v>
      </c>
      <c r="B382" s="1">
        <v>18507</v>
      </c>
      <c r="C382" s="78">
        <v>382</v>
      </c>
      <c r="E382" s="1">
        <f t="shared" si="10"/>
        <v>18507</v>
      </c>
      <c r="F382" s="2">
        <f t="shared" si="11"/>
        <v>18507</v>
      </c>
      <c r="G382" s="78">
        <v>380</v>
      </c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  <c r="AD382" s="79"/>
      <c r="AE382" s="79"/>
      <c r="AF382" s="79"/>
      <c r="AG382" s="79"/>
      <c r="AH382" s="79"/>
      <c r="AI382" s="79"/>
      <c r="AJ382" s="79"/>
      <c r="AK382" s="79"/>
      <c r="AL382" s="79"/>
      <c r="AM382" s="79"/>
      <c r="AN382" s="79"/>
      <c r="AO382" s="79">
        <v>16.54468</v>
      </c>
      <c r="AP382" s="79"/>
      <c r="AQ382" s="79"/>
      <c r="AR382" s="79"/>
      <c r="AS382" s="79"/>
      <c r="AT382" s="79"/>
      <c r="AU382" s="79"/>
      <c r="AV382" s="79"/>
      <c r="AW382" s="79"/>
      <c r="AX382" s="79"/>
      <c r="AY382" s="79"/>
    </row>
    <row r="383" spans="1:51" x14ac:dyDescent="0.2">
      <c r="A383" t="s">
        <v>928</v>
      </c>
      <c r="B383" s="1">
        <v>18537</v>
      </c>
      <c r="C383" s="78">
        <v>383</v>
      </c>
      <c r="E383" s="1">
        <f t="shared" si="10"/>
        <v>18537</v>
      </c>
      <c r="F383" s="2">
        <f t="shared" si="11"/>
        <v>18537</v>
      </c>
      <c r="G383" s="78">
        <v>381</v>
      </c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  <c r="AD383" s="79"/>
      <c r="AE383" s="79"/>
      <c r="AF383" s="79"/>
      <c r="AG383" s="79"/>
      <c r="AH383" s="79"/>
      <c r="AI383" s="79"/>
      <c r="AJ383" s="79"/>
      <c r="AK383" s="79"/>
      <c r="AL383" s="79"/>
      <c r="AM383" s="79"/>
      <c r="AN383" s="79"/>
      <c r="AO383" s="79">
        <v>16.651109999999999</v>
      </c>
      <c r="AP383" s="79"/>
      <c r="AQ383" s="79"/>
      <c r="AR383" s="79"/>
      <c r="AS383" s="79"/>
      <c r="AT383" s="79"/>
      <c r="AU383" s="79"/>
      <c r="AV383" s="79"/>
      <c r="AW383" s="79"/>
      <c r="AX383" s="79"/>
      <c r="AY383" s="79"/>
    </row>
    <row r="384" spans="1:51" x14ac:dyDescent="0.2">
      <c r="A384" t="s">
        <v>929</v>
      </c>
      <c r="B384" s="1">
        <v>18568</v>
      </c>
      <c r="C384" s="78">
        <v>384</v>
      </c>
      <c r="E384" s="1">
        <f t="shared" si="10"/>
        <v>18568</v>
      </c>
      <c r="F384" s="2">
        <f t="shared" si="11"/>
        <v>18568</v>
      </c>
      <c r="G384" s="78">
        <v>382</v>
      </c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  <c r="AD384" s="79"/>
      <c r="AE384" s="79"/>
      <c r="AF384" s="79"/>
      <c r="AG384" s="79"/>
      <c r="AH384" s="79"/>
      <c r="AI384" s="79"/>
      <c r="AJ384" s="79"/>
      <c r="AK384" s="79"/>
      <c r="AL384" s="79"/>
      <c r="AM384" s="79"/>
      <c r="AN384" s="79"/>
      <c r="AO384" s="79">
        <v>16.624500000000001</v>
      </c>
      <c r="AP384" s="79"/>
      <c r="AQ384" s="79"/>
      <c r="AR384" s="79"/>
      <c r="AS384" s="79"/>
      <c r="AT384" s="79"/>
      <c r="AU384" s="79"/>
      <c r="AV384" s="79"/>
      <c r="AW384" s="79"/>
      <c r="AX384" s="79"/>
      <c r="AY384" s="79"/>
    </row>
    <row r="385" spans="1:51" x14ac:dyDescent="0.2">
      <c r="A385" t="s">
        <v>930</v>
      </c>
      <c r="B385" s="1">
        <v>18598</v>
      </c>
      <c r="C385" s="78">
        <v>385</v>
      </c>
      <c r="E385" s="1">
        <f t="shared" si="10"/>
        <v>18598</v>
      </c>
      <c r="F385" s="2">
        <f t="shared" si="11"/>
        <v>18598</v>
      </c>
      <c r="G385" s="78">
        <v>383</v>
      </c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  <c r="AD385" s="79"/>
      <c r="AE385" s="79"/>
      <c r="AF385" s="79"/>
      <c r="AG385" s="79"/>
      <c r="AH385" s="79"/>
      <c r="AI385" s="79"/>
      <c r="AJ385" s="79"/>
      <c r="AK385" s="79"/>
      <c r="AL385" s="79"/>
      <c r="AM385" s="79"/>
      <c r="AN385" s="79"/>
      <c r="AO385" s="79">
        <v>16.917069999999999</v>
      </c>
      <c r="AP385" s="79"/>
      <c r="AQ385" s="79"/>
      <c r="AR385" s="79"/>
      <c r="AS385" s="79"/>
      <c r="AT385" s="79"/>
      <c r="AU385" s="79"/>
      <c r="AV385" s="79"/>
      <c r="AW385" s="79"/>
      <c r="AX385" s="79"/>
      <c r="AY385" s="79"/>
    </row>
    <row r="386" spans="1:51" x14ac:dyDescent="0.2">
      <c r="A386" t="s">
        <v>931</v>
      </c>
      <c r="B386" s="1">
        <v>18629</v>
      </c>
      <c r="C386" s="78">
        <v>386</v>
      </c>
      <c r="E386" s="1">
        <f t="shared" ref="E386:E449" si="12">B386</f>
        <v>18629</v>
      </c>
      <c r="F386" s="2">
        <f t="shared" ref="F386:F449" si="13">B386</f>
        <v>18629</v>
      </c>
      <c r="G386" s="78">
        <v>384</v>
      </c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  <c r="AD386" s="79"/>
      <c r="AE386" s="79"/>
      <c r="AF386" s="79"/>
      <c r="AG386" s="79"/>
      <c r="AH386" s="79"/>
      <c r="AI386" s="79"/>
      <c r="AJ386" s="79"/>
      <c r="AK386" s="79"/>
      <c r="AL386" s="79"/>
      <c r="AM386" s="79"/>
      <c r="AN386" s="79"/>
      <c r="AO386" s="79">
        <v>16.970279999999999</v>
      </c>
      <c r="AP386" s="79"/>
      <c r="AQ386" s="79"/>
      <c r="AR386" s="79"/>
      <c r="AS386" s="79"/>
      <c r="AT386" s="79"/>
      <c r="AU386" s="79"/>
      <c r="AV386" s="79"/>
      <c r="AW386" s="79"/>
      <c r="AX386" s="79"/>
      <c r="AY386" s="79"/>
    </row>
    <row r="387" spans="1:51" x14ac:dyDescent="0.2">
      <c r="A387" t="s">
        <v>932</v>
      </c>
      <c r="B387" s="1">
        <v>18660</v>
      </c>
      <c r="C387" s="78">
        <v>387</v>
      </c>
      <c r="E387" s="1">
        <f t="shared" si="12"/>
        <v>18660</v>
      </c>
      <c r="F387" s="2">
        <f t="shared" si="13"/>
        <v>18660</v>
      </c>
      <c r="G387" s="78">
        <v>385</v>
      </c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  <c r="AD387" s="79"/>
      <c r="AE387" s="79"/>
      <c r="AF387" s="79"/>
      <c r="AG387" s="79"/>
      <c r="AH387" s="79"/>
      <c r="AI387" s="79"/>
      <c r="AJ387" s="79"/>
      <c r="AK387" s="79"/>
      <c r="AL387" s="79"/>
      <c r="AM387" s="79"/>
      <c r="AN387" s="79"/>
      <c r="AO387" s="79">
        <v>17.076709999999999</v>
      </c>
      <c r="AP387" s="79"/>
      <c r="AQ387" s="79"/>
      <c r="AR387" s="79"/>
      <c r="AS387" s="79"/>
      <c r="AT387" s="79"/>
      <c r="AU387" s="79"/>
      <c r="AV387" s="79"/>
      <c r="AW387" s="79"/>
      <c r="AX387" s="79"/>
      <c r="AY387" s="79"/>
    </row>
    <row r="388" spans="1:51" x14ac:dyDescent="0.2">
      <c r="A388" t="s">
        <v>933</v>
      </c>
      <c r="B388" s="1">
        <v>18688</v>
      </c>
      <c r="C388" s="78">
        <v>388</v>
      </c>
      <c r="E388" s="1">
        <f t="shared" si="12"/>
        <v>18688</v>
      </c>
      <c r="F388" s="2">
        <f t="shared" si="13"/>
        <v>18688</v>
      </c>
      <c r="G388" s="78">
        <v>386</v>
      </c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  <c r="AD388" s="79"/>
      <c r="AE388" s="79"/>
      <c r="AF388" s="79"/>
      <c r="AG388" s="79"/>
      <c r="AH388" s="79"/>
      <c r="AI388" s="79"/>
      <c r="AJ388" s="79"/>
      <c r="AK388" s="79"/>
      <c r="AL388" s="79"/>
      <c r="AM388" s="79"/>
      <c r="AN388" s="79"/>
      <c r="AO388" s="79">
        <v>17.15643</v>
      </c>
      <c r="AP388" s="79"/>
      <c r="AQ388" s="79"/>
      <c r="AR388" s="79"/>
      <c r="AS388" s="79"/>
      <c r="AT388" s="79"/>
      <c r="AU388" s="79"/>
      <c r="AV388" s="79"/>
      <c r="AW388" s="79"/>
      <c r="AX388" s="79"/>
      <c r="AY388" s="79"/>
    </row>
    <row r="389" spans="1:51" x14ac:dyDescent="0.2">
      <c r="A389" t="s">
        <v>934</v>
      </c>
      <c r="B389" s="1">
        <v>18719</v>
      </c>
      <c r="C389" s="78">
        <v>389</v>
      </c>
      <c r="E389" s="1">
        <f t="shared" si="12"/>
        <v>18719</v>
      </c>
      <c r="F389" s="2">
        <f t="shared" si="13"/>
        <v>18719</v>
      </c>
      <c r="G389" s="78">
        <v>387</v>
      </c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  <c r="AD389" s="79"/>
      <c r="AE389" s="79"/>
      <c r="AF389" s="79"/>
      <c r="AG389" s="79"/>
      <c r="AH389" s="79"/>
      <c r="AI389" s="79"/>
      <c r="AJ389" s="79"/>
      <c r="AK389" s="79"/>
      <c r="AL389" s="79"/>
      <c r="AM389" s="79"/>
      <c r="AN389" s="79"/>
      <c r="AO389" s="79">
        <v>17.183029999999999</v>
      </c>
      <c r="AP389" s="79"/>
      <c r="AQ389" s="79"/>
      <c r="AR389" s="79"/>
      <c r="AS389" s="79"/>
      <c r="AT389" s="79"/>
      <c r="AU389" s="79"/>
      <c r="AV389" s="79"/>
      <c r="AW389" s="79"/>
      <c r="AX389" s="79"/>
      <c r="AY389" s="79"/>
    </row>
    <row r="390" spans="1:51" x14ac:dyDescent="0.2">
      <c r="A390" t="s">
        <v>935</v>
      </c>
      <c r="B390" s="1">
        <v>18749</v>
      </c>
      <c r="C390" s="78">
        <v>390</v>
      </c>
      <c r="E390" s="1">
        <f t="shared" si="12"/>
        <v>18749</v>
      </c>
      <c r="F390" s="2">
        <f t="shared" si="13"/>
        <v>18749</v>
      </c>
      <c r="G390" s="78">
        <v>388</v>
      </c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  <c r="AD390" s="79"/>
      <c r="AE390" s="79"/>
      <c r="AF390" s="79"/>
      <c r="AG390" s="79"/>
      <c r="AH390" s="79"/>
      <c r="AI390" s="79"/>
      <c r="AJ390" s="79"/>
      <c r="AK390" s="79"/>
      <c r="AL390" s="79"/>
      <c r="AM390" s="79"/>
      <c r="AN390" s="79"/>
      <c r="AO390" s="79">
        <v>17.129919999999998</v>
      </c>
      <c r="AP390" s="79"/>
      <c r="AQ390" s="79"/>
      <c r="AR390" s="79"/>
      <c r="AS390" s="79"/>
      <c r="AT390" s="79"/>
      <c r="AU390" s="79"/>
      <c r="AV390" s="79"/>
      <c r="AW390" s="79"/>
      <c r="AX390" s="79"/>
      <c r="AY390" s="79"/>
    </row>
    <row r="391" spans="1:51" x14ac:dyDescent="0.2">
      <c r="A391" t="s">
        <v>936</v>
      </c>
      <c r="B391" s="1">
        <v>18780</v>
      </c>
      <c r="C391" s="78">
        <v>391</v>
      </c>
      <c r="E391" s="1">
        <f t="shared" si="12"/>
        <v>18780</v>
      </c>
      <c r="F391" s="2">
        <f t="shared" si="13"/>
        <v>18780</v>
      </c>
      <c r="G391" s="78">
        <v>389</v>
      </c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  <c r="AD391" s="79"/>
      <c r="AE391" s="79"/>
      <c r="AF391" s="79"/>
      <c r="AG391" s="79"/>
      <c r="AH391" s="79"/>
      <c r="AI391" s="79"/>
      <c r="AJ391" s="79"/>
      <c r="AK391" s="79"/>
      <c r="AL391" s="79"/>
      <c r="AM391" s="79"/>
      <c r="AN391" s="79"/>
      <c r="AO391" s="79">
        <v>17.0501</v>
      </c>
      <c r="AP391" s="79"/>
      <c r="AQ391" s="79"/>
      <c r="AR391" s="79"/>
      <c r="AS391" s="79"/>
      <c r="AT391" s="79"/>
      <c r="AU391" s="79"/>
      <c r="AV391" s="79"/>
      <c r="AW391" s="79"/>
      <c r="AX391" s="79"/>
      <c r="AY391" s="79"/>
    </row>
    <row r="392" spans="1:51" x14ac:dyDescent="0.2">
      <c r="A392" t="s">
        <v>937</v>
      </c>
      <c r="B392" s="1">
        <v>18810</v>
      </c>
      <c r="C392" s="78">
        <v>392</v>
      </c>
      <c r="E392" s="1">
        <f t="shared" si="12"/>
        <v>18810</v>
      </c>
      <c r="F392" s="2">
        <f t="shared" si="13"/>
        <v>18810</v>
      </c>
      <c r="G392" s="78">
        <v>390</v>
      </c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  <c r="AD392" s="79"/>
      <c r="AE392" s="79"/>
      <c r="AF392" s="79"/>
      <c r="AG392" s="79"/>
      <c r="AH392" s="79"/>
      <c r="AI392" s="79"/>
      <c r="AJ392" s="79"/>
      <c r="AK392" s="79"/>
      <c r="AL392" s="79"/>
      <c r="AM392" s="79"/>
      <c r="AN392" s="79"/>
      <c r="AO392" s="79">
        <v>16.784040000000001</v>
      </c>
      <c r="AP392" s="79"/>
      <c r="AQ392" s="79"/>
      <c r="AR392" s="79"/>
      <c r="AS392" s="79"/>
      <c r="AT392" s="79"/>
      <c r="AU392" s="79"/>
      <c r="AV392" s="79"/>
      <c r="AW392" s="79"/>
      <c r="AX392" s="79"/>
      <c r="AY392" s="79"/>
    </row>
    <row r="393" spans="1:51" x14ac:dyDescent="0.2">
      <c r="A393" t="s">
        <v>938</v>
      </c>
      <c r="B393" s="1">
        <v>18841</v>
      </c>
      <c r="C393" s="78">
        <v>393</v>
      </c>
      <c r="E393" s="1">
        <f t="shared" si="12"/>
        <v>18841</v>
      </c>
      <c r="F393" s="2">
        <f t="shared" si="13"/>
        <v>18841</v>
      </c>
      <c r="G393" s="78">
        <v>391</v>
      </c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  <c r="AD393" s="79"/>
      <c r="AE393" s="79"/>
      <c r="AF393" s="79"/>
      <c r="AG393" s="79"/>
      <c r="AH393" s="79"/>
      <c r="AI393" s="79"/>
      <c r="AJ393" s="79"/>
      <c r="AK393" s="79"/>
      <c r="AL393" s="79"/>
      <c r="AM393" s="79"/>
      <c r="AN393" s="79"/>
      <c r="AO393" s="79">
        <v>16.624500000000001</v>
      </c>
      <c r="AP393" s="79"/>
      <c r="AQ393" s="79"/>
      <c r="AR393" s="79"/>
      <c r="AS393" s="79"/>
      <c r="AT393" s="79"/>
      <c r="AU393" s="79"/>
      <c r="AV393" s="79"/>
      <c r="AW393" s="79"/>
      <c r="AX393" s="79"/>
      <c r="AY393" s="79"/>
    </row>
    <row r="394" spans="1:51" x14ac:dyDescent="0.2">
      <c r="A394" t="s">
        <v>939</v>
      </c>
      <c r="B394" s="1">
        <v>18872</v>
      </c>
      <c r="C394" s="78">
        <v>394</v>
      </c>
      <c r="E394" s="1">
        <f t="shared" si="12"/>
        <v>18872</v>
      </c>
      <c r="F394" s="2">
        <f t="shared" si="13"/>
        <v>18872</v>
      </c>
      <c r="G394" s="78">
        <v>392</v>
      </c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  <c r="AA394" s="79"/>
      <c r="AB394" s="79"/>
      <c r="AC394" s="79"/>
      <c r="AD394" s="79"/>
      <c r="AE394" s="79"/>
      <c r="AF394" s="79"/>
      <c r="AG394" s="79"/>
      <c r="AH394" s="79"/>
      <c r="AI394" s="79"/>
      <c r="AJ394" s="79"/>
      <c r="AK394" s="79"/>
      <c r="AL394" s="79"/>
      <c r="AM394" s="79"/>
      <c r="AN394" s="79"/>
      <c r="AO394" s="79">
        <v>16.730920000000001</v>
      </c>
      <c r="AP394" s="79"/>
      <c r="AQ394" s="79"/>
      <c r="AR394" s="79"/>
      <c r="AS394" s="79"/>
      <c r="AT394" s="79"/>
      <c r="AU394" s="79"/>
      <c r="AV394" s="79"/>
      <c r="AW394" s="79"/>
      <c r="AX394" s="79"/>
      <c r="AY394" s="79"/>
    </row>
    <row r="395" spans="1:51" x14ac:dyDescent="0.2">
      <c r="A395" t="s">
        <v>940</v>
      </c>
      <c r="B395" s="1">
        <v>18902</v>
      </c>
      <c r="C395" s="78">
        <v>395</v>
      </c>
      <c r="E395" s="1">
        <f t="shared" si="12"/>
        <v>18902</v>
      </c>
      <c r="F395" s="2">
        <f t="shared" si="13"/>
        <v>18902</v>
      </c>
      <c r="G395" s="78">
        <v>393</v>
      </c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  <c r="AA395" s="79"/>
      <c r="AB395" s="79"/>
      <c r="AC395" s="79"/>
      <c r="AD395" s="79"/>
      <c r="AE395" s="79"/>
      <c r="AF395" s="79"/>
      <c r="AG395" s="79"/>
      <c r="AH395" s="79"/>
      <c r="AI395" s="79"/>
      <c r="AJ395" s="79"/>
      <c r="AK395" s="79"/>
      <c r="AL395" s="79"/>
      <c r="AM395" s="79"/>
      <c r="AN395" s="79"/>
      <c r="AO395" s="79">
        <v>16.704319999999999</v>
      </c>
      <c r="AP395" s="79"/>
      <c r="AQ395" s="79"/>
      <c r="AR395" s="79"/>
      <c r="AS395" s="79"/>
      <c r="AT395" s="79"/>
      <c r="AU395" s="79"/>
      <c r="AV395" s="79"/>
      <c r="AW395" s="79"/>
      <c r="AX395" s="79"/>
      <c r="AY395" s="79"/>
    </row>
    <row r="396" spans="1:51" x14ac:dyDescent="0.2">
      <c r="A396" t="s">
        <v>941</v>
      </c>
      <c r="B396" s="1">
        <v>18933</v>
      </c>
      <c r="C396" s="78">
        <v>396</v>
      </c>
      <c r="E396" s="1">
        <f t="shared" si="12"/>
        <v>18933</v>
      </c>
      <c r="F396" s="2">
        <f t="shared" si="13"/>
        <v>18933</v>
      </c>
      <c r="G396" s="78">
        <v>394</v>
      </c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  <c r="AA396" s="79"/>
      <c r="AB396" s="79"/>
      <c r="AC396" s="79"/>
      <c r="AD396" s="79"/>
      <c r="AE396" s="79"/>
      <c r="AF396" s="79"/>
      <c r="AG396" s="79"/>
      <c r="AH396" s="79"/>
      <c r="AI396" s="79"/>
      <c r="AJ396" s="79"/>
      <c r="AK396" s="79"/>
      <c r="AL396" s="79"/>
      <c r="AM396" s="79"/>
      <c r="AN396" s="79"/>
      <c r="AO396" s="79">
        <v>16.837250000000001</v>
      </c>
      <c r="AP396" s="79"/>
      <c r="AQ396" s="79"/>
      <c r="AR396" s="79"/>
      <c r="AS396" s="79"/>
      <c r="AT396" s="79"/>
      <c r="AU396" s="79"/>
      <c r="AV396" s="79"/>
      <c r="AW396" s="79"/>
      <c r="AX396" s="79"/>
      <c r="AY396" s="79"/>
    </row>
    <row r="397" spans="1:51" x14ac:dyDescent="0.2">
      <c r="A397" t="s">
        <v>942</v>
      </c>
      <c r="B397" s="1">
        <v>18963</v>
      </c>
      <c r="C397" s="78">
        <v>397</v>
      </c>
      <c r="E397" s="1">
        <f t="shared" si="12"/>
        <v>18963</v>
      </c>
      <c r="F397" s="2">
        <f t="shared" si="13"/>
        <v>18963</v>
      </c>
      <c r="G397" s="78">
        <v>395</v>
      </c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  <c r="AA397" s="79"/>
      <c r="AB397" s="79"/>
      <c r="AC397" s="79"/>
      <c r="AD397" s="79"/>
      <c r="AE397" s="79"/>
      <c r="AF397" s="79"/>
      <c r="AG397" s="79"/>
      <c r="AH397" s="79"/>
      <c r="AI397" s="79"/>
      <c r="AJ397" s="79"/>
      <c r="AK397" s="79"/>
      <c r="AL397" s="79"/>
      <c r="AM397" s="79"/>
      <c r="AN397" s="79"/>
      <c r="AO397" s="79">
        <v>16.943680000000001</v>
      </c>
      <c r="AP397" s="79"/>
      <c r="AQ397" s="79"/>
      <c r="AR397" s="79"/>
      <c r="AS397" s="79"/>
      <c r="AT397" s="79"/>
      <c r="AU397" s="79"/>
      <c r="AV397" s="79"/>
      <c r="AW397" s="79"/>
      <c r="AX397" s="79"/>
      <c r="AY397" s="79"/>
    </row>
    <row r="398" spans="1:51" x14ac:dyDescent="0.2">
      <c r="A398" t="s">
        <v>943</v>
      </c>
      <c r="B398" s="1">
        <v>18994</v>
      </c>
      <c r="C398" s="78">
        <v>398</v>
      </c>
      <c r="E398" s="1">
        <f t="shared" si="12"/>
        <v>18994</v>
      </c>
      <c r="F398" s="2">
        <f t="shared" si="13"/>
        <v>18994</v>
      </c>
      <c r="G398" s="78">
        <v>396</v>
      </c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  <c r="AA398" s="79"/>
      <c r="AB398" s="79"/>
      <c r="AC398" s="79"/>
      <c r="AD398" s="79"/>
      <c r="AE398" s="79"/>
      <c r="AF398" s="79"/>
      <c r="AG398" s="79"/>
      <c r="AH398" s="79"/>
      <c r="AI398" s="79"/>
      <c r="AJ398" s="79"/>
      <c r="AK398" s="79"/>
      <c r="AL398" s="79"/>
      <c r="AM398" s="79"/>
      <c r="AN398" s="79"/>
      <c r="AO398" s="79">
        <v>17.129819999999999</v>
      </c>
      <c r="AP398" s="79"/>
      <c r="AQ398" s="79"/>
      <c r="AR398" s="79"/>
      <c r="AS398" s="79"/>
      <c r="AT398" s="79"/>
      <c r="AU398" s="79"/>
      <c r="AV398" s="79"/>
      <c r="AW398" s="79"/>
      <c r="AX398" s="79"/>
      <c r="AY398" s="79"/>
    </row>
    <row r="399" spans="1:51" x14ac:dyDescent="0.2">
      <c r="A399" t="s">
        <v>944</v>
      </c>
      <c r="B399" s="1">
        <v>19025</v>
      </c>
      <c r="C399" s="78">
        <v>399</v>
      </c>
      <c r="E399" s="1">
        <f t="shared" si="12"/>
        <v>19025</v>
      </c>
      <c r="F399" s="2">
        <f t="shared" si="13"/>
        <v>19025</v>
      </c>
      <c r="G399" s="78">
        <v>397</v>
      </c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  <c r="AA399" s="79"/>
      <c r="AB399" s="79"/>
      <c r="AC399" s="79"/>
      <c r="AD399" s="79"/>
      <c r="AE399" s="79"/>
      <c r="AF399" s="79"/>
      <c r="AG399" s="79"/>
      <c r="AH399" s="79"/>
      <c r="AI399" s="79"/>
      <c r="AJ399" s="79"/>
      <c r="AK399" s="79"/>
      <c r="AL399" s="79"/>
      <c r="AM399" s="79"/>
      <c r="AN399" s="79"/>
      <c r="AO399" s="79">
        <v>17.236249999999998</v>
      </c>
      <c r="AP399" s="79"/>
      <c r="AQ399" s="79"/>
      <c r="AR399" s="79"/>
      <c r="AS399" s="79"/>
      <c r="AT399" s="79"/>
      <c r="AU399" s="79"/>
      <c r="AV399" s="79"/>
      <c r="AW399" s="79"/>
      <c r="AX399" s="79"/>
      <c r="AY399" s="79"/>
    </row>
    <row r="400" spans="1:51" x14ac:dyDescent="0.2">
      <c r="A400" t="s">
        <v>945</v>
      </c>
      <c r="B400" s="1">
        <v>19054</v>
      </c>
      <c r="C400" s="78">
        <v>400</v>
      </c>
      <c r="E400" s="1">
        <f t="shared" si="12"/>
        <v>19054</v>
      </c>
      <c r="F400" s="2">
        <f t="shared" si="13"/>
        <v>19054</v>
      </c>
      <c r="G400" s="78">
        <v>398</v>
      </c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  <c r="AA400" s="79"/>
      <c r="AB400" s="79"/>
      <c r="AC400" s="79"/>
      <c r="AD400" s="79"/>
      <c r="AE400" s="79"/>
      <c r="AF400" s="79"/>
      <c r="AG400" s="79"/>
      <c r="AH400" s="79"/>
      <c r="AI400" s="79"/>
      <c r="AJ400" s="79"/>
      <c r="AK400" s="79"/>
      <c r="AL400" s="79"/>
      <c r="AM400" s="79"/>
      <c r="AN400" s="79"/>
      <c r="AO400" s="79">
        <v>17.289459999999998</v>
      </c>
      <c r="AP400" s="79"/>
      <c r="AQ400" s="79"/>
      <c r="AR400" s="79"/>
      <c r="AS400" s="79"/>
      <c r="AT400" s="79"/>
      <c r="AU400" s="79"/>
      <c r="AV400" s="79"/>
      <c r="AW400" s="79"/>
      <c r="AX400" s="79"/>
      <c r="AY400" s="79"/>
    </row>
    <row r="401" spans="1:51" x14ac:dyDescent="0.2">
      <c r="A401" t="s">
        <v>946</v>
      </c>
      <c r="B401" s="1">
        <v>19085</v>
      </c>
      <c r="C401" s="78">
        <v>401</v>
      </c>
      <c r="E401" s="1">
        <f t="shared" si="12"/>
        <v>19085</v>
      </c>
      <c r="F401" s="2">
        <f t="shared" si="13"/>
        <v>19085</v>
      </c>
      <c r="G401" s="78">
        <v>399</v>
      </c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  <c r="AA401" s="79"/>
      <c r="AB401" s="79"/>
      <c r="AC401" s="79"/>
      <c r="AD401" s="79"/>
      <c r="AE401" s="79"/>
      <c r="AF401" s="79"/>
      <c r="AG401" s="79"/>
      <c r="AH401" s="79"/>
      <c r="AI401" s="79"/>
      <c r="AJ401" s="79"/>
      <c r="AK401" s="79"/>
      <c r="AL401" s="79"/>
      <c r="AM401" s="79"/>
      <c r="AN401" s="79"/>
      <c r="AO401" s="79">
        <v>17.129819999999999</v>
      </c>
      <c r="AP401" s="79"/>
      <c r="AQ401" s="79"/>
      <c r="AR401" s="79"/>
      <c r="AS401" s="79"/>
      <c r="AT401" s="79"/>
      <c r="AU401" s="79"/>
      <c r="AV401" s="79"/>
      <c r="AW401" s="79"/>
      <c r="AX401" s="79"/>
      <c r="AY401" s="79"/>
    </row>
    <row r="402" spans="1:51" x14ac:dyDescent="0.2">
      <c r="A402" t="s">
        <v>947</v>
      </c>
      <c r="B402" s="1">
        <v>19115</v>
      </c>
      <c r="C402" s="78">
        <v>402</v>
      </c>
      <c r="E402" s="1">
        <f t="shared" si="12"/>
        <v>19115</v>
      </c>
      <c r="F402" s="2">
        <f t="shared" si="13"/>
        <v>19115</v>
      </c>
      <c r="G402" s="78">
        <v>400</v>
      </c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  <c r="AA402" s="79"/>
      <c r="AB402" s="79"/>
      <c r="AC402" s="79"/>
      <c r="AD402" s="79"/>
      <c r="AE402" s="79"/>
      <c r="AF402" s="79"/>
      <c r="AG402" s="79"/>
      <c r="AH402" s="79"/>
      <c r="AI402" s="79"/>
      <c r="AJ402" s="79"/>
      <c r="AK402" s="79"/>
      <c r="AL402" s="79"/>
      <c r="AM402" s="79"/>
      <c r="AN402" s="79"/>
      <c r="AO402" s="79">
        <v>16.970279999999999</v>
      </c>
      <c r="AP402" s="79"/>
      <c r="AQ402" s="79"/>
      <c r="AR402" s="79"/>
      <c r="AS402" s="79"/>
      <c r="AT402" s="79"/>
      <c r="AU402" s="79"/>
      <c r="AV402" s="79"/>
      <c r="AW402" s="79"/>
      <c r="AX402" s="79"/>
      <c r="AY402" s="79"/>
    </row>
    <row r="403" spans="1:51" x14ac:dyDescent="0.2">
      <c r="A403" t="s">
        <v>948</v>
      </c>
      <c r="B403" s="1">
        <v>19146</v>
      </c>
      <c r="C403" s="78">
        <v>403</v>
      </c>
      <c r="E403" s="1">
        <f t="shared" si="12"/>
        <v>19146</v>
      </c>
      <c r="F403" s="2">
        <f t="shared" si="13"/>
        <v>19146</v>
      </c>
      <c r="G403" s="78">
        <v>401</v>
      </c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  <c r="AA403" s="79"/>
      <c r="AB403" s="79"/>
      <c r="AC403" s="79"/>
      <c r="AD403" s="79"/>
      <c r="AE403" s="79"/>
      <c r="AF403" s="79"/>
      <c r="AG403" s="79"/>
      <c r="AH403" s="79"/>
      <c r="AI403" s="79"/>
      <c r="AJ403" s="79"/>
      <c r="AK403" s="79"/>
      <c r="AL403" s="79"/>
      <c r="AM403" s="79"/>
      <c r="AN403" s="79"/>
      <c r="AO403" s="79">
        <v>16.810649999999999</v>
      </c>
      <c r="AP403" s="79"/>
      <c r="AQ403" s="79"/>
      <c r="AR403" s="79"/>
      <c r="AS403" s="79"/>
      <c r="AT403" s="79"/>
      <c r="AU403" s="79"/>
      <c r="AV403" s="79"/>
      <c r="AW403" s="79"/>
      <c r="AX403" s="79"/>
      <c r="AY403" s="79"/>
    </row>
    <row r="404" spans="1:51" x14ac:dyDescent="0.2">
      <c r="A404" t="s">
        <v>949</v>
      </c>
      <c r="B404" s="1">
        <v>19176</v>
      </c>
      <c r="C404" s="78">
        <v>404</v>
      </c>
      <c r="E404" s="1">
        <f t="shared" si="12"/>
        <v>19176</v>
      </c>
      <c r="F404" s="2">
        <f t="shared" si="13"/>
        <v>19176</v>
      </c>
      <c r="G404" s="78">
        <v>402</v>
      </c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  <c r="AA404" s="79"/>
      <c r="AB404" s="79"/>
      <c r="AC404" s="79"/>
      <c r="AD404" s="79"/>
      <c r="AE404" s="79"/>
      <c r="AF404" s="79"/>
      <c r="AG404" s="79"/>
      <c r="AH404" s="79"/>
      <c r="AI404" s="79"/>
      <c r="AJ404" s="79"/>
      <c r="AK404" s="79"/>
      <c r="AL404" s="79"/>
      <c r="AM404" s="79"/>
      <c r="AN404" s="79"/>
      <c r="AO404" s="79">
        <v>16.54468</v>
      </c>
      <c r="AP404" s="79"/>
      <c r="AQ404" s="79"/>
      <c r="AR404" s="79"/>
      <c r="AS404" s="79"/>
      <c r="AT404" s="79"/>
      <c r="AU404" s="79"/>
      <c r="AV404" s="79"/>
      <c r="AW404" s="79"/>
      <c r="AX404" s="79"/>
      <c r="AY404" s="79"/>
    </row>
    <row r="405" spans="1:51" x14ac:dyDescent="0.2">
      <c r="A405" t="s">
        <v>950</v>
      </c>
      <c r="B405" s="1">
        <v>19207</v>
      </c>
      <c r="C405" s="78">
        <v>405</v>
      </c>
      <c r="E405" s="1">
        <f t="shared" si="12"/>
        <v>19207</v>
      </c>
      <c r="F405" s="2">
        <f t="shared" si="13"/>
        <v>19207</v>
      </c>
      <c r="G405" s="78">
        <v>403</v>
      </c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  <c r="AA405" s="79"/>
      <c r="AB405" s="79"/>
      <c r="AC405" s="79"/>
      <c r="AD405" s="79"/>
      <c r="AE405" s="79"/>
      <c r="AF405" s="79"/>
      <c r="AG405" s="79"/>
      <c r="AH405" s="79"/>
      <c r="AI405" s="79"/>
      <c r="AJ405" s="79"/>
      <c r="AK405" s="79"/>
      <c r="AL405" s="79"/>
      <c r="AM405" s="79"/>
      <c r="AN405" s="79"/>
      <c r="AO405" s="79">
        <v>17.608640000000001</v>
      </c>
      <c r="AP405" s="79"/>
      <c r="AQ405" s="79"/>
      <c r="AR405" s="79"/>
      <c r="AS405" s="79"/>
      <c r="AT405" s="79"/>
      <c r="AU405" s="79"/>
      <c r="AV405" s="79"/>
      <c r="AW405" s="79"/>
      <c r="AX405" s="79"/>
      <c r="AY405" s="79"/>
    </row>
    <row r="406" spans="1:51" x14ac:dyDescent="0.2">
      <c r="A406" t="s">
        <v>951</v>
      </c>
      <c r="B406" s="1">
        <v>19238</v>
      </c>
      <c r="C406" s="78">
        <v>406</v>
      </c>
      <c r="E406" s="1">
        <f t="shared" si="12"/>
        <v>19238</v>
      </c>
      <c r="F406" s="2">
        <f t="shared" si="13"/>
        <v>19238</v>
      </c>
      <c r="G406" s="78">
        <v>404</v>
      </c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  <c r="AA406" s="79"/>
      <c r="AB406" s="79"/>
      <c r="AC406" s="79"/>
      <c r="AD406" s="79"/>
      <c r="AE406" s="79"/>
      <c r="AF406" s="79"/>
      <c r="AG406" s="79"/>
      <c r="AH406" s="79"/>
      <c r="AI406" s="79"/>
      <c r="AJ406" s="79"/>
      <c r="AK406" s="79"/>
      <c r="AL406" s="79"/>
      <c r="AM406" s="79"/>
      <c r="AN406" s="79"/>
      <c r="AO406" s="79">
        <v>18.24699</v>
      </c>
      <c r="AP406" s="79"/>
      <c r="AQ406" s="79"/>
      <c r="AR406" s="79"/>
      <c r="AS406" s="79"/>
      <c r="AT406" s="79"/>
      <c r="AU406" s="79"/>
      <c r="AV406" s="79"/>
      <c r="AW406" s="79"/>
      <c r="AX406" s="79"/>
      <c r="AY406" s="79"/>
    </row>
    <row r="407" spans="1:51" x14ac:dyDescent="0.2">
      <c r="A407" t="s">
        <v>952</v>
      </c>
      <c r="B407" s="1">
        <v>19268</v>
      </c>
      <c r="C407" s="78">
        <v>407</v>
      </c>
      <c r="E407" s="1">
        <f t="shared" si="12"/>
        <v>19268</v>
      </c>
      <c r="F407" s="2">
        <f t="shared" si="13"/>
        <v>19268</v>
      </c>
      <c r="G407" s="78">
        <v>405</v>
      </c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  <c r="AA407" s="79"/>
      <c r="AB407" s="79"/>
      <c r="AC407" s="79"/>
      <c r="AD407" s="79"/>
      <c r="AE407" s="79"/>
      <c r="AF407" s="79"/>
      <c r="AG407" s="79"/>
      <c r="AH407" s="79"/>
      <c r="AI407" s="79"/>
      <c r="AJ407" s="79"/>
      <c r="AK407" s="79"/>
      <c r="AL407" s="79"/>
      <c r="AM407" s="79"/>
      <c r="AN407" s="79"/>
      <c r="AO407" s="79">
        <v>18.433240000000001</v>
      </c>
      <c r="AP407" s="79"/>
      <c r="AQ407" s="79"/>
      <c r="AR407" s="79"/>
      <c r="AS407" s="79"/>
      <c r="AT407" s="79"/>
      <c r="AU407" s="79"/>
      <c r="AV407" s="79"/>
      <c r="AW407" s="79"/>
      <c r="AX407" s="79"/>
      <c r="AY407" s="79"/>
    </row>
    <row r="408" spans="1:51" x14ac:dyDescent="0.2">
      <c r="A408" t="s">
        <v>953</v>
      </c>
      <c r="B408" s="1">
        <v>19299</v>
      </c>
      <c r="C408" s="78">
        <v>408</v>
      </c>
      <c r="E408" s="1">
        <f t="shared" si="12"/>
        <v>19299</v>
      </c>
      <c r="F408" s="2">
        <f t="shared" si="13"/>
        <v>19299</v>
      </c>
      <c r="G408" s="78">
        <v>406</v>
      </c>
      <c r="H408" s="79"/>
      <c r="I408" s="79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  <c r="AA408" s="79"/>
      <c r="AB408" s="79"/>
      <c r="AC408" s="79"/>
      <c r="AD408" s="79"/>
      <c r="AE408" s="79"/>
      <c r="AF408" s="79"/>
      <c r="AG408" s="79"/>
      <c r="AH408" s="79"/>
      <c r="AI408" s="79"/>
      <c r="AJ408" s="79"/>
      <c r="AK408" s="79"/>
      <c r="AL408" s="79"/>
      <c r="AM408" s="79"/>
      <c r="AN408" s="79"/>
      <c r="AO408" s="79">
        <v>18.805620000000001</v>
      </c>
      <c r="AP408" s="79"/>
      <c r="AQ408" s="79"/>
      <c r="AR408" s="79"/>
      <c r="AS408" s="79"/>
      <c r="AT408" s="79"/>
      <c r="AU408" s="79"/>
      <c r="AV408" s="79"/>
      <c r="AW408" s="79"/>
      <c r="AX408" s="79"/>
      <c r="AY408" s="79"/>
    </row>
    <row r="409" spans="1:51" x14ac:dyDescent="0.2">
      <c r="A409" t="s">
        <v>954</v>
      </c>
      <c r="B409" s="1">
        <v>19329</v>
      </c>
      <c r="C409" s="78">
        <v>409</v>
      </c>
      <c r="E409" s="1">
        <f t="shared" si="12"/>
        <v>19329</v>
      </c>
      <c r="F409" s="2">
        <f t="shared" si="13"/>
        <v>19329</v>
      </c>
      <c r="G409" s="78">
        <v>407</v>
      </c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  <c r="AA409" s="79"/>
      <c r="AB409" s="79"/>
      <c r="AC409" s="79"/>
      <c r="AD409" s="79"/>
      <c r="AE409" s="79"/>
      <c r="AF409" s="79"/>
      <c r="AG409" s="79"/>
      <c r="AH409" s="79"/>
      <c r="AI409" s="79"/>
      <c r="AJ409" s="79"/>
      <c r="AK409" s="79"/>
      <c r="AL409" s="79"/>
      <c r="AM409" s="79"/>
      <c r="AN409" s="79"/>
      <c r="AO409" s="79">
        <v>18.912050000000001</v>
      </c>
      <c r="AP409" s="79"/>
      <c r="AQ409" s="79"/>
      <c r="AR409" s="79"/>
      <c r="AS409" s="79"/>
      <c r="AT409" s="79"/>
      <c r="AU409" s="79"/>
      <c r="AV409" s="79"/>
      <c r="AW409" s="79"/>
      <c r="AX409" s="79"/>
      <c r="AY409" s="79"/>
    </row>
    <row r="410" spans="1:51" x14ac:dyDescent="0.2">
      <c r="A410" t="s">
        <v>955</v>
      </c>
      <c r="B410" s="1">
        <v>19360</v>
      </c>
      <c r="C410" s="78">
        <v>410</v>
      </c>
      <c r="E410" s="1">
        <f t="shared" si="12"/>
        <v>19360</v>
      </c>
      <c r="F410" s="2">
        <f t="shared" si="13"/>
        <v>19360</v>
      </c>
      <c r="G410" s="78">
        <v>408</v>
      </c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  <c r="AA410" s="79"/>
      <c r="AB410" s="79"/>
      <c r="AC410" s="79"/>
      <c r="AD410" s="79"/>
      <c r="AE410" s="79"/>
      <c r="AF410" s="79"/>
      <c r="AG410" s="79"/>
      <c r="AH410" s="79"/>
      <c r="AI410" s="79"/>
      <c r="AJ410" s="79"/>
      <c r="AK410" s="79"/>
      <c r="AL410" s="79"/>
      <c r="AM410" s="79"/>
      <c r="AN410" s="79"/>
      <c r="AO410" s="79">
        <v>18.965160000000001</v>
      </c>
      <c r="AP410" s="79"/>
      <c r="AQ410" s="79"/>
      <c r="AR410" s="79"/>
      <c r="AS410" s="79"/>
      <c r="AT410" s="79"/>
      <c r="AU410" s="79"/>
      <c r="AV410" s="79"/>
      <c r="AW410" s="79"/>
      <c r="AX410" s="79"/>
      <c r="AY410" s="79"/>
    </row>
    <row r="411" spans="1:51" x14ac:dyDescent="0.2">
      <c r="A411" t="s">
        <v>956</v>
      </c>
      <c r="B411" s="1">
        <v>19391</v>
      </c>
      <c r="C411" s="78">
        <v>411</v>
      </c>
      <c r="E411" s="1">
        <f t="shared" si="12"/>
        <v>19391</v>
      </c>
      <c r="F411" s="2">
        <f t="shared" si="13"/>
        <v>19391</v>
      </c>
      <c r="G411" s="78">
        <v>409</v>
      </c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  <c r="AA411" s="79"/>
      <c r="AB411" s="79"/>
      <c r="AC411" s="79"/>
      <c r="AD411" s="79"/>
      <c r="AE411" s="79"/>
      <c r="AF411" s="79"/>
      <c r="AG411" s="79"/>
      <c r="AH411" s="79"/>
      <c r="AI411" s="79"/>
      <c r="AJ411" s="79"/>
      <c r="AK411" s="79"/>
      <c r="AL411" s="79"/>
      <c r="AM411" s="79"/>
      <c r="AN411" s="79"/>
      <c r="AO411" s="79">
        <v>19.07159</v>
      </c>
      <c r="AP411" s="79"/>
      <c r="AQ411" s="79"/>
      <c r="AR411" s="79"/>
      <c r="AS411" s="79"/>
      <c r="AT411" s="79"/>
      <c r="AU411" s="79"/>
      <c r="AV411" s="79"/>
      <c r="AW411" s="79"/>
      <c r="AX411" s="79"/>
      <c r="AY411" s="79"/>
    </row>
    <row r="412" spans="1:51" x14ac:dyDescent="0.2">
      <c r="A412" t="s">
        <v>957</v>
      </c>
      <c r="B412" s="1">
        <v>19419</v>
      </c>
      <c r="C412" s="78">
        <v>412</v>
      </c>
      <c r="E412" s="1">
        <f t="shared" si="12"/>
        <v>19419</v>
      </c>
      <c r="F412" s="2">
        <f t="shared" si="13"/>
        <v>19419</v>
      </c>
      <c r="G412" s="78">
        <v>410</v>
      </c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  <c r="AD412" s="79"/>
      <c r="AE412" s="79"/>
      <c r="AF412" s="79"/>
      <c r="AG412" s="79"/>
      <c r="AH412" s="79"/>
      <c r="AI412" s="79"/>
      <c r="AJ412" s="79"/>
      <c r="AK412" s="79"/>
      <c r="AL412" s="79"/>
      <c r="AM412" s="79"/>
      <c r="AN412" s="79"/>
      <c r="AO412" s="79">
        <v>19.23123</v>
      </c>
      <c r="AP412" s="79"/>
      <c r="AQ412" s="79"/>
      <c r="AR412" s="79"/>
      <c r="AS412" s="79"/>
      <c r="AT412" s="79"/>
      <c r="AU412" s="79"/>
      <c r="AV412" s="79"/>
      <c r="AW412" s="79"/>
      <c r="AX412" s="79"/>
      <c r="AY412" s="79"/>
    </row>
    <row r="413" spans="1:51" x14ac:dyDescent="0.2">
      <c r="A413" t="s">
        <v>958</v>
      </c>
      <c r="B413" s="1">
        <v>19450</v>
      </c>
      <c r="C413" s="78">
        <v>413</v>
      </c>
      <c r="E413" s="1">
        <f t="shared" si="12"/>
        <v>19450</v>
      </c>
      <c r="F413" s="2">
        <f t="shared" si="13"/>
        <v>19450</v>
      </c>
      <c r="G413" s="78">
        <v>411</v>
      </c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  <c r="AD413" s="79"/>
      <c r="AE413" s="79"/>
      <c r="AF413" s="79"/>
      <c r="AG413" s="79"/>
      <c r="AH413" s="79"/>
      <c r="AI413" s="79"/>
      <c r="AJ413" s="79"/>
      <c r="AK413" s="79"/>
      <c r="AL413" s="79"/>
      <c r="AM413" s="79"/>
      <c r="AN413" s="79"/>
      <c r="AO413" s="79">
        <v>19.311039999999998</v>
      </c>
      <c r="AP413" s="79"/>
      <c r="AQ413" s="79"/>
      <c r="AR413" s="79"/>
      <c r="AS413" s="79"/>
      <c r="AT413" s="79"/>
      <c r="AU413" s="79"/>
      <c r="AV413" s="79"/>
      <c r="AW413" s="79"/>
      <c r="AX413" s="79"/>
      <c r="AY413" s="79"/>
    </row>
    <row r="414" spans="1:51" x14ac:dyDescent="0.2">
      <c r="A414" t="s">
        <v>959</v>
      </c>
      <c r="B414" s="1">
        <v>19480</v>
      </c>
      <c r="C414" s="78">
        <v>414</v>
      </c>
      <c r="E414" s="1">
        <f t="shared" si="12"/>
        <v>19480</v>
      </c>
      <c r="F414" s="2">
        <f t="shared" si="13"/>
        <v>19480</v>
      </c>
      <c r="G414" s="78">
        <v>412</v>
      </c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  <c r="AA414" s="79"/>
      <c r="AB414" s="79"/>
      <c r="AC414" s="79"/>
      <c r="AD414" s="79"/>
      <c r="AE414" s="79"/>
      <c r="AF414" s="79"/>
      <c r="AG414" s="79"/>
      <c r="AH414" s="79"/>
      <c r="AI414" s="79"/>
      <c r="AJ414" s="79"/>
      <c r="AK414" s="79"/>
      <c r="AL414" s="79"/>
      <c r="AM414" s="79"/>
      <c r="AN414" s="79"/>
      <c r="AO414" s="79">
        <v>19.417369999999998</v>
      </c>
      <c r="AP414" s="79"/>
      <c r="AQ414" s="79"/>
      <c r="AR414" s="79"/>
      <c r="AS414" s="79"/>
      <c r="AT414" s="79"/>
      <c r="AU414" s="79"/>
      <c r="AV414" s="79"/>
      <c r="AW414" s="79"/>
      <c r="AX414" s="79"/>
      <c r="AY414" s="79"/>
    </row>
    <row r="415" spans="1:51" x14ac:dyDescent="0.2">
      <c r="A415" t="s">
        <v>960</v>
      </c>
      <c r="B415" s="1">
        <v>19511</v>
      </c>
      <c r="C415" s="78">
        <v>415</v>
      </c>
      <c r="E415" s="1">
        <f t="shared" si="12"/>
        <v>19511</v>
      </c>
      <c r="F415" s="2">
        <f t="shared" si="13"/>
        <v>19511</v>
      </c>
      <c r="G415" s="78">
        <v>413</v>
      </c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/>
      <c r="AE415" s="79"/>
      <c r="AF415" s="79"/>
      <c r="AG415" s="79"/>
      <c r="AH415" s="79"/>
      <c r="AI415" s="79"/>
      <c r="AJ415" s="79"/>
      <c r="AK415" s="79"/>
      <c r="AL415" s="79"/>
      <c r="AM415" s="79"/>
      <c r="AN415" s="79"/>
      <c r="AO415" s="79">
        <v>19.33755</v>
      </c>
      <c r="AP415" s="79"/>
      <c r="AQ415" s="79"/>
      <c r="AR415" s="79"/>
      <c r="AS415" s="79"/>
      <c r="AT415" s="79"/>
      <c r="AU415" s="79"/>
      <c r="AV415" s="79"/>
      <c r="AW415" s="79"/>
      <c r="AX415" s="79"/>
      <c r="AY415" s="79"/>
    </row>
    <row r="416" spans="1:51" x14ac:dyDescent="0.2">
      <c r="A416" t="s">
        <v>961</v>
      </c>
      <c r="B416" s="1">
        <v>19541</v>
      </c>
      <c r="C416" s="78">
        <v>416</v>
      </c>
      <c r="E416" s="1">
        <f t="shared" si="12"/>
        <v>19541</v>
      </c>
      <c r="F416" s="2">
        <f t="shared" si="13"/>
        <v>19541</v>
      </c>
      <c r="G416" s="78">
        <v>414</v>
      </c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/>
      <c r="AL416" s="79"/>
      <c r="AM416" s="79"/>
      <c r="AN416" s="79"/>
      <c r="AO416" s="79">
        <v>19.577010000000001</v>
      </c>
      <c r="AP416" s="79"/>
      <c r="AQ416" s="79"/>
      <c r="AR416" s="79"/>
      <c r="AS416" s="79"/>
      <c r="AT416" s="79"/>
      <c r="AU416" s="79"/>
      <c r="AV416" s="79"/>
      <c r="AW416" s="79"/>
      <c r="AX416" s="79"/>
      <c r="AY416" s="79"/>
    </row>
    <row r="417" spans="1:51" x14ac:dyDescent="0.2">
      <c r="A417" t="s">
        <v>962</v>
      </c>
      <c r="B417" s="1">
        <v>19572</v>
      </c>
      <c r="C417" s="78">
        <v>417</v>
      </c>
      <c r="E417" s="1">
        <f t="shared" si="12"/>
        <v>19572</v>
      </c>
      <c r="F417" s="2">
        <f t="shared" si="13"/>
        <v>19572</v>
      </c>
      <c r="G417" s="78">
        <v>415</v>
      </c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/>
      <c r="AI417" s="79"/>
      <c r="AJ417" s="79"/>
      <c r="AK417" s="79"/>
      <c r="AL417" s="79"/>
      <c r="AM417" s="79"/>
      <c r="AN417" s="79"/>
      <c r="AO417" s="79">
        <v>19.470580000000002</v>
      </c>
      <c r="AP417" s="79"/>
      <c r="AQ417" s="79"/>
      <c r="AR417" s="79"/>
      <c r="AS417" s="79"/>
      <c r="AT417" s="79"/>
      <c r="AU417" s="79"/>
      <c r="AV417" s="79"/>
      <c r="AW417" s="79"/>
      <c r="AX417" s="79"/>
      <c r="AY417" s="79"/>
    </row>
    <row r="418" spans="1:51" x14ac:dyDescent="0.2">
      <c r="A418" t="s">
        <v>963</v>
      </c>
      <c r="B418" s="1">
        <v>19603</v>
      </c>
      <c r="C418" s="78">
        <v>418</v>
      </c>
      <c r="E418" s="1">
        <f t="shared" si="12"/>
        <v>19603</v>
      </c>
      <c r="F418" s="2">
        <f t="shared" si="13"/>
        <v>19603</v>
      </c>
      <c r="G418" s="78">
        <v>416</v>
      </c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/>
      <c r="AJ418" s="79"/>
      <c r="AK418" s="79"/>
      <c r="AL418" s="79"/>
      <c r="AM418" s="79"/>
      <c r="AN418" s="79"/>
      <c r="AO418" s="79">
        <v>19.07159</v>
      </c>
      <c r="AP418" s="79"/>
      <c r="AQ418" s="79"/>
      <c r="AR418" s="79"/>
      <c r="AS418" s="79"/>
      <c r="AT418" s="79"/>
      <c r="AU418" s="79"/>
      <c r="AV418" s="79"/>
      <c r="AW418" s="79"/>
      <c r="AX418" s="79"/>
      <c r="AY418" s="79"/>
    </row>
    <row r="419" spans="1:51" x14ac:dyDescent="0.2">
      <c r="A419" t="s">
        <v>964</v>
      </c>
      <c r="B419" s="1">
        <v>19633</v>
      </c>
      <c r="C419" s="78">
        <v>419</v>
      </c>
      <c r="E419" s="1">
        <f t="shared" si="12"/>
        <v>19633</v>
      </c>
      <c r="F419" s="2">
        <f t="shared" si="13"/>
        <v>19633</v>
      </c>
      <c r="G419" s="78">
        <v>417</v>
      </c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/>
      <c r="AJ419" s="79"/>
      <c r="AK419" s="79"/>
      <c r="AL419" s="79"/>
      <c r="AM419" s="79"/>
      <c r="AN419" s="79"/>
      <c r="AO419" s="79">
        <v>18.912050000000001</v>
      </c>
      <c r="AP419" s="79"/>
      <c r="AQ419" s="79"/>
      <c r="AR419" s="79"/>
      <c r="AS419" s="79"/>
      <c r="AT419" s="79"/>
      <c r="AU419" s="79"/>
      <c r="AV419" s="79"/>
      <c r="AW419" s="79"/>
      <c r="AX419" s="79"/>
      <c r="AY419" s="79"/>
    </row>
    <row r="420" spans="1:51" x14ac:dyDescent="0.2">
      <c r="A420" t="s">
        <v>965</v>
      </c>
      <c r="B420" s="1">
        <v>19664</v>
      </c>
      <c r="C420" s="78">
        <v>420</v>
      </c>
      <c r="E420" s="1">
        <f t="shared" si="12"/>
        <v>19664</v>
      </c>
      <c r="F420" s="2">
        <f t="shared" si="13"/>
        <v>19664</v>
      </c>
      <c r="G420" s="78">
        <v>418</v>
      </c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  <c r="AD420" s="79"/>
      <c r="AE420" s="79"/>
      <c r="AF420" s="79"/>
      <c r="AG420" s="79"/>
      <c r="AH420" s="79"/>
      <c r="AI420" s="79"/>
      <c r="AJ420" s="79"/>
      <c r="AK420" s="79"/>
      <c r="AL420" s="79"/>
      <c r="AM420" s="79"/>
      <c r="AN420" s="79"/>
      <c r="AO420" s="79">
        <v>18.45984</v>
      </c>
      <c r="AP420" s="79"/>
      <c r="AQ420" s="79"/>
      <c r="AR420" s="79"/>
      <c r="AS420" s="79"/>
      <c r="AT420" s="79"/>
      <c r="AU420" s="79"/>
      <c r="AV420" s="79"/>
      <c r="AW420" s="79"/>
      <c r="AX420" s="79"/>
      <c r="AY420" s="79"/>
    </row>
    <row r="421" spans="1:51" x14ac:dyDescent="0.2">
      <c r="A421" t="s">
        <v>966</v>
      </c>
      <c r="B421" s="1">
        <v>19694</v>
      </c>
      <c r="C421" s="78">
        <v>421</v>
      </c>
      <c r="E421" s="1">
        <f t="shared" si="12"/>
        <v>19694</v>
      </c>
      <c r="F421" s="2">
        <f t="shared" si="13"/>
        <v>19694</v>
      </c>
      <c r="G421" s="78">
        <v>419</v>
      </c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  <c r="AD421" s="79"/>
      <c r="AE421" s="79"/>
      <c r="AF421" s="79"/>
      <c r="AG421" s="79"/>
      <c r="AH421" s="79"/>
      <c r="AI421" s="79"/>
      <c r="AJ421" s="79"/>
      <c r="AK421" s="79"/>
      <c r="AL421" s="79"/>
      <c r="AM421" s="79"/>
      <c r="AN421" s="79"/>
      <c r="AO421" s="79">
        <v>18.007629999999999</v>
      </c>
      <c r="AP421" s="79"/>
      <c r="AQ421" s="79"/>
      <c r="AR421" s="79"/>
      <c r="AS421" s="79"/>
      <c r="AT421" s="79"/>
      <c r="AU421" s="79"/>
      <c r="AV421" s="79"/>
      <c r="AW421" s="79"/>
      <c r="AX421" s="79"/>
      <c r="AY421" s="79"/>
    </row>
    <row r="422" spans="1:51" x14ac:dyDescent="0.2">
      <c r="A422" t="s">
        <v>967</v>
      </c>
      <c r="B422" s="1">
        <v>19725</v>
      </c>
      <c r="C422" s="78">
        <v>422</v>
      </c>
      <c r="E422" s="1">
        <f t="shared" si="12"/>
        <v>19725</v>
      </c>
      <c r="F422" s="2">
        <f t="shared" si="13"/>
        <v>19725</v>
      </c>
      <c r="G422" s="78">
        <v>420</v>
      </c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  <c r="AD422" s="79"/>
      <c r="AE422" s="79"/>
      <c r="AF422" s="79"/>
      <c r="AG422" s="79"/>
      <c r="AH422" s="79"/>
      <c r="AI422" s="79"/>
      <c r="AJ422" s="79"/>
      <c r="AK422" s="79"/>
      <c r="AL422" s="79"/>
      <c r="AM422" s="79"/>
      <c r="AN422" s="79"/>
      <c r="AO422" s="79">
        <v>17.874600000000001</v>
      </c>
      <c r="AP422" s="79"/>
      <c r="AQ422" s="79"/>
      <c r="AR422" s="79"/>
      <c r="AS422" s="79"/>
      <c r="AT422" s="79"/>
      <c r="AU422" s="79"/>
      <c r="AV422" s="79"/>
      <c r="AW422" s="79"/>
      <c r="AX422" s="79"/>
      <c r="AY422" s="79"/>
    </row>
    <row r="423" spans="1:51" x14ac:dyDescent="0.2">
      <c r="A423" t="s">
        <v>968</v>
      </c>
      <c r="B423" s="1">
        <v>19756</v>
      </c>
      <c r="C423" s="78">
        <v>423</v>
      </c>
      <c r="E423" s="1">
        <f t="shared" si="12"/>
        <v>19756</v>
      </c>
      <c r="F423" s="2">
        <f t="shared" si="13"/>
        <v>19756</v>
      </c>
      <c r="G423" s="78">
        <v>421</v>
      </c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  <c r="AD423" s="79"/>
      <c r="AE423" s="79"/>
      <c r="AF423" s="79"/>
      <c r="AG423" s="79"/>
      <c r="AH423" s="79"/>
      <c r="AI423" s="79"/>
      <c r="AJ423" s="79"/>
      <c r="AK423" s="79"/>
      <c r="AL423" s="79"/>
      <c r="AM423" s="79"/>
      <c r="AN423" s="79"/>
      <c r="AO423" s="79">
        <v>17.927810000000001</v>
      </c>
      <c r="AP423" s="79"/>
      <c r="AQ423" s="79"/>
      <c r="AR423" s="79"/>
      <c r="AS423" s="79"/>
      <c r="AT423" s="79"/>
      <c r="AU423" s="79"/>
      <c r="AV423" s="79"/>
      <c r="AW423" s="79"/>
      <c r="AX423" s="79"/>
      <c r="AY423" s="79"/>
    </row>
    <row r="424" spans="1:51" x14ac:dyDescent="0.2">
      <c r="A424" t="s">
        <v>969</v>
      </c>
      <c r="B424" s="1">
        <v>19784</v>
      </c>
      <c r="C424" s="78">
        <v>424</v>
      </c>
      <c r="E424" s="1">
        <f t="shared" si="12"/>
        <v>19784</v>
      </c>
      <c r="F424" s="2">
        <f t="shared" si="13"/>
        <v>19784</v>
      </c>
      <c r="G424" s="78">
        <v>422</v>
      </c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  <c r="AD424" s="79"/>
      <c r="AE424" s="79"/>
      <c r="AF424" s="79"/>
      <c r="AG424" s="79"/>
      <c r="AH424" s="79"/>
      <c r="AI424" s="79"/>
      <c r="AJ424" s="79"/>
      <c r="AK424" s="79"/>
      <c r="AL424" s="79"/>
      <c r="AM424" s="79"/>
      <c r="AN424" s="79"/>
      <c r="AO424" s="79">
        <v>17.821490000000001</v>
      </c>
      <c r="AP424" s="79"/>
      <c r="AQ424" s="79"/>
      <c r="AR424" s="79"/>
      <c r="AS424" s="79"/>
      <c r="AT424" s="79"/>
      <c r="AU424" s="79"/>
      <c r="AV424" s="79"/>
      <c r="AW424" s="79"/>
      <c r="AX424" s="79"/>
      <c r="AY424" s="79"/>
    </row>
    <row r="425" spans="1:51" x14ac:dyDescent="0.2">
      <c r="A425" t="s">
        <v>970</v>
      </c>
      <c r="B425" s="1">
        <v>19815</v>
      </c>
      <c r="C425" s="78">
        <v>425</v>
      </c>
      <c r="E425" s="1">
        <f t="shared" si="12"/>
        <v>19815</v>
      </c>
      <c r="F425" s="2">
        <f t="shared" si="13"/>
        <v>19815</v>
      </c>
      <c r="G425" s="78">
        <v>423</v>
      </c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/>
      <c r="AL425" s="79"/>
      <c r="AM425" s="79"/>
      <c r="AN425" s="79"/>
      <c r="AO425" s="79">
        <v>17.715060000000001</v>
      </c>
      <c r="AP425" s="79"/>
      <c r="AQ425" s="79"/>
      <c r="AR425" s="79"/>
      <c r="AS425" s="79"/>
      <c r="AT425" s="79"/>
      <c r="AU425" s="79"/>
      <c r="AV425" s="79"/>
      <c r="AW425" s="79"/>
      <c r="AX425" s="79"/>
      <c r="AY425" s="79"/>
    </row>
    <row r="426" spans="1:51" x14ac:dyDescent="0.2">
      <c r="A426" t="s">
        <v>971</v>
      </c>
      <c r="B426" s="1">
        <v>19845</v>
      </c>
      <c r="C426" s="78">
        <v>426</v>
      </c>
      <c r="E426" s="1">
        <f t="shared" si="12"/>
        <v>19845</v>
      </c>
      <c r="F426" s="2">
        <f t="shared" si="13"/>
        <v>19845</v>
      </c>
      <c r="G426" s="78">
        <v>424</v>
      </c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79"/>
      <c r="AL426" s="79"/>
      <c r="AM426" s="79"/>
      <c r="AN426" s="79"/>
      <c r="AO426" s="79">
        <v>17.821490000000001</v>
      </c>
      <c r="AP426" s="79"/>
      <c r="AQ426" s="79"/>
      <c r="AR426" s="79"/>
      <c r="AS426" s="79"/>
      <c r="AT426" s="79"/>
      <c r="AU426" s="79"/>
      <c r="AV426" s="79"/>
      <c r="AW426" s="79"/>
      <c r="AX426" s="79"/>
      <c r="AY426" s="79"/>
    </row>
    <row r="427" spans="1:51" x14ac:dyDescent="0.2">
      <c r="A427" t="s">
        <v>972</v>
      </c>
      <c r="B427" s="1">
        <v>19876</v>
      </c>
      <c r="C427" s="78">
        <v>427</v>
      </c>
      <c r="E427" s="1">
        <f t="shared" si="12"/>
        <v>19876</v>
      </c>
      <c r="F427" s="2">
        <f t="shared" si="13"/>
        <v>19876</v>
      </c>
      <c r="G427" s="78">
        <v>425</v>
      </c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  <c r="AG427" s="79"/>
      <c r="AH427" s="79"/>
      <c r="AI427" s="79"/>
      <c r="AJ427" s="79"/>
      <c r="AK427" s="79"/>
      <c r="AL427" s="79"/>
      <c r="AM427" s="79"/>
      <c r="AN427" s="79"/>
      <c r="AO427" s="79">
        <v>17.874700000000001</v>
      </c>
      <c r="AP427" s="79"/>
      <c r="AQ427" s="79"/>
      <c r="AR427" s="79"/>
      <c r="AS427" s="79"/>
      <c r="AT427" s="79"/>
      <c r="AU427" s="79"/>
      <c r="AV427" s="79"/>
      <c r="AW427" s="79"/>
      <c r="AX427" s="79"/>
      <c r="AY427" s="79"/>
    </row>
    <row r="428" spans="1:51" x14ac:dyDescent="0.2">
      <c r="A428" t="s">
        <v>973</v>
      </c>
      <c r="B428" s="1">
        <v>19906</v>
      </c>
      <c r="C428" s="78">
        <v>428</v>
      </c>
      <c r="E428" s="1">
        <f t="shared" si="12"/>
        <v>19906</v>
      </c>
      <c r="F428" s="2">
        <f t="shared" si="13"/>
        <v>19906</v>
      </c>
      <c r="G428" s="78">
        <v>426</v>
      </c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  <c r="AK428" s="79"/>
      <c r="AL428" s="79"/>
      <c r="AM428" s="79"/>
      <c r="AN428" s="79"/>
      <c r="AO428" s="79">
        <v>17.901209999999999</v>
      </c>
      <c r="AP428" s="79"/>
      <c r="AQ428" s="79"/>
      <c r="AR428" s="79"/>
      <c r="AS428" s="79"/>
      <c r="AT428" s="79"/>
      <c r="AU428" s="79"/>
      <c r="AV428" s="79"/>
      <c r="AW428" s="79"/>
      <c r="AX428" s="79"/>
      <c r="AY428" s="79"/>
    </row>
    <row r="429" spans="1:51" x14ac:dyDescent="0.2">
      <c r="A429" t="s">
        <v>974</v>
      </c>
      <c r="B429" s="1">
        <v>19937</v>
      </c>
      <c r="C429" s="78">
        <v>429</v>
      </c>
      <c r="E429" s="1">
        <f t="shared" si="12"/>
        <v>19937</v>
      </c>
      <c r="F429" s="2">
        <f t="shared" si="13"/>
        <v>19937</v>
      </c>
      <c r="G429" s="78">
        <v>427</v>
      </c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  <c r="AK429" s="79"/>
      <c r="AL429" s="79"/>
      <c r="AM429" s="79"/>
      <c r="AN429" s="79"/>
      <c r="AO429" s="79">
        <v>17.874600000000001</v>
      </c>
      <c r="AP429" s="79"/>
      <c r="AQ429" s="79"/>
      <c r="AR429" s="79"/>
      <c r="AS429" s="79"/>
      <c r="AT429" s="79"/>
      <c r="AU429" s="79"/>
      <c r="AV429" s="79"/>
      <c r="AW429" s="79"/>
      <c r="AX429" s="79"/>
      <c r="AY429" s="79"/>
    </row>
    <row r="430" spans="1:51" x14ac:dyDescent="0.2">
      <c r="A430" t="s">
        <v>975</v>
      </c>
      <c r="B430" s="1">
        <v>19968</v>
      </c>
      <c r="C430" s="78">
        <v>430</v>
      </c>
      <c r="E430" s="1">
        <f t="shared" si="12"/>
        <v>19968</v>
      </c>
      <c r="F430" s="2">
        <f t="shared" si="13"/>
        <v>19968</v>
      </c>
      <c r="G430" s="78">
        <v>428</v>
      </c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  <c r="AG430" s="79"/>
      <c r="AH430" s="79"/>
      <c r="AI430" s="79"/>
      <c r="AJ430" s="79"/>
      <c r="AK430" s="79"/>
      <c r="AL430" s="79"/>
      <c r="AM430" s="79"/>
      <c r="AN430" s="79"/>
      <c r="AO430" s="79">
        <v>17.901209999999999</v>
      </c>
      <c r="AP430" s="79"/>
      <c r="AQ430" s="79"/>
      <c r="AR430" s="79"/>
      <c r="AS430" s="79"/>
      <c r="AT430" s="79"/>
      <c r="AU430" s="79"/>
      <c r="AV430" s="79"/>
      <c r="AW430" s="79"/>
      <c r="AX430" s="79"/>
      <c r="AY430" s="79"/>
    </row>
    <row r="431" spans="1:51" x14ac:dyDescent="0.2">
      <c r="A431" t="s">
        <v>976</v>
      </c>
      <c r="B431" s="1">
        <v>19998</v>
      </c>
      <c r="C431" s="78">
        <v>431</v>
      </c>
      <c r="E431" s="1">
        <f t="shared" si="12"/>
        <v>19998</v>
      </c>
      <c r="F431" s="2">
        <f t="shared" si="13"/>
        <v>19998</v>
      </c>
      <c r="G431" s="78">
        <v>429</v>
      </c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79"/>
      <c r="AI431" s="79"/>
      <c r="AJ431" s="79"/>
      <c r="AK431" s="79"/>
      <c r="AL431" s="79"/>
      <c r="AM431" s="79"/>
      <c r="AN431" s="79"/>
      <c r="AO431" s="79">
        <v>18.114059999999998</v>
      </c>
      <c r="AP431" s="79"/>
      <c r="AQ431" s="79"/>
      <c r="AR431" s="79"/>
      <c r="AS431" s="79"/>
      <c r="AT431" s="79"/>
      <c r="AU431" s="79"/>
      <c r="AV431" s="79"/>
      <c r="AW431" s="79"/>
      <c r="AX431" s="79"/>
      <c r="AY431" s="79"/>
    </row>
    <row r="432" spans="1:51" x14ac:dyDescent="0.2">
      <c r="A432" t="s">
        <v>977</v>
      </c>
      <c r="B432" s="1">
        <v>20029</v>
      </c>
      <c r="C432" s="78">
        <v>432</v>
      </c>
      <c r="E432" s="1">
        <f t="shared" si="12"/>
        <v>20029</v>
      </c>
      <c r="F432" s="2">
        <f t="shared" si="13"/>
        <v>20029</v>
      </c>
      <c r="G432" s="78">
        <v>430</v>
      </c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  <c r="AK432" s="79"/>
      <c r="AL432" s="79"/>
      <c r="AM432" s="79"/>
      <c r="AN432" s="79"/>
      <c r="AO432" s="79">
        <v>18.40663</v>
      </c>
      <c r="AP432" s="79"/>
      <c r="AQ432" s="79"/>
      <c r="AR432" s="79"/>
      <c r="AS432" s="79"/>
      <c r="AT432" s="79"/>
      <c r="AU432" s="79"/>
      <c r="AV432" s="79"/>
      <c r="AW432" s="79"/>
      <c r="AX432" s="79"/>
      <c r="AY432" s="79"/>
    </row>
    <row r="433" spans="1:51" x14ac:dyDescent="0.2">
      <c r="A433" t="s">
        <v>978</v>
      </c>
      <c r="B433" s="1">
        <v>20059</v>
      </c>
      <c r="C433" s="78">
        <v>433</v>
      </c>
      <c r="E433" s="1">
        <f t="shared" si="12"/>
        <v>20059</v>
      </c>
      <c r="F433" s="2">
        <f t="shared" si="13"/>
        <v>20059</v>
      </c>
      <c r="G433" s="78">
        <v>431</v>
      </c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/>
      <c r="AG433" s="79"/>
      <c r="AH433" s="79"/>
      <c r="AI433" s="79"/>
      <c r="AJ433" s="79"/>
      <c r="AK433" s="79"/>
      <c r="AL433" s="79"/>
      <c r="AM433" s="79"/>
      <c r="AN433" s="79"/>
      <c r="AO433" s="79">
        <v>18.645990000000001</v>
      </c>
      <c r="AP433" s="79"/>
      <c r="AQ433" s="79"/>
      <c r="AR433" s="79"/>
      <c r="AS433" s="79"/>
      <c r="AT433" s="79"/>
      <c r="AU433" s="79"/>
      <c r="AV433" s="79"/>
      <c r="AW433" s="79"/>
      <c r="AX433" s="79"/>
      <c r="AY433" s="79"/>
    </row>
    <row r="434" spans="1:51" x14ac:dyDescent="0.2">
      <c r="A434" t="s">
        <v>979</v>
      </c>
      <c r="B434" s="1">
        <v>20090</v>
      </c>
      <c r="C434" s="78">
        <v>434</v>
      </c>
      <c r="E434" s="1">
        <f t="shared" si="12"/>
        <v>20090</v>
      </c>
      <c r="F434" s="2">
        <f t="shared" si="13"/>
        <v>20090</v>
      </c>
      <c r="G434" s="78">
        <v>432</v>
      </c>
      <c r="H434" s="79"/>
      <c r="I434" s="79"/>
      <c r="J434" s="79">
        <v>21.493120000000001</v>
      </c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>
        <v>21.752089999999999</v>
      </c>
      <c r="AA434" s="79">
        <v>5.8890279999999997</v>
      </c>
      <c r="AB434" s="79"/>
      <c r="AC434" s="79">
        <v>32.256889999999999</v>
      </c>
      <c r="AD434" s="79"/>
      <c r="AE434" s="79"/>
      <c r="AF434" s="79"/>
      <c r="AG434" s="79">
        <v>16.31305</v>
      </c>
      <c r="AH434" s="79"/>
      <c r="AI434" s="79"/>
      <c r="AJ434" s="79">
        <v>14.60289</v>
      </c>
      <c r="AK434" s="79"/>
      <c r="AL434" s="79"/>
      <c r="AM434" s="79"/>
      <c r="AN434" s="79"/>
      <c r="AO434" s="79">
        <v>19.07159</v>
      </c>
      <c r="AP434" s="79"/>
      <c r="AQ434" s="79"/>
      <c r="AR434" s="79"/>
      <c r="AS434" s="79"/>
      <c r="AT434" s="79"/>
      <c r="AU434" s="79"/>
      <c r="AV434" s="79"/>
      <c r="AW434" s="79"/>
      <c r="AX434" s="79"/>
      <c r="AY434" s="79"/>
    </row>
    <row r="435" spans="1:51" x14ac:dyDescent="0.2">
      <c r="A435" t="s">
        <v>980</v>
      </c>
      <c r="B435" s="1">
        <v>20121</v>
      </c>
      <c r="C435" s="78">
        <v>435</v>
      </c>
      <c r="E435" s="1">
        <f t="shared" si="12"/>
        <v>20121</v>
      </c>
      <c r="F435" s="2">
        <f t="shared" si="13"/>
        <v>20121</v>
      </c>
      <c r="G435" s="78">
        <v>433</v>
      </c>
      <c r="H435" s="79"/>
      <c r="I435" s="79"/>
      <c r="J435" s="79">
        <v>22.215789999999998</v>
      </c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>
        <v>21.96125</v>
      </c>
      <c r="AA435" s="79">
        <v>5.9731569999999996</v>
      </c>
      <c r="AB435" s="79"/>
      <c r="AC435" s="79">
        <v>34.529229999999998</v>
      </c>
      <c r="AD435" s="79"/>
      <c r="AE435" s="79"/>
      <c r="AF435" s="79"/>
      <c r="AG435" s="79">
        <v>16.51896</v>
      </c>
      <c r="AH435" s="79"/>
      <c r="AI435" s="79"/>
      <c r="AJ435" s="79">
        <v>14.90776</v>
      </c>
      <c r="AK435" s="79"/>
      <c r="AL435" s="79"/>
      <c r="AM435" s="79"/>
      <c r="AN435" s="79"/>
      <c r="AO435" s="79">
        <v>19.311039999999998</v>
      </c>
      <c r="AP435" s="79"/>
      <c r="AQ435" s="79"/>
      <c r="AR435" s="79"/>
      <c r="AS435" s="79"/>
      <c r="AT435" s="79"/>
      <c r="AU435" s="79"/>
      <c r="AV435" s="79"/>
      <c r="AW435" s="79"/>
      <c r="AX435" s="79"/>
      <c r="AY435" s="79"/>
    </row>
    <row r="436" spans="1:51" x14ac:dyDescent="0.2">
      <c r="A436" t="s">
        <v>981</v>
      </c>
      <c r="B436" s="1">
        <v>20149</v>
      </c>
      <c r="C436" s="78">
        <v>436</v>
      </c>
      <c r="E436" s="1">
        <f t="shared" si="12"/>
        <v>20149</v>
      </c>
      <c r="F436" s="2">
        <f t="shared" si="13"/>
        <v>20149</v>
      </c>
      <c r="G436" s="78">
        <v>434</v>
      </c>
      <c r="H436" s="79"/>
      <c r="I436" s="79"/>
      <c r="J436" s="79">
        <v>23.06005</v>
      </c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>
        <v>22.284490000000002</v>
      </c>
      <c r="AA436" s="79">
        <v>6.0572860000000004</v>
      </c>
      <c r="AB436" s="79"/>
      <c r="AC436" s="79">
        <v>32.296959999999999</v>
      </c>
      <c r="AD436" s="79"/>
      <c r="AE436" s="79"/>
      <c r="AF436" s="79"/>
      <c r="AG436" s="79">
        <v>16.99943</v>
      </c>
      <c r="AH436" s="79"/>
      <c r="AI436" s="79"/>
      <c r="AJ436" s="79">
        <v>15.766109999999999</v>
      </c>
      <c r="AK436" s="79"/>
      <c r="AL436" s="79"/>
      <c r="AM436" s="79"/>
      <c r="AN436" s="79"/>
      <c r="AO436" s="79">
        <v>19.763159999999999</v>
      </c>
      <c r="AP436" s="79"/>
      <c r="AQ436" s="79"/>
      <c r="AR436" s="79"/>
      <c r="AS436" s="79"/>
      <c r="AT436" s="79"/>
      <c r="AU436" s="79"/>
      <c r="AV436" s="79"/>
      <c r="AW436" s="79"/>
      <c r="AX436" s="79"/>
      <c r="AY436" s="79"/>
    </row>
    <row r="437" spans="1:51" x14ac:dyDescent="0.2">
      <c r="A437" t="s">
        <v>982</v>
      </c>
      <c r="B437" s="1">
        <v>20180</v>
      </c>
      <c r="C437" s="78">
        <v>437</v>
      </c>
      <c r="E437" s="1">
        <f t="shared" si="12"/>
        <v>20180</v>
      </c>
      <c r="F437" s="2">
        <f t="shared" si="13"/>
        <v>20180</v>
      </c>
      <c r="G437" s="78">
        <v>435</v>
      </c>
      <c r="H437" s="79"/>
      <c r="I437" s="79"/>
      <c r="J437" s="79">
        <v>22.26876</v>
      </c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>
        <v>22.132380000000001</v>
      </c>
      <c r="AA437" s="79">
        <v>6.0572860000000004</v>
      </c>
      <c r="AB437" s="79"/>
      <c r="AC437" s="79">
        <v>31.008659999999999</v>
      </c>
      <c r="AD437" s="79"/>
      <c r="AE437" s="79"/>
      <c r="AF437" s="79"/>
      <c r="AG437" s="79">
        <v>16.06137</v>
      </c>
      <c r="AH437" s="79"/>
      <c r="AI437" s="79"/>
      <c r="AJ437" s="79">
        <v>15.81631</v>
      </c>
      <c r="AK437" s="79"/>
      <c r="AL437" s="79"/>
      <c r="AM437" s="79"/>
      <c r="AN437" s="79"/>
      <c r="AO437" s="79">
        <v>20.002610000000001</v>
      </c>
      <c r="AP437" s="79"/>
      <c r="AQ437" s="79"/>
      <c r="AR437" s="79"/>
      <c r="AS437" s="79"/>
      <c r="AT437" s="79"/>
      <c r="AU437" s="79"/>
      <c r="AV437" s="79"/>
      <c r="AW437" s="79"/>
      <c r="AX437" s="79"/>
      <c r="AY437" s="79"/>
    </row>
    <row r="438" spans="1:51" x14ac:dyDescent="0.2">
      <c r="A438" t="s">
        <v>983</v>
      </c>
      <c r="B438" s="1">
        <v>20210</v>
      </c>
      <c r="C438" s="78">
        <v>438</v>
      </c>
      <c r="E438" s="1">
        <f t="shared" si="12"/>
        <v>20210</v>
      </c>
      <c r="F438" s="2">
        <f t="shared" si="13"/>
        <v>20210</v>
      </c>
      <c r="G438" s="78">
        <v>436</v>
      </c>
      <c r="H438" s="79"/>
      <c r="I438" s="79"/>
      <c r="J438" s="79">
        <v>22.328690000000002</v>
      </c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>
        <v>22.36055</v>
      </c>
      <c r="AA438" s="79">
        <v>6.0572860000000004</v>
      </c>
      <c r="AB438" s="79"/>
      <c r="AC438" s="79">
        <v>32.142130000000002</v>
      </c>
      <c r="AD438" s="79"/>
      <c r="AE438" s="79"/>
      <c r="AF438" s="79"/>
      <c r="AG438" s="79">
        <v>16.907920000000001</v>
      </c>
      <c r="AH438" s="79"/>
      <c r="AI438" s="79"/>
      <c r="AJ438" s="79">
        <v>15.951309999999999</v>
      </c>
      <c r="AK438" s="79"/>
      <c r="AL438" s="79"/>
      <c r="AM438" s="79"/>
      <c r="AN438" s="79"/>
      <c r="AO438" s="79">
        <v>20.32179</v>
      </c>
      <c r="AP438" s="79"/>
      <c r="AQ438" s="79"/>
      <c r="AR438" s="79"/>
      <c r="AS438" s="79"/>
      <c r="AT438" s="79"/>
      <c r="AU438" s="79"/>
      <c r="AV438" s="79"/>
      <c r="AW438" s="79"/>
      <c r="AX438" s="79"/>
      <c r="AY438" s="79"/>
    </row>
    <row r="439" spans="1:51" x14ac:dyDescent="0.2">
      <c r="A439" t="s">
        <v>984</v>
      </c>
      <c r="B439" s="1">
        <v>20241</v>
      </c>
      <c r="C439" s="78">
        <v>439</v>
      </c>
      <c r="E439" s="1">
        <f t="shared" si="12"/>
        <v>20241</v>
      </c>
      <c r="F439" s="2">
        <f t="shared" si="13"/>
        <v>20241</v>
      </c>
      <c r="G439" s="78">
        <v>437</v>
      </c>
      <c r="H439" s="79"/>
      <c r="I439" s="79"/>
      <c r="J439" s="79">
        <v>23.316490000000002</v>
      </c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>
        <v>22.930969999999999</v>
      </c>
      <c r="AA439" s="79">
        <v>6.0572860000000004</v>
      </c>
      <c r="AB439" s="79"/>
      <c r="AC439" s="79">
        <v>33.502479999999998</v>
      </c>
      <c r="AD439" s="79"/>
      <c r="AE439" s="79"/>
      <c r="AF439" s="79"/>
      <c r="AG439" s="79">
        <v>17.090949999999999</v>
      </c>
      <c r="AH439" s="79"/>
      <c r="AI439" s="79"/>
      <c r="AJ439" s="79">
        <v>15.439830000000001</v>
      </c>
      <c r="AK439" s="79"/>
      <c r="AL439" s="79"/>
      <c r="AM439" s="79"/>
      <c r="AN439" s="79"/>
      <c r="AO439" s="79">
        <v>20.348389999999998</v>
      </c>
      <c r="AP439" s="79"/>
      <c r="AQ439" s="79"/>
      <c r="AR439" s="79"/>
      <c r="AS439" s="79"/>
      <c r="AT439" s="79"/>
      <c r="AU439" s="79"/>
      <c r="AV439" s="79"/>
      <c r="AW439" s="79"/>
      <c r="AX439" s="79"/>
      <c r="AY439" s="79"/>
    </row>
    <row r="440" spans="1:51" x14ac:dyDescent="0.2">
      <c r="A440" t="s">
        <v>985</v>
      </c>
      <c r="B440" s="1">
        <v>20271</v>
      </c>
      <c r="C440" s="78">
        <v>440</v>
      </c>
      <c r="E440" s="1">
        <f t="shared" si="12"/>
        <v>20271</v>
      </c>
      <c r="F440" s="2">
        <f t="shared" si="13"/>
        <v>20271</v>
      </c>
      <c r="G440" s="78">
        <v>438</v>
      </c>
      <c r="H440" s="79"/>
      <c r="I440" s="79"/>
      <c r="J440" s="79">
        <v>20.546240000000001</v>
      </c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>
        <v>22.94998</v>
      </c>
      <c r="AA440" s="79">
        <v>6.225543</v>
      </c>
      <c r="AB440" s="79"/>
      <c r="AC440" s="79">
        <v>33.698459999999997</v>
      </c>
      <c r="AD440" s="79"/>
      <c r="AE440" s="79"/>
      <c r="AF440" s="79"/>
      <c r="AG440" s="79">
        <v>16.244409999999998</v>
      </c>
      <c r="AH440" s="79"/>
      <c r="AI440" s="79"/>
      <c r="AJ440" s="79">
        <v>16.320440000000001</v>
      </c>
      <c r="AK440" s="79"/>
      <c r="AL440" s="79"/>
      <c r="AM440" s="79"/>
      <c r="AN440" s="79"/>
      <c r="AO440" s="79">
        <v>20.507930000000002</v>
      </c>
      <c r="AP440" s="79"/>
      <c r="AQ440" s="79"/>
      <c r="AR440" s="79"/>
      <c r="AS440" s="79"/>
      <c r="AT440" s="79"/>
      <c r="AU440" s="79"/>
      <c r="AV440" s="79"/>
      <c r="AW440" s="79"/>
      <c r="AX440" s="79"/>
      <c r="AY440" s="79"/>
    </row>
    <row r="441" spans="1:51" x14ac:dyDescent="0.2">
      <c r="A441" t="s">
        <v>986</v>
      </c>
      <c r="B441" s="1">
        <v>20302</v>
      </c>
      <c r="C441" s="78">
        <v>441</v>
      </c>
      <c r="E441" s="1">
        <f t="shared" si="12"/>
        <v>20302</v>
      </c>
      <c r="F441" s="2">
        <f t="shared" si="13"/>
        <v>20302</v>
      </c>
      <c r="G441" s="78">
        <v>439</v>
      </c>
      <c r="H441" s="79"/>
      <c r="I441" s="79"/>
      <c r="J441" s="79">
        <v>23.64245</v>
      </c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>
        <v>22.816880000000001</v>
      </c>
      <c r="AA441" s="79">
        <v>6.393802</v>
      </c>
      <c r="AB441" s="79"/>
      <c r="AC441" s="79">
        <v>34.712609999999998</v>
      </c>
      <c r="AD441" s="79"/>
      <c r="AE441" s="79"/>
      <c r="AF441" s="79"/>
      <c r="AG441" s="79">
        <v>16.907920000000001</v>
      </c>
      <c r="AH441" s="79"/>
      <c r="AI441" s="79"/>
      <c r="AJ441" s="79">
        <v>15.677199999999999</v>
      </c>
      <c r="AK441" s="79"/>
      <c r="AL441" s="79"/>
      <c r="AM441" s="79"/>
      <c r="AN441" s="79"/>
      <c r="AO441" s="79">
        <v>20.48133</v>
      </c>
      <c r="AP441" s="79"/>
      <c r="AQ441" s="79"/>
      <c r="AR441" s="79"/>
      <c r="AS441" s="79"/>
      <c r="AT441" s="79"/>
      <c r="AU441" s="79"/>
      <c r="AV441" s="79"/>
      <c r="AW441" s="79"/>
      <c r="AX441" s="79"/>
      <c r="AY441" s="79"/>
    </row>
    <row r="442" spans="1:51" x14ac:dyDescent="0.2">
      <c r="A442" t="s">
        <v>987</v>
      </c>
      <c r="B442" s="1">
        <v>20333</v>
      </c>
      <c r="C442" s="78">
        <v>442</v>
      </c>
      <c r="E442" s="1">
        <f t="shared" si="12"/>
        <v>20333</v>
      </c>
      <c r="F442" s="2">
        <f t="shared" si="13"/>
        <v>20333</v>
      </c>
      <c r="G442" s="78">
        <v>440</v>
      </c>
      <c r="H442" s="79"/>
      <c r="I442" s="79"/>
      <c r="J442" s="79">
        <v>23.821370000000002</v>
      </c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>
        <v>22.911950000000001</v>
      </c>
      <c r="AA442" s="79">
        <v>6.5620589999999996</v>
      </c>
      <c r="AB442" s="79"/>
      <c r="AC442" s="79">
        <v>34.997149999999998</v>
      </c>
      <c r="AD442" s="79"/>
      <c r="AE442" s="79"/>
      <c r="AF442" s="79"/>
      <c r="AG442" s="79">
        <v>17.22823</v>
      </c>
      <c r="AH442" s="79"/>
      <c r="AI442" s="79"/>
      <c r="AJ442" s="79">
        <v>16.84093</v>
      </c>
      <c r="AK442" s="79"/>
      <c r="AL442" s="79"/>
      <c r="AM442" s="79"/>
      <c r="AN442" s="79"/>
      <c r="AO442" s="79">
        <v>20.614360000000001</v>
      </c>
      <c r="AP442" s="79"/>
      <c r="AQ442" s="79"/>
      <c r="AR442" s="79"/>
      <c r="AS442" s="79"/>
      <c r="AT442" s="79"/>
      <c r="AU442" s="79"/>
      <c r="AV442" s="79"/>
      <c r="AW442" s="79"/>
      <c r="AX442" s="79"/>
      <c r="AY442" s="79"/>
    </row>
    <row r="443" spans="1:51" x14ac:dyDescent="0.2">
      <c r="A443" t="s">
        <v>988</v>
      </c>
      <c r="B443" s="1">
        <v>20363</v>
      </c>
      <c r="C443" s="78">
        <v>443</v>
      </c>
      <c r="E443" s="1">
        <f t="shared" si="12"/>
        <v>20363</v>
      </c>
      <c r="F443" s="2">
        <f t="shared" si="13"/>
        <v>20363</v>
      </c>
      <c r="G443" s="78">
        <v>441</v>
      </c>
      <c r="H443" s="79"/>
      <c r="I443" s="79"/>
      <c r="J443" s="79">
        <v>23.798729999999999</v>
      </c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>
        <v>22.94998</v>
      </c>
      <c r="AA443" s="79">
        <v>6.5620589999999996</v>
      </c>
      <c r="AB443" s="79"/>
      <c r="AC443" s="79">
        <v>35.045470000000002</v>
      </c>
      <c r="AD443" s="79"/>
      <c r="AE443" s="79"/>
      <c r="AF443" s="79"/>
      <c r="AG443" s="79">
        <v>17.090949999999999</v>
      </c>
      <c r="AH443" s="79"/>
      <c r="AI443" s="79"/>
      <c r="AJ443" s="79">
        <v>14.75135</v>
      </c>
      <c r="AK443" s="79"/>
      <c r="AL443" s="79"/>
      <c r="AM443" s="79"/>
      <c r="AN443" s="79"/>
      <c r="AO443" s="79">
        <v>20.960139999999999</v>
      </c>
      <c r="AP443" s="79"/>
      <c r="AQ443" s="79"/>
      <c r="AR443" s="79"/>
      <c r="AS443" s="79"/>
      <c r="AT443" s="79"/>
      <c r="AU443" s="79"/>
      <c r="AV443" s="79"/>
      <c r="AW443" s="79"/>
      <c r="AX443" s="79"/>
      <c r="AY443" s="79"/>
    </row>
    <row r="444" spans="1:51" x14ac:dyDescent="0.2">
      <c r="A444" t="s">
        <v>989</v>
      </c>
      <c r="B444" s="1">
        <v>20394</v>
      </c>
      <c r="C444" s="78">
        <v>444</v>
      </c>
      <c r="E444" s="1">
        <f t="shared" si="12"/>
        <v>20394</v>
      </c>
      <c r="F444" s="2">
        <f t="shared" si="13"/>
        <v>20394</v>
      </c>
      <c r="G444" s="78">
        <v>442</v>
      </c>
      <c r="H444" s="79"/>
      <c r="I444" s="79"/>
      <c r="J444" s="79">
        <v>23.2654</v>
      </c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>
        <v>23.178149999999999</v>
      </c>
      <c r="AA444" s="79">
        <v>6.6461889999999997</v>
      </c>
      <c r="AB444" s="79"/>
      <c r="AC444" s="79">
        <v>35.063180000000003</v>
      </c>
      <c r="AD444" s="79"/>
      <c r="AE444" s="79"/>
      <c r="AF444" s="79"/>
      <c r="AG444" s="79">
        <v>17.434139999999999</v>
      </c>
      <c r="AH444" s="79"/>
      <c r="AI444" s="79"/>
      <c r="AJ444" s="79">
        <v>15.95232</v>
      </c>
      <c r="AK444" s="79"/>
      <c r="AL444" s="79"/>
      <c r="AM444" s="79"/>
      <c r="AN444" s="79"/>
      <c r="AO444" s="79">
        <v>21.013359999999999</v>
      </c>
      <c r="AP444" s="79"/>
      <c r="AQ444" s="79"/>
      <c r="AR444" s="79"/>
      <c r="AS444" s="79"/>
      <c r="AT444" s="79"/>
      <c r="AU444" s="79"/>
      <c r="AV444" s="79"/>
      <c r="AW444" s="79"/>
      <c r="AX444" s="79"/>
      <c r="AY444" s="79"/>
    </row>
    <row r="445" spans="1:51" x14ac:dyDescent="0.2">
      <c r="A445" t="s">
        <v>990</v>
      </c>
      <c r="B445" s="1">
        <v>20424</v>
      </c>
      <c r="C445" s="78">
        <v>445</v>
      </c>
      <c r="E445" s="1">
        <f t="shared" si="12"/>
        <v>20424</v>
      </c>
      <c r="F445" s="2">
        <f t="shared" si="13"/>
        <v>20424</v>
      </c>
      <c r="G445" s="78">
        <v>443</v>
      </c>
      <c r="H445" s="79"/>
      <c r="I445" s="79"/>
      <c r="J445" s="79">
        <v>24.591889999999999</v>
      </c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>
        <v>23.083079999999999</v>
      </c>
      <c r="AA445" s="79">
        <v>6.8144460000000002</v>
      </c>
      <c r="AB445" s="79"/>
      <c r="AC445" s="79">
        <v>34.764949999999999</v>
      </c>
      <c r="AD445" s="79"/>
      <c r="AE445" s="79"/>
      <c r="AF445" s="79"/>
      <c r="AG445" s="79">
        <v>17.319739999999999</v>
      </c>
      <c r="AH445" s="79"/>
      <c r="AI445" s="79"/>
      <c r="AJ445" s="79">
        <v>17.821149999999999</v>
      </c>
      <c r="AK445" s="79"/>
      <c r="AL445" s="79"/>
      <c r="AM445" s="79"/>
      <c r="AN445" s="79"/>
      <c r="AO445" s="79">
        <v>21.093170000000001</v>
      </c>
      <c r="AP445" s="79"/>
      <c r="AQ445" s="79"/>
      <c r="AR445" s="79"/>
      <c r="AS445" s="79"/>
      <c r="AT445" s="79"/>
      <c r="AU445" s="79"/>
      <c r="AV445" s="79"/>
      <c r="AW445" s="79"/>
      <c r="AX445" s="79"/>
      <c r="AY445" s="79"/>
    </row>
    <row r="446" spans="1:51" x14ac:dyDescent="0.2">
      <c r="A446" t="s">
        <v>991</v>
      </c>
      <c r="B446" s="1">
        <v>20455</v>
      </c>
      <c r="C446" s="78">
        <v>446</v>
      </c>
      <c r="E446" s="1">
        <f t="shared" si="12"/>
        <v>20455</v>
      </c>
      <c r="F446" s="2">
        <f t="shared" si="13"/>
        <v>20455</v>
      </c>
      <c r="G446" s="78">
        <v>444</v>
      </c>
      <c r="H446" s="79"/>
      <c r="I446" s="79"/>
      <c r="J446" s="79">
        <v>24.488569999999999</v>
      </c>
      <c r="K446" s="79"/>
      <c r="L446" s="79"/>
      <c r="M446" s="79"/>
      <c r="N446" s="79"/>
      <c r="O446" s="79"/>
      <c r="P446" s="79"/>
      <c r="Q446" s="79"/>
      <c r="R446" s="79"/>
      <c r="S446" s="79">
        <v>27.531610000000001</v>
      </c>
      <c r="T446" s="79">
        <v>49.499339999999997</v>
      </c>
      <c r="U446" s="79"/>
      <c r="V446" s="79"/>
      <c r="W446" s="79"/>
      <c r="X446" s="79"/>
      <c r="Y446" s="79"/>
      <c r="Z446" s="79">
        <v>23.273219999999998</v>
      </c>
      <c r="AA446" s="79">
        <v>6.9827050000000002</v>
      </c>
      <c r="AB446" s="79"/>
      <c r="AC446" s="79">
        <v>34.556789999999999</v>
      </c>
      <c r="AD446" s="79"/>
      <c r="AE446" s="79"/>
      <c r="AF446" s="79">
        <v>18.569199999999999</v>
      </c>
      <c r="AG446" s="79">
        <v>17.5943</v>
      </c>
      <c r="AH446" s="79"/>
      <c r="AI446" s="79"/>
      <c r="AJ446" s="79">
        <v>16.17211</v>
      </c>
      <c r="AK446" s="79"/>
      <c r="AL446" s="79"/>
      <c r="AM446" s="79"/>
      <c r="AN446" s="79"/>
      <c r="AO446" s="79">
        <v>21.226109999999998</v>
      </c>
      <c r="AP446" s="79"/>
      <c r="AQ446" s="79"/>
      <c r="AR446" s="79"/>
      <c r="AS446" s="79"/>
      <c r="AT446" s="79"/>
      <c r="AU446" s="79"/>
      <c r="AV446" s="79"/>
      <c r="AW446" s="79"/>
      <c r="AX446" s="79"/>
      <c r="AY446" s="79"/>
    </row>
    <row r="447" spans="1:51" x14ac:dyDescent="0.2">
      <c r="A447" t="s">
        <v>992</v>
      </c>
      <c r="B447" s="1">
        <v>20486</v>
      </c>
      <c r="C447" s="78">
        <v>447</v>
      </c>
      <c r="E447" s="1">
        <f t="shared" si="12"/>
        <v>20486</v>
      </c>
      <c r="F447" s="2">
        <f t="shared" si="13"/>
        <v>20486</v>
      </c>
      <c r="G447" s="78">
        <v>445</v>
      </c>
      <c r="H447" s="79"/>
      <c r="I447" s="79"/>
      <c r="J447" s="79">
        <v>24.002140000000001</v>
      </c>
      <c r="K447" s="79"/>
      <c r="L447" s="79"/>
      <c r="M447" s="79"/>
      <c r="N447" s="79"/>
      <c r="O447" s="79"/>
      <c r="P447" s="79"/>
      <c r="Q447" s="79"/>
      <c r="R447" s="79"/>
      <c r="S447" s="79">
        <v>27.000889999999998</v>
      </c>
      <c r="T447" s="79">
        <v>49.499339999999997</v>
      </c>
      <c r="U447" s="79"/>
      <c r="V447" s="79"/>
      <c r="W447" s="79"/>
      <c r="X447" s="79"/>
      <c r="Y447" s="79"/>
      <c r="Z447" s="79">
        <v>22.531669999999998</v>
      </c>
      <c r="AA447" s="79">
        <v>7.1509619999999998</v>
      </c>
      <c r="AB447" s="79"/>
      <c r="AC447" s="79">
        <v>34.54936</v>
      </c>
      <c r="AD447" s="79"/>
      <c r="AE447" s="79"/>
      <c r="AF447" s="79">
        <v>17.99784</v>
      </c>
      <c r="AG447" s="79">
        <v>17.319739999999999</v>
      </c>
      <c r="AH447" s="79"/>
      <c r="AI447" s="79"/>
      <c r="AJ447" s="79">
        <v>17.010210000000001</v>
      </c>
      <c r="AK447" s="79"/>
      <c r="AL447" s="79"/>
      <c r="AM447" s="79"/>
      <c r="AN447" s="79"/>
      <c r="AO447" s="79">
        <v>21.039960000000001</v>
      </c>
      <c r="AP447" s="79"/>
      <c r="AQ447" s="79"/>
      <c r="AR447" s="79"/>
      <c r="AS447" s="79"/>
      <c r="AT447" s="79"/>
      <c r="AU447" s="79"/>
      <c r="AV447" s="79"/>
      <c r="AW447" s="79"/>
      <c r="AX447" s="79"/>
      <c r="AY447" s="79"/>
    </row>
    <row r="448" spans="1:51" x14ac:dyDescent="0.2">
      <c r="A448" t="s">
        <v>993</v>
      </c>
      <c r="B448" s="1">
        <v>20515</v>
      </c>
      <c r="C448" s="78">
        <v>448</v>
      </c>
      <c r="E448" s="1">
        <f t="shared" si="12"/>
        <v>20515</v>
      </c>
      <c r="F448" s="2">
        <f t="shared" si="13"/>
        <v>20515</v>
      </c>
      <c r="G448" s="78">
        <v>446</v>
      </c>
      <c r="H448" s="79"/>
      <c r="I448" s="79"/>
      <c r="J448" s="79">
        <v>25.025770000000001</v>
      </c>
      <c r="K448" s="79"/>
      <c r="L448" s="79"/>
      <c r="M448" s="79"/>
      <c r="N448" s="79"/>
      <c r="O448" s="79"/>
      <c r="P448" s="79"/>
      <c r="Q448" s="79"/>
      <c r="R448" s="79"/>
      <c r="S448" s="79">
        <v>27.929659999999998</v>
      </c>
      <c r="T448" s="79">
        <v>49.032359999999997</v>
      </c>
      <c r="U448" s="79"/>
      <c r="V448" s="79"/>
      <c r="W448" s="79"/>
      <c r="X448" s="79"/>
      <c r="Y448" s="79"/>
      <c r="Z448" s="79">
        <v>23.53942</v>
      </c>
      <c r="AA448" s="79">
        <v>6.9827050000000002</v>
      </c>
      <c r="AB448" s="79"/>
      <c r="AC448" s="79">
        <v>35.196739999999998</v>
      </c>
      <c r="AD448" s="79"/>
      <c r="AE448" s="79"/>
      <c r="AF448" s="79">
        <v>18.854880000000001</v>
      </c>
      <c r="AG448" s="79">
        <v>17.022310000000001</v>
      </c>
      <c r="AH448" s="79"/>
      <c r="AI448" s="79"/>
      <c r="AJ448" s="79">
        <v>16.908359999999998</v>
      </c>
      <c r="AK448" s="79"/>
      <c r="AL448" s="79"/>
      <c r="AM448" s="79"/>
      <c r="AN448" s="79"/>
      <c r="AO448" s="79">
        <v>21.039960000000001</v>
      </c>
      <c r="AP448" s="79"/>
      <c r="AQ448" s="79"/>
      <c r="AR448" s="79"/>
      <c r="AS448" s="79"/>
      <c r="AT448" s="79"/>
      <c r="AU448" s="79"/>
      <c r="AV448" s="79"/>
      <c r="AW448" s="79"/>
      <c r="AX448" s="79"/>
      <c r="AY448" s="79"/>
    </row>
    <row r="449" spans="1:51" x14ac:dyDescent="0.2">
      <c r="A449" t="s">
        <v>994</v>
      </c>
      <c r="B449" s="1">
        <v>20546</v>
      </c>
      <c r="C449" s="78">
        <v>449</v>
      </c>
      <c r="E449" s="1">
        <f t="shared" si="12"/>
        <v>20546</v>
      </c>
      <c r="F449" s="2">
        <f t="shared" si="13"/>
        <v>20546</v>
      </c>
      <c r="G449" s="78">
        <v>447</v>
      </c>
      <c r="H449" s="79"/>
      <c r="I449" s="79"/>
      <c r="J449" s="79">
        <v>22.759119999999999</v>
      </c>
      <c r="K449" s="79"/>
      <c r="L449" s="79"/>
      <c r="M449" s="79"/>
      <c r="N449" s="79"/>
      <c r="O449" s="79"/>
      <c r="P449" s="79"/>
      <c r="Q449" s="79"/>
      <c r="R449" s="79"/>
      <c r="S449" s="79">
        <v>28.360880000000002</v>
      </c>
      <c r="T449" s="79">
        <v>49.499339999999997</v>
      </c>
      <c r="U449" s="79"/>
      <c r="V449" s="79"/>
      <c r="W449" s="79"/>
      <c r="X449" s="79"/>
      <c r="Y449" s="79"/>
      <c r="Z449" s="79">
        <v>24.22392</v>
      </c>
      <c r="AA449" s="79">
        <v>7.2350909999999997</v>
      </c>
      <c r="AB449" s="79"/>
      <c r="AC449" s="79">
        <v>35.757480000000001</v>
      </c>
      <c r="AD449" s="79"/>
      <c r="AE449" s="79"/>
      <c r="AF449" s="79">
        <v>19.140560000000001</v>
      </c>
      <c r="AG449" s="79">
        <v>17.93749</v>
      </c>
      <c r="AH449" s="79"/>
      <c r="AI449" s="79"/>
      <c r="AJ449" s="79">
        <v>16.44013</v>
      </c>
      <c r="AK449" s="79"/>
      <c r="AL449" s="79"/>
      <c r="AM449" s="79"/>
      <c r="AN449" s="79"/>
      <c r="AO449" s="79">
        <v>21.1996</v>
      </c>
      <c r="AP449" s="79"/>
      <c r="AQ449" s="79"/>
      <c r="AR449" s="79"/>
      <c r="AS449" s="79"/>
      <c r="AT449" s="79"/>
      <c r="AU449" s="79"/>
      <c r="AV449" s="79"/>
      <c r="AW449" s="79"/>
      <c r="AX449" s="79"/>
      <c r="AY449" s="79"/>
    </row>
    <row r="450" spans="1:51" x14ac:dyDescent="0.2">
      <c r="A450" t="s">
        <v>995</v>
      </c>
      <c r="B450" s="1">
        <v>20576</v>
      </c>
      <c r="C450" s="78">
        <v>450</v>
      </c>
      <c r="E450" s="1">
        <f t="shared" ref="E450:E513" si="14">B450</f>
        <v>20576</v>
      </c>
      <c r="F450" s="2">
        <f t="shared" ref="F450:F513" si="15">B450</f>
        <v>20576</v>
      </c>
      <c r="G450" s="78">
        <v>448</v>
      </c>
      <c r="H450" s="79"/>
      <c r="I450" s="79"/>
      <c r="J450" s="79">
        <v>24.780760000000001</v>
      </c>
      <c r="K450" s="79"/>
      <c r="L450" s="79"/>
      <c r="M450" s="79"/>
      <c r="N450" s="79"/>
      <c r="O450" s="79"/>
      <c r="P450" s="79"/>
      <c r="Q450" s="79"/>
      <c r="R450" s="79"/>
      <c r="S450" s="79">
        <v>28.82527</v>
      </c>
      <c r="T450" s="79">
        <v>48.565379999999998</v>
      </c>
      <c r="U450" s="79"/>
      <c r="V450" s="79"/>
      <c r="W450" s="79"/>
      <c r="X450" s="79"/>
      <c r="Y450" s="79"/>
      <c r="Z450" s="79">
        <v>24.471109999999999</v>
      </c>
      <c r="AA450" s="79">
        <v>7.4033490000000004</v>
      </c>
      <c r="AB450" s="79"/>
      <c r="AC450" s="79">
        <v>36.281039999999997</v>
      </c>
      <c r="AD450" s="79"/>
      <c r="AE450" s="79"/>
      <c r="AF450" s="79">
        <v>19.42624</v>
      </c>
      <c r="AG450" s="79">
        <v>17.182469999999999</v>
      </c>
      <c r="AH450" s="79"/>
      <c r="AI450" s="79"/>
      <c r="AJ450" s="79">
        <v>16.668420000000001</v>
      </c>
      <c r="AK450" s="79"/>
      <c r="AL450" s="79"/>
      <c r="AM450" s="79"/>
      <c r="AN450" s="79"/>
      <c r="AO450" s="79">
        <v>21.013359999999999</v>
      </c>
      <c r="AP450" s="79"/>
      <c r="AQ450" s="79"/>
      <c r="AR450" s="79"/>
      <c r="AS450" s="79"/>
      <c r="AT450" s="79"/>
      <c r="AU450" s="79"/>
      <c r="AV450" s="79"/>
      <c r="AW450" s="79"/>
      <c r="AX450" s="79"/>
      <c r="AY450" s="79"/>
    </row>
    <row r="451" spans="1:51" x14ac:dyDescent="0.2">
      <c r="A451" t="s">
        <v>996</v>
      </c>
      <c r="B451" s="1">
        <v>20607</v>
      </c>
      <c r="C451" s="78">
        <v>451</v>
      </c>
      <c r="E451" s="1">
        <f t="shared" si="14"/>
        <v>20607</v>
      </c>
      <c r="F451" s="2">
        <f t="shared" si="15"/>
        <v>20607</v>
      </c>
      <c r="G451" s="78">
        <v>449</v>
      </c>
      <c r="H451" s="79"/>
      <c r="I451" s="79"/>
      <c r="J451" s="79">
        <v>25.027439999999999</v>
      </c>
      <c r="K451" s="79"/>
      <c r="L451" s="79"/>
      <c r="M451" s="79"/>
      <c r="N451" s="79"/>
      <c r="O451" s="79"/>
      <c r="P451" s="79"/>
      <c r="Q451" s="79"/>
      <c r="R451" s="79"/>
      <c r="S451" s="79">
        <v>28.95795</v>
      </c>
      <c r="T451" s="79">
        <v>49.499339999999997</v>
      </c>
      <c r="U451" s="79"/>
      <c r="V451" s="79"/>
      <c r="W451" s="79"/>
      <c r="X451" s="79"/>
      <c r="Y451" s="79"/>
      <c r="Z451" s="79">
        <v>24.509129999999999</v>
      </c>
      <c r="AA451" s="79">
        <v>7.5716070000000002</v>
      </c>
      <c r="AB451" s="79"/>
      <c r="AC451" s="79">
        <v>36.010440000000003</v>
      </c>
      <c r="AD451" s="79"/>
      <c r="AE451" s="79"/>
      <c r="AF451" s="79">
        <v>19.711919999999999</v>
      </c>
      <c r="AG451" s="79">
        <v>17.80021</v>
      </c>
      <c r="AH451" s="79"/>
      <c r="AI451" s="79"/>
      <c r="AJ451" s="79">
        <v>17.416730000000001</v>
      </c>
      <c r="AK451" s="79"/>
      <c r="AL451" s="79"/>
      <c r="AM451" s="79"/>
      <c r="AN451" s="79"/>
      <c r="AO451" s="79">
        <v>20.827210000000001</v>
      </c>
      <c r="AP451" s="79"/>
      <c r="AQ451" s="79"/>
      <c r="AR451" s="79"/>
      <c r="AS451" s="79"/>
      <c r="AT451" s="79"/>
      <c r="AU451" s="79"/>
      <c r="AV451" s="79"/>
      <c r="AW451" s="79"/>
      <c r="AX451" s="79"/>
      <c r="AY451" s="79"/>
    </row>
    <row r="452" spans="1:51" x14ac:dyDescent="0.2">
      <c r="A452" t="s">
        <v>997</v>
      </c>
      <c r="B452" s="1">
        <v>20637</v>
      </c>
      <c r="C452" s="78">
        <v>452</v>
      </c>
      <c r="E452" s="1">
        <f t="shared" si="14"/>
        <v>20637</v>
      </c>
      <c r="F452" s="2">
        <f t="shared" si="15"/>
        <v>20637</v>
      </c>
      <c r="G452" s="78">
        <v>450</v>
      </c>
      <c r="H452" s="79"/>
      <c r="I452" s="79"/>
      <c r="J452" s="79">
        <v>24.407720000000001</v>
      </c>
      <c r="K452" s="79"/>
      <c r="L452" s="79"/>
      <c r="M452" s="79"/>
      <c r="N452" s="79"/>
      <c r="O452" s="79"/>
      <c r="P452" s="79"/>
      <c r="Q452" s="79"/>
      <c r="R452" s="79"/>
      <c r="S452" s="79">
        <v>29.38917</v>
      </c>
      <c r="T452" s="79">
        <v>49.032359999999997</v>
      </c>
      <c r="U452" s="79"/>
      <c r="V452" s="79"/>
      <c r="W452" s="79"/>
      <c r="X452" s="79"/>
      <c r="Y452" s="79"/>
      <c r="Z452" s="79">
        <v>24.8704</v>
      </c>
      <c r="AA452" s="79">
        <v>7.8239939999999999</v>
      </c>
      <c r="AB452" s="79"/>
      <c r="AC452" s="79">
        <v>36.459009999999999</v>
      </c>
      <c r="AD452" s="79"/>
      <c r="AE452" s="79"/>
      <c r="AF452" s="79">
        <v>19.711919999999999</v>
      </c>
      <c r="AG452" s="79">
        <v>16.862159999999999</v>
      </c>
      <c r="AH452" s="79"/>
      <c r="AI452" s="79"/>
      <c r="AJ452" s="79">
        <v>17.000240000000002</v>
      </c>
      <c r="AK452" s="79"/>
      <c r="AL452" s="79"/>
      <c r="AM452" s="79"/>
      <c r="AN452" s="79"/>
      <c r="AO452" s="79">
        <v>20.188759999999998</v>
      </c>
      <c r="AP452" s="79"/>
      <c r="AQ452" s="79"/>
      <c r="AR452" s="79"/>
      <c r="AS452" s="79"/>
      <c r="AT452" s="79"/>
      <c r="AU452" s="79"/>
      <c r="AV452" s="79"/>
      <c r="AW452" s="79"/>
      <c r="AX452" s="79"/>
      <c r="AY452" s="79"/>
    </row>
    <row r="453" spans="1:51" x14ac:dyDescent="0.2">
      <c r="A453" t="s">
        <v>998</v>
      </c>
      <c r="B453" s="1">
        <v>20668</v>
      </c>
      <c r="C453" s="78">
        <v>453</v>
      </c>
      <c r="E453" s="1">
        <f t="shared" si="14"/>
        <v>20668</v>
      </c>
      <c r="F453" s="2">
        <f t="shared" si="15"/>
        <v>20668</v>
      </c>
      <c r="G453" s="78">
        <v>451</v>
      </c>
      <c r="H453" s="79"/>
      <c r="I453" s="79"/>
      <c r="J453" s="79">
        <v>24.488350000000001</v>
      </c>
      <c r="K453" s="79"/>
      <c r="L453" s="79"/>
      <c r="M453" s="79"/>
      <c r="N453" s="79"/>
      <c r="O453" s="79"/>
      <c r="P453" s="79"/>
      <c r="Q453" s="79"/>
      <c r="R453" s="79"/>
      <c r="S453" s="79">
        <v>29.38917</v>
      </c>
      <c r="T453" s="79">
        <v>48.565379999999998</v>
      </c>
      <c r="U453" s="79"/>
      <c r="V453" s="79"/>
      <c r="W453" s="79"/>
      <c r="X453" s="79"/>
      <c r="Y453" s="79"/>
      <c r="Z453" s="79">
        <v>24.52815</v>
      </c>
      <c r="AA453" s="79">
        <v>7.9081229999999998</v>
      </c>
      <c r="AB453" s="79"/>
      <c r="AC453" s="79">
        <v>35.357480000000002</v>
      </c>
      <c r="AD453" s="79"/>
      <c r="AE453" s="79"/>
      <c r="AF453" s="79">
        <v>19.711919999999999</v>
      </c>
      <c r="AG453" s="79">
        <v>17.68582</v>
      </c>
      <c r="AH453" s="79"/>
      <c r="AI453" s="79"/>
      <c r="AJ453" s="79">
        <v>17.448830000000001</v>
      </c>
      <c r="AK453" s="79"/>
      <c r="AL453" s="79"/>
      <c r="AM453" s="79"/>
      <c r="AN453" s="79"/>
      <c r="AO453" s="79">
        <v>21.013359999999999</v>
      </c>
      <c r="AP453" s="79"/>
      <c r="AQ453" s="79"/>
      <c r="AR453" s="79"/>
      <c r="AS453" s="79"/>
      <c r="AT453" s="79"/>
      <c r="AU453" s="79"/>
      <c r="AV453" s="79"/>
      <c r="AW453" s="79"/>
      <c r="AX453" s="79"/>
      <c r="AY453" s="79"/>
    </row>
    <row r="454" spans="1:51" x14ac:dyDescent="0.2">
      <c r="A454" t="s">
        <v>999</v>
      </c>
      <c r="B454" s="1">
        <v>20699</v>
      </c>
      <c r="C454" s="78">
        <v>454</v>
      </c>
      <c r="E454" s="1">
        <f t="shared" si="14"/>
        <v>20699</v>
      </c>
      <c r="F454" s="2">
        <f t="shared" si="15"/>
        <v>20699</v>
      </c>
      <c r="G454" s="78">
        <v>452</v>
      </c>
      <c r="H454" s="79"/>
      <c r="I454" s="79"/>
      <c r="J454" s="79">
        <v>21.867080000000001</v>
      </c>
      <c r="K454" s="79"/>
      <c r="L454" s="79"/>
      <c r="M454" s="79"/>
      <c r="N454" s="79"/>
      <c r="O454" s="79"/>
      <c r="P454" s="79"/>
      <c r="Q454" s="79"/>
      <c r="R454" s="79"/>
      <c r="S454" s="79">
        <v>29.621359999999999</v>
      </c>
      <c r="T454" s="79">
        <v>49.499339999999997</v>
      </c>
      <c r="U454" s="79"/>
      <c r="V454" s="79"/>
      <c r="W454" s="79"/>
      <c r="X454" s="79"/>
      <c r="Y454" s="79"/>
      <c r="Z454" s="79">
        <v>25.174630000000001</v>
      </c>
      <c r="AA454" s="79">
        <v>8.0763809999999996</v>
      </c>
      <c r="AB454" s="79"/>
      <c r="AC454" s="79">
        <v>36.387520000000002</v>
      </c>
      <c r="AD454" s="79"/>
      <c r="AE454" s="79"/>
      <c r="AF454" s="79">
        <v>19.997599999999998</v>
      </c>
      <c r="AG454" s="79">
        <v>17.868849999999998</v>
      </c>
      <c r="AH454" s="79"/>
      <c r="AI454" s="79"/>
      <c r="AJ454" s="79">
        <v>17.6386</v>
      </c>
      <c r="AK454" s="79"/>
      <c r="AL454" s="79"/>
      <c r="AM454" s="79"/>
      <c r="AN454" s="79"/>
      <c r="AO454" s="79">
        <v>21.492170000000002</v>
      </c>
      <c r="AP454" s="79"/>
      <c r="AQ454" s="79"/>
      <c r="AR454" s="79"/>
      <c r="AS454" s="79"/>
      <c r="AT454" s="79"/>
      <c r="AU454" s="79"/>
      <c r="AV454" s="79"/>
      <c r="AW454" s="79"/>
      <c r="AX454" s="79"/>
      <c r="AY454" s="79"/>
    </row>
    <row r="455" spans="1:51" x14ac:dyDescent="0.2">
      <c r="A455" t="s">
        <v>1000</v>
      </c>
      <c r="B455" s="1">
        <v>20729</v>
      </c>
      <c r="C455" s="78">
        <v>455</v>
      </c>
      <c r="E455" s="1">
        <f t="shared" si="14"/>
        <v>20729</v>
      </c>
      <c r="F455" s="2">
        <f t="shared" si="15"/>
        <v>20729</v>
      </c>
      <c r="G455" s="78">
        <v>453</v>
      </c>
      <c r="H455" s="79"/>
      <c r="I455" s="79"/>
      <c r="J455" s="79">
        <v>27.937139999999999</v>
      </c>
      <c r="K455" s="79"/>
      <c r="L455" s="79"/>
      <c r="M455" s="79"/>
      <c r="N455" s="79"/>
      <c r="O455" s="79"/>
      <c r="P455" s="79"/>
      <c r="Q455" s="79"/>
      <c r="R455" s="79"/>
      <c r="S455" s="79">
        <v>29.986239999999999</v>
      </c>
      <c r="T455" s="79">
        <v>49.032359999999997</v>
      </c>
      <c r="U455" s="79"/>
      <c r="V455" s="79"/>
      <c r="W455" s="79"/>
      <c r="X455" s="79"/>
      <c r="Y455" s="79"/>
      <c r="Z455" s="79">
        <v>25.193639999999998</v>
      </c>
      <c r="AA455" s="79">
        <v>8.4128969999999992</v>
      </c>
      <c r="AB455" s="79"/>
      <c r="AC455" s="79">
        <v>37.024740000000001</v>
      </c>
      <c r="AD455" s="79"/>
      <c r="AE455" s="79"/>
      <c r="AF455" s="79">
        <v>19.997599999999998</v>
      </c>
      <c r="AG455" s="79">
        <v>18.006129999999999</v>
      </c>
      <c r="AH455" s="79"/>
      <c r="AI455" s="79"/>
      <c r="AJ455" s="79">
        <v>17.520579999999999</v>
      </c>
      <c r="AK455" s="79"/>
      <c r="AL455" s="79"/>
      <c r="AM455" s="79"/>
      <c r="AN455" s="79"/>
      <c r="AO455" s="79">
        <v>21.678319999999999</v>
      </c>
      <c r="AP455" s="79"/>
      <c r="AQ455" s="79"/>
      <c r="AR455" s="79"/>
      <c r="AS455" s="79"/>
      <c r="AT455" s="79"/>
      <c r="AU455" s="79"/>
      <c r="AV455" s="79"/>
      <c r="AW455" s="79"/>
      <c r="AX455" s="79"/>
      <c r="AY455" s="79"/>
    </row>
    <row r="456" spans="1:51" x14ac:dyDescent="0.2">
      <c r="A456" t="s">
        <v>1001</v>
      </c>
      <c r="B456" s="1">
        <v>20760</v>
      </c>
      <c r="C456" s="78">
        <v>456</v>
      </c>
      <c r="E456" s="1">
        <f t="shared" si="14"/>
        <v>20760</v>
      </c>
      <c r="F456" s="2">
        <f t="shared" si="15"/>
        <v>20760</v>
      </c>
      <c r="G456" s="78">
        <v>454</v>
      </c>
      <c r="H456" s="79"/>
      <c r="I456" s="79"/>
      <c r="J456" s="79">
        <v>25.73115</v>
      </c>
      <c r="K456" s="79"/>
      <c r="L456" s="79"/>
      <c r="M456" s="79"/>
      <c r="N456" s="79"/>
      <c r="O456" s="79"/>
      <c r="P456" s="79"/>
      <c r="Q456" s="79"/>
      <c r="R456" s="79"/>
      <c r="S456" s="79">
        <v>30.052579999999999</v>
      </c>
      <c r="T456" s="79">
        <v>49.499339999999997</v>
      </c>
      <c r="U456" s="79"/>
      <c r="V456" s="79"/>
      <c r="W456" s="79"/>
      <c r="X456" s="79"/>
      <c r="Y456" s="79"/>
      <c r="Z456" s="79">
        <v>24.8704</v>
      </c>
      <c r="AA456" s="79">
        <v>8.4128969999999992</v>
      </c>
      <c r="AB456" s="79"/>
      <c r="AC456" s="79">
        <v>36.5749</v>
      </c>
      <c r="AD456" s="79"/>
      <c r="AE456" s="79"/>
      <c r="AF456" s="79">
        <v>20.283280000000001</v>
      </c>
      <c r="AG456" s="79">
        <v>18.120529999999999</v>
      </c>
      <c r="AH456" s="79"/>
      <c r="AI456" s="79"/>
      <c r="AJ456" s="79">
        <v>17.56392</v>
      </c>
      <c r="AK456" s="79"/>
      <c r="AL456" s="79"/>
      <c r="AM456" s="79"/>
      <c r="AN456" s="79"/>
      <c r="AO456" s="79">
        <v>21.492170000000002</v>
      </c>
      <c r="AP456" s="79"/>
      <c r="AQ456" s="79"/>
      <c r="AR456" s="79"/>
      <c r="AS456" s="79"/>
      <c r="AT456" s="79"/>
      <c r="AU456" s="79"/>
      <c r="AV456" s="79"/>
      <c r="AW456" s="79"/>
      <c r="AX456" s="79"/>
      <c r="AY456" s="79"/>
    </row>
    <row r="457" spans="1:51" x14ac:dyDescent="0.2">
      <c r="A457" t="s">
        <v>1002</v>
      </c>
      <c r="B457" s="1">
        <v>20790</v>
      </c>
      <c r="C457" s="78">
        <v>457</v>
      </c>
      <c r="E457" s="1">
        <f t="shared" si="14"/>
        <v>20790</v>
      </c>
      <c r="F457" s="2">
        <f t="shared" si="15"/>
        <v>20790</v>
      </c>
      <c r="G457" s="78">
        <v>455</v>
      </c>
      <c r="H457" s="79"/>
      <c r="I457" s="79"/>
      <c r="J457" s="79">
        <v>22.284089999999999</v>
      </c>
      <c r="K457" s="79"/>
      <c r="L457" s="79"/>
      <c r="M457" s="79"/>
      <c r="N457" s="79"/>
      <c r="O457" s="79"/>
      <c r="P457" s="79"/>
      <c r="Q457" s="79"/>
      <c r="R457" s="79"/>
      <c r="S457" s="79">
        <v>30.118919999999999</v>
      </c>
      <c r="T457" s="79">
        <v>49.032359999999997</v>
      </c>
      <c r="U457" s="79"/>
      <c r="V457" s="79"/>
      <c r="W457" s="79"/>
      <c r="X457" s="79"/>
      <c r="Y457" s="79"/>
      <c r="Z457" s="79">
        <v>25.345749999999999</v>
      </c>
      <c r="AA457" s="79">
        <v>8.4128969999999992</v>
      </c>
      <c r="AB457" s="79"/>
      <c r="AC457" s="79">
        <v>37.531329999999997</v>
      </c>
      <c r="AD457" s="79"/>
      <c r="AE457" s="79"/>
      <c r="AF457" s="79">
        <v>20.568960000000001</v>
      </c>
      <c r="AG457" s="79">
        <v>18.02901</v>
      </c>
      <c r="AH457" s="79"/>
      <c r="AI457" s="79"/>
      <c r="AJ457" s="79">
        <v>18.401800000000001</v>
      </c>
      <c r="AK457" s="79"/>
      <c r="AL457" s="79"/>
      <c r="AM457" s="79"/>
      <c r="AN457" s="79"/>
      <c r="AO457" s="79">
        <v>21.811350000000001</v>
      </c>
      <c r="AP457" s="79"/>
      <c r="AQ457" s="79"/>
      <c r="AR457" s="79"/>
      <c r="AS457" s="79"/>
      <c r="AT457" s="79"/>
      <c r="AU457" s="79"/>
      <c r="AV457" s="79"/>
      <c r="AW457" s="79"/>
      <c r="AX457" s="79"/>
      <c r="AY457" s="79"/>
    </row>
    <row r="458" spans="1:51" x14ac:dyDescent="0.2">
      <c r="A458" t="s">
        <v>1003</v>
      </c>
      <c r="B458" s="1">
        <v>20821</v>
      </c>
      <c r="C458" s="78">
        <v>458</v>
      </c>
      <c r="E458" s="1">
        <f t="shared" si="14"/>
        <v>20821</v>
      </c>
      <c r="F458" s="2">
        <f t="shared" si="15"/>
        <v>20821</v>
      </c>
      <c r="G458" s="78">
        <v>456</v>
      </c>
      <c r="H458" s="79"/>
      <c r="I458" s="79"/>
      <c r="J458" s="79">
        <v>25.687719999999999</v>
      </c>
      <c r="K458" s="79"/>
      <c r="L458" s="79"/>
      <c r="M458" s="79"/>
      <c r="N458" s="79"/>
      <c r="O458" s="79"/>
      <c r="P458" s="79"/>
      <c r="Q458" s="79"/>
      <c r="R458" s="79"/>
      <c r="S458" s="79">
        <v>30.516970000000001</v>
      </c>
      <c r="T458" s="79">
        <v>49.499339999999997</v>
      </c>
      <c r="U458" s="79"/>
      <c r="V458" s="79"/>
      <c r="W458" s="79"/>
      <c r="X458" s="79"/>
      <c r="Y458" s="79"/>
      <c r="Z458" s="79">
        <v>25.440819999999999</v>
      </c>
      <c r="AA458" s="79">
        <v>8.4970250000000007</v>
      </c>
      <c r="AB458" s="79"/>
      <c r="AC458" s="79">
        <v>37.22334</v>
      </c>
      <c r="AD458" s="79"/>
      <c r="AE458" s="79"/>
      <c r="AF458" s="79">
        <v>20.568960000000001</v>
      </c>
      <c r="AG458" s="79">
        <v>18.097650000000002</v>
      </c>
      <c r="AH458" s="79"/>
      <c r="AI458" s="79"/>
      <c r="AJ458" s="79">
        <v>17.810099999999998</v>
      </c>
      <c r="AK458" s="79"/>
      <c r="AL458" s="79"/>
      <c r="AM458" s="79"/>
      <c r="AN458" s="79"/>
      <c r="AO458" s="79">
        <v>21.731529999999999</v>
      </c>
      <c r="AP458" s="79"/>
      <c r="AQ458" s="79"/>
      <c r="AR458" s="79"/>
      <c r="AS458" s="79"/>
      <c r="AT458" s="79"/>
      <c r="AU458" s="79"/>
      <c r="AV458" s="79"/>
      <c r="AW458" s="79"/>
      <c r="AX458" s="79"/>
      <c r="AY458" s="79"/>
    </row>
    <row r="459" spans="1:51" x14ac:dyDescent="0.2">
      <c r="A459" t="s">
        <v>1004</v>
      </c>
      <c r="B459" s="1">
        <v>20852</v>
      </c>
      <c r="C459" s="78">
        <v>459</v>
      </c>
      <c r="E459" s="1">
        <f t="shared" si="14"/>
        <v>20852</v>
      </c>
      <c r="F459" s="2">
        <f t="shared" si="15"/>
        <v>20852</v>
      </c>
      <c r="G459" s="78">
        <v>457</v>
      </c>
      <c r="H459" s="79"/>
      <c r="I459" s="79"/>
      <c r="J459" s="79">
        <v>24.854559999999999</v>
      </c>
      <c r="K459" s="79"/>
      <c r="L459" s="79"/>
      <c r="M459" s="79"/>
      <c r="N459" s="79"/>
      <c r="O459" s="79"/>
      <c r="P459" s="79"/>
      <c r="Q459" s="79"/>
      <c r="R459" s="79"/>
      <c r="S459" s="79">
        <v>30.68282</v>
      </c>
      <c r="T459" s="79">
        <v>50.433280000000003</v>
      </c>
      <c r="U459" s="79"/>
      <c r="V459" s="79"/>
      <c r="W459" s="79"/>
      <c r="X459" s="79"/>
      <c r="Y459" s="79"/>
      <c r="Z459" s="79">
        <v>25.9542</v>
      </c>
      <c r="AA459" s="79">
        <v>8.6652839999999998</v>
      </c>
      <c r="AB459" s="79"/>
      <c r="AC459" s="79">
        <v>37.555720000000001</v>
      </c>
      <c r="AD459" s="79"/>
      <c r="AE459" s="79"/>
      <c r="AF459" s="79">
        <v>20.568960000000001</v>
      </c>
      <c r="AG459" s="79">
        <v>18.372199999999999</v>
      </c>
      <c r="AH459" s="79"/>
      <c r="AI459" s="79"/>
      <c r="AJ459" s="79">
        <v>17.721080000000001</v>
      </c>
      <c r="AK459" s="79"/>
      <c r="AL459" s="79"/>
      <c r="AM459" s="79"/>
      <c r="AN459" s="79"/>
      <c r="AO459" s="79">
        <v>21.944379999999999</v>
      </c>
      <c r="AP459" s="79"/>
      <c r="AQ459" s="79"/>
      <c r="AR459" s="79"/>
      <c r="AS459" s="79"/>
      <c r="AT459" s="79"/>
      <c r="AU459" s="79"/>
      <c r="AV459" s="79"/>
      <c r="AW459" s="79"/>
      <c r="AX459" s="79"/>
      <c r="AY459" s="79"/>
    </row>
    <row r="460" spans="1:51" x14ac:dyDescent="0.2">
      <c r="A460" t="s">
        <v>1005</v>
      </c>
      <c r="B460" s="1">
        <v>20880</v>
      </c>
      <c r="C460" s="78">
        <v>460</v>
      </c>
      <c r="E460" s="1">
        <f t="shared" si="14"/>
        <v>20880</v>
      </c>
      <c r="F460" s="2">
        <f t="shared" si="15"/>
        <v>20880</v>
      </c>
      <c r="G460" s="78">
        <v>458</v>
      </c>
      <c r="H460" s="79"/>
      <c r="I460" s="79"/>
      <c r="J460" s="79">
        <v>24.744620000000001</v>
      </c>
      <c r="K460" s="79"/>
      <c r="L460" s="79"/>
      <c r="M460" s="79"/>
      <c r="N460" s="79"/>
      <c r="O460" s="79"/>
      <c r="P460" s="79"/>
      <c r="Q460" s="79"/>
      <c r="R460" s="79"/>
      <c r="S460" s="79">
        <v>30.94819</v>
      </c>
      <c r="T460" s="79">
        <v>49.499339999999997</v>
      </c>
      <c r="U460" s="79"/>
      <c r="V460" s="79"/>
      <c r="W460" s="79"/>
      <c r="X460" s="79"/>
      <c r="Y460" s="79"/>
      <c r="Z460" s="79">
        <v>25.9542</v>
      </c>
      <c r="AA460" s="79">
        <v>8.7494130000000006</v>
      </c>
      <c r="AB460" s="79"/>
      <c r="AC460" s="79">
        <v>37.275779999999997</v>
      </c>
      <c r="AD460" s="79"/>
      <c r="AE460" s="79"/>
      <c r="AF460" s="79">
        <v>20.283280000000001</v>
      </c>
      <c r="AG460" s="79">
        <v>18.349319999999999</v>
      </c>
      <c r="AH460" s="79"/>
      <c r="AI460" s="79"/>
      <c r="AJ460" s="79">
        <v>17.86251</v>
      </c>
      <c r="AK460" s="79"/>
      <c r="AL460" s="79"/>
      <c r="AM460" s="79"/>
      <c r="AN460" s="79"/>
      <c r="AO460" s="79">
        <v>21.917770000000001</v>
      </c>
      <c r="AP460" s="79"/>
      <c r="AQ460" s="79"/>
      <c r="AR460" s="79"/>
      <c r="AS460" s="79"/>
      <c r="AT460" s="79"/>
      <c r="AU460" s="79"/>
      <c r="AV460" s="79"/>
      <c r="AW460" s="79"/>
      <c r="AX460" s="79"/>
      <c r="AY460" s="79"/>
    </row>
    <row r="461" spans="1:51" x14ac:dyDescent="0.2">
      <c r="A461" t="s">
        <v>1006</v>
      </c>
      <c r="B461" s="1">
        <v>20911</v>
      </c>
      <c r="C461" s="78">
        <v>461</v>
      </c>
      <c r="E461" s="1">
        <f t="shared" si="14"/>
        <v>20911</v>
      </c>
      <c r="F461" s="2">
        <f t="shared" si="15"/>
        <v>20911</v>
      </c>
      <c r="G461" s="78">
        <v>459</v>
      </c>
      <c r="H461" s="79"/>
      <c r="I461" s="79"/>
      <c r="J461" s="79">
        <v>25.513919999999999</v>
      </c>
      <c r="K461" s="79"/>
      <c r="L461" s="79"/>
      <c r="M461" s="79"/>
      <c r="N461" s="79"/>
      <c r="O461" s="79"/>
      <c r="P461" s="79"/>
      <c r="Q461" s="79"/>
      <c r="R461" s="79"/>
      <c r="S461" s="79">
        <v>30.649650000000001</v>
      </c>
      <c r="T461" s="79">
        <v>49.499339999999997</v>
      </c>
      <c r="U461" s="79"/>
      <c r="V461" s="79"/>
      <c r="W461" s="79"/>
      <c r="X461" s="79"/>
      <c r="Y461" s="79"/>
      <c r="Z461" s="79">
        <v>26.3535</v>
      </c>
      <c r="AA461" s="79">
        <v>9.0859290000000001</v>
      </c>
      <c r="AB461" s="79"/>
      <c r="AC461" s="79">
        <v>36.907029999999999</v>
      </c>
      <c r="AD461" s="79"/>
      <c r="AE461" s="79"/>
      <c r="AF461" s="79">
        <v>20.283280000000001</v>
      </c>
      <c r="AG461" s="79">
        <v>17.960370000000001</v>
      </c>
      <c r="AH461" s="79"/>
      <c r="AI461" s="79"/>
      <c r="AJ461" s="79">
        <v>18.808150000000001</v>
      </c>
      <c r="AK461" s="79"/>
      <c r="AL461" s="79"/>
      <c r="AM461" s="79"/>
      <c r="AN461" s="79"/>
      <c r="AO461" s="79">
        <v>21.6251</v>
      </c>
      <c r="AP461" s="79"/>
      <c r="AQ461" s="79"/>
      <c r="AR461" s="79"/>
      <c r="AS461" s="79"/>
      <c r="AT461" s="79"/>
      <c r="AU461" s="79"/>
      <c r="AV461" s="79"/>
      <c r="AW461" s="79"/>
      <c r="AX461" s="79"/>
      <c r="AY461" s="79"/>
    </row>
    <row r="462" spans="1:51" x14ac:dyDescent="0.2">
      <c r="A462" t="s">
        <v>1007</v>
      </c>
      <c r="B462" s="1">
        <v>20941</v>
      </c>
      <c r="C462" s="78">
        <v>462</v>
      </c>
      <c r="E462" s="1">
        <f t="shared" si="14"/>
        <v>20941</v>
      </c>
      <c r="F462" s="2">
        <f t="shared" si="15"/>
        <v>20941</v>
      </c>
      <c r="G462" s="78">
        <v>460</v>
      </c>
      <c r="H462" s="79"/>
      <c r="I462" s="79"/>
      <c r="J462" s="79">
        <v>25.929939999999998</v>
      </c>
      <c r="K462" s="79"/>
      <c r="L462" s="79"/>
      <c r="M462" s="79"/>
      <c r="N462" s="79"/>
      <c r="O462" s="79"/>
      <c r="P462" s="79"/>
      <c r="Q462" s="79"/>
      <c r="R462" s="79"/>
      <c r="S462" s="79">
        <v>31.213550000000001</v>
      </c>
      <c r="T462" s="79">
        <v>50.433280000000003</v>
      </c>
      <c r="U462" s="79"/>
      <c r="V462" s="79"/>
      <c r="W462" s="79"/>
      <c r="X462" s="79"/>
      <c r="Y462" s="79"/>
      <c r="Z462" s="79">
        <v>26.068290000000001</v>
      </c>
      <c r="AA462" s="79">
        <v>9.5907020000000003</v>
      </c>
      <c r="AB462" s="79"/>
      <c r="AC462" s="79">
        <v>36.868769999999998</v>
      </c>
      <c r="AD462" s="79"/>
      <c r="AE462" s="79"/>
      <c r="AF462" s="79">
        <v>20.283280000000001</v>
      </c>
      <c r="AG462" s="79">
        <v>18.898430000000001</v>
      </c>
      <c r="AH462" s="79"/>
      <c r="AI462" s="79"/>
      <c r="AJ462" s="79">
        <v>18.417290000000001</v>
      </c>
      <c r="AK462" s="79"/>
      <c r="AL462" s="79"/>
      <c r="AM462" s="79"/>
      <c r="AN462" s="79"/>
      <c r="AO462" s="79">
        <v>21.545380000000002</v>
      </c>
      <c r="AP462" s="79"/>
      <c r="AQ462" s="79"/>
      <c r="AR462" s="79"/>
      <c r="AS462" s="79"/>
      <c r="AT462" s="79"/>
      <c r="AU462" s="79"/>
      <c r="AV462" s="79"/>
      <c r="AW462" s="79"/>
      <c r="AX462" s="79"/>
      <c r="AY462" s="79"/>
    </row>
    <row r="463" spans="1:51" x14ac:dyDescent="0.2">
      <c r="A463" t="s">
        <v>1008</v>
      </c>
      <c r="B463" s="1">
        <v>20972</v>
      </c>
      <c r="C463" s="78">
        <v>463</v>
      </c>
      <c r="E463" s="1">
        <f t="shared" si="14"/>
        <v>20972</v>
      </c>
      <c r="F463" s="2">
        <f t="shared" si="15"/>
        <v>20972</v>
      </c>
      <c r="G463" s="78">
        <v>461</v>
      </c>
      <c r="H463" s="79"/>
      <c r="I463" s="79"/>
      <c r="J463" s="79">
        <v>22.095269999999999</v>
      </c>
      <c r="K463" s="79"/>
      <c r="L463" s="79"/>
      <c r="M463" s="79"/>
      <c r="N463" s="79"/>
      <c r="O463" s="79"/>
      <c r="P463" s="79"/>
      <c r="Q463" s="79"/>
      <c r="R463" s="79"/>
      <c r="S463" s="79">
        <v>31.18038</v>
      </c>
      <c r="T463" s="79">
        <v>50.900260000000003</v>
      </c>
      <c r="U463" s="79"/>
      <c r="V463" s="79"/>
      <c r="W463" s="79"/>
      <c r="X463" s="79"/>
      <c r="Y463" s="79"/>
      <c r="Z463" s="79">
        <v>26.315470000000001</v>
      </c>
      <c r="AA463" s="79">
        <v>9.3383160000000007</v>
      </c>
      <c r="AB463" s="79"/>
      <c r="AC463" s="79">
        <v>37.030790000000003</v>
      </c>
      <c r="AD463" s="79"/>
      <c r="AE463" s="79"/>
      <c r="AF463" s="79">
        <v>20.568960000000001</v>
      </c>
      <c r="AG463" s="79">
        <v>17.823090000000001</v>
      </c>
      <c r="AH463" s="79"/>
      <c r="AI463" s="79"/>
      <c r="AJ463" s="79">
        <v>18.34064</v>
      </c>
      <c r="AK463" s="79"/>
      <c r="AL463" s="79"/>
      <c r="AM463" s="79"/>
      <c r="AN463" s="79"/>
      <c r="AO463" s="79">
        <v>21.598590000000002</v>
      </c>
      <c r="AP463" s="79"/>
      <c r="AQ463" s="79"/>
      <c r="AR463" s="79"/>
      <c r="AS463" s="79"/>
      <c r="AT463" s="79"/>
      <c r="AU463" s="79"/>
      <c r="AV463" s="79"/>
      <c r="AW463" s="79"/>
      <c r="AX463" s="79"/>
      <c r="AY463" s="79"/>
    </row>
    <row r="464" spans="1:51" x14ac:dyDescent="0.2">
      <c r="A464" t="s">
        <v>1009</v>
      </c>
      <c r="B464" s="1">
        <v>21002</v>
      </c>
      <c r="C464" s="78">
        <v>464</v>
      </c>
      <c r="E464" s="1">
        <f t="shared" si="14"/>
        <v>21002</v>
      </c>
      <c r="F464" s="2">
        <f t="shared" si="15"/>
        <v>21002</v>
      </c>
      <c r="G464" s="78">
        <v>462</v>
      </c>
      <c r="H464" s="79"/>
      <c r="I464" s="79"/>
      <c r="J464" s="79">
        <v>22.925840000000001</v>
      </c>
      <c r="K464" s="79"/>
      <c r="L464" s="79"/>
      <c r="M464" s="79"/>
      <c r="N464" s="79"/>
      <c r="O464" s="79"/>
      <c r="P464" s="79"/>
      <c r="Q464" s="79"/>
      <c r="R464" s="79"/>
      <c r="S464" s="79">
        <v>31.94331</v>
      </c>
      <c r="T464" s="79">
        <v>50.900260000000003</v>
      </c>
      <c r="U464" s="79"/>
      <c r="V464" s="79"/>
      <c r="W464" s="79"/>
      <c r="X464" s="79"/>
      <c r="Y464" s="79"/>
      <c r="Z464" s="79">
        <v>26.581669999999999</v>
      </c>
      <c r="AA464" s="79">
        <v>9.5065740000000005</v>
      </c>
      <c r="AB464" s="79"/>
      <c r="AC464" s="79">
        <v>36.31758</v>
      </c>
      <c r="AD464" s="79"/>
      <c r="AE464" s="79"/>
      <c r="AF464" s="79">
        <v>20.568960000000001</v>
      </c>
      <c r="AG464" s="79">
        <v>18.303560000000001</v>
      </c>
      <c r="AH464" s="79"/>
      <c r="AI464" s="79"/>
      <c r="AJ464" s="79">
        <v>18.50366</v>
      </c>
      <c r="AK464" s="79"/>
      <c r="AL464" s="79"/>
      <c r="AM464" s="79"/>
      <c r="AN464" s="79"/>
      <c r="AO464" s="79">
        <v>21.731529999999999</v>
      </c>
      <c r="AP464" s="79"/>
      <c r="AQ464" s="79"/>
      <c r="AR464" s="79"/>
      <c r="AS464" s="79"/>
      <c r="AT464" s="79"/>
      <c r="AU464" s="79"/>
      <c r="AV464" s="79"/>
      <c r="AW464" s="79"/>
      <c r="AX464" s="79"/>
      <c r="AY464" s="79"/>
    </row>
    <row r="465" spans="1:51" x14ac:dyDescent="0.2">
      <c r="A465" t="s">
        <v>1010</v>
      </c>
      <c r="B465" s="1">
        <v>21033</v>
      </c>
      <c r="C465" s="78">
        <v>465</v>
      </c>
      <c r="E465" s="1">
        <f t="shared" si="14"/>
        <v>21033</v>
      </c>
      <c r="F465" s="2">
        <f t="shared" si="15"/>
        <v>21033</v>
      </c>
      <c r="G465" s="78">
        <v>463</v>
      </c>
      <c r="H465" s="79"/>
      <c r="I465" s="79"/>
      <c r="J465" s="79">
        <v>23.681139999999999</v>
      </c>
      <c r="K465" s="79"/>
      <c r="L465" s="79"/>
      <c r="M465" s="79"/>
      <c r="N465" s="79"/>
      <c r="O465" s="79"/>
      <c r="P465" s="79"/>
      <c r="Q465" s="79"/>
      <c r="R465" s="79"/>
      <c r="S465" s="79">
        <v>31.94331</v>
      </c>
      <c r="T465" s="79">
        <v>50.900260000000003</v>
      </c>
      <c r="U465" s="79"/>
      <c r="V465" s="79"/>
      <c r="W465" s="79"/>
      <c r="X465" s="79"/>
      <c r="Y465" s="79"/>
      <c r="Z465" s="79">
        <v>26.676739999999999</v>
      </c>
      <c r="AA465" s="79">
        <v>9.1700569999999999</v>
      </c>
      <c r="AB465" s="79"/>
      <c r="AC465" s="79">
        <v>36.222050000000003</v>
      </c>
      <c r="AD465" s="79"/>
      <c r="AE465" s="79"/>
      <c r="AF465" s="79">
        <v>20.568960000000001</v>
      </c>
      <c r="AG465" s="79">
        <v>18.555230000000002</v>
      </c>
      <c r="AH465" s="79"/>
      <c r="AI465" s="79"/>
      <c r="AJ465" s="79">
        <v>18.2059</v>
      </c>
      <c r="AK465" s="79"/>
      <c r="AL465" s="79"/>
      <c r="AM465" s="79"/>
      <c r="AN465" s="79"/>
      <c r="AO465" s="79">
        <v>21.731529999999999</v>
      </c>
      <c r="AP465" s="79"/>
      <c r="AQ465" s="79"/>
      <c r="AR465" s="79"/>
      <c r="AS465" s="79"/>
      <c r="AT465" s="79"/>
      <c r="AU465" s="79"/>
      <c r="AV465" s="79"/>
      <c r="AW465" s="79"/>
      <c r="AX465" s="79"/>
      <c r="AY465" s="79"/>
    </row>
    <row r="466" spans="1:51" x14ac:dyDescent="0.2">
      <c r="A466" t="s">
        <v>1011</v>
      </c>
      <c r="B466" s="1">
        <v>21064</v>
      </c>
      <c r="C466" s="78">
        <v>466</v>
      </c>
      <c r="E466" s="1">
        <f t="shared" si="14"/>
        <v>21064</v>
      </c>
      <c r="F466" s="2">
        <f t="shared" si="15"/>
        <v>21064</v>
      </c>
      <c r="G466" s="78">
        <v>464</v>
      </c>
      <c r="H466" s="79"/>
      <c r="I466" s="79"/>
      <c r="J466" s="79">
        <v>23.044840000000001</v>
      </c>
      <c r="K466" s="79"/>
      <c r="L466" s="79"/>
      <c r="M466" s="79"/>
      <c r="N466" s="79"/>
      <c r="O466" s="79"/>
      <c r="P466" s="79"/>
      <c r="Q466" s="79"/>
      <c r="R466" s="79"/>
      <c r="S466" s="79">
        <v>32.275010000000002</v>
      </c>
      <c r="T466" s="79">
        <v>50.900260000000003</v>
      </c>
      <c r="U466" s="79"/>
      <c r="V466" s="79"/>
      <c r="W466" s="79"/>
      <c r="X466" s="79"/>
      <c r="Y466" s="79"/>
      <c r="Z466" s="79">
        <v>26.999980000000001</v>
      </c>
      <c r="AA466" s="79">
        <v>9.1700569999999999</v>
      </c>
      <c r="AB466" s="79"/>
      <c r="AC466" s="79">
        <v>36.197319999999998</v>
      </c>
      <c r="AD466" s="79"/>
      <c r="AE466" s="79"/>
      <c r="AF466" s="79">
        <v>20.283280000000001</v>
      </c>
      <c r="AG466" s="79">
        <v>18.440840000000001</v>
      </c>
      <c r="AH466" s="79"/>
      <c r="AI466" s="79"/>
      <c r="AJ466" s="79">
        <v>17.872119999999999</v>
      </c>
      <c r="AK466" s="79"/>
      <c r="AL466" s="79"/>
      <c r="AM466" s="79"/>
      <c r="AN466" s="79"/>
      <c r="AO466" s="79">
        <v>21.545380000000002</v>
      </c>
      <c r="AP466" s="79"/>
      <c r="AQ466" s="79"/>
      <c r="AR466" s="79"/>
      <c r="AS466" s="79"/>
      <c r="AT466" s="79"/>
      <c r="AU466" s="79"/>
      <c r="AV466" s="79"/>
      <c r="AW466" s="79"/>
      <c r="AX466" s="79"/>
      <c r="AY466" s="79"/>
    </row>
    <row r="467" spans="1:51" x14ac:dyDescent="0.2">
      <c r="A467" t="s">
        <v>1012</v>
      </c>
      <c r="B467" s="1">
        <v>21094</v>
      </c>
      <c r="C467" s="78">
        <v>467</v>
      </c>
      <c r="E467" s="1">
        <f t="shared" si="14"/>
        <v>21094</v>
      </c>
      <c r="F467" s="2">
        <f t="shared" si="15"/>
        <v>21094</v>
      </c>
      <c r="G467" s="78">
        <v>465</v>
      </c>
      <c r="H467" s="79"/>
      <c r="I467" s="79"/>
      <c r="J467" s="79">
        <v>27.831689999999998</v>
      </c>
      <c r="K467" s="79"/>
      <c r="L467" s="79"/>
      <c r="M467" s="79"/>
      <c r="N467" s="79"/>
      <c r="O467" s="79"/>
      <c r="P467" s="79"/>
      <c r="Q467" s="79"/>
      <c r="R467" s="79"/>
      <c r="S467" s="79">
        <v>31.910139999999998</v>
      </c>
      <c r="T467" s="79">
        <v>49.96631</v>
      </c>
      <c r="U467" s="79"/>
      <c r="V467" s="79"/>
      <c r="W467" s="79"/>
      <c r="X467" s="79"/>
      <c r="Y467" s="79"/>
      <c r="Z467" s="79">
        <v>25.9542</v>
      </c>
      <c r="AA467" s="79">
        <v>9.0859290000000001</v>
      </c>
      <c r="AB467" s="79"/>
      <c r="AC467" s="79">
        <v>35.924320000000002</v>
      </c>
      <c r="AD467" s="79"/>
      <c r="AE467" s="79"/>
      <c r="AF467" s="79">
        <v>19.711919999999999</v>
      </c>
      <c r="AG467" s="79">
        <v>18.349319999999999</v>
      </c>
      <c r="AH467" s="79"/>
      <c r="AI467" s="79"/>
      <c r="AJ467" s="79">
        <v>18.137370000000001</v>
      </c>
      <c r="AK467" s="79"/>
      <c r="AL467" s="79"/>
      <c r="AM467" s="79"/>
      <c r="AN467" s="79"/>
      <c r="AO467" s="79">
        <v>21.226109999999998</v>
      </c>
      <c r="AP467" s="79"/>
      <c r="AQ467" s="79"/>
      <c r="AR467" s="79"/>
      <c r="AS467" s="79"/>
      <c r="AT467" s="79"/>
      <c r="AU467" s="79"/>
      <c r="AV467" s="79"/>
      <c r="AW467" s="79"/>
      <c r="AX467" s="79"/>
      <c r="AY467" s="79"/>
    </row>
    <row r="468" spans="1:51" x14ac:dyDescent="0.2">
      <c r="A468" t="s">
        <v>1013</v>
      </c>
      <c r="B468" s="1">
        <v>21125</v>
      </c>
      <c r="C468" s="78">
        <v>468</v>
      </c>
      <c r="E468" s="1">
        <f t="shared" si="14"/>
        <v>21125</v>
      </c>
      <c r="F468" s="2">
        <f t="shared" si="15"/>
        <v>21125</v>
      </c>
      <c r="G468" s="78">
        <v>466</v>
      </c>
      <c r="H468" s="79"/>
      <c r="I468" s="79"/>
      <c r="J468" s="79">
        <v>22.233409999999999</v>
      </c>
      <c r="K468" s="79"/>
      <c r="L468" s="79"/>
      <c r="M468" s="79"/>
      <c r="N468" s="79"/>
      <c r="O468" s="79"/>
      <c r="P468" s="79"/>
      <c r="Q468" s="79"/>
      <c r="R468" s="79"/>
      <c r="S468" s="79">
        <v>32.573549999999997</v>
      </c>
      <c r="T468" s="79">
        <v>50.900260000000003</v>
      </c>
      <c r="U468" s="79"/>
      <c r="V468" s="79"/>
      <c r="W468" s="79"/>
      <c r="X468" s="79"/>
      <c r="Y468" s="79"/>
      <c r="Z468" s="79">
        <v>26.277439999999999</v>
      </c>
      <c r="AA468" s="79">
        <v>9.0859290000000001</v>
      </c>
      <c r="AB468" s="79"/>
      <c r="AC468" s="79">
        <v>35.737360000000002</v>
      </c>
      <c r="AD468" s="79"/>
      <c r="AE468" s="79"/>
      <c r="AF468" s="79">
        <v>19.997599999999998</v>
      </c>
      <c r="AG468" s="79">
        <v>18.05189</v>
      </c>
      <c r="AH468" s="79"/>
      <c r="AI468" s="79"/>
      <c r="AJ468" s="79">
        <v>18.49334</v>
      </c>
      <c r="AK468" s="79"/>
      <c r="AL468" s="79"/>
      <c r="AM468" s="79"/>
      <c r="AN468" s="79"/>
      <c r="AO468" s="79">
        <v>20.720780000000001</v>
      </c>
      <c r="AP468" s="79"/>
      <c r="AQ468" s="79"/>
      <c r="AR468" s="79"/>
      <c r="AS468" s="79"/>
      <c r="AT468" s="79"/>
      <c r="AU468" s="79"/>
      <c r="AV468" s="79"/>
      <c r="AW468" s="79"/>
      <c r="AX468" s="79"/>
      <c r="AY468" s="79"/>
    </row>
    <row r="469" spans="1:51" x14ac:dyDescent="0.2">
      <c r="A469" t="s">
        <v>1014</v>
      </c>
      <c r="B469" s="1">
        <v>21155</v>
      </c>
      <c r="C469" s="78">
        <v>469</v>
      </c>
      <c r="E469" s="1">
        <f t="shared" si="14"/>
        <v>21155</v>
      </c>
      <c r="F469" s="2">
        <f t="shared" si="15"/>
        <v>21155</v>
      </c>
      <c r="G469" s="78">
        <v>467</v>
      </c>
      <c r="H469" s="79"/>
      <c r="I469" s="79"/>
      <c r="J469" s="79">
        <v>23.168959999999998</v>
      </c>
      <c r="K469" s="79"/>
      <c r="L469" s="79"/>
      <c r="M469" s="79"/>
      <c r="N469" s="79"/>
      <c r="O469" s="79"/>
      <c r="P469" s="79"/>
      <c r="Q469" s="79"/>
      <c r="R469" s="79"/>
      <c r="S469" s="79">
        <v>32.971600000000002</v>
      </c>
      <c r="T469" s="79">
        <v>49.499339999999997</v>
      </c>
      <c r="U469" s="79"/>
      <c r="V469" s="79"/>
      <c r="W469" s="79"/>
      <c r="X469" s="79"/>
      <c r="Y469" s="79"/>
      <c r="Z469" s="79">
        <v>26.562650000000001</v>
      </c>
      <c r="AA469" s="79">
        <v>8.9176699999999993</v>
      </c>
      <c r="AB469" s="79"/>
      <c r="AC469" s="79">
        <v>35.661299999999997</v>
      </c>
      <c r="AD469" s="79"/>
      <c r="AE469" s="79"/>
      <c r="AF469" s="79">
        <v>19.997599999999998</v>
      </c>
      <c r="AG469" s="79">
        <v>18.074770000000001</v>
      </c>
      <c r="AH469" s="79"/>
      <c r="AI469" s="79"/>
      <c r="AJ469" s="79">
        <v>18.029879999999999</v>
      </c>
      <c r="AK469" s="79"/>
      <c r="AL469" s="79"/>
      <c r="AM469" s="79"/>
      <c r="AN469" s="79"/>
      <c r="AO469" s="79">
        <v>20.32179</v>
      </c>
      <c r="AP469" s="79"/>
      <c r="AQ469" s="79"/>
      <c r="AR469" s="79"/>
      <c r="AS469" s="79"/>
      <c r="AT469" s="79"/>
      <c r="AU469" s="79"/>
      <c r="AV469" s="79"/>
      <c r="AW469" s="79"/>
      <c r="AX469" s="79"/>
      <c r="AY469" s="79"/>
    </row>
    <row r="470" spans="1:51" x14ac:dyDescent="0.2">
      <c r="A470" t="s">
        <v>1015</v>
      </c>
      <c r="B470" s="1">
        <v>21186</v>
      </c>
      <c r="C470" s="78">
        <v>470</v>
      </c>
      <c r="E470" s="1">
        <f t="shared" si="14"/>
        <v>21186</v>
      </c>
      <c r="F470" s="2">
        <f t="shared" si="15"/>
        <v>21186</v>
      </c>
      <c r="G470" s="78">
        <v>468</v>
      </c>
      <c r="H470" s="79"/>
      <c r="I470" s="79"/>
      <c r="J470" s="79">
        <v>23.76754</v>
      </c>
      <c r="K470" s="79"/>
      <c r="L470" s="79"/>
      <c r="M470" s="79"/>
      <c r="N470" s="79">
        <v>23.59779</v>
      </c>
      <c r="O470" s="79"/>
      <c r="P470" s="79"/>
      <c r="Q470" s="79"/>
      <c r="R470" s="79">
        <v>12.979480000000001</v>
      </c>
      <c r="S470" s="79">
        <v>33.3033</v>
      </c>
      <c r="T470" s="79">
        <v>49.96631</v>
      </c>
      <c r="U470" s="79"/>
      <c r="V470" s="79"/>
      <c r="W470" s="79"/>
      <c r="X470" s="79"/>
      <c r="Y470" s="79"/>
      <c r="Z470" s="79">
        <v>26.961950000000002</v>
      </c>
      <c r="AA470" s="79">
        <v>8.8335419999999996</v>
      </c>
      <c r="AB470" s="79"/>
      <c r="AC470" s="79">
        <v>36.042769999999997</v>
      </c>
      <c r="AD470" s="79"/>
      <c r="AE470" s="79"/>
      <c r="AF470" s="79">
        <v>19.997599999999998</v>
      </c>
      <c r="AG470" s="79">
        <v>18.303560000000001</v>
      </c>
      <c r="AH470" s="79"/>
      <c r="AI470" s="79"/>
      <c r="AJ470" s="79">
        <v>18.816089999999999</v>
      </c>
      <c r="AK470" s="79"/>
      <c r="AL470" s="79"/>
      <c r="AM470" s="79"/>
      <c r="AN470" s="79"/>
      <c r="AO470" s="79">
        <v>19.949400000000001</v>
      </c>
      <c r="AP470" s="79"/>
      <c r="AQ470" s="79"/>
      <c r="AR470" s="79"/>
      <c r="AS470" s="79"/>
      <c r="AT470" s="79"/>
      <c r="AU470" s="79"/>
      <c r="AV470" s="79"/>
      <c r="AW470" s="79"/>
      <c r="AX470" s="79"/>
      <c r="AY470" s="79"/>
    </row>
    <row r="471" spans="1:51" x14ac:dyDescent="0.2">
      <c r="A471" t="s">
        <v>1016</v>
      </c>
      <c r="B471" s="1">
        <v>21217</v>
      </c>
      <c r="C471" s="78">
        <v>471</v>
      </c>
      <c r="E471" s="1">
        <f t="shared" si="14"/>
        <v>21217</v>
      </c>
      <c r="F471" s="2">
        <f t="shared" si="15"/>
        <v>21217</v>
      </c>
      <c r="G471" s="78">
        <v>469</v>
      </c>
      <c r="H471" s="79"/>
      <c r="I471" s="79"/>
      <c r="J471" s="79">
        <v>25.808319999999998</v>
      </c>
      <c r="K471" s="79"/>
      <c r="L471" s="79"/>
      <c r="M471" s="79"/>
      <c r="N471" s="79">
        <v>23.69698</v>
      </c>
      <c r="O471" s="79"/>
      <c r="P471" s="79"/>
      <c r="Q471" s="79"/>
      <c r="R471" s="79">
        <v>12.85488</v>
      </c>
      <c r="S471" s="79">
        <v>33.435989999999997</v>
      </c>
      <c r="T471" s="79">
        <v>50.96564</v>
      </c>
      <c r="U471" s="79"/>
      <c r="V471" s="79"/>
      <c r="W471" s="79"/>
      <c r="X471" s="79"/>
      <c r="Y471" s="79"/>
      <c r="Z471" s="79">
        <v>26.410540000000001</v>
      </c>
      <c r="AA471" s="79">
        <v>8.9176699999999993</v>
      </c>
      <c r="AB471" s="79"/>
      <c r="AC471" s="79">
        <v>36.766930000000002</v>
      </c>
      <c r="AD471" s="79"/>
      <c r="AE471" s="79"/>
      <c r="AF471" s="79">
        <v>19.997599999999998</v>
      </c>
      <c r="AG471" s="79">
        <v>18.2578</v>
      </c>
      <c r="AH471" s="79"/>
      <c r="AI471" s="79"/>
      <c r="AJ471" s="79">
        <v>18.790970000000002</v>
      </c>
      <c r="AK471" s="79"/>
      <c r="AL471" s="79"/>
      <c r="AM471" s="79"/>
      <c r="AN471" s="79"/>
      <c r="AO471" s="79">
        <v>19.523800000000001</v>
      </c>
      <c r="AP471" s="79"/>
      <c r="AQ471" s="79"/>
      <c r="AR471" s="79"/>
      <c r="AS471" s="79"/>
      <c r="AT471" s="79"/>
      <c r="AU471" s="79"/>
      <c r="AV471" s="79"/>
      <c r="AW471" s="79"/>
      <c r="AX471" s="79"/>
      <c r="AY471" s="79"/>
    </row>
    <row r="472" spans="1:51" x14ac:dyDescent="0.2">
      <c r="A472" t="s">
        <v>1017</v>
      </c>
      <c r="B472" s="1">
        <v>21245</v>
      </c>
      <c r="C472" s="78">
        <v>472</v>
      </c>
      <c r="E472" s="1">
        <f t="shared" si="14"/>
        <v>21245</v>
      </c>
      <c r="F472" s="2">
        <f t="shared" si="15"/>
        <v>21245</v>
      </c>
      <c r="G472" s="78">
        <v>470</v>
      </c>
      <c r="H472" s="79"/>
      <c r="I472" s="79"/>
      <c r="J472" s="79">
        <v>22.882709999999999</v>
      </c>
      <c r="K472" s="79"/>
      <c r="L472" s="79"/>
      <c r="M472" s="79"/>
      <c r="N472" s="79">
        <v>24.081969999999998</v>
      </c>
      <c r="O472" s="79"/>
      <c r="P472" s="79"/>
      <c r="Q472" s="79"/>
      <c r="R472" s="79">
        <v>12.584899999999999</v>
      </c>
      <c r="S472" s="79">
        <v>33.336469999999998</v>
      </c>
      <c r="T472" s="79">
        <v>51.465299999999999</v>
      </c>
      <c r="U472" s="79"/>
      <c r="V472" s="79"/>
      <c r="W472" s="79"/>
      <c r="X472" s="79"/>
      <c r="Y472" s="79"/>
      <c r="Z472" s="79">
        <v>26.372509999999998</v>
      </c>
      <c r="AA472" s="79">
        <v>8.8335419999999996</v>
      </c>
      <c r="AB472" s="79"/>
      <c r="AC472" s="79">
        <v>35.229770000000002</v>
      </c>
      <c r="AD472" s="79"/>
      <c r="AE472" s="79"/>
      <c r="AF472" s="79">
        <v>20.283280000000001</v>
      </c>
      <c r="AG472" s="79">
        <v>18.578109999999999</v>
      </c>
      <c r="AH472" s="79"/>
      <c r="AI472" s="79"/>
      <c r="AJ472" s="79">
        <v>19.131789999999999</v>
      </c>
      <c r="AK472" s="79"/>
      <c r="AL472" s="79"/>
      <c r="AM472" s="79"/>
      <c r="AN472" s="79"/>
      <c r="AO472" s="79">
        <v>19.28444</v>
      </c>
      <c r="AP472" s="79"/>
      <c r="AQ472" s="79"/>
      <c r="AR472" s="79"/>
      <c r="AS472" s="79"/>
      <c r="AT472" s="79"/>
      <c r="AU472" s="79"/>
      <c r="AV472" s="79"/>
      <c r="AW472" s="79"/>
      <c r="AX472" s="79"/>
      <c r="AY472" s="79"/>
    </row>
    <row r="473" spans="1:51" x14ac:dyDescent="0.2">
      <c r="A473" t="s">
        <v>1018</v>
      </c>
      <c r="B473" s="1">
        <v>21276</v>
      </c>
      <c r="C473" s="78">
        <v>473</v>
      </c>
      <c r="E473" s="1">
        <f t="shared" si="14"/>
        <v>21276</v>
      </c>
      <c r="F473" s="2">
        <f t="shared" si="15"/>
        <v>21276</v>
      </c>
      <c r="G473" s="78">
        <v>471</v>
      </c>
      <c r="H473" s="79"/>
      <c r="I473" s="79"/>
      <c r="J473" s="79">
        <v>22.99221</v>
      </c>
      <c r="K473" s="79"/>
      <c r="L473" s="79"/>
      <c r="M473" s="79"/>
      <c r="N473" s="79">
        <v>23.325150000000001</v>
      </c>
      <c r="O473" s="79"/>
      <c r="P473" s="79"/>
      <c r="Q473" s="79"/>
      <c r="R473" s="79">
        <v>12.77181</v>
      </c>
      <c r="S473" s="79">
        <v>33.037939999999999</v>
      </c>
      <c r="T473" s="79">
        <v>49.466650000000001</v>
      </c>
      <c r="U473" s="79"/>
      <c r="V473" s="79"/>
      <c r="W473" s="79"/>
      <c r="X473" s="79"/>
      <c r="Y473" s="79"/>
      <c r="Z473" s="79">
        <v>26.277439999999999</v>
      </c>
      <c r="AA473" s="79">
        <v>8.8335419999999996</v>
      </c>
      <c r="AB473" s="79"/>
      <c r="AC473" s="79">
        <v>35.429769999999998</v>
      </c>
      <c r="AD473" s="79"/>
      <c r="AE473" s="79"/>
      <c r="AF473" s="79">
        <v>19.997599999999998</v>
      </c>
      <c r="AG473" s="79">
        <v>18.006129999999999</v>
      </c>
      <c r="AH473" s="79"/>
      <c r="AI473" s="79"/>
      <c r="AJ473" s="79">
        <v>18.966999999999999</v>
      </c>
      <c r="AK473" s="79"/>
      <c r="AL473" s="79"/>
      <c r="AM473" s="79"/>
      <c r="AN473" s="79"/>
      <c r="AO473" s="79">
        <v>18.965260000000001</v>
      </c>
      <c r="AP473" s="79"/>
      <c r="AQ473" s="79"/>
      <c r="AR473" s="79"/>
      <c r="AS473" s="79"/>
      <c r="AT473" s="79"/>
      <c r="AU473" s="79"/>
      <c r="AV473" s="79"/>
      <c r="AW473" s="79"/>
      <c r="AX473" s="79"/>
      <c r="AY473" s="79"/>
    </row>
    <row r="474" spans="1:51" x14ac:dyDescent="0.2">
      <c r="A474" t="s">
        <v>1019</v>
      </c>
      <c r="B474" s="1">
        <v>21306</v>
      </c>
      <c r="C474" s="78">
        <v>474</v>
      </c>
      <c r="E474" s="1">
        <f t="shared" si="14"/>
        <v>21306</v>
      </c>
      <c r="F474" s="2">
        <f t="shared" si="15"/>
        <v>21306</v>
      </c>
      <c r="G474" s="78">
        <v>472</v>
      </c>
      <c r="H474" s="79"/>
      <c r="I474" s="79"/>
      <c r="J474" s="79">
        <v>23.02984</v>
      </c>
      <c r="K474" s="79"/>
      <c r="L474" s="79"/>
      <c r="M474" s="79"/>
      <c r="N474" s="79">
        <v>23.610199999999999</v>
      </c>
      <c r="O474" s="79"/>
      <c r="P474" s="79"/>
      <c r="Q474" s="79"/>
      <c r="R474" s="79">
        <v>12.73028</v>
      </c>
      <c r="S474" s="79">
        <v>32.80574</v>
      </c>
      <c r="T474" s="79">
        <v>49.96631</v>
      </c>
      <c r="U474" s="79"/>
      <c r="V474" s="79"/>
      <c r="W474" s="79"/>
      <c r="X474" s="79"/>
      <c r="Y474" s="79"/>
      <c r="Z474" s="79">
        <v>26.334489999999999</v>
      </c>
      <c r="AA474" s="79">
        <v>8.5811550000000008</v>
      </c>
      <c r="AB474" s="79"/>
      <c r="AC474" s="79">
        <v>35.030169999999998</v>
      </c>
      <c r="AD474" s="79"/>
      <c r="AE474" s="79"/>
      <c r="AF474" s="79">
        <v>20.283280000000001</v>
      </c>
      <c r="AG474" s="79">
        <v>17.93749</v>
      </c>
      <c r="AH474" s="79"/>
      <c r="AI474" s="79"/>
      <c r="AJ474" s="79">
        <v>19.722480000000001</v>
      </c>
      <c r="AK474" s="79"/>
      <c r="AL474" s="79"/>
      <c r="AM474" s="79"/>
      <c r="AN474" s="79"/>
      <c r="AO474" s="79">
        <v>19.151409999999998</v>
      </c>
      <c r="AP474" s="79"/>
      <c r="AQ474" s="79"/>
      <c r="AR474" s="79"/>
      <c r="AS474" s="79"/>
      <c r="AT474" s="79"/>
      <c r="AU474" s="79"/>
      <c r="AV474" s="79"/>
      <c r="AW474" s="79"/>
      <c r="AX474" s="79"/>
      <c r="AY474" s="79"/>
    </row>
    <row r="475" spans="1:51" x14ac:dyDescent="0.2">
      <c r="A475" t="s">
        <v>1020</v>
      </c>
      <c r="B475" s="1">
        <v>21337</v>
      </c>
      <c r="C475" s="78">
        <v>475</v>
      </c>
      <c r="E475" s="1">
        <f t="shared" si="14"/>
        <v>21337</v>
      </c>
      <c r="F475" s="2">
        <f t="shared" si="15"/>
        <v>21337</v>
      </c>
      <c r="G475" s="78">
        <v>473</v>
      </c>
      <c r="H475" s="79"/>
      <c r="I475" s="79"/>
      <c r="J475" s="79">
        <v>22.889330000000001</v>
      </c>
      <c r="K475" s="79"/>
      <c r="L475" s="79"/>
      <c r="M475" s="79"/>
      <c r="N475" s="79">
        <v>23.898700000000002</v>
      </c>
      <c r="O475" s="79"/>
      <c r="P475" s="79"/>
      <c r="Q475" s="79"/>
      <c r="R475" s="79">
        <v>12.647209999999999</v>
      </c>
      <c r="S475" s="79">
        <v>33.037939999999999</v>
      </c>
      <c r="T475" s="79">
        <v>49.96631</v>
      </c>
      <c r="U475" s="79"/>
      <c r="V475" s="79"/>
      <c r="W475" s="79"/>
      <c r="X475" s="79"/>
      <c r="Y475" s="79"/>
      <c r="Z475" s="79">
        <v>26.98096</v>
      </c>
      <c r="AA475" s="79">
        <v>8.4970250000000007</v>
      </c>
      <c r="AB475" s="79"/>
      <c r="AC475" s="79">
        <v>34.620719999999999</v>
      </c>
      <c r="AD475" s="79"/>
      <c r="AE475" s="79"/>
      <c r="AF475" s="79">
        <v>20.283280000000001</v>
      </c>
      <c r="AG475" s="79">
        <v>18.806909999999998</v>
      </c>
      <c r="AH475" s="79"/>
      <c r="AI475" s="79"/>
      <c r="AJ475" s="79">
        <v>18.54823</v>
      </c>
      <c r="AK475" s="79"/>
      <c r="AL475" s="79"/>
      <c r="AM475" s="79"/>
      <c r="AN475" s="79"/>
      <c r="AO475" s="79">
        <v>19.656829999999999</v>
      </c>
      <c r="AP475" s="79"/>
      <c r="AQ475" s="79"/>
      <c r="AR475" s="79"/>
      <c r="AS475" s="79"/>
      <c r="AT475" s="79"/>
      <c r="AU475" s="79"/>
      <c r="AV475" s="79"/>
      <c r="AW475" s="79"/>
      <c r="AX475" s="79"/>
      <c r="AY475" s="79"/>
    </row>
    <row r="476" spans="1:51" x14ac:dyDescent="0.2">
      <c r="A476" t="s">
        <v>1021</v>
      </c>
      <c r="B476" s="1">
        <v>21367</v>
      </c>
      <c r="C476" s="78">
        <v>476</v>
      </c>
      <c r="E476" s="1">
        <f t="shared" si="14"/>
        <v>21367</v>
      </c>
      <c r="F476" s="2">
        <f t="shared" si="15"/>
        <v>21367</v>
      </c>
      <c r="G476" s="78">
        <v>474</v>
      </c>
      <c r="H476" s="79"/>
      <c r="I476" s="79"/>
      <c r="J476" s="79">
        <v>23.313870000000001</v>
      </c>
      <c r="K476" s="79"/>
      <c r="L476" s="79"/>
      <c r="M476" s="79"/>
      <c r="N476" s="79">
        <v>23.490290000000002</v>
      </c>
      <c r="O476" s="79"/>
      <c r="P476" s="79"/>
      <c r="Q476" s="79"/>
      <c r="R476" s="79">
        <v>12.60567</v>
      </c>
      <c r="S476" s="79">
        <v>32.772570000000002</v>
      </c>
      <c r="T476" s="79">
        <v>49.466650000000001</v>
      </c>
      <c r="U476" s="79"/>
      <c r="V476" s="79"/>
      <c r="W476" s="79"/>
      <c r="X476" s="79"/>
      <c r="Y476" s="79"/>
      <c r="Z476" s="79">
        <v>27.228149999999999</v>
      </c>
      <c r="AA476" s="79">
        <v>8.8335419999999996</v>
      </c>
      <c r="AB476" s="79"/>
      <c r="AC476" s="79">
        <v>34.319420000000001</v>
      </c>
      <c r="AD476" s="79"/>
      <c r="AE476" s="79"/>
      <c r="AF476" s="79">
        <v>20.283280000000001</v>
      </c>
      <c r="AG476" s="79">
        <v>18.463719999999999</v>
      </c>
      <c r="AH476" s="79"/>
      <c r="AI476" s="79"/>
      <c r="AJ476" s="79">
        <v>19.198799999999999</v>
      </c>
      <c r="AK476" s="79"/>
      <c r="AL476" s="79"/>
      <c r="AM476" s="79"/>
      <c r="AN476" s="79"/>
      <c r="AO476" s="79">
        <v>19.949400000000001</v>
      </c>
      <c r="AP476" s="79"/>
      <c r="AQ476" s="79"/>
      <c r="AR476" s="79"/>
      <c r="AS476" s="79"/>
      <c r="AT476" s="79"/>
      <c r="AU476" s="79"/>
      <c r="AV476" s="79"/>
      <c r="AW476" s="79"/>
      <c r="AX476" s="79"/>
      <c r="AY476" s="79"/>
    </row>
    <row r="477" spans="1:51" x14ac:dyDescent="0.2">
      <c r="A477" t="s">
        <v>1022</v>
      </c>
      <c r="B477" s="1">
        <v>21398</v>
      </c>
      <c r="C477" s="78">
        <v>477</v>
      </c>
      <c r="E477" s="1">
        <f t="shared" si="14"/>
        <v>21398</v>
      </c>
      <c r="F477" s="2">
        <f t="shared" si="15"/>
        <v>21398</v>
      </c>
      <c r="G477" s="78">
        <v>475</v>
      </c>
      <c r="H477" s="79"/>
      <c r="I477" s="79"/>
      <c r="J477" s="79">
        <v>22.81607</v>
      </c>
      <c r="K477" s="79"/>
      <c r="L477" s="79"/>
      <c r="M477" s="79"/>
      <c r="N477" s="79">
        <v>24.38654</v>
      </c>
      <c r="O477" s="79"/>
      <c r="P477" s="79"/>
      <c r="Q477" s="79"/>
      <c r="R477" s="79">
        <v>12.81334</v>
      </c>
      <c r="S477" s="79">
        <v>32.772570000000002</v>
      </c>
      <c r="T477" s="79">
        <v>49.466650000000001</v>
      </c>
      <c r="U477" s="79"/>
      <c r="V477" s="79"/>
      <c r="W477" s="79"/>
      <c r="X477" s="79"/>
      <c r="Y477" s="79"/>
      <c r="Z477" s="79">
        <v>27.171099999999999</v>
      </c>
      <c r="AA477" s="79">
        <v>8.9176699999999993</v>
      </c>
      <c r="AB477" s="79"/>
      <c r="AC477" s="79">
        <v>34.620780000000003</v>
      </c>
      <c r="AD477" s="79"/>
      <c r="AE477" s="79"/>
      <c r="AF477" s="79">
        <v>20.568960000000001</v>
      </c>
      <c r="AG477" s="79">
        <v>18.372199999999999</v>
      </c>
      <c r="AH477" s="79"/>
      <c r="AI477" s="79"/>
      <c r="AJ477" s="79">
        <v>20.10209</v>
      </c>
      <c r="AK477" s="79"/>
      <c r="AL477" s="79"/>
      <c r="AM477" s="79"/>
      <c r="AN477" s="79"/>
      <c r="AO477" s="79">
        <v>20.348389999999998</v>
      </c>
      <c r="AP477" s="79"/>
      <c r="AQ477" s="79"/>
      <c r="AR477" s="79"/>
      <c r="AS477" s="79"/>
      <c r="AT477" s="79"/>
      <c r="AU477" s="79"/>
      <c r="AV477" s="79"/>
      <c r="AW477" s="79"/>
      <c r="AX477" s="79"/>
      <c r="AY477" s="79"/>
    </row>
    <row r="478" spans="1:51" x14ac:dyDescent="0.2">
      <c r="A478" t="s">
        <v>1023</v>
      </c>
      <c r="B478" s="1">
        <v>21429</v>
      </c>
      <c r="C478" s="78">
        <v>478</v>
      </c>
      <c r="E478" s="1">
        <f t="shared" si="14"/>
        <v>21429</v>
      </c>
      <c r="F478" s="2">
        <f t="shared" si="15"/>
        <v>21429</v>
      </c>
      <c r="G478" s="78">
        <v>476</v>
      </c>
      <c r="H478" s="79"/>
      <c r="I478" s="79"/>
      <c r="J478" s="79">
        <v>22.853639999999999</v>
      </c>
      <c r="K478" s="79"/>
      <c r="L478" s="79"/>
      <c r="M478" s="79"/>
      <c r="N478" s="79">
        <v>23.694870000000002</v>
      </c>
      <c r="O478" s="79"/>
      <c r="P478" s="79"/>
      <c r="Q478" s="79"/>
      <c r="R478" s="79">
        <v>12.896409999999999</v>
      </c>
      <c r="S478" s="79">
        <v>32.573549999999997</v>
      </c>
      <c r="T478" s="79">
        <v>49.466650000000001</v>
      </c>
      <c r="U478" s="79"/>
      <c r="V478" s="79"/>
      <c r="W478" s="79"/>
      <c r="X478" s="79"/>
      <c r="Y478" s="79"/>
      <c r="Z478" s="79">
        <v>27.62744</v>
      </c>
      <c r="AA478" s="79">
        <v>8.9176699999999993</v>
      </c>
      <c r="AB478" s="79"/>
      <c r="AC478" s="79">
        <v>34.389580000000002</v>
      </c>
      <c r="AD478" s="79"/>
      <c r="AE478" s="79"/>
      <c r="AF478" s="79">
        <v>20.85464</v>
      </c>
      <c r="AG478" s="79">
        <v>18.097650000000002</v>
      </c>
      <c r="AH478" s="79"/>
      <c r="AI478" s="79"/>
      <c r="AJ478" s="79">
        <v>20.388120000000001</v>
      </c>
      <c r="AK478" s="79"/>
      <c r="AL478" s="79"/>
      <c r="AM478" s="79"/>
      <c r="AN478" s="79"/>
      <c r="AO478" s="79">
        <v>20.53454</v>
      </c>
      <c r="AP478" s="79"/>
      <c r="AQ478" s="79"/>
      <c r="AR478" s="79"/>
      <c r="AS478" s="79"/>
      <c r="AT478" s="79"/>
      <c r="AU478" s="79"/>
      <c r="AV478" s="79"/>
      <c r="AW478" s="79"/>
      <c r="AX478" s="79"/>
      <c r="AY478" s="79"/>
    </row>
    <row r="479" spans="1:51" x14ac:dyDescent="0.2">
      <c r="A479" t="s">
        <v>1024</v>
      </c>
      <c r="B479" s="1">
        <v>21459</v>
      </c>
      <c r="C479" s="78">
        <v>479</v>
      </c>
      <c r="E479" s="1">
        <f t="shared" si="14"/>
        <v>21459</v>
      </c>
      <c r="F479" s="2">
        <f t="shared" si="15"/>
        <v>21459</v>
      </c>
      <c r="G479" s="78">
        <v>477</v>
      </c>
      <c r="H479" s="79"/>
      <c r="I479" s="79"/>
      <c r="J479" s="79">
        <v>23.020209999999999</v>
      </c>
      <c r="K479" s="79"/>
      <c r="L479" s="79"/>
      <c r="M479" s="79"/>
      <c r="N479" s="79">
        <v>23.686509999999998</v>
      </c>
      <c r="O479" s="79"/>
      <c r="P479" s="79"/>
      <c r="Q479" s="79"/>
      <c r="R479" s="79">
        <v>13.06255</v>
      </c>
      <c r="S479" s="79">
        <v>32.639890000000001</v>
      </c>
      <c r="T479" s="79">
        <v>49.466650000000001</v>
      </c>
      <c r="U479" s="79"/>
      <c r="V479" s="79"/>
      <c r="W479" s="79"/>
      <c r="X479" s="79"/>
      <c r="Y479" s="79"/>
      <c r="Z479" s="79">
        <v>27.77955</v>
      </c>
      <c r="AA479" s="79">
        <v>9.1700569999999999</v>
      </c>
      <c r="AB479" s="79"/>
      <c r="AC479" s="79">
        <v>34.418190000000003</v>
      </c>
      <c r="AD479" s="79"/>
      <c r="AE479" s="79"/>
      <c r="AF479" s="79">
        <v>21.140319999999999</v>
      </c>
      <c r="AG479" s="79">
        <v>18.62387</v>
      </c>
      <c r="AH479" s="79"/>
      <c r="AI479" s="79"/>
      <c r="AJ479" s="79">
        <v>20.53856</v>
      </c>
      <c r="AK479" s="79"/>
      <c r="AL479" s="79"/>
      <c r="AM479" s="79"/>
      <c r="AN479" s="79"/>
      <c r="AO479" s="79">
        <v>20.774000000000001</v>
      </c>
      <c r="AP479" s="79"/>
      <c r="AQ479" s="79"/>
      <c r="AR479" s="79"/>
      <c r="AS479" s="79"/>
      <c r="AT479" s="79"/>
      <c r="AU479" s="79"/>
      <c r="AV479" s="79"/>
      <c r="AW479" s="79"/>
      <c r="AX479" s="79"/>
      <c r="AY479" s="79"/>
    </row>
    <row r="480" spans="1:51" x14ac:dyDescent="0.2">
      <c r="A480" t="s">
        <v>1025</v>
      </c>
      <c r="B480" s="1">
        <v>21490</v>
      </c>
      <c r="C480" s="78">
        <v>480</v>
      </c>
      <c r="E480" s="1">
        <f t="shared" si="14"/>
        <v>21490</v>
      </c>
      <c r="F480" s="2">
        <f t="shared" si="15"/>
        <v>21490</v>
      </c>
      <c r="G480" s="78">
        <v>478</v>
      </c>
      <c r="H480" s="79"/>
      <c r="I480" s="79"/>
      <c r="J480" s="79">
        <v>23.266570000000002</v>
      </c>
      <c r="K480" s="79"/>
      <c r="L480" s="79"/>
      <c r="M480" s="79"/>
      <c r="N480" s="79">
        <v>24.23789</v>
      </c>
      <c r="O480" s="79"/>
      <c r="P480" s="79"/>
      <c r="Q480" s="79"/>
      <c r="R480" s="79">
        <v>13.394819999999999</v>
      </c>
      <c r="S480" s="79">
        <v>32.208669999999998</v>
      </c>
      <c r="T480" s="79">
        <v>49.96631</v>
      </c>
      <c r="U480" s="79"/>
      <c r="V480" s="79"/>
      <c r="W480" s="79"/>
      <c r="X480" s="79"/>
      <c r="Y480" s="79"/>
      <c r="Z480" s="79">
        <v>27.950679999999998</v>
      </c>
      <c r="AA480" s="79">
        <v>9.0859290000000001</v>
      </c>
      <c r="AB480" s="79"/>
      <c r="AC480" s="79">
        <v>34.876109999999997</v>
      </c>
      <c r="AD480" s="79"/>
      <c r="AE480" s="79"/>
      <c r="AF480" s="79">
        <v>20.85464</v>
      </c>
      <c r="AG480" s="79">
        <v>18.692509999999999</v>
      </c>
      <c r="AH480" s="79"/>
      <c r="AI480" s="79"/>
      <c r="AJ480" s="79">
        <v>20.932220000000001</v>
      </c>
      <c r="AK480" s="79"/>
      <c r="AL480" s="79"/>
      <c r="AM480" s="79"/>
      <c r="AN480" s="79"/>
      <c r="AO480" s="79">
        <v>21.385739999999998</v>
      </c>
      <c r="AP480" s="79"/>
      <c r="AQ480" s="79"/>
      <c r="AR480" s="79"/>
      <c r="AS480" s="79"/>
      <c r="AT480" s="79"/>
      <c r="AU480" s="79"/>
      <c r="AV480" s="79"/>
      <c r="AW480" s="79"/>
      <c r="AX480" s="79"/>
      <c r="AY480" s="79"/>
    </row>
    <row r="481" spans="1:51" x14ac:dyDescent="0.2">
      <c r="A481" t="s">
        <v>1026</v>
      </c>
      <c r="B481" s="1">
        <v>21520</v>
      </c>
      <c r="C481" s="78">
        <v>481</v>
      </c>
      <c r="E481" s="1">
        <f t="shared" si="14"/>
        <v>21520</v>
      </c>
      <c r="F481" s="2">
        <f t="shared" si="15"/>
        <v>21520</v>
      </c>
      <c r="G481" s="78">
        <v>479</v>
      </c>
      <c r="H481" s="79"/>
      <c r="I481" s="79"/>
      <c r="J481" s="79">
        <v>22.679400000000001</v>
      </c>
      <c r="K481" s="79"/>
      <c r="L481" s="79"/>
      <c r="M481" s="79"/>
      <c r="N481" s="79">
        <v>24.33625</v>
      </c>
      <c r="O481" s="79"/>
      <c r="P481" s="79"/>
      <c r="Q481" s="79"/>
      <c r="R481" s="79">
        <v>12.979480000000001</v>
      </c>
      <c r="S481" s="79">
        <v>31.94331</v>
      </c>
      <c r="T481" s="79">
        <v>50.465969999999999</v>
      </c>
      <c r="U481" s="79"/>
      <c r="V481" s="79"/>
      <c r="W481" s="79"/>
      <c r="X481" s="79"/>
      <c r="Y481" s="79"/>
      <c r="Z481" s="79">
        <v>27.950679999999998</v>
      </c>
      <c r="AA481" s="79">
        <v>9.3383160000000007</v>
      </c>
      <c r="AB481" s="79"/>
      <c r="AC481" s="79">
        <v>35.057920000000003</v>
      </c>
      <c r="AD481" s="79"/>
      <c r="AE481" s="79"/>
      <c r="AF481" s="79">
        <v>21.140319999999999</v>
      </c>
      <c r="AG481" s="79">
        <v>18.715389999999999</v>
      </c>
      <c r="AH481" s="79"/>
      <c r="AI481" s="79"/>
      <c r="AJ481" s="79">
        <v>20.344370000000001</v>
      </c>
      <c r="AK481" s="79"/>
      <c r="AL481" s="79"/>
      <c r="AM481" s="79"/>
      <c r="AN481" s="79"/>
      <c r="AO481" s="79">
        <v>21.41235</v>
      </c>
      <c r="AP481" s="79"/>
      <c r="AQ481" s="79"/>
      <c r="AR481" s="79"/>
      <c r="AS481" s="79"/>
      <c r="AT481" s="79"/>
      <c r="AU481" s="79"/>
      <c r="AV481" s="79"/>
      <c r="AW481" s="79"/>
      <c r="AX481" s="79"/>
      <c r="AY481" s="79"/>
    </row>
    <row r="482" spans="1:51" x14ac:dyDescent="0.2">
      <c r="A482" t="s">
        <v>1027</v>
      </c>
      <c r="B482" s="1">
        <v>21551</v>
      </c>
      <c r="C482" s="78">
        <v>482</v>
      </c>
      <c r="E482" s="1">
        <f t="shared" si="14"/>
        <v>21551</v>
      </c>
      <c r="F482" s="2">
        <f t="shared" si="15"/>
        <v>21551</v>
      </c>
      <c r="G482" s="78">
        <v>480</v>
      </c>
      <c r="H482" s="79"/>
      <c r="I482" s="79"/>
      <c r="J482" s="79">
        <v>22.891259999999999</v>
      </c>
      <c r="K482" s="79"/>
      <c r="L482" s="79"/>
      <c r="M482" s="79"/>
      <c r="N482" s="79">
        <v>24.121749999999999</v>
      </c>
      <c r="O482" s="79"/>
      <c r="P482" s="79"/>
      <c r="Q482" s="79"/>
      <c r="R482" s="79">
        <v>13.02102</v>
      </c>
      <c r="S482" s="79">
        <v>31.777450000000002</v>
      </c>
      <c r="T482" s="79">
        <v>50.465969999999999</v>
      </c>
      <c r="U482" s="79"/>
      <c r="V482" s="79"/>
      <c r="W482" s="79"/>
      <c r="X482" s="79"/>
      <c r="Y482" s="79"/>
      <c r="Z482" s="79">
        <v>28.064769999999999</v>
      </c>
      <c r="AA482" s="79">
        <v>9.4224440000000005</v>
      </c>
      <c r="AB482" s="79"/>
      <c r="AC482" s="79">
        <v>34.961590000000001</v>
      </c>
      <c r="AD482" s="79"/>
      <c r="AE482" s="79"/>
      <c r="AF482" s="79">
        <v>21.425999999999998</v>
      </c>
      <c r="AG482" s="79">
        <v>18.50948</v>
      </c>
      <c r="AH482" s="79"/>
      <c r="AI482" s="79"/>
      <c r="AJ482" s="79">
        <v>21.252030000000001</v>
      </c>
      <c r="AK482" s="79"/>
      <c r="AL482" s="79"/>
      <c r="AM482" s="79">
        <v>24.55883</v>
      </c>
      <c r="AN482" s="79"/>
      <c r="AO482" s="79">
        <v>21.731529999999999</v>
      </c>
      <c r="AP482" s="79"/>
      <c r="AQ482" s="79"/>
      <c r="AR482" s="79"/>
      <c r="AS482" s="79"/>
      <c r="AT482" s="79"/>
      <c r="AU482" s="79"/>
      <c r="AV482" s="79"/>
      <c r="AW482" s="79"/>
      <c r="AX482" s="79"/>
      <c r="AY482" s="79"/>
    </row>
    <row r="483" spans="1:51" x14ac:dyDescent="0.2">
      <c r="A483" t="s">
        <v>1028</v>
      </c>
      <c r="B483" s="1">
        <v>21582</v>
      </c>
      <c r="C483" s="78">
        <v>483</v>
      </c>
      <c r="E483" s="1">
        <f t="shared" si="14"/>
        <v>21582</v>
      </c>
      <c r="F483" s="2">
        <f t="shared" si="15"/>
        <v>21582</v>
      </c>
      <c r="G483" s="78">
        <v>481</v>
      </c>
      <c r="H483" s="79"/>
      <c r="I483" s="79"/>
      <c r="J483" s="79">
        <v>23.567209999999999</v>
      </c>
      <c r="K483" s="79"/>
      <c r="L483" s="79"/>
      <c r="M483" s="79"/>
      <c r="N483" s="79">
        <v>24.187090000000001</v>
      </c>
      <c r="O483" s="79"/>
      <c r="P483" s="79"/>
      <c r="Q483" s="79"/>
      <c r="R483" s="79">
        <v>13.24945</v>
      </c>
      <c r="S483" s="79">
        <v>32.009650000000001</v>
      </c>
      <c r="T483" s="79">
        <v>50.465969999999999</v>
      </c>
      <c r="U483" s="79"/>
      <c r="V483" s="79"/>
      <c r="W483" s="79"/>
      <c r="X483" s="79"/>
      <c r="Y483" s="79"/>
      <c r="Z483" s="79">
        <v>28.996459999999999</v>
      </c>
      <c r="AA483" s="79">
        <v>9.7589609999999993</v>
      </c>
      <c r="AB483" s="79"/>
      <c r="AC483" s="79">
        <v>34.748660000000001</v>
      </c>
      <c r="AD483" s="79"/>
      <c r="AE483" s="79"/>
      <c r="AF483" s="79">
        <v>21.425999999999998</v>
      </c>
      <c r="AG483" s="79">
        <v>18.944189999999999</v>
      </c>
      <c r="AH483" s="79"/>
      <c r="AI483" s="79"/>
      <c r="AJ483" s="79">
        <v>21.052199999999999</v>
      </c>
      <c r="AK483" s="79"/>
      <c r="AL483" s="79"/>
      <c r="AM483" s="79">
        <v>25.01362</v>
      </c>
      <c r="AN483" s="79"/>
      <c r="AO483" s="79">
        <v>22.157129999999999</v>
      </c>
      <c r="AP483" s="79"/>
      <c r="AQ483" s="79"/>
      <c r="AR483" s="79"/>
      <c r="AS483" s="79"/>
      <c r="AT483" s="79"/>
      <c r="AU483" s="79"/>
      <c r="AV483" s="79"/>
      <c r="AW483" s="79"/>
      <c r="AX483" s="79"/>
      <c r="AY483" s="79"/>
    </row>
    <row r="484" spans="1:51" x14ac:dyDescent="0.2">
      <c r="A484" t="s">
        <v>1029</v>
      </c>
      <c r="B484" s="1">
        <v>21610</v>
      </c>
      <c r="C484" s="78">
        <v>484</v>
      </c>
      <c r="E484" s="1">
        <f t="shared" si="14"/>
        <v>21610</v>
      </c>
      <c r="F484" s="2">
        <f t="shared" si="15"/>
        <v>21610</v>
      </c>
      <c r="G484" s="78">
        <v>482</v>
      </c>
      <c r="H484" s="79"/>
      <c r="I484" s="79"/>
      <c r="J484" s="79">
        <v>23.608270000000001</v>
      </c>
      <c r="K484" s="79"/>
      <c r="L484" s="79"/>
      <c r="M484" s="79"/>
      <c r="N484" s="79">
        <v>24.444479999999999</v>
      </c>
      <c r="O484" s="79"/>
      <c r="P484" s="79"/>
      <c r="Q484" s="79"/>
      <c r="R484" s="79">
        <v>13.644030000000001</v>
      </c>
      <c r="S484" s="79">
        <v>32.142330000000001</v>
      </c>
      <c r="T484" s="79">
        <v>49.96631</v>
      </c>
      <c r="U484" s="79"/>
      <c r="V484" s="79"/>
      <c r="W484" s="79"/>
      <c r="X484" s="79"/>
      <c r="Y484" s="79"/>
      <c r="Z484" s="79">
        <v>29.11054</v>
      </c>
      <c r="AA484" s="79">
        <v>9.8430890000000009</v>
      </c>
      <c r="AB484" s="79"/>
      <c r="AC484" s="79">
        <v>35.559399999999997</v>
      </c>
      <c r="AD484" s="79"/>
      <c r="AE484" s="79"/>
      <c r="AF484" s="79">
        <v>21.711680000000001</v>
      </c>
      <c r="AG484" s="79">
        <v>19.012820000000001</v>
      </c>
      <c r="AH484" s="79"/>
      <c r="AI484" s="79"/>
      <c r="AJ484" s="79">
        <v>20.542300000000001</v>
      </c>
      <c r="AK484" s="79"/>
      <c r="AL484" s="79"/>
      <c r="AM484" s="79">
        <v>25.923210000000001</v>
      </c>
      <c r="AN484" s="79"/>
      <c r="AO484" s="79">
        <v>22.476310000000002</v>
      </c>
      <c r="AP484" s="79"/>
      <c r="AQ484" s="79"/>
      <c r="AR484" s="79"/>
      <c r="AS484" s="79"/>
      <c r="AT484" s="79"/>
      <c r="AU484" s="79"/>
      <c r="AV484" s="79"/>
      <c r="AW484" s="79"/>
      <c r="AX484" s="79"/>
      <c r="AY484" s="79"/>
    </row>
    <row r="485" spans="1:51" x14ac:dyDescent="0.2">
      <c r="A485" t="s">
        <v>1030</v>
      </c>
      <c r="B485" s="1">
        <v>21641</v>
      </c>
      <c r="C485" s="78">
        <v>485</v>
      </c>
      <c r="E485" s="1">
        <f t="shared" si="14"/>
        <v>21641</v>
      </c>
      <c r="F485" s="2">
        <f t="shared" si="15"/>
        <v>21641</v>
      </c>
      <c r="G485" s="78">
        <v>483</v>
      </c>
      <c r="H485" s="79"/>
      <c r="I485" s="79"/>
      <c r="J485" s="79">
        <v>24.252310000000001</v>
      </c>
      <c r="K485" s="79"/>
      <c r="L485" s="79"/>
      <c r="M485" s="79"/>
      <c r="N485" s="79">
        <v>24.386939999999999</v>
      </c>
      <c r="O485" s="79"/>
      <c r="P485" s="79"/>
      <c r="Q485" s="79"/>
      <c r="R485" s="79">
        <v>13.51943</v>
      </c>
      <c r="S485" s="79">
        <v>33.004770000000001</v>
      </c>
      <c r="T485" s="79">
        <v>51.964959999999998</v>
      </c>
      <c r="U485" s="79"/>
      <c r="V485" s="79"/>
      <c r="W485" s="79"/>
      <c r="X485" s="79"/>
      <c r="Y485" s="79"/>
      <c r="Z485" s="79">
        <v>29.148569999999999</v>
      </c>
      <c r="AA485" s="79">
        <v>10.01135</v>
      </c>
      <c r="AB485" s="79"/>
      <c r="AC485" s="79">
        <v>35.63749</v>
      </c>
      <c r="AD485" s="79"/>
      <c r="AE485" s="79"/>
      <c r="AF485" s="79">
        <v>21.711680000000001</v>
      </c>
      <c r="AG485" s="79">
        <v>18.944189999999999</v>
      </c>
      <c r="AH485" s="79"/>
      <c r="AI485" s="79"/>
      <c r="AJ485" s="79">
        <v>20.40832</v>
      </c>
      <c r="AK485" s="79"/>
      <c r="AL485" s="79"/>
      <c r="AM485" s="79">
        <v>25.468419999999998</v>
      </c>
      <c r="AN485" s="79"/>
      <c r="AO485" s="79">
        <v>22.955120000000001</v>
      </c>
      <c r="AP485" s="79"/>
      <c r="AQ485" s="79"/>
      <c r="AR485" s="79"/>
      <c r="AS485" s="79"/>
      <c r="AT485" s="79"/>
      <c r="AU485" s="79"/>
      <c r="AV485" s="79"/>
      <c r="AW485" s="79"/>
      <c r="AX485" s="79"/>
      <c r="AY485" s="79"/>
    </row>
    <row r="486" spans="1:51" x14ac:dyDescent="0.2">
      <c r="A486" t="s">
        <v>1031</v>
      </c>
      <c r="B486" s="1">
        <v>21671</v>
      </c>
      <c r="C486" s="78">
        <v>486</v>
      </c>
      <c r="E486" s="1">
        <f t="shared" si="14"/>
        <v>21671</v>
      </c>
      <c r="F486" s="2">
        <f t="shared" si="15"/>
        <v>21671</v>
      </c>
      <c r="G486" s="78">
        <v>484</v>
      </c>
      <c r="H486" s="79"/>
      <c r="I486" s="79"/>
      <c r="J486" s="79">
        <v>23.971520000000002</v>
      </c>
      <c r="K486" s="79"/>
      <c r="L486" s="79"/>
      <c r="M486" s="79"/>
      <c r="N486" s="79">
        <v>25.39415</v>
      </c>
      <c r="O486" s="79"/>
      <c r="P486" s="79"/>
      <c r="Q486" s="79"/>
      <c r="R486" s="79">
        <v>14.22551</v>
      </c>
      <c r="S486" s="79">
        <v>32.772570000000002</v>
      </c>
      <c r="T486" s="79">
        <v>51.964959999999998</v>
      </c>
      <c r="U486" s="79"/>
      <c r="V486" s="79"/>
      <c r="W486" s="79"/>
      <c r="X486" s="79"/>
      <c r="Y486" s="79"/>
      <c r="Z486" s="79">
        <v>29.186599999999999</v>
      </c>
      <c r="AA486" s="79">
        <v>10.347860000000001</v>
      </c>
      <c r="AB486" s="79"/>
      <c r="AC486" s="79">
        <v>36.964199999999998</v>
      </c>
      <c r="AD486" s="79"/>
      <c r="AE486" s="79"/>
      <c r="AF486" s="79">
        <v>22.28304</v>
      </c>
      <c r="AG486" s="79">
        <v>19.058579999999999</v>
      </c>
      <c r="AH486" s="79"/>
      <c r="AI486" s="79"/>
      <c r="AJ486" s="79">
        <v>20.416730000000001</v>
      </c>
      <c r="AK486" s="79"/>
      <c r="AL486" s="79"/>
      <c r="AM486" s="79">
        <v>25.468419999999998</v>
      </c>
      <c r="AN486" s="79"/>
      <c r="AO486" s="79">
        <v>23.300909999999998</v>
      </c>
      <c r="AP486" s="79"/>
      <c r="AQ486" s="79"/>
      <c r="AR486" s="79"/>
      <c r="AS486" s="79"/>
      <c r="AT486" s="79"/>
      <c r="AU486" s="79"/>
      <c r="AV486" s="79"/>
      <c r="AW486" s="79"/>
      <c r="AX486" s="79"/>
      <c r="AY486" s="79"/>
    </row>
    <row r="487" spans="1:51" x14ac:dyDescent="0.2">
      <c r="A487" t="s">
        <v>1032</v>
      </c>
      <c r="B487" s="1">
        <v>21702</v>
      </c>
      <c r="C487" s="78">
        <v>487</v>
      </c>
      <c r="E487" s="1">
        <f t="shared" si="14"/>
        <v>21702</v>
      </c>
      <c r="F487" s="2">
        <f t="shared" si="15"/>
        <v>21702</v>
      </c>
      <c r="G487" s="78">
        <v>485</v>
      </c>
      <c r="H487" s="79"/>
      <c r="I487" s="79"/>
      <c r="J487" s="79">
        <v>24.333020000000001</v>
      </c>
      <c r="K487" s="79"/>
      <c r="L487" s="79"/>
      <c r="M487" s="79"/>
      <c r="N487" s="79">
        <v>25.264399999999998</v>
      </c>
      <c r="O487" s="79"/>
      <c r="P487" s="79"/>
      <c r="Q487" s="79"/>
      <c r="R487" s="79">
        <v>13.851699999999999</v>
      </c>
      <c r="S487" s="79">
        <v>33.104280000000003</v>
      </c>
      <c r="T487" s="79">
        <v>51.964959999999998</v>
      </c>
      <c r="U487" s="79"/>
      <c r="V487" s="79"/>
      <c r="W487" s="79"/>
      <c r="X487" s="79"/>
      <c r="Y487" s="79"/>
      <c r="Z487" s="79">
        <v>29.015470000000001</v>
      </c>
      <c r="AA487" s="79">
        <v>10.684380000000001</v>
      </c>
      <c r="AB487" s="79"/>
      <c r="AC487" s="79">
        <v>36.401240000000001</v>
      </c>
      <c r="AD487" s="79"/>
      <c r="AE487" s="79"/>
      <c r="AF487" s="79">
        <v>21.99736</v>
      </c>
      <c r="AG487" s="79">
        <v>19.767849999999999</v>
      </c>
      <c r="AH487" s="79"/>
      <c r="AI487" s="79"/>
      <c r="AJ487" s="79">
        <v>21.69473</v>
      </c>
      <c r="AK487" s="79"/>
      <c r="AL487" s="79"/>
      <c r="AM487" s="79">
        <v>25.923210000000001</v>
      </c>
      <c r="AN487" s="79"/>
      <c r="AO487" s="79">
        <v>23.32751</v>
      </c>
      <c r="AP487" s="79"/>
      <c r="AQ487" s="79"/>
      <c r="AR487" s="79"/>
      <c r="AS487" s="79"/>
      <c r="AT487" s="79"/>
      <c r="AU487" s="79"/>
      <c r="AV487" s="79"/>
      <c r="AW487" s="79"/>
      <c r="AX487" s="79"/>
      <c r="AY487" s="79"/>
    </row>
    <row r="488" spans="1:51" x14ac:dyDescent="0.2">
      <c r="A488" t="s">
        <v>1033</v>
      </c>
      <c r="B488" s="1">
        <v>21732</v>
      </c>
      <c r="C488" s="78">
        <v>488</v>
      </c>
      <c r="E488" s="1">
        <f t="shared" si="14"/>
        <v>21732</v>
      </c>
      <c r="F488" s="2">
        <f t="shared" si="15"/>
        <v>21732</v>
      </c>
      <c r="G488" s="78">
        <v>486</v>
      </c>
      <c r="H488" s="79"/>
      <c r="I488" s="79"/>
      <c r="J488" s="79">
        <v>24.21875</v>
      </c>
      <c r="K488" s="79"/>
      <c r="L488" s="79"/>
      <c r="M488" s="79"/>
      <c r="N488" s="79">
        <v>24.901</v>
      </c>
      <c r="O488" s="79"/>
      <c r="P488" s="79"/>
      <c r="Q488" s="79"/>
      <c r="R488" s="79">
        <v>14.03861</v>
      </c>
      <c r="S488" s="79">
        <v>33.071109999999997</v>
      </c>
      <c r="T488" s="79">
        <v>52.46463</v>
      </c>
      <c r="U488" s="79"/>
      <c r="V488" s="79"/>
      <c r="W488" s="79"/>
      <c r="X488" s="79"/>
      <c r="Y488" s="79"/>
      <c r="Z488" s="79">
        <v>29.224620000000002</v>
      </c>
      <c r="AA488" s="79">
        <v>10.768509999999999</v>
      </c>
      <c r="AB488" s="79"/>
      <c r="AC488" s="79">
        <v>36.854179999999999</v>
      </c>
      <c r="AD488" s="79"/>
      <c r="AE488" s="79"/>
      <c r="AF488" s="79">
        <v>22.854399999999998</v>
      </c>
      <c r="AG488" s="79">
        <v>20.1568</v>
      </c>
      <c r="AH488" s="79"/>
      <c r="AI488" s="79"/>
      <c r="AJ488" s="79">
        <v>22.156929999999999</v>
      </c>
      <c r="AK488" s="79"/>
      <c r="AL488" s="79"/>
      <c r="AM488" s="79">
        <v>29.56155</v>
      </c>
      <c r="AN488" s="79"/>
      <c r="AO488" s="79">
        <v>22.768879999999999</v>
      </c>
      <c r="AP488" s="79"/>
      <c r="AQ488" s="79"/>
      <c r="AR488" s="79"/>
      <c r="AS488" s="79"/>
      <c r="AT488" s="79"/>
      <c r="AU488" s="79"/>
      <c r="AV488" s="79"/>
      <c r="AW488" s="79"/>
      <c r="AX488" s="79"/>
      <c r="AY488" s="79"/>
    </row>
    <row r="489" spans="1:51" x14ac:dyDescent="0.2">
      <c r="A489" t="s">
        <v>1034</v>
      </c>
      <c r="B489" s="1">
        <v>21763</v>
      </c>
      <c r="C489" s="78">
        <v>489</v>
      </c>
      <c r="E489" s="1">
        <f t="shared" si="14"/>
        <v>21763</v>
      </c>
      <c r="F489" s="2">
        <f t="shared" si="15"/>
        <v>21763</v>
      </c>
      <c r="G489" s="78">
        <v>487</v>
      </c>
      <c r="H489" s="79"/>
      <c r="I489" s="79"/>
      <c r="J489" s="79">
        <v>24.039239999999999</v>
      </c>
      <c r="K489" s="79"/>
      <c r="L489" s="79"/>
      <c r="M489" s="79"/>
      <c r="N489" s="79">
        <v>26.37444</v>
      </c>
      <c r="O489" s="79"/>
      <c r="P489" s="79"/>
      <c r="Q489" s="79"/>
      <c r="R489" s="79">
        <v>14.267049999999999</v>
      </c>
      <c r="S489" s="79">
        <v>33.071109999999997</v>
      </c>
      <c r="T489" s="79">
        <v>52.46463</v>
      </c>
      <c r="U489" s="79"/>
      <c r="V489" s="79"/>
      <c r="W489" s="79"/>
      <c r="X489" s="79"/>
      <c r="Y489" s="79"/>
      <c r="Z489" s="79">
        <v>30.28941</v>
      </c>
      <c r="AA489" s="79">
        <v>10.936769999999999</v>
      </c>
      <c r="AB489" s="79"/>
      <c r="AC489" s="79">
        <v>36.837299999999999</v>
      </c>
      <c r="AD489" s="79"/>
      <c r="AE489" s="79"/>
      <c r="AF489" s="79">
        <v>22.854399999999998</v>
      </c>
      <c r="AG489" s="79">
        <v>19.53905</v>
      </c>
      <c r="AH489" s="79"/>
      <c r="AI489" s="79"/>
      <c r="AJ489" s="79">
        <v>22.251809999999999</v>
      </c>
      <c r="AK489" s="79"/>
      <c r="AL489" s="79"/>
      <c r="AM489" s="79">
        <v>27.287590000000002</v>
      </c>
      <c r="AN489" s="79"/>
      <c r="AO489" s="79">
        <v>21.997489999999999</v>
      </c>
      <c r="AP489" s="79"/>
      <c r="AQ489" s="79"/>
      <c r="AR489" s="79"/>
      <c r="AS489" s="79"/>
      <c r="AT489" s="79"/>
      <c r="AU489" s="79"/>
      <c r="AV489" s="79"/>
      <c r="AW489" s="79"/>
      <c r="AX489" s="79"/>
      <c r="AY489" s="79"/>
    </row>
    <row r="490" spans="1:51" x14ac:dyDescent="0.2">
      <c r="A490" t="s">
        <v>1035</v>
      </c>
      <c r="B490" s="1">
        <v>21794</v>
      </c>
      <c r="C490" s="78">
        <v>490</v>
      </c>
      <c r="E490" s="1">
        <f t="shared" si="14"/>
        <v>21794</v>
      </c>
      <c r="F490" s="2">
        <f t="shared" si="15"/>
        <v>21794</v>
      </c>
      <c r="G490" s="78">
        <v>488</v>
      </c>
      <c r="H490" s="79"/>
      <c r="I490" s="79"/>
      <c r="J490" s="79">
        <v>24.659479999999999</v>
      </c>
      <c r="K490" s="79"/>
      <c r="L490" s="79"/>
      <c r="M490" s="79"/>
      <c r="N490" s="79">
        <v>26.004439999999999</v>
      </c>
      <c r="O490" s="79"/>
      <c r="P490" s="79"/>
      <c r="Q490" s="79"/>
      <c r="R490" s="79">
        <v>14.39165</v>
      </c>
      <c r="S490" s="79">
        <v>33.701349999999998</v>
      </c>
      <c r="T490" s="79">
        <v>53.463949999999997</v>
      </c>
      <c r="U490" s="79"/>
      <c r="V490" s="79"/>
      <c r="W490" s="79"/>
      <c r="X490" s="79"/>
      <c r="Y490" s="79"/>
      <c r="Z490" s="79">
        <v>30.954899999999999</v>
      </c>
      <c r="AA490" s="79">
        <v>11.18915</v>
      </c>
      <c r="AB490" s="79"/>
      <c r="AC490" s="79">
        <v>36.656370000000003</v>
      </c>
      <c r="AD490" s="79"/>
      <c r="AE490" s="79"/>
      <c r="AF490" s="79">
        <v>23.140080000000001</v>
      </c>
      <c r="AG490" s="79">
        <v>19.744969999999999</v>
      </c>
      <c r="AH490" s="79"/>
      <c r="AI490" s="79"/>
      <c r="AJ490" s="79">
        <v>22.358080000000001</v>
      </c>
      <c r="AK490" s="79"/>
      <c r="AL490" s="79"/>
      <c r="AM490" s="79">
        <v>26.832799999999999</v>
      </c>
      <c r="AN490" s="79"/>
      <c r="AO490" s="79">
        <v>21.970980000000001</v>
      </c>
      <c r="AP490" s="79"/>
      <c r="AQ490" s="79"/>
      <c r="AR490" s="79"/>
      <c r="AS490" s="79"/>
      <c r="AT490" s="79"/>
      <c r="AU490" s="79"/>
      <c r="AV490" s="79"/>
      <c r="AW490" s="79"/>
      <c r="AX490" s="79"/>
      <c r="AY490" s="79"/>
    </row>
    <row r="491" spans="1:51" x14ac:dyDescent="0.2">
      <c r="A491" t="s">
        <v>1036</v>
      </c>
      <c r="B491" s="1">
        <v>21824</v>
      </c>
      <c r="C491" s="78">
        <v>491</v>
      </c>
      <c r="E491" s="1">
        <f t="shared" si="14"/>
        <v>21824</v>
      </c>
      <c r="F491" s="2">
        <f t="shared" si="15"/>
        <v>21824</v>
      </c>
      <c r="G491" s="78">
        <v>489</v>
      </c>
      <c r="H491" s="79"/>
      <c r="I491" s="79"/>
      <c r="J491" s="79">
        <v>24.90663</v>
      </c>
      <c r="K491" s="79"/>
      <c r="L491" s="79"/>
      <c r="M491" s="79"/>
      <c r="N491" s="79">
        <v>26.98293</v>
      </c>
      <c r="O491" s="79"/>
      <c r="P491" s="79"/>
      <c r="Q491" s="79"/>
      <c r="R491" s="79">
        <v>14.599320000000001</v>
      </c>
      <c r="S491" s="79">
        <v>34.232080000000003</v>
      </c>
      <c r="T491" s="79">
        <v>54.463279999999997</v>
      </c>
      <c r="U491" s="79"/>
      <c r="V491" s="79"/>
      <c r="W491" s="79"/>
      <c r="X491" s="79"/>
      <c r="Y491" s="79"/>
      <c r="Z491" s="79">
        <v>31.506309999999999</v>
      </c>
      <c r="AA491" s="79">
        <v>11.44154</v>
      </c>
      <c r="AB491" s="79"/>
      <c r="AC491" s="79">
        <v>37.152239999999999</v>
      </c>
      <c r="AD491" s="79"/>
      <c r="AE491" s="79"/>
      <c r="AF491" s="79">
        <v>23.42576</v>
      </c>
      <c r="AG491" s="79">
        <v>19.90512</v>
      </c>
      <c r="AH491" s="79"/>
      <c r="AI491" s="79"/>
      <c r="AJ491" s="79">
        <v>23.028939999999999</v>
      </c>
      <c r="AK491" s="79"/>
      <c r="AL491" s="79"/>
      <c r="AM491" s="79">
        <v>27.287590000000002</v>
      </c>
      <c r="AN491" s="79"/>
      <c r="AO491" s="79">
        <v>21.811350000000001</v>
      </c>
      <c r="AP491" s="79"/>
      <c r="AQ491" s="79"/>
      <c r="AR491" s="79"/>
      <c r="AS491" s="79"/>
      <c r="AT491" s="79"/>
      <c r="AU491" s="79"/>
      <c r="AV491" s="79"/>
      <c r="AW491" s="79"/>
      <c r="AX491" s="79"/>
      <c r="AY491" s="79"/>
    </row>
    <row r="492" spans="1:51" x14ac:dyDescent="0.2">
      <c r="A492" t="s">
        <v>1037</v>
      </c>
      <c r="B492" s="1">
        <v>21855</v>
      </c>
      <c r="C492" s="78">
        <v>492</v>
      </c>
      <c r="E492" s="1">
        <f t="shared" si="14"/>
        <v>21855</v>
      </c>
      <c r="F492" s="2">
        <f t="shared" si="15"/>
        <v>21855</v>
      </c>
      <c r="G492" s="78">
        <v>490</v>
      </c>
      <c r="H492" s="79"/>
      <c r="I492" s="79"/>
      <c r="J492" s="79">
        <v>25.805499999999999</v>
      </c>
      <c r="K492" s="79"/>
      <c r="L492" s="79"/>
      <c r="M492" s="79"/>
      <c r="N492" s="79">
        <v>26.722460000000002</v>
      </c>
      <c r="O492" s="79"/>
      <c r="P492" s="79"/>
      <c r="Q492" s="79"/>
      <c r="R492" s="79">
        <v>14.72392</v>
      </c>
      <c r="S492" s="79">
        <v>34.464280000000002</v>
      </c>
      <c r="T492" s="79">
        <v>54.962940000000003</v>
      </c>
      <c r="U492" s="79"/>
      <c r="V492" s="79"/>
      <c r="W492" s="79"/>
      <c r="X492" s="79"/>
      <c r="Y492" s="79"/>
      <c r="Z492" s="79">
        <v>32.26688</v>
      </c>
      <c r="AA492" s="79">
        <v>11.6098</v>
      </c>
      <c r="AB492" s="79"/>
      <c r="AC492" s="79">
        <v>39.038350000000001</v>
      </c>
      <c r="AD492" s="79"/>
      <c r="AE492" s="79"/>
      <c r="AF492" s="79">
        <v>23.42576</v>
      </c>
      <c r="AG492" s="79">
        <v>19.699210000000001</v>
      </c>
      <c r="AH492" s="79"/>
      <c r="AI492" s="79"/>
      <c r="AJ492" s="79">
        <v>22.554490000000001</v>
      </c>
      <c r="AK492" s="79"/>
      <c r="AL492" s="79"/>
      <c r="AM492" s="79">
        <v>27.287590000000002</v>
      </c>
      <c r="AN492" s="79"/>
      <c r="AO492" s="79">
        <v>21.944379999999999</v>
      </c>
      <c r="AP492" s="79"/>
      <c r="AQ492" s="79"/>
      <c r="AR492" s="79"/>
      <c r="AS492" s="79"/>
      <c r="AT492" s="79"/>
      <c r="AU492" s="79"/>
      <c r="AV492" s="79"/>
      <c r="AW492" s="79"/>
      <c r="AX492" s="79"/>
      <c r="AY492" s="79"/>
    </row>
    <row r="493" spans="1:51" x14ac:dyDescent="0.2">
      <c r="A493" t="s">
        <v>1038</v>
      </c>
      <c r="B493" s="1">
        <v>21885</v>
      </c>
      <c r="C493" s="78">
        <v>493</v>
      </c>
      <c r="E493" s="1">
        <f t="shared" si="14"/>
        <v>21885</v>
      </c>
      <c r="F493" s="2">
        <f t="shared" si="15"/>
        <v>21885</v>
      </c>
      <c r="G493" s="78">
        <v>491</v>
      </c>
      <c r="H493" s="79"/>
      <c r="I493" s="79"/>
      <c r="J493" s="79">
        <v>25.261199999999999</v>
      </c>
      <c r="K493" s="79"/>
      <c r="L493" s="79"/>
      <c r="M493" s="79"/>
      <c r="N493" s="79">
        <v>26.833159999999999</v>
      </c>
      <c r="O493" s="79"/>
      <c r="P493" s="79"/>
      <c r="Q493" s="79"/>
      <c r="R493" s="79">
        <v>14.93159</v>
      </c>
      <c r="S493" s="79">
        <v>34.729640000000003</v>
      </c>
      <c r="T493" s="79">
        <v>55.462600000000002</v>
      </c>
      <c r="U493" s="79"/>
      <c r="V493" s="79"/>
      <c r="W493" s="79"/>
      <c r="X493" s="79"/>
      <c r="Y493" s="79"/>
      <c r="Z493" s="79">
        <v>32.666170000000001</v>
      </c>
      <c r="AA493" s="79">
        <v>12.114570000000001</v>
      </c>
      <c r="AB493" s="79"/>
      <c r="AC493" s="79">
        <v>40.188510000000001</v>
      </c>
      <c r="AD493" s="79"/>
      <c r="AE493" s="79"/>
      <c r="AF493" s="79">
        <v>23.42576</v>
      </c>
      <c r="AG493" s="79">
        <v>20.225439999999999</v>
      </c>
      <c r="AH493" s="79"/>
      <c r="AI493" s="79"/>
      <c r="AJ493" s="79">
        <v>22.969940000000001</v>
      </c>
      <c r="AK493" s="79"/>
      <c r="AL493" s="79"/>
      <c r="AM493" s="79">
        <v>27.742380000000001</v>
      </c>
      <c r="AN493" s="79"/>
      <c r="AO493" s="79">
        <v>23.300909999999998</v>
      </c>
      <c r="AP493" s="79"/>
      <c r="AQ493" s="79"/>
      <c r="AR493" s="79"/>
      <c r="AS493" s="79"/>
      <c r="AT493" s="79"/>
      <c r="AU493" s="79"/>
      <c r="AV493" s="79"/>
      <c r="AW493" s="79"/>
      <c r="AX493" s="79"/>
      <c r="AY493" s="79"/>
    </row>
    <row r="494" spans="1:51" x14ac:dyDescent="0.2">
      <c r="A494" t="s">
        <v>1039</v>
      </c>
      <c r="B494" s="1">
        <v>21916</v>
      </c>
      <c r="C494" s="78">
        <v>494</v>
      </c>
      <c r="E494" s="1">
        <f t="shared" si="14"/>
        <v>21916</v>
      </c>
      <c r="F494" s="2">
        <f t="shared" si="15"/>
        <v>21916</v>
      </c>
      <c r="G494" s="78">
        <v>492</v>
      </c>
      <c r="H494" s="79"/>
      <c r="I494" s="79"/>
      <c r="J494" s="79">
        <v>25.19021</v>
      </c>
      <c r="K494" s="79"/>
      <c r="L494" s="79"/>
      <c r="M494" s="79"/>
      <c r="N494" s="79">
        <v>27.272770000000001</v>
      </c>
      <c r="O494" s="79"/>
      <c r="P494" s="79"/>
      <c r="Q494" s="79"/>
      <c r="R494" s="79">
        <v>15.014659999999999</v>
      </c>
      <c r="S494" s="79">
        <v>34.928660000000001</v>
      </c>
      <c r="T494" s="79">
        <v>55.962269999999997</v>
      </c>
      <c r="U494" s="79"/>
      <c r="V494" s="79"/>
      <c r="W494" s="79"/>
      <c r="X494" s="79"/>
      <c r="Y494" s="79"/>
      <c r="Z494" s="79">
        <v>32.55209</v>
      </c>
      <c r="AA494" s="79">
        <v>12.114570000000001</v>
      </c>
      <c r="AB494" s="79"/>
      <c r="AC494" s="79">
        <v>40.256219999999999</v>
      </c>
      <c r="AD494" s="79"/>
      <c r="AE494" s="79"/>
      <c r="AF494" s="79">
        <v>23.71144</v>
      </c>
      <c r="AG494" s="79">
        <v>20.637260000000001</v>
      </c>
      <c r="AH494" s="79"/>
      <c r="AI494" s="79"/>
      <c r="AJ494" s="79">
        <v>20.945930000000001</v>
      </c>
      <c r="AK494" s="79"/>
      <c r="AL494" s="79"/>
      <c r="AM494" s="79">
        <v>27.742380000000001</v>
      </c>
      <c r="AN494" s="79"/>
      <c r="AO494" s="79">
        <v>23.912649999999999</v>
      </c>
      <c r="AP494" s="79"/>
      <c r="AQ494" s="79"/>
      <c r="AR494" s="79"/>
      <c r="AS494" s="79"/>
      <c r="AT494" s="79"/>
      <c r="AU494" s="79"/>
      <c r="AV494" s="79"/>
      <c r="AW494" s="79"/>
      <c r="AX494" s="79"/>
      <c r="AY494" s="79"/>
    </row>
    <row r="495" spans="1:51" x14ac:dyDescent="0.2">
      <c r="A495" t="s">
        <v>1040</v>
      </c>
      <c r="B495" s="1">
        <v>21947</v>
      </c>
      <c r="C495" s="78">
        <v>495</v>
      </c>
      <c r="E495" s="1">
        <f t="shared" si="14"/>
        <v>21947</v>
      </c>
      <c r="F495" s="2">
        <f t="shared" si="15"/>
        <v>21947</v>
      </c>
      <c r="G495" s="78">
        <v>493</v>
      </c>
      <c r="H495" s="79"/>
      <c r="I495" s="79"/>
      <c r="J495" s="79">
        <v>26.121189999999999</v>
      </c>
      <c r="K495" s="79"/>
      <c r="L495" s="79"/>
      <c r="M495" s="79"/>
      <c r="N495" s="79">
        <v>27.114419999999999</v>
      </c>
      <c r="O495" s="79"/>
      <c r="P495" s="79"/>
      <c r="Q495" s="79"/>
      <c r="R495" s="79">
        <v>15.076969999999999</v>
      </c>
      <c r="S495" s="79">
        <v>35.194029999999998</v>
      </c>
      <c r="T495" s="79">
        <v>55.962269999999997</v>
      </c>
      <c r="U495" s="79"/>
      <c r="V495" s="79"/>
      <c r="W495" s="79"/>
      <c r="X495" s="79"/>
      <c r="Y495" s="79"/>
      <c r="Z495" s="79">
        <v>33.445749999999997</v>
      </c>
      <c r="AA495" s="79">
        <v>12.703469999999999</v>
      </c>
      <c r="AB495" s="79"/>
      <c r="AC495" s="79">
        <v>39.914299999999997</v>
      </c>
      <c r="AD495" s="79"/>
      <c r="AE495" s="79"/>
      <c r="AF495" s="79">
        <v>23.71144</v>
      </c>
      <c r="AG495" s="79">
        <v>20.454229999999999</v>
      </c>
      <c r="AH495" s="79"/>
      <c r="AI495" s="79"/>
      <c r="AJ495" s="79">
        <v>22.734290000000001</v>
      </c>
      <c r="AK495" s="79"/>
      <c r="AL495" s="79"/>
      <c r="AM495" s="79">
        <v>27.742380000000001</v>
      </c>
      <c r="AN495" s="79"/>
      <c r="AO495" s="79">
        <v>23.6999</v>
      </c>
      <c r="AP495" s="79"/>
      <c r="AQ495" s="79"/>
      <c r="AR495" s="79"/>
      <c r="AS495" s="79"/>
      <c r="AT495" s="79"/>
      <c r="AU495" s="79"/>
      <c r="AV495" s="79"/>
      <c r="AW495" s="79"/>
      <c r="AX495" s="79"/>
      <c r="AY495" s="79"/>
    </row>
    <row r="496" spans="1:51" x14ac:dyDescent="0.2">
      <c r="A496" t="s">
        <v>1041</v>
      </c>
      <c r="B496" s="1">
        <v>21976</v>
      </c>
      <c r="C496" s="78">
        <v>496</v>
      </c>
      <c r="E496" s="1">
        <f t="shared" si="14"/>
        <v>21976</v>
      </c>
      <c r="F496" s="2">
        <f t="shared" si="15"/>
        <v>21976</v>
      </c>
      <c r="G496" s="78">
        <v>494</v>
      </c>
      <c r="H496" s="79"/>
      <c r="I496" s="79"/>
      <c r="J496" s="79">
        <v>25.590890000000002</v>
      </c>
      <c r="K496" s="79"/>
      <c r="L496" s="79"/>
      <c r="M496" s="79"/>
      <c r="N496" s="79">
        <v>27.49915</v>
      </c>
      <c r="O496" s="79"/>
      <c r="P496" s="79"/>
      <c r="Q496" s="79"/>
      <c r="R496" s="79">
        <v>15.38847</v>
      </c>
      <c r="S496" s="79">
        <v>35.194029999999998</v>
      </c>
      <c r="T496" s="79">
        <v>56.461930000000002</v>
      </c>
      <c r="U496" s="79"/>
      <c r="V496" s="79"/>
      <c r="W496" s="79"/>
      <c r="X496" s="79"/>
      <c r="Y496" s="79"/>
      <c r="Z496" s="79">
        <v>33.959130000000002</v>
      </c>
      <c r="AA496" s="79">
        <v>12.703469999999999</v>
      </c>
      <c r="AB496" s="79"/>
      <c r="AC496" s="79">
        <v>40.029380000000003</v>
      </c>
      <c r="AD496" s="79"/>
      <c r="AE496" s="79"/>
      <c r="AF496" s="79">
        <v>23.997119999999999</v>
      </c>
      <c r="AG496" s="79">
        <v>20.72878</v>
      </c>
      <c r="AH496" s="79"/>
      <c r="AI496" s="79"/>
      <c r="AJ496" s="79">
        <v>22.616330000000001</v>
      </c>
      <c r="AK496" s="79"/>
      <c r="AL496" s="79"/>
      <c r="AM496" s="79">
        <v>27.742380000000001</v>
      </c>
      <c r="AN496" s="79"/>
      <c r="AO496" s="79">
        <v>23.48715</v>
      </c>
      <c r="AP496" s="79"/>
      <c r="AQ496" s="79"/>
      <c r="AR496" s="79"/>
      <c r="AS496" s="79"/>
      <c r="AT496" s="79"/>
      <c r="AU496" s="79"/>
      <c r="AV496" s="79"/>
      <c r="AW496" s="79"/>
      <c r="AX496" s="79"/>
      <c r="AY496" s="79"/>
    </row>
    <row r="497" spans="1:51" x14ac:dyDescent="0.2">
      <c r="A497" t="s">
        <v>1042</v>
      </c>
      <c r="B497" s="1">
        <v>22007</v>
      </c>
      <c r="C497" s="78">
        <v>497</v>
      </c>
      <c r="E497" s="1">
        <f t="shared" si="14"/>
        <v>22007</v>
      </c>
      <c r="F497" s="2">
        <f t="shared" si="15"/>
        <v>22007</v>
      </c>
      <c r="G497" s="78">
        <v>495</v>
      </c>
      <c r="H497" s="79"/>
      <c r="I497" s="79"/>
      <c r="J497" s="79">
        <v>25.79383</v>
      </c>
      <c r="K497" s="79"/>
      <c r="L497" s="79"/>
      <c r="M497" s="79"/>
      <c r="N497" s="79">
        <v>28.118189999999998</v>
      </c>
      <c r="O497" s="79"/>
      <c r="P497" s="79"/>
      <c r="Q497" s="79"/>
      <c r="R497" s="79">
        <v>15.616910000000001</v>
      </c>
      <c r="S497" s="79">
        <v>35.592080000000003</v>
      </c>
      <c r="T497" s="79">
        <v>55.962269999999997</v>
      </c>
      <c r="U497" s="79"/>
      <c r="V497" s="79"/>
      <c r="W497" s="79"/>
      <c r="X497" s="79"/>
      <c r="Y497" s="79"/>
      <c r="Z497" s="79">
        <v>34.016170000000002</v>
      </c>
      <c r="AA497" s="79">
        <v>12.955859999999999</v>
      </c>
      <c r="AB497" s="79"/>
      <c r="AC497" s="79">
        <v>39.668709999999997</v>
      </c>
      <c r="AD497" s="79"/>
      <c r="AE497" s="79"/>
      <c r="AF497" s="79">
        <v>24.568480000000001</v>
      </c>
      <c r="AG497" s="79">
        <v>20.774539999999998</v>
      </c>
      <c r="AH497" s="79"/>
      <c r="AI497" s="79"/>
      <c r="AJ497" s="79">
        <v>22.911010000000001</v>
      </c>
      <c r="AK497" s="79"/>
      <c r="AL497" s="79"/>
      <c r="AM497" s="79">
        <v>27.742380000000001</v>
      </c>
      <c r="AN497" s="79"/>
      <c r="AO497" s="79">
        <v>23.300909999999998</v>
      </c>
      <c r="AP497" s="79"/>
      <c r="AQ497" s="79"/>
      <c r="AR497" s="79"/>
      <c r="AS497" s="79"/>
      <c r="AT497" s="79"/>
      <c r="AU497" s="79"/>
      <c r="AV497" s="79"/>
      <c r="AW497" s="79"/>
      <c r="AX497" s="79"/>
      <c r="AY497" s="79"/>
    </row>
    <row r="498" spans="1:51" x14ac:dyDescent="0.2">
      <c r="A498" t="s">
        <v>1043</v>
      </c>
      <c r="B498" s="1">
        <v>22037</v>
      </c>
      <c r="C498" s="78">
        <v>498</v>
      </c>
      <c r="E498" s="1">
        <f t="shared" si="14"/>
        <v>22037</v>
      </c>
      <c r="F498" s="2">
        <f t="shared" si="15"/>
        <v>22037</v>
      </c>
      <c r="G498" s="78">
        <v>496</v>
      </c>
      <c r="H498" s="79"/>
      <c r="I498" s="79"/>
      <c r="J498" s="79">
        <v>25.840730000000001</v>
      </c>
      <c r="K498" s="79"/>
      <c r="L498" s="79"/>
      <c r="M498" s="79"/>
      <c r="N498" s="79">
        <v>27.76736</v>
      </c>
      <c r="O498" s="79"/>
      <c r="P498" s="79"/>
      <c r="Q498" s="79"/>
      <c r="R498" s="79">
        <v>15.65845</v>
      </c>
      <c r="S498" s="79">
        <v>35.492559999999997</v>
      </c>
      <c r="T498" s="79">
        <v>56.461930000000002</v>
      </c>
      <c r="U498" s="79"/>
      <c r="V498" s="79"/>
      <c r="W498" s="79"/>
      <c r="X498" s="79"/>
      <c r="Y498" s="79"/>
      <c r="Z498" s="79">
        <v>34.47251</v>
      </c>
      <c r="AA498" s="79">
        <v>13.03999</v>
      </c>
      <c r="AB498" s="79"/>
      <c r="AC498" s="79">
        <v>39.432510000000001</v>
      </c>
      <c r="AD498" s="79"/>
      <c r="AE498" s="79"/>
      <c r="AF498" s="79">
        <v>24.568480000000001</v>
      </c>
      <c r="AG498" s="79">
        <v>22.032910000000001</v>
      </c>
      <c r="AH498" s="79"/>
      <c r="AI498" s="79"/>
      <c r="AJ498" s="79">
        <v>22.10576</v>
      </c>
      <c r="AK498" s="79"/>
      <c r="AL498" s="79"/>
      <c r="AM498" s="79">
        <v>27.287590000000002</v>
      </c>
      <c r="AN498" s="79"/>
      <c r="AO498" s="79">
        <v>23.2743</v>
      </c>
      <c r="AP498" s="79"/>
      <c r="AQ498" s="79"/>
      <c r="AR498" s="79"/>
      <c r="AS498" s="79"/>
      <c r="AT498" s="79"/>
      <c r="AU498" s="79"/>
      <c r="AV498" s="79"/>
      <c r="AW498" s="79"/>
      <c r="AX498" s="79"/>
      <c r="AY498" s="79"/>
    </row>
    <row r="499" spans="1:51" x14ac:dyDescent="0.2">
      <c r="A499" t="s">
        <v>1044</v>
      </c>
      <c r="B499" s="1">
        <v>22068</v>
      </c>
      <c r="C499" s="78">
        <v>499</v>
      </c>
      <c r="E499" s="1">
        <f t="shared" si="14"/>
        <v>22068</v>
      </c>
      <c r="F499" s="2">
        <f t="shared" si="15"/>
        <v>22068</v>
      </c>
      <c r="G499" s="78">
        <v>497</v>
      </c>
      <c r="H499" s="79"/>
      <c r="I499" s="79"/>
      <c r="J499" s="79">
        <v>25.703659999999999</v>
      </c>
      <c r="K499" s="79"/>
      <c r="L499" s="79"/>
      <c r="M499" s="79"/>
      <c r="N499" s="79">
        <v>27.91236</v>
      </c>
      <c r="O499" s="79"/>
      <c r="P499" s="79"/>
      <c r="Q499" s="79"/>
      <c r="R499" s="79">
        <v>16.011489999999998</v>
      </c>
      <c r="S499" s="79">
        <v>36.023290000000003</v>
      </c>
      <c r="T499" s="79">
        <v>55.962269999999997</v>
      </c>
      <c r="U499" s="79"/>
      <c r="V499" s="79"/>
      <c r="W499" s="79"/>
      <c r="X499" s="79"/>
      <c r="Y499" s="79"/>
      <c r="Z499" s="79">
        <v>35.252079999999999</v>
      </c>
      <c r="AA499" s="79">
        <v>13.03999</v>
      </c>
      <c r="AB499" s="79"/>
      <c r="AC499" s="79">
        <v>39.811579999999999</v>
      </c>
      <c r="AD499" s="79"/>
      <c r="AE499" s="79"/>
      <c r="AF499" s="79">
        <v>24.85416</v>
      </c>
      <c r="AG499" s="79">
        <v>21.232130000000002</v>
      </c>
      <c r="AH499" s="79"/>
      <c r="AI499" s="79"/>
      <c r="AJ499" s="79">
        <v>23.056989999999999</v>
      </c>
      <c r="AK499" s="79"/>
      <c r="AL499" s="79"/>
      <c r="AM499" s="79">
        <v>28.19717</v>
      </c>
      <c r="AN499" s="79"/>
      <c r="AO499" s="79">
        <v>22.981729999999999</v>
      </c>
      <c r="AP499" s="79"/>
      <c r="AQ499" s="79"/>
      <c r="AR499" s="79"/>
      <c r="AS499" s="79"/>
      <c r="AT499" s="79"/>
      <c r="AU499" s="79"/>
      <c r="AV499" s="79"/>
      <c r="AW499" s="79"/>
      <c r="AX499" s="79"/>
      <c r="AY499" s="79"/>
    </row>
    <row r="500" spans="1:51" x14ac:dyDescent="0.2">
      <c r="A500" t="s">
        <v>1045</v>
      </c>
      <c r="B500" s="1">
        <v>22098</v>
      </c>
      <c r="C500" s="78">
        <v>500</v>
      </c>
      <c r="E500" s="1">
        <f t="shared" si="14"/>
        <v>22098</v>
      </c>
      <c r="F500" s="2">
        <f t="shared" si="15"/>
        <v>22098</v>
      </c>
      <c r="G500" s="78">
        <v>498</v>
      </c>
      <c r="H500" s="79"/>
      <c r="I500" s="79"/>
      <c r="J500" s="79">
        <v>26.505700000000001</v>
      </c>
      <c r="K500" s="79"/>
      <c r="L500" s="79"/>
      <c r="M500" s="79"/>
      <c r="N500" s="79">
        <v>28.94061</v>
      </c>
      <c r="O500" s="79"/>
      <c r="P500" s="79"/>
      <c r="Q500" s="79"/>
      <c r="R500" s="79">
        <v>16.094560000000001</v>
      </c>
      <c r="S500" s="79">
        <v>36.321829999999999</v>
      </c>
      <c r="T500" s="79">
        <v>55.962269999999997</v>
      </c>
      <c r="U500" s="79"/>
      <c r="V500" s="79"/>
      <c r="W500" s="79"/>
      <c r="X500" s="79"/>
      <c r="Y500" s="79"/>
      <c r="Z500" s="79">
        <v>35.15701</v>
      </c>
      <c r="AA500" s="79">
        <v>13.37651</v>
      </c>
      <c r="AB500" s="79"/>
      <c r="AC500" s="79">
        <v>40.314160000000001</v>
      </c>
      <c r="AD500" s="79"/>
      <c r="AE500" s="79"/>
      <c r="AF500" s="79">
        <v>24.568480000000001</v>
      </c>
      <c r="AG500" s="79">
        <v>21.621079999999999</v>
      </c>
      <c r="AH500" s="79"/>
      <c r="AI500" s="79"/>
      <c r="AJ500" s="79">
        <v>23.346959999999999</v>
      </c>
      <c r="AK500" s="79"/>
      <c r="AL500" s="79"/>
      <c r="AM500" s="79">
        <v>30.925930000000001</v>
      </c>
      <c r="AN500" s="79"/>
      <c r="AO500" s="79">
        <v>22.901910000000001</v>
      </c>
      <c r="AP500" s="79"/>
      <c r="AQ500" s="79"/>
      <c r="AR500" s="79"/>
      <c r="AS500" s="79"/>
      <c r="AT500" s="79"/>
      <c r="AU500" s="79"/>
      <c r="AV500" s="79"/>
      <c r="AW500" s="79"/>
      <c r="AX500" s="79"/>
      <c r="AY500" s="79"/>
    </row>
    <row r="501" spans="1:51" x14ac:dyDescent="0.2">
      <c r="A501" t="s">
        <v>1046</v>
      </c>
      <c r="B501" s="1">
        <v>22129</v>
      </c>
      <c r="C501" s="78">
        <v>501</v>
      </c>
      <c r="E501" s="1">
        <f t="shared" si="14"/>
        <v>22129</v>
      </c>
      <c r="F501" s="2">
        <f t="shared" si="15"/>
        <v>22129</v>
      </c>
      <c r="G501" s="78">
        <v>499</v>
      </c>
      <c r="H501" s="79"/>
      <c r="I501" s="79"/>
      <c r="J501" s="79">
        <v>26.470050000000001</v>
      </c>
      <c r="K501" s="79"/>
      <c r="L501" s="79"/>
      <c r="M501" s="79"/>
      <c r="N501" s="79">
        <v>28.383749999999999</v>
      </c>
      <c r="O501" s="79"/>
      <c r="P501" s="79"/>
      <c r="Q501" s="79"/>
      <c r="R501" s="79">
        <v>15.40924</v>
      </c>
      <c r="S501" s="79">
        <v>36.321829999999999</v>
      </c>
      <c r="T501" s="79">
        <v>56.461930000000002</v>
      </c>
      <c r="U501" s="79"/>
      <c r="V501" s="79"/>
      <c r="W501" s="79"/>
      <c r="X501" s="79"/>
      <c r="Y501" s="79"/>
      <c r="Z501" s="79">
        <v>35.309130000000003</v>
      </c>
      <c r="AA501" s="79">
        <v>13.54476</v>
      </c>
      <c r="AB501" s="79"/>
      <c r="AC501" s="79">
        <v>40.242870000000003</v>
      </c>
      <c r="AD501" s="79"/>
      <c r="AE501" s="79"/>
      <c r="AF501" s="79">
        <v>24.85416</v>
      </c>
      <c r="AG501" s="79">
        <v>21.621079999999999</v>
      </c>
      <c r="AH501" s="79"/>
      <c r="AI501" s="79"/>
      <c r="AJ501" s="79">
        <v>23.818560000000002</v>
      </c>
      <c r="AK501" s="79"/>
      <c r="AL501" s="79"/>
      <c r="AM501" s="79">
        <v>29.106760000000001</v>
      </c>
      <c r="AN501" s="79"/>
      <c r="AO501" s="79">
        <v>22.875299999999999</v>
      </c>
      <c r="AP501" s="79"/>
      <c r="AQ501" s="79"/>
      <c r="AR501" s="79"/>
      <c r="AS501" s="79"/>
      <c r="AT501" s="79"/>
      <c r="AU501" s="79"/>
      <c r="AV501" s="79"/>
      <c r="AW501" s="79"/>
      <c r="AX501" s="79"/>
      <c r="AY501" s="79"/>
    </row>
    <row r="502" spans="1:51" x14ac:dyDescent="0.2">
      <c r="A502" t="s">
        <v>1047</v>
      </c>
      <c r="B502" s="1">
        <v>22160</v>
      </c>
      <c r="C502" s="78">
        <v>502</v>
      </c>
      <c r="E502" s="1">
        <f t="shared" si="14"/>
        <v>22160</v>
      </c>
      <c r="F502" s="2">
        <f t="shared" si="15"/>
        <v>22160</v>
      </c>
      <c r="G502" s="78">
        <v>500</v>
      </c>
      <c r="H502" s="79"/>
      <c r="I502" s="79"/>
      <c r="J502" s="79">
        <v>26.47972</v>
      </c>
      <c r="K502" s="79"/>
      <c r="L502" s="79"/>
      <c r="M502" s="79"/>
      <c r="N502" s="79">
        <v>28.87144</v>
      </c>
      <c r="O502" s="79"/>
      <c r="P502" s="79"/>
      <c r="Q502" s="79"/>
      <c r="R502" s="79">
        <v>16.05302</v>
      </c>
      <c r="S502" s="79">
        <v>37.21743</v>
      </c>
      <c r="T502" s="79">
        <v>56.461930000000002</v>
      </c>
      <c r="U502" s="79"/>
      <c r="V502" s="79"/>
      <c r="W502" s="79"/>
      <c r="X502" s="79"/>
      <c r="Y502" s="79"/>
      <c r="Z502" s="79">
        <v>35.765459999999997</v>
      </c>
      <c r="AA502" s="79">
        <v>13.79715</v>
      </c>
      <c r="AB502" s="79"/>
      <c r="AC502" s="79">
        <v>40.223619999999997</v>
      </c>
      <c r="AD502" s="79"/>
      <c r="AE502" s="79"/>
      <c r="AF502" s="79">
        <v>25.13984</v>
      </c>
      <c r="AG502" s="79">
        <v>21.598199999999999</v>
      </c>
      <c r="AH502" s="79"/>
      <c r="AI502" s="79"/>
      <c r="AJ502" s="79">
        <v>23.856539999999999</v>
      </c>
      <c r="AK502" s="79"/>
      <c r="AL502" s="79"/>
      <c r="AM502" s="79">
        <v>28.19717</v>
      </c>
      <c r="AN502" s="79"/>
      <c r="AO502" s="79">
        <v>22.635940000000002</v>
      </c>
      <c r="AP502" s="79"/>
      <c r="AQ502" s="79"/>
      <c r="AR502" s="79"/>
      <c r="AS502" s="79"/>
      <c r="AT502" s="79"/>
      <c r="AU502" s="79"/>
      <c r="AV502" s="79"/>
      <c r="AW502" s="79"/>
      <c r="AX502" s="79"/>
      <c r="AY502" s="79"/>
    </row>
    <row r="503" spans="1:51" x14ac:dyDescent="0.2">
      <c r="A503" t="s">
        <v>1048</v>
      </c>
      <c r="B503" s="1">
        <v>22190</v>
      </c>
      <c r="C503" s="78">
        <v>503</v>
      </c>
      <c r="E503" s="1">
        <f t="shared" si="14"/>
        <v>22190</v>
      </c>
      <c r="F503" s="2">
        <f t="shared" si="15"/>
        <v>22190</v>
      </c>
      <c r="G503" s="78">
        <v>501</v>
      </c>
      <c r="H503" s="79"/>
      <c r="I503" s="79"/>
      <c r="J503" s="79">
        <v>27.129259999999999</v>
      </c>
      <c r="K503" s="79"/>
      <c r="L503" s="79"/>
      <c r="M503" s="79"/>
      <c r="N503" s="79">
        <v>29.489560000000001</v>
      </c>
      <c r="O503" s="79"/>
      <c r="P503" s="79"/>
      <c r="Q503" s="79"/>
      <c r="R503" s="79">
        <v>16.177630000000001</v>
      </c>
      <c r="S503" s="79">
        <v>36.952069999999999</v>
      </c>
      <c r="T503" s="79">
        <v>56.961590000000001</v>
      </c>
      <c r="U503" s="79"/>
      <c r="V503" s="79"/>
      <c r="W503" s="79"/>
      <c r="X503" s="79"/>
      <c r="Y503" s="79"/>
      <c r="Z503" s="79">
        <v>35.328139999999998</v>
      </c>
      <c r="AA503" s="79">
        <v>13.96541</v>
      </c>
      <c r="AB503" s="79"/>
      <c r="AC503" s="79">
        <v>40.07911</v>
      </c>
      <c r="AD503" s="79"/>
      <c r="AE503" s="79"/>
      <c r="AF503" s="79">
        <v>25.425519999999999</v>
      </c>
      <c r="AG503" s="79">
        <v>22.032910000000001</v>
      </c>
      <c r="AH503" s="79"/>
      <c r="AI503" s="79"/>
      <c r="AJ503" s="79">
        <v>23.670590000000001</v>
      </c>
      <c r="AK503" s="79"/>
      <c r="AL503" s="79"/>
      <c r="AM503" s="79">
        <v>29.56155</v>
      </c>
      <c r="AN503" s="79"/>
      <c r="AO503" s="79">
        <v>22.60934</v>
      </c>
      <c r="AP503" s="79"/>
      <c r="AQ503" s="79"/>
      <c r="AR503" s="79"/>
      <c r="AS503" s="79"/>
      <c r="AT503" s="79"/>
      <c r="AU503" s="79"/>
      <c r="AV503" s="79"/>
      <c r="AW503" s="79"/>
      <c r="AX503" s="79"/>
      <c r="AY503" s="79"/>
    </row>
    <row r="504" spans="1:51" x14ac:dyDescent="0.2">
      <c r="A504" t="s">
        <v>1049</v>
      </c>
      <c r="B504" s="1">
        <v>22221</v>
      </c>
      <c r="C504" s="78">
        <v>504</v>
      </c>
      <c r="E504" s="1">
        <f t="shared" si="14"/>
        <v>22221</v>
      </c>
      <c r="F504" s="2">
        <f t="shared" si="15"/>
        <v>22221</v>
      </c>
      <c r="G504" s="78">
        <v>502</v>
      </c>
      <c r="H504" s="79"/>
      <c r="I504" s="79"/>
      <c r="J504" s="79">
        <v>27.387789999999999</v>
      </c>
      <c r="K504" s="79"/>
      <c r="L504" s="79"/>
      <c r="M504" s="79"/>
      <c r="N504" s="79">
        <v>29.259060000000002</v>
      </c>
      <c r="O504" s="79"/>
      <c r="P504" s="79"/>
      <c r="Q504" s="79"/>
      <c r="R504" s="79">
        <v>16.364529999999998</v>
      </c>
      <c r="S504" s="79">
        <v>37.350119999999997</v>
      </c>
      <c r="T504" s="79">
        <v>56.461930000000002</v>
      </c>
      <c r="U504" s="79"/>
      <c r="V504" s="79"/>
      <c r="W504" s="79"/>
      <c r="X504" s="79"/>
      <c r="Y504" s="79"/>
      <c r="Z504" s="79">
        <v>35.442230000000002</v>
      </c>
      <c r="AA504" s="79">
        <v>14.301920000000001</v>
      </c>
      <c r="AB504" s="79"/>
      <c r="AC504" s="79">
        <v>40.169139999999999</v>
      </c>
      <c r="AD504" s="79"/>
      <c r="AE504" s="79"/>
      <c r="AF504" s="79">
        <v>25.425519999999999</v>
      </c>
      <c r="AG504" s="79">
        <v>22.12443</v>
      </c>
      <c r="AH504" s="79"/>
      <c r="AI504" s="79"/>
      <c r="AJ504" s="79">
        <v>22.476410000000001</v>
      </c>
      <c r="AK504" s="79"/>
      <c r="AL504" s="79"/>
      <c r="AM504" s="79">
        <v>29.56155</v>
      </c>
      <c r="AN504" s="79"/>
      <c r="AO504" s="79">
        <v>22.29016</v>
      </c>
      <c r="AP504" s="79"/>
      <c r="AQ504" s="79"/>
      <c r="AR504" s="79"/>
      <c r="AS504" s="79"/>
      <c r="AT504" s="79"/>
      <c r="AU504" s="79"/>
      <c r="AV504" s="79"/>
      <c r="AW504" s="79"/>
      <c r="AX504" s="79"/>
      <c r="AY504" s="79"/>
    </row>
    <row r="505" spans="1:51" x14ac:dyDescent="0.2">
      <c r="A505" t="s">
        <v>1050</v>
      </c>
      <c r="B505" s="1">
        <v>22251</v>
      </c>
      <c r="C505" s="78">
        <v>505</v>
      </c>
      <c r="E505" s="1">
        <f t="shared" si="14"/>
        <v>22251</v>
      </c>
      <c r="F505" s="2">
        <f t="shared" si="15"/>
        <v>22251</v>
      </c>
      <c r="G505" s="78">
        <v>503</v>
      </c>
      <c r="H505" s="79"/>
      <c r="I505" s="79"/>
      <c r="J505" s="79">
        <v>23.443470000000001</v>
      </c>
      <c r="K505" s="79"/>
      <c r="L505" s="79"/>
      <c r="M505" s="79"/>
      <c r="N505" s="79">
        <v>29.66966</v>
      </c>
      <c r="O505" s="79"/>
      <c r="P505" s="79"/>
      <c r="Q505" s="79"/>
      <c r="R505" s="79">
        <v>16.655270000000002</v>
      </c>
      <c r="S505" s="79">
        <v>37.316949999999999</v>
      </c>
      <c r="T505" s="79">
        <v>56.461930000000002</v>
      </c>
      <c r="U505" s="79"/>
      <c r="V505" s="79"/>
      <c r="W505" s="79"/>
      <c r="X505" s="79"/>
      <c r="Y505" s="79"/>
      <c r="Z505" s="79">
        <v>35.518279999999997</v>
      </c>
      <c r="AA505" s="79">
        <v>14.386049999999999</v>
      </c>
      <c r="AB505" s="79"/>
      <c r="AC505" s="79">
        <v>39.953499999999998</v>
      </c>
      <c r="AD505" s="79"/>
      <c r="AE505" s="79"/>
      <c r="AF505" s="79">
        <v>25.996880000000001</v>
      </c>
      <c r="AG505" s="79">
        <v>22.559139999999999</v>
      </c>
      <c r="AH505" s="79"/>
      <c r="AI505" s="79"/>
      <c r="AJ505" s="79">
        <v>24.380590000000002</v>
      </c>
      <c r="AK505" s="79"/>
      <c r="AL505" s="79"/>
      <c r="AM505" s="79">
        <v>29.56155</v>
      </c>
      <c r="AN505" s="79"/>
      <c r="AO505" s="79">
        <v>21.864560000000001</v>
      </c>
      <c r="AP505" s="79"/>
      <c r="AQ505" s="79"/>
      <c r="AR505" s="79"/>
      <c r="AS505" s="79"/>
      <c r="AT505" s="79"/>
      <c r="AU505" s="79"/>
      <c r="AV505" s="79"/>
      <c r="AW505" s="79"/>
      <c r="AX505" s="79"/>
      <c r="AY505" s="79"/>
    </row>
    <row r="506" spans="1:51" x14ac:dyDescent="0.2">
      <c r="A506" t="s">
        <v>1051</v>
      </c>
      <c r="B506" s="1">
        <v>22282</v>
      </c>
      <c r="C506" s="78">
        <v>506</v>
      </c>
      <c r="E506" s="1">
        <f t="shared" si="14"/>
        <v>22282</v>
      </c>
      <c r="F506" s="2">
        <f t="shared" si="15"/>
        <v>22282</v>
      </c>
      <c r="G506" s="78">
        <v>504</v>
      </c>
      <c r="H506" s="79"/>
      <c r="I506" s="79"/>
      <c r="J506" s="79">
        <v>20.98592</v>
      </c>
      <c r="K506" s="79">
        <v>21.932539999999999</v>
      </c>
      <c r="L506" s="79"/>
      <c r="M506" s="79"/>
      <c r="N506" s="79">
        <v>30.068000000000001</v>
      </c>
      <c r="O506" s="79"/>
      <c r="P506" s="79"/>
      <c r="Q506" s="79"/>
      <c r="R506" s="79">
        <v>16.82141</v>
      </c>
      <c r="S506" s="79">
        <v>37.482799999999997</v>
      </c>
      <c r="T506" s="79">
        <v>56.461930000000002</v>
      </c>
      <c r="U506" s="79"/>
      <c r="V506" s="79"/>
      <c r="W506" s="79"/>
      <c r="X506" s="79"/>
      <c r="Y506" s="79"/>
      <c r="Z506" s="79">
        <v>36.088700000000003</v>
      </c>
      <c r="AA506" s="79">
        <v>14.806699999999999</v>
      </c>
      <c r="AB506" s="79"/>
      <c r="AC506" s="79">
        <v>40.831189999999999</v>
      </c>
      <c r="AD506" s="79"/>
      <c r="AE506" s="79"/>
      <c r="AF506" s="79">
        <v>25.425519999999999</v>
      </c>
      <c r="AG506" s="79">
        <v>22.559139999999999</v>
      </c>
      <c r="AH506" s="79"/>
      <c r="AI506" s="79"/>
      <c r="AJ506" s="79">
        <v>24.024750000000001</v>
      </c>
      <c r="AK506" s="79"/>
      <c r="AL506" s="79"/>
      <c r="AM506" s="79">
        <v>30.016349999999999</v>
      </c>
      <c r="AN506" s="79"/>
      <c r="AO506" s="79">
        <v>21.891159999999999</v>
      </c>
      <c r="AP506" s="79"/>
      <c r="AQ506" s="79"/>
      <c r="AR506" s="79"/>
      <c r="AS506" s="79"/>
      <c r="AT506" s="79"/>
      <c r="AU506" s="79"/>
      <c r="AV506" s="79"/>
      <c r="AW506" s="79"/>
      <c r="AX506" s="79"/>
      <c r="AY506" s="79"/>
    </row>
    <row r="507" spans="1:51" x14ac:dyDescent="0.2">
      <c r="A507" t="s">
        <v>1052</v>
      </c>
      <c r="B507" s="1">
        <v>22313</v>
      </c>
      <c r="C507" s="78">
        <v>507</v>
      </c>
      <c r="E507" s="1">
        <f t="shared" si="14"/>
        <v>22313</v>
      </c>
      <c r="F507" s="2">
        <f t="shared" si="15"/>
        <v>22313</v>
      </c>
      <c r="G507" s="78">
        <v>505</v>
      </c>
      <c r="H507" s="79"/>
      <c r="I507" s="79"/>
      <c r="J507" s="79">
        <v>28.17089</v>
      </c>
      <c r="K507" s="79">
        <v>21.954630000000002</v>
      </c>
      <c r="L507" s="79"/>
      <c r="M507" s="79"/>
      <c r="N507" s="79">
        <v>30.245940000000001</v>
      </c>
      <c r="O507" s="79"/>
      <c r="P507" s="79"/>
      <c r="Q507" s="79"/>
      <c r="R507" s="79">
        <v>17.049849999999999</v>
      </c>
      <c r="S507" s="79">
        <v>37.781329999999997</v>
      </c>
      <c r="T507" s="79">
        <v>56.461930000000002</v>
      </c>
      <c r="U507" s="79"/>
      <c r="V507" s="79"/>
      <c r="W507" s="79"/>
      <c r="X507" s="79"/>
      <c r="Y507" s="79"/>
      <c r="Z507" s="79">
        <v>36.906309999999998</v>
      </c>
      <c r="AA507" s="79">
        <v>14.890829999999999</v>
      </c>
      <c r="AB507" s="79"/>
      <c r="AC507" s="79">
        <v>41.137569999999997</v>
      </c>
      <c r="AD507" s="79"/>
      <c r="AE507" s="79"/>
      <c r="AF507" s="79">
        <v>25.425519999999999</v>
      </c>
      <c r="AG507" s="79">
        <v>22.536259999999999</v>
      </c>
      <c r="AH507" s="79"/>
      <c r="AI507" s="79"/>
      <c r="AJ507" s="79">
        <v>24.225919999999999</v>
      </c>
      <c r="AK507" s="79"/>
      <c r="AL507" s="79"/>
      <c r="AM507" s="79">
        <v>30.471139999999998</v>
      </c>
      <c r="AN507" s="79"/>
      <c r="AO507" s="79">
        <v>21.864560000000001</v>
      </c>
      <c r="AP507" s="79"/>
      <c r="AQ507" s="79"/>
      <c r="AR507" s="79"/>
      <c r="AS507" s="79"/>
      <c r="AT507" s="79"/>
      <c r="AU507" s="79"/>
      <c r="AV507" s="79"/>
      <c r="AW507" s="79"/>
      <c r="AX507" s="79"/>
      <c r="AY507" s="79"/>
    </row>
    <row r="508" spans="1:51" x14ac:dyDescent="0.2">
      <c r="A508" t="s">
        <v>1053</v>
      </c>
      <c r="B508" s="1">
        <v>22341</v>
      </c>
      <c r="C508" s="78">
        <v>508</v>
      </c>
      <c r="E508" s="1">
        <f t="shared" si="14"/>
        <v>22341</v>
      </c>
      <c r="F508" s="2">
        <f t="shared" si="15"/>
        <v>22341</v>
      </c>
      <c r="G508" s="78">
        <v>506</v>
      </c>
      <c r="H508" s="79"/>
      <c r="I508" s="79"/>
      <c r="J508" s="79">
        <v>27.942589999999999</v>
      </c>
      <c r="K508" s="79">
        <v>21.86957</v>
      </c>
      <c r="L508" s="79"/>
      <c r="M508" s="79"/>
      <c r="N508" s="79">
        <v>30.535969999999999</v>
      </c>
      <c r="O508" s="79"/>
      <c r="P508" s="79"/>
      <c r="Q508" s="79"/>
      <c r="R508" s="79">
        <v>17.340589999999999</v>
      </c>
      <c r="S508" s="79">
        <v>38.113039999999998</v>
      </c>
      <c r="T508" s="79">
        <v>56.461930000000002</v>
      </c>
      <c r="U508" s="79"/>
      <c r="V508" s="79"/>
      <c r="W508" s="79"/>
      <c r="X508" s="79"/>
      <c r="Y508" s="79"/>
      <c r="Z508" s="79">
        <v>36.868279999999999</v>
      </c>
      <c r="AA508" s="79">
        <v>15.31147</v>
      </c>
      <c r="AB508" s="79"/>
      <c r="AC508" s="79">
        <v>41.599930000000001</v>
      </c>
      <c r="AD508" s="79"/>
      <c r="AE508" s="79"/>
      <c r="AF508" s="79">
        <v>25.425519999999999</v>
      </c>
      <c r="AG508" s="79">
        <v>22.513380000000002</v>
      </c>
      <c r="AH508" s="79"/>
      <c r="AI508" s="79"/>
      <c r="AJ508" s="79">
        <v>26.359349999999999</v>
      </c>
      <c r="AK508" s="79"/>
      <c r="AL508" s="79"/>
      <c r="AM508" s="79">
        <v>30.925930000000001</v>
      </c>
      <c r="AN508" s="79"/>
      <c r="AO508" s="79">
        <v>21.997589999999999</v>
      </c>
      <c r="AP508" s="79"/>
      <c r="AQ508" s="79"/>
      <c r="AR508" s="79"/>
      <c r="AS508" s="79"/>
      <c r="AT508" s="79"/>
      <c r="AU508" s="79"/>
      <c r="AV508" s="79"/>
      <c r="AW508" s="79"/>
      <c r="AX508" s="79"/>
      <c r="AY508" s="79"/>
    </row>
    <row r="509" spans="1:51" x14ac:dyDescent="0.2">
      <c r="A509" t="s">
        <v>1054</v>
      </c>
      <c r="B509" s="1">
        <v>22372</v>
      </c>
      <c r="C509" s="78">
        <v>509</v>
      </c>
      <c r="E509" s="1">
        <f t="shared" si="14"/>
        <v>22372</v>
      </c>
      <c r="F509" s="2">
        <f t="shared" si="15"/>
        <v>22372</v>
      </c>
      <c r="G509" s="78">
        <v>507</v>
      </c>
      <c r="H509" s="79"/>
      <c r="I509" s="79"/>
      <c r="J509" s="79">
        <v>28.029879999999999</v>
      </c>
      <c r="K509" s="79">
        <v>22.328209999999999</v>
      </c>
      <c r="L509" s="79"/>
      <c r="M509" s="79"/>
      <c r="N509" s="79">
        <v>30.525790000000001</v>
      </c>
      <c r="O509" s="79"/>
      <c r="P509" s="79"/>
      <c r="Q509" s="79"/>
      <c r="R509" s="79">
        <v>17.070609999999999</v>
      </c>
      <c r="S509" s="79">
        <v>37.847679999999997</v>
      </c>
      <c r="T509" s="79">
        <v>56.961590000000001</v>
      </c>
      <c r="U509" s="79"/>
      <c r="V509" s="79"/>
      <c r="W509" s="79"/>
      <c r="X509" s="79"/>
      <c r="Y509" s="79"/>
      <c r="Z509" s="79">
        <v>37.229550000000003</v>
      </c>
      <c r="AA509" s="79">
        <v>15.31147</v>
      </c>
      <c r="AB509" s="79"/>
      <c r="AC509" s="79">
        <v>41.553840000000001</v>
      </c>
      <c r="AD509" s="79"/>
      <c r="AE509" s="79"/>
      <c r="AF509" s="79">
        <v>25.996880000000001</v>
      </c>
      <c r="AG509" s="79">
        <v>22.490500000000001</v>
      </c>
      <c r="AH509" s="79"/>
      <c r="AI509" s="79"/>
      <c r="AJ509" s="79">
        <v>25.35746</v>
      </c>
      <c r="AK509" s="79"/>
      <c r="AL509" s="79"/>
      <c r="AM509" s="79">
        <v>30.925930000000001</v>
      </c>
      <c r="AN509" s="79"/>
      <c r="AO509" s="79">
        <v>22.4497</v>
      </c>
      <c r="AP509" s="79"/>
      <c r="AQ509" s="79"/>
      <c r="AR509" s="79"/>
      <c r="AS509" s="79"/>
      <c r="AT509" s="79"/>
      <c r="AU509" s="79"/>
      <c r="AV509" s="79"/>
      <c r="AW509" s="79"/>
      <c r="AX509" s="79"/>
      <c r="AY509" s="79"/>
    </row>
    <row r="510" spans="1:51" x14ac:dyDescent="0.2">
      <c r="A510" t="s">
        <v>1055</v>
      </c>
      <c r="B510" s="1">
        <v>22402</v>
      </c>
      <c r="C510" s="78">
        <v>510</v>
      </c>
      <c r="E510" s="1">
        <f t="shared" si="14"/>
        <v>22402</v>
      </c>
      <c r="F510" s="2">
        <f t="shared" si="15"/>
        <v>22402</v>
      </c>
      <c r="G510" s="78">
        <v>508</v>
      </c>
      <c r="H510" s="79"/>
      <c r="I510" s="79"/>
      <c r="J510" s="79">
        <v>27.918500000000002</v>
      </c>
      <c r="K510" s="79">
        <v>22.44098</v>
      </c>
      <c r="L510" s="79"/>
      <c r="M510" s="79"/>
      <c r="N510" s="79">
        <v>29.879580000000001</v>
      </c>
      <c r="O510" s="79"/>
      <c r="P510" s="79"/>
      <c r="Q510" s="79"/>
      <c r="R510" s="79">
        <v>17.38212</v>
      </c>
      <c r="S510" s="79">
        <v>37.947189999999999</v>
      </c>
      <c r="T510" s="79">
        <v>55.962269999999997</v>
      </c>
      <c r="U510" s="79"/>
      <c r="V510" s="79"/>
      <c r="W510" s="79"/>
      <c r="X510" s="79"/>
      <c r="Y510" s="79"/>
      <c r="Z510" s="79">
        <v>37.647860000000001</v>
      </c>
      <c r="AA510" s="79">
        <v>15.64799</v>
      </c>
      <c r="AB510" s="79"/>
      <c r="AC510" s="79">
        <v>42.026020000000003</v>
      </c>
      <c r="AD510" s="79"/>
      <c r="AE510" s="79"/>
      <c r="AF510" s="79">
        <v>25.13984</v>
      </c>
      <c r="AG510" s="79">
        <v>21.89564</v>
      </c>
      <c r="AH510" s="79"/>
      <c r="AI510" s="79"/>
      <c r="AJ510" s="79">
        <v>25.571650000000002</v>
      </c>
      <c r="AK510" s="79"/>
      <c r="AL510" s="79"/>
      <c r="AM510" s="79">
        <v>30.471139999999998</v>
      </c>
      <c r="AN510" s="79"/>
      <c r="AO510" s="79">
        <v>22.795480000000001</v>
      </c>
      <c r="AP510" s="79"/>
      <c r="AQ510" s="79"/>
      <c r="AR510" s="79"/>
      <c r="AS510" s="79"/>
      <c r="AT510" s="79"/>
      <c r="AU510" s="79"/>
      <c r="AV510" s="79"/>
      <c r="AW510" s="79"/>
      <c r="AX510" s="79"/>
      <c r="AY510" s="79"/>
    </row>
    <row r="511" spans="1:51" x14ac:dyDescent="0.2">
      <c r="A511" t="s">
        <v>1056</v>
      </c>
      <c r="B511" s="1">
        <v>22433</v>
      </c>
      <c r="C511" s="78">
        <v>511</v>
      </c>
      <c r="E511" s="1">
        <f t="shared" si="14"/>
        <v>22433</v>
      </c>
      <c r="F511" s="2">
        <f t="shared" si="15"/>
        <v>22433</v>
      </c>
      <c r="G511" s="78">
        <v>509</v>
      </c>
      <c r="H511" s="79"/>
      <c r="I511" s="79"/>
      <c r="J511" s="79">
        <v>28.04</v>
      </c>
      <c r="K511" s="79">
        <v>22.81127</v>
      </c>
      <c r="L511" s="79"/>
      <c r="M511" s="79"/>
      <c r="N511" s="79">
        <v>29.8812</v>
      </c>
      <c r="O511" s="79"/>
      <c r="P511" s="79"/>
      <c r="Q511" s="79"/>
      <c r="R511" s="79">
        <v>17.589790000000001</v>
      </c>
      <c r="S511" s="79">
        <v>38.179380000000002</v>
      </c>
      <c r="T511" s="79">
        <v>56.961590000000001</v>
      </c>
      <c r="U511" s="79"/>
      <c r="V511" s="79"/>
      <c r="W511" s="79"/>
      <c r="X511" s="79"/>
      <c r="Y511" s="79"/>
      <c r="Z511" s="79">
        <v>38.21828</v>
      </c>
      <c r="AA511" s="79">
        <v>15.81625</v>
      </c>
      <c r="AB511" s="79"/>
      <c r="AC511" s="79">
        <v>41.228079999999999</v>
      </c>
      <c r="AD511" s="79"/>
      <c r="AE511" s="79"/>
      <c r="AF511" s="79">
        <v>25.425519999999999</v>
      </c>
      <c r="AG511" s="79">
        <v>23.245519999999999</v>
      </c>
      <c r="AH511" s="79"/>
      <c r="AI511" s="79"/>
      <c r="AJ511" s="79">
        <v>24.93919</v>
      </c>
      <c r="AK511" s="79"/>
      <c r="AL511" s="79"/>
      <c r="AM511" s="79">
        <v>30.471139999999998</v>
      </c>
      <c r="AN511" s="79"/>
      <c r="AO511" s="79">
        <v>23.114660000000001</v>
      </c>
      <c r="AP511" s="79"/>
      <c r="AQ511" s="79"/>
      <c r="AR511" s="79"/>
      <c r="AS511" s="79"/>
      <c r="AT511" s="79"/>
      <c r="AU511" s="79"/>
      <c r="AV511" s="79"/>
      <c r="AW511" s="79"/>
      <c r="AX511" s="79"/>
      <c r="AY511" s="79"/>
    </row>
    <row r="512" spans="1:51" x14ac:dyDescent="0.2">
      <c r="A512" t="s">
        <v>1057</v>
      </c>
      <c r="B512" s="1">
        <v>22463</v>
      </c>
      <c r="C512" s="78">
        <v>512</v>
      </c>
      <c r="E512" s="1">
        <f t="shared" si="14"/>
        <v>22463</v>
      </c>
      <c r="F512" s="2">
        <f t="shared" si="15"/>
        <v>22463</v>
      </c>
      <c r="G512" s="78">
        <v>510</v>
      </c>
      <c r="H512" s="79"/>
      <c r="I512" s="79"/>
      <c r="J512" s="79">
        <v>28.607530000000001</v>
      </c>
      <c r="K512" s="79">
        <v>23.035419999999998</v>
      </c>
      <c r="L512" s="79"/>
      <c r="M512" s="79"/>
      <c r="N512" s="79">
        <v>30.438659999999999</v>
      </c>
      <c r="O512" s="79"/>
      <c r="P512" s="79"/>
      <c r="Q512" s="79"/>
      <c r="R512" s="79">
        <v>18.0259</v>
      </c>
      <c r="S512" s="79">
        <v>38.610599999999998</v>
      </c>
      <c r="T512" s="79">
        <v>57.461260000000003</v>
      </c>
      <c r="U512" s="79"/>
      <c r="V512" s="79"/>
      <c r="W512" s="79"/>
      <c r="X512" s="79"/>
      <c r="Y512" s="79"/>
      <c r="Z512" s="79">
        <v>38.845739999999999</v>
      </c>
      <c r="AA512" s="79">
        <v>16.152760000000001</v>
      </c>
      <c r="AB512" s="79"/>
      <c r="AC512" s="79">
        <v>41.858260000000001</v>
      </c>
      <c r="AD512" s="79"/>
      <c r="AE512" s="79"/>
      <c r="AF512" s="79">
        <v>25.711200000000002</v>
      </c>
      <c r="AG512" s="79">
        <v>22.7193</v>
      </c>
      <c r="AH512" s="79"/>
      <c r="AI512" s="79"/>
      <c r="AJ512" s="79">
        <v>24.638200000000001</v>
      </c>
      <c r="AK512" s="79"/>
      <c r="AL512" s="79"/>
      <c r="AM512" s="79">
        <v>31.835519999999999</v>
      </c>
      <c r="AN512" s="79"/>
      <c r="AO512" s="79">
        <v>23.38072</v>
      </c>
      <c r="AP512" s="79"/>
      <c r="AQ512" s="79"/>
      <c r="AR512" s="79"/>
      <c r="AS512" s="79"/>
      <c r="AT512" s="79"/>
      <c r="AU512" s="79"/>
      <c r="AV512" s="79"/>
      <c r="AW512" s="79"/>
      <c r="AX512" s="79"/>
      <c r="AY512" s="79"/>
    </row>
    <row r="513" spans="1:51" x14ac:dyDescent="0.2">
      <c r="A513" t="s">
        <v>1058</v>
      </c>
      <c r="B513" s="1">
        <v>22494</v>
      </c>
      <c r="C513" s="78">
        <v>513</v>
      </c>
      <c r="E513" s="1">
        <f t="shared" si="14"/>
        <v>22494</v>
      </c>
      <c r="F513" s="2">
        <f t="shared" si="15"/>
        <v>22494</v>
      </c>
      <c r="G513" s="78">
        <v>511</v>
      </c>
      <c r="H513" s="79"/>
      <c r="I513" s="79"/>
      <c r="J513" s="79">
        <v>28.280809999999999</v>
      </c>
      <c r="K513" s="79">
        <v>22.910889999999998</v>
      </c>
      <c r="L513" s="79"/>
      <c r="M513" s="79"/>
      <c r="N513" s="79">
        <v>30.208539999999999</v>
      </c>
      <c r="O513" s="79"/>
      <c r="P513" s="79"/>
      <c r="Q513" s="79"/>
      <c r="R513" s="79">
        <v>17.797460000000001</v>
      </c>
      <c r="S513" s="79">
        <v>38.610599999999998</v>
      </c>
      <c r="T513" s="79">
        <v>56.461930000000002</v>
      </c>
      <c r="U513" s="79"/>
      <c r="V513" s="79"/>
      <c r="W513" s="79"/>
      <c r="X513" s="79"/>
      <c r="Y513" s="79"/>
      <c r="Z513" s="79">
        <v>38.921799999999998</v>
      </c>
      <c r="AA513" s="79">
        <v>16.405149999999999</v>
      </c>
      <c r="AB513" s="79"/>
      <c r="AC513" s="79">
        <v>42.237630000000003</v>
      </c>
      <c r="AD513" s="79"/>
      <c r="AE513" s="79"/>
      <c r="AF513" s="79">
        <v>25.996880000000001</v>
      </c>
      <c r="AG513" s="79">
        <v>23.314160000000001</v>
      </c>
      <c r="AH513" s="79"/>
      <c r="AI513" s="79"/>
      <c r="AJ513" s="79">
        <v>24.056059999999999</v>
      </c>
      <c r="AK513" s="79"/>
      <c r="AL513" s="79"/>
      <c r="AM513" s="79">
        <v>31.38073</v>
      </c>
      <c r="AN513" s="79"/>
      <c r="AO513" s="79">
        <v>23.59348</v>
      </c>
      <c r="AP513" s="79"/>
      <c r="AQ513" s="79"/>
      <c r="AR513" s="79"/>
      <c r="AS513" s="79"/>
      <c r="AT513" s="79"/>
      <c r="AU513" s="79"/>
      <c r="AV513" s="79"/>
      <c r="AW513" s="79"/>
      <c r="AX513" s="79"/>
      <c r="AY513" s="79"/>
    </row>
    <row r="514" spans="1:51" x14ac:dyDescent="0.2">
      <c r="A514" t="s">
        <v>1059</v>
      </c>
      <c r="B514" s="1">
        <v>22525</v>
      </c>
      <c r="C514" s="78">
        <v>514</v>
      </c>
      <c r="E514" s="1">
        <f t="shared" ref="E514:E577" si="16">B514</f>
        <v>22525</v>
      </c>
      <c r="F514" s="2">
        <f t="shared" ref="F514:F577" si="17">B514</f>
        <v>22525</v>
      </c>
      <c r="G514" s="78">
        <v>512</v>
      </c>
      <c r="H514" s="79"/>
      <c r="I514" s="79"/>
      <c r="J514" s="79">
        <v>28.110379999999999</v>
      </c>
      <c r="K514" s="79">
        <v>23.45505</v>
      </c>
      <c r="L514" s="79"/>
      <c r="M514" s="79"/>
      <c r="N514" s="79">
        <v>30.457909999999998</v>
      </c>
      <c r="O514" s="79"/>
      <c r="P514" s="79"/>
      <c r="Q514" s="79"/>
      <c r="R514" s="79">
        <v>17.589790000000001</v>
      </c>
      <c r="S514" s="79">
        <v>38.743279999999999</v>
      </c>
      <c r="T514" s="79">
        <v>55.962269999999997</v>
      </c>
      <c r="U514" s="79"/>
      <c r="V514" s="79"/>
      <c r="W514" s="79"/>
      <c r="X514" s="79"/>
      <c r="Y514" s="79"/>
      <c r="Z514" s="79">
        <v>39.302079999999997</v>
      </c>
      <c r="AA514" s="79">
        <v>16.321020000000001</v>
      </c>
      <c r="AB514" s="79"/>
      <c r="AC514" s="79">
        <v>40.87567</v>
      </c>
      <c r="AD514" s="79"/>
      <c r="AE514" s="79"/>
      <c r="AF514" s="79">
        <v>25.996880000000001</v>
      </c>
      <c r="AG514" s="79">
        <v>23.085370000000001</v>
      </c>
      <c r="AH514" s="79"/>
      <c r="AI514" s="79"/>
      <c r="AJ514" s="79">
        <v>25.03679</v>
      </c>
      <c r="AK514" s="79"/>
      <c r="AL514" s="79"/>
      <c r="AM514" s="79">
        <v>30.925930000000001</v>
      </c>
      <c r="AN514" s="79"/>
      <c r="AO514" s="79">
        <v>23.566870000000002</v>
      </c>
      <c r="AP514" s="79"/>
      <c r="AQ514" s="79"/>
      <c r="AR514" s="79"/>
      <c r="AS514" s="79"/>
      <c r="AT514" s="79"/>
      <c r="AU514" s="79"/>
      <c r="AV514" s="79"/>
      <c r="AW514" s="79"/>
      <c r="AX514" s="79"/>
      <c r="AY514" s="79"/>
    </row>
    <row r="515" spans="1:51" x14ac:dyDescent="0.2">
      <c r="A515" t="s">
        <v>1060</v>
      </c>
      <c r="B515" s="1">
        <v>22555</v>
      </c>
      <c r="C515" s="78">
        <v>515</v>
      </c>
      <c r="E515" s="1">
        <f t="shared" si="16"/>
        <v>22555</v>
      </c>
      <c r="F515" s="2">
        <f t="shared" si="17"/>
        <v>22555</v>
      </c>
      <c r="G515" s="78">
        <v>513</v>
      </c>
      <c r="H515" s="79"/>
      <c r="I515" s="79"/>
      <c r="J515" s="79">
        <v>28.264410000000002</v>
      </c>
      <c r="K515" s="79">
        <v>23.662749999999999</v>
      </c>
      <c r="L515" s="79"/>
      <c r="M515" s="79"/>
      <c r="N515" s="79">
        <v>30.223220000000001</v>
      </c>
      <c r="O515" s="79"/>
      <c r="P515" s="79"/>
      <c r="Q515" s="79"/>
      <c r="R515" s="79">
        <v>17.714400000000001</v>
      </c>
      <c r="S515" s="79">
        <v>38.610599999999998</v>
      </c>
      <c r="T515" s="79">
        <v>56.461930000000002</v>
      </c>
      <c r="U515" s="79"/>
      <c r="V515" s="79"/>
      <c r="W515" s="79"/>
      <c r="X515" s="79"/>
      <c r="Y515" s="79"/>
      <c r="Z515" s="79">
        <v>40.005600000000001</v>
      </c>
      <c r="AA515" s="79">
        <v>16.657540000000001</v>
      </c>
      <c r="AB515" s="79"/>
      <c r="AC515" s="79">
        <v>40.826000000000001</v>
      </c>
      <c r="AD515" s="79"/>
      <c r="AE515" s="79"/>
      <c r="AF515" s="79">
        <v>25.996880000000001</v>
      </c>
      <c r="AG515" s="79">
        <v>23.222639999999998</v>
      </c>
      <c r="AH515" s="79"/>
      <c r="AI515" s="79"/>
      <c r="AJ515" s="79">
        <v>24.923310000000001</v>
      </c>
      <c r="AK515" s="79"/>
      <c r="AL515" s="79"/>
      <c r="AM515" s="79">
        <v>31.835519999999999</v>
      </c>
      <c r="AN515" s="79"/>
      <c r="AO515" s="79">
        <v>24.019079999999999</v>
      </c>
      <c r="AP515" s="79"/>
      <c r="AQ515" s="79"/>
      <c r="AR515" s="79"/>
      <c r="AS515" s="79"/>
      <c r="AT515" s="79"/>
      <c r="AU515" s="79"/>
      <c r="AV515" s="79"/>
      <c r="AW515" s="79"/>
      <c r="AX515" s="79"/>
      <c r="AY515" s="79"/>
    </row>
    <row r="516" spans="1:51" x14ac:dyDescent="0.2">
      <c r="A516" t="s">
        <v>1061</v>
      </c>
      <c r="B516" s="1">
        <v>22586</v>
      </c>
      <c r="C516" s="78">
        <v>516</v>
      </c>
      <c r="E516" s="1">
        <f t="shared" si="16"/>
        <v>22586</v>
      </c>
      <c r="F516" s="2">
        <f t="shared" si="17"/>
        <v>22586</v>
      </c>
      <c r="G516" s="78">
        <v>514</v>
      </c>
      <c r="H516" s="79"/>
      <c r="I516" s="79"/>
      <c r="J516" s="79">
        <v>28.33935</v>
      </c>
      <c r="K516" s="79">
        <v>23.760020000000001</v>
      </c>
      <c r="L516" s="79"/>
      <c r="M516" s="79"/>
      <c r="N516" s="79">
        <v>30.311250000000001</v>
      </c>
      <c r="O516" s="79"/>
      <c r="P516" s="79"/>
      <c r="Q516" s="79"/>
      <c r="R516" s="79">
        <v>18.150510000000001</v>
      </c>
      <c r="S516" s="79">
        <v>38.809620000000002</v>
      </c>
      <c r="T516" s="79">
        <v>55.962269999999997</v>
      </c>
      <c r="U516" s="79"/>
      <c r="V516" s="79"/>
      <c r="W516" s="79"/>
      <c r="X516" s="79"/>
      <c r="Y516" s="79"/>
      <c r="Z516" s="79">
        <v>40.557009999999998</v>
      </c>
      <c r="AA516" s="79">
        <v>16.825790000000001</v>
      </c>
      <c r="AB516" s="79"/>
      <c r="AC516" s="79">
        <v>40.468179999999997</v>
      </c>
      <c r="AD516" s="79"/>
      <c r="AE516" s="79"/>
      <c r="AF516" s="79">
        <v>26.28256</v>
      </c>
      <c r="AG516" s="79">
        <v>23.931909999999998</v>
      </c>
      <c r="AH516" s="79"/>
      <c r="AI516" s="79"/>
      <c r="AJ516" s="79">
        <v>24.550999999999998</v>
      </c>
      <c r="AK516" s="79"/>
      <c r="AL516" s="79"/>
      <c r="AM516" s="79">
        <v>31.835519999999999</v>
      </c>
      <c r="AN516" s="79"/>
      <c r="AO516" s="79">
        <v>24.391470000000002</v>
      </c>
      <c r="AP516" s="79"/>
      <c r="AQ516" s="79"/>
      <c r="AR516" s="79"/>
      <c r="AS516" s="79"/>
      <c r="AT516" s="79"/>
      <c r="AU516" s="79"/>
      <c r="AV516" s="79"/>
      <c r="AW516" s="79"/>
      <c r="AX516" s="79"/>
      <c r="AY516" s="79"/>
    </row>
    <row r="517" spans="1:51" x14ac:dyDescent="0.2">
      <c r="A517" t="s">
        <v>1062</v>
      </c>
      <c r="B517" s="1">
        <v>22616</v>
      </c>
      <c r="C517" s="78">
        <v>517</v>
      </c>
      <c r="E517" s="1">
        <f t="shared" si="16"/>
        <v>22616</v>
      </c>
      <c r="F517" s="2">
        <f t="shared" si="17"/>
        <v>22616</v>
      </c>
      <c r="G517" s="78">
        <v>515</v>
      </c>
      <c r="H517" s="79"/>
      <c r="I517" s="79"/>
      <c r="J517" s="79">
        <v>28.370059999999999</v>
      </c>
      <c r="K517" s="79">
        <v>23.90663</v>
      </c>
      <c r="L517" s="79"/>
      <c r="M517" s="79"/>
      <c r="N517" s="79">
        <v>30.98845</v>
      </c>
      <c r="O517" s="79"/>
      <c r="P517" s="79"/>
      <c r="Q517" s="79"/>
      <c r="R517" s="79">
        <v>18.129740000000002</v>
      </c>
      <c r="S517" s="79">
        <v>39.937429999999999</v>
      </c>
      <c r="T517" s="79">
        <v>56.461930000000002</v>
      </c>
      <c r="U517" s="79"/>
      <c r="V517" s="79"/>
      <c r="W517" s="79"/>
      <c r="X517" s="79"/>
      <c r="Y517" s="79"/>
      <c r="Z517" s="79">
        <v>40.880249999999997</v>
      </c>
      <c r="AA517" s="79">
        <v>17.07818</v>
      </c>
      <c r="AB517" s="79"/>
      <c r="AC517" s="79">
        <v>39.425379999999997</v>
      </c>
      <c r="AD517" s="79"/>
      <c r="AE517" s="79"/>
      <c r="AF517" s="79">
        <v>26.853919999999999</v>
      </c>
      <c r="AG517" s="79">
        <v>23.497199999999999</v>
      </c>
      <c r="AH517" s="79"/>
      <c r="AI517" s="79"/>
      <c r="AJ517" s="79">
        <v>24.55097</v>
      </c>
      <c r="AK517" s="79"/>
      <c r="AL517" s="79"/>
      <c r="AM517" s="79">
        <v>31.38073</v>
      </c>
      <c r="AN517" s="79"/>
      <c r="AO517" s="79">
        <v>24.604220000000002</v>
      </c>
      <c r="AP517" s="79"/>
      <c r="AQ517" s="79"/>
      <c r="AR517" s="79"/>
      <c r="AS517" s="79"/>
      <c r="AT517" s="79"/>
      <c r="AU517" s="79"/>
      <c r="AV517" s="79"/>
      <c r="AW517" s="79"/>
      <c r="AX517" s="79"/>
      <c r="AY517" s="79"/>
    </row>
    <row r="518" spans="1:51" x14ac:dyDescent="0.2">
      <c r="A518" t="s">
        <v>1063</v>
      </c>
      <c r="B518" s="1">
        <v>22647</v>
      </c>
      <c r="C518" s="78">
        <v>518</v>
      </c>
      <c r="E518" s="1">
        <f t="shared" si="16"/>
        <v>22647</v>
      </c>
      <c r="F518" s="2">
        <f t="shared" si="17"/>
        <v>22647</v>
      </c>
      <c r="G518" s="78">
        <v>516</v>
      </c>
      <c r="H518" s="79"/>
      <c r="I518" s="79"/>
      <c r="J518" s="79">
        <v>28.70617</v>
      </c>
      <c r="K518" s="79">
        <v>24.005310000000001</v>
      </c>
      <c r="L518" s="79"/>
      <c r="M518" s="79"/>
      <c r="N518" s="79">
        <v>32.33999</v>
      </c>
      <c r="O518" s="79"/>
      <c r="P518" s="79"/>
      <c r="Q518" s="79"/>
      <c r="R518" s="79">
        <v>18.482780000000002</v>
      </c>
      <c r="S518" s="79">
        <v>39.605719999999998</v>
      </c>
      <c r="T518" s="79">
        <v>55.962269999999997</v>
      </c>
      <c r="U518" s="79">
        <v>27.181999999999999</v>
      </c>
      <c r="V518" s="79"/>
      <c r="W518" s="79"/>
      <c r="X518" s="79"/>
      <c r="Y518" s="79"/>
      <c r="Z518" s="79">
        <v>41.507710000000003</v>
      </c>
      <c r="AA518" s="79">
        <v>17.330570000000002</v>
      </c>
      <c r="AB518" s="79"/>
      <c r="AC518" s="79">
        <v>38.997309999999999</v>
      </c>
      <c r="AD518" s="79"/>
      <c r="AE518" s="79"/>
      <c r="AF518" s="79">
        <v>26.568239999999999</v>
      </c>
      <c r="AG518" s="79">
        <v>23.085370000000001</v>
      </c>
      <c r="AH518" s="79"/>
      <c r="AI518" s="79"/>
      <c r="AJ518" s="79">
        <v>25.758769999999998</v>
      </c>
      <c r="AK518" s="79"/>
      <c r="AL518" s="79"/>
      <c r="AM518" s="79">
        <v>31.38073</v>
      </c>
      <c r="AN518" s="79"/>
      <c r="AO518" s="79">
        <v>24.391470000000002</v>
      </c>
      <c r="AP518" s="79"/>
      <c r="AQ518" s="79"/>
      <c r="AR518" s="79"/>
      <c r="AS518" s="79"/>
      <c r="AT518" s="79"/>
      <c r="AU518" s="79"/>
      <c r="AV518" s="79"/>
      <c r="AW518" s="79"/>
      <c r="AX518" s="79"/>
      <c r="AY518" s="79"/>
    </row>
    <row r="519" spans="1:51" x14ac:dyDescent="0.2">
      <c r="A519" t="s">
        <v>1064</v>
      </c>
      <c r="B519" s="1">
        <v>22678</v>
      </c>
      <c r="C519" s="78">
        <v>519</v>
      </c>
      <c r="E519" s="1">
        <f t="shared" si="16"/>
        <v>22678</v>
      </c>
      <c r="F519" s="2">
        <f t="shared" si="17"/>
        <v>22678</v>
      </c>
      <c r="G519" s="78">
        <v>517</v>
      </c>
      <c r="H519" s="79"/>
      <c r="I519" s="79"/>
      <c r="J519" s="79">
        <v>28.865819999999999</v>
      </c>
      <c r="K519" s="79">
        <v>24.236979999999999</v>
      </c>
      <c r="L519" s="79"/>
      <c r="M519" s="79"/>
      <c r="N519" s="79">
        <v>32.278269999999999</v>
      </c>
      <c r="O519" s="79"/>
      <c r="P519" s="79"/>
      <c r="Q519" s="79"/>
      <c r="R519" s="79">
        <v>18.420480000000001</v>
      </c>
      <c r="S519" s="79">
        <v>39.937429999999999</v>
      </c>
      <c r="T519" s="79">
        <v>56.461930000000002</v>
      </c>
      <c r="U519" s="79">
        <v>26.981850000000001</v>
      </c>
      <c r="V519" s="79"/>
      <c r="W519" s="79"/>
      <c r="X519" s="79"/>
      <c r="Y519" s="79"/>
      <c r="Z519" s="79">
        <v>41.6218</v>
      </c>
      <c r="AA519" s="79">
        <v>17.330570000000002</v>
      </c>
      <c r="AB519" s="79"/>
      <c r="AC519" s="79">
        <v>39.982379999999999</v>
      </c>
      <c r="AD519" s="79"/>
      <c r="AE519" s="79"/>
      <c r="AF519" s="79">
        <v>26.853919999999999</v>
      </c>
      <c r="AG519" s="79">
        <v>23.52007</v>
      </c>
      <c r="AH519" s="79"/>
      <c r="AI519" s="79"/>
      <c r="AJ519" s="79">
        <v>25.42728</v>
      </c>
      <c r="AK519" s="79"/>
      <c r="AL519" s="79"/>
      <c r="AM519" s="79">
        <v>32.290309999999998</v>
      </c>
      <c r="AN519" s="79"/>
      <c r="AO519" s="79">
        <v>24.790459999999999</v>
      </c>
      <c r="AP519" s="79"/>
      <c r="AQ519" s="79"/>
      <c r="AR519" s="79"/>
      <c r="AS519" s="79"/>
      <c r="AT519" s="79"/>
      <c r="AU519" s="79"/>
      <c r="AV519" s="79"/>
      <c r="AW519" s="79"/>
      <c r="AX519" s="79"/>
      <c r="AY519" s="79"/>
    </row>
    <row r="520" spans="1:51" x14ac:dyDescent="0.2">
      <c r="A520" t="s">
        <v>1065</v>
      </c>
      <c r="B520" s="1">
        <v>22706</v>
      </c>
      <c r="C520" s="78">
        <v>520</v>
      </c>
      <c r="E520" s="1">
        <f t="shared" si="16"/>
        <v>22706</v>
      </c>
      <c r="F520" s="2">
        <f t="shared" si="17"/>
        <v>22706</v>
      </c>
      <c r="G520" s="78">
        <v>518</v>
      </c>
      <c r="H520" s="79"/>
      <c r="I520" s="79"/>
      <c r="J520" s="79">
        <v>28.284210000000002</v>
      </c>
      <c r="K520" s="79">
        <v>24.574839999999998</v>
      </c>
      <c r="L520" s="79"/>
      <c r="M520" s="79"/>
      <c r="N520" s="79">
        <v>32.278269999999999</v>
      </c>
      <c r="O520" s="79"/>
      <c r="P520" s="79"/>
      <c r="Q520" s="79"/>
      <c r="R520" s="79">
        <v>18.212810000000001</v>
      </c>
      <c r="S520" s="79">
        <v>40.235959999999999</v>
      </c>
      <c r="T520" s="79">
        <v>56.961590000000001</v>
      </c>
      <c r="U520" s="79">
        <v>26.824680000000001</v>
      </c>
      <c r="V520" s="79"/>
      <c r="W520" s="79"/>
      <c r="X520" s="79"/>
      <c r="Y520" s="79"/>
      <c r="Z520" s="79">
        <v>41.279539999999997</v>
      </c>
      <c r="AA520" s="79">
        <v>17.58295</v>
      </c>
      <c r="AB520" s="79"/>
      <c r="AC520" s="79">
        <v>39.101289999999999</v>
      </c>
      <c r="AD520" s="79"/>
      <c r="AE520" s="79"/>
      <c r="AF520" s="79">
        <v>26.568239999999999</v>
      </c>
      <c r="AG520" s="79">
        <v>23.222639999999998</v>
      </c>
      <c r="AH520" s="79"/>
      <c r="AI520" s="79"/>
      <c r="AJ520" s="79">
        <v>24.692080000000001</v>
      </c>
      <c r="AK520" s="79"/>
      <c r="AL520" s="79"/>
      <c r="AM520" s="79">
        <v>32.290309999999998</v>
      </c>
      <c r="AN520" s="79"/>
      <c r="AO520" s="79">
        <v>24.923490000000001</v>
      </c>
      <c r="AP520" s="79"/>
      <c r="AQ520" s="79"/>
      <c r="AR520" s="79"/>
      <c r="AS520" s="79"/>
      <c r="AT520" s="79"/>
      <c r="AU520" s="79"/>
      <c r="AV520" s="79"/>
      <c r="AW520" s="79"/>
      <c r="AX520" s="79"/>
      <c r="AY520" s="79"/>
    </row>
    <row r="521" spans="1:51" x14ac:dyDescent="0.2">
      <c r="A521" t="s">
        <v>1066</v>
      </c>
      <c r="B521" s="1">
        <v>22737</v>
      </c>
      <c r="C521" s="78">
        <v>521</v>
      </c>
      <c r="E521" s="1">
        <f t="shared" si="16"/>
        <v>22737</v>
      </c>
      <c r="F521" s="2">
        <f t="shared" si="17"/>
        <v>22737</v>
      </c>
      <c r="G521" s="78">
        <v>519</v>
      </c>
      <c r="H521" s="79"/>
      <c r="I521" s="79"/>
      <c r="J521" s="79">
        <v>28.463619999999999</v>
      </c>
      <c r="K521" s="79">
        <v>24.66319</v>
      </c>
      <c r="L521" s="79"/>
      <c r="M521" s="79"/>
      <c r="N521" s="79">
        <v>31.78453</v>
      </c>
      <c r="O521" s="79"/>
      <c r="P521" s="79"/>
      <c r="Q521" s="79"/>
      <c r="R521" s="79">
        <v>19.022729999999999</v>
      </c>
      <c r="S521" s="79">
        <v>40.07011</v>
      </c>
      <c r="T521" s="79">
        <v>56.961590000000001</v>
      </c>
      <c r="U521" s="79">
        <v>27.25394</v>
      </c>
      <c r="V521" s="79"/>
      <c r="W521" s="79"/>
      <c r="X521" s="79"/>
      <c r="Y521" s="79"/>
      <c r="Z521" s="79">
        <v>41.583770000000001</v>
      </c>
      <c r="AA521" s="79">
        <v>17.330570000000002</v>
      </c>
      <c r="AB521" s="79"/>
      <c r="AC521" s="79">
        <v>39.233849999999997</v>
      </c>
      <c r="AD521" s="79"/>
      <c r="AE521" s="79"/>
      <c r="AF521" s="79">
        <v>26.568239999999999</v>
      </c>
      <c r="AG521" s="79">
        <v>23.86327</v>
      </c>
      <c r="AH521" s="79"/>
      <c r="AI521" s="79"/>
      <c r="AJ521" s="79">
        <v>23.710660000000001</v>
      </c>
      <c r="AK521" s="79"/>
      <c r="AL521" s="79"/>
      <c r="AM521" s="79">
        <v>32.290309999999998</v>
      </c>
      <c r="AN521" s="79"/>
      <c r="AO521" s="79">
        <v>24.976610000000001</v>
      </c>
      <c r="AP521" s="79"/>
      <c r="AQ521" s="79"/>
      <c r="AR521" s="79"/>
      <c r="AS521" s="79"/>
      <c r="AT521" s="79"/>
      <c r="AU521" s="79"/>
      <c r="AV521" s="79"/>
      <c r="AW521" s="79"/>
      <c r="AX521" s="79"/>
      <c r="AY521" s="79"/>
    </row>
    <row r="522" spans="1:51" x14ac:dyDescent="0.2">
      <c r="A522" t="s">
        <v>1067</v>
      </c>
      <c r="B522" s="1">
        <v>22767</v>
      </c>
      <c r="C522" s="78">
        <v>522</v>
      </c>
      <c r="E522" s="1">
        <f t="shared" si="16"/>
        <v>22767</v>
      </c>
      <c r="F522" s="2">
        <f t="shared" si="17"/>
        <v>22767</v>
      </c>
      <c r="G522" s="78">
        <v>520</v>
      </c>
      <c r="H522" s="79"/>
      <c r="I522" s="79"/>
      <c r="J522" s="79">
        <v>29.17792</v>
      </c>
      <c r="K522" s="79">
        <v>25.073419999999999</v>
      </c>
      <c r="L522" s="79"/>
      <c r="M522" s="79"/>
      <c r="N522" s="79">
        <v>32.772010000000002</v>
      </c>
      <c r="O522" s="79"/>
      <c r="P522" s="79"/>
      <c r="Q522" s="79"/>
      <c r="R522" s="79">
        <v>18.711220000000001</v>
      </c>
      <c r="S522" s="79">
        <v>40.368639999999999</v>
      </c>
      <c r="T522" s="79">
        <v>57.461260000000003</v>
      </c>
      <c r="U522" s="79">
        <v>27.15898</v>
      </c>
      <c r="V522" s="79"/>
      <c r="W522" s="79"/>
      <c r="X522" s="79"/>
      <c r="Y522" s="79"/>
      <c r="Z522" s="79">
        <v>42.135179999999998</v>
      </c>
      <c r="AA522" s="79">
        <v>17.58295</v>
      </c>
      <c r="AB522" s="79"/>
      <c r="AC522" s="79">
        <v>37.759230000000002</v>
      </c>
      <c r="AD522" s="79"/>
      <c r="AE522" s="79"/>
      <c r="AF522" s="79">
        <v>26.853919999999999</v>
      </c>
      <c r="AG522" s="79">
        <v>23.771750000000001</v>
      </c>
      <c r="AH522" s="79"/>
      <c r="AI522" s="79"/>
      <c r="AJ522" s="79">
        <v>24.942209999999999</v>
      </c>
      <c r="AK522" s="79"/>
      <c r="AL522" s="79"/>
      <c r="AM522" s="79">
        <v>32.290309999999998</v>
      </c>
      <c r="AN522" s="79"/>
      <c r="AO522" s="79">
        <v>24.95</v>
      </c>
      <c r="AP522" s="79"/>
      <c r="AQ522" s="79"/>
      <c r="AR522" s="79"/>
      <c r="AS522" s="79"/>
      <c r="AT522" s="79"/>
      <c r="AU522" s="79"/>
      <c r="AV522" s="79"/>
      <c r="AW522" s="79"/>
      <c r="AX522" s="79"/>
      <c r="AY522" s="79"/>
    </row>
    <row r="523" spans="1:51" x14ac:dyDescent="0.2">
      <c r="A523" t="s">
        <v>1068</v>
      </c>
      <c r="B523" s="1">
        <v>22798</v>
      </c>
      <c r="C523" s="78">
        <v>523</v>
      </c>
      <c r="E523" s="1">
        <f t="shared" si="16"/>
        <v>22798</v>
      </c>
      <c r="F523" s="2">
        <f t="shared" si="17"/>
        <v>22798</v>
      </c>
      <c r="G523" s="78">
        <v>521</v>
      </c>
      <c r="H523" s="79"/>
      <c r="I523" s="79"/>
      <c r="J523" s="79">
        <v>29.333120000000001</v>
      </c>
      <c r="K523" s="79">
        <v>25.36523</v>
      </c>
      <c r="L523" s="79"/>
      <c r="M523" s="79"/>
      <c r="N523" s="79">
        <v>32.772010000000002</v>
      </c>
      <c r="O523" s="79"/>
      <c r="P523" s="79"/>
      <c r="Q523" s="79"/>
      <c r="R523" s="79">
        <v>18.58662</v>
      </c>
      <c r="S523" s="79">
        <v>40.103279999999998</v>
      </c>
      <c r="T523" s="79">
        <v>57.461260000000003</v>
      </c>
      <c r="U523" s="79">
        <v>27.903199999999998</v>
      </c>
      <c r="V523" s="79"/>
      <c r="W523" s="79"/>
      <c r="X523" s="79"/>
      <c r="Y523" s="79"/>
      <c r="Z523" s="79">
        <v>40.956310000000002</v>
      </c>
      <c r="AA523" s="79">
        <v>17.330570000000002</v>
      </c>
      <c r="AB523" s="79"/>
      <c r="AC523" s="79">
        <v>38.96405</v>
      </c>
      <c r="AD523" s="79"/>
      <c r="AE523" s="79"/>
      <c r="AF523" s="79">
        <v>27.139600000000002</v>
      </c>
      <c r="AG523" s="79">
        <v>23.497199999999999</v>
      </c>
      <c r="AH523" s="79"/>
      <c r="AI523" s="79"/>
      <c r="AJ523" s="79">
        <v>26.053049999999999</v>
      </c>
      <c r="AK523" s="79"/>
      <c r="AL523" s="79"/>
      <c r="AM523" s="79">
        <v>32.745109999999997</v>
      </c>
      <c r="AN523" s="79"/>
      <c r="AO523" s="79">
        <v>24.896889999999999</v>
      </c>
      <c r="AP523" s="79"/>
      <c r="AQ523" s="79"/>
      <c r="AR523" s="79"/>
      <c r="AS523" s="79"/>
      <c r="AT523" s="79"/>
      <c r="AU523" s="79"/>
      <c r="AV523" s="79"/>
      <c r="AW523" s="79"/>
      <c r="AX523" s="79"/>
      <c r="AY523" s="79"/>
    </row>
    <row r="524" spans="1:51" x14ac:dyDescent="0.2">
      <c r="A524" t="s">
        <v>1069</v>
      </c>
      <c r="B524" s="1">
        <v>22828</v>
      </c>
      <c r="C524" s="78">
        <v>524</v>
      </c>
      <c r="E524" s="1">
        <f t="shared" si="16"/>
        <v>22828</v>
      </c>
      <c r="F524" s="2">
        <f t="shared" si="17"/>
        <v>22828</v>
      </c>
      <c r="G524" s="78">
        <v>522</v>
      </c>
      <c r="H524" s="79"/>
      <c r="I524" s="79"/>
      <c r="J524" s="79">
        <v>29.33736</v>
      </c>
      <c r="K524" s="79">
        <v>25.667380000000001</v>
      </c>
      <c r="L524" s="79"/>
      <c r="M524" s="79"/>
      <c r="N524" s="79">
        <v>32.833730000000003</v>
      </c>
      <c r="O524" s="79"/>
      <c r="P524" s="79"/>
      <c r="Q524" s="79"/>
      <c r="R524" s="79">
        <v>18.399709999999999</v>
      </c>
      <c r="S524" s="79">
        <v>40.733519999999999</v>
      </c>
      <c r="T524" s="79">
        <v>57.461260000000003</v>
      </c>
      <c r="U524" s="79">
        <v>27.210540000000002</v>
      </c>
      <c r="V524" s="79"/>
      <c r="W524" s="79"/>
      <c r="X524" s="79"/>
      <c r="Y524" s="79"/>
      <c r="Z524" s="79">
        <v>42.458419999999997</v>
      </c>
      <c r="AA524" s="79">
        <v>16.994050000000001</v>
      </c>
      <c r="AB524" s="79"/>
      <c r="AC524" s="79">
        <v>38.642359999999996</v>
      </c>
      <c r="AD524" s="79"/>
      <c r="AE524" s="79"/>
      <c r="AF524" s="79">
        <v>27.425280000000001</v>
      </c>
      <c r="AG524" s="79">
        <v>23.86327</v>
      </c>
      <c r="AH524" s="79"/>
      <c r="AI524" s="79"/>
      <c r="AJ524" s="79">
        <v>25.08605</v>
      </c>
      <c r="AK524" s="79"/>
      <c r="AL524" s="79"/>
      <c r="AM524" s="79">
        <v>33.654690000000002</v>
      </c>
      <c r="AN524" s="79"/>
      <c r="AO524" s="79">
        <v>25.13625</v>
      </c>
      <c r="AP524" s="79"/>
      <c r="AQ524" s="79"/>
      <c r="AR524" s="79"/>
      <c r="AS524" s="79"/>
      <c r="AT524" s="79"/>
      <c r="AU524" s="79"/>
      <c r="AV524" s="79"/>
      <c r="AW524" s="79"/>
      <c r="AX524" s="79"/>
      <c r="AY524" s="79"/>
    </row>
    <row r="525" spans="1:51" x14ac:dyDescent="0.2">
      <c r="A525" t="s">
        <v>1070</v>
      </c>
      <c r="B525" s="1">
        <v>22859</v>
      </c>
      <c r="C525" s="78">
        <v>525</v>
      </c>
      <c r="E525" s="1">
        <f t="shared" si="16"/>
        <v>22859</v>
      </c>
      <c r="F525" s="2">
        <f t="shared" si="17"/>
        <v>22859</v>
      </c>
      <c r="G525" s="78">
        <v>523</v>
      </c>
      <c r="H525" s="79"/>
      <c r="I525" s="79"/>
      <c r="J525" s="79">
        <v>29.70955</v>
      </c>
      <c r="K525" s="79">
        <v>25.152360000000002</v>
      </c>
      <c r="L525" s="79"/>
      <c r="M525" s="79"/>
      <c r="N525" s="79">
        <v>34.253230000000002</v>
      </c>
      <c r="O525" s="79"/>
      <c r="P525" s="79"/>
      <c r="Q525" s="79"/>
      <c r="R525" s="79">
        <v>18.58662</v>
      </c>
      <c r="S525" s="79">
        <v>40.733519999999999</v>
      </c>
      <c r="T525" s="79">
        <v>57.461260000000003</v>
      </c>
      <c r="U525" s="79">
        <v>27.04476</v>
      </c>
      <c r="V525" s="79"/>
      <c r="W525" s="79"/>
      <c r="X525" s="79"/>
      <c r="Y525" s="79"/>
      <c r="Z525" s="79">
        <v>42.534469999999999</v>
      </c>
      <c r="AA525" s="79">
        <v>17.330570000000002</v>
      </c>
      <c r="AB525" s="79"/>
      <c r="AC525" s="79">
        <v>38.65822</v>
      </c>
      <c r="AD525" s="79"/>
      <c r="AE525" s="79"/>
      <c r="AF525" s="79">
        <v>27.425280000000001</v>
      </c>
      <c r="AG525" s="79">
        <v>24.000540000000001</v>
      </c>
      <c r="AH525" s="79"/>
      <c r="AI525" s="79"/>
      <c r="AJ525" s="79">
        <v>25.922599999999999</v>
      </c>
      <c r="AK525" s="79"/>
      <c r="AL525" s="79"/>
      <c r="AM525" s="79">
        <v>33.654690000000002</v>
      </c>
      <c r="AN525" s="79"/>
      <c r="AO525" s="79">
        <v>25.162849999999999</v>
      </c>
      <c r="AP525" s="79"/>
      <c r="AQ525" s="79"/>
      <c r="AR525" s="79"/>
      <c r="AS525" s="79"/>
      <c r="AT525" s="79"/>
      <c r="AU525" s="79"/>
      <c r="AV525" s="79"/>
      <c r="AW525" s="79"/>
      <c r="AX525" s="79"/>
      <c r="AY525" s="79"/>
    </row>
    <row r="526" spans="1:51" x14ac:dyDescent="0.2">
      <c r="A526" t="s">
        <v>1071</v>
      </c>
      <c r="B526" s="1">
        <v>22890</v>
      </c>
      <c r="C526" s="78">
        <v>526</v>
      </c>
      <c r="E526" s="1">
        <f t="shared" si="16"/>
        <v>22890</v>
      </c>
      <c r="F526" s="2">
        <f t="shared" si="17"/>
        <v>22890</v>
      </c>
      <c r="G526" s="78">
        <v>524</v>
      </c>
      <c r="H526" s="79"/>
      <c r="I526" s="79"/>
      <c r="J526" s="79">
        <v>29.687639999999998</v>
      </c>
      <c r="K526" s="79">
        <v>25.745380000000001</v>
      </c>
      <c r="L526" s="79"/>
      <c r="M526" s="79"/>
      <c r="N526" s="79">
        <v>33.45091</v>
      </c>
      <c r="O526" s="79"/>
      <c r="P526" s="79"/>
      <c r="Q526" s="79"/>
      <c r="R526" s="79">
        <v>19.064260000000001</v>
      </c>
      <c r="S526" s="79">
        <v>41.032049999999998</v>
      </c>
      <c r="T526" s="79">
        <v>57.960920000000002</v>
      </c>
      <c r="U526" s="79">
        <v>27.63672</v>
      </c>
      <c r="V526" s="79"/>
      <c r="W526" s="79"/>
      <c r="X526" s="79"/>
      <c r="Y526" s="79"/>
      <c r="Z526" s="79">
        <v>41.830950000000001</v>
      </c>
      <c r="AA526" s="79">
        <v>17.07818</v>
      </c>
      <c r="AB526" s="79"/>
      <c r="AC526" s="79">
        <v>40.418799999999997</v>
      </c>
      <c r="AD526" s="79"/>
      <c r="AE526" s="79"/>
      <c r="AF526" s="79">
        <v>27.425280000000001</v>
      </c>
      <c r="AG526" s="79">
        <v>24.183579999999999</v>
      </c>
      <c r="AH526" s="79"/>
      <c r="AI526" s="79"/>
      <c r="AJ526" s="79">
        <v>24.948419999999999</v>
      </c>
      <c r="AK526" s="79"/>
      <c r="AL526" s="79"/>
      <c r="AM526" s="79">
        <v>33.654690000000002</v>
      </c>
      <c r="AN526" s="79"/>
      <c r="AO526" s="79">
        <v>25.322389999999999</v>
      </c>
      <c r="AP526" s="79"/>
      <c r="AQ526" s="79"/>
      <c r="AR526" s="79"/>
      <c r="AS526" s="79"/>
      <c r="AT526" s="79"/>
      <c r="AU526" s="79"/>
      <c r="AV526" s="79"/>
      <c r="AW526" s="79"/>
      <c r="AX526" s="79"/>
      <c r="AY526" s="79"/>
    </row>
    <row r="527" spans="1:51" x14ac:dyDescent="0.2">
      <c r="A527" t="s">
        <v>1072</v>
      </c>
      <c r="B527" s="1">
        <v>22920</v>
      </c>
      <c r="C527" s="78">
        <v>527</v>
      </c>
      <c r="E527" s="1">
        <f t="shared" si="16"/>
        <v>22920</v>
      </c>
      <c r="F527" s="2">
        <f t="shared" si="17"/>
        <v>22920</v>
      </c>
      <c r="G527" s="78">
        <v>525</v>
      </c>
      <c r="H527" s="79"/>
      <c r="I527" s="79"/>
      <c r="J527" s="79">
        <v>29.444369999999999</v>
      </c>
      <c r="K527" s="79">
        <v>25.576689999999999</v>
      </c>
      <c r="L527" s="79"/>
      <c r="M527" s="79"/>
      <c r="N527" s="79">
        <v>32.895449999999997</v>
      </c>
      <c r="O527" s="79"/>
      <c r="P527" s="79"/>
      <c r="Q527" s="79"/>
      <c r="R527" s="79">
        <v>18.752749999999999</v>
      </c>
      <c r="S527" s="79">
        <v>41.164740000000002</v>
      </c>
      <c r="T527" s="79">
        <v>56.961590000000001</v>
      </c>
      <c r="U527" s="79">
        <v>27.90868</v>
      </c>
      <c r="V527" s="79"/>
      <c r="W527" s="79"/>
      <c r="X527" s="79"/>
      <c r="Y527" s="79"/>
      <c r="Z527" s="79">
        <v>42.40137</v>
      </c>
      <c r="AA527" s="79">
        <v>16.994050000000001</v>
      </c>
      <c r="AB527" s="79"/>
      <c r="AC527" s="79">
        <v>39.461280000000002</v>
      </c>
      <c r="AD527" s="79"/>
      <c r="AE527" s="79"/>
      <c r="AF527" s="79">
        <v>27.425280000000001</v>
      </c>
      <c r="AG527" s="79">
        <v>24.709810000000001</v>
      </c>
      <c r="AH527" s="79"/>
      <c r="AI527" s="79"/>
      <c r="AJ527" s="79">
        <v>24.649429999999999</v>
      </c>
      <c r="AK527" s="79"/>
      <c r="AL527" s="79"/>
      <c r="AM527" s="79">
        <v>33.654690000000002</v>
      </c>
      <c r="AN527" s="79"/>
      <c r="AO527" s="79">
        <v>25.349</v>
      </c>
      <c r="AP527" s="79"/>
      <c r="AQ527" s="79"/>
      <c r="AR527" s="79"/>
      <c r="AS527" s="79"/>
      <c r="AT527" s="79"/>
      <c r="AU527" s="79"/>
      <c r="AV527" s="79"/>
      <c r="AW527" s="79"/>
      <c r="AX527" s="79"/>
      <c r="AY527" s="79"/>
    </row>
    <row r="528" spans="1:51" x14ac:dyDescent="0.2">
      <c r="A528" t="s">
        <v>1073</v>
      </c>
      <c r="B528" s="1">
        <v>22951</v>
      </c>
      <c r="C528" s="78">
        <v>528</v>
      </c>
      <c r="E528" s="1">
        <f t="shared" si="16"/>
        <v>22951</v>
      </c>
      <c r="F528" s="2">
        <f t="shared" si="17"/>
        <v>22951</v>
      </c>
      <c r="G528" s="78">
        <v>526</v>
      </c>
      <c r="H528" s="79"/>
      <c r="I528" s="79"/>
      <c r="J528" s="79">
        <v>29.50554</v>
      </c>
      <c r="K528" s="79">
        <v>25.598769999999998</v>
      </c>
      <c r="L528" s="79"/>
      <c r="M528" s="79"/>
      <c r="N528" s="79">
        <v>33.574339999999999</v>
      </c>
      <c r="O528" s="79"/>
      <c r="P528" s="79"/>
      <c r="Q528" s="79"/>
      <c r="R528" s="79">
        <v>19.00196</v>
      </c>
      <c r="S528" s="79">
        <v>41.363759999999999</v>
      </c>
      <c r="T528" s="79">
        <v>56.961590000000001</v>
      </c>
      <c r="U528" s="79">
        <v>27.945329999999998</v>
      </c>
      <c r="V528" s="79"/>
      <c r="W528" s="79"/>
      <c r="X528" s="79"/>
      <c r="Y528" s="79"/>
      <c r="Z528" s="79">
        <v>43.314050000000002</v>
      </c>
      <c r="AA528" s="79">
        <v>17.07818</v>
      </c>
      <c r="AB528" s="79"/>
      <c r="AC528" s="79">
        <v>41.37086</v>
      </c>
      <c r="AD528" s="79"/>
      <c r="AE528" s="79"/>
      <c r="AF528" s="79">
        <v>27.71096</v>
      </c>
      <c r="AG528" s="79">
        <v>24.68693</v>
      </c>
      <c r="AH528" s="79"/>
      <c r="AI528" s="79"/>
      <c r="AJ528" s="79">
        <v>25.564699999999998</v>
      </c>
      <c r="AK528" s="79"/>
      <c r="AL528" s="79"/>
      <c r="AM528" s="79">
        <v>34.109490000000001</v>
      </c>
      <c r="AN528" s="79"/>
      <c r="AO528" s="79">
        <v>25.45542</v>
      </c>
      <c r="AP528" s="79"/>
      <c r="AQ528" s="79"/>
      <c r="AR528" s="79"/>
      <c r="AS528" s="79"/>
      <c r="AT528" s="79"/>
      <c r="AU528" s="79"/>
      <c r="AV528" s="79"/>
      <c r="AW528" s="79"/>
      <c r="AX528" s="79"/>
      <c r="AY528" s="79"/>
    </row>
    <row r="529" spans="1:51" x14ac:dyDescent="0.2">
      <c r="A529" t="s">
        <v>1074</v>
      </c>
      <c r="B529" s="1">
        <v>22981</v>
      </c>
      <c r="C529" s="78">
        <v>529</v>
      </c>
      <c r="E529" s="1">
        <f t="shared" si="16"/>
        <v>22981</v>
      </c>
      <c r="F529" s="2">
        <f t="shared" si="17"/>
        <v>22981</v>
      </c>
      <c r="G529" s="78">
        <v>527</v>
      </c>
      <c r="H529" s="79"/>
      <c r="I529" s="79"/>
      <c r="J529" s="79">
        <v>29.680040000000002</v>
      </c>
      <c r="K529" s="79">
        <v>25.576689999999999</v>
      </c>
      <c r="L529" s="79"/>
      <c r="M529" s="79"/>
      <c r="N529" s="79">
        <v>32.710299999999997</v>
      </c>
      <c r="O529" s="79"/>
      <c r="P529" s="79"/>
      <c r="Q529" s="79"/>
      <c r="R529" s="79">
        <v>19.2927</v>
      </c>
      <c r="S529" s="79">
        <v>40.998890000000003</v>
      </c>
      <c r="T529" s="79">
        <v>56.961590000000001</v>
      </c>
      <c r="U529" s="79">
        <v>27.742809999999999</v>
      </c>
      <c r="V529" s="79"/>
      <c r="W529" s="79"/>
      <c r="X529" s="79"/>
      <c r="Y529" s="79"/>
      <c r="Z529" s="79">
        <v>44.245739999999998</v>
      </c>
      <c r="AA529" s="79">
        <v>16.994050000000001</v>
      </c>
      <c r="AB529" s="79"/>
      <c r="AC529" s="79">
        <v>39.221789999999999</v>
      </c>
      <c r="AD529" s="79"/>
      <c r="AE529" s="79"/>
      <c r="AF529" s="79">
        <v>26.853919999999999</v>
      </c>
      <c r="AG529" s="79">
        <v>24.046299999999999</v>
      </c>
      <c r="AH529" s="79"/>
      <c r="AI529" s="79"/>
      <c r="AJ529" s="79">
        <v>24.36543</v>
      </c>
      <c r="AK529" s="79"/>
      <c r="AL529" s="79"/>
      <c r="AM529" s="79">
        <v>34.564279999999997</v>
      </c>
      <c r="AN529" s="79"/>
      <c r="AO529" s="79">
        <v>25.45542</v>
      </c>
      <c r="AP529" s="79"/>
      <c r="AQ529" s="79"/>
      <c r="AR529" s="79"/>
      <c r="AS529" s="79"/>
      <c r="AT529" s="79"/>
      <c r="AU529" s="79"/>
      <c r="AV529" s="79"/>
      <c r="AW529" s="79"/>
      <c r="AX529" s="79"/>
      <c r="AY529" s="79"/>
    </row>
    <row r="530" spans="1:51" x14ac:dyDescent="0.2">
      <c r="A530" t="s">
        <v>1075</v>
      </c>
      <c r="B530" s="1">
        <v>23012</v>
      </c>
      <c r="C530" s="78">
        <v>530</v>
      </c>
      <c r="E530" s="1">
        <f t="shared" si="16"/>
        <v>23012</v>
      </c>
      <c r="F530" s="2">
        <f t="shared" si="17"/>
        <v>23012</v>
      </c>
      <c r="G530" s="78">
        <v>528</v>
      </c>
      <c r="H530" s="79"/>
      <c r="I530" s="79"/>
      <c r="J530" s="79">
        <v>29.2761</v>
      </c>
      <c r="K530" s="79">
        <v>25.600180000000002</v>
      </c>
      <c r="L530" s="79"/>
      <c r="M530" s="79"/>
      <c r="N530" s="79">
        <v>32.833730000000003</v>
      </c>
      <c r="O530" s="79"/>
      <c r="P530" s="79"/>
      <c r="Q530" s="79"/>
      <c r="R530" s="79">
        <v>19.105799999999999</v>
      </c>
      <c r="S530" s="79">
        <v>41.099780000000003</v>
      </c>
      <c r="T530" s="79">
        <v>55.962269999999997</v>
      </c>
      <c r="U530" s="79">
        <v>28.05904</v>
      </c>
      <c r="V530" s="79"/>
      <c r="W530" s="79"/>
      <c r="X530" s="79"/>
      <c r="Y530" s="79"/>
      <c r="Z530" s="79">
        <v>44.22672</v>
      </c>
      <c r="AA530" s="79">
        <v>17.330570000000002</v>
      </c>
      <c r="AB530" s="79"/>
      <c r="AC530" s="79">
        <v>38.837870000000002</v>
      </c>
      <c r="AD530" s="79"/>
      <c r="AE530" s="79"/>
      <c r="AF530" s="79">
        <v>26.853919999999999</v>
      </c>
      <c r="AG530" s="79">
        <v>24.20646</v>
      </c>
      <c r="AH530" s="79"/>
      <c r="AI530" s="79"/>
      <c r="AJ530" s="79">
        <v>25.039359999999999</v>
      </c>
      <c r="AK530" s="79"/>
      <c r="AL530" s="79"/>
      <c r="AM530" s="79">
        <v>33.1999</v>
      </c>
      <c r="AN530" s="79"/>
      <c r="AO530" s="79">
        <v>25.641570000000002</v>
      </c>
      <c r="AP530" s="79"/>
      <c r="AQ530" s="79"/>
      <c r="AR530" s="79"/>
      <c r="AS530" s="79"/>
      <c r="AT530" s="79"/>
      <c r="AU530" s="79"/>
      <c r="AV530" s="79"/>
      <c r="AW530" s="79"/>
      <c r="AX530" s="79"/>
      <c r="AY530" s="79"/>
    </row>
    <row r="531" spans="1:51" x14ac:dyDescent="0.2">
      <c r="A531" t="s">
        <v>1076</v>
      </c>
      <c r="B531" s="1">
        <v>23043</v>
      </c>
      <c r="C531" s="78">
        <v>531</v>
      </c>
      <c r="E531" s="1">
        <f t="shared" si="16"/>
        <v>23043</v>
      </c>
      <c r="F531" s="2">
        <f t="shared" si="17"/>
        <v>23043</v>
      </c>
      <c r="G531" s="78">
        <v>529</v>
      </c>
      <c r="H531" s="79"/>
      <c r="I531" s="79"/>
      <c r="J531" s="79">
        <v>29.646370000000001</v>
      </c>
      <c r="K531" s="79">
        <v>25.81352</v>
      </c>
      <c r="L531" s="79"/>
      <c r="M531" s="79"/>
      <c r="N531" s="79">
        <v>32.463430000000002</v>
      </c>
      <c r="O531" s="79"/>
      <c r="P531" s="79"/>
      <c r="Q531" s="79"/>
      <c r="R531" s="79">
        <v>19.00196</v>
      </c>
      <c r="S531" s="79">
        <v>40.489080000000001</v>
      </c>
      <c r="T531" s="79">
        <v>56.961590000000001</v>
      </c>
      <c r="U531" s="79">
        <v>29.191990000000001</v>
      </c>
      <c r="V531" s="79"/>
      <c r="W531" s="79"/>
      <c r="X531" s="79"/>
      <c r="Y531" s="79"/>
      <c r="Z531" s="79">
        <v>43.180950000000003</v>
      </c>
      <c r="AA531" s="79">
        <v>17.835339999999999</v>
      </c>
      <c r="AB531" s="79"/>
      <c r="AC531" s="79">
        <v>38.352589999999999</v>
      </c>
      <c r="AD531" s="79"/>
      <c r="AE531" s="79"/>
      <c r="AF531" s="79">
        <v>26.853919999999999</v>
      </c>
      <c r="AG531" s="79">
        <v>24.57253</v>
      </c>
      <c r="AH531" s="79"/>
      <c r="AI531" s="79"/>
      <c r="AJ531" s="79">
        <v>25.24794</v>
      </c>
      <c r="AK531" s="79"/>
      <c r="AL531" s="79"/>
      <c r="AM531" s="79">
        <v>33.654690000000002</v>
      </c>
      <c r="AN531" s="79"/>
      <c r="AO531" s="79">
        <v>25.934239999999999</v>
      </c>
      <c r="AP531" s="79"/>
      <c r="AQ531" s="79"/>
      <c r="AR531" s="79"/>
      <c r="AS531" s="79"/>
      <c r="AT531" s="79"/>
      <c r="AU531" s="79"/>
      <c r="AV531" s="79"/>
      <c r="AW531" s="79"/>
      <c r="AX531" s="79"/>
      <c r="AY531" s="79"/>
    </row>
    <row r="532" spans="1:51" x14ac:dyDescent="0.2">
      <c r="A532" t="s">
        <v>1077</v>
      </c>
      <c r="B532" s="1">
        <v>23071</v>
      </c>
      <c r="C532" s="78">
        <v>532</v>
      </c>
      <c r="E532" s="1">
        <f t="shared" si="16"/>
        <v>23071</v>
      </c>
      <c r="F532" s="2">
        <f t="shared" si="17"/>
        <v>23071</v>
      </c>
      <c r="G532" s="78">
        <v>530</v>
      </c>
      <c r="H532" s="79"/>
      <c r="I532" s="79"/>
      <c r="J532" s="79">
        <v>30.502369999999999</v>
      </c>
      <c r="K532" s="79">
        <v>26.098759999999999</v>
      </c>
      <c r="L532" s="79"/>
      <c r="M532" s="79"/>
      <c r="N532" s="79">
        <v>33.265749999999997</v>
      </c>
      <c r="O532" s="79"/>
      <c r="P532" s="79"/>
      <c r="Q532" s="79"/>
      <c r="R532" s="79">
        <v>18.108969999999999</v>
      </c>
      <c r="S532" s="79">
        <v>36.39743</v>
      </c>
      <c r="T532" s="79">
        <v>57.960920000000002</v>
      </c>
      <c r="U532" s="79">
        <v>29.211670000000002</v>
      </c>
      <c r="V532" s="79"/>
      <c r="W532" s="79"/>
      <c r="X532" s="79"/>
      <c r="Y532" s="79"/>
      <c r="Z532" s="79">
        <v>44.397849999999998</v>
      </c>
      <c r="AA532" s="79">
        <v>17.91947</v>
      </c>
      <c r="AB532" s="79"/>
      <c r="AC532" s="79">
        <v>38.375230000000002</v>
      </c>
      <c r="AD532" s="79"/>
      <c r="AE532" s="79"/>
      <c r="AF532" s="79">
        <v>27.71096</v>
      </c>
      <c r="AG532" s="79">
        <v>24.252220000000001</v>
      </c>
      <c r="AH532" s="79"/>
      <c r="AI532" s="79"/>
      <c r="AJ532" s="79">
        <v>25.333829999999999</v>
      </c>
      <c r="AK532" s="79"/>
      <c r="AL532" s="79"/>
      <c r="AM532" s="79">
        <v>33.1999</v>
      </c>
      <c r="AN532" s="79"/>
      <c r="AO532" s="79">
        <v>26.093779999999999</v>
      </c>
      <c r="AP532" s="79"/>
      <c r="AQ532" s="79"/>
      <c r="AR532" s="79"/>
      <c r="AS532" s="79"/>
      <c r="AT532" s="79"/>
      <c r="AU532" s="79"/>
      <c r="AV532" s="79"/>
      <c r="AW532" s="79"/>
      <c r="AX532" s="79"/>
      <c r="AY532" s="79"/>
    </row>
    <row r="533" spans="1:51" x14ac:dyDescent="0.2">
      <c r="A533" t="s">
        <v>1078</v>
      </c>
      <c r="B533" s="1">
        <v>23102</v>
      </c>
      <c r="C533" s="78">
        <v>533</v>
      </c>
      <c r="E533" s="1">
        <f t="shared" si="16"/>
        <v>23102</v>
      </c>
      <c r="F533" s="2">
        <f t="shared" si="17"/>
        <v>23102</v>
      </c>
      <c r="G533" s="78">
        <v>531</v>
      </c>
      <c r="H533" s="79"/>
      <c r="I533" s="79"/>
      <c r="J533" s="79">
        <v>31.350380000000001</v>
      </c>
      <c r="K533" s="79">
        <v>26.13964</v>
      </c>
      <c r="L533" s="79"/>
      <c r="M533" s="79"/>
      <c r="N533" s="79">
        <v>33.574339999999999</v>
      </c>
      <c r="O533" s="79"/>
      <c r="P533" s="79"/>
      <c r="Q533" s="79"/>
      <c r="R533" s="79">
        <v>19.230399999999999</v>
      </c>
      <c r="S533" s="79">
        <v>41.466200000000001</v>
      </c>
      <c r="T533" s="79">
        <v>57.461260000000003</v>
      </c>
      <c r="U533" s="79">
        <v>28.82527</v>
      </c>
      <c r="V533" s="79"/>
      <c r="W533" s="79"/>
      <c r="X533" s="79"/>
      <c r="Y533" s="79"/>
      <c r="Z533" s="79">
        <v>45.519680000000001</v>
      </c>
      <c r="AA533" s="79">
        <v>18.592500000000001</v>
      </c>
      <c r="AB533" s="79"/>
      <c r="AC533" s="79">
        <v>38.994160000000001</v>
      </c>
      <c r="AD533" s="79"/>
      <c r="AE533" s="79"/>
      <c r="AF533" s="79">
        <v>28.282319999999999</v>
      </c>
      <c r="AG533" s="79">
        <v>24.618289999999998</v>
      </c>
      <c r="AH533" s="79"/>
      <c r="AI533" s="79"/>
      <c r="AJ533" s="79">
        <v>25.588039999999999</v>
      </c>
      <c r="AK533" s="79"/>
      <c r="AL533" s="79"/>
      <c r="AM533" s="79">
        <v>34.109490000000001</v>
      </c>
      <c r="AN533" s="79"/>
      <c r="AO533" s="79">
        <v>26.33323</v>
      </c>
      <c r="AP533" s="79"/>
      <c r="AQ533" s="79"/>
      <c r="AR533" s="79"/>
      <c r="AS533" s="79"/>
      <c r="AT533" s="79"/>
      <c r="AU533" s="79"/>
      <c r="AV533" s="79"/>
      <c r="AW533" s="79"/>
      <c r="AX533" s="79"/>
      <c r="AY533" s="79"/>
    </row>
    <row r="534" spans="1:51" x14ac:dyDescent="0.2">
      <c r="A534" t="s">
        <v>1079</v>
      </c>
      <c r="B534" s="1">
        <v>23132</v>
      </c>
      <c r="C534" s="78">
        <v>534</v>
      </c>
      <c r="E534" s="1">
        <f t="shared" si="16"/>
        <v>23132</v>
      </c>
      <c r="F534" s="2">
        <f t="shared" si="17"/>
        <v>23132</v>
      </c>
      <c r="G534" s="78">
        <v>532</v>
      </c>
      <c r="H534" s="79"/>
      <c r="I534" s="79"/>
      <c r="J534" s="79">
        <v>31.637779999999999</v>
      </c>
      <c r="K534" s="79">
        <v>26.497240000000001</v>
      </c>
      <c r="L534" s="79"/>
      <c r="M534" s="79"/>
      <c r="N534" s="79">
        <v>33.821210000000001</v>
      </c>
      <c r="O534" s="79"/>
      <c r="P534" s="79"/>
      <c r="Q534" s="79"/>
      <c r="R534" s="79">
        <v>19.479600000000001</v>
      </c>
      <c r="S534" s="79">
        <v>43.176139999999997</v>
      </c>
      <c r="T534" s="79">
        <v>58.46058</v>
      </c>
      <c r="U534" s="79">
        <v>29.174530000000001</v>
      </c>
      <c r="V534" s="79"/>
      <c r="W534" s="79"/>
      <c r="X534" s="79"/>
      <c r="Y534" s="79"/>
      <c r="Z534" s="79">
        <v>45.46264</v>
      </c>
      <c r="AA534" s="79">
        <v>18.844889999999999</v>
      </c>
      <c r="AB534" s="79"/>
      <c r="AC534" s="79">
        <v>39.489960000000004</v>
      </c>
      <c r="AD534" s="79"/>
      <c r="AE534" s="79"/>
      <c r="AF534" s="79">
        <v>28.282319999999999</v>
      </c>
      <c r="AG534" s="79">
        <v>25.23603</v>
      </c>
      <c r="AH534" s="79"/>
      <c r="AI534" s="79"/>
      <c r="AJ534" s="79">
        <v>26.290479999999999</v>
      </c>
      <c r="AK534" s="79"/>
      <c r="AL534" s="79"/>
      <c r="AM534" s="79">
        <v>34.564279999999997</v>
      </c>
      <c r="AN534" s="79"/>
      <c r="AO534" s="79">
        <v>26.65241</v>
      </c>
      <c r="AP534" s="79"/>
      <c r="AQ534" s="79"/>
      <c r="AR534" s="79"/>
      <c r="AS534" s="79"/>
      <c r="AT534" s="79"/>
      <c r="AU534" s="79"/>
      <c r="AV534" s="79"/>
      <c r="AW534" s="79"/>
      <c r="AX534" s="79"/>
      <c r="AY534" s="79"/>
    </row>
    <row r="535" spans="1:51" x14ac:dyDescent="0.2">
      <c r="A535" t="s">
        <v>1080</v>
      </c>
      <c r="B535" s="1">
        <v>23163</v>
      </c>
      <c r="C535" s="78">
        <v>535</v>
      </c>
      <c r="E535" s="1">
        <f t="shared" si="16"/>
        <v>23163</v>
      </c>
      <c r="F535" s="2">
        <f t="shared" si="17"/>
        <v>23163</v>
      </c>
      <c r="G535" s="78">
        <v>533</v>
      </c>
      <c r="H535" s="79"/>
      <c r="I535" s="79"/>
      <c r="J535" s="79">
        <v>31.54674</v>
      </c>
      <c r="K535" s="79">
        <v>26.862829999999999</v>
      </c>
      <c r="L535" s="79"/>
      <c r="M535" s="79"/>
      <c r="N535" s="79">
        <v>33.512630000000001</v>
      </c>
      <c r="O535" s="79"/>
      <c r="P535" s="79"/>
      <c r="Q535" s="79"/>
      <c r="R535" s="79">
        <v>20.310289999999998</v>
      </c>
      <c r="S535" s="79">
        <v>43.176139999999997</v>
      </c>
      <c r="T535" s="79">
        <v>59.459910000000001</v>
      </c>
      <c r="U535" s="79">
        <v>29.144030000000001</v>
      </c>
      <c r="V535" s="79"/>
      <c r="W535" s="79"/>
      <c r="X535" s="79"/>
      <c r="Y535" s="79"/>
      <c r="Z535" s="79">
        <v>46.261229999999998</v>
      </c>
      <c r="AA535" s="79">
        <v>18.676629999999999</v>
      </c>
      <c r="AB535" s="79"/>
      <c r="AC535" s="79">
        <v>40.094749999999998</v>
      </c>
      <c r="AD535" s="79"/>
      <c r="AE535" s="79"/>
      <c r="AF535" s="79">
        <v>28.853680000000001</v>
      </c>
      <c r="AG535" s="79">
        <v>24.595410000000001</v>
      </c>
      <c r="AH535" s="79"/>
      <c r="AI535" s="79"/>
      <c r="AJ535" s="79">
        <v>24.941510000000001</v>
      </c>
      <c r="AK535" s="79"/>
      <c r="AL535" s="79"/>
      <c r="AM535" s="79">
        <v>35.473869999999998</v>
      </c>
      <c r="AN535" s="79"/>
      <c r="AO535" s="79">
        <v>26.732230000000001</v>
      </c>
      <c r="AP535" s="79"/>
      <c r="AQ535" s="79"/>
      <c r="AR535" s="79"/>
      <c r="AS535" s="79"/>
      <c r="AT535" s="79"/>
      <c r="AU535" s="79"/>
      <c r="AV535" s="79"/>
      <c r="AW535" s="79"/>
      <c r="AX535" s="79"/>
      <c r="AY535" s="79"/>
    </row>
    <row r="536" spans="1:51" x14ac:dyDescent="0.2">
      <c r="A536" t="s">
        <v>1081</v>
      </c>
      <c r="B536" s="1">
        <v>23193</v>
      </c>
      <c r="C536" s="78">
        <v>536</v>
      </c>
      <c r="E536" s="1">
        <f t="shared" si="16"/>
        <v>23193</v>
      </c>
      <c r="F536" s="2">
        <f t="shared" si="17"/>
        <v>23193</v>
      </c>
      <c r="G536" s="78">
        <v>534</v>
      </c>
      <c r="H536" s="79"/>
      <c r="I536" s="79"/>
      <c r="J536" s="79">
        <v>31.24831</v>
      </c>
      <c r="K536" s="79">
        <v>26.34076</v>
      </c>
      <c r="L536" s="79"/>
      <c r="M536" s="79"/>
      <c r="N536" s="79">
        <v>34.068080000000002</v>
      </c>
      <c r="O536" s="79"/>
      <c r="P536" s="79"/>
      <c r="Q536" s="79"/>
      <c r="R536" s="79">
        <v>19.375769999999999</v>
      </c>
      <c r="S536" s="79">
        <v>44.336460000000002</v>
      </c>
      <c r="T536" s="79">
        <v>59.959569999999999</v>
      </c>
      <c r="U536" s="79">
        <v>29.289919999999999</v>
      </c>
      <c r="V536" s="79"/>
      <c r="W536" s="79"/>
      <c r="X536" s="79"/>
      <c r="Y536" s="79"/>
      <c r="Z536" s="79">
        <v>45.861930000000001</v>
      </c>
      <c r="AA536" s="79">
        <v>19.34966</v>
      </c>
      <c r="AB536" s="79"/>
      <c r="AC536" s="79">
        <v>40.627319999999997</v>
      </c>
      <c r="AD536" s="79"/>
      <c r="AE536" s="79"/>
      <c r="AF536" s="79">
        <v>29.13936</v>
      </c>
      <c r="AG536" s="79">
        <v>25.9453</v>
      </c>
      <c r="AH536" s="79"/>
      <c r="AI536" s="79"/>
      <c r="AJ536" s="79">
        <v>25.60228</v>
      </c>
      <c r="AK536" s="79"/>
      <c r="AL536" s="79"/>
      <c r="AM536" s="79">
        <v>35.019069999999999</v>
      </c>
      <c r="AN536" s="79"/>
      <c r="AO536" s="79">
        <v>26.625800000000002</v>
      </c>
      <c r="AP536" s="79"/>
      <c r="AQ536" s="79"/>
      <c r="AR536" s="79"/>
      <c r="AS536" s="79"/>
      <c r="AT536" s="79"/>
      <c r="AU536" s="79"/>
      <c r="AV536" s="79"/>
      <c r="AW536" s="79"/>
      <c r="AX536" s="79"/>
      <c r="AY536" s="79"/>
    </row>
    <row r="537" spans="1:51" x14ac:dyDescent="0.2">
      <c r="A537" t="s">
        <v>1082</v>
      </c>
      <c r="B537" s="1">
        <v>23224</v>
      </c>
      <c r="C537" s="78">
        <v>537</v>
      </c>
      <c r="E537" s="1">
        <f t="shared" si="16"/>
        <v>23224</v>
      </c>
      <c r="F537" s="2">
        <f t="shared" si="17"/>
        <v>23224</v>
      </c>
      <c r="G537" s="78">
        <v>535</v>
      </c>
      <c r="H537" s="79"/>
      <c r="I537" s="79"/>
      <c r="J537" s="79">
        <v>32.270910000000001</v>
      </c>
      <c r="K537" s="79">
        <v>26.351099999999999</v>
      </c>
      <c r="L537" s="79"/>
      <c r="M537" s="79"/>
      <c r="N537" s="79">
        <v>35.302430000000001</v>
      </c>
      <c r="O537" s="79"/>
      <c r="P537" s="79"/>
      <c r="Q537" s="79"/>
      <c r="R537" s="79">
        <v>19.79111</v>
      </c>
      <c r="S537" s="79">
        <v>44.336460000000002</v>
      </c>
      <c r="T537" s="79">
        <v>60.459240000000001</v>
      </c>
      <c r="U537" s="79">
        <v>31.418469999999999</v>
      </c>
      <c r="V537" s="79"/>
      <c r="W537" s="79"/>
      <c r="X537" s="79"/>
      <c r="Y537" s="79"/>
      <c r="Z537" s="79">
        <v>46.546439999999997</v>
      </c>
      <c r="AA537" s="79">
        <v>19.85444</v>
      </c>
      <c r="AB537" s="79"/>
      <c r="AC537" s="79">
        <v>40.454529999999998</v>
      </c>
      <c r="AD537" s="79"/>
      <c r="AE537" s="79"/>
      <c r="AF537" s="79">
        <v>29.13936</v>
      </c>
      <c r="AG537" s="79">
        <v>25.37331</v>
      </c>
      <c r="AH537" s="79"/>
      <c r="AI537" s="79"/>
      <c r="AJ537" s="79">
        <v>26.04644</v>
      </c>
      <c r="AK537" s="79"/>
      <c r="AL537" s="79"/>
      <c r="AM537" s="79">
        <v>35.928660000000001</v>
      </c>
      <c r="AN537" s="79"/>
      <c r="AO537" s="79">
        <v>26.679020000000001</v>
      </c>
      <c r="AP537" s="79"/>
      <c r="AQ537" s="79"/>
      <c r="AR537" s="79"/>
      <c r="AS537" s="79"/>
      <c r="AT537" s="79"/>
      <c r="AU537" s="79"/>
      <c r="AV537" s="79"/>
      <c r="AW537" s="79"/>
      <c r="AX537" s="79"/>
      <c r="AY537" s="79"/>
    </row>
    <row r="538" spans="1:51" x14ac:dyDescent="0.2">
      <c r="A538" t="s">
        <v>1083</v>
      </c>
      <c r="B538" s="1">
        <v>23255</v>
      </c>
      <c r="C538" s="78">
        <v>538</v>
      </c>
      <c r="E538" s="1">
        <f t="shared" si="16"/>
        <v>23255</v>
      </c>
      <c r="F538" s="2">
        <f t="shared" si="17"/>
        <v>23255</v>
      </c>
      <c r="G538" s="78">
        <v>536</v>
      </c>
      <c r="H538" s="79"/>
      <c r="I538" s="79"/>
      <c r="J538" s="79">
        <v>32.333280000000002</v>
      </c>
      <c r="K538" s="79">
        <v>27.440349999999999</v>
      </c>
      <c r="L538" s="79"/>
      <c r="M538" s="79"/>
      <c r="N538" s="79">
        <v>34.314950000000003</v>
      </c>
      <c r="O538" s="79"/>
      <c r="P538" s="79"/>
      <c r="Q538" s="79"/>
      <c r="R538" s="79">
        <v>19.978020000000001</v>
      </c>
      <c r="S538" s="79">
        <v>43.847909999999999</v>
      </c>
      <c r="T538" s="79">
        <v>60.459240000000001</v>
      </c>
      <c r="U538" s="79">
        <v>32.337600000000002</v>
      </c>
      <c r="V538" s="79"/>
      <c r="W538" s="79"/>
      <c r="X538" s="79"/>
      <c r="Y538" s="79"/>
      <c r="Z538" s="79">
        <v>47.459119999999999</v>
      </c>
      <c r="AA538" s="79">
        <v>19.85444</v>
      </c>
      <c r="AB538" s="79"/>
      <c r="AC538" s="79">
        <v>40.595500000000001</v>
      </c>
      <c r="AD538" s="79"/>
      <c r="AE538" s="79"/>
      <c r="AF538" s="79">
        <v>29.13936</v>
      </c>
      <c r="AG538" s="79">
        <v>25.922419999999999</v>
      </c>
      <c r="AH538" s="79"/>
      <c r="AI538" s="79"/>
      <c r="AJ538" s="79">
        <v>26.553540000000002</v>
      </c>
      <c r="AK538" s="79"/>
      <c r="AL538" s="79"/>
      <c r="AM538" s="79">
        <v>35.928660000000001</v>
      </c>
      <c r="AN538" s="79"/>
      <c r="AO538" s="79">
        <v>26.944980000000001</v>
      </c>
      <c r="AP538" s="79"/>
      <c r="AQ538" s="79"/>
      <c r="AR538" s="79"/>
      <c r="AS538" s="79"/>
      <c r="AT538" s="79"/>
      <c r="AU538" s="79"/>
      <c r="AV538" s="79"/>
      <c r="AW538" s="79"/>
      <c r="AX538" s="79"/>
      <c r="AY538" s="79"/>
    </row>
    <row r="539" spans="1:51" x14ac:dyDescent="0.2">
      <c r="A539" t="s">
        <v>1084</v>
      </c>
      <c r="B539" s="1">
        <v>23285</v>
      </c>
      <c r="C539" s="78">
        <v>539</v>
      </c>
      <c r="E539" s="1">
        <f t="shared" si="16"/>
        <v>23285</v>
      </c>
      <c r="F539" s="2">
        <f t="shared" si="17"/>
        <v>23285</v>
      </c>
      <c r="G539" s="78">
        <v>537</v>
      </c>
      <c r="H539" s="79"/>
      <c r="I539" s="79"/>
      <c r="J539" s="79">
        <v>32.304609999999997</v>
      </c>
      <c r="K539" s="79">
        <v>27.42155</v>
      </c>
      <c r="L539" s="79"/>
      <c r="M539" s="79"/>
      <c r="N539" s="79">
        <v>34.87041</v>
      </c>
      <c r="O539" s="79"/>
      <c r="P539" s="79"/>
      <c r="Q539" s="79"/>
      <c r="R539" s="79">
        <v>20.41413</v>
      </c>
      <c r="S539" s="79">
        <v>44.092190000000002</v>
      </c>
      <c r="T539" s="79">
        <v>60.9589</v>
      </c>
      <c r="U539" s="79">
        <v>31.57038</v>
      </c>
      <c r="V539" s="79"/>
      <c r="W539" s="79"/>
      <c r="X539" s="79"/>
      <c r="Y539" s="79"/>
      <c r="Z539" s="79">
        <v>47.497140000000002</v>
      </c>
      <c r="AA539" s="79">
        <v>20.443339999999999</v>
      </c>
      <c r="AB539" s="79"/>
      <c r="AC539" s="79">
        <v>39.246729999999999</v>
      </c>
      <c r="AD539" s="79"/>
      <c r="AE539" s="79"/>
      <c r="AF539" s="79">
        <v>29.13936</v>
      </c>
      <c r="AG539" s="79">
        <v>25.876660000000001</v>
      </c>
      <c r="AH539" s="79"/>
      <c r="AI539" s="79"/>
      <c r="AJ539" s="79">
        <v>26.890090000000001</v>
      </c>
      <c r="AK539" s="79"/>
      <c r="AL539" s="79"/>
      <c r="AM539" s="79">
        <v>35.928660000000001</v>
      </c>
      <c r="AN539" s="79"/>
      <c r="AO539" s="79">
        <v>27.131129999999999</v>
      </c>
      <c r="AP539" s="79"/>
      <c r="AQ539" s="79"/>
      <c r="AR539" s="79"/>
      <c r="AS539" s="79"/>
      <c r="AT539" s="79"/>
      <c r="AU539" s="79"/>
      <c r="AV539" s="79"/>
      <c r="AW539" s="79"/>
      <c r="AX539" s="79"/>
      <c r="AY539" s="79"/>
    </row>
    <row r="540" spans="1:51" x14ac:dyDescent="0.2">
      <c r="A540" t="s">
        <v>1085</v>
      </c>
      <c r="B540" s="1">
        <v>23316</v>
      </c>
      <c r="C540" s="78">
        <v>540</v>
      </c>
      <c r="E540" s="1">
        <f t="shared" si="16"/>
        <v>23316</v>
      </c>
      <c r="F540" s="2">
        <f t="shared" si="17"/>
        <v>23316</v>
      </c>
      <c r="G540" s="78">
        <v>538</v>
      </c>
      <c r="H540" s="79"/>
      <c r="I540" s="79"/>
      <c r="J540" s="79">
        <v>32.864449999999998</v>
      </c>
      <c r="K540" s="79">
        <v>27.890049999999999</v>
      </c>
      <c r="L540" s="79"/>
      <c r="M540" s="79"/>
      <c r="N540" s="79">
        <v>35.117280000000001</v>
      </c>
      <c r="O540" s="79"/>
      <c r="P540" s="79"/>
      <c r="Q540" s="79"/>
      <c r="R540" s="79">
        <v>20.102620000000002</v>
      </c>
      <c r="S540" s="79">
        <v>44.092190000000002</v>
      </c>
      <c r="T540" s="79">
        <v>61.95823</v>
      </c>
      <c r="U540" s="79">
        <v>31.646879999999999</v>
      </c>
      <c r="V540" s="79"/>
      <c r="W540" s="79"/>
      <c r="X540" s="79"/>
      <c r="Y540" s="79"/>
      <c r="Z540" s="79">
        <v>47.249960000000002</v>
      </c>
      <c r="AA540" s="79">
        <v>20.779859999999999</v>
      </c>
      <c r="AB540" s="79"/>
      <c r="AC540" s="79">
        <v>40.330509999999997</v>
      </c>
      <c r="AD540" s="79"/>
      <c r="AE540" s="79"/>
      <c r="AF540" s="79">
        <v>29.710719999999998</v>
      </c>
      <c r="AG540" s="79">
        <v>25.8309</v>
      </c>
      <c r="AH540" s="79"/>
      <c r="AI540" s="79"/>
      <c r="AJ540" s="79">
        <v>26.766179999999999</v>
      </c>
      <c r="AK540" s="79"/>
      <c r="AL540" s="79"/>
      <c r="AM540" s="79">
        <v>36.383450000000003</v>
      </c>
      <c r="AN540" s="79"/>
      <c r="AO540" s="79">
        <v>27.26416</v>
      </c>
      <c r="AP540" s="79"/>
      <c r="AQ540" s="79"/>
      <c r="AR540" s="79"/>
      <c r="AS540" s="79"/>
      <c r="AT540" s="79"/>
      <c r="AU540" s="79"/>
      <c r="AV540" s="79"/>
      <c r="AW540" s="79"/>
      <c r="AX540" s="79"/>
      <c r="AY540" s="79"/>
    </row>
    <row r="541" spans="1:51" x14ac:dyDescent="0.2">
      <c r="A541" t="s">
        <v>1086</v>
      </c>
      <c r="B541" s="1">
        <v>23346</v>
      </c>
      <c r="C541" s="78">
        <v>541</v>
      </c>
      <c r="E541" s="1">
        <f t="shared" si="16"/>
        <v>23346</v>
      </c>
      <c r="F541" s="2">
        <f t="shared" si="17"/>
        <v>23346</v>
      </c>
      <c r="G541" s="78">
        <v>539</v>
      </c>
      <c r="H541" s="79"/>
      <c r="I541" s="79"/>
      <c r="J541" s="79">
        <v>32.686279999999996</v>
      </c>
      <c r="K541" s="79">
        <v>28.18374</v>
      </c>
      <c r="L541" s="79"/>
      <c r="M541" s="79"/>
      <c r="N541" s="79">
        <v>34.068080000000002</v>
      </c>
      <c r="O541" s="79"/>
      <c r="P541" s="79"/>
      <c r="Q541" s="79"/>
      <c r="R541" s="79">
        <v>20.372589999999999</v>
      </c>
      <c r="S541" s="79">
        <v>44.70288</v>
      </c>
      <c r="T541" s="79">
        <v>61.95823</v>
      </c>
      <c r="U541" s="79">
        <v>32.13017</v>
      </c>
      <c r="V541" s="79"/>
      <c r="W541" s="79"/>
      <c r="X541" s="79"/>
      <c r="Y541" s="79"/>
      <c r="Z541" s="79">
        <v>46.888689999999997</v>
      </c>
      <c r="AA541" s="79">
        <v>20.863990000000001</v>
      </c>
      <c r="AB541" s="79"/>
      <c r="AC541" s="79">
        <v>41.754179999999998</v>
      </c>
      <c r="AD541" s="79"/>
      <c r="AE541" s="79"/>
      <c r="AF541" s="79">
        <v>29.425039999999999</v>
      </c>
      <c r="AG541" s="79">
        <v>26.19697</v>
      </c>
      <c r="AH541" s="79"/>
      <c r="AI541" s="79"/>
      <c r="AJ541" s="79">
        <v>27.90258</v>
      </c>
      <c r="AK541" s="79"/>
      <c r="AL541" s="79"/>
      <c r="AM541" s="79">
        <v>36.383450000000003</v>
      </c>
      <c r="AN541" s="79"/>
      <c r="AO541" s="79">
        <v>27.21095</v>
      </c>
      <c r="AP541" s="79"/>
      <c r="AQ541" s="79"/>
      <c r="AR541" s="79"/>
      <c r="AS541" s="79"/>
      <c r="AT541" s="79"/>
      <c r="AU541" s="79"/>
      <c r="AV541" s="79"/>
      <c r="AW541" s="79"/>
      <c r="AX541" s="79"/>
      <c r="AY541" s="79"/>
    </row>
    <row r="542" spans="1:51" x14ac:dyDescent="0.2">
      <c r="A542" t="s">
        <v>1087</v>
      </c>
      <c r="B542" s="1">
        <v>23377</v>
      </c>
      <c r="C542" s="78">
        <v>542</v>
      </c>
      <c r="E542" s="1">
        <f t="shared" si="16"/>
        <v>23377</v>
      </c>
      <c r="F542" s="2">
        <f t="shared" si="17"/>
        <v>23377</v>
      </c>
      <c r="G542" s="78">
        <v>540</v>
      </c>
      <c r="H542" s="79"/>
      <c r="I542" s="79"/>
      <c r="J542" s="79">
        <v>33.194319999999998</v>
      </c>
      <c r="K542" s="79">
        <v>28.403659999999999</v>
      </c>
      <c r="L542" s="79"/>
      <c r="M542" s="79"/>
      <c r="N542" s="79">
        <v>35.672739999999997</v>
      </c>
      <c r="O542" s="79"/>
      <c r="P542" s="79"/>
      <c r="Q542" s="79"/>
      <c r="R542" s="79">
        <v>19.946950000000001</v>
      </c>
      <c r="S542" s="79">
        <v>45.618920000000003</v>
      </c>
      <c r="T542" s="79">
        <v>62.457889999999999</v>
      </c>
      <c r="U542" s="79">
        <v>31.954350000000002</v>
      </c>
      <c r="V542" s="79"/>
      <c r="W542" s="79"/>
      <c r="X542" s="79"/>
      <c r="Y542" s="79"/>
      <c r="Z542" s="79">
        <v>48.143619999999999</v>
      </c>
      <c r="AA542" s="79">
        <v>21.11637</v>
      </c>
      <c r="AB542" s="79"/>
      <c r="AC542" s="79">
        <v>41.101010000000002</v>
      </c>
      <c r="AD542" s="79"/>
      <c r="AE542" s="79"/>
      <c r="AF542" s="79">
        <v>30.56775</v>
      </c>
      <c r="AG542" s="79">
        <v>26.036819999999999</v>
      </c>
      <c r="AH542" s="79"/>
      <c r="AI542" s="79"/>
      <c r="AJ542" s="79">
        <v>27.695540000000001</v>
      </c>
      <c r="AK542" s="79"/>
      <c r="AL542" s="79"/>
      <c r="AM542" s="79">
        <v>37.293039999999998</v>
      </c>
      <c r="AN542" s="79"/>
      <c r="AO542" s="79">
        <v>27.450399999999998</v>
      </c>
      <c r="AP542" s="79"/>
      <c r="AQ542" s="79"/>
      <c r="AR542" s="79"/>
      <c r="AS542" s="79"/>
      <c r="AT542" s="79"/>
      <c r="AU542" s="79"/>
      <c r="AV542" s="79"/>
      <c r="AW542" s="79"/>
      <c r="AX542" s="79"/>
      <c r="AY542" s="79"/>
    </row>
    <row r="543" spans="1:51" x14ac:dyDescent="0.2">
      <c r="A543" t="s">
        <v>1088</v>
      </c>
      <c r="B543" s="1">
        <v>23408</v>
      </c>
      <c r="C543" s="78">
        <v>543</v>
      </c>
      <c r="E543" s="1">
        <f t="shared" si="16"/>
        <v>23408</v>
      </c>
      <c r="F543" s="2">
        <f t="shared" si="17"/>
        <v>23408</v>
      </c>
      <c r="G543" s="78">
        <v>541</v>
      </c>
      <c r="H543" s="79"/>
      <c r="I543" s="79"/>
      <c r="J543" s="79">
        <v>33.1845</v>
      </c>
      <c r="K543" s="79">
        <v>28.88391</v>
      </c>
      <c r="L543" s="79"/>
      <c r="M543" s="79"/>
      <c r="N543" s="79">
        <v>36.536790000000003</v>
      </c>
      <c r="O543" s="79"/>
      <c r="P543" s="79"/>
      <c r="Q543" s="79"/>
      <c r="R543" s="79">
        <v>19.999099999999999</v>
      </c>
      <c r="S543" s="79">
        <v>45.374650000000003</v>
      </c>
      <c r="T543" s="79">
        <v>62.957549999999998</v>
      </c>
      <c r="U543" s="79">
        <v>31.357240000000001</v>
      </c>
      <c r="V543" s="79"/>
      <c r="W543" s="79"/>
      <c r="X543" s="79"/>
      <c r="Y543" s="79"/>
      <c r="Z543" s="79">
        <v>46.603490000000001</v>
      </c>
      <c r="AA543" s="79">
        <v>21.62115</v>
      </c>
      <c r="AB543" s="79"/>
      <c r="AC543" s="79">
        <v>41.892220000000002</v>
      </c>
      <c r="AD543" s="79"/>
      <c r="AE543" s="79"/>
      <c r="AF543" s="79">
        <v>30.853439999999999</v>
      </c>
      <c r="AG543" s="79">
        <v>25.85378</v>
      </c>
      <c r="AH543" s="79"/>
      <c r="AI543" s="79"/>
      <c r="AJ543" s="79">
        <v>27.016290000000001</v>
      </c>
      <c r="AK543" s="79"/>
      <c r="AL543" s="79"/>
      <c r="AM543" s="79">
        <v>37.293039999999998</v>
      </c>
      <c r="AN543" s="79"/>
      <c r="AO543" s="79">
        <v>27.63655</v>
      </c>
      <c r="AP543" s="79"/>
      <c r="AQ543" s="79"/>
      <c r="AR543" s="79"/>
      <c r="AS543" s="79"/>
      <c r="AT543" s="79"/>
      <c r="AU543" s="79"/>
      <c r="AV543" s="79"/>
      <c r="AW543" s="79"/>
      <c r="AX543" s="79"/>
      <c r="AY543" s="79"/>
    </row>
    <row r="544" spans="1:51" x14ac:dyDescent="0.2">
      <c r="A544" t="s">
        <v>1089</v>
      </c>
      <c r="B544" s="1">
        <v>23437</v>
      </c>
      <c r="C544" s="78">
        <v>544</v>
      </c>
      <c r="E544" s="1">
        <f t="shared" si="16"/>
        <v>23437</v>
      </c>
      <c r="F544" s="2">
        <f t="shared" si="17"/>
        <v>23437</v>
      </c>
      <c r="G544" s="78">
        <v>542</v>
      </c>
      <c r="H544" s="79"/>
      <c r="I544" s="79"/>
      <c r="J544" s="79">
        <v>33.613379999999999</v>
      </c>
      <c r="K544" s="79">
        <v>28.70581</v>
      </c>
      <c r="L544" s="79"/>
      <c r="M544" s="79"/>
      <c r="N544" s="79">
        <v>35.919609999999999</v>
      </c>
      <c r="O544" s="79"/>
      <c r="P544" s="79"/>
      <c r="Q544" s="79"/>
      <c r="R544" s="79">
        <v>20.533629999999999</v>
      </c>
      <c r="S544" s="79">
        <v>45.43571</v>
      </c>
      <c r="T544" s="79">
        <v>62.957549999999998</v>
      </c>
      <c r="U544" s="79">
        <v>31.903680000000001</v>
      </c>
      <c r="V544" s="79"/>
      <c r="W544" s="79"/>
      <c r="X544" s="79"/>
      <c r="Y544" s="79"/>
      <c r="Z544" s="79">
        <v>47.611229999999999</v>
      </c>
      <c r="AA544" s="79">
        <v>21.368760000000002</v>
      </c>
      <c r="AB544" s="79"/>
      <c r="AC544" s="79">
        <v>43.698810000000002</v>
      </c>
      <c r="AD544" s="79"/>
      <c r="AE544" s="79"/>
      <c r="AF544" s="79">
        <v>31.424800000000001</v>
      </c>
      <c r="AG544" s="79">
        <v>26.608799999999999</v>
      </c>
      <c r="AH544" s="79"/>
      <c r="AI544" s="79"/>
      <c r="AJ544" s="79">
        <v>26.28548</v>
      </c>
      <c r="AK544" s="79"/>
      <c r="AL544" s="79"/>
      <c r="AM544" s="79">
        <v>37.293039999999998</v>
      </c>
      <c r="AN544" s="79"/>
      <c r="AO544" s="79">
        <v>27.63655</v>
      </c>
      <c r="AP544" s="79"/>
      <c r="AQ544" s="79"/>
      <c r="AR544" s="79"/>
      <c r="AS544" s="79"/>
      <c r="AT544" s="79"/>
      <c r="AU544" s="79"/>
      <c r="AV544" s="79"/>
      <c r="AW544" s="79"/>
      <c r="AX544" s="79"/>
      <c r="AY544" s="79"/>
    </row>
    <row r="545" spans="1:51" x14ac:dyDescent="0.2">
      <c r="A545" t="s">
        <v>1090</v>
      </c>
      <c r="B545" s="1">
        <v>23468</v>
      </c>
      <c r="C545" s="78">
        <v>545</v>
      </c>
      <c r="E545" s="1">
        <f t="shared" si="16"/>
        <v>23468</v>
      </c>
      <c r="F545" s="2">
        <f t="shared" si="17"/>
        <v>23468</v>
      </c>
      <c r="G545" s="78">
        <v>543</v>
      </c>
      <c r="H545" s="79"/>
      <c r="I545" s="79"/>
      <c r="J545" s="79">
        <v>33.088239999999999</v>
      </c>
      <c r="K545" s="79">
        <v>28.912569999999999</v>
      </c>
      <c r="L545" s="79"/>
      <c r="M545" s="79"/>
      <c r="N545" s="79">
        <v>35.98133</v>
      </c>
      <c r="O545" s="79"/>
      <c r="P545" s="79"/>
      <c r="Q545" s="79"/>
      <c r="R545" s="79">
        <v>20.26962</v>
      </c>
      <c r="S545" s="79">
        <v>45.863199999999999</v>
      </c>
      <c r="T545" s="79">
        <v>62.957549999999998</v>
      </c>
      <c r="U545" s="79">
        <v>33.348050000000001</v>
      </c>
      <c r="V545" s="79"/>
      <c r="W545" s="79"/>
      <c r="X545" s="79"/>
      <c r="Y545" s="79"/>
      <c r="Z545" s="79">
        <v>47.002780000000001</v>
      </c>
      <c r="AA545" s="79">
        <v>21.705269999999999</v>
      </c>
      <c r="AB545" s="79"/>
      <c r="AC545" s="79">
        <v>43.51652</v>
      </c>
      <c r="AD545" s="79"/>
      <c r="AE545" s="79"/>
      <c r="AF545" s="79">
        <v>30.853439999999999</v>
      </c>
      <c r="AG545" s="79">
        <v>27.34094</v>
      </c>
      <c r="AH545" s="79"/>
      <c r="AI545" s="79"/>
      <c r="AJ545" s="79">
        <v>27.350480000000001</v>
      </c>
      <c r="AK545" s="79"/>
      <c r="AL545" s="79"/>
      <c r="AM545" s="79">
        <v>36.838250000000002</v>
      </c>
      <c r="AN545" s="79"/>
      <c r="AO545" s="79">
        <v>28.088760000000001</v>
      </c>
      <c r="AP545" s="79"/>
      <c r="AQ545" s="79"/>
      <c r="AR545" s="79"/>
      <c r="AS545" s="79"/>
      <c r="AT545" s="79"/>
      <c r="AU545" s="79"/>
      <c r="AV545" s="79"/>
      <c r="AW545" s="79"/>
      <c r="AX545" s="79"/>
      <c r="AY545" s="79"/>
    </row>
    <row r="546" spans="1:51" x14ac:dyDescent="0.2">
      <c r="A546" t="s">
        <v>1091</v>
      </c>
      <c r="B546" s="1">
        <v>23498</v>
      </c>
      <c r="C546" s="78">
        <v>546</v>
      </c>
      <c r="E546" s="1">
        <f t="shared" si="16"/>
        <v>23498</v>
      </c>
      <c r="F546" s="2">
        <f t="shared" si="17"/>
        <v>23498</v>
      </c>
      <c r="G546" s="78">
        <v>544</v>
      </c>
      <c r="H546" s="79"/>
      <c r="I546" s="79"/>
      <c r="J546" s="79">
        <v>32.712400000000002</v>
      </c>
      <c r="K546" s="79">
        <v>29.244800000000001</v>
      </c>
      <c r="L546" s="79"/>
      <c r="M546" s="79"/>
      <c r="N546" s="79">
        <v>35.919609999999999</v>
      </c>
      <c r="O546" s="79"/>
      <c r="P546" s="79"/>
      <c r="Q546" s="79"/>
      <c r="R546" s="79">
        <v>20.62163</v>
      </c>
      <c r="S546" s="79">
        <v>45.741059999999997</v>
      </c>
      <c r="T546" s="79">
        <v>62.957549999999998</v>
      </c>
      <c r="U546" s="79">
        <v>31.498909999999999</v>
      </c>
      <c r="V546" s="79"/>
      <c r="W546" s="79"/>
      <c r="X546" s="79"/>
      <c r="Y546" s="79"/>
      <c r="Z546" s="79">
        <v>46.470390000000002</v>
      </c>
      <c r="AA546" s="79">
        <v>21.957660000000001</v>
      </c>
      <c r="AB546" s="79"/>
      <c r="AC546" s="79">
        <v>43.784599999999998</v>
      </c>
      <c r="AD546" s="79"/>
      <c r="AE546" s="79"/>
      <c r="AF546" s="79">
        <v>31.71048</v>
      </c>
      <c r="AG546" s="79">
        <v>26.929110000000001</v>
      </c>
      <c r="AH546" s="79"/>
      <c r="AI546" s="79"/>
      <c r="AJ546" s="79">
        <v>27.43751</v>
      </c>
      <c r="AK546" s="79"/>
      <c r="AL546" s="79"/>
      <c r="AM546" s="79">
        <v>37.74783</v>
      </c>
      <c r="AN546" s="79"/>
      <c r="AO546" s="79">
        <v>28.248390000000001</v>
      </c>
      <c r="AP546" s="79"/>
      <c r="AQ546" s="79"/>
      <c r="AR546" s="79"/>
      <c r="AS546" s="79"/>
      <c r="AT546" s="79"/>
      <c r="AU546" s="79"/>
      <c r="AV546" s="79"/>
      <c r="AW546" s="79"/>
      <c r="AX546" s="79"/>
      <c r="AY546" s="79"/>
    </row>
    <row r="547" spans="1:51" x14ac:dyDescent="0.2">
      <c r="A547" t="s">
        <v>1092</v>
      </c>
      <c r="B547" s="1">
        <v>23529</v>
      </c>
      <c r="C547" s="78">
        <v>547</v>
      </c>
      <c r="E547" s="1">
        <f t="shared" si="16"/>
        <v>23529</v>
      </c>
      <c r="F547" s="2">
        <f t="shared" si="17"/>
        <v>23529</v>
      </c>
      <c r="G547" s="78">
        <v>545</v>
      </c>
      <c r="H547" s="79"/>
      <c r="I547" s="79"/>
      <c r="J547" s="79">
        <v>33.357849999999999</v>
      </c>
      <c r="K547" s="79">
        <v>29.27158</v>
      </c>
      <c r="L547" s="79"/>
      <c r="M547" s="79"/>
      <c r="N547" s="79">
        <v>36.536790000000003</v>
      </c>
      <c r="O547" s="79"/>
      <c r="P547" s="79"/>
      <c r="Q547" s="79"/>
      <c r="R547" s="79">
        <v>20.61185</v>
      </c>
      <c r="S547" s="79">
        <v>45.313580000000002</v>
      </c>
      <c r="T547" s="79">
        <v>63.457210000000003</v>
      </c>
      <c r="U547" s="79">
        <v>32.141860000000001</v>
      </c>
      <c r="V547" s="79"/>
      <c r="W547" s="79"/>
      <c r="X547" s="79"/>
      <c r="Y547" s="79"/>
      <c r="Z547" s="79">
        <v>45.65278</v>
      </c>
      <c r="AA547" s="79">
        <v>22.378309999999999</v>
      </c>
      <c r="AB547" s="79"/>
      <c r="AC547" s="79">
        <v>43.712380000000003</v>
      </c>
      <c r="AD547" s="79"/>
      <c r="AE547" s="79"/>
      <c r="AF547" s="79">
        <v>30.853439999999999</v>
      </c>
      <c r="AG547" s="79">
        <v>27.501100000000001</v>
      </c>
      <c r="AH547" s="79"/>
      <c r="AI547" s="79"/>
      <c r="AJ547" s="79">
        <v>29.274080000000001</v>
      </c>
      <c r="AK547" s="79"/>
      <c r="AL547" s="79"/>
      <c r="AM547" s="79">
        <v>37.74783</v>
      </c>
      <c r="AN547" s="79"/>
      <c r="AO547" s="79">
        <v>28.328119999999998</v>
      </c>
      <c r="AP547" s="79"/>
      <c r="AQ547" s="79"/>
      <c r="AR547" s="79"/>
      <c r="AS547" s="79"/>
      <c r="AT547" s="79"/>
      <c r="AU547" s="79"/>
      <c r="AV547" s="79"/>
      <c r="AW547" s="79"/>
      <c r="AX547" s="79"/>
      <c r="AY547" s="79"/>
    </row>
    <row r="548" spans="1:51" x14ac:dyDescent="0.2">
      <c r="A548" t="s">
        <v>1093</v>
      </c>
      <c r="B548" s="1">
        <v>23559</v>
      </c>
      <c r="C548" s="78">
        <v>548</v>
      </c>
      <c r="E548" s="1">
        <f t="shared" si="16"/>
        <v>23559</v>
      </c>
      <c r="F548" s="2">
        <f t="shared" si="17"/>
        <v>23559</v>
      </c>
      <c r="G548" s="78">
        <v>546</v>
      </c>
      <c r="H548" s="79"/>
      <c r="I548" s="79"/>
      <c r="J548" s="79">
        <v>34.06382</v>
      </c>
      <c r="K548" s="79">
        <v>29.062470000000001</v>
      </c>
      <c r="L548" s="79"/>
      <c r="M548" s="79"/>
      <c r="N548" s="79">
        <v>37.2774</v>
      </c>
      <c r="O548" s="79"/>
      <c r="P548" s="79"/>
      <c r="Q548" s="79"/>
      <c r="R548" s="79">
        <v>21.08445</v>
      </c>
      <c r="S548" s="79">
        <v>44.519669999999998</v>
      </c>
      <c r="T548" s="79">
        <v>62.957549999999998</v>
      </c>
      <c r="U548" s="79">
        <v>33.837719999999997</v>
      </c>
      <c r="V548" s="79"/>
      <c r="W548" s="79"/>
      <c r="X548" s="79"/>
      <c r="Y548" s="79"/>
      <c r="Z548" s="79">
        <v>46.527430000000003</v>
      </c>
      <c r="AA548" s="79">
        <v>22.378309999999999</v>
      </c>
      <c r="AB548" s="79"/>
      <c r="AC548" s="79">
        <v>43.578380000000003</v>
      </c>
      <c r="AD548" s="79"/>
      <c r="AE548" s="79"/>
      <c r="AF548" s="79">
        <v>31.139119999999998</v>
      </c>
      <c r="AG548" s="79">
        <v>28.004449999999999</v>
      </c>
      <c r="AH548" s="79"/>
      <c r="AI548" s="79"/>
      <c r="AJ548" s="79">
        <v>29.21227</v>
      </c>
      <c r="AK548" s="79"/>
      <c r="AL548" s="79"/>
      <c r="AM548" s="79">
        <v>37.293039999999998</v>
      </c>
      <c r="AN548" s="79"/>
      <c r="AO548" s="79">
        <v>28.51436</v>
      </c>
      <c r="AP548" s="79"/>
      <c r="AQ548" s="79"/>
      <c r="AR548" s="79"/>
      <c r="AS548" s="79"/>
      <c r="AT548" s="79"/>
      <c r="AU548" s="79"/>
      <c r="AV548" s="79"/>
      <c r="AW548" s="79"/>
      <c r="AX548" s="79"/>
      <c r="AY548" s="79"/>
    </row>
    <row r="549" spans="1:51" x14ac:dyDescent="0.2">
      <c r="A549" t="s">
        <v>1094</v>
      </c>
      <c r="B549" s="1">
        <v>23590</v>
      </c>
      <c r="C549" s="78">
        <v>549</v>
      </c>
      <c r="E549" s="1">
        <f t="shared" si="16"/>
        <v>23590</v>
      </c>
      <c r="F549" s="2">
        <f t="shared" si="17"/>
        <v>23590</v>
      </c>
      <c r="G549" s="78">
        <v>547</v>
      </c>
      <c r="H549" s="79"/>
      <c r="I549" s="79"/>
      <c r="J549" s="79">
        <v>33.073140000000002</v>
      </c>
      <c r="K549" s="79">
        <v>29.312470000000001</v>
      </c>
      <c r="L549" s="79"/>
      <c r="M549" s="79"/>
      <c r="N549" s="79">
        <v>36.968809999999998</v>
      </c>
      <c r="O549" s="79"/>
      <c r="P549" s="79"/>
      <c r="Q549" s="79"/>
      <c r="R549" s="79">
        <v>21.159410000000001</v>
      </c>
      <c r="S549" s="79">
        <v>44.519669999999998</v>
      </c>
      <c r="T549" s="79">
        <v>63.956870000000002</v>
      </c>
      <c r="U549" s="79">
        <v>35.395539999999997</v>
      </c>
      <c r="V549" s="79"/>
      <c r="W549" s="79"/>
      <c r="X549" s="79"/>
      <c r="Y549" s="79"/>
      <c r="Z549" s="79">
        <v>43.675319999999999</v>
      </c>
      <c r="AA549" s="79">
        <v>22.378309999999999</v>
      </c>
      <c r="AB549" s="79"/>
      <c r="AC549" s="79">
        <v>44.83802</v>
      </c>
      <c r="AD549" s="79"/>
      <c r="AE549" s="79"/>
      <c r="AF549" s="79">
        <v>31.139119999999998</v>
      </c>
      <c r="AG549" s="79">
        <v>27.36382</v>
      </c>
      <c r="AH549" s="79"/>
      <c r="AI549" s="79"/>
      <c r="AJ549" s="79">
        <v>28.003340000000001</v>
      </c>
      <c r="AK549" s="79"/>
      <c r="AL549" s="79"/>
      <c r="AM549" s="79">
        <v>39.112209999999997</v>
      </c>
      <c r="AN549" s="79"/>
      <c r="AO549" s="79">
        <v>28.700500000000002</v>
      </c>
      <c r="AP549" s="79"/>
      <c r="AQ549" s="79"/>
      <c r="AR549" s="79"/>
      <c r="AS549" s="79"/>
      <c r="AT549" s="79"/>
      <c r="AU549" s="79"/>
      <c r="AV549" s="79"/>
      <c r="AW549" s="79"/>
      <c r="AX549" s="79"/>
      <c r="AY549" s="79"/>
    </row>
    <row r="550" spans="1:51" x14ac:dyDescent="0.2">
      <c r="A550" t="s">
        <v>1095</v>
      </c>
      <c r="B550" s="1">
        <v>23621</v>
      </c>
      <c r="C550" s="78">
        <v>550</v>
      </c>
      <c r="E550" s="1">
        <f t="shared" si="16"/>
        <v>23621</v>
      </c>
      <c r="F550" s="2">
        <f t="shared" si="17"/>
        <v>23621</v>
      </c>
      <c r="G550" s="78">
        <v>548</v>
      </c>
      <c r="H550" s="79"/>
      <c r="I550" s="79"/>
      <c r="J550" s="79">
        <v>33.295569999999998</v>
      </c>
      <c r="K550" s="79">
        <v>29.960470000000001</v>
      </c>
      <c r="L550" s="79"/>
      <c r="M550" s="79"/>
      <c r="N550" s="79">
        <v>37.030529999999999</v>
      </c>
      <c r="O550" s="79"/>
      <c r="P550" s="79"/>
      <c r="Q550" s="79"/>
      <c r="R550" s="79">
        <v>21.198519999999998</v>
      </c>
      <c r="S550" s="79">
        <v>45.43571</v>
      </c>
      <c r="T550" s="79">
        <v>63.457210000000003</v>
      </c>
      <c r="U550" s="79">
        <v>34.074399999999997</v>
      </c>
      <c r="V550" s="79"/>
      <c r="W550" s="79"/>
      <c r="X550" s="79"/>
      <c r="Y550" s="79"/>
      <c r="Z550" s="79">
        <v>46.0901</v>
      </c>
      <c r="AA550" s="79">
        <v>23.05134</v>
      </c>
      <c r="AB550" s="79"/>
      <c r="AC550" s="79">
        <v>43.726430000000001</v>
      </c>
      <c r="AD550" s="79"/>
      <c r="AE550" s="79"/>
      <c r="AF550" s="79">
        <v>31.424800000000001</v>
      </c>
      <c r="AG550" s="79">
        <v>27.615500000000001</v>
      </c>
      <c r="AH550" s="79"/>
      <c r="AI550" s="79"/>
      <c r="AJ550" s="79">
        <v>28.555289999999999</v>
      </c>
      <c r="AK550" s="79"/>
      <c r="AL550" s="79"/>
      <c r="AM550" s="79">
        <v>38.657420000000002</v>
      </c>
      <c r="AN550" s="79"/>
      <c r="AO550" s="79">
        <v>28.806930000000001</v>
      </c>
      <c r="AP550" s="79"/>
      <c r="AQ550" s="79"/>
      <c r="AR550" s="79"/>
      <c r="AS550" s="79"/>
      <c r="AT550" s="79"/>
      <c r="AU550" s="79"/>
      <c r="AV550" s="79"/>
      <c r="AW550" s="79"/>
      <c r="AX550" s="79"/>
      <c r="AY550" s="79"/>
    </row>
    <row r="551" spans="1:51" x14ac:dyDescent="0.2">
      <c r="A551" t="s">
        <v>1096</v>
      </c>
      <c r="B551" s="1">
        <v>23651</v>
      </c>
      <c r="C551" s="78">
        <v>551</v>
      </c>
      <c r="E551" s="1">
        <f t="shared" si="16"/>
        <v>23651</v>
      </c>
      <c r="F551" s="2">
        <f t="shared" si="17"/>
        <v>23651</v>
      </c>
      <c r="G551" s="78">
        <v>549</v>
      </c>
      <c r="H551" s="79"/>
      <c r="I551" s="79"/>
      <c r="J551" s="79">
        <v>34.071559999999998</v>
      </c>
      <c r="K551" s="79">
        <v>29.90784</v>
      </c>
      <c r="L551" s="79"/>
      <c r="M551" s="79"/>
      <c r="N551" s="79">
        <v>37.524270000000001</v>
      </c>
      <c r="O551" s="79"/>
      <c r="P551" s="79"/>
      <c r="Q551" s="79"/>
      <c r="R551" s="79">
        <v>21.478819999999999</v>
      </c>
      <c r="S551" s="79">
        <v>45.496780000000001</v>
      </c>
      <c r="T551" s="79">
        <v>63.956870000000002</v>
      </c>
      <c r="U551" s="79">
        <v>34.368310000000001</v>
      </c>
      <c r="V551" s="79"/>
      <c r="W551" s="79"/>
      <c r="X551" s="79"/>
      <c r="Y551" s="79"/>
      <c r="Z551" s="79">
        <v>45.957000000000001</v>
      </c>
      <c r="AA551" s="79">
        <v>22.967210000000001</v>
      </c>
      <c r="AB551" s="79"/>
      <c r="AC551" s="79">
        <v>44.521569999999997</v>
      </c>
      <c r="AD551" s="79"/>
      <c r="AE551" s="79"/>
      <c r="AF551" s="79">
        <v>31.99615</v>
      </c>
      <c r="AG551" s="79">
        <v>27.295190000000002</v>
      </c>
      <c r="AH551" s="79"/>
      <c r="AI551" s="79"/>
      <c r="AJ551" s="79">
        <v>29.309449999999998</v>
      </c>
      <c r="AK551" s="79"/>
      <c r="AL551" s="79"/>
      <c r="AM551" s="79">
        <v>39.112209999999997</v>
      </c>
      <c r="AN551" s="79"/>
      <c r="AO551" s="79">
        <v>28.40793</v>
      </c>
      <c r="AP551" s="79"/>
      <c r="AQ551" s="79"/>
      <c r="AR551" s="79"/>
      <c r="AS551" s="79"/>
      <c r="AT551" s="79"/>
      <c r="AU551" s="79"/>
      <c r="AV551" s="79"/>
      <c r="AW551" s="79"/>
      <c r="AX551" s="79"/>
      <c r="AY551" s="79"/>
    </row>
    <row r="552" spans="1:51" x14ac:dyDescent="0.2">
      <c r="A552" t="s">
        <v>1097</v>
      </c>
      <c r="B552" s="1">
        <v>23682</v>
      </c>
      <c r="C552" s="78">
        <v>552</v>
      </c>
      <c r="E552" s="1">
        <f t="shared" si="16"/>
        <v>23682</v>
      </c>
      <c r="F552" s="2">
        <f t="shared" si="17"/>
        <v>23682</v>
      </c>
      <c r="G552" s="78">
        <v>550</v>
      </c>
      <c r="H552" s="79"/>
      <c r="I552" s="79"/>
      <c r="J552" s="79">
        <v>33.515860000000004</v>
      </c>
      <c r="K552" s="79">
        <v>30.436019999999999</v>
      </c>
      <c r="L552" s="79"/>
      <c r="M552" s="79"/>
      <c r="N552" s="79">
        <v>37.46255</v>
      </c>
      <c r="O552" s="79"/>
      <c r="P552" s="79"/>
      <c r="Q552" s="79"/>
      <c r="R552" s="79">
        <v>21.452750000000002</v>
      </c>
      <c r="S552" s="79">
        <v>45.43571</v>
      </c>
      <c r="T552" s="79">
        <v>64.456540000000004</v>
      </c>
      <c r="U552" s="79">
        <v>34.831090000000003</v>
      </c>
      <c r="V552" s="79"/>
      <c r="W552" s="79"/>
      <c r="X552" s="79"/>
      <c r="Y552" s="79"/>
      <c r="Z552" s="79">
        <v>46.299259999999997</v>
      </c>
      <c r="AA552" s="79">
        <v>22.71482</v>
      </c>
      <c r="AB552" s="79"/>
      <c r="AC552" s="79">
        <v>43.547989999999999</v>
      </c>
      <c r="AD552" s="79"/>
      <c r="AE552" s="79"/>
      <c r="AF552" s="79">
        <v>32.281829999999999</v>
      </c>
      <c r="AG552" s="79">
        <v>28.05021</v>
      </c>
      <c r="AH552" s="79"/>
      <c r="AI552" s="79"/>
      <c r="AJ552" s="79">
        <v>29.49174</v>
      </c>
      <c r="AK552" s="79"/>
      <c r="AL552" s="79"/>
      <c r="AM552" s="79">
        <v>39.567</v>
      </c>
      <c r="AN552" s="79"/>
      <c r="AO552" s="79">
        <v>29.285740000000001</v>
      </c>
      <c r="AP552" s="79"/>
      <c r="AQ552" s="79"/>
      <c r="AR552" s="79"/>
      <c r="AS552" s="79"/>
      <c r="AT552" s="79"/>
      <c r="AU552" s="79"/>
      <c r="AV552" s="79"/>
      <c r="AW552" s="79"/>
      <c r="AX552" s="79"/>
      <c r="AY552" s="79"/>
    </row>
    <row r="553" spans="1:51" x14ac:dyDescent="0.2">
      <c r="A553" t="s">
        <v>1098</v>
      </c>
      <c r="B553" s="1">
        <v>23712</v>
      </c>
      <c r="C553" s="78">
        <v>553</v>
      </c>
      <c r="E553" s="1">
        <f t="shared" si="16"/>
        <v>23712</v>
      </c>
      <c r="F553" s="2">
        <f t="shared" si="17"/>
        <v>23712</v>
      </c>
      <c r="G553" s="78">
        <v>551</v>
      </c>
      <c r="H553" s="79"/>
      <c r="I553" s="79"/>
      <c r="J553" s="79">
        <v>33.495579999999997</v>
      </c>
      <c r="K553" s="79">
        <v>30.443069999999999</v>
      </c>
      <c r="L553" s="79"/>
      <c r="M553" s="79"/>
      <c r="N553" s="79">
        <v>37.894570000000002</v>
      </c>
      <c r="O553" s="79"/>
      <c r="P553" s="79"/>
      <c r="Q553" s="79"/>
      <c r="R553" s="79">
        <v>21.47231</v>
      </c>
      <c r="S553" s="79">
        <v>44.580739999999999</v>
      </c>
      <c r="T553" s="79">
        <v>65.455860000000001</v>
      </c>
      <c r="U553" s="79">
        <v>35.412689999999998</v>
      </c>
      <c r="V553" s="79"/>
      <c r="W553" s="79"/>
      <c r="X553" s="79"/>
      <c r="Y553" s="79"/>
      <c r="Z553" s="79">
        <v>46.432360000000003</v>
      </c>
      <c r="AA553" s="79">
        <v>23.303719999999998</v>
      </c>
      <c r="AB553" s="79"/>
      <c r="AC553" s="79">
        <v>44.276969999999999</v>
      </c>
      <c r="AD553" s="79"/>
      <c r="AE553" s="79"/>
      <c r="AF553" s="79">
        <v>32.281829999999999</v>
      </c>
      <c r="AG553" s="79">
        <v>28.324760000000001</v>
      </c>
      <c r="AH553" s="79"/>
      <c r="AI553" s="79"/>
      <c r="AJ553" s="79">
        <v>29.314579999999999</v>
      </c>
      <c r="AK553" s="79"/>
      <c r="AL553" s="79"/>
      <c r="AM553" s="79">
        <v>40.021799999999999</v>
      </c>
      <c r="AN553" s="79"/>
      <c r="AO553" s="79">
        <v>29.631530000000001</v>
      </c>
      <c r="AP553" s="79"/>
      <c r="AQ553" s="79"/>
      <c r="AR553" s="79"/>
      <c r="AS553" s="79"/>
      <c r="AT553" s="79"/>
      <c r="AU553" s="79"/>
      <c r="AV553" s="79"/>
      <c r="AW553" s="79"/>
      <c r="AX553" s="79"/>
      <c r="AY553" s="79"/>
    </row>
    <row r="554" spans="1:51" x14ac:dyDescent="0.2">
      <c r="A554" t="s">
        <v>1099</v>
      </c>
      <c r="B554" s="1">
        <v>23743</v>
      </c>
      <c r="C554" s="78">
        <v>554</v>
      </c>
      <c r="E554" s="1">
        <f t="shared" si="16"/>
        <v>23743</v>
      </c>
      <c r="F554" s="2">
        <f t="shared" si="17"/>
        <v>23743</v>
      </c>
      <c r="G554" s="78">
        <v>552</v>
      </c>
      <c r="H554" s="79"/>
      <c r="I554" s="79"/>
      <c r="J554" s="79">
        <v>34.176209999999998</v>
      </c>
      <c r="K554" s="79">
        <v>30.884309999999999</v>
      </c>
      <c r="L554" s="79"/>
      <c r="M554" s="79"/>
      <c r="N554" s="79">
        <v>38.758620000000001</v>
      </c>
      <c r="O554" s="79"/>
      <c r="P554" s="79">
        <v>29.638290000000001</v>
      </c>
      <c r="Q554" s="79"/>
      <c r="R554" s="79">
        <v>21.73631</v>
      </c>
      <c r="S554" s="79">
        <v>44.64181</v>
      </c>
      <c r="T554" s="79">
        <v>66.455190000000002</v>
      </c>
      <c r="U554" s="79">
        <v>35.672130000000003</v>
      </c>
      <c r="V554" s="79"/>
      <c r="W554" s="79"/>
      <c r="X554" s="79"/>
      <c r="Y554" s="79"/>
      <c r="Z554" s="79">
        <v>46.356299999999997</v>
      </c>
      <c r="AA554" s="79">
        <v>23.05134</v>
      </c>
      <c r="AB554" s="79"/>
      <c r="AC554" s="79">
        <v>44.924039999999998</v>
      </c>
      <c r="AD554" s="79"/>
      <c r="AE554" s="79"/>
      <c r="AF554" s="79">
        <v>32.853200000000001</v>
      </c>
      <c r="AG554" s="79">
        <v>27.981570000000001</v>
      </c>
      <c r="AH554" s="79"/>
      <c r="AI554" s="79"/>
      <c r="AJ554" s="79">
        <v>28.788209999999999</v>
      </c>
      <c r="AK554" s="79"/>
      <c r="AL554" s="79"/>
      <c r="AM554" s="79">
        <v>41.386180000000003</v>
      </c>
      <c r="AN554" s="79"/>
      <c r="AO554" s="79">
        <v>29.950700000000001</v>
      </c>
      <c r="AP554" s="79"/>
      <c r="AQ554" s="79"/>
      <c r="AR554" s="79"/>
      <c r="AS554" s="79"/>
      <c r="AT554" s="79"/>
      <c r="AU554" s="79"/>
      <c r="AV554" s="79"/>
      <c r="AW554" s="79"/>
      <c r="AX554" s="79"/>
      <c r="AY554" s="79"/>
    </row>
    <row r="555" spans="1:51" x14ac:dyDescent="0.2">
      <c r="A555" t="s">
        <v>1100</v>
      </c>
      <c r="B555" s="1">
        <v>23774</v>
      </c>
      <c r="C555" s="78">
        <v>555</v>
      </c>
      <c r="E555" s="1">
        <f t="shared" si="16"/>
        <v>23774</v>
      </c>
      <c r="F555" s="2">
        <f t="shared" si="17"/>
        <v>23774</v>
      </c>
      <c r="G555" s="78">
        <v>553</v>
      </c>
      <c r="H555" s="79"/>
      <c r="I555" s="79"/>
      <c r="J555" s="79">
        <v>34.054079999999999</v>
      </c>
      <c r="K555" s="79">
        <v>30.712330000000001</v>
      </c>
      <c r="L555" s="79"/>
      <c r="M555" s="79"/>
      <c r="N555" s="79">
        <v>38.450029999999998</v>
      </c>
      <c r="O555" s="79"/>
      <c r="P555" s="79">
        <v>30.600460000000002</v>
      </c>
      <c r="Q555" s="79"/>
      <c r="R555" s="79">
        <v>21.935130000000001</v>
      </c>
      <c r="S555" s="79">
        <v>45.069299999999998</v>
      </c>
      <c r="T555" s="79">
        <v>65.455860000000001</v>
      </c>
      <c r="U555" s="79">
        <v>35.474310000000003</v>
      </c>
      <c r="V555" s="79"/>
      <c r="W555" s="79"/>
      <c r="X555" s="79"/>
      <c r="Y555" s="79"/>
      <c r="Z555" s="79">
        <v>46.869680000000002</v>
      </c>
      <c r="AA555" s="79">
        <v>22.88308</v>
      </c>
      <c r="AB555" s="79"/>
      <c r="AC555" s="79">
        <v>45.791359999999997</v>
      </c>
      <c r="AD555" s="79"/>
      <c r="AE555" s="79"/>
      <c r="AF555" s="79">
        <v>32.567520000000002</v>
      </c>
      <c r="AG555" s="79">
        <v>28.576440000000002</v>
      </c>
      <c r="AH555" s="79"/>
      <c r="AI555" s="79"/>
      <c r="AJ555" s="79">
        <v>29.779949999999999</v>
      </c>
      <c r="AK555" s="79"/>
      <c r="AL555" s="79"/>
      <c r="AM555" s="79">
        <v>40.931379999999997</v>
      </c>
      <c r="AN555" s="79"/>
      <c r="AO555" s="79">
        <v>30.136949999999999</v>
      </c>
      <c r="AP555" s="79"/>
      <c r="AQ555" s="79"/>
      <c r="AR555" s="79"/>
      <c r="AS555" s="79"/>
      <c r="AT555" s="79"/>
      <c r="AU555" s="79"/>
      <c r="AV555" s="79"/>
      <c r="AW555" s="79"/>
      <c r="AX555" s="79"/>
      <c r="AY555" s="79"/>
    </row>
    <row r="556" spans="1:51" x14ac:dyDescent="0.2">
      <c r="A556" t="s">
        <v>1101</v>
      </c>
      <c r="B556" s="1">
        <v>23802</v>
      </c>
      <c r="C556" s="78">
        <v>556</v>
      </c>
      <c r="E556" s="1">
        <f t="shared" si="16"/>
        <v>23802</v>
      </c>
      <c r="F556" s="2">
        <f t="shared" si="17"/>
        <v>23802</v>
      </c>
      <c r="G556" s="78">
        <v>554</v>
      </c>
      <c r="H556" s="79"/>
      <c r="I556" s="79"/>
      <c r="J556" s="79">
        <v>33.540970000000002</v>
      </c>
      <c r="K556" s="79">
        <v>31.354690000000002</v>
      </c>
      <c r="L556" s="79"/>
      <c r="M556" s="79"/>
      <c r="N556" s="79">
        <v>38.388309999999997</v>
      </c>
      <c r="O556" s="79"/>
      <c r="P556" s="79">
        <v>31.164529999999999</v>
      </c>
      <c r="Q556" s="79"/>
      <c r="R556" s="79">
        <v>21.658090000000001</v>
      </c>
      <c r="S556" s="79">
        <v>45.069299999999998</v>
      </c>
      <c r="T556" s="79">
        <v>64.456540000000004</v>
      </c>
      <c r="U556" s="79">
        <v>35.727820000000001</v>
      </c>
      <c r="V556" s="79"/>
      <c r="W556" s="79"/>
      <c r="X556" s="79"/>
      <c r="Y556" s="79"/>
      <c r="Z556" s="79">
        <v>46.223199999999999</v>
      </c>
      <c r="AA556" s="79">
        <v>23.05134</v>
      </c>
      <c r="AB556" s="79"/>
      <c r="AC556" s="79">
        <v>42.277290000000001</v>
      </c>
      <c r="AD556" s="79"/>
      <c r="AE556" s="79"/>
      <c r="AF556" s="79">
        <v>32.281829999999999</v>
      </c>
      <c r="AG556" s="79">
        <v>28.5078</v>
      </c>
      <c r="AH556" s="79"/>
      <c r="AI556" s="79"/>
      <c r="AJ556" s="79">
        <v>29.13757</v>
      </c>
      <c r="AK556" s="79"/>
      <c r="AL556" s="79"/>
      <c r="AM556" s="79">
        <v>40.021799999999999</v>
      </c>
      <c r="AN556" s="79"/>
      <c r="AO556" s="79">
        <v>30.53585</v>
      </c>
      <c r="AP556" s="79"/>
      <c r="AQ556" s="79"/>
      <c r="AR556" s="79"/>
      <c r="AS556" s="79"/>
      <c r="AT556" s="79"/>
      <c r="AU556" s="79"/>
      <c r="AV556" s="79"/>
      <c r="AW556" s="79"/>
      <c r="AX556" s="79"/>
      <c r="AY556" s="79"/>
    </row>
    <row r="557" spans="1:51" x14ac:dyDescent="0.2">
      <c r="A557" t="s">
        <v>1102</v>
      </c>
      <c r="B557" s="1">
        <v>23833</v>
      </c>
      <c r="C557" s="78">
        <v>557</v>
      </c>
      <c r="E557" s="1">
        <f t="shared" si="16"/>
        <v>23833</v>
      </c>
      <c r="F557" s="2">
        <f t="shared" si="17"/>
        <v>23833</v>
      </c>
      <c r="G557" s="78">
        <v>555</v>
      </c>
      <c r="H557" s="79"/>
      <c r="I557" s="79"/>
      <c r="J557" s="79">
        <v>34.108249999999998</v>
      </c>
      <c r="K557" s="79">
        <v>31.32086</v>
      </c>
      <c r="L557" s="79"/>
      <c r="M557" s="79"/>
      <c r="N557" s="79">
        <v>38.573459999999997</v>
      </c>
      <c r="O557" s="79"/>
      <c r="P557" s="79">
        <v>31.01135</v>
      </c>
      <c r="Q557" s="79"/>
      <c r="R557" s="79">
        <v>22.143719999999998</v>
      </c>
      <c r="S557" s="79">
        <v>45.313580000000002</v>
      </c>
      <c r="T557" s="79">
        <v>64.956199999999995</v>
      </c>
      <c r="U557" s="79">
        <v>35.414850000000001</v>
      </c>
      <c r="V557" s="79"/>
      <c r="W557" s="79"/>
      <c r="X557" s="79"/>
      <c r="Y557" s="79"/>
      <c r="Z557" s="79">
        <v>46.888689999999997</v>
      </c>
      <c r="AA557" s="79">
        <v>22.88308</v>
      </c>
      <c r="AB557" s="79"/>
      <c r="AC557" s="79">
        <v>44.031910000000003</v>
      </c>
      <c r="AD557" s="79"/>
      <c r="AE557" s="79"/>
      <c r="AF557" s="79">
        <v>32.281829999999999</v>
      </c>
      <c r="AG557" s="79">
        <v>29.400089999999999</v>
      </c>
      <c r="AH557" s="79"/>
      <c r="AI557" s="79"/>
      <c r="AJ557" s="79">
        <v>29.58606</v>
      </c>
      <c r="AK557" s="79"/>
      <c r="AL557" s="79"/>
      <c r="AM557" s="79">
        <v>40.021799999999999</v>
      </c>
      <c r="AN557" s="79"/>
      <c r="AO557" s="79">
        <v>30.668880000000001</v>
      </c>
      <c r="AP557" s="79"/>
      <c r="AQ557" s="79"/>
      <c r="AR557" s="79"/>
      <c r="AS557" s="79"/>
      <c r="AT557" s="79"/>
      <c r="AU557" s="79"/>
      <c r="AV557" s="79"/>
      <c r="AW557" s="79"/>
      <c r="AX557" s="79"/>
      <c r="AY557" s="79"/>
    </row>
    <row r="558" spans="1:51" x14ac:dyDescent="0.2">
      <c r="A558" t="s">
        <v>1103</v>
      </c>
      <c r="B558" s="1">
        <v>23863</v>
      </c>
      <c r="C558" s="78">
        <v>558</v>
      </c>
      <c r="E558" s="1">
        <f t="shared" si="16"/>
        <v>23863</v>
      </c>
      <c r="F558" s="2">
        <f t="shared" si="17"/>
        <v>23863</v>
      </c>
      <c r="G558" s="78">
        <v>556</v>
      </c>
      <c r="H558" s="79"/>
      <c r="I558" s="79"/>
      <c r="J558" s="79">
        <v>34.203989999999997</v>
      </c>
      <c r="K558" s="79">
        <v>31.521979999999999</v>
      </c>
      <c r="L558" s="79"/>
      <c r="M558" s="79"/>
      <c r="N558" s="79">
        <v>38.573459999999997</v>
      </c>
      <c r="O558" s="79"/>
      <c r="P558" s="79">
        <v>31.67221</v>
      </c>
      <c r="Q558" s="79"/>
      <c r="R558" s="79">
        <v>22.22195</v>
      </c>
      <c r="S558" s="79">
        <v>45.557850000000002</v>
      </c>
      <c r="T558" s="79">
        <v>65.455860000000001</v>
      </c>
      <c r="U558" s="79">
        <v>35.921700000000001</v>
      </c>
      <c r="V558" s="79"/>
      <c r="W558" s="79"/>
      <c r="X558" s="79"/>
      <c r="Y558" s="79"/>
      <c r="Z558" s="79">
        <v>48.504890000000003</v>
      </c>
      <c r="AA558" s="79">
        <v>22.546559999999999</v>
      </c>
      <c r="AB558" s="79"/>
      <c r="AC558" s="79">
        <v>43.604680000000002</v>
      </c>
      <c r="AD558" s="79"/>
      <c r="AE558" s="79"/>
      <c r="AF558" s="79">
        <v>33.138869999999997</v>
      </c>
      <c r="AG558" s="79">
        <v>29.491610000000001</v>
      </c>
      <c r="AH558" s="79"/>
      <c r="AI558" s="79"/>
      <c r="AJ558" s="79">
        <v>29.41329</v>
      </c>
      <c r="AK558" s="79"/>
      <c r="AL558" s="79"/>
      <c r="AM558" s="79">
        <v>40.476590000000002</v>
      </c>
      <c r="AN558" s="79"/>
      <c r="AO558" s="79">
        <v>30.908239999999999</v>
      </c>
      <c r="AP558" s="79"/>
      <c r="AQ558" s="79"/>
      <c r="AR558" s="79"/>
      <c r="AS558" s="79"/>
      <c r="AT558" s="79"/>
      <c r="AU558" s="79"/>
      <c r="AV558" s="79"/>
      <c r="AW558" s="79"/>
      <c r="AX558" s="79"/>
      <c r="AY558" s="79"/>
    </row>
    <row r="559" spans="1:51" x14ac:dyDescent="0.2">
      <c r="A559" t="s">
        <v>1104</v>
      </c>
      <c r="B559" s="1">
        <v>23894</v>
      </c>
      <c r="C559" s="78">
        <v>559</v>
      </c>
      <c r="E559" s="1">
        <f t="shared" si="16"/>
        <v>23894</v>
      </c>
      <c r="F559" s="2">
        <f t="shared" si="17"/>
        <v>23894</v>
      </c>
      <c r="G559" s="78">
        <v>557</v>
      </c>
      <c r="H559" s="79"/>
      <c r="I559" s="79"/>
      <c r="J559" s="79">
        <v>33.92512</v>
      </c>
      <c r="K559" s="79">
        <v>31.57367</v>
      </c>
      <c r="L559" s="79"/>
      <c r="M559" s="79"/>
      <c r="N559" s="79">
        <v>38.264879999999998</v>
      </c>
      <c r="O559" s="79"/>
      <c r="P559" s="79">
        <v>30.984210000000001</v>
      </c>
      <c r="Q559" s="79"/>
      <c r="R559" s="79">
        <v>22.942250000000001</v>
      </c>
      <c r="S559" s="79">
        <v>46.107480000000002</v>
      </c>
      <c r="T559" s="79">
        <v>64.956199999999995</v>
      </c>
      <c r="U559" s="79">
        <v>36.929070000000003</v>
      </c>
      <c r="V559" s="79"/>
      <c r="W559" s="79"/>
      <c r="X559" s="79"/>
      <c r="Y559" s="79"/>
      <c r="Z559" s="79">
        <v>48.980240000000002</v>
      </c>
      <c r="AA559" s="79">
        <v>22.967210000000001</v>
      </c>
      <c r="AB559" s="79"/>
      <c r="AC559" s="79">
        <v>43.58502</v>
      </c>
      <c r="AD559" s="79"/>
      <c r="AE559" s="79"/>
      <c r="AF559" s="79">
        <v>32.853200000000001</v>
      </c>
      <c r="AG559" s="79">
        <v>28.1646</v>
      </c>
      <c r="AH559" s="79"/>
      <c r="AI559" s="79"/>
      <c r="AJ559" s="79">
        <v>28.879819999999999</v>
      </c>
      <c r="AK559" s="79"/>
      <c r="AL559" s="79"/>
      <c r="AM559" s="79">
        <v>40.931379999999997</v>
      </c>
      <c r="AN559" s="79"/>
      <c r="AO559" s="79">
        <v>31.147690000000001</v>
      </c>
      <c r="AP559" s="79"/>
      <c r="AQ559" s="79"/>
      <c r="AR559" s="79"/>
      <c r="AS559" s="79"/>
      <c r="AT559" s="79"/>
      <c r="AU559" s="79"/>
      <c r="AV559" s="79"/>
      <c r="AW559" s="79"/>
      <c r="AX559" s="79"/>
      <c r="AY559" s="79"/>
    </row>
    <row r="560" spans="1:51" x14ac:dyDescent="0.2">
      <c r="A560" t="s">
        <v>1105</v>
      </c>
      <c r="B560" s="1">
        <v>23924</v>
      </c>
      <c r="C560" s="78">
        <v>560</v>
      </c>
      <c r="E560" s="1">
        <f t="shared" si="16"/>
        <v>23924</v>
      </c>
      <c r="F560" s="2">
        <f t="shared" si="17"/>
        <v>23924</v>
      </c>
      <c r="G560" s="78">
        <v>558</v>
      </c>
      <c r="H560" s="79"/>
      <c r="I560" s="79"/>
      <c r="J560" s="79">
        <v>33.899929999999998</v>
      </c>
      <c r="K560" s="79">
        <v>32.396479999999997</v>
      </c>
      <c r="L560" s="79"/>
      <c r="M560" s="79"/>
      <c r="N560" s="79">
        <v>38.450029999999998</v>
      </c>
      <c r="O560" s="79"/>
      <c r="P560" s="79">
        <v>33.504480000000001</v>
      </c>
      <c r="Q560" s="79"/>
      <c r="R560" s="79">
        <v>22.73366</v>
      </c>
      <c r="S560" s="79">
        <v>46.046410000000002</v>
      </c>
      <c r="T560" s="79">
        <v>65.455860000000001</v>
      </c>
      <c r="U560" s="79">
        <v>36.709589999999999</v>
      </c>
      <c r="V560" s="79"/>
      <c r="W560" s="79"/>
      <c r="X560" s="79"/>
      <c r="Y560" s="79"/>
      <c r="Z560" s="79">
        <v>49.34151</v>
      </c>
      <c r="AA560" s="79">
        <v>22.967210000000001</v>
      </c>
      <c r="AB560" s="79"/>
      <c r="AC560" s="79">
        <v>43.272770000000001</v>
      </c>
      <c r="AD560" s="79"/>
      <c r="AE560" s="79"/>
      <c r="AF560" s="79">
        <v>33.138869999999997</v>
      </c>
      <c r="AG560" s="79">
        <v>28.62219</v>
      </c>
      <c r="AH560" s="79"/>
      <c r="AI560" s="79"/>
      <c r="AJ560" s="79">
        <v>30.258109999999999</v>
      </c>
      <c r="AK560" s="79"/>
      <c r="AL560" s="79"/>
      <c r="AM560" s="79">
        <v>38.202629999999999</v>
      </c>
      <c r="AN560" s="79"/>
      <c r="AO560" s="79">
        <v>31.440259999999999</v>
      </c>
      <c r="AP560" s="79"/>
      <c r="AQ560" s="79"/>
      <c r="AR560" s="79"/>
      <c r="AS560" s="79"/>
      <c r="AT560" s="79"/>
      <c r="AU560" s="79"/>
      <c r="AV560" s="79"/>
      <c r="AW560" s="79"/>
      <c r="AX560" s="79"/>
      <c r="AY560" s="79"/>
    </row>
    <row r="561" spans="1:51" x14ac:dyDescent="0.2">
      <c r="A561" t="s">
        <v>1106</v>
      </c>
      <c r="B561" s="1">
        <v>23955</v>
      </c>
      <c r="C561" s="78">
        <v>561</v>
      </c>
      <c r="E561" s="1">
        <f t="shared" si="16"/>
        <v>23955</v>
      </c>
      <c r="F561" s="2">
        <f t="shared" si="17"/>
        <v>23955</v>
      </c>
      <c r="G561" s="78">
        <v>559</v>
      </c>
      <c r="H561" s="79"/>
      <c r="I561" s="79"/>
      <c r="J561" s="79">
        <v>33.86045</v>
      </c>
      <c r="K561" s="79">
        <v>31.672350000000002</v>
      </c>
      <c r="L561" s="79"/>
      <c r="M561" s="79"/>
      <c r="N561" s="79">
        <v>38.820340000000002</v>
      </c>
      <c r="O561" s="79"/>
      <c r="P561" s="79">
        <v>32.881839999999997</v>
      </c>
      <c r="Q561" s="79"/>
      <c r="R561" s="79">
        <v>22.701070000000001</v>
      </c>
      <c r="S561" s="79">
        <v>46.046410000000002</v>
      </c>
      <c r="T561" s="79">
        <v>64.956199999999995</v>
      </c>
      <c r="U561" s="79">
        <v>36.081859999999999</v>
      </c>
      <c r="V561" s="79"/>
      <c r="W561" s="79"/>
      <c r="X561" s="79"/>
      <c r="Y561" s="79"/>
      <c r="Z561" s="79">
        <v>48.71405</v>
      </c>
      <c r="AA561" s="79">
        <v>23.05134</v>
      </c>
      <c r="AB561" s="79"/>
      <c r="AC561" s="79">
        <v>43.136380000000003</v>
      </c>
      <c r="AD561" s="79"/>
      <c r="AE561" s="79"/>
      <c r="AF561" s="79">
        <v>32.567520000000002</v>
      </c>
      <c r="AG561" s="79">
        <v>29.514489999999999</v>
      </c>
      <c r="AH561" s="79"/>
      <c r="AI561" s="79"/>
      <c r="AJ561" s="79">
        <v>29.475149999999999</v>
      </c>
      <c r="AK561" s="79"/>
      <c r="AL561" s="79"/>
      <c r="AM561" s="79">
        <v>41.386180000000003</v>
      </c>
      <c r="AN561" s="79"/>
      <c r="AO561" s="79">
        <v>31.5732</v>
      </c>
      <c r="AP561" s="79"/>
      <c r="AQ561" s="79"/>
      <c r="AR561" s="79"/>
      <c r="AS561" s="79"/>
      <c r="AT561" s="79"/>
      <c r="AU561" s="79"/>
      <c r="AV561" s="79"/>
      <c r="AW561" s="79"/>
      <c r="AX561" s="79"/>
      <c r="AY561" s="79"/>
    </row>
    <row r="562" spans="1:51" x14ac:dyDescent="0.2">
      <c r="A562" t="s">
        <v>1107</v>
      </c>
      <c r="B562" s="1">
        <v>23986</v>
      </c>
      <c r="C562" s="78">
        <v>562</v>
      </c>
      <c r="E562" s="1">
        <f t="shared" si="16"/>
        <v>23986</v>
      </c>
      <c r="F562" s="2">
        <f t="shared" si="17"/>
        <v>23986</v>
      </c>
      <c r="G562" s="78">
        <v>560</v>
      </c>
      <c r="H562" s="79"/>
      <c r="I562" s="79"/>
      <c r="J562" s="79">
        <v>33.836590000000001</v>
      </c>
      <c r="K562" s="79">
        <v>32.362650000000002</v>
      </c>
      <c r="L562" s="79"/>
      <c r="M562" s="79"/>
      <c r="N562" s="79">
        <v>39.128920000000001</v>
      </c>
      <c r="O562" s="79"/>
      <c r="P562" s="79">
        <v>32.937600000000003</v>
      </c>
      <c r="Q562" s="79"/>
      <c r="R562" s="79">
        <v>22.782550000000001</v>
      </c>
      <c r="S562" s="79">
        <v>46.534970000000001</v>
      </c>
      <c r="T562" s="79">
        <v>64.956199999999995</v>
      </c>
      <c r="U562" s="79">
        <v>37.098990000000001</v>
      </c>
      <c r="V562" s="79"/>
      <c r="W562" s="79"/>
      <c r="X562" s="79"/>
      <c r="Y562" s="79"/>
      <c r="Z562" s="79">
        <v>49.34151</v>
      </c>
      <c r="AA562" s="79">
        <v>23.135470000000002</v>
      </c>
      <c r="AB562" s="79"/>
      <c r="AC562" s="79">
        <v>43.54374</v>
      </c>
      <c r="AD562" s="79"/>
      <c r="AE562" s="79"/>
      <c r="AF562" s="79">
        <v>33.710239999999999</v>
      </c>
      <c r="AG562" s="79">
        <v>29.67465</v>
      </c>
      <c r="AH562" s="79"/>
      <c r="AI562" s="79"/>
      <c r="AJ562" s="79">
        <v>29.762979999999999</v>
      </c>
      <c r="AK562" s="79"/>
      <c r="AL562" s="79"/>
      <c r="AM562" s="79">
        <v>42.295760000000001</v>
      </c>
      <c r="AN562" s="79"/>
      <c r="AO562" s="79">
        <v>31.653020000000001</v>
      </c>
      <c r="AP562" s="79"/>
      <c r="AQ562" s="79"/>
      <c r="AR562" s="79"/>
      <c r="AS562" s="79"/>
      <c r="AT562" s="79"/>
      <c r="AU562" s="79"/>
      <c r="AV562" s="79"/>
      <c r="AW562" s="79"/>
      <c r="AX562" s="79"/>
      <c r="AY562" s="79"/>
    </row>
    <row r="563" spans="1:51" x14ac:dyDescent="0.2">
      <c r="A563" t="s">
        <v>1108</v>
      </c>
      <c r="B563" s="1">
        <v>24016</v>
      </c>
      <c r="C563" s="78">
        <v>563</v>
      </c>
      <c r="E563" s="1">
        <f t="shared" si="16"/>
        <v>24016</v>
      </c>
      <c r="F563" s="2">
        <f t="shared" si="17"/>
        <v>24016</v>
      </c>
      <c r="G563" s="78">
        <v>561</v>
      </c>
      <c r="H563" s="79"/>
      <c r="I563" s="79"/>
      <c r="J563" s="79">
        <v>34.482889999999998</v>
      </c>
      <c r="K563" s="79">
        <v>33.087249999999997</v>
      </c>
      <c r="L563" s="79"/>
      <c r="M563" s="79"/>
      <c r="N563" s="79">
        <v>38.943770000000001</v>
      </c>
      <c r="O563" s="79"/>
      <c r="P563" s="79">
        <v>33.185720000000003</v>
      </c>
      <c r="Q563" s="79"/>
      <c r="R563" s="79">
        <v>22.189350000000001</v>
      </c>
      <c r="S563" s="79">
        <v>47.451009999999997</v>
      </c>
      <c r="T563" s="79">
        <v>65.955529999999996</v>
      </c>
      <c r="U563" s="79">
        <v>36.875520000000002</v>
      </c>
      <c r="V563" s="79"/>
      <c r="W563" s="79"/>
      <c r="X563" s="79"/>
      <c r="Y563" s="79"/>
      <c r="Z563" s="79">
        <v>49.550660000000001</v>
      </c>
      <c r="AA563" s="79">
        <v>23.135470000000002</v>
      </c>
      <c r="AB563" s="79"/>
      <c r="AC563" s="79">
        <v>43.574469999999998</v>
      </c>
      <c r="AD563" s="79"/>
      <c r="AE563" s="79"/>
      <c r="AF563" s="79">
        <v>33.995910000000002</v>
      </c>
      <c r="AG563" s="79">
        <v>29.148420000000002</v>
      </c>
      <c r="AH563" s="79"/>
      <c r="AI563" s="79"/>
      <c r="AJ563" s="79">
        <v>29.523779999999999</v>
      </c>
      <c r="AK563" s="79"/>
      <c r="AL563" s="79"/>
      <c r="AM563" s="79">
        <v>41.840969999999999</v>
      </c>
      <c r="AN563" s="79"/>
      <c r="AO563" s="79">
        <v>31.972290000000001</v>
      </c>
      <c r="AP563" s="79"/>
      <c r="AQ563" s="79"/>
      <c r="AR563" s="79"/>
      <c r="AS563" s="79"/>
      <c r="AT563" s="79"/>
      <c r="AU563" s="79"/>
      <c r="AV563" s="79"/>
      <c r="AW563" s="79"/>
      <c r="AX563" s="79"/>
      <c r="AY563" s="79"/>
    </row>
    <row r="564" spans="1:51" x14ac:dyDescent="0.2">
      <c r="A564" t="s">
        <v>1109</v>
      </c>
      <c r="B564" s="1">
        <v>24047</v>
      </c>
      <c r="C564" s="78">
        <v>564</v>
      </c>
      <c r="E564" s="1">
        <f t="shared" si="16"/>
        <v>24047</v>
      </c>
      <c r="F564" s="2">
        <f t="shared" si="17"/>
        <v>24047</v>
      </c>
      <c r="G564" s="78">
        <v>562</v>
      </c>
      <c r="H564" s="79"/>
      <c r="I564" s="79"/>
      <c r="J564" s="79">
        <v>34.796210000000002</v>
      </c>
      <c r="K564" s="79">
        <v>33.23997</v>
      </c>
      <c r="L564" s="79"/>
      <c r="M564" s="79"/>
      <c r="N564" s="79">
        <v>38.696899999999999</v>
      </c>
      <c r="O564" s="79"/>
      <c r="P564" s="79">
        <v>33.828809999999997</v>
      </c>
      <c r="Q564" s="79"/>
      <c r="R564" s="79">
        <v>22.394690000000001</v>
      </c>
      <c r="S564" s="79">
        <v>47.451009999999997</v>
      </c>
      <c r="T564" s="79">
        <v>65.955529999999996</v>
      </c>
      <c r="U564" s="79">
        <v>37.631239999999998</v>
      </c>
      <c r="V564" s="79"/>
      <c r="W564" s="79"/>
      <c r="X564" s="79"/>
      <c r="Y564" s="79"/>
      <c r="Z564" s="79">
        <v>50.82461</v>
      </c>
      <c r="AA564" s="79">
        <v>23.55611</v>
      </c>
      <c r="AB564" s="79"/>
      <c r="AC564" s="79">
        <v>44.641770000000001</v>
      </c>
      <c r="AD564" s="79"/>
      <c r="AE564" s="79"/>
      <c r="AF564" s="79">
        <v>33.995910000000002</v>
      </c>
      <c r="AG564" s="79">
        <v>29.583130000000001</v>
      </c>
      <c r="AH564" s="79"/>
      <c r="AI564" s="79"/>
      <c r="AJ564" s="79">
        <v>29.885449999999999</v>
      </c>
      <c r="AK564" s="79"/>
      <c r="AL564" s="79"/>
      <c r="AM564" s="79">
        <v>41.840969999999999</v>
      </c>
      <c r="AN564" s="79"/>
      <c r="AO564" s="79">
        <v>32.105220000000003</v>
      </c>
      <c r="AP564" s="79"/>
      <c r="AQ564" s="79"/>
      <c r="AR564" s="79"/>
      <c r="AS564" s="79"/>
      <c r="AT564" s="79"/>
      <c r="AU564" s="79"/>
      <c r="AV564" s="79"/>
      <c r="AW564" s="79"/>
      <c r="AX564" s="79"/>
      <c r="AY564" s="79"/>
    </row>
    <row r="565" spans="1:51" x14ac:dyDescent="0.2">
      <c r="A565" t="s">
        <v>1110</v>
      </c>
      <c r="B565" s="1">
        <v>24077</v>
      </c>
      <c r="C565" s="78">
        <v>565</v>
      </c>
      <c r="E565" s="1">
        <f t="shared" si="16"/>
        <v>24077</v>
      </c>
      <c r="F565" s="2">
        <f t="shared" si="17"/>
        <v>24077</v>
      </c>
      <c r="G565" s="78">
        <v>563</v>
      </c>
      <c r="H565" s="79"/>
      <c r="I565" s="79"/>
      <c r="J565" s="79">
        <v>35.328009999999999</v>
      </c>
      <c r="K565" s="79">
        <v>33.736660000000001</v>
      </c>
      <c r="L565" s="79"/>
      <c r="M565" s="79"/>
      <c r="N565" s="79">
        <v>39.622660000000003</v>
      </c>
      <c r="O565" s="79"/>
      <c r="P565" s="79">
        <v>34.187980000000003</v>
      </c>
      <c r="Q565" s="79"/>
      <c r="R565" s="79">
        <v>22.424019999999999</v>
      </c>
      <c r="S565" s="79">
        <v>47.634219999999999</v>
      </c>
      <c r="T565" s="79">
        <v>66.455190000000002</v>
      </c>
      <c r="U565" s="79">
        <v>37.537610000000001</v>
      </c>
      <c r="V565" s="79"/>
      <c r="W565" s="79"/>
      <c r="X565" s="79"/>
      <c r="Y565" s="79"/>
      <c r="Z565" s="79">
        <v>50.634459999999997</v>
      </c>
      <c r="AA565" s="79">
        <v>23.55611</v>
      </c>
      <c r="AB565" s="79"/>
      <c r="AC565" s="79">
        <v>43.529449999999997</v>
      </c>
      <c r="AD565" s="79"/>
      <c r="AE565" s="79"/>
      <c r="AF565" s="79">
        <v>33.995910000000002</v>
      </c>
      <c r="AG565" s="79">
        <v>29.514489999999999</v>
      </c>
      <c r="AH565" s="79"/>
      <c r="AI565" s="79"/>
      <c r="AJ565" s="79">
        <v>31.93317</v>
      </c>
      <c r="AK565" s="79"/>
      <c r="AL565" s="79"/>
      <c r="AM565" s="79">
        <v>41.386180000000003</v>
      </c>
      <c r="AN565" s="79"/>
      <c r="AO565" s="79">
        <v>32.504219999999997</v>
      </c>
      <c r="AP565" s="79"/>
      <c r="AQ565" s="79"/>
      <c r="AR565" s="79"/>
      <c r="AS565" s="79"/>
      <c r="AT565" s="79"/>
      <c r="AU565" s="79"/>
      <c r="AV565" s="79"/>
      <c r="AW565" s="79"/>
      <c r="AX565" s="79"/>
      <c r="AY565" s="79"/>
    </row>
    <row r="566" spans="1:51" x14ac:dyDescent="0.2">
      <c r="A566" t="s">
        <v>1111</v>
      </c>
      <c r="B566" s="1">
        <v>24108</v>
      </c>
      <c r="C566" s="78">
        <v>566</v>
      </c>
      <c r="E566" s="1">
        <f t="shared" si="16"/>
        <v>24108</v>
      </c>
      <c r="F566" s="2">
        <f t="shared" si="17"/>
        <v>24108</v>
      </c>
      <c r="G566" s="78">
        <v>564</v>
      </c>
      <c r="H566" s="79"/>
      <c r="I566" s="79"/>
      <c r="J566" s="79">
        <v>34.340130000000002</v>
      </c>
      <c r="K566" s="79">
        <v>33.715980000000002</v>
      </c>
      <c r="L566" s="79"/>
      <c r="M566" s="79"/>
      <c r="N566" s="79">
        <v>39.314079999999997</v>
      </c>
      <c r="O566" s="79"/>
      <c r="P566" s="79">
        <v>34.686869999999999</v>
      </c>
      <c r="Q566" s="79"/>
      <c r="R566" s="79">
        <v>22.179580000000001</v>
      </c>
      <c r="S566" s="79">
        <v>46.901380000000003</v>
      </c>
      <c r="T566" s="79">
        <v>66.954859999999996</v>
      </c>
      <c r="U566" s="79">
        <v>38.795430000000003</v>
      </c>
      <c r="V566" s="79"/>
      <c r="W566" s="79"/>
      <c r="X566" s="79"/>
      <c r="Y566" s="79"/>
      <c r="Z566" s="79">
        <v>51.801360000000003</v>
      </c>
      <c r="AA566" s="79">
        <v>23.89263</v>
      </c>
      <c r="AB566" s="79"/>
      <c r="AC566" s="79">
        <v>43.294359999999998</v>
      </c>
      <c r="AD566" s="79"/>
      <c r="AE566" s="79"/>
      <c r="AF566" s="79">
        <v>33.995910000000002</v>
      </c>
      <c r="AG566" s="79">
        <v>29.468730000000001</v>
      </c>
      <c r="AH566" s="79"/>
      <c r="AI566" s="79"/>
      <c r="AJ566" s="79">
        <v>31.089559999999999</v>
      </c>
      <c r="AK566" s="79"/>
      <c r="AL566" s="79"/>
      <c r="AM566" s="79">
        <v>42.295760000000001</v>
      </c>
      <c r="AN566" s="79"/>
      <c r="AO566" s="79">
        <v>32.823390000000003</v>
      </c>
      <c r="AP566" s="79"/>
      <c r="AQ566" s="79"/>
      <c r="AR566" s="79"/>
      <c r="AS566" s="79"/>
      <c r="AT566" s="79"/>
      <c r="AU566" s="79"/>
      <c r="AV566" s="79"/>
      <c r="AW566" s="79"/>
      <c r="AX566" s="79"/>
      <c r="AY566" s="79"/>
    </row>
    <row r="567" spans="1:51" x14ac:dyDescent="0.2">
      <c r="A567" t="s">
        <v>1112</v>
      </c>
      <c r="B567" s="1">
        <v>24139</v>
      </c>
      <c r="C567" s="78">
        <v>567</v>
      </c>
      <c r="E567" s="1">
        <f t="shared" si="16"/>
        <v>24139</v>
      </c>
      <c r="F567" s="2">
        <f t="shared" si="17"/>
        <v>24139</v>
      </c>
      <c r="G567" s="78">
        <v>565</v>
      </c>
      <c r="H567" s="79"/>
      <c r="I567" s="79"/>
      <c r="J567" s="79">
        <v>34.786529999999999</v>
      </c>
      <c r="K567" s="79">
        <v>33.895960000000002</v>
      </c>
      <c r="L567" s="79"/>
      <c r="M567" s="79"/>
      <c r="N567" s="79">
        <v>39.375790000000002</v>
      </c>
      <c r="O567" s="79"/>
      <c r="P567" s="79">
        <v>34.79665</v>
      </c>
      <c r="Q567" s="79"/>
      <c r="R567" s="79">
        <v>22.606539999999999</v>
      </c>
      <c r="S567" s="79">
        <v>48.000630000000001</v>
      </c>
      <c r="T567" s="79">
        <v>66.455190000000002</v>
      </c>
      <c r="U567" s="79">
        <v>39.796399999999998</v>
      </c>
      <c r="V567" s="79"/>
      <c r="W567" s="79"/>
      <c r="X567" s="79"/>
      <c r="Y567" s="79"/>
      <c r="Z567" s="79">
        <v>51.596609999999998</v>
      </c>
      <c r="AA567" s="79">
        <v>23.976759999999999</v>
      </c>
      <c r="AB567" s="79"/>
      <c r="AC567" s="79">
        <v>42.904269999999997</v>
      </c>
      <c r="AD567" s="79"/>
      <c r="AE567" s="79"/>
      <c r="AF567" s="79">
        <v>33.995910000000002</v>
      </c>
      <c r="AG567" s="79">
        <v>28.98826</v>
      </c>
      <c r="AH567" s="79"/>
      <c r="AI567" s="79"/>
      <c r="AJ567" s="79">
        <v>31.030110000000001</v>
      </c>
      <c r="AK567" s="79"/>
      <c r="AL567" s="79"/>
      <c r="AM567" s="79">
        <v>41.386180000000003</v>
      </c>
      <c r="AN567" s="79"/>
      <c r="AO567" s="79">
        <v>33.036239999999999</v>
      </c>
      <c r="AP567" s="79"/>
      <c r="AQ567" s="79"/>
      <c r="AR567" s="79"/>
      <c r="AS567" s="79"/>
      <c r="AT567" s="79"/>
      <c r="AU567" s="79"/>
      <c r="AV567" s="79"/>
      <c r="AW567" s="79"/>
      <c r="AX567" s="79"/>
      <c r="AY567" s="79"/>
    </row>
    <row r="568" spans="1:51" x14ac:dyDescent="0.2">
      <c r="A568" t="s">
        <v>1113</v>
      </c>
      <c r="B568" s="1">
        <v>24167</v>
      </c>
      <c r="C568" s="78">
        <v>568</v>
      </c>
      <c r="E568" s="1">
        <f t="shared" si="16"/>
        <v>24167</v>
      </c>
      <c r="F568" s="2">
        <f t="shared" si="17"/>
        <v>24167</v>
      </c>
      <c r="G568" s="78">
        <v>566</v>
      </c>
      <c r="H568" s="79"/>
      <c r="I568" s="79"/>
      <c r="J568" s="79">
        <v>34.779170000000001</v>
      </c>
      <c r="K568" s="79">
        <v>33.791170000000001</v>
      </c>
      <c r="L568" s="79"/>
      <c r="M568" s="79"/>
      <c r="N568" s="79">
        <v>40.17812</v>
      </c>
      <c r="O568" s="79"/>
      <c r="P568" s="79">
        <v>36.612670000000001</v>
      </c>
      <c r="Q568" s="79"/>
      <c r="R568" s="79">
        <v>22.82818</v>
      </c>
      <c r="S568" s="79">
        <v>48.244909999999997</v>
      </c>
      <c r="T568" s="79">
        <v>67.954179999999994</v>
      </c>
      <c r="U568" s="79">
        <v>40.224049999999998</v>
      </c>
      <c r="V568" s="79"/>
      <c r="W568" s="79"/>
      <c r="X568" s="79"/>
      <c r="Y568" s="79"/>
      <c r="Z568" s="79">
        <v>52.96161</v>
      </c>
      <c r="AA568" s="79">
        <v>24.649789999999999</v>
      </c>
      <c r="AB568" s="79"/>
      <c r="AC568" s="79">
        <v>41.383609999999997</v>
      </c>
      <c r="AD568" s="79"/>
      <c r="AE568" s="79"/>
      <c r="AF568" s="79">
        <v>34.85295</v>
      </c>
      <c r="AG568" s="79">
        <v>29.880559999999999</v>
      </c>
      <c r="AH568" s="79"/>
      <c r="AI568" s="79"/>
      <c r="AJ568" s="79">
        <v>32.792839999999998</v>
      </c>
      <c r="AK568" s="79"/>
      <c r="AL568" s="79"/>
      <c r="AM568" s="79">
        <v>42.75056</v>
      </c>
      <c r="AN568" s="79"/>
      <c r="AO568" s="79">
        <v>33.48836</v>
      </c>
      <c r="AP568" s="79"/>
      <c r="AQ568" s="79"/>
      <c r="AR568" s="79"/>
      <c r="AS568" s="79"/>
      <c r="AT568" s="79"/>
      <c r="AU568" s="79"/>
      <c r="AV568" s="79"/>
      <c r="AW568" s="79"/>
      <c r="AX568" s="79"/>
      <c r="AY568" s="79"/>
    </row>
    <row r="569" spans="1:51" x14ac:dyDescent="0.2">
      <c r="A569" t="s">
        <v>1114</v>
      </c>
      <c r="B569" s="1">
        <v>24198</v>
      </c>
      <c r="C569" s="78">
        <v>569</v>
      </c>
      <c r="E569" s="1">
        <f t="shared" si="16"/>
        <v>24198</v>
      </c>
      <c r="F569" s="2">
        <f t="shared" si="17"/>
        <v>24198</v>
      </c>
      <c r="G569" s="78">
        <v>567</v>
      </c>
      <c r="H569" s="79"/>
      <c r="I569" s="79"/>
      <c r="J569" s="79">
        <v>34.94509</v>
      </c>
      <c r="K569" s="79">
        <v>34.007800000000003</v>
      </c>
      <c r="L569" s="79"/>
      <c r="M569" s="79"/>
      <c r="N569" s="79">
        <v>39.499229999999997</v>
      </c>
      <c r="O569" s="79"/>
      <c r="P569" s="79">
        <v>35.75891</v>
      </c>
      <c r="Q569" s="79"/>
      <c r="R569" s="79">
        <v>22.978110000000001</v>
      </c>
      <c r="S569" s="79">
        <v>47.817419999999998</v>
      </c>
      <c r="T569" s="79">
        <v>66.954859999999996</v>
      </c>
      <c r="U569" s="79">
        <v>41.31382</v>
      </c>
      <c r="V569" s="79"/>
      <c r="W569" s="79"/>
      <c r="X569" s="79"/>
      <c r="Y569" s="79"/>
      <c r="Z569" s="79">
        <v>51.801360000000003</v>
      </c>
      <c r="AA569" s="79">
        <v>25.15456</v>
      </c>
      <c r="AB569" s="79"/>
      <c r="AC569" s="79">
        <v>41.474269999999997</v>
      </c>
      <c r="AD569" s="79"/>
      <c r="AE569" s="79"/>
      <c r="AF569" s="79">
        <v>35.138629999999999</v>
      </c>
      <c r="AG569" s="79">
        <v>29.21706</v>
      </c>
      <c r="AH569" s="79"/>
      <c r="AI569" s="79"/>
      <c r="AJ569" s="79">
        <v>32.842590000000001</v>
      </c>
      <c r="AK569" s="79"/>
      <c r="AL569" s="79"/>
      <c r="AM569" s="79">
        <v>41.386180000000003</v>
      </c>
      <c r="AN569" s="79"/>
      <c r="AO569" s="79">
        <v>33.54157</v>
      </c>
      <c r="AP569" s="79"/>
      <c r="AQ569" s="79"/>
      <c r="AR569" s="79"/>
      <c r="AS569" s="79"/>
      <c r="AT569" s="79"/>
      <c r="AU569" s="79"/>
      <c r="AV569" s="79"/>
      <c r="AW569" s="79"/>
      <c r="AX569" s="79"/>
      <c r="AY569" s="79"/>
    </row>
    <row r="570" spans="1:51" x14ac:dyDescent="0.2">
      <c r="A570" t="s">
        <v>1115</v>
      </c>
      <c r="B570" s="1">
        <v>24228</v>
      </c>
      <c r="C570" s="78">
        <v>570</v>
      </c>
      <c r="E570" s="1">
        <f t="shared" si="16"/>
        <v>24228</v>
      </c>
      <c r="F570" s="2">
        <f t="shared" si="17"/>
        <v>24228</v>
      </c>
      <c r="G570" s="78">
        <v>568</v>
      </c>
      <c r="H570" s="79"/>
      <c r="I570" s="79"/>
      <c r="J570" s="79">
        <v>34.584000000000003</v>
      </c>
      <c r="K570" s="79">
        <v>34.020949999999999</v>
      </c>
      <c r="L570" s="79"/>
      <c r="M570" s="79"/>
      <c r="N570" s="79">
        <v>39.314079999999997</v>
      </c>
      <c r="O570" s="79"/>
      <c r="P570" s="79">
        <v>36.11224</v>
      </c>
      <c r="Q570" s="79"/>
      <c r="R570" s="79">
        <v>23.199739999999998</v>
      </c>
      <c r="S570" s="79">
        <v>48.550260000000002</v>
      </c>
      <c r="T570" s="79">
        <v>65.955529999999996</v>
      </c>
      <c r="U570" s="79">
        <v>44.594180000000001</v>
      </c>
      <c r="V570" s="79"/>
      <c r="W570" s="79"/>
      <c r="X570" s="79"/>
      <c r="Y570" s="79"/>
      <c r="Z570" s="79">
        <v>53.7806</v>
      </c>
      <c r="AA570" s="79">
        <v>25.406949999999998</v>
      </c>
      <c r="AB570" s="79"/>
      <c r="AC570" s="79">
        <v>41.967440000000003</v>
      </c>
      <c r="AD570" s="79"/>
      <c r="AE570" s="79"/>
      <c r="AF570" s="79">
        <v>34.85295</v>
      </c>
      <c r="AG570" s="79">
        <v>29.766169999999999</v>
      </c>
      <c r="AH570" s="79"/>
      <c r="AI570" s="79"/>
      <c r="AJ570" s="79">
        <v>32.314489999999999</v>
      </c>
      <c r="AK570" s="79"/>
      <c r="AL570" s="79"/>
      <c r="AM570" s="79">
        <v>41.840969999999999</v>
      </c>
      <c r="AN570" s="79"/>
      <c r="AO570" s="79">
        <v>33.860750000000003</v>
      </c>
      <c r="AP570" s="79"/>
      <c r="AQ570" s="79"/>
      <c r="AR570" s="79"/>
      <c r="AS570" s="79"/>
      <c r="AT570" s="79"/>
      <c r="AU570" s="79"/>
      <c r="AV570" s="79"/>
      <c r="AW570" s="79"/>
      <c r="AX570" s="79"/>
      <c r="AY570" s="79"/>
    </row>
    <row r="571" spans="1:51" x14ac:dyDescent="0.2">
      <c r="A571" t="s">
        <v>1116</v>
      </c>
      <c r="B571" s="1">
        <v>24259</v>
      </c>
      <c r="C571" s="78">
        <v>571</v>
      </c>
      <c r="E571" s="1">
        <f t="shared" si="16"/>
        <v>24259</v>
      </c>
      <c r="F571" s="2">
        <f t="shared" si="17"/>
        <v>24259</v>
      </c>
      <c r="G571" s="78">
        <v>569</v>
      </c>
      <c r="H571" s="79"/>
      <c r="I571" s="79"/>
      <c r="J571" s="79">
        <v>34.961959999999998</v>
      </c>
      <c r="K571" s="79">
        <v>34.046799999999998</v>
      </c>
      <c r="L571" s="79"/>
      <c r="M571" s="79"/>
      <c r="N571" s="79">
        <v>39.80782</v>
      </c>
      <c r="O571" s="79"/>
      <c r="P571" s="79">
        <v>36.315049999999999</v>
      </c>
      <c r="Q571" s="79"/>
      <c r="R571" s="79">
        <v>23.43441</v>
      </c>
      <c r="S571" s="79">
        <v>49.222020000000001</v>
      </c>
      <c r="T571" s="79">
        <v>65.955529999999996</v>
      </c>
      <c r="U571" s="79">
        <v>42.905720000000002</v>
      </c>
      <c r="V571" s="79"/>
      <c r="W571" s="79"/>
      <c r="X571" s="79"/>
      <c r="Y571" s="79"/>
      <c r="Z571" s="79">
        <v>53.985349999999997</v>
      </c>
      <c r="AA571" s="79">
        <v>25.827590000000001</v>
      </c>
      <c r="AB571" s="79"/>
      <c r="AC571" s="79">
        <v>42.18515</v>
      </c>
      <c r="AD571" s="79"/>
      <c r="AE571" s="79"/>
      <c r="AF571" s="79">
        <v>34.85295</v>
      </c>
      <c r="AG571" s="79">
        <v>31.047409999999999</v>
      </c>
      <c r="AH571" s="79"/>
      <c r="AI571" s="79"/>
      <c r="AJ571" s="79">
        <v>30.86731</v>
      </c>
      <c r="AK571" s="79"/>
      <c r="AL571" s="79"/>
      <c r="AM571" s="79">
        <v>42.75056</v>
      </c>
      <c r="AN571" s="79"/>
      <c r="AO571" s="79">
        <v>34.020380000000003</v>
      </c>
      <c r="AP571" s="79"/>
      <c r="AQ571" s="79"/>
      <c r="AR571" s="79"/>
      <c r="AS571" s="79"/>
      <c r="AT571" s="79"/>
      <c r="AU571" s="79"/>
      <c r="AV571" s="79"/>
      <c r="AW571" s="79"/>
      <c r="AX571" s="79"/>
      <c r="AY571" s="79"/>
    </row>
    <row r="572" spans="1:51" x14ac:dyDescent="0.2">
      <c r="A572" t="s">
        <v>1117</v>
      </c>
      <c r="B572" s="1">
        <v>24289</v>
      </c>
      <c r="C572" s="78">
        <v>572</v>
      </c>
      <c r="E572" s="1">
        <f t="shared" si="16"/>
        <v>24289</v>
      </c>
      <c r="F572" s="2">
        <f t="shared" si="17"/>
        <v>24289</v>
      </c>
      <c r="G572" s="78">
        <v>570</v>
      </c>
      <c r="H572" s="79"/>
      <c r="I572" s="79"/>
      <c r="J572" s="79">
        <v>34.899729999999998</v>
      </c>
      <c r="K572" s="79">
        <v>33.902070000000002</v>
      </c>
      <c r="L572" s="79"/>
      <c r="M572" s="79"/>
      <c r="N572" s="79">
        <v>39.375790000000002</v>
      </c>
      <c r="O572" s="79"/>
      <c r="P572" s="79">
        <v>36.044280000000001</v>
      </c>
      <c r="Q572" s="79"/>
      <c r="R572" s="79">
        <v>23.105219999999999</v>
      </c>
      <c r="S572" s="79">
        <v>49.527369999999998</v>
      </c>
      <c r="T572" s="79">
        <v>66.954859999999996</v>
      </c>
      <c r="U572" s="79">
        <v>42.827100000000002</v>
      </c>
      <c r="V572" s="79"/>
      <c r="W572" s="79"/>
      <c r="X572" s="79"/>
      <c r="Y572" s="79"/>
      <c r="Z572" s="79">
        <v>54.463099999999997</v>
      </c>
      <c r="AA572" s="79">
        <v>26.248239999999999</v>
      </c>
      <c r="AB572" s="79"/>
      <c r="AC572" s="79">
        <v>41.935009999999998</v>
      </c>
      <c r="AD572" s="79"/>
      <c r="AE572" s="79"/>
      <c r="AF572" s="79">
        <v>34.567279999999997</v>
      </c>
      <c r="AG572" s="79">
        <v>29.880559999999999</v>
      </c>
      <c r="AH572" s="79"/>
      <c r="AI572" s="79"/>
      <c r="AJ572" s="79">
        <v>30.947050000000001</v>
      </c>
      <c r="AK572" s="79"/>
      <c r="AL572" s="79"/>
      <c r="AM572" s="79">
        <v>39.112209999999997</v>
      </c>
      <c r="AN572" s="79"/>
      <c r="AO572" s="79">
        <v>34.206530000000001</v>
      </c>
      <c r="AP572" s="79"/>
      <c r="AQ572" s="79"/>
      <c r="AR572" s="79"/>
      <c r="AS572" s="79"/>
      <c r="AT572" s="79"/>
      <c r="AU572" s="79"/>
      <c r="AV572" s="79"/>
      <c r="AW572" s="79"/>
      <c r="AX572" s="79"/>
      <c r="AY572" s="79"/>
    </row>
    <row r="573" spans="1:51" x14ac:dyDescent="0.2">
      <c r="A573" t="s">
        <v>1118</v>
      </c>
      <c r="B573" s="1">
        <v>24320</v>
      </c>
      <c r="C573" s="78">
        <v>573</v>
      </c>
      <c r="E573" s="1">
        <f t="shared" si="16"/>
        <v>24320</v>
      </c>
      <c r="F573" s="2">
        <f t="shared" si="17"/>
        <v>24320</v>
      </c>
      <c r="G573" s="78">
        <v>571</v>
      </c>
      <c r="H573" s="79"/>
      <c r="I573" s="79"/>
      <c r="J573" s="79">
        <v>35.078830000000004</v>
      </c>
      <c r="K573" s="79">
        <v>33.358379999999997</v>
      </c>
      <c r="L573" s="79"/>
      <c r="M573" s="79"/>
      <c r="N573" s="79">
        <v>38.88205</v>
      </c>
      <c r="O573" s="79"/>
      <c r="P573" s="79">
        <v>37.559660000000001</v>
      </c>
      <c r="Q573" s="79"/>
      <c r="R573" s="79">
        <v>23.222549999999998</v>
      </c>
      <c r="S573" s="79">
        <v>49.527369999999998</v>
      </c>
      <c r="T573" s="79">
        <v>66.455190000000002</v>
      </c>
      <c r="U573" s="79">
        <v>42.405720000000002</v>
      </c>
      <c r="V573" s="79"/>
      <c r="W573" s="79"/>
      <c r="X573" s="79"/>
      <c r="Y573" s="79"/>
      <c r="Z573" s="79">
        <v>55.896340000000002</v>
      </c>
      <c r="AA573" s="79">
        <v>26.668880000000001</v>
      </c>
      <c r="AB573" s="79"/>
      <c r="AC573" s="79">
        <v>42.043880000000001</v>
      </c>
      <c r="AD573" s="79"/>
      <c r="AE573" s="79"/>
      <c r="AF573" s="79">
        <v>35.424320000000002</v>
      </c>
      <c r="AG573" s="79">
        <v>30.086480000000002</v>
      </c>
      <c r="AH573" s="79"/>
      <c r="AI573" s="79"/>
      <c r="AJ573" s="79">
        <v>31.73639</v>
      </c>
      <c r="AK573" s="79"/>
      <c r="AL573" s="79"/>
      <c r="AM573" s="79">
        <v>41.840969999999999</v>
      </c>
      <c r="AN573" s="79"/>
      <c r="AO573" s="79">
        <v>34.233139999999999</v>
      </c>
      <c r="AP573" s="79"/>
      <c r="AQ573" s="79"/>
      <c r="AR573" s="79"/>
      <c r="AS573" s="79"/>
      <c r="AT573" s="79"/>
      <c r="AU573" s="79"/>
      <c r="AV573" s="79"/>
      <c r="AW573" s="79"/>
      <c r="AX573" s="79"/>
      <c r="AY573" s="79"/>
    </row>
    <row r="574" spans="1:51" x14ac:dyDescent="0.2">
      <c r="A574" t="s">
        <v>1119</v>
      </c>
      <c r="B574" s="1">
        <v>24351</v>
      </c>
      <c r="C574" s="78">
        <v>574</v>
      </c>
      <c r="E574" s="1">
        <f t="shared" si="16"/>
        <v>24351</v>
      </c>
      <c r="F574" s="2">
        <f t="shared" si="17"/>
        <v>24351</v>
      </c>
      <c r="G574" s="78">
        <v>572</v>
      </c>
      <c r="H574" s="79"/>
      <c r="I574" s="79"/>
      <c r="J574" s="79">
        <v>35.286099999999998</v>
      </c>
      <c r="K574" s="79">
        <v>34.212209999999999</v>
      </c>
      <c r="L574" s="79"/>
      <c r="M574" s="79"/>
      <c r="N574" s="79">
        <v>39.128920000000001</v>
      </c>
      <c r="O574" s="79"/>
      <c r="P574" s="79">
        <v>38.203650000000003</v>
      </c>
      <c r="Q574" s="79"/>
      <c r="R574" s="79">
        <v>23.838560000000001</v>
      </c>
      <c r="S574" s="79">
        <v>49.649509999999999</v>
      </c>
      <c r="T574" s="79">
        <v>65.955529999999996</v>
      </c>
      <c r="U574" s="79">
        <v>42.718899999999998</v>
      </c>
      <c r="V574" s="79"/>
      <c r="W574" s="79"/>
      <c r="X574" s="79"/>
      <c r="Y574" s="79"/>
      <c r="Z574" s="79">
        <v>56.032829999999997</v>
      </c>
      <c r="AA574" s="79">
        <v>27.08953</v>
      </c>
      <c r="AB574" s="79"/>
      <c r="AC574" s="79">
        <v>42.183860000000003</v>
      </c>
      <c r="AD574" s="79"/>
      <c r="AE574" s="79"/>
      <c r="AF574" s="79">
        <v>35.424320000000002</v>
      </c>
      <c r="AG574" s="79">
        <v>31.230450000000001</v>
      </c>
      <c r="AH574" s="79"/>
      <c r="AI574" s="79"/>
      <c r="AJ574" s="79">
        <v>29.997440000000001</v>
      </c>
      <c r="AK574" s="79"/>
      <c r="AL574" s="79"/>
      <c r="AM574" s="79">
        <v>43.660139999999998</v>
      </c>
      <c r="AN574" s="79"/>
      <c r="AO574" s="79">
        <v>34.552309999999999</v>
      </c>
      <c r="AP574" s="79"/>
      <c r="AQ574" s="79"/>
      <c r="AR574" s="79"/>
      <c r="AS574" s="79"/>
      <c r="AT574" s="79"/>
      <c r="AU574" s="79"/>
      <c r="AV574" s="79"/>
      <c r="AW574" s="79"/>
      <c r="AX574" s="79"/>
      <c r="AY574" s="79"/>
    </row>
    <row r="575" spans="1:51" x14ac:dyDescent="0.2">
      <c r="A575" t="s">
        <v>1120</v>
      </c>
      <c r="B575" s="1">
        <v>24381</v>
      </c>
      <c r="C575" s="78">
        <v>575</v>
      </c>
      <c r="E575" s="1">
        <f t="shared" si="16"/>
        <v>24381</v>
      </c>
      <c r="F575" s="2">
        <f t="shared" si="17"/>
        <v>24381</v>
      </c>
      <c r="G575" s="78">
        <v>573</v>
      </c>
      <c r="H575" s="79"/>
      <c r="I575" s="79"/>
      <c r="J575" s="79">
        <v>34.817050000000002</v>
      </c>
      <c r="K575" s="79">
        <v>34.597529999999999</v>
      </c>
      <c r="L575" s="79"/>
      <c r="M575" s="79"/>
      <c r="N575" s="79">
        <v>38.635179999999998</v>
      </c>
      <c r="O575" s="79"/>
      <c r="P575" s="79">
        <v>38.361469999999997</v>
      </c>
      <c r="Q575" s="79"/>
      <c r="R575" s="79">
        <v>24.324200000000001</v>
      </c>
      <c r="S575" s="79">
        <v>49.038809999999998</v>
      </c>
      <c r="T575" s="79">
        <v>64.956199999999995</v>
      </c>
      <c r="U575" s="79">
        <v>43.02908</v>
      </c>
      <c r="V575" s="79"/>
      <c r="W575" s="79"/>
      <c r="X575" s="79"/>
      <c r="Y575" s="79"/>
      <c r="Z575" s="79">
        <v>55.418590000000002</v>
      </c>
      <c r="AA575" s="79">
        <v>27.5943</v>
      </c>
      <c r="AB575" s="79"/>
      <c r="AC575" s="79">
        <v>42.494059999999998</v>
      </c>
      <c r="AD575" s="79"/>
      <c r="AE575" s="79"/>
      <c r="AF575" s="79">
        <v>35.71</v>
      </c>
      <c r="AG575" s="79">
        <v>30.475429999999999</v>
      </c>
      <c r="AH575" s="79"/>
      <c r="AI575" s="79"/>
      <c r="AJ575" s="79">
        <v>29.97993</v>
      </c>
      <c r="AK575" s="79"/>
      <c r="AL575" s="79"/>
      <c r="AM575" s="79">
        <v>43.205350000000003</v>
      </c>
      <c r="AN575" s="79"/>
      <c r="AO575" s="79">
        <v>34.791670000000003</v>
      </c>
      <c r="AP575" s="79"/>
      <c r="AQ575" s="79"/>
      <c r="AR575" s="79"/>
      <c r="AS575" s="79"/>
      <c r="AT575" s="79"/>
      <c r="AU575" s="79"/>
      <c r="AV575" s="79"/>
      <c r="AW575" s="79"/>
      <c r="AX575" s="79"/>
      <c r="AY575" s="79"/>
    </row>
    <row r="576" spans="1:51" x14ac:dyDescent="0.2">
      <c r="A576" t="s">
        <v>1121</v>
      </c>
      <c r="B576" s="1">
        <v>24412</v>
      </c>
      <c r="C576" s="78">
        <v>576</v>
      </c>
      <c r="E576" s="1">
        <f t="shared" si="16"/>
        <v>24412</v>
      </c>
      <c r="F576" s="2">
        <f t="shared" si="17"/>
        <v>24412</v>
      </c>
      <c r="G576" s="78">
        <v>574</v>
      </c>
      <c r="H576" s="79"/>
      <c r="I576" s="79"/>
      <c r="J576" s="79">
        <v>35.034700000000001</v>
      </c>
      <c r="K576" s="79">
        <v>34.454210000000003</v>
      </c>
      <c r="L576" s="79"/>
      <c r="M576" s="79"/>
      <c r="N576" s="79">
        <v>38.141440000000003</v>
      </c>
      <c r="O576" s="79"/>
      <c r="P576" s="79">
        <v>37.970610000000001</v>
      </c>
      <c r="Q576" s="79"/>
      <c r="R576" s="79">
        <v>24.288350000000001</v>
      </c>
      <c r="S576" s="79">
        <v>49.588439999999999</v>
      </c>
      <c r="T576" s="79">
        <v>64.456540000000004</v>
      </c>
      <c r="U576" s="79">
        <v>42.805720000000001</v>
      </c>
      <c r="V576" s="79"/>
      <c r="W576" s="79"/>
      <c r="X576" s="79"/>
      <c r="Y576" s="79"/>
      <c r="Z576" s="79">
        <v>55.691589999999998</v>
      </c>
      <c r="AA576" s="79">
        <v>28.183199999999999</v>
      </c>
      <c r="AB576" s="79"/>
      <c r="AC576" s="79">
        <v>42.1051</v>
      </c>
      <c r="AD576" s="79"/>
      <c r="AE576" s="79"/>
      <c r="AF576" s="79">
        <v>35.995669999999997</v>
      </c>
      <c r="AG576" s="79">
        <v>31.093170000000001</v>
      </c>
      <c r="AH576" s="79"/>
      <c r="AI576" s="79"/>
      <c r="AJ576" s="79">
        <v>30.366579999999999</v>
      </c>
      <c r="AK576" s="79"/>
      <c r="AL576" s="79"/>
      <c r="AM576" s="79">
        <v>42.75056</v>
      </c>
      <c r="AN576" s="79"/>
      <c r="AO576" s="79">
        <v>34.552309999999999</v>
      </c>
      <c r="AP576" s="79"/>
      <c r="AQ576" s="79"/>
      <c r="AR576" s="79"/>
      <c r="AS576" s="79"/>
      <c r="AT576" s="79"/>
      <c r="AU576" s="79"/>
      <c r="AV576" s="79"/>
      <c r="AW576" s="79"/>
      <c r="AX576" s="79"/>
      <c r="AY576" s="79"/>
    </row>
    <row r="577" spans="1:51" x14ac:dyDescent="0.2">
      <c r="A577" t="s">
        <v>1122</v>
      </c>
      <c r="B577" s="1">
        <v>24442</v>
      </c>
      <c r="C577" s="78">
        <v>577</v>
      </c>
      <c r="E577" s="1">
        <f t="shared" si="16"/>
        <v>24442</v>
      </c>
      <c r="F577" s="2">
        <f t="shared" si="17"/>
        <v>24442</v>
      </c>
      <c r="G577" s="78">
        <v>575</v>
      </c>
      <c r="H577" s="79"/>
      <c r="I577" s="79"/>
      <c r="J577" s="79">
        <v>34.627189999999999</v>
      </c>
      <c r="K577" s="79">
        <v>34.496510000000001</v>
      </c>
      <c r="L577" s="79"/>
      <c r="M577" s="79"/>
      <c r="N577" s="79">
        <v>38.203159999999997</v>
      </c>
      <c r="O577" s="79"/>
      <c r="P577" s="79">
        <v>39.374490000000002</v>
      </c>
      <c r="Q577" s="79"/>
      <c r="R577" s="79">
        <v>24.154710000000001</v>
      </c>
      <c r="S577" s="79">
        <v>49.588439999999999</v>
      </c>
      <c r="T577" s="79">
        <v>65.455860000000001</v>
      </c>
      <c r="U577" s="79">
        <v>43.869289999999999</v>
      </c>
      <c r="V577" s="79"/>
      <c r="W577" s="79"/>
      <c r="X577" s="79"/>
      <c r="Y577" s="79"/>
      <c r="Z577" s="79">
        <v>56.85183</v>
      </c>
      <c r="AA577" s="79">
        <v>28.772110000000001</v>
      </c>
      <c r="AB577" s="79"/>
      <c r="AC577" s="79">
        <v>42.466999999999999</v>
      </c>
      <c r="AD577" s="79"/>
      <c r="AE577" s="79"/>
      <c r="AF577" s="79">
        <v>35.71</v>
      </c>
      <c r="AG577" s="79">
        <v>31.459250000000001</v>
      </c>
      <c r="AH577" s="79"/>
      <c r="AI577" s="79"/>
      <c r="AJ577" s="79">
        <v>30.10716</v>
      </c>
      <c r="AK577" s="79"/>
      <c r="AL577" s="79"/>
      <c r="AM577" s="79">
        <v>41.840969999999999</v>
      </c>
      <c r="AN577" s="79"/>
      <c r="AO577" s="79">
        <v>34.632129999999997</v>
      </c>
      <c r="AP577" s="79"/>
      <c r="AQ577" s="79"/>
      <c r="AR577" s="79"/>
      <c r="AS577" s="79"/>
      <c r="AT577" s="79"/>
      <c r="AU577" s="79"/>
      <c r="AV577" s="79"/>
      <c r="AW577" s="79"/>
      <c r="AX577" s="79"/>
      <c r="AY577" s="79"/>
    </row>
    <row r="578" spans="1:51" x14ac:dyDescent="0.2">
      <c r="A578" t="s">
        <v>1123</v>
      </c>
      <c r="B578" s="1">
        <v>24473</v>
      </c>
      <c r="C578" s="78">
        <v>578</v>
      </c>
      <c r="E578" s="1">
        <f t="shared" ref="E578:E641" si="18">B578</f>
        <v>24473</v>
      </c>
      <c r="F578" s="2">
        <f t="shared" ref="F578:F641" si="19">B578</f>
        <v>24473</v>
      </c>
      <c r="G578" s="78">
        <v>576</v>
      </c>
      <c r="H578" s="79"/>
      <c r="I578" s="79"/>
      <c r="J578" s="79">
        <v>34.96725</v>
      </c>
      <c r="K578" s="79">
        <v>34.751190000000001</v>
      </c>
      <c r="L578" s="79"/>
      <c r="M578" s="79"/>
      <c r="N578" s="79">
        <v>37.524270000000001</v>
      </c>
      <c r="O578" s="79"/>
      <c r="P578" s="79">
        <v>37.669530000000002</v>
      </c>
      <c r="Q578" s="79"/>
      <c r="R578" s="79">
        <v>24.193829999999998</v>
      </c>
      <c r="S578" s="79">
        <v>49.344160000000002</v>
      </c>
      <c r="T578" s="79">
        <v>65.455860000000001</v>
      </c>
      <c r="U578" s="79">
        <v>43.963830000000002</v>
      </c>
      <c r="V578" s="79"/>
      <c r="W578" s="79"/>
      <c r="X578" s="79"/>
      <c r="Y578" s="79"/>
      <c r="Z578" s="79">
        <v>57.056579999999997</v>
      </c>
      <c r="AA578" s="79">
        <v>28.940359999999998</v>
      </c>
      <c r="AB578" s="79"/>
      <c r="AC578" s="79">
        <v>43.299149999999997</v>
      </c>
      <c r="AD578" s="79"/>
      <c r="AE578" s="79"/>
      <c r="AF578" s="79">
        <v>35.424320000000002</v>
      </c>
      <c r="AG578" s="79">
        <v>32.054110000000001</v>
      </c>
      <c r="AH578" s="79"/>
      <c r="AI578" s="79"/>
      <c r="AJ578" s="79">
        <v>30.27074</v>
      </c>
      <c r="AK578" s="79"/>
      <c r="AL578" s="79"/>
      <c r="AM578" s="79">
        <v>42.75056</v>
      </c>
      <c r="AN578" s="79"/>
      <c r="AO578" s="79">
        <v>34.79551</v>
      </c>
      <c r="AP578" s="79"/>
      <c r="AQ578" s="79"/>
      <c r="AR578" s="79"/>
      <c r="AS578" s="79"/>
      <c r="AT578" s="79"/>
      <c r="AU578" s="79"/>
      <c r="AV578" s="79"/>
      <c r="AW578" s="79"/>
      <c r="AX578" s="79"/>
      <c r="AY578" s="79"/>
    </row>
    <row r="579" spans="1:51" x14ac:dyDescent="0.2">
      <c r="A579" t="s">
        <v>1124</v>
      </c>
      <c r="B579" s="1">
        <v>24504</v>
      </c>
      <c r="C579" s="78">
        <v>579</v>
      </c>
      <c r="E579" s="1">
        <f t="shared" si="18"/>
        <v>24504</v>
      </c>
      <c r="F579" s="2">
        <f t="shared" si="19"/>
        <v>24504</v>
      </c>
      <c r="G579" s="78">
        <v>577</v>
      </c>
      <c r="H579" s="79"/>
      <c r="I579" s="79"/>
      <c r="J579" s="79">
        <v>35.56758</v>
      </c>
      <c r="K579" s="79">
        <v>34.43824</v>
      </c>
      <c r="L579" s="79"/>
      <c r="M579" s="79"/>
      <c r="N579" s="79">
        <v>37.092239999999997</v>
      </c>
      <c r="O579" s="79"/>
      <c r="P579" s="79">
        <v>35.877800000000001</v>
      </c>
      <c r="Q579" s="79"/>
      <c r="R579" s="79">
        <v>24.229679999999998</v>
      </c>
      <c r="S579" s="79">
        <v>49.038809999999998</v>
      </c>
      <c r="T579" s="79">
        <v>65.455860000000001</v>
      </c>
      <c r="U579" s="79">
        <v>44.028329999999997</v>
      </c>
      <c r="V579" s="79"/>
      <c r="W579" s="79"/>
      <c r="X579" s="79"/>
      <c r="Y579" s="79"/>
      <c r="Z579" s="79">
        <v>57.943820000000002</v>
      </c>
      <c r="AA579" s="79">
        <v>28.68798</v>
      </c>
      <c r="AB579" s="79"/>
      <c r="AC579" s="79">
        <v>42.667520000000003</v>
      </c>
      <c r="AD579" s="79"/>
      <c r="AE579" s="79"/>
      <c r="AF579" s="79">
        <v>35.71</v>
      </c>
      <c r="AG579" s="79">
        <v>31.253329999999998</v>
      </c>
      <c r="AH579" s="79"/>
      <c r="AI579" s="79"/>
      <c r="AJ579" s="79">
        <v>29.10342</v>
      </c>
      <c r="AK579" s="79"/>
      <c r="AL579" s="79"/>
      <c r="AM579" s="79">
        <v>43.205350000000003</v>
      </c>
      <c r="AN579" s="79"/>
      <c r="AO579" s="79">
        <v>34.400840000000002</v>
      </c>
      <c r="AP579" s="79"/>
      <c r="AQ579" s="79"/>
      <c r="AR579" s="79"/>
      <c r="AS579" s="79"/>
      <c r="AT579" s="79"/>
      <c r="AU579" s="79"/>
      <c r="AV579" s="79"/>
      <c r="AW579" s="79"/>
      <c r="AX579" s="79"/>
      <c r="AY579" s="79"/>
    </row>
    <row r="580" spans="1:51" x14ac:dyDescent="0.2">
      <c r="A580" t="s">
        <v>1125</v>
      </c>
      <c r="B580" s="1">
        <v>24532</v>
      </c>
      <c r="C580" s="78">
        <v>580</v>
      </c>
      <c r="E580" s="1">
        <f t="shared" si="18"/>
        <v>24532</v>
      </c>
      <c r="F580" s="2">
        <f t="shared" si="19"/>
        <v>24532</v>
      </c>
      <c r="G580" s="78">
        <v>578</v>
      </c>
      <c r="H580" s="79"/>
      <c r="I580" s="79"/>
      <c r="J580" s="79">
        <v>35.371040000000001</v>
      </c>
      <c r="K580" s="79">
        <v>34.488509999999998</v>
      </c>
      <c r="L580" s="79"/>
      <c r="M580" s="79"/>
      <c r="N580" s="79">
        <v>36.845379999999999</v>
      </c>
      <c r="O580" s="79"/>
      <c r="P580" s="79">
        <v>36.957050000000002</v>
      </c>
      <c r="Q580" s="79"/>
      <c r="R580" s="79">
        <v>24.242719999999998</v>
      </c>
      <c r="S580" s="79">
        <v>49.344160000000002</v>
      </c>
      <c r="T580" s="79">
        <v>65.455860000000001</v>
      </c>
      <c r="U580" s="79">
        <v>44.156959999999998</v>
      </c>
      <c r="V580" s="79"/>
      <c r="W580" s="79"/>
      <c r="X580" s="79"/>
      <c r="Y580" s="79"/>
      <c r="Z580" s="79">
        <v>57.12482</v>
      </c>
      <c r="AA580" s="79">
        <v>29.445139999999999</v>
      </c>
      <c r="AB580" s="79"/>
      <c r="AC580" s="79">
        <v>42.381549999999997</v>
      </c>
      <c r="AD580" s="79"/>
      <c r="AE580" s="79"/>
      <c r="AF580" s="79">
        <v>35.71</v>
      </c>
      <c r="AG580" s="79">
        <v>30.9559</v>
      </c>
      <c r="AH580" s="79"/>
      <c r="AI580" s="79"/>
      <c r="AJ580" s="79">
        <v>30.214929999999999</v>
      </c>
      <c r="AK580" s="79"/>
      <c r="AL580" s="79"/>
      <c r="AM580" s="79">
        <v>43.205350000000003</v>
      </c>
      <c r="AN580" s="79"/>
      <c r="AO580" s="79">
        <v>34.206910000000001</v>
      </c>
      <c r="AP580" s="79"/>
      <c r="AQ580" s="79"/>
      <c r="AR580" s="79"/>
      <c r="AS580" s="79"/>
      <c r="AT580" s="79"/>
      <c r="AU580" s="79"/>
      <c r="AV580" s="79"/>
      <c r="AW580" s="79"/>
      <c r="AX580" s="79"/>
      <c r="AY580" s="79"/>
    </row>
    <row r="581" spans="1:51" x14ac:dyDescent="0.2">
      <c r="A581" t="s">
        <v>1126</v>
      </c>
      <c r="B581" s="1">
        <v>24563</v>
      </c>
      <c r="C581" s="78">
        <v>581</v>
      </c>
      <c r="E581" s="1">
        <f t="shared" si="18"/>
        <v>24563</v>
      </c>
      <c r="F581" s="2">
        <f t="shared" si="19"/>
        <v>24563</v>
      </c>
      <c r="G581" s="78">
        <v>579</v>
      </c>
      <c r="H581" s="79"/>
      <c r="I581" s="79"/>
      <c r="J581" s="79">
        <v>34.6492</v>
      </c>
      <c r="K581" s="79">
        <v>34.83155</v>
      </c>
      <c r="L581" s="79"/>
      <c r="M581" s="79"/>
      <c r="N581" s="79">
        <v>37.092239999999997</v>
      </c>
      <c r="O581" s="79"/>
      <c r="P581" s="79">
        <v>38.587359999999997</v>
      </c>
      <c r="Q581" s="79"/>
      <c r="R581" s="79">
        <v>24.00479</v>
      </c>
      <c r="S581" s="79">
        <v>48.794539999999998</v>
      </c>
      <c r="T581" s="79">
        <v>65.955529999999996</v>
      </c>
      <c r="U581" s="79">
        <v>44.197029999999998</v>
      </c>
      <c r="V581" s="79"/>
      <c r="W581" s="79"/>
      <c r="X581" s="79"/>
      <c r="Y581" s="79"/>
      <c r="Z581" s="79">
        <v>58.216819999999998</v>
      </c>
      <c r="AA581" s="79">
        <v>29.69753</v>
      </c>
      <c r="AB581" s="79"/>
      <c r="AC581" s="79">
        <v>42.429200000000002</v>
      </c>
      <c r="AD581" s="79"/>
      <c r="AE581" s="79"/>
      <c r="AF581" s="79">
        <v>36.281350000000003</v>
      </c>
      <c r="AG581" s="79">
        <v>31.20757</v>
      </c>
      <c r="AH581" s="79"/>
      <c r="AI581" s="79"/>
      <c r="AJ581" s="79">
        <v>29.613510000000002</v>
      </c>
      <c r="AK581" s="79"/>
      <c r="AL581" s="79"/>
      <c r="AM581" s="79">
        <v>43.205350000000003</v>
      </c>
      <c r="AN581" s="79"/>
      <c r="AO581" s="79">
        <v>34.52955</v>
      </c>
      <c r="AP581" s="79"/>
      <c r="AQ581" s="79"/>
      <c r="AR581" s="79"/>
      <c r="AS581" s="79"/>
      <c r="AT581" s="79"/>
      <c r="AU581" s="79"/>
      <c r="AV581" s="79"/>
      <c r="AW581" s="79"/>
      <c r="AX581" s="79"/>
      <c r="AY581" s="79"/>
    </row>
    <row r="582" spans="1:51" x14ac:dyDescent="0.2">
      <c r="A582" t="s">
        <v>1127</v>
      </c>
      <c r="B582" s="1">
        <v>24593</v>
      </c>
      <c r="C582" s="78">
        <v>582</v>
      </c>
      <c r="E582" s="1">
        <f t="shared" si="18"/>
        <v>24593</v>
      </c>
      <c r="F582" s="2">
        <f t="shared" si="19"/>
        <v>24593</v>
      </c>
      <c r="G582" s="78">
        <v>580</v>
      </c>
      <c r="H582" s="79"/>
      <c r="I582" s="79"/>
      <c r="J582" s="79">
        <v>35.40211</v>
      </c>
      <c r="K582" s="79">
        <v>34.71219</v>
      </c>
      <c r="L582" s="79"/>
      <c r="M582" s="79"/>
      <c r="N582" s="79">
        <v>36.536790000000003</v>
      </c>
      <c r="O582" s="79"/>
      <c r="P582" s="79">
        <v>37.544029999999999</v>
      </c>
      <c r="Q582" s="79"/>
      <c r="R582" s="79">
        <v>23.81249</v>
      </c>
      <c r="S582" s="79">
        <v>49.038809999999998</v>
      </c>
      <c r="T582" s="79">
        <v>64.956199999999995</v>
      </c>
      <c r="U582" s="79">
        <v>44.494669999999999</v>
      </c>
      <c r="V582" s="79"/>
      <c r="W582" s="79"/>
      <c r="X582" s="79"/>
      <c r="Y582" s="79"/>
      <c r="Z582" s="79">
        <v>58.626309999999997</v>
      </c>
      <c r="AA582" s="79">
        <v>30.370560000000001</v>
      </c>
      <c r="AB582" s="79"/>
      <c r="AC582" s="79">
        <v>42.248370000000001</v>
      </c>
      <c r="AD582" s="79"/>
      <c r="AE582" s="79"/>
      <c r="AF582" s="79">
        <v>35.138629999999999</v>
      </c>
      <c r="AG582" s="79">
        <v>30.338149999999999</v>
      </c>
      <c r="AH582" s="79"/>
      <c r="AI582" s="79"/>
      <c r="AJ582" s="79">
        <v>30.062719999999999</v>
      </c>
      <c r="AK582" s="79"/>
      <c r="AL582" s="79"/>
      <c r="AM582" s="79">
        <v>44.114930000000001</v>
      </c>
      <c r="AN582" s="79"/>
      <c r="AO582" s="79">
        <v>34.22833</v>
      </c>
      <c r="AP582" s="79"/>
      <c r="AQ582" s="79"/>
      <c r="AR582" s="79"/>
      <c r="AS582" s="79"/>
      <c r="AT582" s="79"/>
      <c r="AU582" s="79"/>
      <c r="AV582" s="79"/>
      <c r="AW582" s="79"/>
      <c r="AX582" s="79"/>
      <c r="AY582" s="79"/>
    </row>
    <row r="583" spans="1:51" x14ac:dyDescent="0.2">
      <c r="A583" t="s">
        <v>1128</v>
      </c>
      <c r="B583" s="1">
        <v>24624</v>
      </c>
      <c r="C583" s="78">
        <v>583</v>
      </c>
      <c r="E583" s="1">
        <f t="shared" si="18"/>
        <v>24624</v>
      </c>
      <c r="F583" s="2">
        <f t="shared" si="19"/>
        <v>24624</v>
      </c>
      <c r="G583" s="78">
        <v>581</v>
      </c>
      <c r="H583" s="79"/>
      <c r="I583" s="79"/>
      <c r="J583" s="79">
        <v>35.076889999999999</v>
      </c>
      <c r="K583" s="79">
        <v>34.878070000000001</v>
      </c>
      <c r="L583" s="79"/>
      <c r="M583" s="79"/>
      <c r="N583" s="79">
        <v>37.339120000000001</v>
      </c>
      <c r="O583" s="79"/>
      <c r="P583" s="79">
        <v>38.792619999999999</v>
      </c>
      <c r="Q583" s="79"/>
      <c r="R583" s="79">
        <v>23.431149999999999</v>
      </c>
      <c r="S583" s="79">
        <v>50.321269999999998</v>
      </c>
      <c r="T583" s="79">
        <v>65.455860000000001</v>
      </c>
      <c r="U583" s="79">
        <v>43.338639999999998</v>
      </c>
      <c r="V583" s="79"/>
      <c r="W583" s="79"/>
      <c r="X583" s="79"/>
      <c r="Y583" s="79"/>
      <c r="Z583" s="79">
        <v>58.353319999999997</v>
      </c>
      <c r="AA583" s="79">
        <v>30.875330000000002</v>
      </c>
      <c r="AB583" s="79"/>
      <c r="AC583" s="79">
        <v>41.42107</v>
      </c>
      <c r="AD583" s="79"/>
      <c r="AE583" s="79"/>
      <c r="AF583" s="79">
        <v>36.567039999999999</v>
      </c>
      <c r="AG583" s="79">
        <v>32.054110000000001</v>
      </c>
      <c r="AH583" s="79"/>
      <c r="AI583" s="79"/>
      <c r="AJ583" s="79">
        <v>32.139620000000001</v>
      </c>
      <c r="AK583" s="79"/>
      <c r="AL583" s="79"/>
      <c r="AM583" s="79">
        <v>43.660139999999998</v>
      </c>
      <c r="AN583" s="79"/>
      <c r="AO583" s="79">
        <v>34.22401</v>
      </c>
      <c r="AP583" s="79"/>
      <c r="AQ583" s="79"/>
      <c r="AR583" s="79"/>
      <c r="AS583" s="79"/>
      <c r="AT583" s="79"/>
      <c r="AU583" s="79"/>
      <c r="AV583" s="79"/>
      <c r="AW583" s="79"/>
      <c r="AX583" s="79"/>
      <c r="AY583" s="79"/>
    </row>
    <row r="584" spans="1:51" x14ac:dyDescent="0.2">
      <c r="A584" t="s">
        <v>1129</v>
      </c>
      <c r="B584" s="1">
        <v>24654</v>
      </c>
      <c r="C584" s="78">
        <v>584</v>
      </c>
      <c r="E584" s="1">
        <f t="shared" si="18"/>
        <v>24654</v>
      </c>
      <c r="F584" s="2">
        <f t="shared" si="19"/>
        <v>24654</v>
      </c>
      <c r="G584" s="78">
        <v>582</v>
      </c>
      <c r="H584" s="79"/>
      <c r="I584" s="79"/>
      <c r="J584" s="79">
        <v>35.305019999999999</v>
      </c>
      <c r="K584" s="79">
        <v>35.009169999999997</v>
      </c>
      <c r="L584" s="79"/>
      <c r="M584" s="79"/>
      <c r="N584" s="79">
        <v>38.326599999999999</v>
      </c>
      <c r="O584" s="79"/>
      <c r="P584" s="79">
        <v>38.217469999999999</v>
      </c>
      <c r="Q584" s="79"/>
      <c r="R584" s="79">
        <v>24.001529999999999</v>
      </c>
      <c r="S584" s="79">
        <v>49.893790000000003</v>
      </c>
      <c r="T584" s="79">
        <v>65.455860000000001</v>
      </c>
      <c r="U584" s="79">
        <v>43.202269999999999</v>
      </c>
      <c r="V584" s="79"/>
      <c r="W584" s="79"/>
      <c r="X584" s="79"/>
      <c r="Y584" s="79"/>
      <c r="Z584" s="79">
        <v>58.421570000000003</v>
      </c>
      <c r="AA584" s="79">
        <v>31.211849999999998</v>
      </c>
      <c r="AB584" s="79"/>
      <c r="AC584" s="79">
        <v>42.344929999999998</v>
      </c>
      <c r="AD584" s="79"/>
      <c r="AE584" s="79"/>
      <c r="AF584" s="79">
        <v>36.852710000000002</v>
      </c>
      <c r="AG584" s="79">
        <v>29.92632</v>
      </c>
      <c r="AH584" s="79"/>
      <c r="AI584" s="79"/>
      <c r="AJ584" s="79">
        <v>31.14134</v>
      </c>
      <c r="AK584" s="79"/>
      <c r="AL584" s="79"/>
      <c r="AM584" s="79">
        <v>42.295760000000001</v>
      </c>
      <c r="AN584" s="79"/>
      <c r="AO584" s="79">
        <v>34.14611</v>
      </c>
      <c r="AP584" s="79"/>
      <c r="AQ584" s="79"/>
      <c r="AR584" s="79"/>
      <c r="AS584" s="79"/>
      <c r="AT584" s="79"/>
      <c r="AU584" s="79"/>
      <c r="AV584" s="79"/>
      <c r="AW584" s="79"/>
      <c r="AX584" s="79"/>
      <c r="AY584" s="79"/>
    </row>
    <row r="585" spans="1:51" x14ac:dyDescent="0.2">
      <c r="A585" t="s">
        <v>1130</v>
      </c>
      <c r="B585" s="1">
        <v>24685</v>
      </c>
      <c r="C585" s="78">
        <v>585</v>
      </c>
      <c r="E585" s="1">
        <f t="shared" si="18"/>
        <v>24685</v>
      </c>
      <c r="F585" s="2">
        <f t="shared" si="19"/>
        <v>24685</v>
      </c>
      <c r="G585" s="78">
        <v>583</v>
      </c>
      <c r="H585" s="79"/>
      <c r="I585" s="79"/>
      <c r="J585" s="79">
        <v>35.345219999999998</v>
      </c>
      <c r="K585" s="79">
        <v>35.601730000000003</v>
      </c>
      <c r="L585" s="79"/>
      <c r="M585" s="79"/>
      <c r="N585" s="79">
        <v>37.524270000000001</v>
      </c>
      <c r="O585" s="79"/>
      <c r="P585" s="79">
        <v>38.643079999999998</v>
      </c>
      <c r="Q585" s="79"/>
      <c r="R585" s="79">
        <v>24.532789999999999</v>
      </c>
      <c r="S585" s="79">
        <v>49.893790000000003</v>
      </c>
      <c r="T585" s="79">
        <v>65.455860000000001</v>
      </c>
      <c r="U585" s="79">
        <v>43.698779999999999</v>
      </c>
      <c r="V585" s="79"/>
      <c r="W585" s="79"/>
      <c r="X585" s="79"/>
      <c r="Y585" s="79"/>
      <c r="Z585" s="79">
        <v>58.626309999999997</v>
      </c>
      <c r="AA585" s="79">
        <v>31.716619999999999</v>
      </c>
      <c r="AB585" s="79"/>
      <c r="AC585" s="79">
        <v>40.962350000000001</v>
      </c>
      <c r="AD585" s="79"/>
      <c r="AE585" s="79"/>
      <c r="AF585" s="79">
        <v>36.852710000000002</v>
      </c>
      <c r="AG585" s="79">
        <v>32.076990000000002</v>
      </c>
      <c r="AH585" s="79"/>
      <c r="AI585" s="79"/>
      <c r="AJ585" s="79">
        <v>30.898579999999999</v>
      </c>
      <c r="AK585" s="79"/>
      <c r="AL585" s="79"/>
      <c r="AM585" s="79">
        <v>43.660139999999998</v>
      </c>
      <c r="AN585" s="79"/>
      <c r="AO585" s="79">
        <v>34.800319999999999</v>
      </c>
      <c r="AP585" s="79"/>
      <c r="AQ585" s="79"/>
      <c r="AR585" s="79"/>
      <c r="AS585" s="79"/>
      <c r="AT585" s="79"/>
      <c r="AU585" s="79"/>
      <c r="AV585" s="79"/>
      <c r="AW585" s="79"/>
      <c r="AX585" s="79"/>
      <c r="AY585" s="79"/>
    </row>
    <row r="586" spans="1:51" x14ac:dyDescent="0.2">
      <c r="A586" t="s">
        <v>1131</v>
      </c>
      <c r="B586" s="1">
        <v>24716</v>
      </c>
      <c r="C586" s="78">
        <v>586</v>
      </c>
      <c r="E586" s="1">
        <f t="shared" si="18"/>
        <v>24716</v>
      </c>
      <c r="F586" s="2">
        <f t="shared" si="19"/>
        <v>24716</v>
      </c>
      <c r="G586" s="78">
        <v>584</v>
      </c>
      <c r="H586" s="79"/>
      <c r="I586" s="79"/>
      <c r="J586" s="79">
        <v>35.407319999999999</v>
      </c>
      <c r="K586" s="79">
        <v>35.488010000000003</v>
      </c>
      <c r="L586" s="79"/>
      <c r="M586" s="79"/>
      <c r="N586" s="79">
        <v>38.511749999999999</v>
      </c>
      <c r="O586" s="79"/>
      <c r="P586" s="79">
        <v>38.090769999999999</v>
      </c>
      <c r="Q586" s="79"/>
      <c r="R586" s="79">
        <v>24.265529999999998</v>
      </c>
      <c r="S586" s="79">
        <v>50.809829999999998</v>
      </c>
      <c r="T586" s="79">
        <v>65.455860000000001</v>
      </c>
      <c r="U586" s="79">
        <v>43.625610000000002</v>
      </c>
      <c r="V586" s="79"/>
      <c r="W586" s="79"/>
      <c r="X586" s="79"/>
      <c r="Y586" s="79"/>
      <c r="Z586" s="79">
        <v>58.353319999999997</v>
      </c>
      <c r="AA586" s="79">
        <v>32.642040000000001</v>
      </c>
      <c r="AB586" s="79"/>
      <c r="AC586" s="79">
        <v>41.788200000000003</v>
      </c>
      <c r="AD586" s="79"/>
      <c r="AE586" s="79"/>
      <c r="AF586" s="79">
        <v>37.70975</v>
      </c>
      <c r="AG586" s="79">
        <v>31.43637</v>
      </c>
      <c r="AH586" s="79"/>
      <c r="AI586" s="79"/>
      <c r="AJ586" s="79">
        <v>30.735659999999999</v>
      </c>
      <c r="AK586" s="79"/>
      <c r="AL586" s="79"/>
      <c r="AM586" s="79">
        <v>44.56973</v>
      </c>
      <c r="AN586" s="79"/>
      <c r="AO586" s="79">
        <v>34.743839999999999</v>
      </c>
      <c r="AP586" s="79"/>
      <c r="AQ586" s="79"/>
      <c r="AR586" s="79"/>
      <c r="AS586" s="79"/>
      <c r="AT586" s="79"/>
      <c r="AU586" s="79"/>
      <c r="AV586" s="79"/>
      <c r="AW586" s="79"/>
      <c r="AX586" s="79"/>
      <c r="AY586" s="79"/>
    </row>
    <row r="587" spans="1:51" x14ac:dyDescent="0.2">
      <c r="A587" t="s">
        <v>1132</v>
      </c>
      <c r="B587" s="1">
        <v>24746</v>
      </c>
      <c r="C587" s="78">
        <v>587</v>
      </c>
      <c r="E587" s="1">
        <f t="shared" si="18"/>
        <v>24746</v>
      </c>
      <c r="F587" s="2">
        <f t="shared" si="19"/>
        <v>24746</v>
      </c>
      <c r="G587" s="78">
        <v>585</v>
      </c>
      <c r="H587" s="79"/>
      <c r="I587" s="79"/>
      <c r="J587" s="79">
        <v>35.99532</v>
      </c>
      <c r="K587" s="79">
        <v>35.247419999999998</v>
      </c>
      <c r="L587" s="79"/>
      <c r="M587" s="79"/>
      <c r="N587" s="79">
        <v>38.943770000000001</v>
      </c>
      <c r="O587" s="79"/>
      <c r="P587" s="79">
        <v>37.673580000000001</v>
      </c>
      <c r="Q587" s="79"/>
      <c r="R587" s="79">
        <v>24.943470000000001</v>
      </c>
      <c r="S587" s="79">
        <v>50.138069999999999</v>
      </c>
      <c r="T587" s="79">
        <v>65.955529999999996</v>
      </c>
      <c r="U587" s="79">
        <v>44.623519999999999</v>
      </c>
      <c r="V587" s="79"/>
      <c r="W587" s="79"/>
      <c r="X587" s="79"/>
      <c r="Y587" s="79"/>
      <c r="Z587" s="79">
        <v>59.035809999999998</v>
      </c>
      <c r="AA587" s="79">
        <v>32.978560000000002</v>
      </c>
      <c r="AB587" s="79"/>
      <c r="AC587" s="79">
        <v>42.181260000000002</v>
      </c>
      <c r="AD587" s="79"/>
      <c r="AE587" s="79"/>
      <c r="AF587" s="79">
        <v>37.424079999999996</v>
      </c>
      <c r="AG587" s="79">
        <v>31.939710000000002</v>
      </c>
      <c r="AH587" s="79"/>
      <c r="AI587" s="79"/>
      <c r="AJ587" s="79">
        <v>32.020470000000003</v>
      </c>
      <c r="AK587" s="79"/>
      <c r="AL587" s="79"/>
      <c r="AM587" s="79">
        <v>43.660139999999998</v>
      </c>
      <c r="AN587" s="79"/>
      <c r="AO587" s="79">
        <v>35.026809999999998</v>
      </c>
      <c r="AP587" s="79"/>
      <c r="AQ587" s="79"/>
      <c r="AR587" s="79"/>
      <c r="AS587" s="79"/>
      <c r="AT587" s="79"/>
      <c r="AU587" s="79"/>
      <c r="AV587" s="79"/>
      <c r="AW587" s="79"/>
      <c r="AX587" s="79"/>
      <c r="AY587" s="79"/>
    </row>
    <row r="588" spans="1:51" x14ac:dyDescent="0.2">
      <c r="A588" t="s">
        <v>1133</v>
      </c>
      <c r="B588" s="1">
        <v>24777</v>
      </c>
      <c r="C588" s="78">
        <v>588</v>
      </c>
      <c r="E588" s="1">
        <f t="shared" si="18"/>
        <v>24777</v>
      </c>
      <c r="F588" s="2">
        <f t="shared" si="19"/>
        <v>24777</v>
      </c>
      <c r="G588" s="78">
        <v>586</v>
      </c>
      <c r="H588" s="79"/>
      <c r="I588" s="79"/>
      <c r="J588" s="79">
        <v>35.704689999999999</v>
      </c>
      <c r="K588" s="79">
        <v>35.782649999999997</v>
      </c>
      <c r="L588" s="79"/>
      <c r="M588" s="79"/>
      <c r="N588" s="79">
        <v>39.314079999999997</v>
      </c>
      <c r="O588" s="79"/>
      <c r="P588" s="79">
        <v>38.595379999999999</v>
      </c>
      <c r="Q588" s="79"/>
      <c r="R588" s="79">
        <v>24.773980000000002</v>
      </c>
      <c r="S588" s="79">
        <v>50.748759999999997</v>
      </c>
      <c r="T588" s="79">
        <v>66.455190000000002</v>
      </c>
      <c r="U588" s="79">
        <v>44.931269999999998</v>
      </c>
      <c r="V588" s="79"/>
      <c r="W588" s="79"/>
      <c r="X588" s="79"/>
      <c r="Y588" s="79"/>
      <c r="Z588" s="79">
        <v>59.37706</v>
      </c>
      <c r="AA588" s="79">
        <v>33.651589999999999</v>
      </c>
      <c r="AB588" s="79"/>
      <c r="AC588" s="79">
        <v>43.598350000000003</v>
      </c>
      <c r="AD588" s="79"/>
      <c r="AE588" s="79"/>
      <c r="AF588" s="79">
        <v>37.995429999999999</v>
      </c>
      <c r="AG588" s="79">
        <v>32.671860000000002</v>
      </c>
      <c r="AH588" s="79"/>
      <c r="AI588" s="79"/>
      <c r="AJ588" s="79">
        <v>31.92839</v>
      </c>
      <c r="AK588" s="79"/>
      <c r="AL588" s="79"/>
      <c r="AM588" s="79">
        <v>44.114930000000001</v>
      </c>
      <c r="AN588" s="79"/>
      <c r="AO588" s="79">
        <v>35.527709999999999</v>
      </c>
      <c r="AP588" s="79"/>
      <c r="AQ588" s="79"/>
      <c r="AR588" s="79"/>
      <c r="AS588" s="79"/>
      <c r="AT588" s="79"/>
      <c r="AU588" s="79"/>
      <c r="AV588" s="79"/>
      <c r="AW588" s="79"/>
      <c r="AX588" s="79"/>
      <c r="AY588" s="79"/>
    </row>
    <row r="589" spans="1:51" x14ac:dyDescent="0.2">
      <c r="A589" t="s">
        <v>1134</v>
      </c>
      <c r="B589" s="1">
        <v>24807</v>
      </c>
      <c r="C589" s="78">
        <v>589</v>
      </c>
      <c r="E589" s="1">
        <f t="shared" si="18"/>
        <v>24807</v>
      </c>
      <c r="F589" s="2">
        <f t="shared" si="19"/>
        <v>24807</v>
      </c>
      <c r="G589" s="78">
        <v>587</v>
      </c>
      <c r="H589" s="79"/>
      <c r="I589" s="79"/>
      <c r="J589" s="79">
        <v>36.332369999999997</v>
      </c>
      <c r="K589" s="79">
        <v>36.183950000000003</v>
      </c>
      <c r="L589" s="79"/>
      <c r="M589" s="79"/>
      <c r="N589" s="79">
        <v>41.597630000000002</v>
      </c>
      <c r="O589" s="79"/>
      <c r="P589" s="79">
        <v>38.713430000000002</v>
      </c>
      <c r="Q589" s="79"/>
      <c r="R589" s="79">
        <v>24.702279999999998</v>
      </c>
      <c r="S589" s="79">
        <v>51.542659999999998</v>
      </c>
      <c r="T589" s="79">
        <v>67.954179999999994</v>
      </c>
      <c r="U589" s="79">
        <v>45.056159999999998</v>
      </c>
      <c r="V589" s="79"/>
      <c r="W589" s="79"/>
      <c r="X589" s="79"/>
      <c r="Y589" s="79"/>
      <c r="Z589" s="79">
        <v>59.308810000000001</v>
      </c>
      <c r="AA589" s="79">
        <v>33.988100000000003</v>
      </c>
      <c r="AB589" s="79"/>
      <c r="AC589" s="79">
        <v>42.182270000000003</v>
      </c>
      <c r="AD589" s="79"/>
      <c r="AE589" s="79"/>
      <c r="AF589" s="79">
        <v>38.566800000000001</v>
      </c>
      <c r="AG589" s="79">
        <v>32.648980000000002</v>
      </c>
      <c r="AH589" s="79"/>
      <c r="AI589" s="79"/>
      <c r="AJ589" s="79">
        <v>29.579750000000001</v>
      </c>
      <c r="AK589" s="79"/>
      <c r="AL589" s="79"/>
      <c r="AM589" s="79">
        <v>44.114930000000001</v>
      </c>
      <c r="AN589" s="79"/>
      <c r="AO589" s="79">
        <v>35.910380000000004</v>
      </c>
      <c r="AP589" s="79"/>
      <c r="AQ589" s="79"/>
      <c r="AR589" s="79"/>
      <c r="AS589" s="79"/>
      <c r="AT589" s="79"/>
      <c r="AU589" s="79"/>
      <c r="AV589" s="79"/>
      <c r="AW589" s="79"/>
      <c r="AX589" s="79"/>
      <c r="AY589" s="79"/>
    </row>
    <row r="590" spans="1:51" x14ac:dyDescent="0.2">
      <c r="A590" t="s">
        <v>1135</v>
      </c>
      <c r="B590" s="1">
        <v>24838</v>
      </c>
      <c r="C590" s="78">
        <v>590</v>
      </c>
      <c r="E590" s="1">
        <f t="shared" si="18"/>
        <v>24838</v>
      </c>
      <c r="F590" s="2">
        <f t="shared" si="19"/>
        <v>24838</v>
      </c>
      <c r="G590" s="78">
        <v>588</v>
      </c>
      <c r="H590" s="79"/>
      <c r="I590" s="79"/>
      <c r="J590" s="79">
        <v>36.279310000000002</v>
      </c>
      <c r="K590" s="79">
        <v>35.995510000000003</v>
      </c>
      <c r="L590" s="79"/>
      <c r="M590" s="79"/>
      <c r="N590" s="79">
        <v>38.326599999999999</v>
      </c>
      <c r="O590" s="79"/>
      <c r="P590" s="79">
        <v>39.290840000000003</v>
      </c>
      <c r="Q590" s="79"/>
      <c r="R590" s="79">
        <v>24.705539999999999</v>
      </c>
      <c r="S590" s="79">
        <v>51.481589999999997</v>
      </c>
      <c r="T590" s="79">
        <v>67.286140000000003</v>
      </c>
      <c r="U590" s="79">
        <v>43.779620000000001</v>
      </c>
      <c r="V590" s="79"/>
      <c r="W590" s="79"/>
      <c r="X590" s="79"/>
      <c r="Y590" s="79"/>
      <c r="Z590" s="79">
        <v>59.786560000000001</v>
      </c>
      <c r="AA590" s="79">
        <v>33.903970000000001</v>
      </c>
      <c r="AB590" s="79"/>
      <c r="AC590" s="79">
        <v>42.094230000000003</v>
      </c>
      <c r="AD590" s="79"/>
      <c r="AE590" s="79"/>
      <c r="AF590" s="79">
        <v>38.566800000000001</v>
      </c>
      <c r="AG590" s="79">
        <v>32.58034</v>
      </c>
      <c r="AH590" s="79"/>
      <c r="AI590" s="79"/>
      <c r="AJ590" s="79">
        <v>30.930230000000002</v>
      </c>
      <c r="AK590" s="79"/>
      <c r="AL590" s="79"/>
      <c r="AM590" s="79">
        <v>43.205350000000003</v>
      </c>
      <c r="AN590" s="79"/>
      <c r="AO590" s="79">
        <v>35.871670000000002</v>
      </c>
      <c r="AP590" s="79"/>
      <c r="AQ590" s="79"/>
      <c r="AR590" s="79"/>
      <c r="AS590" s="79"/>
      <c r="AT590" s="79"/>
      <c r="AU590" s="79"/>
      <c r="AV590" s="79"/>
      <c r="AW590" s="79"/>
      <c r="AX590" s="79"/>
      <c r="AY590" s="79"/>
    </row>
    <row r="591" spans="1:51" x14ac:dyDescent="0.2">
      <c r="A591" t="s">
        <v>1136</v>
      </c>
      <c r="B591" s="1">
        <v>24869</v>
      </c>
      <c r="C591" s="78">
        <v>591</v>
      </c>
      <c r="E591" s="1">
        <f t="shared" si="18"/>
        <v>24869</v>
      </c>
      <c r="F591" s="2">
        <f t="shared" si="19"/>
        <v>24869</v>
      </c>
      <c r="G591" s="78">
        <v>589</v>
      </c>
      <c r="H591" s="79"/>
      <c r="I591" s="79"/>
      <c r="J591" s="79">
        <v>36.201250000000002</v>
      </c>
      <c r="K591" s="79">
        <v>35.85454</v>
      </c>
      <c r="L591" s="79"/>
      <c r="M591" s="79"/>
      <c r="N591" s="79">
        <v>39.190640000000002</v>
      </c>
      <c r="O591" s="79"/>
      <c r="P591" s="79">
        <v>39.566549999999999</v>
      </c>
      <c r="Q591" s="79"/>
      <c r="R591" s="79">
        <v>24.84243</v>
      </c>
      <c r="S591" s="79">
        <v>51.786940000000001</v>
      </c>
      <c r="T591" s="79">
        <v>68.067400000000006</v>
      </c>
      <c r="U591" s="79">
        <v>44.20872</v>
      </c>
      <c r="V591" s="79"/>
      <c r="W591" s="79"/>
      <c r="X591" s="79"/>
      <c r="Y591" s="79"/>
      <c r="Z591" s="79">
        <v>59.854799999999997</v>
      </c>
      <c r="AA591" s="79">
        <v>34.408749999999998</v>
      </c>
      <c r="AB591" s="79"/>
      <c r="AC591" s="79">
        <v>41.855289999999997</v>
      </c>
      <c r="AD591" s="79"/>
      <c r="AE591" s="79"/>
      <c r="AF591" s="79">
        <v>38.852469999999997</v>
      </c>
      <c r="AG591" s="79">
        <v>32.648980000000002</v>
      </c>
      <c r="AH591" s="79"/>
      <c r="AI591" s="79"/>
      <c r="AJ591" s="79">
        <v>31.811240000000002</v>
      </c>
      <c r="AK591" s="79"/>
      <c r="AL591" s="79"/>
      <c r="AM591" s="79">
        <v>42.75056</v>
      </c>
      <c r="AN591" s="79"/>
      <c r="AO591" s="79">
        <v>36.000279999999997</v>
      </c>
      <c r="AP591" s="79"/>
      <c r="AQ591" s="79"/>
      <c r="AR591" s="79"/>
      <c r="AS591" s="79"/>
      <c r="AT591" s="79"/>
      <c r="AU591" s="79"/>
      <c r="AV591" s="79"/>
      <c r="AW591" s="79"/>
      <c r="AX591" s="79"/>
      <c r="AY591" s="79"/>
    </row>
    <row r="592" spans="1:51" x14ac:dyDescent="0.2">
      <c r="A592" t="s">
        <v>1137</v>
      </c>
      <c r="B592" s="1">
        <v>24898</v>
      </c>
      <c r="C592" s="78">
        <v>592</v>
      </c>
      <c r="E592" s="1">
        <f t="shared" si="18"/>
        <v>24898</v>
      </c>
      <c r="F592" s="2">
        <f t="shared" si="19"/>
        <v>24898</v>
      </c>
      <c r="G592" s="78">
        <v>590</v>
      </c>
      <c r="H592" s="79"/>
      <c r="I592" s="79"/>
      <c r="J592" s="79">
        <v>36.373139999999999</v>
      </c>
      <c r="K592" s="79">
        <v>36.057070000000003</v>
      </c>
      <c r="L592" s="79"/>
      <c r="M592" s="79"/>
      <c r="N592" s="79">
        <v>39.684379999999997</v>
      </c>
      <c r="O592" s="79"/>
      <c r="P592" s="79">
        <v>38.954619999999998</v>
      </c>
      <c r="Q592" s="79"/>
      <c r="R592" s="79">
        <v>24.953250000000001</v>
      </c>
      <c r="S592" s="79">
        <v>52.764060000000001</v>
      </c>
      <c r="T592" s="79">
        <v>68.65334</v>
      </c>
      <c r="U592" s="79">
        <v>46.141930000000002</v>
      </c>
      <c r="V592" s="79"/>
      <c r="W592" s="79"/>
      <c r="X592" s="79"/>
      <c r="Y592" s="79"/>
      <c r="Z592" s="79">
        <v>59.854799999999997</v>
      </c>
      <c r="AA592" s="79">
        <v>34.577010000000001</v>
      </c>
      <c r="AB592" s="79"/>
      <c r="AC592" s="79">
        <v>43.754359999999998</v>
      </c>
      <c r="AD592" s="79"/>
      <c r="AE592" s="79"/>
      <c r="AF592" s="79">
        <v>39.423839999999998</v>
      </c>
      <c r="AG592" s="79">
        <v>32.511699999999998</v>
      </c>
      <c r="AH592" s="79"/>
      <c r="AI592" s="79"/>
      <c r="AJ592" s="79">
        <v>31.469709999999999</v>
      </c>
      <c r="AK592" s="79"/>
      <c r="AL592" s="79"/>
      <c r="AM592" s="79">
        <v>43.660139999999998</v>
      </c>
      <c r="AN592" s="79"/>
      <c r="AO592" s="79">
        <v>36.112659999999998</v>
      </c>
      <c r="AP592" s="79"/>
      <c r="AQ592" s="79"/>
      <c r="AR592" s="79"/>
      <c r="AS592" s="79"/>
      <c r="AT592" s="79"/>
      <c r="AU592" s="79"/>
      <c r="AV592" s="79"/>
      <c r="AW592" s="79"/>
      <c r="AX592" s="79"/>
      <c r="AY592" s="79"/>
    </row>
    <row r="593" spans="1:51" x14ac:dyDescent="0.2">
      <c r="A593" t="s">
        <v>1138</v>
      </c>
      <c r="B593" s="1">
        <v>24929</v>
      </c>
      <c r="C593" s="78">
        <v>593</v>
      </c>
      <c r="E593" s="1">
        <f t="shared" si="18"/>
        <v>24929</v>
      </c>
      <c r="F593" s="2">
        <f t="shared" si="19"/>
        <v>24929</v>
      </c>
      <c r="G593" s="78">
        <v>591</v>
      </c>
      <c r="H593" s="79"/>
      <c r="I593" s="79"/>
      <c r="J593" s="79">
        <v>37.004959999999997</v>
      </c>
      <c r="K593" s="79">
        <v>36.991250000000001</v>
      </c>
      <c r="L593" s="79"/>
      <c r="M593" s="79"/>
      <c r="N593" s="79">
        <v>39.80782</v>
      </c>
      <c r="O593" s="79"/>
      <c r="P593" s="79">
        <v>39.1629</v>
      </c>
      <c r="Q593" s="79"/>
      <c r="R593" s="79">
        <v>25.58229</v>
      </c>
      <c r="S593" s="79">
        <v>52.641919999999999</v>
      </c>
      <c r="T593" s="79">
        <v>68.360370000000003</v>
      </c>
      <c r="U593" s="79">
        <v>45.872509999999998</v>
      </c>
      <c r="V593" s="79"/>
      <c r="W593" s="79"/>
      <c r="X593" s="79"/>
      <c r="Y593" s="79"/>
      <c r="Z593" s="79">
        <v>60.878549999999997</v>
      </c>
      <c r="AA593" s="79">
        <v>34.829389999999997</v>
      </c>
      <c r="AB593" s="79"/>
      <c r="AC593" s="79">
        <v>43.84581</v>
      </c>
      <c r="AD593" s="79"/>
      <c r="AE593" s="79"/>
      <c r="AF593" s="79">
        <v>39.709510000000002</v>
      </c>
      <c r="AG593" s="79">
        <v>32.397300000000001</v>
      </c>
      <c r="AH593" s="79"/>
      <c r="AI593" s="79"/>
      <c r="AJ593" s="79">
        <v>30.912479999999999</v>
      </c>
      <c r="AK593" s="79"/>
      <c r="AL593" s="79"/>
      <c r="AM593" s="79">
        <v>45.024520000000003</v>
      </c>
      <c r="AN593" s="79"/>
      <c r="AO593" s="79">
        <v>36.164909999999999</v>
      </c>
      <c r="AP593" s="79"/>
      <c r="AQ593" s="79"/>
      <c r="AR593" s="79"/>
      <c r="AS593" s="79"/>
      <c r="AT593" s="79"/>
      <c r="AU593" s="79"/>
      <c r="AV593" s="79"/>
      <c r="AW593" s="79"/>
      <c r="AX593" s="79"/>
      <c r="AY593" s="79"/>
    </row>
    <row r="594" spans="1:51" x14ac:dyDescent="0.2">
      <c r="A594" t="s">
        <v>1139</v>
      </c>
      <c r="B594" s="1">
        <v>24959</v>
      </c>
      <c r="C594" s="78">
        <v>594</v>
      </c>
      <c r="E594" s="1">
        <f t="shared" si="18"/>
        <v>24959</v>
      </c>
      <c r="F594" s="2">
        <f t="shared" si="19"/>
        <v>24959</v>
      </c>
      <c r="G594" s="78">
        <v>592</v>
      </c>
      <c r="H594" s="79"/>
      <c r="I594" s="79"/>
      <c r="J594" s="79">
        <v>36.486339999999998</v>
      </c>
      <c r="K594" s="79">
        <v>37.45975</v>
      </c>
      <c r="L594" s="79"/>
      <c r="M594" s="79"/>
      <c r="N594" s="79">
        <v>40.857010000000002</v>
      </c>
      <c r="O594" s="79"/>
      <c r="P594" s="79">
        <v>40.732190000000003</v>
      </c>
      <c r="Q594" s="79"/>
      <c r="R594" s="79">
        <v>25.269400000000001</v>
      </c>
      <c r="S594" s="79">
        <v>36.031010000000002</v>
      </c>
      <c r="T594" s="79">
        <v>69.043980000000005</v>
      </c>
      <c r="U594" s="79">
        <v>46.469230000000003</v>
      </c>
      <c r="V594" s="79"/>
      <c r="W594" s="79"/>
      <c r="X594" s="79"/>
      <c r="Y594" s="79"/>
      <c r="Z594" s="79">
        <v>61.697539999999996</v>
      </c>
      <c r="AA594" s="79">
        <v>35.923070000000003</v>
      </c>
      <c r="AB594" s="79"/>
      <c r="AC594" s="79">
        <v>44.406750000000002</v>
      </c>
      <c r="AD594" s="79"/>
      <c r="AE594" s="79"/>
      <c r="AF594" s="79">
        <v>39.995190000000001</v>
      </c>
      <c r="AG594" s="79">
        <v>33.998860000000001</v>
      </c>
      <c r="AH594" s="79"/>
      <c r="AI594" s="79"/>
      <c r="AJ594" s="79">
        <v>32.203440000000001</v>
      </c>
      <c r="AK594" s="79"/>
      <c r="AL594" s="79"/>
      <c r="AM594" s="79">
        <v>44.56973</v>
      </c>
      <c r="AN594" s="79"/>
      <c r="AO594" s="79">
        <v>36.570540000000001</v>
      </c>
      <c r="AP594" s="79"/>
      <c r="AQ594" s="79"/>
      <c r="AR594" s="79"/>
      <c r="AS594" s="79"/>
      <c r="AT594" s="79"/>
      <c r="AU594" s="79"/>
      <c r="AV594" s="79"/>
      <c r="AW594" s="79"/>
      <c r="AX594" s="79"/>
      <c r="AY594" s="79"/>
    </row>
    <row r="595" spans="1:51" x14ac:dyDescent="0.2">
      <c r="A595" t="s">
        <v>1140</v>
      </c>
      <c r="B595" s="1">
        <v>24990</v>
      </c>
      <c r="C595" s="78">
        <v>595</v>
      </c>
      <c r="E595" s="1">
        <f t="shared" si="18"/>
        <v>24990</v>
      </c>
      <c r="F595" s="2">
        <f t="shared" si="19"/>
        <v>24990</v>
      </c>
      <c r="G595" s="78">
        <v>593</v>
      </c>
      <c r="H595" s="79"/>
      <c r="I595" s="79"/>
      <c r="J595" s="79">
        <v>37.554729999999999</v>
      </c>
      <c r="K595" s="79">
        <v>37.754379999999998</v>
      </c>
      <c r="L595" s="79"/>
      <c r="M595" s="79"/>
      <c r="N595" s="79">
        <v>41.535910000000001</v>
      </c>
      <c r="O595" s="79"/>
      <c r="P595" s="79">
        <v>39.958910000000003</v>
      </c>
      <c r="Q595" s="79"/>
      <c r="R595" s="79">
        <v>25.200949999999999</v>
      </c>
      <c r="S595" s="79">
        <v>45.313580000000002</v>
      </c>
      <c r="T595" s="79">
        <v>69.141630000000006</v>
      </c>
      <c r="U595" s="79">
        <v>48.149949999999997</v>
      </c>
      <c r="V595" s="79"/>
      <c r="W595" s="79"/>
      <c r="X595" s="79"/>
      <c r="Y595" s="79"/>
      <c r="Z595" s="79">
        <v>61.561039999999998</v>
      </c>
      <c r="AA595" s="79">
        <v>35.33417</v>
      </c>
      <c r="AB595" s="79"/>
      <c r="AC595" s="79">
        <v>44.819479999999999</v>
      </c>
      <c r="AD595" s="79"/>
      <c r="AE595" s="79"/>
      <c r="AF595" s="79">
        <v>41.137909999999998</v>
      </c>
      <c r="AG595" s="79">
        <v>31.87107</v>
      </c>
      <c r="AH595" s="79"/>
      <c r="AI595" s="79"/>
      <c r="AJ595" s="79">
        <v>31.196909999999999</v>
      </c>
      <c r="AK595" s="79"/>
      <c r="AL595" s="79"/>
      <c r="AM595" s="79">
        <v>45.934109999999997</v>
      </c>
      <c r="AN595" s="79"/>
      <c r="AO595" s="79">
        <v>36.704909999999998</v>
      </c>
      <c r="AP595" s="79"/>
      <c r="AQ595" s="79"/>
      <c r="AR595" s="79"/>
      <c r="AS595" s="79"/>
      <c r="AT595" s="79"/>
      <c r="AU595" s="79"/>
      <c r="AV595" s="79"/>
      <c r="AW595" s="79"/>
      <c r="AX595" s="79"/>
      <c r="AY595" s="79"/>
    </row>
    <row r="596" spans="1:51" x14ac:dyDescent="0.2">
      <c r="A596" t="s">
        <v>1141</v>
      </c>
      <c r="B596" s="1">
        <v>25020</v>
      </c>
      <c r="C596" s="78">
        <v>596</v>
      </c>
      <c r="E596" s="1">
        <f t="shared" si="18"/>
        <v>25020</v>
      </c>
      <c r="F596" s="2">
        <f t="shared" si="19"/>
        <v>25020</v>
      </c>
      <c r="G596" s="78">
        <v>594</v>
      </c>
      <c r="H596" s="79"/>
      <c r="I596" s="79"/>
      <c r="J596" s="79">
        <v>36.13599</v>
      </c>
      <c r="K596" s="79">
        <v>37.604480000000002</v>
      </c>
      <c r="L596" s="79"/>
      <c r="M596" s="79"/>
      <c r="N596" s="79">
        <v>40.980449999999998</v>
      </c>
      <c r="O596" s="79"/>
      <c r="P596" s="79">
        <v>40.964019999999998</v>
      </c>
      <c r="Q596" s="79"/>
      <c r="R596" s="79">
        <v>25.005389999999998</v>
      </c>
      <c r="S596" s="79">
        <v>54.901490000000003</v>
      </c>
      <c r="T596" s="79">
        <v>69.141630000000006</v>
      </c>
      <c r="U596" s="79">
        <v>47.766660000000002</v>
      </c>
      <c r="V596" s="79"/>
      <c r="W596" s="79"/>
      <c r="X596" s="79"/>
      <c r="Y596" s="79"/>
      <c r="Z596" s="79">
        <v>62.038789999999999</v>
      </c>
      <c r="AA596" s="79">
        <v>35.754809999999999</v>
      </c>
      <c r="AB596" s="79"/>
      <c r="AC596" s="79">
        <v>44.75403</v>
      </c>
      <c r="AD596" s="79"/>
      <c r="AE596" s="79"/>
      <c r="AF596" s="79">
        <v>40.852229999999999</v>
      </c>
      <c r="AG596" s="79">
        <v>33.358240000000002</v>
      </c>
      <c r="AH596" s="79"/>
      <c r="AI596" s="79"/>
      <c r="AJ596" s="79">
        <v>31.43009</v>
      </c>
      <c r="AK596" s="79"/>
      <c r="AL596" s="79"/>
      <c r="AM596" s="79">
        <v>50.027239999999999</v>
      </c>
      <c r="AN596" s="79"/>
      <c r="AO596" s="79">
        <v>36.648620000000001</v>
      </c>
      <c r="AP596" s="79"/>
      <c r="AQ596" s="79"/>
      <c r="AR596" s="79"/>
      <c r="AS596" s="79"/>
      <c r="AT596" s="79"/>
      <c r="AU596" s="79"/>
      <c r="AV596" s="79"/>
      <c r="AW596" s="79"/>
      <c r="AX596" s="79"/>
      <c r="AY596" s="79"/>
    </row>
    <row r="597" spans="1:51" x14ac:dyDescent="0.2">
      <c r="A597" t="s">
        <v>1142</v>
      </c>
      <c r="B597" s="1">
        <v>25051</v>
      </c>
      <c r="C597" s="78">
        <v>597</v>
      </c>
      <c r="E597" s="1">
        <f t="shared" si="18"/>
        <v>25051</v>
      </c>
      <c r="F597" s="2">
        <f t="shared" si="19"/>
        <v>25051</v>
      </c>
      <c r="G597" s="78">
        <v>595</v>
      </c>
      <c r="H597" s="79"/>
      <c r="I597" s="79"/>
      <c r="J597" s="79">
        <v>37.847900000000003</v>
      </c>
      <c r="K597" s="79">
        <v>38.109630000000003</v>
      </c>
      <c r="L597" s="79"/>
      <c r="M597" s="79"/>
      <c r="N597" s="79">
        <v>43.757739999999998</v>
      </c>
      <c r="O597" s="79"/>
      <c r="P597" s="79">
        <v>41.104190000000003</v>
      </c>
      <c r="Q597" s="79"/>
      <c r="R597" s="79">
        <v>25.256360000000001</v>
      </c>
      <c r="S597" s="79">
        <v>54.901490000000003</v>
      </c>
      <c r="T597" s="79">
        <v>69.727580000000003</v>
      </c>
      <c r="U597" s="79">
        <v>48.861280000000001</v>
      </c>
      <c r="V597" s="79"/>
      <c r="W597" s="79"/>
      <c r="X597" s="79"/>
      <c r="Y597" s="79"/>
      <c r="Z597" s="79">
        <v>61.834040000000002</v>
      </c>
      <c r="AA597" s="79">
        <v>36.680230000000002</v>
      </c>
      <c r="AB597" s="79"/>
      <c r="AC597" s="79">
        <v>45.088099999999997</v>
      </c>
      <c r="AD597" s="79"/>
      <c r="AE597" s="79"/>
      <c r="AF597" s="79">
        <v>41.137909999999998</v>
      </c>
      <c r="AG597" s="79">
        <v>32.60322</v>
      </c>
      <c r="AH597" s="79"/>
      <c r="AI597" s="79"/>
      <c r="AJ597" s="79">
        <v>33.284379999999999</v>
      </c>
      <c r="AK597" s="79"/>
      <c r="AL597" s="79"/>
      <c r="AM597" s="79">
        <v>46.843690000000002</v>
      </c>
      <c r="AN597" s="79"/>
      <c r="AO597" s="79">
        <v>36.750920000000001</v>
      </c>
      <c r="AP597" s="79"/>
      <c r="AQ597" s="79"/>
      <c r="AR597" s="79"/>
      <c r="AS597" s="79"/>
      <c r="AT597" s="79"/>
      <c r="AU597" s="79"/>
      <c r="AV597" s="79"/>
      <c r="AW597" s="79"/>
      <c r="AX597" s="79"/>
      <c r="AY597" s="79"/>
    </row>
    <row r="598" spans="1:51" x14ac:dyDescent="0.2">
      <c r="A598" t="s">
        <v>1143</v>
      </c>
      <c r="B598" s="1">
        <v>25082</v>
      </c>
      <c r="C598" s="78">
        <v>598</v>
      </c>
      <c r="E598" s="1">
        <f t="shared" si="18"/>
        <v>25082</v>
      </c>
      <c r="F598" s="2">
        <f t="shared" si="19"/>
        <v>25082</v>
      </c>
      <c r="G598" s="78">
        <v>596</v>
      </c>
      <c r="H598" s="79"/>
      <c r="I598" s="79"/>
      <c r="J598" s="79">
        <v>38.946959999999997</v>
      </c>
      <c r="K598" s="79">
        <v>38.523620000000001</v>
      </c>
      <c r="L598" s="79"/>
      <c r="M598" s="79"/>
      <c r="N598" s="79">
        <v>43.078850000000003</v>
      </c>
      <c r="O598" s="79"/>
      <c r="P598" s="79">
        <v>41.44661</v>
      </c>
      <c r="Q598" s="79"/>
      <c r="R598" s="79">
        <v>25.940809999999999</v>
      </c>
      <c r="S598" s="79">
        <v>53.313679999999998</v>
      </c>
      <c r="T598" s="79">
        <v>69.532259999999994</v>
      </c>
      <c r="U598" s="79">
        <v>48.720550000000003</v>
      </c>
      <c r="V598" s="79"/>
      <c r="W598" s="79"/>
      <c r="X598" s="79"/>
      <c r="Y598" s="79"/>
      <c r="Z598" s="79">
        <v>63.676780000000001</v>
      </c>
      <c r="AA598" s="79">
        <v>36.511969999999998</v>
      </c>
      <c r="AB598" s="79"/>
      <c r="AC598" s="79">
        <v>46.504040000000003</v>
      </c>
      <c r="AD598" s="79"/>
      <c r="AE598" s="79"/>
      <c r="AF598" s="79">
        <v>41.994950000000003</v>
      </c>
      <c r="AG598" s="79">
        <v>32.717619999999997</v>
      </c>
      <c r="AH598" s="79"/>
      <c r="AI598" s="79"/>
      <c r="AJ598" s="79">
        <v>35.432319999999997</v>
      </c>
      <c r="AK598" s="79"/>
      <c r="AL598" s="79"/>
      <c r="AM598" s="79">
        <v>46.843690000000002</v>
      </c>
      <c r="AN598" s="79"/>
      <c r="AO598" s="79">
        <v>36.890099999999997</v>
      </c>
      <c r="AP598" s="79"/>
      <c r="AQ598" s="79"/>
      <c r="AR598" s="79"/>
      <c r="AS598" s="79"/>
      <c r="AT598" s="79"/>
      <c r="AU598" s="79"/>
      <c r="AV598" s="79"/>
      <c r="AW598" s="79"/>
      <c r="AX598" s="79"/>
      <c r="AY598" s="79"/>
    </row>
    <row r="599" spans="1:51" x14ac:dyDescent="0.2">
      <c r="A599" t="s">
        <v>1144</v>
      </c>
      <c r="B599" s="1">
        <v>25112</v>
      </c>
      <c r="C599" s="78">
        <v>599</v>
      </c>
      <c r="E599" s="1">
        <f t="shared" si="18"/>
        <v>25112</v>
      </c>
      <c r="F599" s="2">
        <f t="shared" si="19"/>
        <v>25112</v>
      </c>
      <c r="G599" s="78">
        <v>597</v>
      </c>
      <c r="H599" s="79"/>
      <c r="I599" s="79"/>
      <c r="J599" s="79">
        <v>38.012549999999997</v>
      </c>
      <c r="K599" s="79">
        <v>38.769390000000001</v>
      </c>
      <c r="L599" s="79"/>
      <c r="M599" s="79"/>
      <c r="N599" s="79">
        <v>43.202280000000002</v>
      </c>
      <c r="O599" s="79"/>
      <c r="P599" s="79">
        <v>43.130879999999998</v>
      </c>
      <c r="Q599" s="79"/>
      <c r="R599" s="79">
        <v>26.21134</v>
      </c>
      <c r="S599" s="79">
        <v>55.695390000000003</v>
      </c>
      <c r="T599" s="79">
        <v>69.043980000000005</v>
      </c>
      <c r="U599" s="79">
        <v>48.959130000000002</v>
      </c>
      <c r="V599" s="79"/>
      <c r="W599" s="79"/>
      <c r="X599" s="79"/>
      <c r="Y599" s="79"/>
      <c r="Z599" s="79">
        <v>64.154529999999994</v>
      </c>
      <c r="AA599" s="79">
        <v>37.437390000000001</v>
      </c>
      <c r="AB599" s="79"/>
      <c r="AC599" s="79">
        <v>46.391019999999997</v>
      </c>
      <c r="AD599" s="79"/>
      <c r="AE599" s="79"/>
      <c r="AF599" s="79">
        <v>42.280630000000002</v>
      </c>
      <c r="AG599" s="79">
        <v>33.54128</v>
      </c>
      <c r="AH599" s="79"/>
      <c r="AI599" s="79"/>
      <c r="AJ599" s="79">
        <v>33.876379999999997</v>
      </c>
      <c r="AK599" s="79"/>
      <c r="AL599" s="79"/>
      <c r="AM599" s="79">
        <v>46.3889</v>
      </c>
      <c r="AN599" s="79"/>
      <c r="AO599" s="79">
        <v>36.963290000000001</v>
      </c>
      <c r="AP599" s="79"/>
      <c r="AQ599" s="79"/>
      <c r="AR599" s="79"/>
      <c r="AS599" s="79"/>
      <c r="AT599" s="79"/>
      <c r="AU599" s="79"/>
      <c r="AV599" s="79"/>
      <c r="AW599" s="79"/>
      <c r="AX599" s="79"/>
      <c r="AY599" s="79"/>
    </row>
    <row r="600" spans="1:51" x14ac:dyDescent="0.2">
      <c r="A600" t="s">
        <v>1145</v>
      </c>
      <c r="B600" s="1">
        <v>25143</v>
      </c>
      <c r="C600" s="78">
        <v>600</v>
      </c>
      <c r="E600" s="1">
        <f t="shared" si="18"/>
        <v>25143</v>
      </c>
      <c r="F600" s="2">
        <f t="shared" si="19"/>
        <v>25143</v>
      </c>
      <c r="G600" s="78">
        <v>598</v>
      </c>
      <c r="H600" s="79"/>
      <c r="I600" s="79"/>
      <c r="J600" s="79">
        <v>38.816139999999997</v>
      </c>
      <c r="K600" s="79">
        <v>39.244459999999997</v>
      </c>
      <c r="L600" s="79"/>
      <c r="M600" s="79"/>
      <c r="N600" s="79">
        <v>44.683500000000002</v>
      </c>
      <c r="O600" s="79"/>
      <c r="P600" s="79">
        <v>43.288339999999998</v>
      </c>
      <c r="Q600" s="79"/>
      <c r="R600" s="79">
        <v>26.76868</v>
      </c>
      <c r="S600" s="79">
        <v>56.855710000000002</v>
      </c>
      <c r="T600" s="79">
        <v>69.629919999999998</v>
      </c>
      <c r="U600" s="79">
        <v>49.515180000000001</v>
      </c>
      <c r="V600" s="79"/>
      <c r="W600" s="79"/>
      <c r="X600" s="79"/>
      <c r="Y600" s="79"/>
      <c r="Z600" s="79">
        <v>61.834040000000002</v>
      </c>
      <c r="AA600" s="79">
        <v>38.446939999999998</v>
      </c>
      <c r="AB600" s="79"/>
      <c r="AC600" s="79">
        <v>47.103630000000003</v>
      </c>
      <c r="AD600" s="79"/>
      <c r="AE600" s="79"/>
      <c r="AF600" s="79">
        <v>42.851990000000001</v>
      </c>
      <c r="AG600" s="79">
        <v>33.243839999999999</v>
      </c>
      <c r="AH600" s="79"/>
      <c r="AI600" s="79"/>
      <c r="AJ600" s="79">
        <v>33.670610000000003</v>
      </c>
      <c r="AK600" s="79"/>
      <c r="AL600" s="79"/>
      <c r="AM600" s="79">
        <v>46.843690000000002</v>
      </c>
      <c r="AN600" s="79"/>
      <c r="AO600" s="79">
        <v>37.441429999999997</v>
      </c>
      <c r="AP600" s="79"/>
      <c r="AQ600" s="79"/>
      <c r="AR600" s="79"/>
      <c r="AS600" s="79"/>
      <c r="AT600" s="79"/>
      <c r="AU600" s="79"/>
      <c r="AV600" s="79"/>
      <c r="AW600" s="79"/>
      <c r="AX600" s="79"/>
      <c r="AY600" s="79"/>
    </row>
    <row r="601" spans="1:51" x14ac:dyDescent="0.2">
      <c r="A601" t="s">
        <v>1146</v>
      </c>
      <c r="B601" s="1">
        <v>25173</v>
      </c>
      <c r="C601" s="78">
        <v>601</v>
      </c>
      <c r="E601" s="1">
        <f t="shared" si="18"/>
        <v>25173</v>
      </c>
      <c r="F601" s="2">
        <f t="shared" si="19"/>
        <v>25173</v>
      </c>
      <c r="G601" s="78">
        <v>599</v>
      </c>
      <c r="H601" s="79"/>
      <c r="I601" s="79"/>
      <c r="J601" s="79">
        <v>39.257849999999998</v>
      </c>
      <c r="K601" s="79">
        <v>39.188549999999999</v>
      </c>
      <c r="L601" s="79"/>
      <c r="M601" s="79"/>
      <c r="N601" s="79">
        <v>44.436630000000001</v>
      </c>
      <c r="O601" s="79"/>
      <c r="P601" s="79">
        <v>44.842149999999997</v>
      </c>
      <c r="Q601" s="79"/>
      <c r="R601" s="79">
        <v>27.270610000000001</v>
      </c>
      <c r="S601" s="79">
        <v>56.794640000000001</v>
      </c>
      <c r="T601" s="79">
        <v>70.313519999999997</v>
      </c>
      <c r="U601" s="79">
        <v>49.722619999999999</v>
      </c>
      <c r="V601" s="79"/>
      <c r="W601" s="79"/>
      <c r="X601" s="79"/>
      <c r="Y601" s="79"/>
      <c r="Z601" s="79">
        <v>64.564019999999999</v>
      </c>
      <c r="AA601" s="79">
        <v>38.278680000000001</v>
      </c>
      <c r="AB601" s="79"/>
      <c r="AC601" s="79">
        <v>47.859749999999998</v>
      </c>
      <c r="AD601" s="79"/>
      <c r="AE601" s="79"/>
      <c r="AF601" s="79">
        <v>43.423360000000002</v>
      </c>
      <c r="AG601" s="79">
        <v>33.266719999999999</v>
      </c>
      <c r="AH601" s="79"/>
      <c r="AI601" s="79"/>
      <c r="AJ601" s="79">
        <v>33.596159999999998</v>
      </c>
      <c r="AK601" s="79"/>
      <c r="AL601" s="79"/>
      <c r="AM601" s="79">
        <v>48.208069999999999</v>
      </c>
      <c r="AN601" s="79"/>
      <c r="AO601" s="79">
        <v>37.559669999999997</v>
      </c>
      <c r="AP601" s="79"/>
      <c r="AQ601" s="79"/>
      <c r="AR601" s="79"/>
      <c r="AS601" s="79"/>
      <c r="AT601" s="79"/>
      <c r="AU601" s="79"/>
      <c r="AV601" s="79"/>
      <c r="AW601" s="79"/>
      <c r="AX601" s="79"/>
      <c r="AY601" s="79"/>
    </row>
    <row r="602" spans="1:51" x14ac:dyDescent="0.2">
      <c r="A602" t="s">
        <v>1147</v>
      </c>
      <c r="B602" s="1">
        <v>25204</v>
      </c>
      <c r="C602" s="78">
        <v>602</v>
      </c>
      <c r="E602" s="1">
        <f t="shared" si="18"/>
        <v>25204</v>
      </c>
      <c r="F602" s="2">
        <f t="shared" si="19"/>
        <v>25204</v>
      </c>
      <c r="G602" s="78">
        <v>600</v>
      </c>
      <c r="H602" s="79"/>
      <c r="I602" s="79"/>
      <c r="J602" s="79">
        <v>40.083820000000003</v>
      </c>
      <c r="K602" s="79">
        <v>39.331870000000002</v>
      </c>
      <c r="L602" s="79"/>
      <c r="M602" s="79"/>
      <c r="N602" s="79">
        <v>44.930370000000003</v>
      </c>
      <c r="O602" s="79"/>
      <c r="P602" s="79">
        <v>45.455100000000002</v>
      </c>
      <c r="Q602" s="79"/>
      <c r="R602" s="79">
        <v>27.453130000000002</v>
      </c>
      <c r="S602" s="79">
        <v>56.428229999999999</v>
      </c>
      <c r="T602" s="79">
        <v>70.508840000000006</v>
      </c>
      <c r="U602" s="79">
        <v>49.237250000000003</v>
      </c>
      <c r="V602" s="79"/>
      <c r="W602" s="79"/>
      <c r="X602" s="79"/>
      <c r="Y602" s="79"/>
      <c r="Z602" s="79">
        <v>65.860759999999999</v>
      </c>
      <c r="AA602" s="79">
        <v>38.783450000000002</v>
      </c>
      <c r="AB602" s="79"/>
      <c r="AC602" s="79">
        <v>50.444949999999999</v>
      </c>
      <c r="AD602" s="79"/>
      <c r="AE602" s="79"/>
      <c r="AF602" s="79">
        <v>43.13767</v>
      </c>
      <c r="AG602" s="79">
        <v>34.93394</v>
      </c>
      <c r="AH602" s="79"/>
      <c r="AI602" s="79"/>
      <c r="AJ602" s="79">
        <v>34.754629999999999</v>
      </c>
      <c r="AK602" s="79"/>
      <c r="AL602" s="79"/>
      <c r="AM602" s="79">
        <v>47.753279999999997</v>
      </c>
      <c r="AN602" s="79"/>
      <c r="AO602" s="79">
        <v>37.786929999999998</v>
      </c>
      <c r="AP602" s="79"/>
      <c r="AQ602" s="79"/>
      <c r="AR602" s="79"/>
      <c r="AS602" s="79"/>
      <c r="AT602" s="79"/>
      <c r="AU602" s="79"/>
      <c r="AV602" s="79"/>
      <c r="AW602" s="79"/>
      <c r="AX602" s="79"/>
      <c r="AY602" s="79"/>
    </row>
    <row r="603" spans="1:51" x14ac:dyDescent="0.2">
      <c r="A603" t="s">
        <v>1148</v>
      </c>
      <c r="B603" s="1">
        <v>25235</v>
      </c>
      <c r="C603" s="78">
        <v>603</v>
      </c>
      <c r="E603" s="1">
        <f t="shared" si="18"/>
        <v>25235</v>
      </c>
      <c r="F603" s="2">
        <f t="shared" si="19"/>
        <v>25235</v>
      </c>
      <c r="G603" s="78">
        <v>601</v>
      </c>
      <c r="H603" s="79"/>
      <c r="I603" s="79"/>
      <c r="J603" s="79">
        <v>39.31353</v>
      </c>
      <c r="K603" s="79">
        <v>39.87415</v>
      </c>
      <c r="L603" s="79"/>
      <c r="M603" s="79"/>
      <c r="N603" s="79">
        <v>45.177239999999998</v>
      </c>
      <c r="O603" s="79"/>
      <c r="P603" s="79">
        <v>43.953440000000001</v>
      </c>
      <c r="Q603" s="79"/>
      <c r="R603" s="79">
        <v>27.779060000000001</v>
      </c>
      <c r="S603" s="79">
        <v>55.817529999999998</v>
      </c>
      <c r="T603" s="79">
        <v>70.801810000000003</v>
      </c>
      <c r="U603" s="79">
        <v>50.74512</v>
      </c>
      <c r="V603" s="79"/>
      <c r="W603" s="79"/>
      <c r="X603" s="79"/>
      <c r="Y603" s="79"/>
      <c r="Z603" s="79">
        <v>63.881520000000002</v>
      </c>
      <c r="AA603" s="79">
        <v>39.37236</v>
      </c>
      <c r="AB603" s="79"/>
      <c r="AC603" s="79">
        <v>49.032760000000003</v>
      </c>
      <c r="AD603" s="79"/>
      <c r="AE603" s="79"/>
      <c r="AF603" s="79">
        <v>43.13767</v>
      </c>
      <c r="AG603" s="79">
        <v>33.945659999999997</v>
      </c>
      <c r="AH603" s="79"/>
      <c r="AI603" s="79"/>
      <c r="AJ603" s="79">
        <v>35.554850000000002</v>
      </c>
      <c r="AK603" s="79"/>
      <c r="AL603" s="79"/>
      <c r="AM603" s="79">
        <v>46.843690000000002</v>
      </c>
      <c r="AN603" s="79"/>
      <c r="AO603" s="79">
        <v>38.028689999999997</v>
      </c>
      <c r="AP603" s="79"/>
      <c r="AQ603" s="79"/>
      <c r="AR603" s="79"/>
      <c r="AS603" s="79"/>
      <c r="AT603" s="79"/>
      <c r="AU603" s="79"/>
      <c r="AV603" s="79"/>
      <c r="AW603" s="79"/>
      <c r="AX603" s="79"/>
      <c r="AY603" s="79"/>
    </row>
    <row r="604" spans="1:51" x14ac:dyDescent="0.2">
      <c r="A604" t="s">
        <v>1149</v>
      </c>
      <c r="B604" s="1">
        <v>25263</v>
      </c>
      <c r="C604" s="78">
        <v>604</v>
      </c>
      <c r="E604" s="1">
        <f t="shared" si="18"/>
        <v>25263</v>
      </c>
      <c r="F604" s="2">
        <f t="shared" si="19"/>
        <v>25263</v>
      </c>
      <c r="G604" s="78">
        <v>602</v>
      </c>
      <c r="H604" s="79"/>
      <c r="I604" s="79"/>
      <c r="J604" s="79">
        <v>39.92998</v>
      </c>
      <c r="K604" s="79">
        <v>40.559269999999998</v>
      </c>
      <c r="L604" s="79"/>
      <c r="M604" s="79"/>
      <c r="N604" s="79">
        <v>45.67098</v>
      </c>
      <c r="O604" s="79"/>
      <c r="P604" s="79">
        <v>46.899030000000003</v>
      </c>
      <c r="Q604" s="79"/>
      <c r="R604" s="79">
        <v>28.258179999999999</v>
      </c>
      <c r="S604" s="79">
        <v>55.817529999999998</v>
      </c>
      <c r="T604" s="79">
        <v>70.801810000000003</v>
      </c>
      <c r="U604" s="79">
        <v>50.918460000000003</v>
      </c>
      <c r="V604" s="79"/>
      <c r="W604" s="79"/>
      <c r="X604" s="79"/>
      <c r="Y604" s="79"/>
      <c r="Z604" s="79">
        <v>65.860759999999999</v>
      </c>
      <c r="AA604" s="79">
        <v>39.456490000000002</v>
      </c>
      <c r="AB604" s="79"/>
      <c r="AC604" s="79">
        <v>49.2669</v>
      </c>
      <c r="AD604" s="79"/>
      <c r="AE604" s="79"/>
      <c r="AF604" s="79">
        <v>43.994709999999998</v>
      </c>
      <c r="AG604" s="79">
        <v>34.59019</v>
      </c>
      <c r="AH604" s="79"/>
      <c r="AI604" s="79"/>
      <c r="AJ604" s="79">
        <v>34.029589999999999</v>
      </c>
      <c r="AK604" s="79"/>
      <c r="AL604" s="79"/>
      <c r="AM604" s="79">
        <v>47.753279999999997</v>
      </c>
      <c r="AN604" s="79"/>
      <c r="AO604" s="79">
        <v>38.326920000000001</v>
      </c>
      <c r="AP604" s="79"/>
      <c r="AQ604" s="79"/>
      <c r="AR604" s="79"/>
      <c r="AS604" s="79"/>
      <c r="AT604" s="79"/>
      <c r="AU604" s="79"/>
      <c r="AV604" s="79"/>
      <c r="AW604" s="79"/>
      <c r="AX604" s="79"/>
      <c r="AY604" s="79"/>
    </row>
    <row r="605" spans="1:51" x14ac:dyDescent="0.2">
      <c r="A605" t="s">
        <v>1150</v>
      </c>
      <c r="B605" s="1">
        <v>25294</v>
      </c>
      <c r="C605" s="78">
        <v>605</v>
      </c>
      <c r="E605" s="1">
        <f t="shared" si="18"/>
        <v>25294</v>
      </c>
      <c r="F605" s="2">
        <f t="shared" si="19"/>
        <v>25294</v>
      </c>
      <c r="G605" s="78">
        <v>603</v>
      </c>
      <c r="H605" s="79"/>
      <c r="I605" s="79"/>
      <c r="J605" s="79">
        <v>40.791159999999998</v>
      </c>
      <c r="K605" s="79">
        <v>40.176299999999998</v>
      </c>
      <c r="L605" s="79"/>
      <c r="M605" s="79"/>
      <c r="N605" s="79">
        <v>45.979570000000002</v>
      </c>
      <c r="O605" s="79"/>
      <c r="P605" s="79">
        <v>47</v>
      </c>
      <c r="Q605" s="79"/>
      <c r="R605" s="79">
        <v>28.408110000000001</v>
      </c>
      <c r="S605" s="79">
        <v>57.649619999999999</v>
      </c>
      <c r="T605" s="79">
        <v>71.876050000000006</v>
      </c>
      <c r="U605" s="79">
        <v>51.369480000000003</v>
      </c>
      <c r="V605" s="79"/>
      <c r="W605" s="79"/>
      <c r="X605" s="79"/>
      <c r="Y605" s="79"/>
      <c r="Z605" s="79">
        <v>66.202010000000001</v>
      </c>
      <c r="AA605" s="79">
        <v>40.550159999999998</v>
      </c>
      <c r="AB605" s="79"/>
      <c r="AC605" s="79">
        <v>49.32602</v>
      </c>
      <c r="AD605" s="79"/>
      <c r="AE605" s="79"/>
      <c r="AF605" s="79">
        <v>44.566070000000003</v>
      </c>
      <c r="AG605" s="79">
        <v>33.601900000000001</v>
      </c>
      <c r="AH605" s="79"/>
      <c r="AI605" s="79"/>
      <c r="AJ605" s="79">
        <v>34.077489999999997</v>
      </c>
      <c r="AK605" s="79"/>
      <c r="AL605" s="79"/>
      <c r="AM605" s="79">
        <v>48.662860000000002</v>
      </c>
      <c r="AN605" s="79"/>
      <c r="AO605" s="79">
        <v>38.185920000000003</v>
      </c>
      <c r="AP605" s="79"/>
      <c r="AQ605" s="79"/>
      <c r="AR605" s="79"/>
      <c r="AS605" s="79"/>
      <c r="AT605" s="79"/>
      <c r="AU605" s="79"/>
      <c r="AV605" s="79"/>
      <c r="AW605" s="79"/>
      <c r="AX605" s="79"/>
      <c r="AY605" s="79"/>
    </row>
    <row r="606" spans="1:51" x14ac:dyDescent="0.2">
      <c r="A606" t="s">
        <v>1151</v>
      </c>
      <c r="B606" s="1">
        <v>25324</v>
      </c>
      <c r="C606" s="78">
        <v>606</v>
      </c>
      <c r="E606" s="1">
        <f t="shared" si="18"/>
        <v>25324</v>
      </c>
      <c r="F606" s="2">
        <f t="shared" si="19"/>
        <v>25324</v>
      </c>
      <c r="G606" s="78">
        <v>604</v>
      </c>
      <c r="H606" s="79"/>
      <c r="I606" s="79"/>
      <c r="J606" s="79">
        <v>41.167340000000003</v>
      </c>
      <c r="K606" s="79">
        <v>40.14199</v>
      </c>
      <c r="L606" s="79"/>
      <c r="M606" s="79"/>
      <c r="N606" s="79">
        <v>46.535029999999999</v>
      </c>
      <c r="O606" s="79"/>
      <c r="P606" s="79">
        <v>47.612479999999998</v>
      </c>
      <c r="Q606" s="79"/>
      <c r="R606" s="79">
        <v>28.919820000000001</v>
      </c>
      <c r="S606" s="79">
        <v>58.993139999999997</v>
      </c>
      <c r="T606" s="79">
        <v>71.876050000000006</v>
      </c>
      <c r="U606" s="79">
        <v>52.746479999999998</v>
      </c>
      <c r="V606" s="79"/>
      <c r="W606" s="79"/>
      <c r="X606" s="79"/>
      <c r="Y606" s="79"/>
      <c r="Z606" s="79">
        <v>65.041759999999996</v>
      </c>
      <c r="AA606" s="79">
        <v>41.475580000000001</v>
      </c>
      <c r="AB606" s="79"/>
      <c r="AC606" s="79">
        <v>48.404380000000003</v>
      </c>
      <c r="AD606" s="79"/>
      <c r="AE606" s="79"/>
      <c r="AF606" s="79">
        <v>45.137430000000002</v>
      </c>
      <c r="AG606" s="79">
        <v>34.160499999999999</v>
      </c>
      <c r="AH606" s="79"/>
      <c r="AI606" s="79"/>
      <c r="AJ606" s="79">
        <v>33.28369</v>
      </c>
      <c r="AK606" s="79"/>
      <c r="AL606" s="79"/>
      <c r="AM606" s="79">
        <v>48.208069999999999</v>
      </c>
      <c r="AN606" s="79"/>
      <c r="AO606" s="79">
        <v>38.041559999999997</v>
      </c>
      <c r="AP606" s="79"/>
      <c r="AQ606" s="79"/>
      <c r="AR606" s="79"/>
      <c r="AS606" s="79"/>
      <c r="AT606" s="79"/>
      <c r="AU606" s="79"/>
      <c r="AV606" s="79"/>
      <c r="AW606" s="79"/>
      <c r="AX606" s="79"/>
      <c r="AY606" s="79"/>
    </row>
    <row r="607" spans="1:51" x14ac:dyDescent="0.2">
      <c r="A607" t="s">
        <v>1152</v>
      </c>
      <c r="B607" s="1">
        <v>25355</v>
      </c>
      <c r="C607" s="78">
        <v>607</v>
      </c>
      <c r="E607" s="1">
        <f t="shared" si="18"/>
        <v>25355</v>
      </c>
      <c r="F607" s="2">
        <f t="shared" si="19"/>
        <v>25355</v>
      </c>
      <c r="G607" s="78">
        <v>605</v>
      </c>
      <c r="H607" s="79"/>
      <c r="I607" s="79"/>
      <c r="J607" s="79">
        <v>41.312959999999997</v>
      </c>
      <c r="K607" s="79">
        <v>40.20308</v>
      </c>
      <c r="L607" s="79"/>
      <c r="M607" s="79"/>
      <c r="N607" s="79">
        <v>47.028770000000002</v>
      </c>
      <c r="O607" s="79"/>
      <c r="P607" s="79">
        <v>47.004809999999999</v>
      </c>
      <c r="Q607" s="79"/>
      <c r="R607" s="79">
        <v>28.81878</v>
      </c>
      <c r="S607" s="79">
        <v>58.260309999999997</v>
      </c>
      <c r="T607" s="79">
        <v>72.364329999999995</v>
      </c>
      <c r="U607" s="79">
        <v>53.538960000000003</v>
      </c>
      <c r="V607" s="79"/>
      <c r="W607" s="79"/>
      <c r="X607" s="79"/>
      <c r="Y607" s="79"/>
      <c r="Z607" s="79">
        <v>66.816249999999997</v>
      </c>
      <c r="AA607" s="79">
        <v>41.139060000000001</v>
      </c>
      <c r="AB607" s="79"/>
      <c r="AC607" s="79">
        <v>50.515940000000001</v>
      </c>
      <c r="AD607" s="79"/>
      <c r="AE607" s="79"/>
      <c r="AF607" s="79">
        <v>45.70879</v>
      </c>
      <c r="AG607" s="79">
        <v>34.504249999999999</v>
      </c>
      <c r="AH607" s="79"/>
      <c r="AI607" s="79"/>
      <c r="AJ607" s="79">
        <v>35.426450000000003</v>
      </c>
      <c r="AK607" s="79"/>
      <c r="AL607" s="79"/>
      <c r="AM607" s="79">
        <v>49.572450000000003</v>
      </c>
      <c r="AN607" s="79"/>
      <c r="AO607" s="79">
        <v>38.413179999999997</v>
      </c>
      <c r="AP607" s="79"/>
      <c r="AQ607" s="79"/>
      <c r="AR607" s="79"/>
      <c r="AS607" s="79"/>
      <c r="AT607" s="79"/>
      <c r="AU607" s="79"/>
      <c r="AV607" s="79"/>
      <c r="AW607" s="79"/>
      <c r="AX607" s="79"/>
      <c r="AY607" s="79"/>
    </row>
    <row r="608" spans="1:51" x14ac:dyDescent="0.2">
      <c r="A608" t="s">
        <v>1153</v>
      </c>
      <c r="B608" s="1">
        <v>25385</v>
      </c>
      <c r="C608" s="78">
        <v>608</v>
      </c>
      <c r="E608" s="1">
        <f t="shared" si="18"/>
        <v>25385</v>
      </c>
      <c r="F608" s="2">
        <f t="shared" si="19"/>
        <v>25385</v>
      </c>
      <c r="G608" s="78">
        <v>606</v>
      </c>
      <c r="H608" s="79"/>
      <c r="I608" s="79"/>
      <c r="J608" s="79">
        <v>42.16451</v>
      </c>
      <c r="K608" s="79">
        <v>40.547519999999999</v>
      </c>
      <c r="L608" s="79"/>
      <c r="M608" s="79"/>
      <c r="N608" s="79">
        <v>46.905329999999999</v>
      </c>
      <c r="O608" s="79"/>
      <c r="P608" s="79">
        <v>47.289830000000002</v>
      </c>
      <c r="Q608" s="79"/>
      <c r="R608" s="79">
        <v>29.522790000000001</v>
      </c>
      <c r="S608" s="79">
        <v>58.50459</v>
      </c>
      <c r="T608" s="79">
        <v>72.071370000000002</v>
      </c>
      <c r="U608" s="79">
        <v>54.111849999999997</v>
      </c>
      <c r="V608" s="79"/>
      <c r="W608" s="79"/>
      <c r="X608" s="79"/>
      <c r="Y608" s="79"/>
      <c r="Z608" s="79">
        <v>67.089250000000007</v>
      </c>
      <c r="AA608" s="79">
        <v>41.727969999999999</v>
      </c>
      <c r="AB608" s="79"/>
      <c r="AC608" s="79">
        <v>50.87518</v>
      </c>
      <c r="AD608" s="79"/>
      <c r="AE608" s="79"/>
      <c r="AF608" s="79">
        <v>46.280160000000002</v>
      </c>
      <c r="AG608" s="79">
        <v>34.848010000000002</v>
      </c>
      <c r="AH608" s="79"/>
      <c r="AI608" s="79"/>
      <c r="AJ608" s="79">
        <v>31.46726</v>
      </c>
      <c r="AK608" s="79"/>
      <c r="AL608" s="79"/>
      <c r="AM608" s="79">
        <v>53.210799999999999</v>
      </c>
      <c r="AN608" s="79"/>
      <c r="AO608" s="79">
        <v>38.616039999999998</v>
      </c>
      <c r="AP608" s="79"/>
      <c r="AQ608" s="79"/>
      <c r="AR608" s="79"/>
      <c r="AS608" s="79"/>
      <c r="AT608" s="79"/>
      <c r="AU608" s="79"/>
      <c r="AV608" s="79"/>
      <c r="AW608" s="79"/>
      <c r="AX608" s="79"/>
      <c r="AY608" s="79"/>
    </row>
    <row r="609" spans="1:51" x14ac:dyDescent="0.2">
      <c r="A609" t="s">
        <v>1154</v>
      </c>
      <c r="B609" s="1">
        <v>25416</v>
      </c>
      <c r="C609" s="78">
        <v>609</v>
      </c>
      <c r="E609" s="1">
        <f t="shared" si="18"/>
        <v>25416</v>
      </c>
      <c r="F609" s="2">
        <f t="shared" si="19"/>
        <v>25416</v>
      </c>
      <c r="G609" s="78">
        <v>607</v>
      </c>
      <c r="H609" s="79"/>
      <c r="I609" s="79"/>
      <c r="J609" s="79">
        <v>41.697020000000002</v>
      </c>
      <c r="K609" s="79">
        <v>39.806010000000001</v>
      </c>
      <c r="L609" s="79"/>
      <c r="M609" s="79"/>
      <c r="N609" s="79">
        <v>48.2014</v>
      </c>
      <c r="O609" s="79"/>
      <c r="P609" s="79">
        <v>48.439430000000002</v>
      </c>
      <c r="Q609" s="79"/>
      <c r="R609" s="79">
        <v>29.793310000000002</v>
      </c>
      <c r="S609" s="79">
        <v>58.50459</v>
      </c>
      <c r="T609" s="79">
        <v>71.094790000000003</v>
      </c>
      <c r="U609" s="79">
        <v>54.494239999999998</v>
      </c>
      <c r="V609" s="79"/>
      <c r="W609" s="79"/>
      <c r="X609" s="79"/>
      <c r="Y609" s="79"/>
      <c r="Z609" s="79">
        <v>66.065510000000003</v>
      </c>
      <c r="AA609" s="79">
        <v>42.064480000000003</v>
      </c>
      <c r="AB609" s="79"/>
      <c r="AC609" s="79">
        <v>50.370699999999999</v>
      </c>
      <c r="AD609" s="79"/>
      <c r="AE609" s="79"/>
      <c r="AF609" s="79">
        <v>46.851509999999998</v>
      </c>
      <c r="AG609" s="79">
        <v>35.32067</v>
      </c>
      <c r="AH609" s="79"/>
      <c r="AI609" s="79"/>
      <c r="AJ609" s="79">
        <v>38.098520000000001</v>
      </c>
      <c r="AK609" s="79"/>
      <c r="AL609" s="79"/>
      <c r="AM609" s="79">
        <v>49.117660000000001</v>
      </c>
      <c r="AN609" s="79"/>
      <c r="AO609" s="79">
        <v>38.704790000000003</v>
      </c>
      <c r="AP609" s="79"/>
      <c r="AQ609" s="79"/>
      <c r="AR609" s="79"/>
      <c r="AS609" s="79"/>
      <c r="AT609" s="79"/>
      <c r="AU609" s="79"/>
      <c r="AV609" s="79"/>
      <c r="AW609" s="79"/>
      <c r="AX609" s="79"/>
      <c r="AY609" s="79"/>
    </row>
    <row r="610" spans="1:51" x14ac:dyDescent="0.2">
      <c r="A610" t="s">
        <v>1155</v>
      </c>
      <c r="B610" s="1">
        <v>25447</v>
      </c>
      <c r="C610" s="78">
        <v>610</v>
      </c>
      <c r="E610" s="1">
        <f t="shared" si="18"/>
        <v>25447</v>
      </c>
      <c r="F610" s="2">
        <f t="shared" si="19"/>
        <v>25447</v>
      </c>
      <c r="G610" s="78">
        <v>608</v>
      </c>
      <c r="H610" s="79"/>
      <c r="I610" s="79"/>
      <c r="J610" s="79">
        <v>41.299860000000002</v>
      </c>
      <c r="K610" s="79">
        <v>39.930070000000001</v>
      </c>
      <c r="L610" s="79"/>
      <c r="M610" s="79"/>
      <c r="N610" s="79">
        <v>47.769379999999998</v>
      </c>
      <c r="O610" s="79"/>
      <c r="P610" s="79">
        <v>49.137210000000003</v>
      </c>
      <c r="Q610" s="79"/>
      <c r="R610" s="79">
        <v>29.682500000000001</v>
      </c>
      <c r="S610" s="79">
        <v>57.77176</v>
      </c>
      <c r="T610" s="79">
        <v>71.192440000000005</v>
      </c>
      <c r="U610" s="79">
        <v>54.801670000000001</v>
      </c>
      <c r="V610" s="79"/>
      <c r="W610" s="79"/>
      <c r="X610" s="79"/>
      <c r="Y610" s="79"/>
      <c r="Z610" s="79">
        <v>62.448279999999997</v>
      </c>
      <c r="AA610" s="79">
        <v>42.989899999999999</v>
      </c>
      <c r="AB610" s="79"/>
      <c r="AC610" s="79">
        <v>51.554639999999999</v>
      </c>
      <c r="AD610" s="79"/>
      <c r="AE610" s="79"/>
      <c r="AF610" s="79">
        <v>46.565829999999998</v>
      </c>
      <c r="AG610" s="79">
        <v>35.234729999999999</v>
      </c>
      <c r="AH610" s="79"/>
      <c r="AI610" s="79"/>
      <c r="AJ610" s="79">
        <v>36.22587</v>
      </c>
      <c r="AK610" s="79"/>
      <c r="AL610" s="79"/>
      <c r="AM610" s="79">
        <v>50.027239999999999</v>
      </c>
      <c r="AN610" s="79"/>
      <c r="AO610" s="79">
        <v>38.69605</v>
      </c>
      <c r="AP610" s="79"/>
      <c r="AQ610" s="79"/>
      <c r="AR610" s="79"/>
      <c r="AS610" s="79"/>
      <c r="AT610" s="79"/>
      <c r="AU610" s="79"/>
      <c r="AV610" s="79"/>
      <c r="AW610" s="79"/>
      <c r="AX610" s="79"/>
      <c r="AY610" s="79"/>
    </row>
    <row r="611" spans="1:51" x14ac:dyDescent="0.2">
      <c r="A611" t="s">
        <v>1156</v>
      </c>
      <c r="B611" s="1">
        <v>25477</v>
      </c>
      <c r="C611" s="78">
        <v>611</v>
      </c>
      <c r="E611" s="1">
        <f t="shared" si="18"/>
        <v>25477</v>
      </c>
      <c r="F611" s="2">
        <f t="shared" si="19"/>
        <v>25477</v>
      </c>
      <c r="G611" s="78">
        <v>609</v>
      </c>
      <c r="H611" s="79"/>
      <c r="I611" s="79"/>
      <c r="J611" s="79">
        <v>41.740180000000002</v>
      </c>
      <c r="K611" s="79">
        <v>39.617100000000001</v>
      </c>
      <c r="L611" s="79"/>
      <c r="M611" s="79"/>
      <c r="N611" s="79">
        <v>48.38655</v>
      </c>
      <c r="O611" s="79"/>
      <c r="P611" s="79">
        <v>50.373199999999997</v>
      </c>
      <c r="Q611" s="79"/>
      <c r="R611" s="79">
        <v>29.966059999999999</v>
      </c>
      <c r="S611" s="79">
        <v>59.72598</v>
      </c>
      <c r="T611" s="79">
        <v>70.02055</v>
      </c>
      <c r="U611" s="79">
        <v>55.150730000000003</v>
      </c>
      <c r="V611" s="79"/>
      <c r="W611" s="79"/>
      <c r="X611" s="79"/>
      <c r="Y611" s="79"/>
      <c r="Z611" s="79">
        <v>59.581809999999997</v>
      </c>
      <c r="AA611" s="79">
        <v>44.16771</v>
      </c>
      <c r="AB611" s="79"/>
      <c r="AC611" s="79">
        <v>51.811390000000003</v>
      </c>
      <c r="AD611" s="79"/>
      <c r="AE611" s="79"/>
      <c r="AF611" s="79">
        <v>47.137189999999997</v>
      </c>
      <c r="AG611" s="79">
        <v>35.277700000000003</v>
      </c>
      <c r="AH611" s="79"/>
      <c r="AI611" s="79"/>
      <c r="AJ611" s="79">
        <v>34.696550000000002</v>
      </c>
      <c r="AK611" s="79"/>
      <c r="AL611" s="79"/>
      <c r="AM611" s="79">
        <v>51.391620000000003</v>
      </c>
      <c r="AN611" s="79"/>
      <c r="AO611" s="79">
        <v>38.707380000000001</v>
      </c>
      <c r="AP611" s="79"/>
      <c r="AQ611" s="79"/>
      <c r="AR611" s="79"/>
      <c r="AS611" s="79"/>
      <c r="AT611" s="79"/>
      <c r="AU611" s="79"/>
      <c r="AV611" s="79"/>
      <c r="AW611" s="79"/>
      <c r="AX611" s="79"/>
      <c r="AY611" s="79"/>
    </row>
    <row r="612" spans="1:51" x14ac:dyDescent="0.2">
      <c r="A612" t="s">
        <v>1157</v>
      </c>
      <c r="B612" s="1">
        <v>25508</v>
      </c>
      <c r="C612" s="78">
        <v>612</v>
      </c>
      <c r="E612" s="1">
        <f t="shared" si="18"/>
        <v>25508</v>
      </c>
      <c r="F612" s="2">
        <f t="shared" si="19"/>
        <v>25508</v>
      </c>
      <c r="G612" s="78">
        <v>610</v>
      </c>
      <c r="H612" s="79"/>
      <c r="I612" s="79"/>
      <c r="J612" s="79">
        <v>42.024250000000002</v>
      </c>
      <c r="K612" s="79">
        <v>40.097349999999999</v>
      </c>
      <c r="L612" s="79"/>
      <c r="M612" s="79"/>
      <c r="N612" s="79">
        <v>49.127160000000003</v>
      </c>
      <c r="O612" s="79"/>
      <c r="P612" s="79">
        <v>48.029670000000003</v>
      </c>
      <c r="Q612" s="79"/>
      <c r="R612" s="79">
        <v>30.66029</v>
      </c>
      <c r="S612" s="79">
        <v>58.321379999999998</v>
      </c>
      <c r="T612" s="79">
        <v>71.485420000000005</v>
      </c>
      <c r="U612" s="79">
        <v>55.655329999999999</v>
      </c>
      <c r="V612" s="79"/>
      <c r="W612" s="79"/>
      <c r="X612" s="79"/>
      <c r="Y612" s="79"/>
      <c r="Z612" s="79">
        <v>58.285060000000001</v>
      </c>
      <c r="AA612" s="79">
        <v>44.16771</v>
      </c>
      <c r="AB612" s="79"/>
      <c r="AC612" s="79">
        <v>52.832819999999998</v>
      </c>
      <c r="AD612" s="79"/>
      <c r="AE612" s="79"/>
      <c r="AF612" s="79">
        <v>48.279910000000001</v>
      </c>
      <c r="AG612" s="79">
        <v>35.879269999999998</v>
      </c>
      <c r="AH612" s="79"/>
      <c r="AI612" s="79"/>
      <c r="AJ612" s="79">
        <v>35.908479999999997</v>
      </c>
      <c r="AK612" s="79"/>
      <c r="AL612" s="79"/>
      <c r="AM612" s="79">
        <v>52.301209999999998</v>
      </c>
      <c r="AN612" s="79"/>
      <c r="AO612" s="79">
        <v>38.342480000000002</v>
      </c>
      <c r="AP612" s="79"/>
      <c r="AQ612" s="79"/>
      <c r="AR612" s="79"/>
      <c r="AS612" s="79"/>
      <c r="AT612" s="79"/>
      <c r="AU612" s="79"/>
      <c r="AV612" s="79"/>
      <c r="AW612" s="79"/>
      <c r="AX612" s="79"/>
      <c r="AY612" s="79"/>
    </row>
    <row r="613" spans="1:51" x14ac:dyDescent="0.2">
      <c r="A613" t="s">
        <v>1158</v>
      </c>
      <c r="B613" s="1">
        <v>25538</v>
      </c>
      <c r="C613" s="78">
        <v>613</v>
      </c>
      <c r="E613" s="1">
        <f t="shared" si="18"/>
        <v>25538</v>
      </c>
      <c r="F613" s="2">
        <f t="shared" si="19"/>
        <v>25538</v>
      </c>
      <c r="G613" s="78">
        <v>611</v>
      </c>
      <c r="H613" s="79"/>
      <c r="I613" s="79"/>
      <c r="J613" s="79">
        <v>41.405940000000001</v>
      </c>
      <c r="K613" s="79">
        <v>40.460590000000003</v>
      </c>
      <c r="L613" s="79"/>
      <c r="M613" s="79"/>
      <c r="N613" s="79">
        <v>48.756860000000003</v>
      </c>
      <c r="O613" s="79"/>
      <c r="P613" s="79">
        <v>49.199860000000001</v>
      </c>
      <c r="Q613" s="79"/>
      <c r="R613" s="79">
        <v>31.087260000000001</v>
      </c>
      <c r="S613" s="79">
        <v>58.443519999999999</v>
      </c>
      <c r="T613" s="79">
        <v>72.071370000000002</v>
      </c>
      <c r="U613" s="79">
        <v>53.722160000000002</v>
      </c>
      <c r="V613" s="79"/>
      <c r="W613" s="79"/>
      <c r="X613" s="79"/>
      <c r="Y613" s="79"/>
      <c r="Z613" s="79">
        <v>60.810299999999998</v>
      </c>
      <c r="AA613" s="79">
        <v>45.009</v>
      </c>
      <c r="AB613" s="79"/>
      <c r="AC613" s="79">
        <v>52.543579999999999</v>
      </c>
      <c r="AD613" s="79"/>
      <c r="AE613" s="79"/>
      <c r="AF613" s="79">
        <v>47.708550000000002</v>
      </c>
      <c r="AG613" s="79">
        <v>36.00817</v>
      </c>
      <c r="AH613" s="79"/>
      <c r="AI613" s="79"/>
      <c r="AJ613" s="79">
        <v>37.739570000000001</v>
      </c>
      <c r="AK613" s="79"/>
      <c r="AL613" s="79"/>
      <c r="AM613" s="79">
        <v>51.391620000000003</v>
      </c>
      <c r="AN613" s="79"/>
      <c r="AO613" s="79">
        <v>38.239609999999999</v>
      </c>
      <c r="AP613" s="79"/>
      <c r="AQ613" s="79"/>
      <c r="AR613" s="79"/>
      <c r="AS613" s="79"/>
      <c r="AT613" s="79"/>
      <c r="AU613" s="79"/>
      <c r="AV613" s="79"/>
      <c r="AW613" s="79"/>
      <c r="AX613" s="79"/>
      <c r="AY613" s="79"/>
    </row>
    <row r="614" spans="1:51" x14ac:dyDescent="0.2">
      <c r="A614" t="s">
        <v>1159</v>
      </c>
      <c r="B614" s="1">
        <v>25569</v>
      </c>
      <c r="C614" s="78">
        <v>614</v>
      </c>
      <c r="E614" s="1">
        <f t="shared" si="18"/>
        <v>25569</v>
      </c>
      <c r="F614" s="2">
        <f t="shared" si="19"/>
        <v>25569</v>
      </c>
      <c r="G614" s="78">
        <v>612</v>
      </c>
      <c r="H614" s="79"/>
      <c r="I614" s="79"/>
      <c r="J614" s="79">
        <v>40.568899999999999</v>
      </c>
      <c r="K614" s="79">
        <v>40.20449</v>
      </c>
      <c r="L614" s="79"/>
      <c r="M614" s="79"/>
      <c r="N614" s="79">
        <v>48.880290000000002</v>
      </c>
      <c r="O614" s="79"/>
      <c r="P614" s="79">
        <v>49.922229999999999</v>
      </c>
      <c r="Q614" s="79"/>
      <c r="R614" s="79">
        <v>31.82386</v>
      </c>
      <c r="S614" s="79">
        <v>60.092399999999998</v>
      </c>
      <c r="T614" s="79">
        <v>70.313519999999997</v>
      </c>
      <c r="U614" s="79">
        <v>56.701070000000001</v>
      </c>
      <c r="V614" s="79"/>
      <c r="W614" s="79"/>
      <c r="X614" s="79"/>
      <c r="Y614" s="79"/>
      <c r="Z614" s="79">
        <v>68.181240000000003</v>
      </c>
      <c r="AA614" s="79">
        <v>45.597900000000003</v>
      </c>
      <c r="AB614" s="79"/>
      <c r="AC614" s="79">
        <v>52.977350000000001</v>
      </c>
      <c r="AD614" s="79"/>
      <c r="AE614" s="79"/>
      <c r="AF614" s="79">
        <v>48.592239999999997</v>
      </c>
      <c r="AG614" s="79">
        <v>34.890979999999999</v>
      </c>
      <c r="AH614" s="79"/>
      <c r="AI614" s="79"/>
      <c r="AJ614" s="79">
        <v>36.768160000000002</v>
      </c>
      <c r="AK614" s="79"/>
      <c r="AL614" s="79"/>
      <c r="AM614" s="79">
        <v>50.482039999999998</v>
      </c>
      <c r="AN614" s="79"/>
      <c r="AO614" s="79">
        <v>37.53152</v>
      </c>
      <c r="AP614" s="79"/>
      <c r="AQ614" s="79"/>
      <c r="AR614" s="79"/>
      <c r="AS614" s="79"/>
      <c r="AT614" s="79"/>
      <c r="AU614" s="79"/>
      <c r="AV614" s="79"/>
      <c r="AW614" s="79"/>
      <c r="AX614" s="79"/>
      <c r="AY614" s="79"/>
    </row>
    <row r="615" spans="1:51" x14ac:dyDescent="0.2">
      <c r="A615" t="s">
        <v>1160</v>
      </c>
      <c r="B615" s="1">
        <v>25600</v>
      </c>
      <c r="C615" s="78">
        <v>615</v>
      </c>
      <c r="E615" s="1">
        <f t="shared" si="18"/>
        <v>25600</v>
      </c>
      <c r="F615" s="2">
        <f t="shared" si="19"/>
        <v>25600</v>
      </c>
      <c r="G615" s="78">
        <v>613</v>
      </c>
      <c r="H615" s="79"/>
      <c r="I615" s="79"/>
      <c r="J615" s="79">
        <v>41.718539999999997</v>
      </c>
      <c r="K615" s="79">
        <v>40.574779999999997</v>
      </c>
      <c r="L615" s="79"/>
      <c r="M615" s="79"/>
      <c r="N615" s="79">
        <v>49.559190000000001</v>
      </c>
      <c r="O615" s="79"/>
      <c r="P615" s="79">
        <v>50.017310000000002</v>
      </c>
      <c r="Q615" s="79"/>
      <c r="R615" s="79">
        <v>31.709790000000002</v>
      </c>
      <c r="S615" s="79">
        <v>60.764159999999997</v>
      </c>
      <c r="T615" s="79">
        <v>71.583079999999995</v>
      </c>
      <c r="U615" s="79">
        <v>56.430259999999997</v>
      </c>
      <c r="V615" s="79"/>
      <c r="W615" s="79"/>
      <c r="X615" s="79"/>
      <c r="Y615" s="79"/>
      <c r="Z615" s="79">
        <v>69.000240000000005</v>
      </c>
      <c r="AA615" s="79">
        <v>46.102679999999999</v>
      </c>
      <c r="AB615" s="79"/>
      <c r="AC615" s="79">
        <v>52.32976</v>
      </c>
      <c r="AD615" s="79"/>
      <c r="AE615" s="79"/>
      <c r="AF615" s="79">
        <v>49.09319</v>
      </c>
      <c r="AG615" s="79">
        <v>35.363639999999997</v>
      </c>
      <c r="AH615" s="79"/>
      <c r="AI615" s="79"/>
      <c r="AJ615" s="79">
        <v>36.598559999999999</v>
      </c>
      <c r="AK615" s="79"/>
      <c r="AL615" s="79"/>
      <c r="AM615" s="79">
        <v>51.846420000000002</v>
      </c>
      <c r="AN615" s="79"/>
      <c r="AO615" s="79">
        <v>37.506740000000001</v>
      </c>
      <c r="AP615" s="79"/>
      <c r="AQ615" s="79"/>
      <c r="AR615" s="79"/>
      <c r="AS615" s="79"/>
      <c r="AT615" s="79"/>
      <c r="AU615" s="79"/>
      <c r="AV615" s="79"/>
      <c r="AW615" s="79"/>
      <c r="AX615" s="79"/>
      <c r="AY615" s="79"/>
    </row>
    <row r="616" spans="1:51" x14ac:dyDescent="0.2">
      <c r="A616" t="s">
        <v>1161</v>
      </c>
      <c r="B616" s="1">
        <v>25628</v>
      </c>
      <c r="C616" s="78">
        <v>616</v>
      </c>
      <c r="E616" s="1">
        <f t="shared" si="18"/>
        <v>25628</v>
      </c>
      <c r="F616" s="2">
        <f t="shared" si="19"/>
        <v>25628</v>
      </c>
      <c r="G616" s="78">
        <v>614</v>
      </c>
      <c r="H616" s="79"/>
      <c r="I616" s="79"/>
      <c r="J616" s="79">
        <v>42.750959999999999</v>
      </c>
      <c r="K616" s="79">
        <v>39.899990000000003</v>
      </c>
      <c r="L616" s="79"/>
      <c r="M616" s="79"/>
      <c r="N616" s="79">
        <v>49.744340000000001</v>
      </c>
      <c r="O616" s="79"/>
      <c r="P616" s="79">
        <v>47.453479999999999</v>
      </c>
      <c r="Q616" s="79"/>
      <c r="R616" s="79">
        <v>31.563120000000001</v>
      </c>
      <c r="S616" s="79">
        <v>60.642020000000002</v>
      </c>
      <c r="T616" s="79">
        <v>72.364329999999995</v>
      </c>
      <c r="U616" s="79">
        <v>56.719389999999997</v>
      </c>
      <c r="V616" s="79"/>
      <c r="W616" s="79"/>
      <c r="X616" s="79"/>
      <c r="Y616" s="79"/>
      <c r="Z616" s="79">
        <v>68.727239999999995</v>
      </c>
      <c r="AA616" s="79">
        <v>46.439190000000004</v>
      </c>
      <c r="AB616" s="79"/>
      <c r="AC616" s="79">
        <v>53.158230000000003</v>
      </c>
      <c r="AD616" s="79"/>
      <c r="AE616" s="79"/>
      <c r="AF616" s="79">
        <v>50.095089999999999</v>
      </c>
      <c r="AG616" s="79">
        <v>37.340220000000002</v>
      </c>
      <c r="AH616" s="79"/>
      <c r="AI616" s="79"/>
      <c r="AJ616" s="79">
        <v>36.873800000000003</v>
      </c>
      <c r="AK616" s="79"/>
      <c r="AL616" s="79"/>
      <c r="AM616" s="79">
        <v>52.301209999999998</v>
      </c>
      <c r="AN616" s="79"/>
      <c r="AO616" s="79">
        <v>37.45805</v>
      </c>
      <c r="AP616" s="79"/>
      <c r="AQ616" s="79"/>
      <c r="AR616" s="79"/>
      <c r="AS616" s="79"/>
      <c r="AT616" s="79"/>
      <c r="AU616" s="79"/>
      <c r="AV616" s="79"/>
      <c r="AW616" s="79"/>
      <c r="AX616" s="79"/>
      <c r="AY616" s="79"/>
    </row>
    <row r="617" spans="1:51" x14ac:dyDescent="0.2">
      <c r="A617" t="s">
        <v>1162</v>
      </c>
      <c r="B617" s="1">
        <v>25659</v>
      </c>
      <c r="C617" s="78">
        <v>617</v>
      </c>
      <c r="E617" s="1">
        <f t="shared" si="18"/>
        <v>25659</v>
      </c>
      <c r="F617" s="2">
        <f t="shared" si="19"/>
        <v>25659</v>
      </c>
      <c r="G617" s="78">
        <v>615</v>
      </c>
      <c r="H617" s="79"/>
      <c r="I617" s="79"/>
      <c r="J617" s="79">
        <v>41.502139999999997</v>
      </c>
      <c r="K617" s="79">
        <v>39.324350000000003</v>
      </c>
      <c r="L617" s="79"/>
      <c r="M617" s="79"/>
      <c r="N617" s="79">
        <v>50.238079999999997</v>
      </c>
      <c r="O617" s="79"/>
      <c r="P617" s="79">
        <v>52.948599999999999</v>
      </c>
      <c r="Q617" s="79"/>
      <c r="R617" s="79">
        <v>32.648470000000003</v>
      </c>
      <c r="S617" s="79">
        <v>61.496989999999997</v>
      </c>
      <c r="T617" s="79">
        <v>72.071370000000002</v>
      </c>
      <c r="U617" s="79">
        <v>57.381120000000003</v>
      </c>
      <c r="V617" s="79"/>
      <c r="W617" s="79"/>
      <c r="X617" s="79"/>
      <c r="Y617" s="79"/>
      <c r="Z617" s="79">
        <v>68.112989999999996</v>
      </c>
      <c r="AA617" s="79">
        <v>46.859839999999998</v>
      </c>
      <c r="AB617" s="79"/>
      <c r="AC617" s="79">
        <v>51.773440000000001</v>
      </c>
      <c r="AD617" s="79"/>
      <c r="AE617" s="79"/>
      <c r="AF617" s="79">
        <v>49.594140000000003</v>
      </c>
      <c r="AG617" s="79">
        <v>35.105820000000001</v>
      </c>
      <c r="AH617" s="79"/>
      <c r="AI617" s="79"/>
      <c r="AJ617" s="79">
        <v>38.025700000000001</v>
      </c>
      <c r="AK617" s="79"/>
      <c r="AL617" s="79"/>
      <c r="AM617" s="79">
        <v>51.846420000000002</v>
      </c>
      <c r="AN617" s="79"/>
      <c r="AO617" s="79">
        <v>37.361800000000002</v>
      </c>
      <c r="AP617" s="79"/>
      <c r="AQ617" s="79"/>
      <c r="AR617" s="79"/>
      <c r="AS617" s="79"/>
      <c r="AT617" s="79"/>
      <c r="AU617" s="79"/>
      <c r="AV617" s="79"/>
      <c r="AW617" s="79"/>
      <c r="AX617" s="79"/>
      <c r="AY617" s="79"/>
    </row>
    <row r="618" spans="1:51" x14ac:dyDescent="0.2">
      <c r="A618" t="s">
        <v>1163</v>
      </c>
      <c r="B618" s="1">
        <v>25689</v>
      </c>
      <c r="C618" s="78">
        <v>618</v>
      </c>
      <c r="E618" s="1">
        <f t="shared" si="18"/>
        <v>25689</v>
      </c>
      <c r="F618" s="2">
        <f t="shared" si="19"/>
        <v>25689</v>
      </c>
      <c r="G618" s="78">
        <v>616</v>
      </c>
      <c r="H618" s="79"/>
      <c r="I618" s="79"/>
      <c r="J618" s="79">
        <v>42.51502</v>
      </c>
      <c r="K618" s="79">
        <v>39.408940000000001</v>
      </c>
      <c r="L618" s="79"/>
      <c r="M618" s="79"/>
      <c r="N618" s="79">
        <v>50.60839</v>
      </c>
      <c r="O618" s="79"/>
      <c r="P618" s="79">
        <v>49.726700000000001</v>
      </c>
      <c r="Q618" s="79"/>
      <c r="R618" s="79">
        <v>33.016770000000001</v>
      </c>
      <c r="S618" s="79">
        <v>60.764159999999997</v>
      </c>
      <c r="T618" s="79">
        <v>71.290099999999995</v>
      </c>
      <c r="U618" s="79">
        <v>57.246420000000001</v>
      </c>
      <c r="V618" s="79"/>
      <c r="W618" s="79"/>
      <c r="X618" s="79"/>
      <c r="Y618" s="79"/>
      <c r="Z618" s="79">
        <v>67.089250000000007</v>
      </c>
      <c r="AA618" s="79">
        <v>47.448740000000001</v>
      </c>
      <c r="AB618" s="79"/>
      <c r="AC618" s="79">
        <v>51.55612</v>
      </c>
      <c r="AD618" s="79"/>
      <c r="AE618" s="79"/>
      <c r="AF618" s="79">
        <v>49.594140000000003</v>
      </c>
      <c r="AG618" s="79">
        <v>35.148789999999998</v>
      </c>
      <c r="AH618" s="79"/>
      <c r="AI618" s="79"/>
      <c r="AJ618" s="79">
        <v>37.205559999999998</v>
      </c>
      <c r="AK618" s="79"/>
      <c r="AL618" s="79"/>
      <c r="AM618" s="79">
        <v>53.665590000000002</v>
      </c>
      <c r="AN618" s="79"/>
      <c r="AO618" s="79">
        <v>37.318199999999997</v>
      </c>
      <c r="AP618" s="79"/>
      <c r="AQ618" s="79"/>
      <c r="AR618" s="79"/>
      <c r="AS618" s="79"/>
      <c r="AT618" s="79"/>
      <c r="AU618" s="79"/>
      <c r="AV618" s="79"/>
      <c r="AW618" s="79"/>
      <c r="AX618" s="79"/>
      <c r="AY618" s="79"/>
    </row>
    <row r="619" spans="1:51" x14ac:dyDescent="0.2">
      <c r="A619" t="s">
        <v>1164</v>
      </c>
      <c r="B619" s="1">
        <v>25720</v>
      </c>
      <c r="C619" s="78">
        <v>619</v>
      </c>
      <c r="E619" s="1">
        <f t="shared" si="18"/>
        <v>25720</v>
      </c>
      <c r="F619" s="2">
        <f t="shared" si="19"/>
        <v>25720</v>
      </c>
      <c r="G619" s="78">
        <v>617</v>
      </c>
      <c r="H619" s="79"/>
      <c r="I619" s="79"/>
      <c r="J619" s="79">
        <v>42.038519999999998</v>
      </c>
      <c r="K619" s="79">
        <v>39.290990000000001</v>
      </c>
      <c r="L619" s="79"/>
      <c r="M619" s="79"/>
      <c r="N619" s="79">
        <v>50.114640000000001</v>
      </c>
      <c r="O619" s="79"/>
      <c r="P619" s="79">
        <v>50.657519999999998</v>
      </c>
      <c r="Q619" s="79"/>
      <c r="R619" s="79">
        <v>32.566980000000001</v>
      </c>
      <c r="S619" s="79">
        <v>60.886299999999999</v>
      </c>
      <c r="T619" s="79">
        <v>71.485420000000005</v>
      </c>
      <c r="U619" s="79">
        <v>57.555840000000003</v>
      </c>
      <c r="V619" s="79"/>
      <c r="W619" s="79"/>
      <c r="X619" s="79"/>
      <c r="Y619" s="79"/>
      <c r="Z619" s="79">
        <v>67.157499999999999</v>
      </c>
      <c r="AA619" s="79">
        <v>48.121769999999998</v>
      </c>
      <c r="AB619" s="79"/>
      <c r="AC619" s="79">
        <v>51.365070000000003</v>
      </c>
      <c r="AD619" s="79"/>
      <c r="AE619" s="79"/>
      <c r="AF619" s="79">
        <v>49.594140000000003</v>
      </c>
      <c r="AG619" s="79">
        <v>35.750360000000001</v>
      </c>
      <c r="AH619" s="79"/>
      <c r="AI619" s="79"/>
      <c r="AJ619" s="79">
        <v>38.763579999999997</v>
      </c>
      <c r="AK619" s="79"/>
      <c r="AL619" s="79"/>
      <c r="AM619" s="79">
        <v>51.391620000000003</v>
      </c>
      <c r="AN619" s="79"/>
      <c r="AO619" s="79">
        <v>37.197560000000003</v>
      </c>
      <c r="AP619" s="79"/>
      <c r="AQ619" s="79"/>
      <c r="AR619" s="79"/>
      <c r="AS619" s="79"/>
      <c r="AT619" s="79"/>
      <c r="AU619" s="79"/>
      <c r="AV619" s="79"/>
      <c r="AW619" s="79"/>
      <c r="AX619" s="79"/>
      <c r="AY619" s="79"/>
    </row>
    <row r="620" spans="1:51" x14ac:dyDescent="0.2">
      <c r="A620" t="s">
        <v>1165</v>
      </c>
      <c r="B620" s="1">
        <v>25750</v>
      </c>
      <c r="C620" s="78">
        <v>620</v>
      </c>
      <c r="E620" s="1">
        <f t="shared" si="18"/>
        <v>25750</v>
      </c>
      <c r="F620" s="2">
        <f t="shared" si="19"/>
        <v>25750</v>
      </c>
      <c r="G620" s="78">
        <v>618</v>
      </c>
      <c r="H620" s="79"/>
      <c r="I620" s="79"/>
      <c r="J620" s="79">
        <v>43.324300000000001</v>
      </c>
      <c r="K620" s="79">
        <v>39.305079999999997</v>
      </c>
      <c r="L620" s="79"/>
      <c r="M620" s="79"/>
      <c r="N620" s="79">
        <v>50.731819999999999</v>
      </c>
      <c r="O620" s="79"/>
      <c r="P620" s="79">
        <v>52.169699999999999</v>
      </c>
      <c r="Q620" s="79"/>
      <c r="R620" s="79">
        <v>33.906559999999999</v>
      </c>
      <c r="S620" s="79">
        <v>60.580950000000001</v>
      </c>
      <c r="T620" s="79">
        <v>71.778390000000002</v>
      </c>
      <c r="U620" s="79">
        <v>58.458570000000002</v>
      </c>
      <c r="V620" s="79"/>
      <c r="W620" s="79"/>
      <c r="X620" s="79"/>
      <c r="Y620" s="79"/>
      <c r="Z620" s="79">
        <v>69.000240000000005</v>
      </c>
      <c r="AA620" s="79">
        <v>48.121769999999998</v>
      </c>
      <c r="AB620" s="79"/>
      <c r="AC620" s="79">
        <v>52.219760000000001</v>
      </c>
      <c r="AD620" s="79"/>
      <c r="AE620" s="79"/>
      <c r="AF620" s="79">
        <v>51.096989999999998</v>
      </c>
      <c r="AG620" s="79">
        <v>36.910530000000001</v>
      </c>
      <c r="AH620" s="79"/>
      <c r="AI620" s="79"/>
      <c r="AJ620" s="79">
        <v>36.717469999999999</v>
      </c>
      <c r="AK620" s="79"/>
      <c r="AL620" s="79"/>
      <c r="AM620" s="79">
        <v>54.575180000000003</v>
      </c>
      <c r="AN620" s="79"/>
      <c r="AO620" s="79">
        <v>37.288800000000002</v>
      </c>
      <c r="AP620" s="79"/>
      <c r="AQ620" s="79"/>
      <c r="AR620" s="79"/>
      <c r="AS620" s="79"/>
      <c r="AT620" s="79"/>
      <c r="AU620" s="79"/>
      <c r="AV620" s="79"/>
      <c r="AW620" s="79"/>
      <c r="AX620" s="79"/>
      <c r="AY620" s="79"/>
    </row>
    <row r="621" spans="1:51" x14ac:dyDescent="0.2">
      <c r="A621" t="s">
        <v>1166</v>
      </c>
      <c r="B621" s="1">
        <v>25781</v>
      </c>
      <c r="C621" s="78">
        <v>621</v>
      </c>
      <c r="E621" s="1">
        <f t="shared" si="18"/>
        <v>25781</v>
      </c>
      <c r="F621" s="2">
        <f t="shared" si="19"/>
        <v>25781</v>
      </c>
      <c r="G621" s="78">
        <v>619</v>
      </c>
      <c r="H621" s="79"/>
      <c r="I621" s="79"/>
      <c r="J621" s="79">
        <v>42.676789999999997</v>
      </c>
      <c r="K621" s="79">
        <v>39.613349999999997</v>
      </c>
      <c r="L621" s="79"/>
      <c r="M621" s="79"/>
      <c r="N621" s="79">
        <v>49.929490000000001</v>
      </c>
      <c r="O621" s="79"/>
      <c r="P621" s="79">
        <v>50.957450000000001</v>
      </c>
      <c r="Q621" s="79"/>
      <c r="R621" s="79">
        <v>33.544780000000003</v>
      </c>
      <c r="S621" s="79">
        <v>60.580950000000001</v>
      </c>
      <c r="T621" s="79">
        <v>71.876050000000006</v>
      </c>
      <c r="U621" s="79">
        <v>58.994810000000001</v>
      </c>
      <c r="V621" s="79"/>
      <c r="W621" s="79"/>
      <c r="X621" s="79"/>
      <c r="Y621" s="79"/>
      <c r="Z621" s="79">
        <v>67.225750000000005</v>
      </c>
      <c r="AA621" s="79">
        <v>47.953510000000001</v>
      </c>
      <c r="AB621" s="79"/>
      <c r="AC621" s="79">
        <v>50.663319999999999</v>
      </c>
      <c r="AD621" s="79"/>
      <c r="AE621" s="79"/>
      <c r="AF621" s="79">
        <v>50.095089999999999</v>
      </c>
      <c r="AG621" s="79">
        <v>36.437869999999997</v>
      </c>
      <c r="AH621" s="79"/>
      <c r="AI621" s="79"/>
      <c r="AJ621" s="79">
        <v>36.45928</v>
      </c>
      <c r="AK621" s="79"/>
      <c r="AL621" s="79"/>
      <c r="AM621" s="79">
        <v>52.301209999999998</v>
      </c>
      <c r="AN621" s="79"/>
      <c r="AO621" s="79">
        <v>37.222340000000003</v>
      </c>
      <c r="AP621" s="79"/>
      <c r="AQ621" s="79"/>
      <c r="AR621" s="79"/>
      <c r="AS621" s="79"/>
      <c r="AT621" s="79"/>
      <c r="AU621" s="79"/>
      <c r="AV621" s="79"/>
      <c r="AW621" s="79"/>
      <c r="AX621" s="79"/>
      <c r="AY621" s="79"/>
    </row>
    <row r="622" spans="1:51" x14ac:dyDescent="0.2">
      <c r="A622" t="s">
        <v>1167</v>
      </c>
      <c r="B622" s="1">
        <v>25812</v>
      </c>
      <c r="C622" s="78">
        <v>622</v>
      </c>
      <c r="E622" s="1">
        <f t="shared" si="18"/>
        <v>25812</v>
      </c>
      <c r="F622" s="2">
        <f t="shared" si="19"/>
        <v>25812</v>
      </c>
      <c r="G622" s="78">
        <v>620</v>
      </c>
      <c r="H622" s="79"/>
      <c r="I622" s="79"/>
      <c r="J622" s="79">
        <v>42.380119999999998</v>
      </c>
      <c r="K622" s="79">
        <v>39.084699999999998</v>
      </c>
      <c r="L622" s="79"/>
      <c r="M622" s="79"/>
      <c r="N622" s="79">
        <v>49.68262</v>
      </c>
      <c r="O622" s="79"/>
      <c r="P622" s="79">
        <v>51.305970000000002</v>
      </c>
      <c r="Q622" s="79"/>
      <c r="R622" s="79">
        <v>32.938549999999999</v>
      </c>
      <c r="S622" s="79">
        <v>61.252719999999997</v>
      </c>
      <c r="T622" s="79">
        <v>71.583079999999995</v>
      </c>
      <c r="U622" s="79">
        <v>59.973950000000002</v>
      </c>
      <c r="V622" s="79"/>
      <c r="W622" s="79"/>
      <c r="X622" s="79"/>
      <c r="Y622" s="79"/>
      <c r="Z622" s="79">
        <v>69.273229999999998</v>
      </c>
      <c r="AA622" s="79">
        <v>48.121769999999998</v>
      </c>
      <c r="AB622" s="79"/>
      <c r="AC622" s="79">
        <v>48.995959999999997</v>
      </c>
      <c r="AD622" s="79"/>
      <c r="AE622" s="79"/>
      <c r="AF622" s="79">
        <v>50.095089999999999</v>
      </c>
      <c r="AG622" s="79">
        <v>36.480840000000001</v>
      </c>
      <c r="AH622" s="79"/>
      <c r="AI622" s="79"/>
      <c r="AJ622" s="79">
        <v>37.576160000000002</v>
      </c>
      <c r="AK622" s="79"/>
      <c r="AL622" s="79"/>
      <c r="AM622" s="79">
        <v>51.846420000000002</v>
      </c>
      <c r="AN622" s="79"/>
      <c r="AO622" s="79">
        <v>36.965789999999998</v>
      </c>
      <c r="AP622" s="79"/>
      <c r="AQ622" s="79"/>
      <c r="AR622" s="79"/>
      <c r="AS622" s="79"/>
      <c r="AT622" s="79"/>
      <c r="AU622" s="79"/>
      <c r="AV622" s="79"/>
      <c r="AW622" s="79"/>
      <c r="AX622" s="79"/>
      <c r="AY622" s="79"/>
    </row>
    <row r="623" spans="1:51" x14ac:dyDescent="0.2">
      <c r="A623" t="s">
        <v>1168</v>
      </c>
      <c r="B623" s="1">
        <v>25842</v>
      </c>
      <c r="C623" s="78">
        <v>623</v>
      </c>
      <c r="E623" s="1">
        <f t="shared" si="18"/>
        <v>25842</v>
      </c>
      <c r="F623" s="2">
        <f t="shared" si="19"/>
        <v>25842</v>
      </c>
      <c r="G623" s="78">
        <v>621</v>
      </c>
      <c r="H623" s="79"/>
      <c r="I623" s="79"/>
      <c r="J623" s="79">
        <v>42.701500000000003</v>
      </c>
      <c r="K623" s="79">
        <v>39.071069999999999</v>
      </c>
      <c r="L623" s="79"/>
      <c r="M623" s="79"/>
      <c r="N623" s="79">
        <v>50.052930000000003</v>
      </c>
      <c r="O623" s="79"/>
      <c r="P623" s="79">
        <v>51.92221</v>
      </c>
      <c r="Q623" s="79"/>
      <c r="R623" s="79">
        <v>32.231270000000002</v>
      </c>
      <c r="S623" s="79">
        <v>61.802340000000001</v>
      </c>
      <c r="T623" s="79">
        <v>72.559650000000005</v>
      </c>
      <c r="U623" s="79">
        <v>60.78837</v>
      </c>
      <c r="V623" s="79"/>
      <c r="W623" s="79"/>
      <c r="X623" s="79"/>
      <c r="Y623" s="79"/>
      <c r="Z623" s="79">
        <v>67.703500000000005</v>
      </c>
      <c r="AA623" s="79">
        <v>48.290030000000002</v>
      </c>
      <c r="AB623" s="79"/>
      <c r="AC623" s="79">
        <v>46.720910000000003</v>
      </c>
      <c r="AD623" s="79"/>
      <c r="AE623" s="79"/>
      <c r="AF623" s="79">
        <v>51.096989999999998</v>
      </c>
      <c r="AG623" s="79">
        <v>36.824590000000001</v>
      </c>
      <c r="AH623" s="79"/>
      <c r="AI623" s="79"/>
      <c r="AJ623" s="79">
        <v>37.471260000000001</v>
      </c>
      <c r="AK623" s="79"/>
      <c r="AL623" s="79"/>
      <c r="AM623" s="79">
        <v>52.756</v>
      </c>
      <c r="AN623" s="79"/>
      <c r="AO623" s="79">
        <v>36.226289999999999</v>
      </c>
      <c r="AP623" s="79"/>
      <c r="AQ623" s="79"/>
      <c r="AR623" s="79"/>
      <c r="AS623" s="79"/>
      <c r="AT623" s="79"/>
      <c r="AU623" s="79"/>
      <c r="AV623" s="79"/>
      <c r="AW623" s="79"/>
      <c r="AX623" s="79"/>
      <c r="AY623" s="79"/>
    </row>
    <row r="624" spans="1:51" x14ac:dyDescent="0.2">
      <c r="A624" t="s">
        <v>1169</v>
      </c>
      <c r="B624" s="1">
        <v>25873</v>
      </c>
      <c r="C624" s="78">
        <v>624</v>
      </c>
      <c r="E624" s="1">
        <f t="shared" si="18"/>
        <v>25873</v>
      </c>
      <c r="F624" s="2">
        <f t="shared" si="19"/>
        <v>25873</v>
      </c>
      <c r="G624" s="78">
        <v>622</v>
      </c>
      <c r="H624" s="79"/>
      <c r="I624" s="79"/>
      <c r="J624" s="79">
        <v>42.44997</v>
      </c>
      <c r="K624" s="79">
        <v>39.526879999999998</v>
      </c>
      <c r="L624" s="79"/>
      <c r="M624" s="79"/>
      <c r="N624" s="79">
        <v>49.620899999999999</v>
      </c>
      <c r="O624" s="79"/>
      <c r="P624" s="79">
        <v>52.830309999999997</v>
      </c>
      <c r="Q624" s="79"/>
      <c r="R624" s="79">
        <v>32.873359999999998</v>
      </c>
      <c r="S624" s="79">
        <v>61.435920000000003</v>
      </c>
      <c r="T624" s="79">
        <v>71.485420000000005</v>
      </c>
      <c r="U624" s="79">
        <v>61.546300000000002</v>
      </c>
      <c r="V624" s="79"/>
      <c r="W624" s="79"/>
      <c r="X624" s="79"/>
      <c r="Y624" s="79"/>
      <c r="Z624" s="79">
        <v>68.590739999999997</v>
      </c>
      <c r="AA624" s="79">
        <v>47.785260000000001</v>
      </c>
      <c r="AB624" s="79"/>
      <c r="AC624" s="79">
        <v>48.230049999999999</v>
      </c>
      <c r="AD624" s="79"/>
      <c r="AE624" s="79"/>
      <c r="AF624" s="79">
        <v>51.096989999999998</v>
      </c>
      <c r="AG624" s="79">
        <v>36.910530000000001</v>
      </c>
      <c r="AH624" s="79"/>
      <c r="AI624" s="79"/>
      <c r="AJ624" s="79">
        <v>37.107750000000003</v>
      </c>
      <c r="AK624" s="79"/>
      <c r="AL624" s="79"/>
      <c r="AM624" s="79">
        <v>53.210799999999999</v>
      </c>
      <c r="AN624" s="79"/>
      <c r="AO624" s="79">
        <v>36.006909999999998</v>
      </c>
      <c r="AP624" s="79"/>
      <c r="AQ624" s="79"/>
      <c r="AR624" s="79"/>
      <c r="AS624" s="79"/>
      <c r="AT624" s="79"/>
      <c r="AU624" s="79"/>
      <c r="AV624" s="79"/>
      <c r="AW624" s="79"/>
      <c r="AX624" s="79"/>
      <c r="AY624" s="79"/>
    </row>
    <row r="625" spans="1:51" x14ac:dyDescent="0.2">
      <c r="A625" t="s">
        <v>1170</v>
      </c>
      <c r="B625" s="1">
        <v>25903</v>
      </c>
      <c r="C625" s="78">
        <v>625</v>
      </c>
      <c r="E625" s="1">
        <f t="shared" si="18"/>
        <v>25903</v>
      </c>
      <c r="F625" s="2">
        <f t="shared" si="19"/>
        <v>25903</v>
      </c>
      <c r="G625" s="78">
        <v>623</v>
      </c>
      <c r="H625" s="79"/>
      <c r="I625" s="79"/>
      <c r="J625" s="79">
        <v>43.474730000000001</v>
      </c>
      <c r="K625" s="79">
        <v>39.790500000000002</v>
      </c>
      <c r="L625" s="79"/>
      <c r="M625" s="79"/>
      <c r="N625" s="79">
        <v>50.484949999999998</v>
      </c>
      <c r="O625" s="79"/>
      <c r="P625" s="79">
        <v>51.770200000000003</v>
      </c>
      <c r="Q625" s="79"/>
      <c r="R625" s="79">
        <v>33.212330000000001</v>
      </c>
      <c r="S625" s="79">
        <v>62.046619999999997</v>
      </c>
      <c r="T625" s="79">
        <v>72.169020000000003</v>
      </c>
      <c r="U625" s="79">
        <v>61.43262</v>
      </c>
      <c r="V625" s="79"/>
      <c r="W625" s="79"/>
      <c r="X625" s="79"/>
      <c r="Y625" s="79"/>
      <c r="Z625" s="79">
        <v>68.795490000000001</v>
      </c>
      <c r="AA625" s="79">
        <v>48.794800000000002</v>
      </c>
      <c r="AB625" s="79"/>
      <c r="AC625" s="79">
        <v>49.65634</v>
      </c>
      <c r="AD625" s="79"/>
      <c r="AE625" s="79"/>
      <c r="AF625" s="79">
        <v>51.597940000000001</v>
      </c>
      <c r="AG625" s="79">
        <v>37.769910000000003</v>
      </c>
      <c r="AH625" s="79"/>
      <c r="AI625" s="79"/>
      <c r="AJ625" s="79">
        <v>38.05265</v>
      </c>
      <c r="AK625" s="79"/>
      <c r="AL625" s="79"/>
      <c r="AM625" s="79">
        <v>53.665590000000002</v>
      </c>
      <c r="AN625" s="79"/>
      <c r="AO625" s="79">
        <v>36.83381</v>
      </c>
      <c r="AP625" s="79"/>
      <c r="AQ625" s="79"/>
      <c r="AR625" s="79"/>
      <c r="AS625" s="79"/>
      <c r="AT625" s="79"/>
      <c r="AU625" s="79"/>
      <c r="AV625" s="79"/>
      <c r="AW625" s="79"/>
      <c r="AX625" s="79"/>
      <c r="AY625" s="79"/>
    </row>
    <row r="626" spans="1:51" x14ac:dyDescent="0.2">
      <c r="A626" t="s">
        <v>1171</v>
      </c>
      <c r="B626" s="1">
        <v>25934</v>
      </c>
      <c r="C626" s="78">
        <v>626</v>
      </c>
      <c r="E626" s="1">
        <f t="shared" si="18"/>
        <v>25934</v>
      </c>
      <c r="F626" s="2">
        <f t="shared" si="19"/>
        <v>25934</v>
      </c>
      <c r="G626" s="78">
        <v>624</v>
      </c>
      <c r="H626" s="79"/>
      <c r="I626" s="79"/>
      <c r="J626" s="79">
        <v>43.302149999999997</v>
      </c>
      <c r="K626" s="79">
        <v>40.165019999999998</v>
      </c>
      <c r="L626" s="79"/>
      <c r="M626" s="79"/>
      <c r="N626" s="79">
        <v>51.410710000000002</v>
      </c>
      <c r="O626" s="79"/>
      <c r="P626" s="79">
        <v>51.229590000000002</v>
      </c>
      <c r="Q626" s="79"/>
      <c r="R626" s="79">
        <v>34.19012</v>
      </c>
      <c r="S626" s="79">
        <v>61.863410000000002</v>
      </c>
      <c r="T626" s="79">
        <v>72.559650000000005</v>
      </c>
      <c r="U626" s="79">
        <v>62.279969999999999</v>
      </c>
      <c r="V626" s="79"/>
      <c r="W626" s="79"/>
      <c r="X626" s="79"/>
      <c r="Y626" s="79"/>
      <c r="Z626" s="79">
        <v>70.015450000000001</v>
      </c>
      <c r="AA626" s="79">
        <v>48.71067</v>
      </c>
      <c r="AB626" s="79"/>
      <c r="AC626" s="79">
        <v>48.126669999999997</v>
      </c>
      <c r="AD626" s="79"/>
      <c r="AE626" s="79"/>
      <c r="AF626" s="79">
        <v>53.100790000000003</v>
      </c>
      <c r="AG626" s="79">
        <v>36.523809999999997</v>
      </c>
      <c r="AH626" s="79"/>
      <c r="AI626" s="79"/>
      <c r="AJ626" s="79">
        <v>36.550759999999997</v>
      </c>
      <c r="AK626" s="79"/>
      <c r="AL626" s="79"/>
      <c r="AM626" s="79">
        <v>54.120379999999997</v>
      </c>
      <c r="AN626" s="79"/>
      <c r="AO626" s="79">
        <v>37.117159999999998</v>
      </c>
      <c r="AP626" s="79"/>
      <c r="AQ626" s="79"/>
      <c r="AR626" s="79"/>
      <c r="AS626" s="79"/>
      <c r="AT626" s="79"/>
      <c r="AU626" s="79"/>
      <c r="AV626" s="79"/>
      <c r="AW626" s="79"/>
      <c r="AX626" s="79"/>
      <c r="AY626" s="79"/>
    </row>
    <row r="627" spans="1:51" x14ac:dyDescent="0.2">
      <c r="A627" t="s">
        <v>1172</v>
      </c>
      <c r="B627" s="1">
        <v>25965</v>
      </c>
      <c r="C627" s="78">
        <v>627</v>
      </c>
      <c r="E627" s="1">
        <f t="shared" si="18"/>
        <v>25965</v>
      </c>
      <c r="F627" s="2">
        <f t="shared" si="19"/>
        <v>25965</v>
      </c>
      <c r="G627" s="78">
        <v>625</v>
      </c>
      <c r="H627" s="79"/>
      <c r="I627" s="79"/>
      <c r="J627" s="79">
        <v>43.53837</v>
      </c>
      <c r="K627" s="79">
        <v>40.422060000000002</v>
      </c>
      <c r="L627" s="79"/>
      <c r="M627" s="79"/>
      <c r="N627" s="79">
        <v>50.855260000000001</v>
      </c>
      <c r="O627" s="79"/>
      <c r="P627" s="79">
        <v>51.786189999999998</v>
      </c>
      <c r="Q627" s="79"/>
      <c r="R627" s="79">
        <v>27.541129999999999</v>
      </c>
      <c r="S627" s="79">
        <v>62.901589999999999</v>
      </c>
      <c r="T627" s="79">
        <v>71.192440000000005</v>
      </c>
      <c r="U627" s="79">
        <v>62.94782</v>
      </c>
      <c r="V627" s="79"/>
      <c r="W627" s="79"/>
      <c r="X627" s="79"/>
      <c r="Y627" s="79"/>
      <c r="Z627" s="79">
        <v>65.862809999999996</v>
      </c>
      <c r="AA627" s="79">
        <v>48.458289999999998</v>
      </c>
      <c r="AB627" s="79"/>
      <c r="AC627" s="79">
        <v>49.139949999999999</v>
      </c>
      <c r="AD627" s="79"/>
      <c r="AE627" s="79"/>
      <c r="AF627" s="79">
        <v>52.59984</v>
      </c>
      <c r="AG627" s="79">
        <v>36.73865</v>
      </c>
      <c r="AH627" s="79"/>
      <c r="AI627" s="79"/>
      <c r="AJ627" s="79">
        <v>36.404240000000001</v>
      </c>
      <c r="AK627" s="79"/>
      <c r="AL627" s="79"/>
      <c r="AM627" s="79">
        <v>53.210799999999999</v>
      </c>
      <c r="AN627" s="79"/>
      <c r="AO627" s="79">
        <v>37.046370000000003</v>
      </c>
      <c r="AP627" s="79"/>
      <c r="AQ627" s="79"/>
      <c r="AR627" s="79"/>
      <c r="AS627" s="79"/>
      <c r="AT627" s="79"/>
      <c r="AU627" s="79"/>
      <c r="AV627" s="79"/>
      <c r="AW627" s="79"/>
      <c r="AX627" s="79"/>
      <c r="AY627" s="79"/>
    </row>
    <row r="628" spans="1:51" x14ac:dyDescent="0.2">
      <c r="A628" t="s">
        <v>1173</v>
      </c>
      <c r="B628" s="1">
        <v>25993</v>
      </c>
      <c r="C628" s="78">
        <v>628</v>
      </c>
      <c r="E628" s="1">
        <f t="shared" si="18"/>
        <v>25993</v>
      </c>
      <c r="F628" s="2">
        <f t="shared" si="19"/>
        <v>25993</v>
      </c>
      <c r="G628" s="78">
        <v>626</v>
      </c>
      <c r="H628" s="79"/>
      <c r="I628" s="79"/>
      <c r="J628" s="79">
        <v>42.721350000000001</v>
      </c>
      <c r="K628" s="79">
        <v>40.575719999999997</v>
      </c>
      <c r="L628" s="79"/>
      <c r="M628" s="79"/>
      <c r="N628" s="79">
        <v>50.60839</v>
      </c>
      <c r="O628" s="79"/>
      <c r="P628" s="79">
        <v>52.610959999999999</v>
      </c>
      <c r="Q628" s="79"/>
      <c r="R628" s="79">
        <v>25.539919999999999</v>
      </c>
      <c r="S628" s="79">
        <v>63.329079999999998</v>
      </c>
      <c r="T628" s="79">
        <v>70.411180000000002</v>
      </c>
      <c r="U628" s="79">
        <v>62.168700000000001</v>
      </c>
      <c r="V628" s="79"/>
      <c r="W628" s="79"/>
      <c r="X628" s="79"/>
      <c r="Y628" s="79"/>
      <c r="Z628" s="79">
        <v>65.862809999999996</v>
      </c>
      <c r="AA628" s="79">
        <v>48.963059999999999</v>
      </c>
      <c r="AB628" s="79"/>
      <c r="AC628" s="79">
        <v>49.086329999999997</v>
      </c>
      <c r="AD628" s="79"/>
      <c r="AE628" s="79"/>
      <c r="AF628" s="79">
        <v>52.098889999999997</v>
      </c>
      <c r="AG628" s="79">
        <v>36.867559999999997</v>
      </c>
      <c r="AH628" s="79"/>
      <c r="AI628" s="79"/>
      <c r="AJ628" s="79">
        <v>36.499899999999997</v>
      </c>
      <c r="AK628" s="79"/>
      <c r="AL628" s="79"/>
      <c r="AM628" s="79">
        <v>52.301209999999998</v>
      </c>
      <c r="AN628" s="79"/>
      <c r="AO628" s="79">
        <v>37.006320000000002</v>
      </c>
      <c r="AP628" s="79"/>
      <c r="AQ628" s="79"/>
      <c r="AR628" s="79"/>
      <c r="AS628" s="79"/>
      <c r="AT628" s="79"/>
      <c r="AU628" s="79"/>
      <c r="AV628" s="79"/>
      <c r="AW628" s="79"/>
      <c r="AX628" s="79"/>
      <c r="AY628" s="79"/>
    </row>
    <row r="629" spans="1:51" x14ac:dyDescent="0.2">
      <c r="A629" t="s">
        <v>1174</v>
      </c>
      <c r="B629" s="1">
        <v>26024</v>
      </c>
      <c r="C629" s="78">
        <v>629</v>
      </c>
      <c r="E629" s="1">
        <f t="shared" si="18"/>
        <v>26024</v>
      </c>
      <c r="F629" s="2">
        <f t="shared" si="19"/>
        <v>26024</v>
      </c>
      <c r="G629" s="78">
        <v>627</v>
      </c>
      <c r="H629" s="79"/>
      <c r="I629" s="79"/>
      <c r="J629" s="79">
        <v>43.101100000000002</v>
      </c>
      <c r="K629" s="79">
        <v>40.641979999999997</v>
      </c>
      <c r="L629" s="79"/>
      <c r="M629" s="79"/>
      <c r="N629" s="79">
        <v>50.97869</v>
      </c>
      <c r="O629" s="79"/>
      <c r="P629" s="79">
        <v>53.289050000000003</v>
      </c>
      <c r="Q629" s="79"/>
      <c r="R629" s="79">
        <v>33.971739999999997</v>
      </c>
      <c r="S629" s="79">
        <v>63.145870000000002</v>
      </c>
      <c r="T629" s="79">
        <v>71.38776</v>
      </c>
      <c r="U629" s="79">
        <v>61.052889999999998</v>
      </c>
      <c r="V629" s="79"/>
      <c r="W629" s="79"/>
      <c r="X629" s="79"/>
      <c r="Y629" s="79"/>
      <c r="Z629" s="79">
        <v>65.090230000000005</v>
      </c>
      <c r="AA629" s="79">
        <v>48.71067</v>
      </c>
      <c r="AB629" s="79"/>
      <c r="AC629" s="79">
        <v>50.602919999999997</v>
      </c>
      <c r="AD629" s="79"/>
      <c r="AE629" s="79"/>
      <c r="AF629" s="79">
        <v>52.098889999999997</v>
      </c>
      <c r="AG629" s="79">
        <v>37.46913</v>
      </c>
      <c r="AH629" s="79"/>
      <c r="AI629" s="79"/>
      <c r="AJ629" s="79">
        <v>41.36795</v>
      </c>
      <c r="AK629" s="79"/>
      <c r="AL629" s="79"/>
      <c r="AM629" s="79">
        <v>52.756</v>
      </c>
      <c r="AN629" s="79"/>
      <c r="AO629" s="79">
        <v>37.214080000000003</v>
      </c>
      <c r="AP629" s="79"/>
      <c r="AQ629" s="79"/>
      <c r="AR629" s="79"/>
      <c r="AS629" s="79"/>
      <c r="AT629" s="79"/>
      <c r="AU629" s="79"/>
      <c r="AV629" s="79"/>
      <c r="AW629" s="79"/>
      <c r="AX629" s="79"/>
      <c r="AY629" s="79"/>
    </row>
    <row r="630" spans="1:51" x14ac:dyDescent="0.2">
      <c r="A630" t="s">
        <v>1175</v>
      </c>
      <c r="B630" s="1">
        <v>26054</v>
      </c>
      <c r="C630" s="78">
        <v>630</v>
      </c>
      <c r="E630" s="1">
        <f t="shared" si="18"/>
        <v>26054</v>
      </c>
      <c r="F630" s="2">
        <f t="shared" si="19"/>
        <v>26054</v>
      </c>
      <c r="G630" s="78">
        <v>628</v>
      </c>
      <c r="H630" s="79"/>
      <c r="I630" s="79"/>
      <c r="J630" s="79">
        <v>39.71555</v>
      </c>
      <c r="K630" s="79">
        <v>41.216209999999997</v>
      </c>
      <c r="L630" s="79"/>
      <c r="M630" s="79"/>
      <c r="N630" s="79">
        <v>50.238079999999997</v>
      </c>
      <c r="O630" s="79"/>
      <c r="P630" s="79">
        <v>53.093060000000001</v>
      </c>
      <c r="Q630" s="79"/>
      <c r="R630" s="79">
        <v>34.349820000000001</v>
      </c>
      <c r="S630" s="79">
        <v>62.046619999999997</v>
      </c>
      <c r="T630" s="79">
        <v>71.680729999999997</v>
      </c>
      <c r="U630" s="79">
        <v>63.478400000000001</v>
      </c>
      <c r="V630" s="79"/>
      <c r="W630" s="79"/>
      <c r="X630" s="79"/>
      <c r="Y630" s="79"/>
      <c r="Z630" s="79">
        <v>67.697689999999994</v>
      </c>
      <c r="AA630" s="79">
        <v>47.448740000000001</v>
      </c>
      <c r="AB630" s="79"/>
      <c r="AC630" s="79">
        <v>51.208120000000001</v>
      </c>
      <c r="AD630" s="79"/>
      <c r="AE630" s="79"/>
      <c r="AF630" s="79">
        <v>52.59984</v>
      </c>
      <c r="AG630" s="79">
        <v>37.598039999999997</v>
      </c>
      <c r="AH630" s="79"/>
      <c r="AI630" s="79"/>
      <c r="AJ630" s="79">
        <v>40.346319999999999</v>
      </c>
      <c r="AK630" s="79"/>
      <c r="AL630" s="79"/>
      <c r="AM630" s="79">
        <v>52.756</v>
      </c>
      <c r="AN630" s="79"/>
      <c r="AO630" s="79">
        <v>37.402909999999999</v>
      </c>
      <c r="AP630" s="79"/>
      <c r="AQ630" s="79"/>
      <c r="AR630" s="79"/>
      <c r="AS630" s="79"/>
      <c r="AT630" s="79"/>
      <c r="AU630" s="79"/>
      <c r="AV630" s="79"/>
      <c r="AW630" s="79"/>
      <c r="AX630" s="79"/>
      <c r="AY630" s="79"/>
    </row>
    <row r="631" spans="1:51" x14ac:dyDescent="0.2">
      <c r="A631" t="s">
        <v>1176</v>
      </c>
      <c r="B631" s="1">
        <v>26085</v>
      </c>
      <c r="C631" s="78">
        <v>631</v>
      </c>
      <c r="E631" s="1">
        <f t="shared" si="18"/>
        <v>26085</v>
      </c>
      <c r="F631" s="2">
        <f t="shared" si="19"/>
        <v>26085</v>
      </c>
      <c r="G631" s="78">
        <v>629</v>
      </c>
      <c r="H631" s="79"/>
      <c r="I631" s="79"/>
      <c r="J631" s="79">
        <v>42.972490000000001</v>
      </c>
      <c r="K631" s="79">
        <v>41.487810000000003</v>
      </c>
      <c r="L631" s="79"/>
      <c r="M631" s="79"/>
      <c r="N631" s="79">
        <v>50.79354</v>
      </c>
      <c r="O631" s="79"/>
      <c r="P631" s="79">
        <v>54.007919999999999</v>
      </c>
      <c r="Q631" s="79"/>
      <c r="R631" s="79">
        <v>35.03754</v>
      </c>
      <c r="S631" s="79">
        <v>63.268009999999997</v>
      </c>
      <c r="T631" s="79">
        <v>71.485420000000005</v>
      </c>
      <c r="U631" s="79">
        <v>64.407749999999993</v>
      </c>
      <c r="V631" s="79"/>
      <c r="W631" s="79"/>
      <c r="X631" s="79"/>
      <c r="Y631" s="79"/>
      <c r="Z631" s="79">
        <v>68.27713</v>
      </c>
      <c r="AA631" s="79">
        <v>48.458289999999998</v>
      </c>
      <c r="AB631" s="79"/>
      <c r="AC631" s="79">
        <v>50.882019999999997</v>
      </c>
      <c r="AD631" s="79"/>
      <c r="AE631" s="79"/>
      <c r="AF631" s="79">
        <v>53.100790000000003</v>
      </c>
      <c r="AG631" s="79">
        <v>38.070700000000002</v>
      </c>
      <c r="AH631" s="79"/>
      <c r="AI631" s="79"/>
      <c r="AJ631" s="79">
        <v>39.62218</v>
      </c>
      <c r="AK631" s="79"/>
      <c r="AL631" s="79"/>
      <c r="AM631" s="79">
        <v>53.210799999999999</v>
      </c>
      <c r="AN631" s="79"/>
      <c r="AO631" s="79">
        <v>37.559759999999997</v>
      </c>
      <c r="AP631" s="79"/>
      <c r="AQ631" s="79"/>
      <c r="AR631" s="79"/>
      <c r="AS631" s="79"/>
      <c r="AT631" s="79"/>
      <c r="AU631" s="79"/>
      <c r="AV631" s="79"/>
      <c r="AW631" s="79"/>
      <c r="AX631" s="79"/>
      <c r="AY631" s="79"/>
    </row>
    <row r="632" spans="1:51" x14ac:dyDescent="0.2">
      <c r="A632" t="s">
        <v>1177</v>
      </c>
      <c r="B632" s="1">
        <v>26115</v>
      </c>
      <c r="C632" s="78">
        <v>632</v>
      </c>
      <c r="E632" s="1">
        <f t="shared" si="18"/>
        <v>26115</v>
      </c>
      <c r="F632" s="2">
        <f t="shared" si="19"/>
        <v>26115</v>
      </c>
      <c r="G632" s="78">
        <v>630</v>
      </c>
      <c r="H632" s="79"/>
      <c r="I632" s="79"/>
      <c r="J632" s="79">
        <v>43.785130000000002</v>
      </c>
      <c r="K632" s="79">
        <v>41.619390000000003</v>
      </c>
      <c r="L632" s="79"/>
      <c r="M632" s="79"/>
      <c r="N632" s="79">
        <v>51.595869999999998</v>
      </c>
      <c r="O632" s="79"/>
      <c r="P632" s="79">
        <v>56.29177</v>
      </c>
      <c r="Q632" s="79"/>
      <c r="R632" s="79">
        <v>35.18421</v>
      </c>
      <c r="S632" s="79">
        <v>63.634430000000002</v>
      </c>
      <c r="T632" s="79">
        <v>71.192440000000005</v>
      </c>
      <c r="U632" s="79">
        <v>68.027590000000004</v>
      </c>
      <c r="V632" s="79"/>
      <c r="W632" s="79"/>
      <c r="X632" s="79"/>
      <c r="Y632" s="79"/>
      <c r="Z632" s="79">
        <v>67.697689999999994</v>
      </c>
      <c r="AA632" s="79">
        <v>48.626539999999999</v>
      </c>
      <c r="AB632" s="79"/>
      <c r="AC632" s="79">
        <v>50.802700000000002</v>
      </c>
      <c r="AD632" s="79"/>
      <c r="AE632" s="79"/>
      <c r="AF632" s="79">
        <v>53.100790000000003</v>
      </c>
      <c r="AG632" s="79">
        <v>39.187899999999999</v>
      </c>
      <c r="AH632" s="79"/>
      <c r="AI632" s="79"/>
      <c r="AJ632" s="79">
        <v>40.989879999999999</v>
      </c>
      <c r="AK632" s="79"/>
      <c r="AL632" s="79"/>
      <c r="AM632" s="79">
        <v>52.756</v>
      </c>
      <c r="AN632" s="79"/>
      <c r="AO632" s="79">
        <v>37.450749999999999</v>
      </c>
      <c r="AP632" s="79"/>
      <c r="AQ632" s="79"/>
      <c r="AR632" s="79"/>
      <c r="AS632" s="79"/>
      <c r="AT632" s="79"/>
      <c r="AU632" s="79"/>
      <c r="AV632" s="79"/>
      <c r="AW632" s="79"/>
      <c r="AX632" s="79"/>
      <c r="AY632" s="79"/>
    </row>
    <row r="633" spans="1:51" x14ac:dyDescent="0.2">
      <c r="A633" t="s">
        <v>1178</v>
      </c>
      <c r="B633" s="1">
        <v>26146</v>
      </c>
      <c r="C633" s="78">
        <v>633</v>
      </c>
      <c r="E633" s="1">
        <f t="shared" si="18"/>
        <v>26146</v>
      </c>
      <c r="F633" s="2">
        <f t="shared" si="19"/>
        <v>26146</v>
      </c>
      <c r="G633" s="78">
        <v>631</v>
      </c>
      <c r="H633" s="79"/>
      <c r="I633" s="79"/>
      <c r="J633" s="79">
        <v>43.272829999999999</v>
      </c>
      <c r="K633" s="79">
        <v>42.771129999999999</v>
      </c>
      <c r="L633" s="79"/>
      <c r="M633" s="79"/>
      <c r="N633" s="79">
        <v>49.435749999999999</v>
      </c>
      <c r="O633" s="79"/>
      <c r="P633" s="79">
        <v>55.974429999999998</v>
      </c>
      <c r="Q633" s="79"/>
      <c r="R633" s="79">
        <v>34.633380000000002</v>
      </c>
      <c r="S633" s="79">
        <v>63.634430000000002</v>
      </c>
      <c r="T633" s="79">
        <v>71.680729999999997</v>
      </c>
      <c r="U633" s="79">
        <v>68.256389999999996</v>
      </c>
      <c r="V633" s="79"/>
      <c r="W633" s="79"/>
      <c r="X633" s="79"/>
      <c r="Y633" s="79"/>
      <c r="Z633" s="79">
        <v>68.663420000000002</v>
      </c>
      <c r="AA633" s="79">
        <v>48.794800000000002</v>
      </c>
      <c r="AB633" s="79"/>
      <c r="AC633" s="79">
        <v>51.326259999999998</v>
      </c>
      <c r="AD633" s="79"/>
      <c r="AE633" s="79"/>
      <c r="AF633" s="79">
        <v>53.601739999999999</v>
      </c>
      <c r="AG633" s="79">
        <v>37.81288</v>
      </c>
      <c r="AH633" s="79"/>
      <c r="AI633" s="79"/>
      <c r="AJ633" s="79">
        <v>41.285330000000002</v>
      </c>
      <c r="AK633" s="79"/>
      <c r="AL633" s="79"/>
      <c r="AM633" s="79">
        <v>51.846420000000002</v>
      </c>
      <c r="AN633" s="79"/>
      <c r="AO633" s="79">
        <v>37.233379999999997</v>
      </c>
      <c r="AP633" s="79"/>
      <c r="AQ633" s="79"/>
      <c r="AR633" s="79"/>
      <c r="AS633" s="79"/>
      <c r="AT633" s="79"/>
      <c r="AU633" s="79"/>
      <c r="AV633" s="79"/>
      <c r="AW633" s="79"/>
      <c r="AX633" s="79"/>
      <c r="AY633" s="79"/>
    </row>
    <row r="634" spans="1:51" x14ac:dyDescent="0.2">
      <c r="A634" t="s">
        <v>1179</v>
      </c>
      <c r="B634" s="1">
        <v>26177</v>
      </c>
      <c r="C634" s="78">
        <v>634</v>
      </c>
      <c r="E634" s="1">
        <f t="shared" si="18"/>
        <v>26177</v>
      </c>
      <c r="F634" s="2">
        <f t="shared" si="19"/>
        <v>26177</v>
      </c>
      <c r="G634" s="78">
        <v>632</v>
      </c>
      <c r="H634" s="79"/>
      <c r="I634" s="79"/>
      <c r="J634" s="79">
        <v>43.783670000000001</v>
      </c>
      <c r="K634" s="79">
        <v>43.038980000000002</v>
      </c>
      <c r="L634" s="79"/>
      <c r="M634" s="79"/>
      <c r="N634" s="79">
        <v>50.60839</v>
      </c>
      <c r="O634" s="79"/>
      <c r="P634" s="79">
        <v>55.127589999999998</v>
      </c>
      <c r="Q634" s="79"/>
      <c r="R634" s="79">
        <v>34.85501</v>
      </c>
      <c r="S634" s="79">
        <v>65.46651</v>
      </c>
      <c r="T634" s="79">
        <v>70.997129999999999</v>
      </c>
      <c r="U634" s="79">
        <v>66.138959999999997</v>
      </c>
      <c r="V634" s="79"/>
      <c r="W634" s="79"/>
      <c r="X634" s="79"/>
      <c r="Y634" s="79"/>
      <c r="Z634" s="79">
        <v>68.856579999999994</v>
      </c>
      <c r="AA634" s="79">
        <v>49.467829999999999</v>
      </c>
      <c r="AB634" s="79"/>
      <c r="AC634" s="79">
        <v>51.827159999999999</v>
      </c>
      <c r="AD634" s="79"/>
      <c r="AE634" s="79"/>
      <c r="AF634" s="79">
        <v>53.601739999999999</v>
      </c>
      <c r="AG634" s="79">
        <v>37.855849999999997</v>
      </c>
      <c r="AH634" s="79"/>
      <c r="AI634" s="79"/>
      <c r="AJ634" s="79">
        <v>38.454700000000003</v>
      </c>
      <c r="AK634" s="79"/>
      <c r="AL634" s="79"/>
      <c r="AM634" s="79">
        <v>51.846420000000002</v>
      </c>
      <c r="AN634" s="79"/>
      <c r="AO634" s="79">
        <v>37.838500000000003</v>
      </c>
      <c r="AP634" s="79"/>
      <c r="AQ634" s="79"/>
      <c r="AR634" s="79"/>
      <c r="AS634" s="79"/>
      <c r="AT634" s="79"/>
      <c r="AU634" s="79"/>
      <c r="AV634" s="79"/>
      <c r="AW634" s="79"/>
      <c r="AX634" s="79"/>
      <c r="AY634" s="79"/>
    </row>
    <row r="635" spans="1:51" x14ac:dyDescent="0.2">
      <c r="A635" t="s">
        <v>1180</v>
      </c>
      <c r="B635" s="1">
        <v>26207</v>
      </c>
      <c r="C635" s="78">
        <v>635</v>
      </c>
      <c r="E635" s="1">
        <f t="shared" si="18"/>
        <v>26207</v>
      </c>
      <c r="F635" s="2">
        <f t="shared" si="19"/>
        <v>26207</v>
      </c>
      <c r="G635" s="78">
        <v>633</v>
      </c>
      <c r="H635" s="79"/>
      <c r="I635" s="79"/>
      <c r="J635" s="79">
        <v>43.937730000000002</v>
      </c>
      <c r="K635" s="79">
        <v>43.228830000000002</v>
      </c>
      <c r="L635" s="79"/>
      <c r="M635" s="79"/>
      <c r="N635" s="79">
        <v>50.731819999999999</v>
      </c>
      <c r="O635" s="79"/>
      <c r="P635" s="79">
        <v>55.063960000000002</v>
      </c>
      <c r="Q635" s="79"/>
      <c r="R635" s="79">
        <v>34.669240000000002</v>
      </c>
      <c r="S635" s="79">
        <v>65.344380000000001</v>
      </c>
      <c r="T635" s="79">
        <v>71.094790000000003</v>
      </c>
      <c r="U635" s="79">
        <v>66.72869</v>
      </c>
      <c r="V635" s="79"/>
      <c r="W635" s="79"/>
      <c r="X635" s="79"/>
      <c r="Y635" s="79"/>
      <c r="Z635" s="79">
        <v>70.208600000000004</v>
      </c>
      <c r="AA635" s="79">
        <v>48.794800000000002</v>
      </c>
      <c r="AB635" s="79"/>
      <c r="AC635" s="79">
        <v>51.002949999999998</v>
      </c>
      <c r="AD635" s="79"/>
      <c r="AE635" s="79"/>
      <c r="AF635" s="79">
        <v>54.102699999999999</v>
      </c>
      <c r="AG635" s="79">
        <v>37.81288</v>
      </c>
      <c r="AH635" s="79"/>
      <c r="AI635" s="79"/>
      <c r="AJ635" s="79">
        <v>42.666980000000002</v>
      </c>
      <c r="AK635" s="79"/>
      <c r="AL635" s="79"/>
      <c r="AM635" s="79">
        <v>53.210799999999999</v>
      </c>
      <c r="AN635" s="79"/>
      <c r="AO635" s="79">
        <v>38.121760000000002</v>
      </c>
      <c r="AP635" s="79"/>
      <c r="AQ635" s="79"/>
      <c r="AR635" s="79"/>
      <c r="AS635" s="79"/>
      <c r="AT635" s="79"/>
      <c r="AU635" s="79"/>
      <c r="AV635" s="79"/>
      <c r="AW635" s="79"/>
      <c r="AX635" s="79"/>
      <c r="AY635" s="79"/>
    </row>
    <row r="636" spans="1:51" x14ac:dyDescent="0.2">
      <c r="A636" t="s">
        <v>1181</v>
      </c>
      <c r="B636" s="1">
        <v>26238</v>
      </c>
      <c r="C636" s="78">
        <v>636</v>
      </c>
      <c r="E636" s="1">
        <f t="shared" si="18"/>
        <v>26238</v>
      </c>
      <c r="F636" s="2">
        <f t="shared" si="19"/>
        <v>26238</v>
      </c>
      <c r="G636" s="78">
        <v>634</v>
      </c>
      <c r="H636" s="79"/>
      <c r="I636" s="79"/>
      <c r="J636" s="79">
        <v>44.118209999999998</v>
      </c>
      <c r="K636" s="79">
        <v>42.94406</v>
      </c>
      <c r="L636" s="79"/>
      <c r="M636" s="79"/>
      <c r="N636" s="79">
        <v>49.991210000000002</v>
      </c>
      <c r="O636" s="79"/>
      <c r="P636" s="79">
        <v>56.174570000000003</v>
      </c>
      <c r="Q636" s="79"/>
      <c r="R636" s="79">
        <v>34.095599999999997</v>
      </c>
      <c r="S636" s="79">
        <v>66.077209999999994</v>
      </c>
      <c r="T636" s="79">
        <v>70.899469999999994</v>
      </c>
      <c r="U636" s="79">
        <v>68.2667</v>
      </c>
      <c r="V636" s="79"/>
      <c r="W636" s="79"/>
      <c r="X636" s="79"/>
      <c r="Y636" s="79"/>
      <c r="Z636" s="79">
        <v>69.532589999999999</v>
      </c>
      <c r="AA636" s="79">
        <v>49.383710000000001</v>
      </c>
      <c r="AB636" s="79"/>
      <c r="AC636" s="79">
        <v>49.974589999999999</v>
      </c>
      <c r="AD636" s="79"/>
      <c r="AE636" s="79"/>
      <c r="AF636" s="79">
        <v>53.601739999999999</v>
      </c>
      <c r="AG636" s="79">
        <v>37.598039999999997</v>
      </c>
      <c r="AH636" s="79"/>
      <c r="AI636" s="79"/>
      <c r="AJ636" s="79">
        <v>47.618639999999999</v>
      </c>
      <c r="AK636" s="79"/>
      <c r="AL636" s="79"/>
      <c r="AM636" s="79">
        <v>52.301209999999998</v>
      </c>
      <c r="AN636" s="79"/>
      <c r="AO636" s="79">
        <v>38.2836</v>
      </c>
      <c r="AP636" s="79"/>
      <c r="AQ636" s="79"/>
      <c r="AR636" s="79"/>
      <c r="AS636" s="79"/>
      <c r="AT636" s="79"/>
      <c r="AU636" s="79"/>
      <c r="AV636" s="79"/>
      <c r="AW636" s="79"/>
      <c r="AX636" s="79"/>
      <c r="AY636" s="79"/>
    </row>
    <row r="637" spans="1:51" x14ac:dyDescent="0.2">
      <c r="A637" t="s">
        <v>1182</v>
      </c>
      <c r="B637" s="1">
        <v>26268</v>
      </c>
      <c r="C637" s="78">
        <v>637</v>
      </c>
      <c r="E637" s="1">
        <f t="shared" si="18"/>
        <v>26268</v>
      </c>
      <c r="F637" s="2">
        <f t="shared" si="19"/>
        <v>26268</v>
      </c>
      <c r="G637" s="78">
        <v>635</v>
      </c>
      <c r="H637" s="79"/>
      <c r="I637" s="79"/>
      <c r="J637" s="79">
        <v>42.732309999999998</v>
      </c>
      <c r="K637" s="79">
        <v>43.548839999999998</v>
      </c>
      <c r="L637" s="79"/>
      <c r="M637" s="79"/>
      <c r="N637" s="79">
        <v>49.127160000000003</v>
      </c>
      <c r="O637" s="79"/>
      <c r="P637" s="79">
        <v>57.514749999999999</v>
      </c>
      <c r="Q637" s="79"/>
      <c r="R637" s="79">
        <v>33.909820000000003</v>
      </c>
      <c r="S637" s="79">
        <v>66.016139999999993</v>
      </c>
      <c r="T637" s="79">
        <v>71.38776</v>
      </c>
      <c r="U637" s="79">
        <v>68.720619999999997</v>
      </c>
      <c r="V637" s="79"/>
      <c r="W637" s="79"/>
      <c r="X637" s="79"/>
      <c r="Y637" s="79"/>
      <c r="Z637" s="79">
        <v>70.208600000000004</v>
      </c>
      <c r="AA637" s="79">
        <v>49.047190000000001</v>
      </c>
      <c r="AB637" s="79"/>
      <c r="AC637" s="79">
        <v>49.407159999999998</v>
      </c>
      <c r="AD637" s="79"/>
      <c r="AE637" s="79"/>
      <c r="AF637" s="79">
        <v>52.59984</v>
      </c>
      <c r="AG637" s="79">
        <v>38.586329999999997</v>
      </c>
      <c r="AH637" s="79"/>
      <c r="AI637" s="79"/>
      <c r="AJ637" s="79">
        <v>41.162219999999998</v>
      </c>
      <c r="AK637" s="79"/>
      <c r="AL637" s="79"/>
      <c r="AM637" s="79">
        <v>52.301209999999998</v>
      </c>
      <c r="AN637" s="79"/>
      <c r="AO637" s="79">
        <v>38.725540000000002</v>
      </c>
      <c r="AP637" s="79"/>
      <c r="AQ637" s="79"/>
      <c r="AR637" s="79"/>
      <c r="AS637" s="79"/>
      <c r="AT637" s="79"/>
      <c r="AU637" s="79"/>
      <c r="AV637" s="79"/>
      <c r="AW637" s="79"/>
      <c r="AX637" s="79"/>
      <c r="AY637" s="79"/>
    </row>
    <row r="638" spans="1:51" x14ac:dyDescent="0.2">
      <c r="A638" t="s">
        <v>1183</v>
      </c>
      <c r="B638" s="1">
        <v>26299</v>
      </c>
      <c r="C638" s="78">
        <v>638</v>
      </c>
      <c r="E638" s="1">
        <f t="shared" si="18"/>
        <v>26299</v>
      </c>
      <c r="F638" s="2">
        <f t="shared" si="19"/>
        <v>26299</v>
      </c>
      <c r="G638" s="78">
        <v>636</v>
      </c>
      <c r="H638" s="79"/>
      <c r="I638" s="79"/>
      <c r="J638" s="79">
        <v>44.548279999999998</v>
      </c>
      <c r="K638" s="79">
        <v>43.811990000000002</v>
      </c>
      <c r="L638" s="79"/>
      <c r="M638" s="79"/>
      <c r="N638" s="79">
        <v>51.040410000000001</v>
      </c>
      <c r="O638" s="79"/>
      <c r="P638" s="79">
        <v>58.723210000000002</v>
      </c>
      <c r="Q638" s="79"/>
      <c r="R638" s="79">
        <v>35.823030000000003</v>
      </c>
      <c r="S638" s="79">
        <v>66.626829999999998</v>
      </c>
      <c r="T638" s="79">
        <v>69.336939999999998</v>
      </c>
      <c r="U638" s="79">
        <v>69.253330000000005</v>
      </c>
      <c r="V638" s="79"/>
      <c r="W638" s="79"/>
      <c r="X638" s="79"/>
      <c r="Y638" s="79"/>
      <c r="Z638" s="79">
        <v>70.015450000000001</v>
      </c>
      <c r="AA638" s="79">
        <v>49.383710000000001</v>
      </c>
      <c r="AB638" s="79"/>
      <c r="AC638" s="79">
        <v>50.242159999999998</v>
      </c>
      <c r="AD638" s="79"/>
      <c r="AE638" s="79"/>
      <c r="AF638" s="79">
        <v>53.601739999999999</v>
      </c>
      <c r="AG638" s="79">
        <v>36.824590000000001</v>
      </c>
      <c r="AH638" s="79"/>
      <c r="AI638" s="79"/>
      <c r="AJ638" s="79">
        <v>41.707230000000003</v>
      </c>
      <c r="AK638" s="79"/>
      <c r="AL638" s="79"/>
      <c r="AM638" s="79">
        <v>51.846420000000002</v>
      </c>
      <c r="AN638" s="79"/>
      <c r="AO638" s="79">
        <v>39.657139999999998</v>
      </c>
      <c r="AP638" s="79"/>
      <c r="AQ638" s="79"/>
      <c r="AR638" s="79"/>
      <c r="AS638" s="79"/>
      <c r="AT638" s="79"/>
      <c r="AU638" s="79"/>
      <c r="AV638" s="79"/>
      <c r="AW638" s="79"/>
      <c r="AX638" s="79"/>
      <c r="AY638" s="79"/>
    </row>
    <row r="639" spans="1:51" x14ac:dyDescent="0.2">
      <c r="A639" t="s">
        <v>1184</v>
      </c>
      <c r="B639" s="1">
        <v>26330</v>
      </c>
      <c r="C639" s="78">
        <v>639</v>
      </c>
      <c r="E639" s="1">
        <f t="shared" si="18"/>
        <v>26330</v>
      </c>
      <c r="F639" s="2">
        <f t="shared" si="19"/>
        <v>26330</v>
      </c>
      <c r="G639" s="78">
        <v>637</v>
      </c>
      <c r="H639" s="79"/>
      <c r="I639" s="79"/>
      <c r="J639" s="79">
        <v>44.06662</v>
      </c>
      <c r="K639" s="79">
        <v>43.271590000000003</v>
      </c>
      <c r="L639" s="79"/>
      <c r="M639" s="79"/>
      <c r="N639" s="79">
        <v>51.410710000000002</v>
      </c>
      <c r="O639" s="79"/>
      <c r="P639" s="79">
        <v>59.999369999999999</v>
      </c>
      <c r="Q639" s="79"/>
      <c r="R639" s="79">
        <v>35.536209999999997</v>
      </c>
      <c r="S639" s="79">
        <v>65.955070000000006</v>
      </c>
      <c r="T639" s="79">
        <v>63.868119999999998</v>
      </c>
      <c r="U639" s="79">
        <v>68.944159999999997</v>
      </c>
      <c r="V639" s="79"/>
      <c r="W639" s="79"/>
      <c r="X639" s="79"/>
      <c r="Y639" s="79"/>
      <c r="Z639" s="79">
        <v>67.118260000000006</v>
      </c>
      <c r="AA639" s="79">
        <v>49.888480000000001</v>
      </c>
      <c r="AB639" s="79"/>
      <c r="AC639" s="79">
        <v>48.2819</v>
      </c>
      <c r="AD639" s="79"/>
      <c r="AE639" s="79"/>
      <c r="AF639" s="79">
        <v>53.601739999999999</v>
      </c>
      <c r="AG639" s="79">
        <v>36.351930000000003</v>
      </c>
      <c r="AH639" s="79"/>
      <c r="AI639" s="79"/>
      <c r="AJ639" s="79">
        <v>42.81644</v>
      </c>
      <c r="AK639" s="79"/>
      <c r="AL639" s="79"/>
      <c r="AM639" s="79">
        <v>52.756</v>
      </c>
      <c r="AN639" s="79"/>
      <c r="AO639" s="79">
        <v>40.040280000000003</v>
      </c>
      <c r="AP639" s="79"/>
      <c r="AQ639" s="79"/>
      <c r="AR639" s="79"/>
      <c r="AS639" s="79"/>
      <c r="AT639" s="79"/>
      <c r="AU639" s="79"/>
      <c r="AV639" s="79"/>
      <c r="AW639" s="79"/>
      <c r="AX639" s="79"/>
      <c r="AY639" s="79"/>
    </row>
    <row r="640" spans="1:51" x14ac:dyDescent="0.2">
      <c r="A640" t="s">
        <v>1185</v>
      </c>
      <c r="B640" s="1">
        <v>26359</v>
      </c>
      <c r="C640" s="78">
        <v>640</v>
      </c>
      <c r="E640" s="1">
        <f t="shared" si="18"/>
        <v>26359</v>
      </c>
      <c r="F640" s="2">
        <f t="shared" si="19"/>
        <v>26359</v>
      </c>
      <c r="G640" s="78">
        <v>638</v>
      </c>
      <c r="H640" s="79"/>
      <c r="I640" s="79"/>
      <c r="J640" s="79">
        <v>44.919730000000001</v>
      </c>
      <c r="K640" s="79">
        <v>43.773449999999997</v>
      </c>
      <c r="L640" s="79"/>
      <c r="M640" s="79"/>
      <c r="N640" s="79">
        <v>51.966169999999998</v>
      </c>
      <c r="O640" s="79"/>
      <c r="P640" s="79">
        <v>60.868769999999998</v>
      </c>
      <c r="Q640" s="79"/>
      <c r="R640" s="79">
        <v>36.282589999999999</v>
      </c>
      <c r="S640" s="79">
        <v>67.115390000000005</v>
      </c>
      <c r="T640" s="79">
        <v>70.118210000000005</v>
      </c>
      <c r="U640" s="79">
        <v>70.433859999999996</v>
      </c>
      <c r="V640" s="79"/>
      <c r="W640" s="79"/>
      <c r="X640" s="79"/>
      <c r="Y640" s="79"/>
      <c r="Z640" s="79">
        <v>66.538820000000001</v>
      </c>
      <c r="AA640" s="79">
        <v>50.898029999999999</v>
      </c>
      <c r="AB640" s="79"/>
      <c r="AC640" s="79">
        <v>50.520820000000001</v>
      </c>
      <c r="AD640" s="79"/>
      <c r="AE640" s="79"/>
      <c r="AF640" s="79">
        <v>54.603650000000002</v>
      </c>
      <c r="AG640" s="79">
        <v>33.430030000000002</v>
      </c>
      <c r="AH640" s="79"/>
      <c r="AI640" s="79"/>
      <c r="AJ640" s="79">
        <v>44.238280000000003</v>
      </c>
      <c r="AK640" s="79"/>
      <c r="AL640" s="79"/>
      <c r="AM640" s="79">
        <v>53.210799999999999</v>
      </c>
      <c r="AN640" s="79"/>
      <c r="AO640" s="79">
        <v>40.317010000000003</v>
      </c>
      <c r="AP640" s="79"/>
      <c r="AQ640" s="79"/>
      <c r="AR640" s="79"/>
      <c r="AS640" s="79"/>
      <c r="AT640" s="79"/>
      <c r="AU640" s="79"/>
      <c r="AV640" s="79"/>
      <c r="AW640" s="79"/>
      <c r="AX640" s="79"/>
      <c r="AY640" s="79"/>
    </row>
    <row r="641" spans="1:51" x14ac:dyDescent="0.2">
      <c r="A641" t="s">
        <v>1186</v>
      </c>
      <c r="B641" s="1">
        <v>26390</v>
      </c>
      <c r="C641" s="78">
        <v>641</v>
      </c>
      <c r="E641" s="1">
        <f t="shared" si="18"/>
        <v>26390</v>
      </c>
      <c r="F641" s="2">
        <f t="shared" si="19"/>
        <v>26390</v>
      </c>
      <c r="G641" s="78">
        <v>639</v>
      </c>
      <c r="H641" s="79"/>
      <c r="I641" s="79"/>
      <c r="J641" s="79">
        <v>45.615450000000003</v>
      </c>
      <c r="K641" s="79">
        <v>44.910629999999998</v>
      </c>
      <c r="L641" s="79"/>
      <c r="M641" s="79"/>
      <c r="N641" s="79">
        <v>51.966169999999998</v>
      </c>
      <c r="O641" s="79"/>
      <c r="P641" s="79">
        <v>61.155259999999998</v>
      </c>
      <c r="Q641" s="79"/>
      <c r="R641" s="79">
        <v>36.272820000000003</v>
      </c>
      <c r="S641" s="79">
        <v>67.542879999999997</v>
      </c>
      <c r="T641" s="79">
        <v>71.778390000000002</v>
      </c>
      <c r="U641" s="79">
        <v>71.381280000000004</v>
      </c>
      <c r="V641" s="79"/>
      <c r="W641" s="79"/>
      <c r="X641" s="79"/>
      <c r="Y641" s="79"/>
      <c r="Z641" s="79">
        <v>71.75376</v>
      </c>
      <c r="AA641" s="79">
        <v>50.561509999999998</v>
      </c>
      <c r="AB641" s="79"/>
      <c r="AC641" s="79">
        <v>51.96</v>
      </c>
      <c r="AD641" s="79"/>
      <c r="AE641" s="79"/>
      <c r="AF641" s="79">
        <v>56.106499999999997</v>
      </c>
      <c r="AG641" s="79">
        <v>40.562910000000002</v>
      </c>
      <c r="AH641" s="79"/>
      <c r="AI641" s="79"/>
      <c r="AJ641" s="79">
        <v>44.10107</v>
      </c>
      <c r="AK641" s="79"/>
      <c r="AL641" s="79"/>
      <c r="AM641" s="79">
        <v>53.210799999999999</v>
      </c>
      <c r="AN641" s="79"/>
      <c r="AO641" s="79">
        <v>40.743180000000002</v>
      </c>
      <c r="AP641" s="79"/>
      <c r="AQ641" s="79"/>
      <c r="AR641" s="79"/>
      <c r="AS641" s="79"/>
      <c r="AT641" s="79"/>
      <c r="AU641" s="79"/>
      <c r="AV641" s="79"/>
      <c r="AW641" s="79"/>
      <c r="AX641" s="79"/>
      <c r="AY641" s="79"/>
    </row>
    <row r="642" spans="1:51" x14ac:dyDescent="0.2">
      <c r="A642" t="s">
        <v>1187</v>
      </c>
      <c r="B642" s="1">
        <v>26420</v>
      </c>
      <c r="C642" s="78">
        <v>642</v>
      </c>
      <c r="E642" s="1">
        <f t="shared" ref="E642:E705" si="20">B642</f>
        <v>26420</v>
      </c>
      <c r="F642" s="2">
        <f t="shared" ref="F642:F705" si="21">B642</f>
        <v>26420</v>
      </c>
      <c r="G642" s="78">
        <v>640</v>
      </c>
      <c r="H642" s="79"/>
      <c r="I642" s="79"/>
      <c r="J642" s="79">
        <v>45.927570000000003</v>
      </c>
      <c r="K642" s="79">
        <v>44.591090000000001</v>
      </c>
      <c r="L642" s="79"/>
      <c r="M642" s="79"/>
      <c r="N642" s="79">
        <v>51.657589999999999</v>
      </c>
      <c r="O642" s="79"/>
      <c r="P642" s="79">
        <v>62.007550000000002</v>
      </c>
      <c r="Q642" s="79"/>
      <c r="R642" s="79">
        <v>37.165860000000002</v>
      </c>
      <c r="S642" s="79">
        <v>68.214640000000003</v>
      </c>
      <c r="T642" s="79">
        <v>73.243260000000006</v>
      </c>
      <c r="U642" s="79">
        <v>72.702870000000004</v>
      </c>
      <c r="V642" s="79"/>
      <c r="W642" s="79"/>
      <c r="X642" s="79"/>
      <c r="Y642" s="79"/>
      <c r="Z642" s="79">
        <v>70.594890000000007</v>
      </c>
      <c r="AA642" s="79">
        <v>51.318669999999997</v>
      </c>
      <c r="AB642" s="79"/>
      <c r="AC642" s="79">
        <v>51.639330000000001</v>
      </c>
      <c r="AD642" s="79"/>
      <c r="AE642" s="79"/>
      <c r="AF642" s="79">
        <v>55.104599999999998</v>
      </c>
      <c r="AG642" s="79">
        <v>36.523809999999997</v>
      </c>
      <c r="AH642" s="79"/>
      <c r="AI642" s="79"/>
      <c r="AJ642" s="79">
        <v>44.049239999999998</v>
      </c>
      <c r="AK642" s="79"/>
      <c r="AL642" s="79"/>
      <c r="AM642" s="79">
        <v>52.756</v>
      </c>
      <c r="AN642" s="79"/>
      <c r="AO642" s="79">
        <v>40.722050000000003</v>
      </c>
      <c r="AP642" s="79"/>
      <c r="AQ642" s="79"/>
      <c r="AR642" s="79"/>
      <c r="AS642" s="79"/>
      <c r="AT642" s="79"/>
      <c r="AU642" s="79"/>
      <c r="AV642" s="79"/>
      <c r="AW642" s="79"/>
      <c r="AX642" s="79"/>
      <c r="AY642" s="79"/>
    </row>
    <row r="643" spans="1:51" x14ac:dyDescent="0.2">
      <c r="A643" t="s">
        <v>1188</v>
      </c>
      <c r="B643" s="1">
        <v>26451</v>
      </c>
      <c r="C643" s="78">
        <v>643</v>
      </c>
      <c r="E643" s="1">
        <f t="shared" si="20"/>
        <v>26451</v>
      </c>
      <c r="F643" s="2">
        <f t="shared" si="21"/>
        <v>26451</v>
      </c>
      <c r="G643" s="78">
        <v>641</v>
      </c>
      <c r="H643" s="79"/>
      <c r="I643" s="79"/>
      <c r="J643" s="79">
        <v>46.121310000000001</v>
      </c>
      <c r="K643" s="79">
        <v>45.044089999999997</v>
      </c>
      <c r="L643" s="79"/>
      <c r="M643" s="79"/>
      <c r="N643" s="79">
        <v>51.966169999999998</v>
      </c>
      <c r="O643" s="79"/>
      <c r="P643" s="79">
        <v>63.676369999999999</v>
      </c>
      <c r="Q643" s="79"/>
      <c r="R643" s="79">
        <v>37.133270000000003</v>
      </c>
      <c r="S643" s="79">
        <v>67.665019999999998</v>
      </c>
      <c r="T643" s="79">
        <v>73.633889999999994</v>
      </c>
      <c r="U643" s="79">
        <v>72.821700000000007</v>
      </c>
      <c r="V643" s="79"/>
      <c r="W643" s="79"/>
      <c r="X643" s="79"/>
      <c r="Y643" s="79"/>
      <c r="Z643" s="79">
        <v>71.56062</v>
      </c>
      <c r="AA643" s="79">
        <v>51.571060000000003</v>
      </c>
      <c r="AB643" s="79"/>
      <c r="AC643" s="79">
        <v>52.015509999999999</v>
      </c>
      <c r="AD643" s="79"/>
      <c r="AE643" s="79"/>
      <c r="AF643" s="79">
        <v>55.605550000000001</v>
      </c>
      <c r="AG643" s="79">
        <v>37.598039999999997</v>
      </c>
      <c r="AH643" s="79"/>
      <c r="AI643" s="79"/>
      <c r="AJ643" s="79">
        <v>44.076549999999997</v>
      </c>
      <c r="AK643" s="79"/>
      <c r="AL643" s="79"/>
      <c r="AM643" s="79">
        <v>53.210799999999999</v>
      </c>
      <c r="AN643" s="79"/>
      <c r="AO643" s="79">
        <v>40.837600000000002</v>
      </c>
      <c r="AP643" s="79"/>
      <c r="AQ643" s="79"/>
      <c r="AR643" s="79"/>
      <c r="AS643" s="79"/>
      <c r="AT643" s="79"/>
      <c r="AU643" s="79"/>
      <c r="AV643" s="79"/>
      <c r="AW643" s="79"/>
      <c r="AX643" s="79"/>
      <c r="AY643" s="79"/>
    </row>
    <row r="644" spans="1:51" x14ac:dyDescent="0.2">
      <c r="A644" t="s">
        <v>1189</v>
      </c>
      <c r="B644" s="1">
        <v>26481</v>
      </c>
      <c r="C644" s="78">
        <v>644</v>
      </c>
      <c r="E644" s="1">
        <f t="shared" si="20"/>
        <v>26481</v>
      </c>
      <c r="F644" s="2">
        <f t="shared" si="21"/>
        <v>26481</v>
      </c>
      <c r="G644" s="78">
        <v>642</v>
      </c>
      <c r="H644" s="79"/>
      <c r="I644" s="79"/>
      <c r="J644" s="79">
        <v>45.549169999999997</v>
      </c>
      <c r="K644" s="79">
        <v>45.24427</v>
      </c>
      <c r="L644" s="79"/>
      <c r="M644" s="79"/>
      <c r="N644" s="79">
        <v>52.213039999999999</v>
      </c>
      <c r="O644" s="79"/>
      <c r="P644" s="79">
        <v>63.080440000000003</v>
      </c>
      <c r="Q644" s="79"/>
      <c r="R644" s="79">
        <v>37.084380000000003</v>
      </c>
      <c r="S644" s="79">
        <v>68.581050000000005</v>
      </c>
      <c r="T644" s="79">
        <v>72.75497</v>
      </c>
      <c r="U644" s="79">
        <v>73.377880000000005</v>
      </c>
      <c r="V644" s="79"/>
      <c r="W644" s="79"/>
      <c r="X644" s="79"/>
      <c r="Y644" s="79"/>
      <c r="Z644" s="79">
        <v>70.498310000000004</v>
      </c>
      <c r="AA644" s="79">
        <v>51.486930000000001</v>
      </c>
      <c r="AB644" s="79"/>
      <c r="AC644" s="79">
        <v>52.363250000000001</v>
      </c>
      <c r="AD644" s="79"/>
      <c r="AE644" s="79"/>
      <c r="AF644" s="79">
        <v>55.104599999999998</v>
      </c>
      <c r="AG644" s="79">
        <v>37.340220000000002</v>
      </c>
      <c r="AH644" s="79"/>
      <c r="AI644" s="79"/>
      <c r="AJ644" s="79">
        <v>46.049680000000002</v>
      </c>
      <c r="AK644" s="79"/>
      <c r="AL644" s="79"/>
      <c r="AM644" s="79">
        <v>52.301209999999998</v>
      </c>
      <c r="AN644" s="79"/>
      <c r="AO644" s="79">
        <v>40.81973</v>
      </c>
      <c r="AP644" s="79"/>
      <c r="AQ644" s="79"/>
      <c r="AR644" s="79"/>
      <c r="AS644" s="79"/>
      <c r="AT644" s="79"/>
      <c r="AU644" s="79"/>
      <c r="AV644" s="79"/>
      <c r="AW644" s="79"/>
      <c r="AX644" s="79"/>
      <c r="AY644" s="79"/>
    </row>
    <row r="645" spans="1:51" x14ac:dyDescent="0.2">
      <c r="A645" t="s">
        <v>1190</v>
      </c>
      <c r="B645" s="1">
        <v>26512</v>
      </c>
      <c r="C645" s="78">
        <v>645</v>
      </c>
      <c r="E645" s="1">
        <f t="shared" si="20"/>
        <v>26512</v>
      </c>
      <c r="F645" s="2">
        <f t="shared" si="21"/>
        <v>26512</v>
      </c>
      <c r="G645" s="78">
        <v>643</v>
      </c>
      <c r="H645" s="79"/>
      <c r="I645" s="79"/>
      <c r="J645" s="79">
        <v>46.142859999999999</v>
      </c>
      <c r="K645" s="79">
        <v>45.327440000000003</v>
      </c>
      <c r="L645" s="79"/>
      <c r="M645" s="79"/>
      <c r="N645" s="79">
        <v>51.966169999999998</v>
      </c>
      <c r="O645" s="79"/>
      <c r="P645" s="79">
        <v>64.167630000000003</v>
      </c>
      <c r="Q645" s="79"/>
      <c r="R645" s="79">
        <v>36.285850000000003</v>
      </c>
      <c r="S645" s="79">
        <v>68.581050000000005</v>
      </c>
      <c r="T645" s="79">
        <v>73.438569999999999</v>
      </c>
      <c r="U645" s="79">
        <v>71.387140000000002</v>
      </c>
      <c r="V645" s="79"/>
      <c r="W645" s="79"/>
      <c r="X645" s="79"/>
      <c r="Y645" s="79"/>
      <c r="Z645" s="79">
        <v>71.464039999999997</v>
      </c>
      <c r="AA645" s="79">
        <v>52.832990000000002</v>
      </c>
      <c r="AB645" s="79"/>
      <c r="AC645" s="79">
        <v>54.248660000000001</v>
      </c>
      <c r="AD645" s="79"/>
      <c r="AE645" s="79"/>
      <c r="AF645" s="79">
        <v>56.106499999999997</v>
      </c>
      <c r="AG645" s="79">
        <v>36.351930000000003</v>
      </c>
      <c r="AH645" s="79"/>
      <c r="AI645" s="79"/>
      <c r="AJ645" s="79">
        <v>50.217480000000002</v>
      </c>
      <c r="AK645" s="79"/>
      <c r="AL645" s="79"/>
      <c r="AM645" s="79">
        <v>55.93956</v>
      </c>
      <c r="AN645" s="79"/>
      <c r="AO645" s="79">
        <v>41.36233</v>
      </c>
      <c r="AP645" s="79"/>
      <c r="AQ645" s="79"/>
      <c r="AR645" s="79"/>
      <c r="AS645" s="79"/>
      <c r="AT645" s="79"/>
      <c r="AU645" s="79"/>
      <c r="AV645" s="79"/>
      <c r="AW645" s="79"/>
      <c r="AX645" s="79"/>
      <c r="AY645" s="79"/>
    </row>
    <row r="646" spans="1:51" x14ac:dyDescent="0.2">
      <c r="A646" t="s">
        <v>1191</v>
      </c>
      <c r="B646" s="1">
        <v>26543</v>
      </c>
      <c r="C646" s="78">
        <v>646</v>
      </c>
      <c r="E646" s="1">
        <f t="shared" si="20"/>
        <v>26543</v>
      </c>
      <c r="F646" s="2">
        <f t="shared" si="21"/>
        <v>26543</v>
      </c>
      <c r="G646" s="78">
        <v>644</v>
      </c>
      <c r="H646" s="79"/>
      <c r="I646" s="79"/>
      <c r="J646" s="79">
        <v>46.784979999999997</v>
      </c>
      <c r="K646" s="79">
        <v>46.446300000000001</v>
      </c>
      <c r="L646" s="79"/>
      <c r="M646" s="79"/>
      <c r="N646" s="79">
        <v>52.027889999999999</v>
      </c>
      <c r="O646" s="79"/>
      <c r="P646" s="79">
        <v>65.159409999999994</v>
      </c>
      <c r="Q646" s="79"/>
      <c r="R646" s="79">
        <v>37.29298</v>
      </c>
      <c r="S646" s="79">
        <v>69.741380000000007</v>
      </c>
      <c r="T646" s="79">
        <v>74.610460000000003</v>
      </c>
      <c r="U646" s="79">
        <v>75.823869999999999</v>
      </c>
      <c r="V646" s="79"/>
      <c r="W646" s="79"/>
      <c r="X646" s="79"/>
      <c r="Y646" s="79"/>
      <c r="Z646" s="79">
        <v>69.436009999999996</v>
      </c>
      <c r="AA646" s="79">
        <v>53.421889999999998</v>
      </c>
      <c r="AB646" s="79"/>
      <c r="AC646" s="79">
        <v>53.595889999999997</v>
      </c>
      <c r="AD646" s="79"/>
      <c r="AE646" s="79"/>
      <c r="AF646" s="79">
        <v>56.106499999999997</v>
      </c>
      <c r="AG646" s="79">
        <v>36.824590000000001</v>
      </c>
      <c r="AH646" s="79"/>
      <c r="AI646" s="79"/>
      <c r="AJ646" s="79">
        <v>49.232199999999999</v>
      </c>
      <c r="AK646" s="79"/>
      <c r="AL646" s="79"/>
      <c r="AM646" s="79">
        <v>56.394350000000003</v>
      </c>
      <c r="AN646" s="79"/>
      <c r="AO646" s="79">
        <v>41.678240000000002</v>
      </c>
      <c r="AP646" s="79"/>
      <c r="AQ646" s="79"/>
      <c r="AR646" s="79"/>
      <c r="AS646" s="79"/>
      <c r="AT646" s="79"/>
      <c r="AU646" s="79"/>
      <c r="AV646" s="79"/>
      <c r="AW646" s="79"/>
      <c r="AX646" s="79"/>
      <c r="AY646" s="79"/>
    </row>
    <row r="647" spans="1:51" x14ac:dyDescent="0.2">
      <c r="A647" t="s">
        <v>1192</v>
      </c>
      <c r="B647" s="1">
        <v>26573</v>
      </c>
      <c r="C647" s="78">
        <v>647</v>
      </c>
      <c r="E647" s="1">
        <f t="shared" si="20"/>
        <v>26573</v>
      </c>
      <c r="F647" s="2">
        <f t="shared" si="21"/>
        <v>26573</v>
      </c>
      <c r="G647" s="78">
        <v>645</v>
      </c>
      <c r="H647" s="79"/>
      <c r="I647" s="79"/>
      <c r="J647" s="79">
        <v>47.750109999999999</v>
      </c>
      <c r="K647" s="79">
        <v>47.322200000000002</v>
      </c>
      <c r="L647" s="79"/>
      <c r="M647" s="79"/>
      <c r="N647" s="79">
        <v>52.706780000000002</v>
      </c>
      <c r="O647" s="79"/>
      <c r="P647" s="79">
        <v>64.738979999999998</v>
      </c>
      <c r="Q647" s="79"/>
      <c r="R647" s="79">
        <v>38.446770000000001</v>
      </c>
      <c r="S647" s="79">
        <v>70.352069999999998</v>
      </c>
      <c r="T647" s="79">
        <v>75.489379999999997</v>
      </c>
      <c r="U647" s="79">
        <v>76.877110000000002</v>
      </c>
      <c r="V647" s="79"/>
      <c r="W647" s="79"/>
      <c r="X647" s="79"/>
      <c r="Y647" s="79"/>
      <c r="Z647" s="79">
        <v>73.685230000000004</v>
      </c>
      <c r="AA647" s="79">
        <v>54.010800000000003</v>
      </c>
      <c r="AB647" s="79"/>
      <c r="AC647" s="79">
        <v>54.846989999999998</v>
      </c>
      <c r="AD647" s="79"/>
      <c r="AE647" s="79"/>
      <c r="AF647" s="79">
        <v>56.106499999999997</v>
      </c>
      <c r="AG647" s="79">
        <v>36.73865</v>
      </c>
      <c r="AH647" s="79"/>
      <c r="AI647" s="79"/>
      <c r="AJ647" s="79">
        <v>46.029229999999998</v>
      </c>
      <c r="AK647" s="79"/>
      <c r="AL647" s="79"/>
      <c r="AM647" s="79">
        <v>55.029969999999999</v>
      </c>
      <c r="AN647" s="79"/>
      <c r="AO647" s="79">
        <v>42.235329999999998</v>
      </c>
      <c r="AP647" s="79"/>
      <c r="AQ647" s="79"/>
      <c r="AR647" s="79"/>
      <c r="AS647" s="79"/>
      <c r="AT647" s="79"/>
      <c r="AU647" s="79"/>
      <c r="AV647" s="79"/>
      <c r="AW647" s="79"/>
      <c r="AX647" s="79"/>
      <c r="AY647" s="79"/>
    </row>
    <row r="648" spans="1:51" x14ac:dyDescent="0.2">
      <c r="A648" t="s">
        <v>1193</v>
      </c>
      <c r="B648" s="1">
        <v>26604</v>
      </c>
      <c r="C648" s="78">
        <v>648</v>
      </c>
      <c r="E648" s="1">
        <f t="shared" si="20"/>
        <v>26604</v>
      </c>
      <c r="F648" s="2">
        <f t="shared" si="21"/>
        <v>26604</v>
      </c>
      <c r="G648" s="78">
        <v>646</v>
      </c>
      <c r="H648" s="79"/>
      <c r="I648" s="79"/>
      <c r="J648" s="79">
        <v>47.451479999999997</v>
      </c>
      <c r="K648" s="79">
        <v>47.900190000000002</v>
      </c>
      <c r="L648" s="79"/>
      <c r="M648" s="79"/>
      <c r="N648" s="79">
        <v>53.632550000000002</v>
      </c>
      <c r="O648" s="79"/>
      <c r="P648" s="79">
        <v>66.522300000000001</v>
      </c>
      <c r="Q648" s="79"/>
      <c r="R648" s="79">
        <v>38.244689999999999</v>
      </c>
      <c r="S648" s="79">
        <v>70.718490000000003</v>
      </c>
      <c r="T648" s="79">
        <v>76.172979999999995</v>
      </c>
      <c r="U648" s="79">
        <v>77.692019999999999</v>
      </c>
      <c r="V648" s="79"/>
      <c r="W648" s="79"/>
      <c r="X648" s="79"/>
      <c r="Y648" s="79"/>
      <c r="Z648" s="79">
        <v>70.788030000000006</v>
      </c>
      <c r="AA648" s="79">
        <v>55.020350000000001</v>
      </c>
      <c r="AB648" s="79"/>
      <c r="AC648" s="79">
        <v>53.087670000000003</v>
      </c>
      <c r="AD648" s="79"/>
      <c r="AE648" s="79"/>
      <c r="AF648" s="79">
        <v>56.60745</v>
      </c>
      <c r="AG648" s="79">
        <v>37.168340000000001</v>
      </c>
      <c r="AH648" s="79"/>
      <c r="AI648" s="79"/>
      <c r="AJ648" s="79">
        <v>46.968470000000003</v>
      </c>
      <c r="AK648" s="79"/>
      <c r="AL648" s="79"/>
      <c r="AM648" s="79">
        <v>55.029969999999999</v>
      </c>
      <c r="AN648" s="79"/>
      <c r="AO648" s="79">
        <v>42.73489</v>
      </c>
      <c r="AP648" s="79"/>
      <c r="AQ648" s="79"/>
      <c r="AR648" s="79"/>
      <c r="AS648" s="79"/>
      <c r="AT648" s="79"/>
      <c r="AU648" s="79"/>
      <c r="AV648" s="79"/>
      <c r="AW648" s="79"/>
      <c r="AX648" s="79"/>
      <c r="AY648" s="79"/>
    </row>
    <row r="649" spans="1:51" x14ac:dyDescent="0.2">
      <c r="A649" t="s">
        <v>1194</v>
      </c>
      <c r="B649" s="1">
        <v>26634</v>
      </c>
      <c r="C649" s="78">
        <v>649</v>
      </c>
      <c r="E649" s="1">
        <f t="shared" si="20"/>
        <v>26634</v>
      </c>
      <c r="F649" s="2">
        <f t="shared" si="21"/>
        <v>26634</v>
      </c>
      <c r="G649" s="78">
        <v>647</v>
      </c>
      <c r="H649" s="79"/>
      <c r="I649" s="79"/>
      <c r="J649" s="79">
        <v>49.326270000000001</v>
      </c>
      <c r="K649" s="79">
        <v>48.152529999999999</v>
      </c>
      <c r="L649" s="79"/>
      <c r="M649" s="79"/>
      <c r="N649" s="79">
        <v>54.311439999999997</v>
      </c>
      <c r="O649" s="79"/>
      <c r="P649" s="79">
        <v>67.370990000000006</v>
      </c>
      <c r="Q649" s="79"/>
      <c r="R649" s="79">
        <v>39.40175</v>
      </c>
      <c r="S649" s="79">
        <v>72.123090000000005</v>
      </c>
      <c r="T649" s="79">
        <v>76.758930000000007</v>
      </c>
      <c r="U649" s="79">
        <v>82.456670000000003</v>
      </c>
      <c r="V649" s="79"/>
      <c r="W649" s="79"/>
      <c r="X649" s="79"/>
      <c r="Y649" s="79"/>
      <c r="Z649" s="79">
        <v>80.348759999999999</v>
      </c>
      <c r="AA649" s="79">
        <v>56.366410000000002</v>
      </c>
      <c r="AB649" s="79"/>
      <c r="AC649" s="79">
        <v>56.27646</v>
      </c>
      <c r="AD649" s="79"/>
      <c r="AE649" s="79"/>
      <c r="AF649" s="79">
        <v>58.611249999999998</v>
      </c>
      <c r="AG649" s="79">
        <v>38.715229999999998</v>
      </c>
      <c r="AH649" s="79"/>
      <c r="AI649" s="79"/>
      <c r="AJ649" s="79">
        <v>46.352960000000003</v>
      </c>
      <c r="AK649" s="79"/>
      <c r="AL649" s="79"/>
      <c r="AM649" s="79">
        <v>56.394350000000003</v>
      </c>
      <c r="AN649" s="79"/>
      <c r="AO649" s="79">
        <v>43.22437</v>
      </c>
      <c r="AP649" s="79"/>
      <c r="AQ649" s="79"/>
      <c r="AR649" s="79"/>
      <c r="AS649" s="79"/>
      <c r="AT649" s="79"/>
      <c r="AU649" s="79"/>
      <c r="AV649" s="79"/>
      <c r="AW649" s="79"/>
      <c r="AX649" s="79"/>
      <c r="AY649" s="79"/>
    </row>
    <row r="650" spans="1:51" x14ac:dyDescent="0.2">
      <c r="A650" t="s">
        <v>1195</v>
      </c>
      <c r="B650" s="1">
        <v>26665</v>
      </c>
      <c r="C650" s="78">
        <v>650</v>
      </c>
      <c r="E650" s="1">
        <f t="shared" si="20"/>
        <v>26665</v>
      </c>
      <c r="F650" s="2">
        <f t="shared" si="21"/>
        <v>26665</v>
      </c>
      <c r="G650" s="78">
        <v>648</v>
      </c>
      <c r="H650" s="79"/>
      <c r="I650" s="79"/>
      <c r="J650" s="79">
        <v>47.889830000000003</v>
      </c>
      <c r="K650" s="79">
        <v>48.573569999999997</v>
      </c>
      <c r="L650" s="79"/>
      <c r="M650" s="79"/>
      <c r="N650" s="79">
        <v>54.80518</v>
      </c>
      <c r="O650" s="79"/>
      <c r="P650" s="79">
        <v>68.979759999999999</v>
      </c>
      <c r="Q650" s="79"/>
      <c r="R650" s="79">
        <v>38.238169999999997</v>
      </c>
      <c r="S650" s="79">
        <v>71.634540000000001</v>
      </c>
      <c r="T650" s="79">
        <v>79.00506</v>
      </c>
      <c r="U650" s="79">
        <v>79.496650000000002</v>
      </c>
      <c r="V650" s="79"/>
      <c r="W650" s="79"/>
      <c r="X650" s="79"/>
      <c r="Y650" s="79"/>
      <c r="Z650" s="79">
        <v>68.470280000000002</v>
      </c>
      <c r="AA650" s="79">
        <v>57.796599999999998</v>
      </c>
      <c r="AB650" s="79"/>
      <c r="AC650" s="79">
        <v>55.386339999999997</v>
      </c>
      <c r="AD650" s="79"/>
      <c r="AE650" s="79"/>
      <c r="AF650" s="79">
        <v>58.611249999999998</v>
      </c>
      <c r="AG650" s="79">
        <v>37.383189999999999</v>
      </c>
      <c r="AH650" s="79"/>
      <c r="AI650" s="79"/>
      <c r="AJ650" s="79">
        <v>48.659880000000001</v>
      </c>
      <c r="AK650" s="79"/>
      <c r="AL650" s="79"/>
      <c r="AM650" s="79">
        <v>56.657670000000003</v>
      </c>
      <c r="AN650" s="79"/>
      <c r="AO650" s="79">
        <v>43.505510000000001</v>
      </c>
      <c r="AP650" s="79"/>
      <c r="AQ650" s="79"/>
      <c r="AR650" s="79"/>
      <c r="AS650" s="79"/>
      <c r="AT650" s="79"/>
      <c r="AU650" s="79"/>
      <c r="AV650" s="79"/>
      <c r="AW650" s="79"/>
      <c r="AX650" s="79"/>
      <c r="AY650" s="79"/>
    </row>
    <row r="651" spans="1:51" x14ac:dyDescent="0.2">
      <c r="A651" t="s">
        <v>1196</v>
      </c>
      <c r="B651" s="1">
        <v>26696</v>
      </c>
      <c r="C651" s="78">
        <v>651</v>
      </c>
      <c r="E651" s="1">
        <f t="shared" si="20"/>
        <v>26696</v>
      </c>
      <c r="F651" s="2">
        <f t="shared" si="21"/>
        <v>26696</v>
      </c>
      <c r="G651" s="78">
        <v>649</v>
      </c>
      <c r="H651" s="79"/>
      <c r="I651" s="79"/>
      <c r="J651" s="79">
        <v>48.406269999999999</v>
      </c>
      <c r="K651" s="79">
        <v>50.015250000000002</v>
      </c>
      <c r="L651" s="79"/>
      <c r="M651" s="79"/>
      <c r="N651" s="79">
        <v>55.298920000000003</v>
      </c>
      <c r="O651" s="79"/>
      <c r="P651" s="79">
        <v>67.076099999999997</v>
      </c>
      <c r="Q651" s="79"/>
      <c r="R651" s="79">
        <v>39.23227</v>
      </c>
      <c r="S651" s="79">
        <v>72.367369999999994</v>
      </c>
      <c r="T651" s="79">
        <v>78.321460000000002</v>
      </c>
      <c r="U651" s="79">
        <v>81.509739999999994</v>
      </c>
      <c r="V651" s="79"/>
      <c r="W651" s="79"/>
      <c r="X651" s="79"/>
      <c r="Y651" s="79"/>
      <c r="Z651" s="79">
        <v>69.436009999999996</v>
      </c>
      <c r="AA651" s="79">
        <v>58.301380000000002</v>
      </c>
      <c r="AB651" s="79"/>
      <c r="AC651" s="79">
        <v>57.489350000000002</v>
      </c>
      <c r="AD651" s="79"/>
      <c r="AE651" s="79"/>
      <c r="AF651" s="79">
        <v>59.112200000000001</v>
      </c>
      <c r="AG651" s="79">
        <v>37.641010000000001</v>
      </c>
      <c r="AH651" s="79"/>
      <c r="AI651" s="79"/>
      <c r="AJ651" s="79">
        <v>49.24174</v>
      </c>
      <c r="AK651" s="79"/>
      <c r="AL651" s="79"/>
      <c r="AM651" s="79">
        <v>57.00244</v>
      </c>
      <c r="AN651" s="79"/>
      <c r="AO651" s="79">
        <v>44.150399999999998</v>
      </c>
      <c r="AP651" s="79"/>
      <c r="AQ651" s="79"/>
      <c r="AR651" s="79"/>
      <c r="AS651" s="79"/>
      <c r="AT651" s="79"/>
      <c r="AU651" s="79"/>
      <c r="AV651" s="79"/>
      <c r="AW651" s="79"/>
      <c r="AX651" s="79"/>
      <c r="AY651" s="79"/>
    </row>
    <row r="652" spans="1:51" x14ac:dyDescent="0.2">
      <c r="A652" t="s">
        <v>1197</v>
      </c>
      <c r="B652" s="1">
        <v>26724</v>
      </c>
      <c r="C652" s="78">
        <v>652</v>
      </c>
      <c r="E652" s="1">
        <f t="shared" si="20"/>
        <v>26724</v>
      </c>
      <c r="F652" s="2">
        <f t="shared" si="21"/>
        <v>26724</v>
      </c>
      <c r="G652" s="78">
        <v>650</v>
      </c>
      <c r="H652" s="79"/>
      <c r="I652" s="79"/>
      <c r="J652" s="79">
        <v>48.433810000000001</v>
      </c>
      <c r="K652" s="79">
        <v>50.62003</v>
      </c>
      <c r="L652" s="79"/>
      <c r="M652" s="79"/>
      <c r="N652" s="79">
        <v>55.669220000000003</v>
      </c>
      <c r="O652" s="79"/>
      <c r="P652" s="79">
        <v>68.061970000000002</v>
      </c>
      <c r="Q652" s="79"/>
      <c r="R652" s="79">
        <v>39.101889999999997</v>
      </c>
      <c r="S652" s="79">
        <v>72.794849999999997</v>
      </c>
      <c r="T652" s="79">
        <v>79.200370000000007</v>
      </c>
      <c r="U652" s="79">
        <v>82.542749999999998</v>
      </c>
      <c r="V652" s="79"/>
      <c r="W652" s="79"/>
      <c r="X652" s="79"/>
      <c r="Y652" s="79"/>
      <c r="Z652" s="79">
        <v>71.85033</v>
      </c>
      <c r="AA652" s="79">
        <v>59.226799999999997</v>
      </c>
      <c r="AB652" s="79"/>
      <c r="AC652" s="79">
        <v>60.245690000000003</v>
      </c>
      <c r="AD652" s="79"/>
      <c r="AE652" s="79"/>
      <c r="AF652" s="79">
        <v>57.609349999999999</v>
      </c>
      <c r="AG652" s="79">
        <v>38.199599999999997</v>
      </c>
      <c r="AH652" s="79"/>
      <c r="AI652" s="79"/>
      <c r="AJ652" s="79">
        <v>47.928339999999999</v>
      </c>
      <c r="AK652" s="79"/>
      <c r="AL652" s="79"/>
      <c r="AM652" s="79">
        <v>57.174819999999997</v>
      </c>
      <c r="AN652" s="79"/>
      <c r="AO652" s="79">
        <v>44.171140000000001</v>
      </c>
      <c r="AP652" s="79"/>
      <c r="AQ652" s="79"/>
      <c r="AR652" s="79"/>
      <c r="AS652" s="79"/>
      <c r="AT652" s="79"/>
      <c r="AU652" s="79"/>
      <c r="AV652" s="79"/>
      <c r="AW652" s="79"/>
      <c r="AX652" s="79"/>
      <c r="AY652" s="79"/>
    </row>
    <row r="653" spans="1:51" x14ac:dyDescent="0.2">
      <c r="A653" t="s">
        <v>1198</v>
      </c>
      <c r="B653" s="1">
        <v>26755</v>
      </c>
      <c r="C653" s="78">
        <v>653</v>
      </c>
      <c r="E653" s="1">
        <f t="shared" si="20"/>
        <v>26755</v>
      </c>
      <c r="F653" s="2">
        <f t="shared" si="21"/>
        <v>26755</v>
      </c>
      <c r="G653" s="78">
        <v>651</v>
      </c>
      <c r="H653" s="79"/>
      <c r="I653" s="79"/>
      <c r="J653" s="79">
        <v>48.497680000000003</v>
      </c>
      <c r="K653" s="79">
        <v>50.22625</v>
      </c>
      <c r="L653" s="79"/>
      <c r="M653" s="79"/>
      <c r="N653" s="79">
        <v>55.360639999999997</v>
      </c>
      <c r="O653" s="79"/>
      <c r="P653" s="79">
        <v>67.330439999999996</v>
      </c>
      <c r="Q653" s="79"/>
      <c r="R653" s="79">
        <v>38.495660000000001</v>
      </c>
      <c r="S653" s="79">
        <v>71.268119999999996</v>
      </c>
      <c r="T653" s="79">
        <v>78.516769999999994</v>
      </c>
      <c r="U653" s="79">
        <v>83.8964</v>
      </c>
      <c r="V653" s="79"/>
      <c r="W653" s="79"/>
      <c r="X653" s="79"/>
      <c r="Y653" s="79"/>
      <c r="Z653" s="79">
        <v>76.196119999999993</v>
      </c>
      <c r="AA653" s="79">
        <v>59.058540000000001</v>
      </c>
      <c r="AB653" s="79"/>
      <c r="AC653" s="79">
        <v>57.027720000000002</v>
      </c>
      <c r="AD653" s="79"/>
      <c r="AE653" s="79"/>
      <c r="AF653" s="79">
        <v>59.613149999999997</v>
      </c>
      <c r="AG653" s="79">
        <v>38.242570000000001</v>
      </c>
      <c r="AH653" s="79"/>
      <c r="AI653" s="79"/>
      <c r="AJ653" s="79">
        <v>47.759990000000002</v>
      </c>
      <c r="AK653" s="79"/>
      <c r="AL653" s="79"/>
      <c r="AM653" s="79">
        <v>57.289749999999998</v>
      </c>
      <c r="AN653" s="79"/>
      <c r="AO653" s="79">
        <v>44.110149999999997</v>
      </c>
      <c r="AP653" s="79"/>
      <c r="AQ653" s="79"/>
      <c r="AR653" s="79"/>
      <c r="AS653" s="79"/>
      <c r="AT653" s="79"/>
      <c r="AU653" s="79"/>
      <c r="AV653" s="79"/>
      <c r="AW653" s="79"/>
      <c r="AX653" s="79"/>
      <c r="AY653" s="79"/>
    </row>
    <row r="654" spans="1:51" x14ac:dyDescent="0.2">
      <c r="A654" t="s">
        <v>1199</v>
      </c>
      <c r="B654" s="1">
        <v>26785</v>
      </c>
      <c r="C654" s="78">
        <v>654</v>
      </c>
      <c r="E654" s="1">
        <f t="shared" si="20"/>
        <v>26785</v>
      </c>
      <c r="F654" s="2">
        <f t="shared" si="21"/>
        <v>26785</v>
      </c>
      <c r="G654" s="78">
        <v>652</v>
      </c>
      <c r="H654" s="79"/>
      <c r="I654" s="79"/>
      <c r="J654" s="79">
        <v>48.561140000000002</v>
      </c>
      <c r="K654" s="79">
        <v>50.347949999999997</v>
      </c>
      <c r="L654" s="79"/>
      <c r="M654" s="79"/>
      <c r="N654" s="79">
        <v>55.730939999999997</v>
      </c>
      <c r="O654" s="79"/>
      <c r="P654" s="79">
        <v>70.033100000000005</v>
      </c>
      <c r="Q654" s="79"/>
      <c r="R654" s="79">
        <v>38.163209999999999</v>
      </c>
      <c r="S654" s="79">
        <v>75.29871</v>
      </c>
      <c r="T654" s="79">
        <v>78.516769999999994</v>
      </c>
      <c r="U654" s="79">
        <v>84.031949999999995</v>
      </c>
      <c r="V654" s="79"/>
      <c r="W654" s="79"/>
      <c r="X654" s="79"/>
      <c r="Y654" s="79"/>
      <c r="Z654" s="79">
        <v>78.031009999999995</v>
      </c>
      <c r="AA654" s="79">
        <v>59.647440000000003</v>
      </c>
      <c r="AB654" s="79"/>
      <c r="AC654" s="79">
        <v>57.888330000000003</v>
      </c>
      <c r="AD654" s="79"/>
      <c r="AE654" s="79"/>
      <c r="AF654" s="79">
        <v>58.611249999999998</v>
      </c>
      <c r="AG654" s="79">
        <v>39.101959999999998</v>
      </c>
      <c r="AH654" s="79"/>
      <c r="AI654" s="79"/>
      <c r="AJ654" s="79">
        <v>49.678870000000003</v>
      </c>
      <c r="AK654" s="79"/>
      <c r="AL654" s="79"/>
      <c r="AM654" s="79">
        <v>58.496450000000003</v>
      </c>
      <c r="AN654" s="79"/>
      <c r="AO654" s="79">
        <v>44.393979999999999</v>
      </c>
      <c r="AP654" s="79"/>
      <c r="AQ654" s="79"/>
      <c r="AR654" s="79"/>
      <c r="AS654" s="79"/>
      <c r="AT654" s="79"/>
      <c r="AU654" s="79"/>
      <c r="AV654" s="79"/>
      <c r="AW654" s="79"/>
      <c r="AX654" s="79"/>
      <c r="AY654" s="79"/>
    </row>
    <row r="655" spans="1:51" x14ac:dyDescent="0.2">
      <c r="A655" t="s">
        <v>1200</v>
      </c>
      <c r="B655" s="1">
        <v>26816</v>
      </c>
      <c r="C655" s="78">
        <v>655</v>
      </c>
      <c r="E655" s="1">
        <f t="shared" si="20"/>
        <v>26816</v>
      </c>
      <c r="F655" s="2">
        <f t="shared" si="21"/>
        <v>26816</v>
      </c>
      <c r="G655" s="78">
        <v>653</v>
      </c>
      <c r="H655" s="79"/>
      <c r="I655" s="79"/>
      <c r="J655" s="79">
        <v>48.240209999999998</v>
      </c>
      <c r="K655" s="79">
        <v>50.722000000000001</v>
      </c>
      <c r="L655" s="79"/>
      <c r="M655" s="79"/>
      <c r="N655" s="79">
        <v>55.360639999999997</v>
      </c>
      <c r="O655" s="79"/>
      <c r="P655" s="79">
        <v>70.683750000000003</v>
      </c>
      <c r="Q655" s="79"/>
      <c r="R655" s="79">
        <v>38.981299999999997</v>
      </c>
      <c r="S655" s="79">
        <v>73.894099999999995</v>
      </c>
      <c r="T655" s="79">
        <v>79.981639999999999</v>
      </c>
      <c r="U655" s="79">
        <v>85.44135</v>
      </c>
      <c r="V655" s="79"/>
      <c r="W655" s="79"/>
      <c r="X655" s="79"/>
      <c r="Y655" s="79"/>
      <c r="Z655" s="79">
        <v>81.024770000000004</v>
      </c>
      <c r="AA655" s="79">
        <v>60.236339999999998</v>
      </c>
      <c r="AB655" s="79"/>
      <c r="AC655" s="79">
        <v>56.548560000000002</v>
      </c>
      <c r="AD655" s="79"/>
      <c r="AE655" s="79"/>
      <c r="AF655" s="79">
        <v>59.112200000000001</v>
      </c>
      <c r="AG655" s="79">
        <v>38.500390000000003</v>
      </c>
      <c r="AH655" s="79"/>
      <c r="AI655" s="79"/>
      <c r="AJ655" s="79">
        <v>50.176810000000003</v>
      </c>
      <c r="AK655" s="79"/>
      <c r="AL655" s="79"/>
      <c r="AM655" s="79">
        <v>57.806910000000002</v>
      </c>
      <c r="AN655" s="79"/>
      <c r="AO655" s="79">
        <v>44.424430000000001</v>
      </c>
      <c r="AP655" s="79"/>
      <c r="AQ655" s="79"/>
      <c r="AR655" s="79"/>
      <c r="AS655" s="79"/>
      <c r="AT655" s="79"/>
      <c r="AU655" s="79"/>
      <c r="AV655" s="79"/>
      <c r="AW655" s="79"/>
      <c r="AX655" s="79"/>
      <c r="AY655" s="79"/>
    </row>
    <row r="656" spans="1:51" x14ac:dyDescent="0.2">
      <c r="A656" t="s">
        <v>1201</v>
      </c>
      <c r="B656" s="1">
        <v>26846</v>
      </c>
      <c r="C656" s="78">
        <v>656</v>
      </c>
      <c r="E656" s="1">
        <f t="shared" si="20"/>
        <v>26846</v>
      </c>
      <c r="F656" s="2">
        <f t="shared" si="21"/>
        <v>26846</v>
      </c>
      <c r="G656" s="78">
        <v>654</v>
      </c>
      <c r="H656" s="79"/>
      <c r="I656" s="79"/>
      <c r="J656" s="79">
        <v>48.773580000000003</v>
      </c>
      <c r="K656" s="79">
        <v>51.660409999999999</v>
      </c>
      <c r="L656" s="79"/>
      <c r="M656" s="79"/>
      <c r="N656" s="79">
        <v>53.385669999999998</v>
      </c>
      <c r="O656" s="79"/>
      <c r="P656" s="79">
        <v>69.899870000000007</v>
      </c>
      <c r="Q656" s="79"/>
      <c r="R656" s="79">
        <v>40.653320000000001</v>
      </c>
      <c r="S656" s="79">
        <v>74.993350000000007</v>
      </c>
      <c r="T656" s="79">
        <v>79.590999999999994</v>
      </c>
      <c r="U656" s="79">
        <v>86.122249999999994</v>
      </c>
      <c r="V656" s="79"/>
      <c r="W656" s="79"/>
      <c r="X656" s="79"/>
      <c r="Y656" s="79"/>
      <c r="Z656" s="79">
        <v>80.445340000000002</v>
      </c>
      <c r="AA656" s="79">
        <v>59.563310000000001</v>
      </c>
      <c r="AB656" s="79"/>
      <c r="AC656" s="79">
        <v>59.035539999999997</v>
      </c>
      <c r="AD656" s="79"/>
      <c r="AE656" s="79"/>
      <c r="AF656" s="79">
        <v>59.613149999999997</v>
      </c>
      <c r="AG656" s="79">
        <v>39.660559999999997</v>
      </c>
      <c r="AH656" s="79"/>
      <c r="AI656" s="79"/>
      <c r="AJ656" s="79">
        <v>49.932250000000003</v>
      </c>
      <c r="AK656" s="79"/>
      <c r="AL656" s="79"/>
      <c r="AM656" s="79">
        <v>57.577060000000003</v>
      </c>
      <c r="AN656" s="79"/>
      <c r="AO656" s="79">
        <v>44.608080000000001</v>
      </c>
      <c r="AP656" s="79"/>
      <c r="AQ656" s="79"/>
      <c r="AR656" s="79"/>
      <c r="AS656" s="79"/>
      <c r="AT656" s="79"/>
      <c r="AU656" s="79"/>
      <c r="AV656" s="79"/>
      <c r="AW656" s="79"/>
      <c r="AX656" s="79"/>
      <c r="AY656" s="79"/>
    </row>
    <row r="657" spans="1:51" x14ac:dyDescent="0.2">
      <c r="A657" t="s">
        <v>1202</v>
      </c>
      <c r="B657" s="1">
        <v>26877</v>
      </c>
      <c r="C657" s="78">
        <v>657</v>
      </c>
      <c r="E657" s="1">
        <f t="shared" si="20"/>
        <v>26877</v>
      </c>
      <c r="F657" s="2">
        <f t="shared" si="21"/>
        <v>26877</v>
      </c>
      <c r="G657" s="78">
        <v>655</v>
      </c>
      <c r="H657" s="79"/>
      <c r="I657" s="79"/>
      <c r="J657" s="79">
        <v>50.305410000000002</v>
      </c>
      <c r="K657" s="79">
        <v>50.242220000000003</v>
      </c>
      <c r="L657" s="79"/>
      <c r="M657" s="79"/>
      <c r="N657" s="79">
        <v>56.348120000000002</v>
      </c>
      <c r="O657" s="79"/>
      <c r="P657" s="79">
        <v>72.043049999999994</v>
      </c>
      <c r="Q657" s="79"/>
      <c r="R657" s="79">
        <v>39.773310000000002</v>
      </c>
      <c r="S657" s="79">
        <v>74.993350000000007</v>
      </c>
      <c r="T657" s="79">
        <v>79.590999999999994</v>
      </c>
      <c r="U657" s="79">
        <v>86.464479999999995</v>
      </c>
      <c r="V657" s="79"/>
      <c r="W657" s="79"/>
      <c r="X657" s="79"/>
      <c r="Y657" s="79"/>
      <c r="Z657" s="79">
        <v>80.252189999999999</v>
      </c>
      <c r="AA657" s="79">
        <v>61.330019999999998</v>
      </c>
      <c r="AB657" s="79"/>
      <c r="AC657" s="79">
        <v>59.970759999999999</v>
      </c>
      <c r="AD657" s="79"/>
      <c r="AE657" s="79"/>
      <c r="AF657" s="79">
        <v>59.613149999999997</v>
      </c>
      <c r="AG657" s="79">
        <v>39.660559999999997</v>
      </c>
      <c r="AH657" s="79"/>
      <c r="AI657" s="79"/>
      <c r="AJ657" s="79">
        <v>53.402799999999999</v>
      </c>
      <c r="AK657" s="79"/>
      <c r="AL657" s="79"/>
      <c r="AM657" s="79">
        <v>58.209139999999998</v>
      </c>
      <c r="AN657" s="79"/>
      <c r="AO657" s="79">
        <v>44.533830000000002</v>
      </c>
      <c r="AP657" s="79"/>
      <c r="AQ657" s="79"/>
      <c r="AR657" s="79"/>
      <c r="AS657" s="79"/>
      <c r="AT657" s="79"/>
      <c r="AU657" s="79"/>
      <c r="AV657" s="79"/>
      <c r="AW657" s="79"/>
      <c r="AX657" s="79"/>
      <c r="AY657" s="79"/>
    </row>
    <row r="658" spans="1:51" x14ac:dyDescent="0.2">
      <c r="A658" t="s">
        <v>1203</v>
      </c>
      <c r="B658" s="1">
        <v>26908</v>
      </c>
      <c r="C658" s="78">
        <v>658</v>
      </c>
      <c r="E658" s="1">
        <f t="shared" si="20"/>
        <v>26908</v>
      </c>
      <c r="F658" s="2">
        <f t="shared" si="21"/>
        <v>26908</v>
      </c>
      <c r="G658" s="78">
        <v>656</v>
      </c>
      <c r="H658" s="79"/>
      <c r="I658" s="79"/>
      <c r="J658" s="79">
        <v>49.684710000000003</v>
      </c>
      <c r="K658" s="79">
        <v>50.73986</v>
      </c>
      <c r="L658" s="79"/>
      <c r="M658" s="79"/>
      <c r="N658" s="79">
        <v>56.10125</v>
      </c>
      <c r="O658" s="79"/>
      <c r="P658" s="79">
        <v>69.857010000000002</v>
      </c>
      <c r="Q658" s="79"/>
      <c r="R658" s="79">
        <v>40.470799999999997</v>
      </c>
      <c r="S658" s="79">
        <v>73.833039999999997</v>
      </c>
      <c r="T658" s="79">
        <v>79.200370000000007</v>
      </c>
      <c r="U658" s="79">
        <v>88.794110000000003</v>
      </c>
      <c r="V658" s="79"/>
      <c r="W658" s="79"/>
      <c r="X658" s="79"/>
      <c r="Y658" s="79"/>
      <c r="Z658" s="79">
        <v>83.535679999999999</v>
      </c>
      <c r="AA658" s="79">
        <v>60.488729999999997</v>
      </c>
      <c r="AB658" s="79"/>
      <c r="AC658" s="79">
        <v>58.708640000000003</v>
      </c>
      <c r="AD658" s="79"/>
      <c r="AE658" s="79"/>
      <c r="AF658" s="79">
        <v>61.116</v>
      </c>
      <c r="AG658" s="79">
        <v>40.734789999999997</v>
      </c>
      <c r="AH658" s="79"/>
      <c r="AI658" s="79"/>
      <c r="AJ658" s="79">
        <v>52.473039999999997</v>
      </c>
      <c r="AK658" s="79"/>
      <c r="AL658" s="79"/>
      <c r="AM658" s="79">
        <v>59.588230000000003</v>
      </c>
      <c r="AN658" s="79"/>
      <c r="AO658" s="79">
        <v>44.932920000000003</v>
      </c>
      <c r="AP658" s="79"/>
      <c r="AQ658" s="79"/>
      <c r="AR658" s="79"/>
      <c r="AS658" s="79"/>
      <c r="AT658" s="79"/>
      <c r="AU658" s="79"/>
      <c r="AV658" s="79"/>
      <c r="AW658" s="79"/>
      <c r="AX658" s="79"/>
      <c r="AY658" s="79"/>
    </row>
    <row r="659" spans="1:51" x14ac:dyDescent="0.2">
      <c r="A659" t="s">
        <v>1204</v>
      </c>
      <c r="B659" s="1">
        <v>26938</v>
      </c>
      <c r="C659" s="78">
        <v>659</v>
      </c>
      <c r="E659" s="1">
        <f t="shared" si="20"/>
        <v>26938</v>
      </c>
      <c r="F659" s="2">
        <f t="shared" si="21"/>
        <v>26938</v>
      </c>
      <c r="G659" s="78">
        <v>657</v>
      </c>
      <c r="H659" s="79"/>
      <c r="I659" s="79"/>
      <c r="J659" s="79">
        <v>50.162590000000002</v>
      </c>
      <c r="K659" s="79">
        <v>51.290120000000002</v>
      </c>
      <c r="L659" s="79"/>
      <c r="M659" s="79"/>
      <c r="N659" s="79">
        <v>55.730939999999997</v>
      </c>
      <c r="O659" s="79"/>
      <c r="P659" s="79">
        <v>71.327039999999997</v>
      </c>
      <c r="Q659" s="79"/>
      <c r="R659" s="79">
        <v>40.689169999999997</v>
      </c>
      <c r="S659" s="79">
        <v>74.993350000000007</v>
      </c>
      <c r="T659" s="79">
        <v>79.981639999999999</v>
      </c>
      <c r="U659" s="79">
        <v>88.878870000000006</v>
      </c>
      <c r="V659" s="79"/>
      <c r="W659" s="79"/>
      <c r="X659" s="79"/>
      <c r="Y659" s="79"/>
      <c r="Z659" s="79">
        <v>81.507639999999995</v>
      </c>
      <c r="AA659" s="79">
        <v>61.330019999999998</v>
      </c>
      <c r="AB659" s="79"/>
      <c r="AC659" s="79">
        <v>59.964469999999999</v>
      </c>
      <c r="AD659" s="79"/>
      <c r="AE659" s="79"/>
      <c r="AF659" s="79">
        <v>61.116</v>
      </c>
      <c r="AG659" s="79">
        <v>40.133220000000001</v>
      </c>
      <c r="AH659" s="79"/>
      <c r="AI659" s="79"/>
      <c r="AJ659" s="79">
        <v>52.88579</v>
      </c>
      <c r="AK659" s="79"/>
      <c r="AL659" s="79"/>
      <c r="AM659" s="79">
        <v>59.128540000000001</v>
      </c>
      <c r="AN659" s="79"/>
      <c r="AO659" s="79">
        <v>45.235579999999999</v>
      </c>
      <c r="AP659" s="79"/>
      <c r="AQ659" s="79"/>
      <c r="AR659" s="79"/>
      <c r="AS659" s="79"/>
      <c r="AT659" s="79"/>
      <c r="AU659" s="79"/>
      <c r="AV659" s="79"/>
      <c r="AW659" s="79"/>
      <c r="AX659" s="79"/>
      <c r="AY659" s="79"/>
    </row>
    <row r="660" spans="1:51" x14ac:dyDescent="0.2">
      <c r="A660" t="s">
        <v>1205</v>
      </c>
      <c r="B660" s="1">
        <v>26969</v>
      </c>
      <c r="C660" s="78">
        <v>660</v>
      </c>
      <c r="E660" s="1">
        <f t="shared" si="20"/>
        <v>26969</v>
      </c>
      <c r="F660" s="2">
        <f t="shared" si="21"/>
        <v>26969</v>
      </c>
      <c r="G660" s="78">
        <v>658</v>
      </c>
      <c r="H660" s="79"/>
      <c r="I660" s="79"/>
      <c r="J660" s="79">
        <v>50.170169999999999</v>
      </c>
      <c r="K660" s="79">
        <v>51.914160000000003</v>
      </c>
      <c r="L660" s="79"/>
      <c r="M660" s="79"/>
      <c r="N660" s="79">
        <v>56.039529999999999</v>
      </c>
      <c r="O660" s="79"/>
      <c r="P660" s="79">
        <v>72.778919999999999</v>
      </c>
      <c r="Q660" s="79"/>
      <c r="R660" s="79">
        <v>40.891249999999999</v>
      </c>
      <c r="S660" s="79">
        <v>75.359769999999997</v>
      </c>
      <c r="T660" s="79">
        <v>79.102710000000002</v>
      </c>
      <c r="U660" s="79">
        <v>86.853849999999994</v>
      </c>
      <c r="V660" s="79"/>
      <c r="W660" s="79"/>
      <c r="X660" s="79"/>
      <c r="Y660" s="79"/>
      <c r="Z660" s="79">
        <v>81.797359999999998</v>
      </c>
      <c r="AA660" s="79">
        <v>61.91892</v>
      </c>
      <c r="AB660" s="79"/>
      <c r="AC660" s="79">
        <v>61.723979999999997</v>
      </c>
      <c r="AD660" s="79"/>
      <c r="AE660" s="79"/>
      <c r="AF660" s="79">
        <v>61.116</v>
      </c>
      <c r="AG660" s="79">
        <v>39.832430000000002</v>
      </c>
      <c r="AH660" s="79"/>
      <c r="AI660" s="79"/>
      <c r="AJ660" s="79">
        <v>53.869190000000003</v>
      </c>
      <c r="AK660" s="79"/>
      <c r="AL660" s="79"/>
      <c r="AM660" s="79">
        <v>58.783760000000001</v>
      </c>
      <c r="AN660" s="79"/>
      <c r="AO660" s="79">
        <v>45.47484</v>
      </c>
      <c r="AP660" s="79"/>
      <c r="AQ660" s="79"/>
      <c r="AR660" s="79"/>
      <c r="AS660" s="79"/>
      <c r="AT660" s="79"/>
      <c r="AU660" s="79"/>
      <c r="AV660" s="79"/>
      <c r="AW660" s="79"/>
      <c r="AX660" s="79"/>
      <c r="AY660" s="79"/>
    </row>
    <row r="661" spans="1:51" x14ac:dyDescent="0.2">
      <c r="A661" t="s">
        <v>1206</v>
      </c>
      <c r="B661" s="1">
        <v>26999</v>
      </c>
      <c r="C661" s="78">
        <v>661</v>
      </c>
      <c r="E661" s="1">
        <f t="shared" si="20"/>
        <v>26999</v>
      </c>
      <c r="F661" s="2">
        <f t="shared" si="21"/>
        <v>26999</v>
      </c>
      <c r="G661" s="78">
        <v>659</v>
      </c>
      <c r="H661" s="79"/>
      <c r="I661" s="79"/>
      <c r="J661" s="79">
        <v>50.307780000000001</v>
      </c>
      <c r="K661" s="79">
        <v>51.748280000000001</v>
      </c>
      <c r="L661" s="79"/>
      <c r="M661" s="79"/>
      <c r="N661" s="79">
        <v>55.484070000000003</v>
      </c>
      <c r="O661" s="79"/>
      <c r="P661" s="79">
        <v>72.155990000000003</v>
      </c>
      <c r="Q661" s="79"/>
      <c r="R661" s="79">
        <v>41.901629999999997</v>
      </c>
      <c r="S661" s="79">
        <v>73.344480000000004</v>
      </c>
      <c r="T661" s="79">
        <v>78.419110000000003</v>
      </c>
      <c r="U661" s="79">
        <v>87.062520000000006</v>
      </c>
      <c r="V661" s="79"/>
      <c r="W661" s="79"/>
      <c r="X661" s="79"/>
      <c r="Y661" s="79"/>
      <c r="Z661" s="79">
        <v>84.308260000000004</v>
      </c>
      <c r="AA661" s="79">
        <v>61.91892</v>
      </c>
      <c r="AB661" s="79"/>
      <c r="AC661" s="79">
        <v>59.933450000000001</v>
      </c>
      <c r="AD661" s="79"/>
      <c r="AE661" s="79"/>
      <c r="AF661" s="79">
        <v>61.616959999999999</v>
      </c>
      <c r="AG661" s="79">
        <v>39.101959999999998</v>
      </c>
      <c r="AH661" s="79"/>
      <c r="AI661" s="79"/>
      <c r="AJ661" s="79">
        <v>54.448709999999998</v>
      </c>
      <c r="AK661" s="79"/>
      <c r="AL661" s="79"/>
      <c r="AM661" s="79">
        <v>60.392699999999998</v>
      </c>
      <c r="AN661" s="79"/>
      <c r="AO661" s="79">
        <v>45.366309999999999</v>
      </c>
      <c r="AP661" s="79"/>
      <c r="AQ661" s="79"/>
      <c r="AR661" s="79"/>
      <c r="AS661" s="79"/>
      <c r="AT661" s="79"/>
      <c r="AU661" s="79"/>
      <c r="AV661" s="79"/>
      <c r="AW661" s="79"/>
      <c r="AX661" s="79"/>
      <c r="AY661" s="79"/>
    </row>
    <row r="662" spans="1:51" x14ac:dyDescent="0.2">
      <c r="A662" t="s">
        <v>1207</v>
      </c>
      <c r="B662" s="1">
        <v>27030</v>
      </c>
      <c r="C662" s="78">
        <v>662</v>
      </c>
      <c r="E662" s="1">
        <f t="shared" si="20"/>
        <v>27030</v>
      </c>
      <c r="F662" s="2">
        <f t="shared" si="21"/>
        <v>27030</v>
      </c>
      <c r="G662" s="78">
        <v>660</v>
      </c>
      <c r="H662" s="79"/>
      <c r="I662" s="79"/>
      <c r="J662" s="79">
        <v>51.344149999999999</v>
      </c>
      <c r="K662" s="79">
        <v>52.468179999999997</v>
      </c>
      <c r="L662" s="79"/>
      <c r="M662" s="79"/>
      <c r="N662" s="79">
        <v>55.669220000000003</v>
      </c>
      <c r="O662" s="79">
        <v>59.407290000000003</v>
      </c>
      <c r="P662" s="79">
        <v>79.373419999999996</v>
      </c>
      <c r="Q662" s="79"/>
      <c r="R662" s="79">
        <v>41.334510000000002</v>
      </c>
      <c r="S662" s="79">
        <v>76.520099999999999</v>
      </c>
      <c r="T662" s="79">
        <v>72.657309999999995</v>
      </c>
      <c r="U662" s="79">
        <v>86.829800000000006</v>
      </c>
      <c r="V662" s="79"/>
      <c r="W662" s="79"/>
      <c r="X662" s="79"/>
      <c r="Y662" s="79"/>
      <c r="Z662" s="79">
        <v>83.632249999999999</v>
      </c>
      <c r="AA662" s="79">
        <v>62.25544</v>
      </c>
      <c r="AB662" s="79"/>
      <c r="AC662" s="79">
        <v>63.006369999999997</v>
      </c>
      <c r="AD662" s="79"/>
      <c r="AE662" s="79"/>
      <c r="AF662" s="79">
        <v>62.117910000000002</v>
      </c>
      <c r="AG662" s="79">
        <v>39.703530000000001</v>
      </c>
      <c r="AH662" s="79"/>
      <c r="AI662" s="79"/>
      <c r="AJ662" s="79">
        <v>55.325769999999999</v>
      </c>
      <c r="AK662" s="79"/>
      <c r="AL662" s="79"/>
      <c r="AM662" s="79">
        <v>60.220320000000001</v>
      </c>
      <c r="AN662" s="79"/>
      <c r="AO662" s="79">
        <v>45.047319999999999</v>
      </c>
      <c r="AP662" s="79"/>
      <c r="AQ662" s="79"/>
      <c r="AR662" s="79"/>
      <c r="AS662" s="79"/>
      <c r="AT662" s="79"/>
      <c r="AU662" s="79"/>
      <c r="AV662" s="79"/>
      <c r="AW662" s="79"/>
      <c r="AX662" s="79"/>
      <c r="AY662" s="79"/>
    </row>
    <row r="663" spans="1:51" x14ac:dyDescent="0.2">
      <c r="A663" t="s">
        <v>1208</v>
      </c>
      <c r="B663" s="1">
        <v>27061</v>
      </c>
      <c r="C663" s="78">
        <v>663</v>
      </c>
      <c r="E663" s="1">
        <f t="shared" si="20"/>
        <v>27061</v>
      </c>
      <c r="F663" s="2">
        <f t="shared" si="21"/>
        <v>27061</v>
      </c>
      <c r="G663" s="78">
        <v>661</v>
      </c>
      <c r="H663" s="79"/>
      <c r="I663" s="79"/>
      <c r="J663" s="79">
        <v>51.601489999999998</v>
      </c>
      <c r="K663" s="79">
        <v>52.469589999999997</v>
      </c>
      <c r="L663" s="79"/>
      <c r="M663" s="79"/>
      <c r="N663" s="79">
        <v>55.484070000000003</v>
      </c>
      <c r="O663" s="79">
        <v>59.407290000000003</v>
      </c>
      <c r="P663" s="79">
        <v>75.529079999999993</v>
      </c>
      <c r="Q663" s="79"/>
      <c r="R663" s="79">
        <v>41.223700000000001</v>
      </c>
      <c r="S663" s="79">
        <v>76.82544</v>
      </c>
      <c r="T663" s="79">
        <v>72.75497</v>
      </c>
      <c r="U663" s="79">
        <v>89.878680000000003</v>
      </c>
      <c r="V663" s="79"/>
      <c r="W663" s="79"/>
      <c r="X663" s="79"/>
      <c r="Y663" s="79"/>
      <c r="Z663" s="79">
        <v>80.059039999999996</v>
      </c>
      <c r="AA663" s="79">
        <v>62.087179999999996</v>
      </c>
      <c r="AB663" s="79"/>
      <c r="AC663" s="79">
        <v>63.181719999999999</v>
      </c>
      <c r="AD663" s="79"/>
      <c r="AE663" s="79"/>
      <c r="AF663" s="79">
        <v>63.119810000000001</v>
      </c>
      <c r="AG663" s="79">
        <v>40.004309999999997</v>
      </c>
      <c r="AH663" s="79"/>
      <c r="AI663" s="79"/>
      <c r="AJ663" s="79">
        <v>53.449939999999998</v>
      </c>
      <c r="AK663" s="79"/>
      <c r="AL663" s="79"/>
      <c r="AM663" s="79">
        <v>60.450159999999997</v>
      </c>
      <c r="AN663" s="79"/>
      <c r="AO663" s="79">
        <v>44.907470000000004</v>
      </c>
      <c r="AP663" s="79"/>
      <c r="AQ663" s="79"/>
      <c r="AR663" s="79"/>
      <c r="AS663" s="79"/>
      <c r="AT663" s="79"/>
      <c r="AU663" s="79"/>
      <c r="AV663" s="79"/>
      <c r="AW663" s="79"/>
      <c r="AX663" s="79"/>
      <c r="AY663" s="79"/>
    </row>
    <row r="664" spans="1:51" x14ac:dyDescent="0.2">
      <c r="A664" t="s">
        <v>1209</v>
      </c>
      <c r="B664" s="1">
        <v>27089</v>
      </c>
      <c r="C664" s="78">
        <v>664</v>
      </c>
      <c r="E664" s="1">
        <f t="shared" si="20"/>
        <v>27089</v>
      </c>
      <c r="F664" s="2">
        <f t="shared" si="21"/>
        <v>27089</v>
      </c>
      <c r="G664" s="78">
        <v>662</v>
      </c>
      <c r="H664" s="79"/>
      <c r="I664" s="79"/>
      <c r="J664" s="79">
        <v>51.009639999999997</v>
      </c>
      <c r="K664" s="79">
        <v>52.705019999999998</v>
      </c>
      <c r="L664" s="79"/>
      <c r="M664" s="79"/>
      <c r="N664" s="79">
        <v>55.17548</v>
      </c>
      <c r="O664" s="79">
        <v>60.032629999999997</v>
      </c>
      <c r="P664" s="79">
        <v>74.282749999999993</v>
      </c>
      <c r="Q664" s="79"/>
      <c r="R664" s="79">
        <v>41.314959999999999</v>
      </c>
      <c r="S664" s="79">
        <v>75.237629999999996</v>
      </c>
      <c r="T664" s="79">
        <v>75.294070000000005</v>
      </c>
      <c r="U664" s="79">
        <v>85.042090000000002</v>
      </c>
      <c r="V664" s="79"/>
      <c r="W664" s="79"/>
      <c r="X664" s="79"/>
      <c r="Y664" s="79"/>
      <c r="Z664" s="79">
        <v>84.211690000000004</v>
      </c>
      <c r="AA664" s="79">
        <v>60.65699</v>
      </c>
      <c r="AB664" s="79"/>
      <c r="AC664" s="79">
        <v>61.852690000000003</v>
      </c>
      <c r="AD664" s="79"/>
      <c r="AE664" s="79"/>
      <c r="AF664" s="79">
        <v>62.618859999999998</v>
      </c>
      <c r="AG664" s="79">
        <v>40.305100000000003</v>
      </c>
      <c r="AH664" s="79"/>
      <c r="AI664" s="79"/>
      <c r="AJ664" s="79">
        <v>55.382089999999998</v>
      </c>
      <c r="AK664" s="79"/>
      <c r="AL664" s="79"/>
      <c r="AM664" s="79">
        <v>59.990470000000002</v>
      </c>
      <c r="AN664" s="79"/>
      <c r="AO664" s="79">
        <v>44.921590000000002</v>
      </c>
      <c r="AP664" s="79"/>
      <c r="AQ664" s="79"/>
      <c r="AR664" s="79"/>
      <c r="AS664" s="79"/>
      <c r="AT664" s="79"/>
      <c r="AU664" s="79"/>
      <c r="AV664" s="79"/>
      <c r="AW664" s="79"/>
      <c r="AX664" s="79"/>
      <c r="AY664" s="79"/>
    </row>
    <row r="665" spans="1:51" x14ac:dyDescent="0.2">
      <c r="A665" t="s">
        <v>1210</v>
      </c>
      <c r="B665" s="1">
        <v>27120</v>
      </c>
      <c r="C665" s="78">
        <v>665</v>
      </c>
      <c r="E665" s="1">
        <f t="shared" si="20"/>
        <v>27120</v>
      </c>
      <c r="F665" s="2">
        <f t="shared" si="21"/>
        <v>27120</v>
      </c>
      <c r="G665" s="78">
        <v>663</v>
      </c>
      <c r="H665" s="79"/>
      <c r="I665" s="79"/>
      <c r="J665" s="79">
        <v>51.283320000000003</v>
      </c>
      <c r="K665" s="79">
        <v>51.77272</v>
      </c>
      <c r="L665" s="79"/>
      <c r="M665" s="79"/>
      <c r="N665" s="79">
        <v>55.298920000000003</v>
      </c>
      <c r="O665" s="79">
        <v>57.531269999999999</v>
      </c>
      <c r="P665" s="79">
        <v>74.384699999999995</v>
      </c>
      <c r="Q665" s="79"/>
      <c r="R665" s="79">
        <v>41.178069999999998</v>
      </c>
      <c r="S665" s="79">
        <v>76.459019999999995</v>
      </c>
      <c r="T665" s="79">
        <v>79.200370000000007</v>
      </c>
      <c r="U665" s="79">
        <v>83.483620000000002</v>
      </c>
      <c r="V665" s="79"/>
      <c r="W665" s="79"/>
      <c r="X665" s="79"/>
      <c r="Y665" s="79"/>
      <c r="Z665" s="79">
        <v>84.694550000000007</v>
      </c>
      <c r="AA665" s="79">
        <v>59.395049999999998</v>
      </c>
      <c r="AB665" s="79"/>
      <c r="AC665" s="79">
        <v>60.783999999999999</v>
      </c>
      <c r="AD665" s="79"/>
      <c r="AE665" s="79"/>
      <c r="AF665" s="79">
        <v>62.117910000000002</v>
      </c>
      <c r="AG665" s="79">
        <v>40.519939999999998</v>
      </c>
      <c r="AH665" s="79"/>
      <c r="AI665" s="79"/>
      <c r="AJ665" s="79">
        <v>54.159399999999998</v>
      </c>
      <c r="AK665" s="79"/>
      <c r="AL665" s="79"/>
      <c r="AM665" s="79">
        <v>61.427019999999999</v>
      </c>
      <c r="AN665" s="79"/>
      <c r="AO665" s="79">
        <v>44.766370000000002</v>
      </c>
      <c r="AP665" s="79"/>
      <c r="AQ665" s="79"/>
      <c r="AR665" s="79"/>
      <c r="AS665" s="79"/>
      <c r="AT665" s="79"/>
      <c r="AU665" s="79"/>
      <c r="AV665" s="79"/>
      <c r="AW665" s="79"/>
      <c r="AX665" s="79"/>
      <c r="AY665" s="79"/>
    </row>
    <row r="666" spans="1:51" x14ac:dyDescent="0.2">
      <c r="A666" t="s">
        <v>1211</v>
      </c>
      <c r="B666" s="1">
        <v>27150</v>
      </c>
      <c r="C666" s="78">
        <v>666</v>
      </c>
      <c r="E666" s="1">
        <f t="shared" si="20"/>
        <v>27150</v>
      </c>
      <c r="F666" s="2">
        <f t="shared" si="21"/>
        <v>27150</v>
      </c>
      <c r="G666" s="78">
        <v>664</v>
      </c>
      <c r="H666" s="79"/>
      <c r="I666" s="79"/>
      <c r="J666" s="79">
        <v>50.736899999999999</v>
      </c>
      <c r="K666" s="79">
        <v>52.399569999999997</v>
      </c>
      <c r="L666" s="79"/>
      <c r="M666" s="79"/>
      <c r="N666" s="79">
        <v>55.9161</v>
      </c>
      <c r="O666" s="79">
        <v>56.280589999999997</v>
      </c>
      <c r="P666" s="79">
        <v>74.953879999999998</v>
      </c>
      <c r="Q666" s="79"/>
      <c r="R666" s="79">
        <v>41.080289999999998</v>
      </c>
      <c r="S666" s="79">
        <v>77.497209999999995</v>
      </c>
      <c r="T666" s="79">
        <v>80.176950000000005</v>
      </c>
      <c r="U666" s="79">
        <v>85.034189999999995</v>
      </c>
      <c r="V666" s="79"/>
      <c r="W666" s="79"/>
      <c r="X666" s="79"/>
      <c r="Y666" s="79"/>
      <c r="Z666" s="79">
        <v>83.728819999999999</v>
      </c>
      <c r="AA666" s="79">
        <v>59.563310000000001</v>
      </c>
      <c r="AB666" s="79"/>
      <c r="AC666" s="79">
        <v>60.127400000000002</v>
      </c>
      <c r="AD666" s="79"/>
      <c r="AE666" s="79"/>
      <c r="AF666" s="79">
        <v>62.618859999999998</v>
      </c>
      <c r="AG666" s="79">
        <v>41.894950000000001</v>
      </c>
      <c r="AH666" s="79"/>
      <c r="AI666" s="79"/>
      <c r="AJ666" s="79">
        <v>51.370780000000003</v>
      </c>
      <c r="AK666" s="79"/>
      <c r="AL666" s="79"/>
      <c r="AM666" s="79">
        <v>61.19717</v>
      </c>
      <c r="AN666" s="79"/>
      <c r="AO666" s="79">
        <v>45.119259999999997</v>
      </c>
      <c r="AP666" s="79"/>
      <c r="AQ666" s="79"/>
      <c r="AR666" s="79"/>
      <c r="AS666" s="79"/>
      <c r="AT666" s="79"/>
      <c r="AU666" s="79"/>
      <c r="AV666" s="79"/>
      <c r="AW666" s="79"/>
      <c r="AX666" s="79"/>
      <c r="AY666" s="79"/>
    </row>
    <row r="667" spans="1:51" x14ac:dyDescent="0.2">
      <c r="A667" t="s">
        <v>1212</v>
      </c>
      <c r="B667" s="1">
        <v>27181</v>
      </c>
      <c r="C667" s="78">
        <v>667</v>
      </c>
      <c r="E667" s="1">
        <f t="shared" si="20"/>
        <v>27181</v>
      </c>
      <c r="F667" s="2">
        <f t="shared" si="21"/>
        <v>27181</v>
      </c>
      <c r="G667" s="78">
        <v>665</v>
      </c>
      <c r="H667" s="79"/>
      <c r="I667" s="79"/>
      <c r="J667" s="79">
        <v>52.623649999999998</v>
      </c>
      <c r="K667" s="79">
        <v>51.682020000000001</v>
      </c>
      <c r="L667" s="79"/>
      <c r="M667" s="79"/>
      <c r="N667" s="79">
        <v>55.237200000000001</v>
      </c>
      <c r="O667" s="79">
        <v>55.029910000000001</v>
      </c>
      <c r="P667" s="79">
        <v>75.191310000000001</v>
      </c>
      <c r="Q667" s="79"/>
      <c r="R667" s="79">
        <v>42.273200000000003</v>
      </c>
      <c r="S667" s="79">
        <v>76.153679999999994</v>
      </c>
      <c r="T667" s="79">
        <v>80.469920000000002</v>
      </c>
      <c r="U667" s="79">
        <v>82.943759999999997</v>
      </c>
      <c r="V667" s="79"/>
      <c r="W667" s="79"/>
      <c r="X667" s="79"/>
      <c r="Y667" s="79"/>
      <c r="Z667" s="79">
        <v>86.336290000000005</v>
      </c>
      <c r="AA667" s="79">
        <v>57.964860000000002</v>
      </c>
      <c r="AB667" s="79"/>
      <c r="AC667" s="79">
        <v>60.527169999999998</v>
      </c>
      <c r="AD667" s="79"/>
      <c r="AE667" s="79"/>
      <c r="AF667" s="79">
        <v>63.620759999999997</v>
      </c>
      <c r="AG667" s="79">
        <v>41.121510000000001</v>
      </c>
      <c r="AH667" s="79"/>
      <c r="AI667" s="79"/>
      <c r="AJ667" s="79">
        <v>51.154699999999998</v>
      </c>
      <c r="AK667" s="79"/>
      <c r="AL667" s="79"/>
      <c r="AM667" s="79">
        <v>62.921039999999998</v>
      </c>
      <c r="AN667" s="79"/>
      <c r="AO667" s="79">
        <v>45.070279999999997</v>
      </c>
      <c r="AP667" s="79"/>
      <c r="AQ667" s="79"/>
      <c r="AR667" s="79"/>
      <c r="AS667" s="79"/>
      <c r="AT667" s="79"/>
      <c r="AU667" s="79"/>
      <c r="AV667" s="79"/>
      <c r="AW667" s="79"/>
      <c r="AX667" s="79"/>
      <c r="AY667" s="79"/>
    </row>
    <row r="668" spans="1:51" x14ac:dyDescent="0.2">
      <c r="A668" t="s">
        <v>1213</v>
      </c>
      <c r="B668" s="1">
        <v>27211</v>
      </c>
      <c r="C668" s="78">
        <v>668</v>
      </c>
      <c r="E668" s="1">
        <f t="shared" si="20"/>
        <v>27211</v>
      </c>
      <c r="F668" s="2">
        <f t="shared" si="21"/>
        <v>27211</v>
      </c>
      <c r="G668" s="78">
        <v>666</v>
      </c>
      <c r="H668" s="79"/>
      <c r="I668" s="79"/>
      <c r="J668" s="79">
        <v>51.123089999999998</v>
      </c>
      <c r="K668" s="79">
        <v>51.430149999999998</v>
      </c>
      <c r="L668" s="79"/>
      <c r="M668" s="79"/>
      <c r="N668" s="79">
        <v>55.17548</v>
      </c>
      <c r="O668" s="79">
        <v>55.029910000000001</v>
      </c>
      <c r="P668" s="79">
        <v>74.858639999999994</v>
      </c>
      <c r="Q668" s="79"/>
      <c r="R668" s="79">
        <v>43.893070000000002</v>
      </c>
      <c r="S668" s="79">
        <v>78.291110000000003</v>
      </c>
      <c r="T668" s="79">
        <v>80.176950000000005</v>
      </c>
      <c r="U668" s="79">
        <v>76.348910000000004</v>
      </c>
      <c r="V668" s="79"/>
      <c r="W668" s="79"/>
      <c r="X668" s="79"/>
      <c r="Y668" s="79"/>
      <c r="Z668" s="79">
        <v>81.507639999999995</v>
      </c>
      <c r="AA668" s="79">
        <v>57.375959999999999</v>
      </c>
      <c r="AB668" s="79"/>
      <c r="AC668" s="79">
        <v>62.662689999999998</v>
      </c>
      <c r="AD668" s="79"/>
      <c r="AE668" s="79"/>
      <c r="AF668" s="79">
        <v>63.620759999999997</v>
      </c>
      <c r="AG668" s="79">
        <v>41.207450000000001</v>
      </c>
      <c r="AH668" s="79"/>
      <c r="AI668" s="79"/>
      <c r="AJ668" s="79">
        <v>51.701059999999998</v>
      </c>
      <c r="AK668" s="79"/>
      <c r="AL668" s="79"/>
      <c r="AM668" s="79">
        <v>60.737479999999998</v>
      </c>
      <c r="AN668" s="79"/>
      <c r="AO668" s="79">
        <v>45.092460000000003</v>
      </c>
      <c r="AP668" s="79"/>
      <c r="AQ668" s="79"/>
      <c r="AR668" s="79"/>
      <c r="AS668" s="79"/>
      <c r="AT668" s="79"/>
      <c r="AU668" s="79"/>
      <c r="AV668" s="79"/>
      <c r="AW668" s="79"/>
      <c r="AX668" s="79"/>
      <c r="AY668" s="79"/>
    </row>
    <row r="669" spans="1:51" x14ac:dyDescent="0.2">
      <c r="A669" t="s">
        <v>1214</v>
      </c>
      <c r="B669" s="1">
        <v>27242</v>
      </c>
      <c r="C669" s="78">
        <v>669</v>
      </c>
      <c r="E669" s="1">
        <f t="shared" si="20"/>
        <v>27242</v>
      </c>
      <c r="F669" s="2">
        <f t="shared" si="21"/>
        <v>27242</v>
      </c>
      <c r="G669" s="78">
        <v>667</v>
      </c>
      <c r="H669" s="79"/>
      <c r="I669" s="79"/>
      <c r="J669" s="79">
        <v>51.699890000000003</v>
      </c>
      <c r="K669" s="79">
        <v>51.371879999999997</v>
      </c>
      <c r="L669" s="79"/>
      <c r="M669" s="79"/>
      <c r="N669" s="79">
        <v>53.817700000000002</v>
      </c>
      <c r="O669" s="79">
        <v>53.779229999999998</v>
      </c>
      <c r="P669" s="79">
        <v>84.437950000000001</v>
      </c>
      <c r="Q669" s="79"/>
      <c r="R669" s="79">
        <v>42.377490000000002</v>
      </c>
      <c r="S669" s="79">
        <v>78.291110000000003</v>
      </c>
      <c r="T669" s="79">
        <v>80.372259999999997</v>
      </c>
      <c r="U669" s="79">
        <v>83.212429999999998</v>
      </c>
      <c r="V669" s="79"/>
      <c r="W669" s="79"/>
      <c r="X669" s="79"/>
      <c r="Y669" s="79"/>
      <c r="Z669" s="79">
        <v>81.507639999999995</v>
      </c>
      <c r="AA669" s="79">
        <v>56.534669999999998</v>
      </c>
      <c r="AB669" s="79"/>
      <c r="AC669" s="79">
        <v>63.221980000000002</v>
      </c>
      <c r="AD669" s="79"/>
      <c r="AE669" s="79"/>
      <c r="AF669" s="79">
        <v>64.121709999999993</v>
      </c>
      <c r="AG669" s="79">
        <v>42.1098</v>
      </c>
      <c r="AH669" s="79"/>
      <c r="AI669" s="79"/>
      <c r="AJ669" s="79">
        <v>52.467849999999999</v>
      </c>
      <c r="AK669" s="79"/>
      <c r="AL669" s="79"/>
      <c r="AM669" s="79">
        <v>60.909860000000002</v>
      </c>
      <c r="AN669" s="79"/>
      <c r="AO669" s="79">
        <v>44.654760000000003</v>
      </c>
      <c r="AP669" s="79"/>
      <c r="AQ669" s="79"/>
      <c r="AR669" s="79"/>
      <c r="AS669" s="79"/>
      <c r="AT669" s="79"/>
      <c r="AU669" s="79"/>
      <c r="AV669" s="79"/>
      <c r="AW669" s="79"/>
      <c r="AX669" s="79"/>
      <c r="AY669" s="79"/>
    </row>
    <row r="670" spans="1:51" x14ac:dyDescent="0.2">
      <c r="A670" t="s">
        <v>1215</v>
      </c>
      <c r="B670" s="1">
        <v>27273</v>
      </c>
      <c r="C670" s="78">
        <v>670</v>
      </c>
      <c r="E670" s="1">
        <f t="shared" si="20"/>
        <v>27273</v>
      </c>
      <c r="F670" s="2">
        <f t="shared" si="21"/>
        <v>27273</v>
      </c>
      <c r="G670" s="78">
        <v>668</v>
      </c>
      <c r="H670" s="79"/>
      <c r="I670" s="79"/>
      <c r="J670" s="79">
        <v>51.76238</v>
      </c>
      <c r="K670" s="79">
        <v>50.712130000000002</v>
      </c>
      <c r="L670" s="79"/>
      <c r="M670" s="79"/>
      <c r="N670" s="79">
        <v>53.941130000000001</v>
      </c>
      <c r="O670" s="79">
        <v>53.779229999999998</v>
      </c>
      <c r="P670" s="79">
        <v>73.806240000000003</v>
      </c>
      <c r="Q670" s="79"/>
      <c r="R670" s="79">
        <v>40.985770000000002</v>
      </c>
      <c r="S670" s="79">
        <v>74.626940000000005</v>
      </c>
      <c r="T670" s="79">
        <v>78.907399999999996</v>
      </c>
      <c r="U670" s="79">
        <v>83.063370000000006</v>
      </c>
      <c r="V670" s="79"/>
      <c r="W670" s="79"/>
      <c r="X670" s="79"/>
      <c r="Y670" s="79"/>
      <c r="Z670" s="79">
        <v>82.473370000000003</v>
      </c>
      <c r="AA670" s="79">
        <v>55.94576</v>
      </c>
      <c r="AB670" s="79"/>
      <c r="AC670" s="79">
        <v>61.566139999999997</v>
      </c>
      <c r="AD670" s="79"/>
      <c r="AE670" s="79"/>
      <c r="AF670" s="79">
        <v>63.620759999999997</v>
      </c>
      <c r="AG670" s="79">
        <v>40.906660000000002</v>
      </c>
      <c r="AH670" s="79"/>
      <c r="AI670" s="79"/>
      <c r="AJ670" s="79">
        <v>47.975169999999999</v>
      </c>
      <c r="AK670" s="79"/>
      <c r="AL670" s="79"/>
      <c r="AM670" s="79">
        <v>60.565089999999998</v>
      </c>
      <c r="AN670" s="79"/>
      <c r="AO670" s="79">
        <v>44.676760000000002</v>
      </c>
      <c r="AP670" s="79"/>
      <c r="AQ670" s="79"/>
      <c r="AR670" s="79"/>
      <c r="AS670" s="79"/>
      <c r="AT670" s="79"/>
      <c r="AU670" s="79"/>
      <c r="AV670" s="79"/>
      <c r="AW670" s="79"/>
      <c r="AX670" s="79"/>
      <c r="AY670" s="79"/>
    </row>
    <row r="671" spans="1:51" x14ac:dyDescent="0.2">
      <c r="A671" t="s">
        <v>1216</v>
      </c>
      <c r="B671" s="1">
        <v>27303</v>
      </c>
      <c r="C671" s="78">
        <v>671</v>
      </c>
      <c r="E671" s="1">
        <f t="shared" si="20"/>
        <v>27303</v>
      </c>
      <c r="F671" s="2">
        <f t="shared" si="21"/>
        <v>27303</v>
      </c>
      <c r="G671" s="78">
        <v>669</v>
      </c>
      <c r="H671" s="79"/>
      <c r="I671" s="79"/>
      <c r="J671" s="79">
        <v>50.756520000000002</v>
      </c>
      <c r="K671" s="79">
        <v>50.640239999999999</v>
      </c>
      <c r="L671" s="79"/>
      <c r="M671" s="79"/>
      <c r="N671" s="79">
        <v>53.755980000000001</v>
      </c>
      <c r="O671" s="79">
        <v>51.903210000000001</v>
      </c>
      <c r="P671" s="79">
        <v>75.419700000000006</v>
      </c>
      <c r="Q671" s="79"/>
      <c r="R671" s="79">
        <v>41.490960000000001</v>
      </c>
      <c r="S671" s="79">
        <v>74.749080000000006</v>
      </c>
      <c r="T671" s="79">
        <v>77.344880000000003</v>
      </c>
      <c r="U671" s="79">
        <v>83.110690000000005</v>
      </c>
      <c r="V671" s="79"/>
      <c r="W671" s="79"/>
      <c r="X671" s="79"/>
      <c r="Y671" s="79"/>
      <c r="Z671" s="79">
        <v>77.934430000000006</v>
      </c>
      <c r="AA671" s="79">
        <v>54.767960000000002</v>
      </c>
      <c r="AB671" s="79"/>
      <c r="AC671" s="79">
        <v>61.609589999999997</v>
      </c>
      <c r="AD671" s="79"/>
      <c r="AE671" s="79"/>
      <c r="AF671" s="79">
        <v>62.618859999999998</v>
      </c>
      <c r="AG671" s="79">
        <v>41.894950000000001</v>
      </c>
      <c r="AH671" s="79"/>
      <c r="AI671" s="79"/>
      <c r="AJ671" s="79">
        <v>52.024459999999998</v>
      </c>
      <c r="AK671" s="79"/>
      <c r="AL671" s="79"/>
      <c r="AM671" s="79">
        <v>61.024790000000003</v>
      </c>
      <c r="AN671" s="79"/>
      <c r="AO671" s="79">
        <v>44.510109999999997</v>
      </c>
      <c r="AP671" s="79"/>
      <c r="AQ671" s="79"/>
      <c r="AR671" s="79"/>
      <c r="AS671" s="79"/>
      <c r="AT671" s="79"/>
      <c r="AU671" s="79"/>
      <c r="AV671" s="79"/>
      <c r="AW671" s="79"/>
      <c r="AX671" s="79"/>
      <c r="AY671" s="79"/>
    </row>
    <row r="672" spans="1:51" x14ac:dyDescent="0.2">
      <c r="A672" t="s">
        <v>1217</v>
      </c>
      <c r="B672" s="1">
        <v>27334</v>
      </c>
      <c r="C672" s="78">
        <v>672</v>
      </c>
      <c r="E672" s="1">
        <f t="shared" si="20"/>
        <v>27334</v>
      </c>
      <c r="F672" s="2">
        <f t="shared" si="21"/>
        <v>27334</v>
      </c>
      <c r="G672" s="78">
        <v>670</v>
      </c>
      <c r="H672" s="79"/>
      <c r="I672" s="79"/>
      <c r="J672" s="79">
        <v>50.792299999999997</v>
      </c>
      <c r="K672" s="79">
        <v>49.728610000000003</v>
      </c>
      <c r="L672" s="79"/>
      <c r="M672" s="79"/>
      <c r="N672" s="79">
        <v>53.385669999999998</v>
      </c>
      <c r="O672" s="79">
        <v>52.528550000000003</v>
      </c>
      <c r="P672" s="79">
        <v>71.656549999999996</v>
      </c>
      <c r="Q672" s="79"/>
      <c r="R672" s="79">
        <v>41.367109999999997</v>
      </c>
      <c r="S672" s="79">
        <v>71.817740000000001</v>
      </c>
      <c r="T672" s="79">
        <v>77.247219999999999</v>
      </c>
      <c r="U672" s="79">
        <v>83.362160000000003</v>
      </c>
      <c r="V672" s="79"/>
      <c r="W672" s="79"/>
      <c r="X672" s="79"/>
      <c r="Y672" s="79"/>
      <c r="Z672" s="79">
        <v>78.031009999999995</v>
      </c>
      <c r="AA672" s="79">
        <v>53.84254</v>
      </c>
      <c r="AB672" s="79"/>
      <c r="AC672" s="79">
        <v>55.800330000000002</v>
      </c>
      <c r="AD672" s="79"/>
      <c r="AE672" s="79"/>
      <c r="AF672" s="79">
        <v>62.618859999999998</v>
      </c>
      <c r="AG672" s="79">
        <v>42.281680000000001</v>
      </c>
      <c r="AH672" s="79"/>
      <c r="AI672" s="79"/>
      <c r="AJ672" s="79">
        <v>49.812150000000003</v>
      </c>
      <c r="AK672" s="79"/>
      <c r="AL672" s="79"/>
      <c r="AM672" s="79">
        <v>61.139710000000001</v>
      </c>
      <c r="AN672" s="79"/>
      <c r="AO672" s="79">
        <v>43.050899999999999</v>
      </c>
      <c r="AP672" s="79"/>
      <c r="AQ672" s="79"/>
      <c r="AR672" s="79"/>
      <c r="AS672" s="79"/>
      <c r="AT672" s="79"/>
      <c r="AU672" s="79"/>
      <c r="AV672" s="79"/>
      <c r="AW672" s="79"/>
      <c r="AX672" s="79"/>
      <c r="AY672" s="79"/>
    </row>
    <row r="673" spans="1:51" x14ac:dyDescent="0.2">
      <c r="A673" t="s">
        <v>1218</v>
      </c>
      <c r="B673" s="1">
        <v>27364</v>
      </c>
      <c r="C673" s="78">
        <v>673</v>
      </c>
      <c r="E673" s="1">
        <f t="shared" si="20"/>
        <v>27364</v>
      </c>
      <c r="F673" s="2">
        <f t="shared" si="21"/>
        <v>27364</v>
      </c>
      <c r="G673" s="78">
        <v>671</v>
      </c>
      <c r="H673" s="79"/>
      <c r="I673" s="79"/>
      <c r="J673" s="79">
        <v>48.203139999999998</v>
      </c>
      <c r="K673" s="79">
        <v>49.612549999999999</v>
      </c>
      <c r="L673" s="79"/>
      <c r="M673" s="79"/>
      <c r="N673" s="79">
        <v>50.731819999999999</v>
      </c>
      <c r="O673" s="79">
        <v>50.027189999999997</v>
      </c>
      <c r="P673" s="79">
        <v>70.332059999999998</v>
      </c>
      <c r="Q673" s="79"/>
      <c r="R673" s="79">
        <v>41.187849999999997</v>
      </c>
      <c r="S673" s="79">
        <v>70.596350000000001</v>
      </c>
      <c r="T673" s="79">
        <v>75.977670000000003</v>
      </c>
      <c r="U673" s="79">
        <v>84.269059999999996</v>
      </c>
      <c r="V673" s="79"/>
      <c r="W673" s="79"/>
      <c r="X673" s="79"/>
      <c r="Y673" s="79"/>
      <c r="Z673" s="79">
        <v>74.650959999999998</v>
      </c>
      <c r="AA673" s="79">
        <v>52.832990000000002</v>
      </c>
      <c r="AB673" s="79"/>
      <c r="AC673" s="79">
        <v>54.170439999999999</v>
      </c>
      <c r="AD673" s="79"/>
      <c r="AE673" s="79"/>
      <c r="AF673" s="79">
        <v>59.613149999999997</v>
      </c>
      <c r="AG673" s="79">
        <v>40.476970000000001</v>
      </c>
      <c r="AH673" s="79"/>
      <c r="AI673" s="79"/>
      <c r="AJ673" s="79">
        <v>52.229349999999997</v>
      </c>
      <c r="AK673" s="79"/>
      <c r="AL673" s="79"/>
      <c r="AM673" s="79">
        <v>59.01361</v>
      </c>
      <c r="AN673" s="79"/>
      <c r="AO673" s="79">
        <v>41.526670000000003</v>
      </c>
      <c r="AP673" s="79"/>
      <c r="AQ673" s="79"/>
      <c r="AR673" s="79"/>
      <c r="AS673" s="79"/>
      <c r="AT673" s="79"/>
      <c r="AU673" s="79"/>
      <c r="AV673" s="79"/>
      <c r="AW673" s="79"/>
      <c r="AX673" s="79"/>
      <c r="AY673" s="79"/>
    </row>
    <row r="674" spans="1:51" x14ac:dyDescent="0.2">
      <c r="A674" t="s">
        <v>1219</v>
      </c>
      <c r="B674" s="1">
        <v>27395</v>
      </c>
      <c r="C674" s="78">
        <v>674</v>
      </c>
      <c r="E674" s="1">
        <f t="shared" si="20"/>
        <v>27395</v>
      </c>
      <c r="F674" s="2">
        <f t="shared" si="21"/>
        <v>27395</v>
      </c>
      <c r="G674" s="78">
        <v>672</v>
      </c>
      <c r="H674" s="79"/>
      <c r="I674" s="79"/>
      <c r="J674" s="79">
        <v>47.655059999999999</v>
      </c>
      <c r="K674" s="79">
        <v>47.93027</v>
      </c>
      <c r="L674" s="79"/>
      <c r="M674" s="79"/>
      <c r="N674" s="79">
        <v>51.040410000000001</v>
      </c>
      <c r="O674" s="79">
        <v>51.903210000000001</v>
      </c>
      <c r="P674" s="79">
        <v>71.104799999999997</v>
      </c>
      <c r="Q674" s="79"/>
      <c r="R674" s="79">
        <v>41.41986</v>
      </c>
      <c r="S674" s="79">
        <v>69.802440000000004</v>
      </c>
      <c r="T674" s="79">
        <v>76.661270000000002</v>
      </c>
      <c r="U674" s="79">
        <v>84.276669999999996</v>
      </c>
      <c r="V674" s="79"/>
      <c r="W674" s="79"/>
      <c r="X674" s="79"/>
      <c r="Y674" s="79"/>
      <c r="Z674" s="79">
        <v>74.071520000000007</v>
      </c>
      <c r="AA674" s="79">
        <v>50.813899999999997</v>
      </c>
      <c r="AB674" s="79"/>
      <c r="AC674" s="79">
        <v>51.00855</v>
      </c>
      <c r="AD674" s="79"/>
      <c r="AE674" s="79"/>
      <c r="AF674" s="79">
        <v>59.52966</v>
      </c>
      <c r="AG674" s="79">
        <v>38.121029999999998</v>
      </c>
      <c r="AH674" s="79">
        <v>43.457529999999998</v>
      </c>
      <c r="AI674" s="79"/>
      <c r="AJ674" s="79">
        <v>50.850140000000003</v>
      </c>
      <c r="AK674" s="79"/>
      <c r="AL674" s="79"/>
      <c r="AM674" s="79">
        <v>62.346420000000002</v>
      </c>
      <c r="AN674" s="79"/>
      <c r="AO674" s="79">
        <v>40.956989999999998</v>
      </c>
      <c r="AP674" s="79"/>
      <c r="AQ674" s="79"/>
      <c r="AR674" s="79"/>
      <c r="AS674" s="79"/>
      <c r="AT674" s="79"/>
      <c r="AU674" s="79"/>
      <c r="AV674" s="79"/>
      <c r="AW674" s="79"/>
      <c r="AX674" s="79"/>
      <c r="AY674" s="79">
        <v>47.677489999999999</v>
      </c>
    </row>
    <row r="675" spans="1:51" x14ac:dyDescent="0.2">
      <c r="A675" t="s">
        <v>1220</v>
      </c>
      <c r="B675" s="1">
        <v>27426</v>
      </c>
      <c r="C675" s="78">
        <v>675</v>
      </c>
      <c r="E675" s="1">
        <f t="shared" si="20"/>
        <v>27426</v>
      </c>
      <c r="F675" s="2">
        <f t="shared" si="21"/>
        <v>27426</v>
      </c>
      <c r="G675" s="78">
        <v>673</v>
      </c>
      <c r="H675" s="79"/>
      <c r="I675" s="79"/>
      <c r="J675" s="79">
        <v>46.842939999999999</v>
      </c>
      <c r="K675" s="79">
        <v>47.962690000000002</v>
      </c>
      <c r="L675" s="79"/>
      <c r="M675" s="79"/>
      <c r="N675" s="79">
        <v>50.79354</v>
      </c>
      <c r="O675" s="79">
        <v>51.903210000000001</v>
      </c>
      <c r="P675" s="79">
        <v>71.42765</v>
      </c>
      <c r="Q675" s="79"/>
      <c r="R675" s="79">
        <v>41.521259999999998</v>
      </c>
      <c r="S675" s="79">
        <v>69.558170000000004</v>
      </c>
      <c r="T675" s="79">
        <v>76.075329999999994</v>
      </c>
      <c r="U675" s="79">
        <v>85.586960000000005</v>
      </c>
      <c r="V675" s="79"/>
      <c r="W675" s="79"/>
      <c r="X675" s="79"/>
      <c r="Y675" s="79"/>
      <c r="Z675" s="79">
        <v>74.071520000000007</v>
      </c>
      <c r="AA675" s="79">
        <v>50.30912</v>
      </c>
      <c r="AB675" s="79"/>
      <c r="AC675" s="79">
        <v>52.991289999999999</v>
      </c>
      <c r="AD675" s="79"/>
      <c r="AE675" s="79"/>
      <c r="AF675" s="79">
        <v>59.52966</v>
      </c>
      <c r="AG675" s="79">
        <v>40.924050000000001</v>
      </c>
      <c r="AH675" s="79">
        <v>43.008029999999998</v>
      </c>
      <c r="AI675" s="79"/>
      <c r="AJ675" s="79">
        <v>51.529640000000001</v>
      </c>
      <c r="AK675" s="79"/>
      <c r="AL675" s="79"/>
      <c r="AM675" s="79">
        <v>61.082250000000002</v>
      </c>
      <c r="AN675" s="79"/>
      <c r="AO675" s="79">
        <v>40.01502</v>
      </c>
      <c r="AP675" s="79"/>
      <c r="AQ675" s="79"/>
      <c r="AR675" s="79"/>
      <c r="AS675" s="79"/>
      <c r="AT675" s="79"/>
      <c r="AU675" s="79"/>
      <c r="AV675" s="79"/>
      <c r="AW675" s="79"/>
      <c r="AX675" s="79"/>
      <c r="AY675" s="79">
        <v>47.577530000000003</v>
      </c>
    </row>
    <row r="676" spans="1:51" x14ac:dyDescent="0.2">
      <c r="A676" t="s">
        <v>1221</v>
      </c>
      <c r="B676" s="1">
        <v>27454</v>
      </c>
      <c r="C676" s="78">
        <v>676</v>
      </c>
      <c r="E676" s="1">
        <f t="shared" si="20"/>
        <v>27454</v>
      </c>
      <c r="F676" s="2">
        <f t="shared" si="21"/>
        <v>27454</v>
      </c>
      <c r="G676" s="78">
        <v>674</v>
      </c>
      <c r="H676" s="79"/>
      <c r="I676" s="79"/>
      <c r="J676" s="79">
        <v>47.518360000000001</v>
      </c>
      <c r="K676" s="79">
        <v>47.139409999999998</v>
      </c>
      <c r="L676" s="79"/>
      <c r="M676" s="79"/>
      <c r="N676" s="79">
        <v>51.348999999999997</v>
      </c>
      <c r="O676" s="79">
        <v>48.15117</v>
      </c>
      <c r="P676" s="79">
        <v>78.003399999999999</v>
      </c>
      <c r="Q676" s="79"/>
      <c r="R676" s="79">
        <v>41.014290000000003</v>
      </c>
      <c r="S676" s="79">
        <v>68.519990000000007</v>
      </c>
      <c r="T676" s="79">
        <v>74.610460000000003</v>
      </c>
      <c r="U676" s="79">
        <v>86.635210000000001</v>
      </c>
      <c r="V676" s="79"/>
      <c r="W676" s="79"/>
      <c r="X676" s="79"/>
      <c r="Y676" s="79"/>
      <c r="Z676" s="79">
        <v>74.071520000000007</v>
      </c>
      <c r="AA676" s="79">
        <v>49.636090000000003</v>
      </c>
      <c r="AB676" s="79"/>
      <c r="AC676" s="79">
        <v>52.454320000000003</v>
      </c>
      <c r="AD676" s="79"/>
      <c r="AE676" s="79"/>
      <c r="AF676" s="79">
        <v>60.124960000000002</v>
      </c>
      <c r="AG676" s="79">
        <v>42.045250000000003</v>
      </c>
      <c r="AH676" s="79">
        <v>42.859850000000002</v>
      </c>
      <c r="AI676" s="79"/>
      <c r="AJ676" s="79">
        <v>49.447279999999999</v>
      </c>
      <c r="AK676" s="79"/>
      <c r="AL676" s="79"/>
      <c r="AM676" s="79">
        <v>62.059100000000001</v>
      </c>
      <c r="AN676" s="79"/>
      <c r="AO676" s="79">
        <v>39.58596</v>
      </c>
      <c r="AP676" s="79"/>
      <c r="AQ676" s="79"/>
      <c r="AR676" s="79"/>
      <c r="AS676" s="79"/>
      <c r="AT676" s="79"/>
      <c r="AU676" s="79"/>
      <c r="AV676" s="79"/>
      <c r="AW676" s="79"/>
      <c r="AX676" s="79"/>
      <c r="AY676" s="79">
        <v>46.69941</v>
      </c>
    </row>
    <row r="677" spans="1:51" x14ac:dyDescent="0.2">
      <c r="A677" t="s">
        <v>1222</v>
      </c>
      <c r="B677" s="1">
        <v>27485</v>
      </c>
      <c r="C677" s="78">
        <v>677</v>
      </c>
      <c r="E677" s="1">
        <f t="shared" si="20"/>
        <v>27485</v>
      </c>
      <c r="F677" s="2">
        <f t="shared" si="21"/>
        <v>27485</v>
      </c>
      <c r="G677" s="78">
        <v>675</v>
      </c>
      <c r="H677" s="79"/>
      <c r="I677" s="79"/>
      <c r="J677" s="79">
        <v>43.360889999999998</v>
      </c>
      <c r="K677" s="79">
        <v>47.570320000000002</v>
      </c>
      <c r="L677" s="79"/>
      <c r="M677" s="79"/>
      <c r="N677" s="79">
        <v>50.670099999999998</v>
      </c>
      <c r="O677" s="79">
        <v>52.528550000000003</v>
      </c>
      <c r="P677" s="79">
        <v>68.609660000000005</v>
      </c>
      <c r="Q677" s="79"/>
      <c r="R677" s="79">
        <v>41.166379999999997</v>
      </c>
      <c r="S677" s="79">
        <v>68.703190000000006</v>
      </c>
      <c r="T677" s="79">
        <v>73.340909999999994</v>
      </c>
      <c r="U677" s="79">
        <v>87.441810000000004</v>
      </c>
      <c r="V677" s="79"/>
      <c r="W677" s="79"/>
      <c r="X677" s="79"/>
      <c r="Y677" s="79"/>
      <c r="Z677" s="79">
        <v>72.526340000000005</v>
      </c>
      <c r="AA677" s="79">
        <v>50.813899999999997</v>
      </c>
      <c r="AB677" s="79"/>
      <c r="AC677" s="79">
        <v>45.666220000000003</v>
      </c>
      <c r="AD677" s="79"/>
      <c r="AE677" s="79"/>
      <c r="AF677" s="79">
        <v>58.934359999999998</v>
      </c>
      <c r="AG677" s="79">
        <v>44.287669999999999</v>
      </c>
      <c r="AH677" s="79">
        <v>42.56033</v>
      </c>
      <c r="AI677" s="79"/>
      <c r="AJ677" s="79">
        <v>47.983989999999999</v>
      </c>
      <c r="AK677" s="79"/>
      <c r="AL677" s="79"/>
      <c r="AM677" s="79">
        <v>59.588230000000003</v>
      </c>
      <c r="AN677" s="79"/>
      <c r="AO677" s="79">
        <v>39.617179999999998</v>
      </c>
      <c r="AP677" s="79"/>
      <c r="AQ677" s="79"/>
      <c r="AR677" s="79"/>
      <c r="AS677" s="79"/>
      <c r="AT677" s="79"/>
      <c r="AU677" s="79"/>
      <c r="AV677" s="79"/>
      <c r="AW677" s="79"/>
      <c r="AX677" s="79"/>
      <c r="AY677" s="79">
        <v>49.662350000000004</v>
      </c>
    </row>
    <row r="678" spans="1:51" x14ac:dyDescent="0.2">
      <c r="A678" t="s">
        <v>1223</v>
      </c>
      <c r="B678" s="1">
        <v>27515</v>
      </c>
      <c r="C678" s="78">
        <v>678</v>
      </c>
      <c r="E678" s="1">
        <f t="shared" si="20"/>
        <v>27515</v>
      </c>
      <c r="F678" s="2">
        <f t="shared" si="21"/>
        <v>27515</v>
      </c>
      <c r="G678" s="78">
        <v>676</v>
      </c>
      <c r="H678" s="79"/>
      <c r="I678" s="79"/>
      <c r="J678" s="79">
        <v>45.238460000000003</v>
      </c>
      <c r="K678" s="79">
        <v>46.457569999999997</v>
      </c>
      <c r="L678" s="79"/>
      <c r="M678" s="79"/>
      <c r="N678" s="79">
        <v>50.484949999999998</v>
      </c>
      <c r="O678" s="79">
        <v>51.27787</v>
      </c>
      <c r="P678" s="79">
        <v>72.061779999999999</v>
      </c>
      <c r="Q678" s="79"/>
      <c r="R678" s="79">
        <v>39.087780000000002</v>
      </c>
      <c r="S678" s="79">
        <v>66.74897</v>
      </c>
      <c r="T678" s="79">
        <v>72.266679999999994</v>
      </c>
      <c r="U678" s="79">
        <v>86.244060000000005</v>
      </c>
      <c r="V678" s="79"/>
      <c r="W678" s="79"/>
      <c r="X678" s="79"/>
      <c r="Y678" s="79"/>
      <c r="Z678" s="79">
        <v>73.588650000000001</v>
      </c>
      <c r="AA678" s="79">
        <v>50.813899999999997</v>
      </c>
      <c r="AB678" s="79"/>
      <c r="AC678" s="79">
        <v>45.60248</v>
      </c>
      <c r="AD678" s="79"/>
      <c r="AE678" s="79"/>
      <c r="AF678" s="79">
        <v>59.52966</v>
      </c>
      <c r="AG678" s="79">
        <v>44.287669999999999</v>
      </c>
      <c r="AH678" s="79">
        <v>42.503459999999997</v>
      </c>
      <c r="AI678" s="79"/>
      <c r="AJ678" s="79">
        <v>49.572189999999999</v>
      </c>
      <c r="AK678" s="79"/>
      <c r="AL678" s="79"/>
      <c r="AM678" s="79">
        <v>59.415849999999999</v>
      </c>
      <c r="AN678" s="79"/>
      <c r="AO678" s="79">
        <v>39.526409999999998</v>
      </c>
      <c r="AP678" s="79"/>
      <c r="AQ678" s="79"/>
      <c r="AR678" s="79"/>
      <c r="AS678" s="79"/>
      <c r="AT678" s="79"/>
      <c r="AU678" s="79"/>
      <c r="AV678" s="79"/>
      <c r="AW678" s="79"/>
      <c r="AX678" s="79"/>
      <c r="AY678" s="79">
        <v>47.257620000000003</v>
      </c>
    </row>
    <row r="679" spans="1:51" x14ac:dyDescent="0.2">
      <c r="A679" t="s">
        <v>1224</v>
      </c>
      <c r="B679" s="1">
        <v>27546</v>
      </c>
      <c r="C679" s="78">
        <v>679</v>
      </c>
      <c r="E679" s="1">
        <f t="shared" si="20"/>
        <v>27546</v>
      </c>
      <c r="F679" s="2">
        <f t="shared" si="21"/>
        <v>27546</v>
      </c>
      <c r="G679" s="78">
        <v>677</v>
      </c>
      <c r="H679" s="79"/>
      <c r="I679" s="79"/>
      <c r="J679" s="79">
        <v>45.184690000000003</v>
      </c>
      <c r="K679" s="79">
        <v>47.104170000000003</v>
      </c>
      <c r="L679" s="79"/>
      <c r="M679" s="79"/>
      <c r="N679" s="79">
        <v>50.361519999999999</v>
      </c>
      <c r="O679" s="79">
        <v>51.27787</v>
      </c>
      <c r="P679" s="79">
        <v>71.973010000000002</v>
      </c>
      <c r="Q679" s="79"/>
      <c r="R679" s="79">
        <v>38.530110000000001</v>
      </c>
      <c r="S679" s="79">
        <v>68.397850000000005</v>
      </c>
      <c r="T679" s="79">
        <v>72.852620000000002</v>
      </c>
      <c r="U679" s="79">
        <v>86.243489999999994</v>
      </c>
      <c r="V679" s="79"/>
      <c r="W679" s="79"/>
      <c r="X679" s="79"/>
      <c r="Y679" s="79"/>
      <c r="Z679" s="79">
        <v>74.264660000000006</v>
      </c>
      <c r="AA679" s="79">
        <v>51.318669999999997</v>
      </c>
      <c r="AB679" s="79"/>
      <c r="AC679" s="79">
        <v>47.341760000000001</v>
      </c>
      <c r="AD679" s="79"/>
      <c r="AE679" s="79"/>
      <c r="AF679" s="79">
        <v>59.52966</v>
      </c>
      <c r="AG679" s="79">
        <v>44.848269999999999</v>
      </c>
      <c r="AH679" s="79">
        <v>42.762219999999999</v>
      </c>
      <c r="AI679" s="79"/>
      <c r="AJ679" s="79">
        <v>50.253279999999997</v>
      </c>
      <c r="AK679" s="79"/>
      <c r="AL679" s="79"/>
      <c r="AM679" s="79">
        <v>58.26661</v>
      </c>
      <c r="AN679" s="79"/>
      <c r="AO679" s="79">
        <v>39.786610000000003</v>
      </c>
      <c r="AP679" s="79"/>
      <c r="AQ679" s="79"/>
      <c r="AR679" s="79"/>
      <c r="AS679" s="79"/>
      <c r="AT679" s="79"/>
      <c r="AU679" s="79"/>
      <c r="AV679" s="79"/>
      <c r="AW679" s="79"/>
      <c r="AX679" s="79"/>
      <c r="AY679" s="79">
        <v>48.925730000000001</v>
      </c>
    </row>
    <row r="680" spans="1:51" x14ac:dyDescent="0.2">
      <c r="A680" t="s">
        <v>1225</v>
      </c>
      <c r="B680" s="1">
        <v>27576</v>
      </c>
      <c r="C680" s="78">
        <v>680</v>
      </c>
      <c r="E680" s="1">
        <f t="shared" si="20"/>
        <v>27576</v>
      </c>
      <c r="F680" s="2">
        <f t="shared" si="21"/>
        <v>27576</v>
      </c>
      <c r="G680" s="78">
        <v>678</v>
      </c>
      <c r="H680" s="79"/>
      <c r="I680" s="79"/>
      <c r="J680" s="79">
        <v>45.692959999999999</v>
      </c>
      <c r="K680" s="79">
        <v>47.755929999999999</v>
      </c>
      <c r="L680" s="79"/>
      <c r="M680" s="79"/>
      <c r="N680" s="79">
        <v>49.127160000000003</v>
      </c>
      <c r="O680" s="79">
        <v>53.153889999999997</v>
      </c>
      <c r="P680" s="79">
        <v>71.486680000000007</v>
      </c>
      <c r="Q680" s="79"/>
      <c r="R680" s="79">
        <v>41.876139999999999</v>
      </c>
      <c r="S680" s="79">
        <v>67.603939999999994</v>
      </c>
      <c r="T680" s="79">
        <v>71.876050000000006</v>
      </c>
      <c r="U680" s="79">
        <v>86.881290000000007</v>
      </c>
      <c r="V680" s="79"/>
      <c r="W680" s="79">
        <v>5.6704650000000001</v>
      </c>
      <c r="X680" s="79"/>
      <c r="Y680" s="79"/>
      <c r="Z680" s="79">
        <v>73.298929999999999</v>
      </c>
      <c r="AA680" s="79">
        <v>51.823439999999998</v>
      </c>
      <c r="AB680" s="79"/>
      <c r="AC680" s="79">
        <v>45.99586</v>
      </c>
      <c r="AD680" s="79"/>
      <c r="AE680" s="79"/>
      <c r="AF680" s="79">
        <v>58.33907</v>
      </c>
      <c r="AG680" s="79">
        <v>45.969479999999997</v>
      </c>
      <c r="AH680" s="79">
        <v>42.794539999999998</v>
      </c>
      <c r="AI680" s="79"/>
      <c r="AJ680" s="79">
        <v>51.089080000000003</v>
      </c>
      <c r="AK680" s="79"/>
      <c r="AL680" s="79"/>
      <c r="AM680" s="79">
        <v>59.588230000000003</v>
      </c>
      <c r="AN680" s="79"/>
      <c r="AO680" s="79">
        <v>40.171779999999998</v>
      </c>
      <c r="AP680" s="79">
        <v>56.692259999999997</v>
      </c>
      <c r="AQ680" s="79"/>
      <c r="AR680" s="79"/>
      <c r="AS680" s="79"/>
      <c r="AT680" s="79"/>
      <c r="AU680" s="79"/>
      <c r="AV680" s="79"/>
      <c r="AW680" s="79"/>
      <c r="AX680" s="79"/>
      <c r="AY680" s="79">
        <v>48.403669999999998</v>
      </c>
    </row>
    <row r="681" spans="1:51" x14ac:dyDescent="0.2">
      <c r="A681" t="s">
        <v>1226</v>
      </c>
      <c r="B681" s="1">
        <v>27607</v>
      </c>
      <c r="C681" s="78">
        <v>681</v>
      </c>
      <c r="E681" s="1">
        <f t="shared" si="20"/>
        <v>27607</v>
      </c>
      <c r="F681" s="2">
        <f t="shared" si="21"/>
        <v>27607</v>
      </c>
      <c r="G681" s="78">
        <v>679</v>
      </c>
      <c r="H681" s="79"/>
      <c r="I681" s="79"/>
      <c r="J681" s="79">
        <v>45.056609999999999</v>
      </c>
      <c r="K681" s="79">
        <v>47.393160000000002</v>
      </c>
      <c r="L681" s="79"/>
      <c r="M681" s="79"/>
      <c r="N681" s="79">
        <v>51.040410000000001</v>
      </c>
      <c r="O681" s="79">
        <v>51.27787</v>
      </c>
      <c r="P681" s="79">
        <v>76.692790000000002</v>
      </c>
      <c r="Q681" s="79"/>
      <c r="R681" s="79">
        <v>39.341270000000002</v>
      </c>
      <c r="S681" s="79">
        <v>67.603939999999994</v>
      </c>
      <c r="T681" s="79">
        <v>70.899469999999994</v>
      </c>
      <c r="U681" s="79">
        <v>89.199719999999999</v>
      </c>
      <c r="V681" s="79"/>
      <c r="W681" s="79">
        <v>5.7626670000000004</v>
      </c>
      <c r="X681" s="79"/>
      <c r="Y681" s="79"/>
      <c r="Z681" s="79">
        <v>73.781800000000004</v>
      </c>
      <c r="AA681" s="79">
        <v>51.823439999999998</v>
      </c>
      <c r="AB681" s="79"/>
      <c r="AC681" s="79">
        <v>36.727870000000003</v>
      </c>
      <c r="AD681" s="79"/>
      <c r="AE681" s="79"/>
      <c r="AF681" s="79">
        <v>58.33907</v>
      </c>
      <c r="AG681" s="79">
        <v>43.727060000000002</v>
      </c>
      <c r="AH681" s="79">
        <v>43.185659999999999</v>
      </c>
      <c r="AI681" s="79"/>
      <c r="AJ681" s="79">
        <v>45.984479999999998</v>
      </c>
      <c r="AK681" s="79"/>
      <c r="AL681" s="79"/>
      <c r="AM681" s="79">
        <v>59.358379999999997</v>
      </c>
      <c r="AN681" s="79"/>
      <c r="AO681" s="79">
        <v>40.588540000000002</v>
      </c>
      <c r="AP681" s="79">
        <v>57.463650000000001</v>
      </c>
      <c r="AQ681" s="79"/>
      <c r="AR681" s="79"/>
      <c r="AS681" s="79"/>
      <c r="AT681" s="79"/>
      <c r="AU681" s="79"/>
      <c r="AV681" s="79"/>
      <c r="AW681" s="79"/>
      <c r="AX681" s="79"/>
      <c r="AY681" s="79">
        <v>48.637949999999996</v>
      </c>
    </row>
    <row r="682" spans="1:51" x14ac:dyDescent="0.2">
      <c r="A682" t="s">
        <v>1227</v>
      </c>
      <c r="B682" s="1">
        <v>27638</v>
      </c>
      <c r="C682" s="78">
        <v>682</v>
      </c>
      <c r="E682" s="1">
        <f t="shared" si="20"/>
        <v>27638</v>
      </c>
      <c r="F682" s="2">
        <f t="shared" si="21"/>
        <v>27638</v>
      </c>
      <c r="G682" s="78">
        <v>680</v>
      </c>
      <c r="H682" s="79"/>
      <c r="I682" s="79"/>
      <c r="J682" s="79">
        <v>45.998840000000001</v>
      </c>
      <c r="K682" s="79">
        <v>47.625300000000003</v>
      </c>
      <c r="L682" s="79"/>
      <c r="M682" s="79"/>
      <c r="N682" s="79">
        <v>50.97869</v>
      </c>
      <c r="O682" s="79">
        <v>52.528550000000003</v>
      </c>
      <c r="P682" s="79">
        <v>72.622370000000004</v>
      </c>
      <c r="Q682" s="79"/>
      <c r="R682" s="79">
        <v>37.820340000000002</v>
      </c>
      <c r="S682" s="79">
        <v>68.092500000000001</v>
      </c>
      <c r="T682" s="79">
        <v>72.266679999999994</v>
      </c>
      <c r="U682" s="79">
        <v>88.251300000000001</v>
      </c>
      <c r="V682" s="79"/>
      <c r="W682" s="79">
        <v>5.5321610000000003</v>
      </c>
      <c r="X682" s="79"/>
      <c r="Y682" s="79"/>
      <c r="Z682" s="79">
        <v>72.719489999999993</v>
      </c>
      <c r="AA682" s="79">
        <v>52.24409</v>
      </c>
      <c r="AB682" s="79"/>
      <c r="AC682" s="79">
        <v>47.484059999999999</v>
      </c>
      <c r="AD682" s="79"/>
      <c r="AE682" s="79"/>
      <c r="AF682" s="79">
        <v>58.934359999999998</v>
      </c>
      <c r="AG682" s="79">
        <v>44.287669999999999</v>
      </c>
      <c r="AH682" s="79">
        <v>43.377310000000001</v>
      </c>
      <c r="AI682" s="79"/>
      <c r="AJ682" s="79">
        <v>48.797930000000001</v>
      </c>
      <c r="AK682" s="79"/>
      <c r="AL682" s="79"/>
      <c r="AM682" s="79">
        <v>58.668840000000003</v>
      </c>
      <c r="AN682" s="79"/>
      <c r="AO682" s="79">
        <v>41.090209999999999</v>
      </c>
      <c r="AP682" s="79">
        <v>57.36842</v>
      </c>
      <c r="AQ682" s="79"/>
      <c r="AR682" s="79"/>
      <c r="AS682" s="79"/>
      <c r="AT682" s="79"/>
      <c r="AU682" s="79"/>
      <c r="AV682" s="79"/>
      <c r="AW682" s="79"/>
      <c r="AX682" s="79"/>
      <c r="AY682" s="79">
        <v>49.96161</v>
      </c>
    </row>
    <row r="683" spans="1:51" x14ac:dyDescent="0.2">
      <c r="A683" t="s">
        <v>1228</v>
      </c>
      <c r="B683" s="1">
        <v>27668</v>
      </c>
      <c r="C683" s="78">
        <v>683</v>
      </c>
      <c r="E683" s="1">
        <f t="shared" si="20"/>
        <v>27668</v>
      </c>
      <c r="F683" s="2">
        <f t="shared" si="21"/>
        <v>27668</v>
      </c>
      <c r="G683" s="78">
        <v>681</v>
      </c>
      <c r="H683" s="79"/>
      <c r="I683" s="79"/>
      <c r="J683" s="79">
        <v>45.870240000000003</v>
      </c>
      <c r="K683" s="79">
        <v>47.169960000000003</v>
      </c>
      <c r="L683" s="79"/>
      <c r="M683" s="79"/>
      <c r="N683" s="79">
        <v>51.966169999999998</v>
      </c>
      <c r="O683" s="79">
        <v>54.40457</v>
      </c>
      <c r="P683" s="79">
        <v>72.768649999999994</v>
      </c>
      <c r="Q683" s="79"/>
      <c r="R683" s="79">
        <v>38.32732</v>
      </c>
      <c r="S683" s="79">
        <v>70.168869999999998</v>
      </c>
      <c r="T683" s="79">
        <v>73.145600000000002</v>
      </c>
      <c r="U683" s="79">
        <v>86.774159999999995</v>
      </c>
      <c r="V683" s="79"/>
      <c r="W683" s="79">
        <v>5.4706919999999997</v>
      </c>
      <c r="X683" s="79"/>
      <c r="Y683" s="79"/>
      <c r="Z683" s="79">
        <v>74.168090000000007</v>
      </c>
      <c r="AA683" s="79">
        <v>52.412350000000004</v>
      </c>
      <c r="AB683" s="79"/>
      <c r="AC683" s="79">
        <v>46.58126</v>
      </c>
      <c r="AD683" s="79"/>
      <c r="AE683" s="79"/>
      <c r="AF683" s="79">
        <v>59.52966</v>
      </c>
      <c r="AG683" s="79">
        <v>43.727060000000002</v>
      </c>
      <c r="AH683" s="79">
        <v>43.759830000000001</v>
      </c>
      <c r="AI683" s="79"/>
      <c r="AJ683" s="79">
        <v>50.953429999999997</v>
      </c>
      <c r="AK683" s="79"/>
      <c r="AL683" s="79"/>
      <c r="AM683" s="79">
        <v>58.553910000000002</v>
      </c>
      <c r="AN683" s="79"/>
      <c r="AO683" s="79">
        <v>41.271850000000001</v>
      </c>
      <c r="AP683" s="79">
        <v>58.330269999999999</v>
      </c>
      <c r="AQ683" s="79"/>
      <c r="AR683" s="79"/>
      <c r="AS683" s="79"/>
      <c r="AT683" s="79"/>
      <c r="AU683" s="79"/>
      <c r="AV683" s="79"/>
      <c r="AW683" s="79"/>
      <c r="AX683" s="79"/>
      <c r="AY683" s="79">
        <v>49.414279999999998</v>
      </c>
    </row>
    <row r="684" spans="1:51" x14ac:dyDescent="0.2">
      <c r="A684" t="s">
        <v>1229</v>
      </c>
      <c r="B684" s="1">
        <v>27699</v>
      </c>
      <c r="C684" s="78">
        <v>684</v>
      </c>
      <c r="E684" s="1">
        <f t="shared" si="20"/>
        <v>27699</v>
      </c>
      <c r="F684" s="2">
        <f t="shared" si="21"/>
        <v>27699</v>
      </c>
      <c r="G684" s="78">
        <v>682</v>
      </c>
      <c r="H684" s="79"/>
      <c r="I684" s="79"/>
      <c r="J684" s="79">
        <v>47.229979999999998</v>
      </c>
      <c r="K684" s="79">
        <v>48.238529999999997</v>
      </c>
      <c r="L684" s="79"/>
      <c r="M684" s="79"/>
      <c r="N684" s="79">
        <v>52.706780000000002</v>
      </c>
      <c r="O684" s="79">
        <v>55.029910000000001</v>
      </c>
      <c r="P684" s="79">
        <v>72.087980000000002</v>
      </c>
      <c r="Q684" s="79"/>
      <c r="R684" s="79">
        <v>39.594760000000001</v>
      </c>
      <c r="S684" s="79">
        <v>68.947469999999996</v>
      </c>
      <c r="T684" s="79">
        <v>73.243260000000006</v>
      </c>
      <c r="U684" s="79">
        <v>90.585489999999993</v>
      </c>
      <c r="V684" s="79"/>
      <c r="W684" s="79">
        <v>6.0392749999999999</v>
      </c>
      <c r="X684" s="79"/>
      <c r="Y684" s="79"/>
      <c r="Z684" s="79">
        <v>76.292689999999993</v>
      </c>
      <c r="AA684" s="79">
        <v>51.571060000000003</v>
      </c>
      <c r="AB684" s="79"/>
      <c r="AC684" s="79">
        <v>47.38861</v>
      </c>
      <c r="AD684" s="79"/>
      <c r="AE684" s="79"/>
      <c r="AF684" s="79">
        <v>61.910850000000003</v>
      </c>
      <c r="AG684" s="79">
        <v>44.287669999999999</v>
      </c>
      <c r="AH684" s="79">
        <v>43.92633</v>
      </c>
      <c r="AI684" s="79"/>
      <c r="AJ684" s="79">
        <v>50.168399999999998</v>
      </c>
      <c r="AK684" s="79"/>
      <c r="AL684" s="79"/>
      <c r="AM684" s="79">
        <v>59.358379999999997</v>
      </c>
      <c r="AN684" s="79"/>
      <c r="AO684" s="79">
        <v>41.360889999999998</v>
      </c>
      <c r="AP684" s="79">
        <v>58.806429999999999</v>
      </c>
      <c r="AQ684" s="79"/>
      <c r="AR684" s="79"/>
      <c r="AS684" s="79"/>
      <c r="AT684" s="79"/>
      <c r="AU684" s="79"/>
      <c r="AV684" s="79"/>
      <c r="AW684" s="79"/>
      <c r="AX684" s="79"/>
      <c r="AY684" s="79">
        <v>51.004489999999997</v>
      </c>
    </row>
    <row r="685" spans="1:51" x14ac:dyDescent="0.2">
      <c r="A685" t="s">
        <v>1230</v>
      </c>
      <c r="B685" s="1">
        <v>27729</v>
      </c>
      <c r="C685" s="78">
        <v>685</v>
      </c>
      <c r="E685" s="1">
        <f t="shared" si="20"/>
        <v>27729</v>
      </c>
      <c r="F685" s="2">
        <f t="shared" si="21"/>
        <v>27729</v>
      </c>
      <c r="G685" s="78">
        <v>683</v>
      </c>
      <c r="H685" s="79"/>
      <c r="I685" s="79"/>
      <c r="J685" s="79">
        <v>46.95476</v>
      </c>
      <c r="K685" s="79">
        <v>49.133710000000001</v>
      </c>
      <c r="L685" s="79"/>
      <c r="M685" s="79"/>
      <c r="N685" s="79">
        <v>52.645069999999997</v>
      </c>
      <c r="O685" s="79">
        <v>55.655250000000002</v>
      </c>
      <c r="P685" s="79">
        <v>73.033510000000007</v>
      </c>
      <c r="Q685" s="79"/>
      <c r="R685" s="79">
        <v>38.58081</v>
      </c>
      <c r="S685" s="79">
        <v>72.489509999999996</v>
      </c>
      <c r="T685" s="79">
        <v>72.852620000000002</v>
      </c>
      <c r="U685" s="79">
        <v>90.293099999999995</v>
      </c>
      <c r="V685" s="79"/>
      <c r="W685" s="79">
        <v>5.9009710000000002</v>
      </c>
      <c r="X685" s="79"/>
      <c r="Y685" s="79"/>
      <c r="Z685" s="79">
        <v>76.099549999999994</v>
      </c>
      <c r="AA685" s="79">
        <v>52.664729999999999</v>
      </c>
      <c r="AB685" s="79"/>
      <c r="AC685" s="79">
        <v>48.140860000000004</v>
      </c>
      <c r="AD685" s="79"/>
      <c r="AE685" s="79"/>
      <c r="AF685" s="79">
        <v>60.124960000000002</v>
      </c>
      <c r="AG685" s="79">
        <v>40.363439999999997</v>
      </c>
      <c r="AH685" s="79">
        <v>44.341839999999998</v>
      </c>
      <c r="AI685" s="79"/>
      <c r="AJ685" s="79">
        <v>48.733840000000001</v>
      </c>
      <c r="AK685" s="79"/>
      <c r="AL685" s="79"/>
      <c r="AM685" s="79">
        <v>58.611379999999997</v>
      </c>
      <c r="AN685" s="79"/>
      <c r="AO685" s="79">
        <v>41.875619999999998</v>
      </c>
      <c r="AP685" s="79">
        <v>59.187370000000001</v>
      </c>
      <c r="AQ685" s="79"/>
      <c r="AR685" s="79"/>
      <c r="AS685" s="79"/>
      <c r="AT685" s="79"/>
      <c r="AU685" s="79"/>
      <c r="AV685" s="79"/>
      <c r="AW685" s="79"/>
      <c r="AX685" s="79"/>
      <c r="AY685" s="79">
        <v>49.948770000000003</v>
      </c>
    </row>
    <row r="686" spans="1:51" x14ac:dyDescent="0.2">
      <c r="A686" t="s">
        <v>1231</v>
      </c>
      <c r="B686" s="1">
        <v>27760</v>
      </c>
      <c r="C686" s="78">
        <v>686</v>
      </c>
      <c r="E686" s="1">
        <f t="shared" si="20"/>
        <v>27760</v>
      </c>
      <c r="F686" s="2">
        <f t="shared" si="21"/>
        <v>27760</v>
      </c>
      <c r="G686" s="78">
        <v>684</v>
      </c>
      <c r="H686" s="79"/>
      <c r="I686" s="79"/>
      <c r="J686" s="79">
        <v>47.66048</v>
      </c>
      <c r="K686" s="79">
        <v>49.068860000000001</v>
      </c>
      <c r="L686" s="79"/>
      <c r="M686" s="79"/>
      <c r="N686" s="79">
        <v>53.32396</v>
      </c>
      <c r="O686" s="79">
        <v>54.40457</v>
      </c>
      <c r="P686" s="79">
        <v>71.547409999999999</v>
      </c>
      <c r="Q686" s="79"/>
      <c r="R686" s="79">
        <v>39.645449999999997</v>
      </c>
      <c r="S686" s="79">
        <v>72.672709999999995</v>
      </c>
      <c r="T686" s="79">
        <v>73.340909999999994</v>
      </c>
      <c r="U686" s="79">
        <v>92.84451</v>
      </c>
      <c r="V686" s="79"/>
      <c r="W686" s="79">
        <v>6.1391619999999998</v>
      </c>
      <c r="X686" s="79"/>
      <c r="Y686" s="79"/>
      <c r="Z686" s="79">
        <v>78.61045</v>
      </c>
      <c r="AA686" s="79">
        <v>53.590150000000001</v>
      </c>
      <c r="AB686" s="79"/>
      <c r="AC686" s="79">
        <v>48.773539999999997</v>
      </c>
      <c r="AD686" s="79"/>
      <c r="AE686" s="79"/>
      <c r="AF686" s="79">
        <v>63.101439999999997</v>
      </c>
      <c r="AG686" s="79">
        <v>42.045250000000003</v>
      </c>
      <c r="AH686" s="79">
        <v>44.870019999999997</v>
      </c>
      <c r="AI686" s="79"/>
      <c r="AJ686" s="79">
        <v>49.02458</v>
      </c>
      <c r="AK686" s="79"/>
      <c r="AL686" s="79"/>
      <c r="AM686" s="79">
        <v>57.00244</v>
      </c>
      <c r="AN686" s="79"/>
      <c r="AO686" s="79">
        <v>42.482190000000003</v>
      </c>
      <c r="AP686" s="79">
        <v>59.863520000000001</v>
      </c>
      <c r="AQ686" s="79"/>
      <c r="AR686" s="79"/>
      <c r="AS686" s="79"/>
      <c r="AT686" s="79"/>
      <c r="AU686" s="79"/>
      <c r="AV686" s="79"/>
      <c r="AW686" s="79"/>
      <c r="AX686" s="79"/>
      <c r="AY686" s="79">
        <v>51.73227</v>
      </c>
    </row>
    <row r="687" spans="1:51" x14ac:dyDescent="0.2">
      <c r="A687" t="s">
        <v>1232</v>
      </c>
      <c r="B687" s="1">
        <v>27791</v>
      </c>
      <c r="C687" s="78">
        <v>687</v>
      </c>
      <c r="E687" s="1">
        <f t="shared" si="20"/>
        <v>27791</v>
      </c>
      <c r="F687" s="2">
        <f t="shared" si="21"/>
        <v>27791</v>
      </c>
      <c r="G687" s="78">
        <v>685</v>
      </c>
      <c r="H687" s="79"/>
      <c r="I687" s="79"/>
      <c r="J687" s="79">
        <v>48.723260000000003</v>
      </c>
      <c r="K687" s="79">
        <v>49.389339999999997</v>
      </c>
      <c r="L687" s="79"/>
      <c r="M687" s="79"/>
      <c r="N687" s="79">
        <v>54.373150000000003</v>
      </c>
      <c r="O687" s="79">
        <v>56.905929999999998</v>
      </c>
      <c r="P687" s="79">
        <v>70.953919999999997</v>
      </c>
      <c r="Q687" s="79"/>
      <c r="R687" s="79">
        <v>39.391959999999997</v>
      </c>
      <c r="S687" s="79">
        <v>72.794849999999997</v>
      </c>
      <c r="T687" s="79">
        <v>74.219830000000002</v>
      </c>
      <c r="U687" s="79">
        <v>88.496579999999994</v>
      </c>
      <c r="V687" s="79"/>
      <c r="W687" s="79">
        <v>5.8471869999999999</v>
      </c>
      <c r="X687" s="79"/>
      <c r="Y687" s="79"/>
      <c r="Z687" s="79">
        <v>78.031009999999995</v>
      </c>
      <c r="AA687" s="79">
        <v>54.936219999999999</v>
      </c>
      <c r="AB687" s="79"/>
      <c r="AC687" s="79">
        <v>48.467269999999999</v>
      </c>
      <c r="AD687" s="79"/>
      <c r="AE687" s="79"/>
      <c r="AF687" s="79">
        <v>63.101439999999997</v>
      </c>
      <c r="AG687" s="79">
        <v>44.848269999999999</v>
      </c>
      <c r="AH687" s="79">
        <v>45.345050000000001</v>
      </c>
      <c r="AI687" s="79"/>
      <c r="AJ687" s="79">
        <v>50.140720000000002</v>
      </c>
      <c r="AK687" s="79"/>
      <c r="AL687" s="79"/>
      <c r="AM687" s="79">
        <v>57.749450000000003</v>
      </c>
      <c r="AN687" s="79"/>
      <c r="AO687" s="79">
        <v>42.908360000000002</v>
      </c>
      <c r="AP687" s="79">
        <v>60.244450000000001</v>
      </c>
      <c r="AQ687" s="79"/>
      <c r="AR687" s="79"/>
      <c r="AS687" s="79"/>
      <c r="AT687" s="79"/>
      <c r="AU687" s="79"/>
      <c r="AV687" s="79"/>
      <c r="AW687" s="79"/>
      <c r="AX687" s="79"/>
      <c r="AY687" s="79">
        <v>54.942369999999997</v>
      </c>
    </row>
    <row r="688" spans="1:51" x14ac:dyDescent="0.2">
      <c r="A688" t="s">
        <v>1233</v>
      </c>
      <c r="B688" s="1">
        <v>27820</v>
      </c>
      <c r="C688" s="78">
        <v>688</v>
      </c>
      <c r="E688" s="1">
        <f t="shared" si="20"/>
        <v>27820</v>
      </c>
      <c r="F688" s="2">
        <f t="shared" si="21"/>
        <v>27820</v>
      </c>
      <c r="G688" s="78">
        <v>686</v>
      </c>
      <c r="H688" s="79"/>
      <c r="I688" s="79"/>
      <c r="J688" s="79">
        <v>48.251469999999998</v>
      </c>
      <c r="K688" s="79">
        <v>50.158110000000001</v>
      </c>
      <c r="L688" s="79"/>
      <c r="M688" s="79"/>
      <c r="N688" s="79">
        <v>54.311439999999997</v>
      </c>
      <c r="O688" s="79">
        <v>56.280589999999997</v>
      </c>
      <c r="P688" s="79">
        <v>73.760440000000003</v>
      </c>
      <c r="Q688" s="79"/>
      <c r="R688" s="79">
        <v>39.544060000000002</v>
      </c>
      <c r="S688" s="79">
        <v>73.588759999999994</v>
      </c>
      <c r="T688" s="79">
        <v>74.415149999999997</v>
      </c>
      <c r="U688" s="79">
        <v>93.860119999999995</v>
      </c>
      <c r="V688" s="79"/>
      <c r="W688" s="79">
        <v>5.8702370000000004</v>
      </c>
      <c r="X688" s="79"/>
      <c r="Y688" s="79"/>
      <c r="Z688" s="79">
        <v>77.644710000000003</v>
      </c>
      <c r="AA688" s="79">
        <v>55.777509999999999</v>
      </c>
      <c r="AB688" s="79"/>
      <c r="AC688" s="79">
        <v>47.931519999999999</v>
      </c>
      <c r="AD688" s="79"/>
      <c r="AE688" s="79"/>
      <c r="AF688" s="79">
        <v>62.506149999999998</v>
      </c>
      <c r="AG688" s="79">
        <v>45.40887</v>
      </c>
      <c r="AH688" s="79">
        <v>45.569629999999997</v>
      </c>
      <c r="AI688" s="79"/>
      <c r="AJ688" s="79">
        <v>50.459780000000002</v>
      </c>
      <c r="AK688" s="79"/>
      <c r="AL688" s="79"/>
      <c r="AM688" s="79">
        <v>57.347209999999997</v>
      </c>
      <c r="AN688" s="79"/>
      <c r="AO688" s="79">
        <v>42.946779999999997</v>
      </c>
      <c r="AP688" s="79">
        <v>60.539679999999997</v>
      </c>
      <c r="AQ688" s="79"/>
      <c r="AR688" s="79"/>
      <c r="AS688" s="79"/>
      <c r="AT688" s="79"/>
      <c r="AU688" s="79"/>
      <c r="AV688" s="79"/>
      <c r="AW688" s="79"/>
      <c r="AX688" s="79"/>
      <c r="AY688" s="79">
        <v>52.838679999999997</v>
      </c>
    </row>
    <row r="689" spans="1:51" x14ac:dyDescent="0.2">
      <c r="A689" t="s">
        <v>1234</v>
      </c>
      <c r="B689" s="1">
        <v>27851</v>
      </c>
      <c r="C689" s="78">
        <v>689</v>
      </c>
      <c r="E689" s="1">
        <f t="shared" si="20"/>
        <v>27851</v>
      </c>
      <c r="F689" s="2">
        <f t="shared" si="21"/>
        <v>27851</v>
      </c>
      <c r="G689" s="78">
        <v>687</v>
      </c>
      <c r="H689" s="79"/>
      <c r="I689" s="79"/>
      <c r="J689" s="79">
        <v>49.889470000000003</v>
      </c>
      <c r="K689" s="79">
        <v>50.777450000000002</v>
      </c>
      <c r="L689" s="79"/>
      <c r="M689" s="79"/>
      <c r="N689" s="79">
        <v>54.62003</v>
      </c>
      <c r="O689" s="79">
        <v>57.531269999999999</v>
      </c>
      <c r="P689" s="79">
        <v>75.25761</v>
      </c>
      <c r="Q689" s="79"/>
      <c r="R689" s="79">
        <v>39.442659999999997</v>
      </c>
      <c r="S689" s="79">
        <v>74.504800000000003</v>
      </c>
      <c r="T689" s="79">
        <v>75.098749999999995</v>
      </c>
      <c r="U689" s="79">
        <v>94.977170000000001</v>
      </c>
      <c r="V689" s="79"/>
      <c r="W689" s="79">
        <v>5.9163379999999997</v>
      </c>
      <c r="X689" s="79"/>
      <c r="Y689" s="79"/>
      <c r="Z689" s="79">
        <v>79.672749999999994</v>
      </c>
      <c r="AA689" s="79">
        <v>56.534669999999998</v>
      </c>
      <c r="AB689" s="79"/>
      <c r="AC689" s="79">
        <v>48.633800000000001</v>
      </c>
      <c r="AD689" s="79"/>
      <c r="AE689" s="79"/>
      <c r="AF689" s="79">
        <v>63.101439999999997</v>
      </c>
      <c r="AG689" s="79">
        <v>44.848269999999999</v>
      </c>
      <c r="AH689" s="79">
        <v>46.040439999999997</v>
      </c>
      <c r="AI689" s="79"/>
      <c r="AJ689" s="79">
        <v>50.364669999999997</v>
      </c>
      <c r="AK689" s="79"/>
      <c r="AL689" s="79"/>
      <c r="AM689" s="79">
        <v>58.668840000000003</v>
      </c>
      <c r="AN689" s="79"/>
      <c r="AO689" s="79">
        <v>43.188639999999999</v>
      </c>
      <c r="AP689" s="79">
        <v>61.301540000000003</v>
      </c>
      <c r="AQ689" s="79"/>
      <c r="AR689" s="79"/>
      <c r="AS689" s="79"/>
      <c r="AT689" s="79"/>
      <c r="AU689" s="79"/>
      <c r="AV689" s="79"/>
      <c r="AW689" s="79"/>
      <c r="AX689" s="79"/>
      <c r="AY689" s="79">
        <v>53.889000000000003</v>
      </c>
    </row>
    <row r="690" spans="1:51" x14ac:dyDescent="0.2">
      <c r="A690" t="s">
        <v>1235</v>
      </c>
      <c r="B690" s="1">
        <v>27881</v>
      </c>
      <c r="C690" s="78">
        <v>690</v>
      </c>
      <c r="E690" s="1">
        <f t="shared" si="20"/>
        <v>27881</v>
      </c>
      <c r="F690" s="2">
        <f t="shared" si="21"/>
        <v>27881</v>
      </c>
      <c r="G690" s="78">
        <v>688</v>
      </c>
      <c r="H690" s="79"/>
      <c r="I690" s="79"/>
      <c r="J690" s="79">
        <v>48.968710000000002</v>
      </c>
      <c r="K690" s="79">
        <v>51.443779999999997</v>
      </c>
      <c r="L690" s="79"/>
      <c r="M690" s="79"/>
      <c r="N690" s="79">
        <v>54.928609999999999</v>
      </c>
      <c r="O690" s="79">
        <v>60.032629999999997</v>
      </c>
      <c r="P690" s="79">
        <v>76.280940000000001</v>
      </c>
      <c r="Q690" s="79"/>
      <c r="R690" s="79">
        <v>40.608710000000002</v>
      </c>
      <c r="S690" s="79">
        <v>74.504800000000003</v>
      </c>
      <c r="T690" s="79">
        <v>76.270650000000003</v>
      </c>
      <c r="U690" s="79">
        <v>95.659390000000002</v>
      </c>
      <c r="V690" s="79"/>
      <c r="W690" s="79">
        <v>6.2313640000000001</v>
      </c>
      <c r="X690" s="79"/>
      <c r="Y690" s="79"/>
      <c r="Z690" s="79">
        <v>85.080839999999995</v>
      </c>
      <c r="AA690" s="79">
        <v>56.366410000000002</v>
      </c>
      <c r="AB690" s="79"/>
      <c r="AC690" s="79">
        <v>52.733910000000002</v>
      </c>
      <c r="AD690" s="79"/>
      <c r="AE690" s="79"/>
      <c r="AF690" s="79">
        <v>63.696739999999998</v>
      </c>
      <c r="AG690" s="79">
        <v>45.40887</v>
      </c>
      <c r="AH690" s="79">
        <v>46.471519999999998</v>
      </c>
      <c r="AI690" s="79"/>
      <c r="AJ690" s="79">
        <v>51.939790000000002</v>
      </c>
      <c r="AK690" s="79"/>
      <c r="AL690" s="79"/>
      <c r="AM690" s="79">
        <v>58.783760000000001</v>
      </c>
      <c r="AN690" s="79"/>
      <c r="AO690" s="79">
        <v>43.390149999999998</v>
      </c>
      <c r="AP690" s="79">
        <v>62.453859999999999</v>
      </c>
      <c r="AQ690" s="79"/>
      <c r="AR690" s="79"/>
      <c r="AS690" s="79"/>
      <c r="AT690" s="79"/>
      <c r="AU690" s="79"/>
      <c r="AV690" s="79"/>
      <c r="AW690" s="79"/>
      <c r="AX690" s="79"/>
      <c r="AY690" s="79">
        <v>54.932699999999997</v>
      </c>
    </row>
    <row r="691" spans="1:51" x14ac:dyDescent="0.2">
      <c r="A691" t="s">
        <v>1236</v>
      </c>
      <c r="B691" s="1">
        <v>27912</v>
      </c>
      <c r="C691" s="78">
        <v>691</v>
      </c>
      <c r="E691" s="1">
        <f t="shared" si="20"/>
        <v>27912</v>
      </c>
      <c r="F691" s="2">
        <f t="shared" si="21"/>
        <v>27912</v>
      </c>
      <c r="G691" s="78">
        <v>689</v>
      </c>
      <c r="H691" s="79"/>
      <c r="I691" s="79"/>
      <c r="J691" s="79">
        <v>50.177590000000002</v>
      </c>
      <c r="K691" s="79">
        <v>50.714480000000002</v>
      </c>
      <c r="L691" s="79"/>
      <c r="M691" s="79"/>
      <c r="N691" s="79">
        <v>55.545789999999997</v>
      </c>
      <c r="O691" s="79">
        <v>58.156610000000001</v>
      </c>
      <c r="P691" s="79">
        <v>76.721860000000007</v>
      </c>
      <c r="Q691" s="79"/>
      <c r="R691" s="79">
        <v>40.101730000000003</v>
      </c>
      <c r="S691" s="79">
        <v>74.688010000000006</v>
      </c>
      <c r="T691" s="79">
        <v>74.708119999999994</v>
      </c>
      <c r="U691" s="79">
        <v>97.526899999999998</v>
      </c>
      <c r="V691" s="79"/>
      <c r="W691" s="79">
        <v>6.0162240000000002</v>
      </c>
      <c r="X691" s="79"/>
      <c r="Y691" s="79"/>
      <c r="Z691" s="79">
        <v>84.597980000000007</v>
      </c>
      <c r="AA691" s="79">
        <v>57.375959999999999</v>
      </c>
      <c r="AB691" s="79"/>
      <c r="AC691" s="79">
        <v>49.682769999999998</v>
      </c>
      <c r="AD691" s="79"/>
      <c r="AE691" s="79"/>
      <c r="AF691" s="79">
        <v>64.887330000000006</v>
      </c>
      <c r="AG691" s="79">
        <v>45.969479999999997</v>
      </c>
      <c r="AH691" s="79">
        <v>46.605919999999998</v>
      </c>
      <c r="AI691" s="79"/>
      <c r="AJ691" s="79">
        <v>50.928400000000003</v>
      </c>
      <c r="AK691" s="79"/>
      <c r="AL691" s="79"/>
      <c r="AM691" s="79">
        <v>59.588230000000003</v>
      </c>
      <c r="AN691" s="79"/>
      <c r="AO691" s="79">
        <v>43.398699999999998</v>
      </c>
      <c r="AP691" s="79">
        <v>62.453859999999999</v>
      </c>
      <c r="AQ691" s="79"/>
      <c r="AR691" s="79"/>
      <c r="AS691" s="79"/>
      <c r="AT691" s="79"/>
      <c r="AU691" s="79"/>
      <c r="AV691" s="79"/>
      <c r="AW691" s="79"/>
      <c r="AX691" s="79"/>
      <c r="AY691" s="79">
        <v>54.247019999999999</v>
      </c>
    </row>
    <row r="692" spans="1:51" x14ac:dyDescent="0.2">
      <c r="A692" t="s">
        <v>1237</v>
      </c>
      <c r="B692" s="1">
        <v>27942</v>
      </c>
      <c r="C692" s="78">
        <v>692</v>
      </c>
      <c r="E692" s="1">
        <f t="shared" si="20"/>
        <v>27942</v>
      </c>
      <c r="F692" s="2">
        <f t="shared" si="21"/>
        <v>27942</v>
      </c>
      <c r="G692" s="78">
        <v>690</v>
      </c>
      <c r="H692" s="79"/>
      <c r="I692" s="79"/>
      <c r="J692" s="79">
        <v>49.94041</v>
      </c>
      <c r="K692" s="79">
        <v>50.747839999999997</v>
      </c>
      <c r="L692" s="79"/>
      <c r="M692" s="79"/>
      <c r="N692" s="79">
        <v>53.50911</v>
      </c>
      <c r="O692" s="79">
        <v>58.156610000000001</v>
      </c>
      <c r="P692" s="79">
        <v>77.315730000000002</v>
      </c>
      <c r="Q692" s="79"/>
      <c r="R692" s="79">
        <v>38.935690000000001</v>
      </c>
      <c r="S692" s="79">
        <v>75.787260000000003</v>
      </c>
      <c r="T692" s="79">
        <v>75.001090000000005</v>
      </c>
      <c r="U692" s="79">
        <v>96.919499999999999</v>
      </c>
      <c r="V692" s="79"/>
      <c r="W692" s="79">
        <v>6.2313640000000001</v>
      </c>
      <c r="X692" s="79"/>
      <c r="Y692" s="79"/>
      <c r="Z692" s="79">
        <v>85.75685</v>
      </c>
      <c r="AA692" s="79">
        <v>57.88073</v>
      </c>
      <c r="AB692" s="79"/>
      <c r="AC692" s="79">
        <v>47.928820000000002</v>
      </c>
      <c r="AD692" s="79"/>
      <c r="AE692" s="79"/>
      <c r="AF692" s="79">
        <v>64.29204</v>
      </c>
      <c r="AG692" s="79">
        <v>47.090679999999999</v>
      </c>
      <c r="AH692" s="79">
        <v>46.668880000000001</v>
      </c>
      <c r="AI692" s="79"/>
      <c r="AJ692" s="79">
        <v>50.71199</v>
      </c>
      <c r="AK692" s="79"/>
      <c r="AL692" s="79"/>
      <c r="AM692" s="79">
        <v>59.760620000000003</v>
      </c>
      <c r="AN692" s="79"/>
      <c r="AO692" s="79">
        <v>43.658520000000003</v>
      </c>
      <c r="AP692" s="79">
        <v>62.16816</v>
      </c>
      <c r="AQ692" s="79"/>
      <c r="AR692" s="79"/>
      <c r="AS692" s="79"/>
      <c r="AT692" s="79"/>
      <c r="AU692" s="79"/>
      <c r="AV692" s="79"/>
      <c r="AW692" s="79"/>
      <c r="AX692" s="79"/>
      <c r="AY692" s="79">
        <v>54.79598</v>
      </c>
    </row>
    <row r="693" spans="1:51" x14ac:dyDescent="0.2">
      <c r="A693" t="s">
        <v>1238</v>
      </c>
      <c r="B693" s="1">
        <v>27973</v>
      </c>
      <c r="C693" s="78">
        <v>693</v>
      </c>
      <c r="E693" s="1">
        <f t="shared" si="20"/>
        <v>27973</v>
      </c>
      <c r="F693" s="2">
        <f t="shared" si="21"/>
        <v>27973</v>
      </c>
      <c r="G693" s="78">
        <v>691</v>
      </c>
      <c r="H693" s="79"/>
      <c r="I693" s="79"/>
      <c r="J693" s="79">
        <v>49.621279999999999</v>
      </c>
      <c r="K693" s="79">
        <v>51.268030000000003</v>
      </c>
      <c r="L693" s="79"/>
      <c r="M693" s="79"/>
      <c r="N693" s="79">
        <v>55.237200000000001</v>
      </c>
      <c r="O693" s="79">
        <v>58.156610000000001</v>
      </c>
      <c r="P693" s="79">
        <v>78.136859999999999</v>
      </c>
      <c r="Q693" s="79"/>
      <c r="R693" s="79">
        <v>40.203130000000002</v>
      </c>
      <c r="S693" s="79">
        <v>75.787260000000003</v>
      </c>
      <c r="T693" s="79">
        <v>74.805779999999999</v>
      </c>
      <c r="U693" s="79">
        <v>96.848849999999999</v>
      </c>
      <c r="V693" s="79"/>
      <c r="W693" s="79">
        <v>6.6155419999999996</v>
      </c>
      <c r="X693" s="79"/>
      <c r="Y693" s="79"/>
      <c r="Z693" s="79">
        <v>81.990499999999997</v>
      </c>
      <c r="AA693" s="79">
        <v>58.048990000000003</v>
      </c>
      <c r="AB693" s="79"/>
      <c r="AC693" s="79">
        <v>46.102359999999997</v>
      </c>
      <c r="AD693" s="79"/>
      <c r="AE693" s="79"/>
      <c r="AF693" s="79">
        <v>64.29204</v>
      </c>
      <c r="AG693" s="79">
        <v>47.651290000000003</v>
      </c>
      <c r="AH693" s="79">
        <v>46.84863</v>
      </c>
      <c r="AI693" s="79"/>
      <c r="AJ693" s="79">
        <v>46.740639999999999</v>
      </c>
      <c r="AK693" s="79"/>
      <c r="AL693" s="79"/>
      <c r="AM693" s="79">
        <v>58.611379999999997</v>
      </c>
      <c r="AN693" s="79"/>
      <c r="AO693" s="79">
        <v>43.966079999999998</v>
      </c>
      <c r="AP693" s="79">
        <v>62.16816</v>
      </c>
      <c r="AQ693" s="79"/>
      <c r="AR693" s="79"/>
      <c r="AS693" s="79"/>
      <c r="AT693" s="79"/>
      <c r="AU693" s="79"/>
      <c r="AV693" s="79"/>
      <c r="AW693" s="79"/>
      <c r="AX693" s="79"/>
      <c r="AY693" s="79">
        <v>54.870150000000002</v>
      </c>
    </row>
    <row r="694" spans="1:51" x14ac:dyDescent="0.2">
      <c r="A694" t="s">
        <v>1239</v>
      </c>
      <c r="B694" s="1">
        <v>28004</v>
      </c>
      <c r="C694" s="78">
        <v>694</v>
      </c>
      <c r="E694" s="1">
        <f t="shared" si="20"/>
        <v>28004</v>
      </c>
      <c r="F694" s="2">
        <f t="shared" si="21"/>
        <v>28004</v>
      </c>
      <c r="G694" s="78">
        <v>692</v>
      </c>
      <c r="H694" s="79"/>
      <c r="I694" s="79"/>
      <c r="J694" s="79">
        <v>50.728070000000002</v>
      </c>
      <c r="K694" s="79">
        <v>51.396320000000003</v>
      </c>
      <c r="L694" s="79"/>
      <c r="M694" s="79"/>
      <c r="N694" s="79">
        <v>55.792659999999998</v>
      </c>
      <c r="O694" s="79">
        <v>58.156610000000001</v>
      </c>
      <c r="P694" s="79">
        <v>76.988489999999999</v>
      </c>
      <c r="Q694" s="79"/>
      <c r="R694" s="79">
        <v>41.014290000000003</v>
      </c>
      <c r="S694" s="79">
        <v>78.474320000000006</v>
      </c>
      <c r="T694" s="79">
        <v>76.075329999999994</v>
      </c>
      <c r="U694" s="79">
        <v>97.826920000000001</v>
      </c>
      <c r="V694" s="79"/>
      <c r="W694" s="79">
        <v>6.4234530000000003</v>
      </c>
      <c r="X694" s="79"/>
      <c r="Y694" s="79"/>
      <c r="Z694" s="79">
        <v>85.080839999999995</v>
      </c>
      <c r="AA694" s="79">
        <v>57.964860000000002</v>
      </c>
      <c r="AB694" s="79"/>
      <c r="AC694" s="79">
        <v>52.678199999999997</v>
      </c>
      <c r="AD694" s="79"/>
      <c r="AE694" s="79"/>
      <c r="AF694" s="79">
        <v>66.673220000000001</v>
      </c>
      <c r="AG694" s="79">
        <v>47.090679999999999</v>
      </c>
      <c r="AH694" s="79">
        <v>47.246969999999997</v>
      </c>
      <c r="AI694" s="79"/>
      <c r="AJ694" s="79">
        <v>52.246040000000001</v>
      </c>
      <c r="AK694" s="79"/>
      <c r="AL694" s="79"/>
      <c r="AM694" s="79">
        <v>57.462139999999998</v>
      </c>
      <c r="AN694" s="79"/>
      <c r="AO694" s="79">
        <v>44.09037</v>
      </c>
      <c r="AP694" s="79">
        <v>63.41572</v>
      </c>
      <c r="AQ694" s="79"/>
      <c r="AR694" s="79"/>
      <c r="AS694" s="79"/>
      <c r="AT694" s="79"/>
      <c r="AU694" s="79"/>
      <c r="AV694" s="79"/>
      <c r="AW694" s="79"/>
      <c r="AX694" s="79"/>
      <c r="AY694" s="79">
        <v>55.07405</v>
      </c>
    </row>
    <row r="695" spans="1:51" x14ac:dyDescent="0.2">
      <c r="A695" t="s">
        <v>1240</v>
      </c>
      <c r="B695" s="1">
        <v>28034</v>
      </c>
      <c r="C695" s="78">
        <v>695</v>
      </c>
      <c r="E695" s="1">
        <f t="shared" si="20"/>
        <v>28034</v>
      </c>
      <c r="F695" s="2">
        <f t="shared" si="21"/>
        <v>28034</v>
      </c>
      <c r="G695" s="78">
        <v>693</v>
      </c>
      <c r="H695" s="79"/>
      <c r="I695" s="79"/>
      <c r="J695" s="79">
        <v>51.078890000000001</v>
      </c>
      <c r="K695" s="79">
        <v>50.525109999999998</v>
      </c>
      <c r="L695" s="79"/>
      <c r="M695" s="79"/>
      <c r="N695" s="79">
        <v>55.792659999999998</v>
      </c>
      <c r="O695" s="79">
        <v>58.156610000000001</v>
      </c>
      <c r="P695" s="79">
        <v>77.546329999999998</v>
      </c>
      <c r="Q695" s="79"/>
      <c r="R695" s="79">
        <v>41.064979999999998</v>
      </c>
      <c r="S695" s="79">
        <v>75.970470000000006</v>
      </c>
      <c r="T695" s="79">
        <v>77.735500000000002</v>
      </c>
      <c r="U695" s="79">
        <v>99.531720000000007</v>
      </c>
      <c r="V695" s="79"/>
      <c r="W695" s="79">
        <v>6.4234530000000003</v>
      </c>
      <c r="X695" s="79"/>
      <c r="Y695" s="79"/>
      <c r="Z695" s="79">
        <v>87.398589999999999</v>
      </c>
      <c r="AA695" s="79">
        <v>57.964860000000002</v>
      </c>
      <c r="AB695" s="79"/>
      <c r="AC695" s="79">
        <v>53.094450000000002</v>
      </c>
      <c r="AD695" s="79"/>
      <c r="AE695" s="79"/>
      <c r="AF695" s="79">
        <v>64.29204</v>
      </c>
      <c r="AG695" s="79">
        <v>46.530079999999998</v>
      </c>
      <c r="AH695" s="79">
        <v>47.309719999999999</v>
      </c>
      <c r="AI695" s="79"/>
      <c r="AJ695" s="79">
        <v>52.570909999999998</v>
      </c>
      <c r="AK695" s="79"/>
      <c r="AL695" s="79"/>
      <c r="AM695" s="79">
        <v>58.611379999999997</v>
      </c>
      <c r="AN695" s="79"/>
      <c r="AO695" s="79">
        <v>44.10727</v>
      </c>
      <c r="AP695" s="79">
        <v>63.606180000000002</v>
      </c>
      <c r="AQ695" s="79"/>
      <c r="AR695" s="79"/>
      <c r="AS695" s="79"/>
      <c r="AT695" s="79"/>
      <c r="AU695" s="79"/>
      <c r="AV695" s="79"/>
      <c r="AW695" s="79"/>
      <c r="AX695" s="79"/>
      <c r="AY695" s="79">
        <v>55.54345</v>
      </c>
    </row>
    <row r="696" spans="1:51" x14ac:dyDescent="0.2">
      <c r="A696" t="s">
        <v>1241</v>
      </c>
      <c r="B696" s="1">
        <v>28065</v>
      </c>
      <c r="C696" s="78">
        <v>696</v>
      </c>
      <c r="E696" s="1">
        <f t="shared" si="20"/>
        <v>28065</v>
      </c>
      <c r="F696" s="2">
        <f t="shared" si="21"/>
        <v>28065</v>
      </c>
      <c r="G696" s="78">
        <v>694</v>
      </c>
      <c r="H696" s="79"/>
      <c r="I696" s="79"/>
      <c r="J696" s="79">
        <v>50.856119999999997</v>
      </c>
      <c r="K696" s="79">
        <v>51.536349999999999</v>
      </c>
      <c r="L696" s="79"/>
      <c r="M696" s="79"/>
      <c r="N696" s="79">
        <v>55.854379999999999</v>
      </c>
      <c r="O696" s="79">
        <v>58.156610000000001</v>
      </c>
      <c r="P696" s="79">
        <v>78.320610000000002</v>
      </c>
      <c r="Q696" s="79"/>
      <c r="R696" s="79">
        <v>40.051029999999997</v>
      </c>
      <c r="S696" s="79">
        <v>77.924689999999998</v>
      </c>
      <c r="T696" s="79">
        <v>78.419110000000003</v>
      </c>
      <c r="U696" s="79">
        <v>100.8233</v>
      </c>
      <c r="V696" s="79"/>
      <c r="W696" s="79">
        <v>6.4157690000000001</v>
      </c>
      <c r="X696" s="79"/>
      <c r="Y696" s="79"/>
      <c r="Z696" s="79">
        <v>87.495159999999998</v>
      </c>
      <c r="AA696" s="79">
        <v>58.806150000000002</v>
      </c>
      <c r="AB696" s="79"/>
      <c r="AC696" s="79">
        <v>49.331159999999997</v>
      </c>
      <c r="AD696" s="79"/>
      <c r="AE696" s="79"/>
      <c r="AF696" s="79">
        <v>64.29204</v>
      </c>
      <c r="AG696" s="79">
        <v>44.848269999999999</v>
      </c>
      <c r="AH696" s="79">
        <v>47.788820000000001</v>
      </c>
      <c r="AI696" s="79"/>
      <c r="AJ696" s="79">
        <v>54.903689999999997</v>
      </c>
      <c r="AK696" s="79"/>
      <c r="AL696" s="79"/>
      <c r="AM696" s="79">
        <v>57.979289999999999</v>
      </c>
      <c r="AN696" s="79"/>
      <c r="AO696" s="79">
        <v>44.757629999999999</v>
      </c>
      <c r="AP696" s="79">
        <v>63.996639999999999</v>
      </c>
      <c r="AQ696" s="79"/>
      <c r="AR696" s="79"/>
      <c r="AS696" s="79"/>
      <c r="AT696" s="79"/>
      <c r="AU696" s="79"/>
      <c r="AV696" s="79"/>
      <c r="AW696" s="79"/>
      <c r="AX696" s="79"/>
      <c r="AY696" s="79">
        <v>54.635330000000003</v>
      </c>
    </row>
    <row r="697" spans="1:51" x14ac:dyDescent="0.2">
      <c r="A697" t="s">
        <v>1242</v>
      </c>
      <c r="B697" s="1">
        <v>28095</v>
      </c>
      <c r="C697" s="78">
        <v>697</v>
      </c>
      <c r="E697" s="1">
        <f t="shared" si="20"/>
        <v>28095</v>
      </c>
      <c r="F697" s="2">
        <f t="shared" si="21"/>
        <v>28095</v>
      </c>
      <c r="G697" s="78">
        <v>695</v>
      </c>
      <c r="H697" s="79"/>
      <c r="I697" s="79"/>
      <c r="J697" s="79">
        <v>49.170769999999997</v>
      </c>
      <c r="K697" s="79">
        <v>51.689070000000001</v>
      </c>
      <c r="L697" s="79"/>
      <c r="M697" s="79"/>
      <c r="N697" s="79">
        <v>55.9161</v>
      </c>
      <c r="O697" s="79">
        <v>58.156610000000001</v>
      </c>
      <c r="P697" s="79">
        <v>76.110029999999995</v>
      </c>
      <c r="Q697" s="79"/>
      <c r="R697" s="79">
        <v>41.571959999999997</v>
      </c>
      <c r="S697" s="79">
        <v>77.680409999999995</v>
      </c>
      <c r="T697" s="79">
        <v>78.907399999999996</v>
      </c>
      <c r="U697" s="79">
        <v>99.960480000000004</v>
      </c>
      <c r="V697" s="79"/>
      <c r="W697" s="79">
        <v>6.2390480000000004</v>
      </c>
      <c r="X697" s="79"/>
      <c r="Y697" s="79"/>
      <c r="Z697" s="79">
        <v>87.881460000000004</v>
      </c>
      <c r="AA697" s="79">
        <v>59.058540000000001</v>
      </c>
      <c r="AB697" s="79"/>
      <c r="AC697" s="79">
        <v>43.98348</v>
      </c>
      <c r="AD697" s="79"/>
      <c r="AE697" s="79"/>
      <c r="AF697" s="79">
        <v>64.887330000000006</v>
      </c>
      <c r="AG697" s="79">
        <v>45.969479999999997</v>
      </c>
      <c r="AH697" s="79">
        <v>47.982419999999998</v>
      </c>
      <c r="AI697" s="79"/>
      <c r="AJ697" s="79">
        <v>55.037109999999998</v>
      </c>
      <c r="AK697" s="79"/>
      <c r="AL697" s="79"/>
      <c r="AM697" s="79">
        <v>58.553910000000002</v>
      </c>
      <c r="AN697" s="79"/>
      <c r="AO697" s="79">
        <v>45.22598</v>
      </c>
      <c r="AP697" s="79">
        <v>63.996639999999999</v>
      </c>
      <c r="AQ697" s="79"/>
      <c r="AR697" s="79"/>
      <c r="AS697" s="79"/>
      <c r="AT697" s="79"/>
      <c r="AU697" s="79"/>
      <c r="AV697" s="79"/>
      <c r="AW697" s="79"/>
      <c r="AX697" s="79"/>
      <c r="AY697" s="79">
        <v>55.26041</v>
      </c>
    </row>
    <row r="698" spans="1:51" x14ac:dyDescent="0.2">
      <c r="A698" t="s">
        <v>1243</v>
      </c>
      <c r="B698" s="1">
        <v>28126</v>
      </c>
      <c r="C698" s="78">
        <v>698</v>
      </c>
      <c r="E698" s="1">
        <f t="shared" si="20"/>
        <v>28126</v>
      </c>
      <c r="F698" s="2">
        <f t="shared" si="21"/>
        <v>28126</v>
      </c>
      <c r="G698" s="78">
        <v>696</v>
      </c>
      <c r="H698" s="79"/>
      <c r="I698" s="79"/>
      <c r="J698" s="79">
        <v>50.165349999999997</v>
      </c>
      <c r="K698" s="79">
        <v>52.65802</v>
      </c>
      <c r="L698" s="79"/>
      <c r="M698" s="79"/>
      <c r="N698" s="79">
        <v>56.224679999999999</v>
      </c>
      <c r="O698" s="79">
        <v>60.032629999999997</v>
      </c>
      <c r="P698" s="79">
        <v>79.166730000000001</v>
      </c>
      <c r="Q698" s="79"/>
      <c r="R698" s="79">
        <v>41.571959999999997</v>
      </c>
      <c r="S698" s="79">
        <v>78.474320000000006</v>
      </c>
      <c r="T698" s="79">
        <v>80.372259999999997</v>
      </c>
      <c r="U698" s="79">
        <v>98.689539999999994</v>
      </c>
      <c r="V698" s="79"/>
      <c r="W698" s="79">
        <v>6.300516</v>
      </c>
      <c r="X698" s="79"/>
      <c r="Y698" s="79"/>
      <c r="Z698" s="79">
        <v>90.295779999999993</v>
      </c>
      <c r="AA698" s="79">
        <v>59.563310000000001</v>
      </c>
      <c r="AB698" s="79"/>
      <c r="AC698" s="79">
        <v>50.10116</v>
      </c>
      <c r="AD698" s="79"/>
      <c r="AE698" s="79"/>
      <c r="AF698" s="79">
        <v>64.887330000000006</v>
      </c>
      <c r="AG698" s="79">
        <v>45.969479999999997</v>
      </c>
      <c r="AH698" s="79">
        <v>48.266100000000002</v>
      </c>
      <c r="AI698" s="79"/>
      <c r="AJ698" s="79">
        <v>55.712139999999998</v>
      </c>
      <c r="AK698" s="79"/>
      <c r="AL698" s="79"/>
      <c r="AM698" s="79">
        <v>56.657670000000003</v>
      </c>
      <c r="AN698" s="79"/>
      <c r="AO698" s="79">
        <v>44.978360000000002</v>
      </c>
      <c r="AP698" s="79">
        <v>64.958500000000001</v>
      </c>
      <c r="AQ698" s="79"/>
      <c r="AR698" s="79"/>
      <c r="AS698" s="79"/>
      <c r="AT698" s="79"/>
      <c r="AU698" s="79"/>
      <c r="AV698" s="79"/>
      <c r="AW698" s="79"/>
      <c r="AX698" s="79"/>
      <c r="AY698" s="79">
        <v>54.335949999999997</v>
      </c>
    </row>
    <row r="699" spans="1:51" x14ac:dyDescent="0.2">
      <c r="A699" t="s">
        <v>1244</v>
      </c>
      <c r="B699" s="1">
        <v>28157</v>
      </c>
      <c r="C699" s="78">
        <v>699</v>
      </c>
      <c r="E699" s="1">
        <f t="shared" si="20"/>
        <v>28157</v>
      </c>
      <c r="F699" s="2">
        <f t="shared" si="21"/>
        <v>28157</v>
      </c>
      <c r="G699" s="78">
        <v>697</v>
      </c>
      <c r="H699" s="79"/>
      <c r="I699" s="79"/>
      <c r="J699" s="79">
        <v>50.002450000000003</v>
      </c>
      <c r="K699" s="79">
        <v>51.974310000000003</v>
      </c>
      <c r="L699" s="79"/>
      <c r="M699" s="79"/>
      <c r="N699" s="79">
        <v>56.039529999999999</v>
      </c>
      <c r="O699" s="79">
        <v>59.407290000000003</v>
      </c>
      <c r="P699" s="79">
        <v>80.599339999999998</v>
      </c>
      <c r="Q699" s="79"/>
      <c r="R699" s="79">
        <v>42.129629999999999</v>
      </c>
      <c r="S699" s="79">
        <v>77.619349999999997</v>
      </c>
      <c r="T699" s="79">
        <v>80.07929</v>
      </c>
      <c r="U699" s="79">
        <v>97.259990000000002</v>
      </c>
      <c r="V699" s="79"/>
      <c r="W699" s="79">
        <v>6.5463899999999997</v>
      </c>
      <c r="X699" s="79"/>
      <c r="Y699" s="79"/>
      <c r="Z699" s="79">
        <v>87.495159999999998</v>
      </c>
      <c r="AA699" s="79">
        <v>58.722020000000001</v>
      </c>
      <c r="AB699" s="79"/>
      <c r="AC699" s="79">
        <v>48.066940000000002</v>
      </c>
      <c r="AD699" s="79"/>
      <c r="AE699" s="79"/>
      <c r="AF699" s="79">
        <v>64.29204</v>
      </c>
      <c r="AG699" s="79">
        <v>45.40887</v>
      </c>
      <c r="AH699" s="79">
        <v>48.2622</v>
      </c>
      <c r="AI699" s="79"/>
      <c r="AJ699" s="79">
        <v>55.800040000000003</v>
      </c>
      <c r="AK699" s="79"/>
      <c r="AL699" s="79"/>
      <c r="AM699" s="79">
        <v>56.944980000000001</v>
      </c>
      <c r="AN699" s="79"/>
      <c r="AO699" s="79">
        <v>45.664259999999999</v>
      </c>
      <c r="AP699" s="79">
        <v>64.377570000000006</v>
      </c>
      <c r="AQ699" s="79"/>
      <c r="AR699" s="79"/>
      <c r="AS699" s="79"/>
      <c r="AT699" s="79"/>
      <c r="AU699" s="79"/>
      <c r="AV699" s="79"/>
      <c r="AW699" s="79"/>
      <c r="AX699" s="79"/>
      <c r="AY699" s="79">
        <v>54.590060000000001</v>
      </c>
    </row>
    <row r="700" spans="1:51" x14ac:dyDescent="0.2">
      <c r="A700" t="s">
        <v>1245</v>
      </c>
      <c r="B700" s="1">
        <v>28185</v>
      </c>
      <c r="C700" s="78">
        <v>700</v>
      </c>
      <c r="E700" s="1">
        <f t="shared" si="20"/>
        <v>28185</v>
      </c>
      <c r="F700" s="2">
        <f t="shared" si="21"/>
        <v>28185</v>
      </c>
      <c r="G700" s="78">
        <v>698</v>
      </c>
      <c r="H700" s="79"/>
      <c r="I700" s="79"/>
      <c r="J700" s="79">
        <v>50.15634</v>
      </c>
      <c r="K700" s="79">
        <v>52.061239999999998</v>
      </c>
      <c r="L700" s="79"/>
      <c r="M700" s="79"/>
      <c r="N700" s="79">
        <v>56.656700000000001</v>
      </c>
      <c r="O700" s="79">
        <v>58.156610000000001</v>
      </c>
      <c r="P700" s="79">
        <v>80.524209999999997</v>
      </c>
      <c r="Q700" s="79"/>
      <c r="R700" s="79">
        <v>37.05988</v>
      </c>
      <c r="S700" s="79">
        <v>78.107900000000001</v>
      </c>
      <c r="T700" s="79">
        <v>80.176950000000005</v>
      </c>
      <c r="U700" s="79">
        <v>94.379760000000005</v>
      </c>
      <c r="V700" s="79"/>
      <c r="W700" s="79">
        <v>6.4388199999999998</v>
      </c>
      <c r="X700" s="79"/>
      <c r="Y700" s="79"/>
      <c r="Z700" s="79">
        <v>83.825389999999999</v>
      </c>
      <c r="AA700" s="79">
        <v>59.563310000000001</v>
      </c>
      <c r="AB700" s="79"/>
      <c r="AC700" s="79">
        <v>49.255710000000001</v>
      </c>
      <c r="AD700" s="79"/>
      <c r="AE700" s="79"/>
      <c r="AF700" s="79">
        <v>63.696739999999998</v>
      </c>
      <c r="AG700" s="79">
        <v>45.969479999999997</v>
      </c>
      <c r="AH700" s="79">
        <v>48.472059999999999</v>
      </c>
      <c r="AI700" s="79"/>
      <c r="AJ700" s="79">
        <v>55.561639999999997</v>
      </c>
      <c r="AK700" s="79"/>
      <c r="AL700" s="79"/>
      <c r="AM700" s="79">
        <v>56.312890000000003</v>
      </c>
      <c r="AN700" s="79"/>
      <c r="AO700" s="79">
        <v>46.230289999999997</v>
      </c>
      <c r="AP700" s="79">
        <v>64.09187</v>
      </c>
      <c r="AQ700" s="79"/>
      <c r="AR700" s="79"/>
      <c r="AS700" s="79"/>
      <c r="AT700" s="79"/>
      <c r="AU700" s="79"/>
      <c r="AV700" s="79"/>
      <c r="AW700" s="79"/>
      <c r="AX700" s="79"/>
      <c r="AY700" s="79">
        <v>55.935830000000003</v>
      </c>
    </row>
    <row r="701" spans="1:51" x14ac:dyDescent="0.2">
      <c r="A701" t="s">
        <v>1246</v>
      </c>
      <c r="B701" s="1">
        <v>28216</v>
      </c>
      <c r="C701" s="78">
        <v>701</v>
      </c>
      <c r="E701" s="1">
        <f t="shared" si="20"/>
        <v>28216</v>
      </c>
      <c r="F701" s="2">
        <f t="shared" si="21"/>
        <v>28216</v>
      </c>
      <c r="G701" s="78">
        <v>699</v>
      </c>
      <c r="H701" s="79"/>
      <c r="I701" s="79"/>
      <c r="J701" s="79">
        <v>49.542450000000002</v>
      </c>
      <c r="K701" s="79">
        <v>51.692830000000001</v>
      </c>
      <c r="L701" s="79"/>
      <c r="M701" s="79"/>
      <c r="N701" s="79">
        <v>56.039529999999999</v>
      </c>
      <c r="O701" s="79">
        <v>55.029910000000001</v>
      </c>
      <c r="P701" s="79">
        <v>80.788300000000007</v>
      </c>
      <c r="Q701" s="79"/>
      <c r="R701" s="79">
        <v>37.66825</v>
      </c>
      <c r="S701" s="79">
        <v>76.092609999999993</v>
      </c>
      <c r="T701" s="79">
        <v>79.395690000000002</v>
      </c>
      <c r="U701" s="79">
        <v>94.513949999999994</v>
      </c>
      <c r="V701" s="79"/>
      <c r="W701" s="79">
        <v>6.4926050000000002</v>
      </c>
      <c r="X701" s="79"/>
      <c r="Y701" s="79"/>
      <c r="Z701" s="79">
        <v>87.978030000000004</v>
      </c>
      <c r="AA701" s="79">
        <v>59.226799999999997</v>
      </c>
      <c r="AB701" s="79"/>
      <c r="AC701" s="79">
        <v>49.333240000000004</v>
      </c>
      <c r="AD701" s="79"/>
      <c r="AE701" s="79"/>
      <c r="AF701" s="79">
        <v>64.887330000000006</v>
      </c>
      <c r="AG701" s="79">
        <v>43.727060000000002</v>
      </c>
      <c r="AH701" s="79">
        <v>48.593249999999998</v>
      </c>
      <c r="AI701" s="79"/>
      <c r="AJ701" s="79">
        <v>56.745980000000003</v>
      </c>
      <c r="AK701" s="79"/>
      <c r="AL701" s="79"/>
      <c r="AM701" s="79">
        <v>55.91066</v>
      </c>
      <c r="AN701" s="79"/>
      <c r="AO701" s="79">
        <v>46.665199999999999</v>
      </c>
      <c r="AP701" s="79">
        <v>64.09187</v>
      </c>
      <c r="AQ701" s="79"/>
      <c r="AR701" s="79"/>
      <c r="AS701" s="79"/>
      <c r="AT701" s="79"/>
      <c r="AU701" s="79"/>
      <c r="AV701" s="79"/>
      <c r="AW701" s="79"/>
      <c r="AX701" s="79"/>
      <c r="AY701" s="79">
        <v>55.336539999999999</v>
      </c>
    </row>
    <row r="702" spans="1:51" x14ac:dyDescent="0.2">
      <c r="A702" t="s">
        <v>1247</v>
      </c>
      <c r="B702" s="1">
        <v>28246</v>
      </c>
      <c r="C702" s="78">
        <v>702</v>
      </c>
      <c r="E702" s="1">
        <f t="shared" si="20"/>
        <v>28246</v>
      </c>
      <c r="F702" s="2">
        <f t="shared" si="21"/>
        <v>28246</v>
      </c>
      <c r="G702" s="78">
        <v>700</v>
      </c>
      <c r="H702" s="79"/>
      <c r="I702" s="79"/>
      <c r="J702" s="79">
        <v>49.557409999999997</v>
      </c>
      <c r="K702" s="79">
        <v>52.310290000000002</v>
      </c>
      <c r="L702" s="79"/>
      <c r="M702" s="79"/>
      <c r="N702" s="79">
        <v>55.545789999999997</v>
      </c>
      <c r="O702" s="79">
        <v>56.280589999999997</v>
      </c>
      <c r="P702" s="79">
        <v>79.539749999999998</v>
      </c>
      <c r="Q702" s="79"/>
      <c r="R702" s="79">
        <v>39.797550000000001</v>
      </c>
      <c r="S702" s="79">
        <v>75.420850000000002</v>
      </c>
      <c r="T702" s="79">
        <v>81.544160000000005</v>
      </c>
      <c r="U702" s="79">
        <v>95.746930000000006</v>
      </c>
      <c r="V702" s="79"/>
      <c r="W702" s="79">
        <v>6.592492</v>
      </c>
      <c r="X702" s="79"/>
      <c r="Y702" s="79"/>
      <c r="Z702" s="79">
        <v>84.501400000000004</v>
      </c>
      <c r="AA702" s="79">
        <v>58.974409999999999</v>
      </c>
      <c r="AB702" s="79"/>
      <c r="AC702" s="79">
        <v>51.361449999999998</v>
      </c>
      <c r="AD702" s="79"/>
      <c r="AE702" s="79"/>
      <c r="AF702" s="79">
        <v>63.696739999999998</v>
      </c>
      <c r="AG702" s="79">
        <v>41.484650000000002</v>
      </c>
      <c r="AH702" s="79">
        <v>48.570079999999997</v>
      </c>
      <c r="AI702" s="79"/>
      <c r="AJ702" s="79">
        <v>57.001939999999998</v>
      </c>
      <c r="AK702" s="79"/>
      <c r="AL702" s="79"/>
      <c r="AM702" s="79">
        <v>55.680810000000001</v>
      </c>
      <c r="AN702" s="79"/>
      <c r="AO702" s="79">
        <v>47.054499999999997</v>
      </c>
      <c r="AP702" s="79">
        <v>63.606180000000002</v>
      </c>
      <c r="AQ702" s="79"/>
      <c r="AR702" s="79"/>
      <c r="AS702" s="79"/>
      <c r="AT702" s="79"/>
      <c r="AU702" s="79"/>
      <c r="AV702" s="79"/>
      <c r="AW702" s="79"/>
      <c r="AX702" s="79"/>
      <c r="AY702" s="79">
        <v>57.264029999999998</v>
      </c>
    </row>
    <row r="703" spans="1:51" x14ac:dyDescent="0.2">
      <c r="A703" t="s">
        <v>1248</v>
      </c>
      <c r="B703" s="1">
        <v>28277</v>
      </c>
      <c r="C703" s="78">
        <v>703</v>
      </c>
      <c r="E703" s="1">
        <f t="shared" si="20"/>
        <v>28277</v>
      </c>
      <c r="F703" s="2">
        <f t="shared" si="21"/>
        <v>28277</v>
      </c>
      <c r="G703" s="78">
        <v>701</v>
      </c>
      <c r="H703" s="79"/>
      <c r="I703" s="79"/>
      <c r="J703" s="79">
        <v>49.365409999999997</v>
      </c>
      <c r="K703" s="79">
        <v>52.843640000000001</v>
      </c>
      <c r="L703" s="79"/>
      <c r="M703" s="79"/>
      <c r="N703" s="79">
        <v>56.533270000000002</v>
      </c>
      <c r="O703" s="79">
        <v>58.156610000000001</v>
      </c>
      <c r="P703" s="79">
        <v>78.501570000000001</v>
      </c>
      <c r="Q703" s="79"/>
      <c r="R703" s="79">
        <v>41.318469999999998</v>
      </c>
      <c r="S703" s="79">
        <v>78.230040000000002</v>
      </c>
      <c r="T703" s="79">
        <v>78.223789999999994</v>
      </c>
      <c r="U703" s="79">
        <v>98.4435</v>
      </c>
      <c r="V703" s="79"/>
      <c r="W703" s="79">
        <v>6.7384789999999999</v>
      </c>
      <c r="X703" s="79"/>
      <c r="Y703" s="79"/>
      <c r="Z703" s="79">
        <v>80.541910000000001</v>
      </c>
      <c r="AA703" s="79">
        <v>59.479179999999999</v>
      </c>
      <c r="AB703" s="79"/>
      <c r="AC703" s="79">
        <v>50.108060000000002</v>
      </c>
      <c r="AD703" s="79"/>
      <c r="AE703" s="79"/>
      <c r="AF703" s="79">
        <v>64.887330000000006</v>
      </c>
      <c r="AG703" s="79">
        <v>45.40887</v>
      </c>
      <c r="AH703" s="79">
        <v>48.720039999999997</v>
      </c>
      <c r="AI703" s="79"/>
      <c r="AJ703" s="79">
        <v>58.233249999999998</v>
      </c>
      <c r="AK703" s="79"/>
      <c r="AL703" s="79"/>
      <c r="AM703" s="79">
        <v>55.221110000000003</v>
      </c>
      <c r="AN703" s="79"/>
      <c r="AO703" s="79">
        <v>47.39423</v>
      </c>
      <c r="AP703" s="79">
        <v>63.320480000000003</v>
      </c>
      <c r="AQ703" s="79"/>
      <c r="AR703" s="79"/>
      <c r="AS703" s="79"/>
      <c r="AT703" s="79"/>
      <c r="AU703" s="79"/>
      <c r="AV703" s="79"/>
      <c r="AW703" s="79"/>
      <c r="AX703" s="79"/>
      <c r="AY703" s="79">
        <v>55.848370000000003</v>
      </c>
    </row>
    <row r="704" spans="1:51" x14ac:dyDescent="0.2">
      <c r="A704" t="s">
        <v>1249</v>
      </c>
      <c r="B704" s="1">
        <v>28307</v>
      </c>
      <c r="C704" s="78">
        <v>704</v>
      </c>
      <c r="E704" s="1">
        <f t="shared" si="20"/>
        <v>28307</v>
      </c>
      <c r="F704" s="2">
        <f t="shared" si="21"/>
        <v>28307</v>
      </c>
      <c r="G704" s="78">
        <v>702</v>
      </c>
      <c r="H704" s="79"/>
      <c r="I704" s="79"/>
      <c r="J704" s="79">
        <v>50.150010000000002</v>
      </c>
      <c r="K704" s="79">
        <v>52.541960000000003</v>
      </c>
      <c r="L704" s="79"/>
      <c r="M704" s="79"/>
      <c r="N704" s="79">
        <v>54.126289999999997</v>
      </c>
      <c r="O704" s="79">
        <v>57.531269999999999</v>
      </c>
      <c r="P704" s="79">
        <v>79.619140000000002</v>
      </c>
      <c r="Q704" s="79"/>
      <c r="R704" s="79">
        <v>38.631500000000003</v>
      </c>
      <c r="S704" s="79">
        <v>76.031540000000007</v>
      </c>
      <c r="T704" s="79">
        <v>78.614429999999999</v>
      </c>
      <c r="U704" s="79">
        <v>100.2752</v>
      </c>
      <c r="V704" s="79"/>
      <c r="W704" s="79">
        <v>6.6385930000000002</v>
      </c>
      <c r="X704" s="79"/>
      <c r="Y704" s="79"/>
      <c r="Z704" s="79">
        <v>83.439099999999996</v>
      </c>
      <c r="AA704" s="79">
        <v>58.301380000000002</v>
      </c>
      <c r="AB704" s="79"/>
      <c r="AC704" s="79">
        <v>49.46687</v>
      </c>
      <c r="AD704" s="79"/>
      <c r="AE704" s="79"/>
      <c r="AF704" s="79">
        <v>64.887330000000006</v>
      </c>
      <c r="AG704" s="79">
        <v>42.60586</v>
      </c>
      <c r="AH704" s="79">
        <v>48.413429999999998</v>
      </c>
      <c r="AI704" s="79"/>
      <c r="AJ704" s="79">
        <v>57.585639999999998</v>
      </c>
      <c r="AK704" s="79"/>
      <c r="AL704" s="79"/>
      <c r="AM704" s="79">
        <v>55.450960000000002</v>
      </c>
      <c r="AN704" s="79"/>
      <c r="AO704" s="79">
        <v>47.460700000000003</v>
      </c>
      <c r="AP704" s="79">
        <v>62.749079999999999</v>
      </c>
      <c r="AQ704" s="79"/>
      <c r="AR704" s="79"/>
      <c r="AS704" s="79"/>
      <c r="AT704" s="79"/>
      <c r="AU704" s="79"/>
      <c r="AV704" s="79"/>
      <c r="AW704" s="79"/>
      <c r="AX704" s="79"/>
      <c r="AY704" s="79">
        <v>56.005580000000002</v>
      </c>
    </row>
    <row r="705" spans="1:51" x14ac:dyDescent="0.2">
      <c r="A705" t="s">
        <v>1250</v>
      </c>
      <c r="B705" s="1">
        <v>28338</v>
      </c>
      <c r="C705" s="78">
        <v>705</v>
      </c>
      <c r="E705" s="1">
        <f t="shared" si="20"/>
        <v>28338</v>
      </c>
      <c r="F705" s="2">
        <f t="shared" si="21"/>
        <v>28338</v>
      </c>
      <c r="G705" s="78">
        <v>703</v>
      </c>
      <c r="H705" s="79"/>
      <c r="I705" s="79"/>
      <c r="J705" s="79">
        <v>50.715229999999998</v>
      </c>
      <c r="K705" s="79">
        <v>52.688099999999999</v>
      </c>
      <c r="L705" s="79"/>
      <c r="M705" s="79"/>
      <c r="N705" s="79">
        <v>56.471550000000001</v>
      </c>
      <c r="O705" s="79">
        <v>61.28331</v>
      </c>
      <c r="P705" s="79">
        <v>80.311970000000002</v>
      </c>
      <c r="Q705" s="79"/>
      <c r="R705" s="79">
        <v>40.659399999999998</v>
      </c>
      <c r="S705" s="79">
        <v>76.031540000000007</v>
      </c>
      <c r="T705" s="79">
        <v>79.395690000000002</v>
      </c>
      <c r="U705" s="79">
        <v>99.178139999999999</v>
      </c>
      <c r="V705" s="79"/>
      <c r="W705" s="79">
        <v>6.746162</v>
      </c>
      <c r="X705" s="79"/>
      <c r="Y705" s="79"/>
      <c r="Z705" s="79">
        <v>82.569940000000003</v>
      </c>
      <c r="AA705" s="79">
        <v>59.563310000000001</v>
      </c>
      <c r="AB705" s="79"/>
      <c r="AC705" s="79">
        <v>45.613280000000003</v>
      </c>
      <c r="AD705" s="79"/>
      <c r="AE705" s="79"/>
      <c r="AF705" s="79">
        <v>63.696739999999998</v>
      </c>
      <c r="AG705" s="79">
        <v>44.848269999999999</v>
      </c>
      <c r="AH705" s="79">
        <v>48.83831</v>
      </c>
      <c r="AI705" s="79"/>
      <c r="AJ705" s="79">
        <v>58.152329999999999</v>
      </c>
      <c r="AK705" s="79"/>
      <c r="AL705" s="79"/>
      <c r="AM705" s="79">
        <v>54.531570000000002</v>
      </c>
      <c r="AN705" s="79"/>
      <c r="AO705" s="79">
        <v>47.474049999999998</v>
      </c>
      <c r="AP705" s="79">
        <v>63.606180000000002</v>
      </c>
      <c r="AQ705" s="79"/>
      <c r="AR705" s="79"/>
      <c r="AS705" s="79"/>
      <c r="AT705" s="79"/>
      <c r="AU705" s="79"/>
      <c r="AV705" s="79"/>
      <c r="AW705" s="79"/>
      <c r="AX705" s="79"/>
      <c r="AY705" s="79">
        <v>55.556840000000001</v>
      </c>
    </row>
    <row r="706" spans="1:51" x14ac:dyDescent="0.2">
      <c r="A706" t="s">
        <v>1251</v>
      </c>
      <c r="B706" s="1">
        <v>28369</v>
      </c>
      <c r="C706" s="78">
        <v>706</v>
      </c>
      <c r="E706" s="1">
        <f t="shared" ref="E706:E769" si="22">B706</f>
        <v>28369</v>
      </c>
      <c r="F706" s="2">
        <f t="shared" ref="F706:F769" si="23">B706</f>
        <v>28369</v>
      </c>
      <c r="G706" s="78">
        <v>704</v>
      </c>
      <c r="H706" s="79"/>
      <c r="I706" s="79"/>
      <c r="J706" s="79">
        <v>48.971719999999998</v>
      </c>
      <c r="K706" s="79">
        <v>52.460189999999997</v>
      </c>
      <c r="L706" s="79"/>
      <c r="M706" s="79"/>
      <c r="N706" s="79">
        <v>56.594990000000003</v>
      </c>
      <c r="O706" s="79">
        <v>60.032629999999997</v>
      </c>
      <c r="P706" s="79">
        <v>80.026820000000001</v>
      </c>
      <c r="Q706" s="79"/>
      <c r="R706" s="79">
        <v>41.977539999999998</v>
      </c>
      <c r="S706" s="79">
        <v>76.459019999999995</v>
      </c>
      <c r="T706" s="79">
        <v>79.688659999999999</v>
      </c>
      <c r="U706" s="79">
        <v>101.4324</v>
      </c>
      <c r="V706" s="79"/>
      <c r="W706" s="79">
        <v>6.7845810000000002</v>
      </c>
      <c r="X706" s="79"/>
      <c r="Y706" s="79"/>
      <c r="Z706" s="79">
        <v>82.37679</v>
      </c>
      <c r="AA706" s="79">
        <v>59.563310000000001</v>
      </c>
      <c r="AB706" s="79"/>
      <c r="AC706" s="79">
        <v>48.91133</v>
      </c>
      <c r="AD706" s="79"/>
      <c r="AE706" s="79"/>
      <c r="AF706" s="79">
        <v>64.29204</v>
      </c>
      <c r="AG706" s="79">
        <v>45.40887</v>
      </c>
      <c r="AH706" s="79">
        <v>48.957720000000002</v>
      </c>
      <c r="AI706" s="79"/>
      <c r="AJ706" s="79">
        <v>61.357309999999998</v>
      </c>
      <c r="AK706" s="79"/>
      <c r="AL706" s="79"/>
      <c r="AM706" s="79">
        <v>54.876339999999999</v>
      </c>
      <c r="AN706" s="79"/>
      <c r="AO706" s="79">
        <v>47.702649999999998</v>
      </c>
      <c r="AP706" s="79">
        <v>63.710940000000001</v>
      </c>
      <c r="AQ706" s="79"/>
      <c r="AR706" s="79"/>
      <c r="AS706" s="79"/>
      <c r="AT706" s="79"/>
      <c r="AU706" s="79"/>
      <c r="AV706" s="79"/>
      <c r="AW706" s="79"/>
      <c r="AX706" s="79"/>
      <c r="AY706" s="79">
        <v>55.39902</v>
      </c>
    </row>
    <row r="707" spans="1:51" x14ac:dyDescent="0.2">
      <c r="A707" t="s">
        <v>1252</v>
      </c>
      <c r="B707" s="1">
        <v>28399</v>
      </c>
      <c r="C707" s="78">
        <v>707</v>
      </c>
      <c r="E707" s="1">
        <f t="shared" si="22"/>
        <v>28399</v>
      </c>
      <c r="F707" s="2">
        <f t="shared" si="23"/>
        <v>28399</v>
      </c>
      <c r="G707" s="78">
        <v>705</v>
      </c>
      <c r="H707" s="79"/>
      <c r="I707" s="79"/>
      <c r="J707" s="79">
        <v>49.423380000000002</v>
      </c>
      <c r="K707" s="79">
        <v>52.818260000000002</v>
      </c>
      <c r="L707" s="79"/>
      <c r="M707" s="79"/>
      <c r="N707" s="79">
        <v>56.348120000000002</v>
      </c>
      <c r="O707" s="79">
        <v>58.156610000000001</v>
      </c>
      <c r="P707" s="79">
        <v>80.281559999999999</v>
      </c>
      <c r="Q707" s="79"/>
      <c r="R707" s="79">
        <v>41.774749999999997</v>
      </c>
      <c r="S707" s="79">
        <v>75.54298</v>
      </c>
      <c r="T707" s="79">
        <v>79.395690000000002</v>
      </c>
      <c r="U707" s="79">
        <v>101.95180000000001</v>
      </c>
      <c r="V707" s="79"/>
      <c r="W707" s="79">
        <v>6.9613019999999999</v>
      </c>
      <c r="X707" s="79"/>
      <c r="Y707" s="79"/>
      <c r="Z707" s="79">
        <v>83.439099999999996</v>
      </c>
      <c r="AA707" s="79">
        <v>59.058540000000001</v>
      </c>
      <c r="AB707" s="79"/>
      <c r="AC707" s="79">
        <v>50.346670000000003</v>
      </c>
      <c r="AD707" s="79"/>
      <c r="AE707" s="79"/>
      <c r="AF707" s="79">
        <v>63.696739999999998</v>
      </c>
      <c r="AG707" s="79">
        <v>47.090679999999999</v>
      </c>
      <c r="AH707" s="79">
        <v>48.920389999999998</v>
      </c>
      <c r="AI707" s="79"/>
      <c r="AJ707" s="79">
        <v>59.969970000000004</v>
      </c>
      <c r="AK707" s="79"/>
      <c r="AL707" s="79"/>
      <c r="AM707" s="79">
        <v>54.014409999999998</v>
      </c>
      <c r="AN707" s="79"/>
      <c r="AO707" s="79">
        <v>47.79419</v>
      </c>
      <c r="AP707" s="79">
        <v>63.606180000000002</v>
      </c>
      <c r="AQ707" s="79"/>
      <c r="AR707" s="79"/>
      <c r="AS707" s="79"/>
      <c r="AT707" s="79"/>
      <c r="AU707" s="79"/>
      <c r="AV707" s="79"/>
      <c r="AW707" s="79"/>
      <c r="AX707" s="79"/>
      <c r="AY707" s="79">
        <v>55.691780000000001</v>
      </c>
    </row>
    <row r="708" spans="1:51" x14ac:dyDescent="0.2">
      <c r="A708" t="s">
        <v>1253</v>
      </c>
      <c r="B708" s="1">
        <v>28430</v>
      </c>
      <c r="C708" s="78">
        <v>708</v>
      </c>
      <c r="E708" s="1">
        <f t="shared" si="22"/>
        <v>28430</v>
      </c>
      <c r="F708" s="2">
        <f t="shared" si="23"/>
        <v>28430</v>
      </c>
      <c r="G708" s="78">
        <v>706</v>
      </c>
      <c r="H708" s="79"/>
      <c r="I708" s="79"/>
      <c r="J708" s="79">
        <v>50.160890000000002</v>
      </c>
      <c r="K708" s="79">
        <v>52.976619999999997</v>
      </c>
      <c r="L708" s="79"/>
      <c r="M708" s="79"/>
      <c r="N708" s="79">
        <v>56.409840000000003</v>
      </c>
      <c r="O708" s="79">
        <v>57.531269999999999</v>
      </c>
      <c r="P708" s="79">
        <v>78.179779999999994</v>
      </c>
      <c r="Q708" s="79"/>
      <c r="R708" s="79">
        <v>41.369169999999997</v>
      </c>
      <c r="S708" s="79">
        <v>76.886510000000001</v>
      </c>
      <c r="T708" s="79">
        <v>78.809749999999994</v>
      </c>
      <c r="U708" s="79">
        <v>99.663150000000002</v>
      </c>
      <c r="V708" s="79"/>
      <c r="W708" s="79">
        <v>6.9305669999999999</v>
      </c>
      <c r="X708" s="79"/>
      <c r="Y708" s="79"/>
      <c r="Z708" s="79">
        <v>80.638480000000001</v>
      </c>
      <c r="AA708" s="79">
        <v>60.236339999999998</v>
      </c>
      <c r="AB708" s="79"/>
      <c r="AC708" s="79">
        <v>49.971969999999999</v>
      </c>
      <c r="AD708" s="79"/>
      <c r="AE708" s="79"/>
      <c r="AF708" s="79">
        <v>63.101439999999997</v>
      </c>
      <c r="AG708" s="79">
        <v>47.651290000000003</v>
      </c>
      <c r="AH708" s="79">
        <v>48.925669999999997</v>
      </c>
      <c r="AI708" s="79"/>
      <c r="AJ708" s="79">
        <v>60.330530000000003</v>
      </c>
      <c r="AK708" s="79"/>
      <c r="AL708" s="79"/>
      <c r="AM708" s="79">
        <v>53.095010000000002</v>
      </c>
      <c r="AN708" s="79"/>
      <c r="AO708" s="79">
        <v>47.844610000000003</v>
      </c>
      <c r="AP708" s="79">
        <v>63.130020000000002</v>
      </c>
      <c r="AQ708" s="79"/>
      <c r="AR708" s="79"/>
      <c r="AS708" s="79"/>
      <c r="AT708" s="79"/>
      <c r="AU708" s="79"/>
      <c r="AV708" s="79"/>
      <c r="AW708" s="79"/>
      <c r="AX708" s="79"/>
      <c r="AY708" s="79">
        <v>56.356960000000001</v>
      </c>
    </row>
    <row r="709" spans="1:51" x14ac:dyDescent="0.2">
      <c r="A709" t="s">
        <v>1254</v>
      </c>
      <c r="B709" s="1">
        <v>28460</v>
      </c>
      <c r="C709" s="78">
        <v>709</v>
      </c>
      <c r="E709" s="1">
        <f t="shared" si="22"/>
        <v>28460</v>
      </c>
      <c r="F709" s="2">
        <f t="shared" si="23"/>
        <v>28460</v>
      </c>
      <c r="G709" s="78">
        <v>707</v>
      </c>
      <c r="H709" s="79"/>
      <c r="I709" s="79"/>
      <c r="J709" s="79">
        <v>49.457839999999997</v>
      </c>
      <c r="K709" s="79">
        <v>53.111490000000003</v>
      </c>
      <c r="L709" s="79"/>
      <c r="M709" s="79"/>
      <c r="N709" s="79">
        <v>57.52075</v>
      </c>
      <c r="O709" s="79">
        <v>59.407290000000003</v>
      </c>
      <c r="P709" s="79">
        <v>80.981399999999994</v>
      </c>
      <c r="Q709" s="79"/>
      <c r="R709" s="79">
        <v>40.456609999999998</v>
      </c>
      <c r="S709" s="79">
        <v>74.810149999999993</v>
      </c>
      <c r="T709" s="79">
        <v>80.176950000000005</v>
      </c>
      <c r="U709" s="79">
        <v>102.23480000000001</v>
      </c>
      <c r="V709" s="79"/>
      <c r="W709" s="79">
        <v>7.1764419999999998</v>
      </c>
      <c r="X709" s="79"/>
      <c r="Y709" s="79"/>
      <c r="Z709" s="79">
        <v>82.956230000000005</v>
      </c>
      <c r="AA709" s="79">
        <v>60.65699</v>
      </c>
      <c r="AB709" s="79"/>
      <c r="AC709" s="79">
        <v>49.625369999999997</v>
      </c>
      <c r="AD709" s="79"/>
      <c r="AE709" s="79"/>
      <c r="AF709" s="79">
        <v>64.887330000000006</v>
      </c>
      <c r="AG709" s="79">
        <v>48.772500000000001</v>
      </c>
      <c r="AH709" s="79">
        <v>49.286290000000001</v>
      </c>
      <c r="AI709" s="79"/>
      <c r="AJ709" s="79">
        <v>60.559690000000003</v>
      </c>
      <c r="AK709" s="79"/>
      <c r="AL709" s="79"/>
      <c r="AM709" s="79">
        <v>53.152470000000001</v>
      </c>
      <c r="AN709" s="79"/>
      <c r="AO709" s="79">
        <v>47.924529999999997</v>
      </c>
      <c r="AP709" s="79">
        <v>63.996639999999999</v>
      </c>
      <c r="AQ709" s="79"/>
      <c r="AR709" s="79"/>
      <c r="AS709" s="79"/>
      <c r="AT709" s="79"/>
      <c r="AU709" s="79"/>
      <c r="AV709" s="79"/>
      <c r="AW709" s="79"/>
      <c r="AX709" s="79"/>
      <c r="AY709" s="79">
        <v>56.752589999999998</v>
      </c>
    </row>
    <row r="710" spans="1:51" x14ac:dyDescent="0.2">
      <c r="A710" t="s">
        <v>1255</v>
      </c>
      <c r="B710" s="1">
        <v>28491</v>
      </c>
      <c r="C710" s="78">
        <v>710</v>
      </c>
      <c r="E710" s="1">
        <f t="shared" si="22"/>
        <v>28491</v>
      </c>
      <c r="F710" s="2">
        <f t="shared" si="23"/>
        <v>28491</v>
      </c>
      <c r="G710" s="78">
        <v>708</v>
      </c>
      <c r="H710" s="79"/>
      <c r="I710" s="79"/>
      <c r="J710" s="79">
        <v>49.209359999999997</v>
      </c>
      <c r="K710" s="79">
        <v>53.211579999999998</v>
      </c>
      <c r="L710" s="79"/>
      <c r="M710" s="79"/>
      <c r="N710" s="79">
        <v>57.7059</v>
      </c>
      <c r="O710" s="79">
        <v>61.28331</v>
      </c>
      <c r="P710" s="79">
        <v>81.808850000000007</v>
      </c>
      <c r="Q710" s="79"/>
      <c r="R710" s="79">
        <v>41.369169999999997</v>
      </c>
      <c r="S710" s="79">
        <v>76.581159999999997</v>
      </c>
      <c r="T710" s="79">
        <v>80.176950000000005</v>
      </c>
      <c r="U710" s="79">
        <v>97.956230000000005</v>
      </c>
      <c r="V710" s="79"/>
      <c r="W710" s="79">
        <v>7.1457069999999998</v>
      </c>
      <c r="X710" s="79"/>
      <c r="Y710" s="79"/>
      <c r="Z710" s="79">
        <v>82.18365</v>
      </c>
      <c r="AA710" s="79">
        <v>61.245890000000003</v>
      </c>
      <c r="AB710" s="79"/>
      <c r="AC710" s="79">
        <v>52.402720000000002</v>
      </c>
      <c r="AD710" s="79"/>
      <c r="AE710" s="79"/>
      <c r="AF710" s="79">
        <v>64.887330000000006</v>
      </c>
      <c r="AG710" s="79">
        <v>48.772500000000001</v>
      </c>
      <c r="AH710" s="79">
        <v>49.211469999999998</v>
      </c>
      <c r="AI710" s="79"/>
      <c r="AJ710" s="79">
        <v>61.976390000000002</v>
      </c>
      <c r="AK710" s="79"/>
      <c r="AL710" s="79"/>
      <c r="AM710" s="79">
        <v>54.818869999999997</v>
      </c>
      <c r="AN710" s="79"/>
      <c r="AO710" s="79">
        <v>47.26341</v>
      </c>
      <c r="AP710" s="79">
        <v>64.282340000000005</v>
      </c>
      <c r="AQ710" s="79"/>
      <c r="AR710" s="79"/>
      <c r="AS710" s="79"/>
      <c r="AT710" s="79"/>
      <c r="AU710" s="79"/>
      <c r="AV710" s="79"/>
      <c r="AW710" s="79"/>
      <c r="AX710" s="79"/>
      <c r="AY710" s="79">
        <v>57.220140000000001</v>
      </c>
    </row>
    <row r="711" spans="1:51" x14ac:dyDescent="0.2">
      <c r="A711" t="s">
        <v>1256</v>
      </c>
      <c r="B711" s="1">
        <v>28522</v>
      </c>
      <c r="C711" s="78">
        <v>711</v>
      </c>
      <c r="E711" s="1">
        <f t="shared" si="22"/>
        <v>28522</v>
      </c>
      <c r="F711" s="2">
        <f t="shared" si="23"/>
        <v>28522</v>
      </c>
      <c r="G711" s="78">
        <v>709</v>
      </c>
      <c r="H711" s="79"/>
      <c r="I711" s="79"/>
      <c r="J711" s="79">
        <v>49.194839999999999</v>
      </c>
      <c r="K711" s="79">
        <v>53.606769999999997</v>
      </c>
      <c r="L711" s="79"/>
      <c r="M711" s="79"/>
      <c r="N711" s="79">
        <v>56.039529999999999</v>
      </c>
      <c r="O711" s="79">
        <v>57.531269999999999</v>
      </c>
      <c r="P711" s="79">
        <v>81.518799999999999</v>
      </c>
      <c r="Q711" s="79"/>
      <c r="R711" s="79">
        <v>42.28172</v>
      </c>
      <c r="S711" s="79">
        <v>76.397959999999998</v>
      </c>
      <c r="T711" s="79">
        <v>80.07929</v>
      </c>
      <c r="U711" s="79">
        <v>105.396</v>
      </c>
      <c r="V711" s="79"/>
      <c r="W711" s="79">
        <v>6.9382510000000002</v>
      </c>
      <c r="X711" s="79"/>
      <c r="Y711" s="79"/>
      <c r="Z711" s="79">
        <v>82.28022</v>
      </c>
      <c r="AA711" s="79">
        <v>60.825240000000001</v>
      </c>
      <c r="AB711" s="79"/>
      <c r="AC711" s="79">
        <v>50.21707</v>
      </c>
      <c r="AD711" s="79"/>
      <c r="AE711" s="79"/>
      <c r="AF711" s="79">
        <v>64.887330000000006</v>
      </c>
      <c r="AG711" s="79">
        <v>48.772500000000001</v>
      </c>
      <c r="AH711" s="79">
        <v>49.079549999999998</v>
      </c>
      <c r="AI711" s="79"/>
      <c r="AJ711" s="79">
        <v>60.54063</v>
      </c>
      <c r="AK711" s="79"/>
      <c r="AL711" s="79"/>
      <c r="AM711" s="79">
        <v>53.956940000000003</v>
      </c>
      <c r="AN711" s="79"/>
      <c r="AO711" s="79">
        <v>47.497390000000003</v>
      </c>
      <c r="AP711" s="79">
        <v>63.710940000000001</v>
      </c>
      <c r="AQ711" s="79"/>
      <c r="AR711" s="79"/>
      <c r="AS711" s="79"/>
      <c r="AT711" s="79"/>
      <c r="AU711" s="79"/>
      <c r="AV711" s="79"/>
      <c r="AW711" s="79"/>
      <c r="AX711" s="79"/>
      <c r="AY711" s="79">
        <v>57.201050000000002</v>
      </c>
    </row>
    <row r="712" spans="1:51" x14ac:dyDescent="0.2">
      <c r="A712" t="s">
        <v>1257</v>
      </c>
      <c r="B712" s="1">
        <v>28550</v>
      </c>
      <c r="C712" s="78">
        <v>712</v>
      </c>
      <c r="E712" s="1">
        <f t="shared" si="22"/>
        <v>28550</v>
      </c>
      <c r="F712" s="2">
        <f t="shared" si="23"/>
        <v>28550</v>
      </c>
      <c r="G712" s="78">
        <v>710</v>
      </c>
      <c r="H712" s="79"/>
      <c r="I712" s="79"/>
      <c r="J712" s="79">
        <v>50.378120000000003</v>
      </c>
      <c r="K712" s="79">
        <v>53.412230000000001</v>
      </c>
      <c r="L712" s="79"/>
      <c r="M712" s="79"/>
      <c r="N712" s="79">
        <v>54.866900000000001</v>
      </c>
      <c r="O712" s="79">
        <v>53.153889999999997</v>
      </c>
      <c r="P712" s="79">
        <v>82.004750000000001</v>
      </c>
      <c r="Q712" s="79"/>
      <c r="R712" s="79">
        <v>41.876139999999999</v>
      </c>
      <c r="S712" s="79">
        <v>77.558269999999993</v>
      </c>
      <c r="T712" s="79">
        <v>79.200370000000007</v>
      </c>
      <c r="U712" s="79">
        <v>105.9975</v>
      </c>
      <c r="V712" s="79"/>
      <c r="W712" s="79">
        <v>7.1149740000000001</v>
      </c>
      <c r="X712" s="79"/>
      <c r="Y712" s="79"/>
      <c r="Z712" s="79">
        <v>81.024770000000004</v>
      </c>
      <c r="AA712" s="79">
        <v>62.171309999999998</v>
      </c>
      <c r="AB712" s="79"/>
      <c r="AC712" s="79">
        <v>49.658540000000002</v>
      </c>
      <c r="AD712" s="79"/>
      <c r="AE712" s="79"/>
      <c r="AF712" s="79">
        <v>64.29204</v>
      </c>
      <c r="AG712" s="79">
        <v>49.333100000000002</v>
      </c>
      <c r="AH712" s="79">
        <v>49.409129999999998</v>
      </c>
      <c r="AI712" s="79"/>
      <c r="AJ712" s="79">
        <v>60.796050000000001</v>
      </c>
      <c r="AK712" s="79"/>
      <c r="AL712" s="79"/>
      <c r="AM712" s="79">
        <v>54.014409999999998</v>
      </c>
      <c r="AN712" s="79"/>
      <c r="AO712" s="79">
        <v>48.402760000000001</v>
      </c>
      <c r="AP712" s="79">
        <v>63.225250000000003</v>
      </c>
      <c r="AQ712" s="79"/>
      <c r="AR712" s="79"/>
      <c r="AS712" s="79"/>
      <c r="AT712" s="79"/>
      <c r="AU712" s="79"/>
      <c r="AV712" s="79"/>
      <c r="AW712" s="79"/>
      <c r="AX712" s="79"/>
      <c r="AY712" s="79">
        <v>57.99633</v>
      </c>
    </row>
    <row r="713" spans="1:51" x14ac:dyDescent="0.2">
      <c r="A713" t="s">
        <v>1258</v>
      </c>
      <c r="B713" s="1">
        <v>28581</v>
      </c>
      <c r="C713" s="78">
        <v>713</v>
      </c>
      <c r="E713" s="1">
        <f t="shared" si="22"/>
        <v>28581</v>
      </c>
      <c r="F713" s="2">
        <f t="shared" si="23"/>
        <v>28581</v>
      </c>
      <c r="G713" s="78">
        <v>711</v>
      </c>
      <c r="H713" s="79"/>
      <c r="I713" s="79"/>
      <c r="J713" s="79">
        <v>49.729289999999999</v>
      </c>
      <c r="K713" s="79">
        <v>54.411720000000003</v>
      </c>
      <c r="L713" s="79"/>
      <c r="M713" s="79"/>
      <c r="N713" s="79">
        <v>55.977809999999998</v>
      </c>
      <c r="O713" s="79">
        <v>63.784660000000002</v>
      </c>
      <c r="P713" s="79">
        <v>79.545609999999996</v>
      </c>
      <c r="Q713" s="79"/>
      <c r="R713" s="79">
        <v>41.876139999999999</v>
      </c>
      <c r="S713" s="79">
        <v>80.184269999999998</v>
      </c>
      <c r="T713" s="79">
        <v>84.083259999999996</v>
      </c>
      <c r="U713" s="79">
        <v>106.4819</v>
      </c>
      <c r="V713" s="79"/>
      <c r="W713" s="79">
        <v>7.1303400000000003</v>
      </c>
      <c r="X713" s="79"/>
      <c r="Y713" s="79"/>
      <c r="Z713" s="79">
        <v>85.467129999999997</v>
      </c>
      <c r="AA713" s="79">
        <v>62.171309999999998</v>
      </c>
      <c r="AB713" s="79"/>
      <c r="AC713" s="79">
        <v>50.508330000000001</v>
      </c>
      <c r="AD713" s="79"/>
      <c r="AE713" s="79"/>
      <c r="AF713" s="79">
        <v>63.696739999999998</v>
      </c>
      <c r="AG713" s="79">
        <v>49.893700000000003</v>
      </c>
      <c r="AH713" s="79">
        <v>50.414409999999997</v>
      </c>
      <c r="AI713" s="79"/>
      <c r="AJ713" s="79">
        <v>61.427790000000002</v>
      </c>
      <c r="AK713" s="79"/>
      <c r="AL713" s="79"/>
      <c r="AM713" s="79">
        <v>54.014409999999998</v>
      </c>
      <c r="AN713" s="79"/>
      <c r="AO713" s="79">
        <v>49.405540000000002</v>
      </c>
      <c r="AP713" s="79">
        <v>65.148960000000002</v>
      </c>
      <c r="AQ713" s="79"/>
      <c r="AR713" s="79"/>
      <c r="AS713" s="79"/>
      <c r="AT713" s="79"/>
      <c r="AU713" s="79"/>
      <c r="AV713" s="79"/>
      <c r="AW713" s="79"/>
      <c r="AX713" s="79"/>
      <c r="AY713" s="79">
        <v>60.260820000000002</v>
      </c>
    </row>
    <row r="714" spans="1:51" x14ac:dyDescent="0.2">
      <c r="A714" t="s">
        <v>1259</v>
      </c>
      <c r="B714" s="1">
        <v>28611</v>
      </c>
      <c r="C714" s="78">
        <v>714</v>
      </c>
      <c r="E714" s="1">
        <f t="shared" si="22"/>
        <v>28611</v>
      </c>
      <c r="F714" s="2">
        <f t="shared" si="23"/>
        <v>28611</v>
      </c>
      <c r="G714" s="78">
        <v>712</v>
      </c>
      <c r="H714" s="79"/>
      <c r="I714" s="79"/>
      <c r="J714" s="79">
        <v>50.937959999999997</v>
      </c>
      <c r="K714" s="79">
        <v>53.75808</v>
      </c>
      <c r="L714" s="79"/>
      <c r="M714" s="79"/>
      <c r="N714" s="79">
        <v>55.9161</v>
      </c>
      <c r="O714" s="79">
        <v>60.657969999999999</v>
      </c>
      <c r="P714" s="79">
        <v>80.610609999999994</v>
      </c>
      <c r="Q714" s="79"/>
      <c r="R714" s="79">
        <v>42.07893</v>
      </c>
      <c r="S714" s="79">
        <v>78.779660000000007</v>
      </c>
      <c r="T714" s="79">
        <v>81.251180000000005</v>
      </c>
      <c r="U714" s="79">
        <v>104.1187</v>
      </c>
      <c r="V714" s="79"/>
      <c r="W714" s="79">
        <v>6.9766700000000004</v>
      </c>
      <c r="X714" s="79"/>
      <c r="Y714" s="79"/>
      <c r="Z714" s="79">
        <v>83.245959999999997</v>
      </c>
      <c r="AA714" s="79">
        <v>62.339570000000002</v>
      </c>
      <c r="AB714" s="79"/>
      <c r="AC714" s="79">
        <v>49.790759999999999</v>
      </c>
      <c r="AD714" s="79"/>
      <c r="AE714" s="79"/>
      <c r="AF714" s="79">
        <v>63.101439999999997</v>
      </c>
      <c r="AG714" s="79">
        <v>47.090679999999999</v>
      </c>
      <c r="AH714" s="79">
        <v>50.20579</v>
      </c>
      <c r="AI714" s="79"/>
      <c r="AJ714" s="79">
        <v>61.584530000000001</v>
      </c>
      <c r="AK714" s="79"/>
      <c r="AL714" s="79"/>
      <c r="AM714" s="79">
        <v>53.209940000000003</v>
      </c>
      <c r="AN714" s="79"/>
      <c r="AO714" s="79">
        <v>49.588799999999999</v>
      </c>
      <c r="AP714" s="79">
        <v>64.187100000000001</v>
      </c>
      <c r="AQ714" s="79"/>
      <c r="AR714" s="79"/>
      <c r="AS714" s="79"/>
      <c r="AT714" s="79"/>
      <c r="AU714" s="79"/>
      <c r="AV714" s="79"/>
      <c r="AW714" s="79"/>
      <c r="AX714" s="79"/>
      <c r="AY714" s="79">
        <v>58.068860000000001</v>
      </c>
    </row>
    <row r="715" spans="1:51" x14ac:dyDescent="0.2">
      <c r="A715" t="s">
        <v>1260</v>
      </c>
      <c r="B715" s="1">
        <v>28642</v>
      </c>
      <c r="C715" s="78">
        <v>715</v>
      </c>
      <c r="E715" s="1">
        <f t="shared" si="22"/>
        <v>28642</v>
      </c>
      <c r="F715" s="2">
        <f t="shared" si="23"/>
        <v>28642</v>
      </c>
      <c r="G715" s="78">
        <v>713</v>
      </c>
      <c r="H715" s="79"/>
      <c r="I715" s="79"/>
      <c r="J715" s="79">
        <v>49.308669999999999</v>
      </c>
      <c r="K715" s="79">
        <v>54.83887</v>
      </c>
      <c r="L715" s="79"/>
      <c r="M715" s="79"/>
      <c r="N715" s="79">
        <v>55.607509999999998</v>
      </c>
      <c r="O715" s="79">
        <v>60.032629999999997</v>
      </c>
      <c r="P715" s="79">
        <v>81.428529999999995</v>
      </c>
      <c r="Q715" s="79"/>
      <c r="R715" s="79">
        <v>41.470559999999999</v>
      </c>
      <c r="S715" s="79">
        <v>77.313999999999993</v>
      </c>
      <c r="T715" s="79">
        <v>81.251180000000005</v>
      </c>
      <c r="U715" s="79">
        <v>104.405</v>
      </c>
      <c r="V715" s="79"/>
      <c r="W715" s="79">
        <v>7.3685309999999999</v>
      </c>
      <c r="X715" s="79"/>
      <c r="Y715" s="79"/>
      <c r="Z715" s="79">
        <v>84.308260000000004</v>
      </c>
      <c r="AA715" s="79">
        <v>62.676079999999999</v>
      </c>
      <c r="AB715" s="79"/>
      <c r="AC715" s="79">
        <v>49.568280000000001</v>
      </c>
      <c r="AD715" s="79"/>
      <c r="AE715" s="79"/>
      <c r="AF715" s="79">
        <v>64.29204</v>
      </c>
      <c r="AG715" s="79">
        <v>49.333100000000002</v>
      </c>
      <c r="AH715" s="79">
        <v>50.389449999999997</v>
      </c>
      <c r="AI715" s="79"/>
      <c r="AJ715" s="79">
        <v>62.033439999999999</v>
      </c>
      <c r="AK715" s="79"/>
      <c r="AL715" s="79"/>
      <c r="AM715" s="79">
        <v>52.980089999999997</v>
      </c>
      <c r="AN715" s="79"/>
      <c r="AO715" s="79">
        <v>49.93045</v>
      </c>
      <c r="AP715" s="79">
        <v>64.09187</v>
      </c>
      <c r="AQ715" s="79"/>
      <c r="AR715" s="79"/>
      <c r="AS715" s="79"/>
      <c r="AT715" s="79"/>
      <c r="AU715" s="79"/>
      <c r="AV715" s="79"/>
      <c r="AW715" s="79"/>
      <c r="AX715" s="79"/>
      <c r="AY715" s="79">
        <v>57.876139999999999</v>
      </c>
    </row>
    <row r="716" spans="1:51" x14ac:dyDescent="0.2">
      <c r="A716" t="s">
        <v>1261</v>
      </c>
      <c r="B716" s="1">
        <v>28672</v>
      </c>
      <c r="C716" s="78">
        <v>716</v>
      </c>
      <c r="E716" s="1">
        <f t="shared" si="22"/>
        <v>28672</v>
      </c>
      <c r="F716" s="2">
        <f t="shared" si="23"/>
        <v>28672</v>
      </c>
      <c r="G716" s="78">
        <v>714</v>
      </c>
      <c r="H716" s="79"/>
      <c r="I716" s="79"/>
      <c r="J716" s="79">
        <v>51.04786</v>
      </c>
      <c r="K716" s="79">
        <v>54.027340000000002</v>
      </c>
      <c r="L716" s="79"/>
      <c r="M716" s="79"/>
      <c r="N716" s="79">
        <v>57.088729999999998</v>
      </c>
      <c r="O716" s="79">
        <v>59.407290000000003</v>
      </c>
      <c r="P716" s="79">
        <v>80.997860000000003</v>
      </c>
      <c r="Q716" s="79"/>
      <c r="R716" s="79">
        <v>38.682200000000002</v>
      </c>
      <c r="S716" s="79">
        <v>77.252930000000006</v>
      </c>
      <c r="T716" s="79">
        <v>82.423069999999996</v>
      </c>
      <c r="U716" s="79">
        <v>106.0147</v>
      </c>
      <c r="V716" s="79"/>
      <c r="W716" s="79">
        <v>7.4760999999999997</v>
      </c>
      <c r="X716" s="79"/>
      <c r="Y716" s="79"/>
      <c r="Z716" s="79">
        <v>86.432860000000005</v>
      </c>
      <c r="AA716" s="79">
        <v>63.096730000000001</v>
      </c>
      <c r="AB716" s="79"/>
      <c r="AC716" s="79">
        <v>52.537050000000001</v>
      </c>
      <c r="AD716" s="79"/>
      <c r="AE716" s="79"/>
      <c r="AF716" s="79">
        <v>65.48263</v>
      </c>
      <c r="AG716" s="79">
        <v>49.333100000000002</v>
      </c>
      <c r="AH716" s="79">
        <v>50.727939999999997</v>
      </c>
      <c r="AI716" s="79"/>
      <c r="AJ716" s="79">
        <v>61.984830000000002</v>
      </c>
      <c r="AK716" s="79"/>
      <c r="AL716" s="79"/>
      <c r="AM716" s="79">
        <v>53.324860000000001</v>
      </c>
      <c r="AN716" s="79"/>
      <c r="AO716" s="79">
        <v>49.907310000000003</v>
      </c>
      <c r="AP716" s="79">
        <v>64.958500000000001</v>
      </c>
      <c r="AQ716" s="79"/>
      <c r="AR716" s="79"/>
      <c r="AS716" s="79"/>
      <c r="AT716" s="79"/>
      <c r="AU716" s="79"/>
      <c r="AV716" s="79"/>
      <c r="AW716" s="79"/>
      <c r="AX716" s="79"/>
      <c r="AY716" s="79">
        <v>59.06673</v>
      </c>
    </row>
    <row r="717" spans="1:51" x14ac:dyDescent="0.2">
      <c r="A717" t="s">
        <v>1262</v>
      </c>
      <c r="B717" s="1">
        <v>28703</v>
      </c>
      <c r="C717" s="78">
        <v>717</v>
      </c>
      <c r="E717" s="1">
        <f t="shared" si="22"/>
        <v>28703</v>
      </c>
      <c r="F717" s="2">
        <f t="shared" si="23"/>
        <v>28703</v>
      </c>
      <c r="G717" s="78">
        <v>715</v>
      </c>
      <c r="H717" s="79"/>
      <c r="I717" s="79"/>
      <c r="J717" s="79">
        <v>51.091500000000003</v>
      </c>
      <c r="K717" s="79">
        <v>54.286729999999999</v>
      </c>
      <c r="L717" s="79"/>
      <c r="M717" s="79"/>
      <c r="N717" s="79">
        <v>57.644179999999999</v>
      </c>
      <c r="O717" s="79">
        <v>60.657969999999999</v>
      </c>
      <c r="P717" s="79">
        <v>81.626350000000002</v>
      </c>
      <c r="Q717" s="79"/>
      <c r="R717" s="79">
        <v>42.585909999999998</v>
      </c>
      <c r="S717" s="79">
        <v>77.252930000000006</v>
      </c>
      <c r="T717" s="79">
        <v>83.204340000000002</v>
      </c>
      <c r="U717" s="79">
        <v>105.8098</v>
      </c>
      <c r="V717" s="79"/>
      <c r="W717" s="79">
        <v>6.7845810000000002</v>
      </c>
      <c r="X717" s="79"/>
      <c r="Y717" s="79"/>
      <c r="Z717" s="79">
        <v>86.239720000000005</v>
      </c>
      <c r="AA717" s="79">
        <v>63.938009999999998</v>
      </c>
      <c r="AB717" s="79"/>
      <c r="AC717" s="79">
        <v>51.943890000000003</v>
      </c>
      <c r="AD717" s="79"/>
      <c r="AE717" s="79"/>
      <c r="AF717" s="79">
        <v>64.29204</v>
      </c>
      <c r="AG717" s="79">
        <v>51.01491</v>
      </c>
      <c r="AH717" s="79">
        <v>51.014809999999997</v>
      </c>
      <c r="AI717" s="79"/>
      <c r="AJ717" s="79">
        <v>61.531559999999999</v>
      </c>
      <c r="AK717" s="79"/>
      <c r="AL717" s="79"/>
      <c r="AM717" s="79">
        <v>54.531570000000002</v>
      </c>
      <c r="AN717" s="79"/>
      <c r="AO717" s="79">
        <v>50.094700000000003</v>
      </c>
      <c r="AP717" s="79">
        <v>65.339420000000004</v>
      </c>
      <c r="AQ717" s="79"/>
      <c r="AR717" s="79"/>
      <c r="AS717" s="79"/>
      <c r="AT717" s="79"/>
      <c r="AU717" s="79"/>
      <c r="AV717" s="79"/>
      <c r="AW717" s="79"/>
      <c r="AX717" s="79"/>
      <c r="AY717" s="79">
        <v>59.762320000000003</v>
      </c>
    </row>
    <row r="718" spans="1:51" x14ac:dyDescent="0.2">
      <c r="A718" t="s">
        <v>1263</v>
      </c>
      <c r="B718" s="1">
        <v>28734</v>
      </c>
      <c r="C718" s="78">
        <v>718</v>
      </c>
      <c r="E718" s="1">
        <f t="shared" si="22"/>
        <v>28734</v>
      </c>
      <c r="F718" s="2">
        <f t="shared" si="23"/>
        <v>28734</v>
      </c>
      <c r="G718" s="78">
        <v>716</v>
      </c>
      <c r="H718" s="79"/>
      <c r="I718" s="79"/>
      <c r="J718" s="79">
        <v>51.905839999999998</v>
      </c>
      <c r="K718" s="79">
        <v>55.650410000000001</v>
      </c>
      <c r="L718" s="79"/>
      <c r="M718" s="79"/>
      <c r="N718" s="79">
        <v>58.569949999999999</v>
      </c>
      <c r="O718" s="79">
        <v>60.657969999999999</v>
      </c>
      <c r="P718" s="79">
        <v>83.593119999999999</v>
      </c>
      <c r="Q718" s="79"/>
      <c r="R718" s="79">
        <v>43.447769999999998</v>
      </c>
      <c r="S718" s="79">
        <v>78.596459999999993</v>
      </c>
      <c r="T718" s="79">
        <v>83.106679999999997</v>
      </c>
      <c r="U718" s="79">
        <v>106.55549999999999</v>
      </c>
      <c r="V718" s="79"/>
      <c r="W718" s="79">
        <v>7.3992649999999998</v>
      </c>
      <c r="X718" s="79"/>
      <c r="Y718" s="79"/>
      <c r="Z718" s="79">
        <v>87.398589999999999</v>
      </c>
      <c r="AA718" s="79">
        <v>64.442790000000002</v>
      </c>
      <c r="AB718" s="79"/>
      <c r="AC718" s="79">
        <v>51.599769999999999</v>
      </c>
      <c r="AD718" s="79"/>
      <c r="AE718" s="79"/>
      <c r="AF718" s="79">
        <v>64.29204</v>
      </c>
      <c r="AG718" s="79">
        <v>51.575510000000001</v>
      </c>
      <c r="AH718" s="79">
        <v>51.435510000000001</v>
      </c>
      <c r="AI718" s="79"/>
      <c r="AJ718" s="79">
        <v>61.95261</v>
      </c>
      <c r="AK718" s="79"/>
      <c r="AL718" s="79"/>
      <c r="AM718" s="79">
        <v>55.221110000000003</v>
      </c>
      <c r="AN718" s="79"/>
      <c r="AO718" s="79">
        <v>50.221200000000003</v>
      </c>
      <c r="AP718" s="79">
        <v>66.206050000000005</v>
      </c>
      <c r="AQ718" s="79"/>
      <c r="AR718" s="79"/>
      <c r="AS718" s="79"/>
      <c r="AT718" s="79"/>
      <c r="AU718" s="79"/>
      <c r="AV718" s="79"/>
      <c r="AW718" s="79"/>
      <c r="AX718" s="79"/>
      <c r="AY718" s="79">
        <v>60.055019999999999</v>
      </c>
    </row>
    <row r="719" spans="1:51" x14ac:dyDescent="0.2">
      <c r="A719" t="s">
        <v>1264</v>
      </c>
      <c r="B719" s="1">
        <v>28764</v>
      </c>
      <c r="C719" s="78">
        <v>719</v>
      </c>
      <c r="E719" s="1">
        <f t="shared" si="22"/>
        <v>28764</v>
      </c>
      <c r="F719" s="2">
        <f t="shared" si="23"/>
        <v>28764</v>
      </c>
      <c r="G719" s="78">
        <v>717</v>
      </c>
      <c r="H719" s="79"/>
      <c r="I719" s="79"/>
      <c r="J719" s="79">
        <v>53.046639999999996</v>
      </c>
      <c r="K719" s="79">
        <v>55.836489999999998</v>
      </c>
      <c r="L719" s="79"/>
      <c r="M719" s="79"/>
      <c r="N719" s="79">
        <v>57.582470000000001</v>
      </c>
      <c r="O719" s="79">
        <v>60.657969999999999</v>
      </c>
      <c r="P719" s="79">
        <v>83.337890000000002</v>
      </c>
      <c r="Q719" s="79"/>
      <c r="R719" s="79">
        <v>43.80265</v>
      </c>
      <c r="S719" s="79">
        <v>79.756770000000003</v>
      </c>
      <c r="T719" s="79">
        <v>81.544160000000005</v>
      </c>
      <c r="U719" s="79">
        <v>107.5505</v>
      </c>
      <c r="V719" s="79"/>
      <c r="W719" s="79">
        <v>7.3454800000000002</v>
      </c>
      <c r="X719" s="79"/>
      <c r="Y719" s="79"/>
      <c r="Z719" s="79">
        <v>88.460899999999995</v>
      </c>
      <c r="AA719" s="79">
        <v>64.526920000000004</v>
      </c>
      <c r="AB719" s="79"/>
      <c r="AC719" s="79">
        <v>51.600430000000003</v>
      </c>
      <c r="AD719" s="79"/>
      <c r="AE719" s="79"/>
      <c r="AF719" s="79">
        <v>64.887330000000006</v>
      </c>
      <c r="AG719" s="79">
        <v>51.575510000000001</v>
      </c>
      <c r="AH719" s="79">
        <v>51.556240000000003</v>
      </c>
      <c r="AI719" s="79"/>
      <c r="AJ719" s="79">
        <v>61.276470000000003</v>
      </c>
      <c r="AK719" s="79"/>
      <c r="AL719" s="79"/>
      <c r="AM719" s="79">
        <v>55.623339999999999</v>
      </c>
      <c r="AN719" s="79"/>
      <c r="AO719" s="79">
        <v>50.624040000000001</v>
      </c>
      <c r="AP719" s="79">
        <v>66.01558</v>
      </c>
      <c r="AQ719" s="79"/>
      <c r="AR719" s="79"/>
      <c r="AS719" s="79"/>
      <c r="AT719" s="79"/>
      <c r="AU719" s="79"/>
      <c r="AV719" s="79"/>
      <c r="AW719" s="79"/>
      <c r="AX719" s="79"/>
      <c r="AY719" s="79">
        <v>60.630879999999998</v>
      </c>
    </row>
    <row r="720" spans="1:51" x14ac:dyDescent="0.2">
      <c r="A720" t="s">
        <v>1265</v>
      </c>
      <c r="B720" s="1">
        <v>28795</v>
      </c>
      <c r="C720" s="78">
        <v>720</v>
      </c>
      <c r="E720" s="1">
        <f t="shared" si="22"/>
        <v>28795</v>
      </c>
      <c r="F720" s="2">
        <f t="shared" si="23"/>
        <v>28795</v>
      </c>
      <c r="G720" s="78">
        <v>718</v>
      </c>
      <c r="H720" s="79"/>
      <c r="I720" s="79"/>
      <c r="J720" s="79">
        <v>52.342480000000002</v>
      </c>
      <c r="K720" s="79">
        <v>56.368429999999996</v>
      </c>
      <c r="L720" s="79"/>
      <c r="M720" s="79"/>
      <c r="N720" s="79">
        <v>58.014490000000002</v>
      </c>
      <c r="O720" s="79">
        <v>60.657969999999999</v>
      </c>
      <c r="P720" s="79">
        <v>83.420280000000005</v>
      </c>
      <c r="Q720" s="79"/>
      <c r="R720" s="79">
        <v>44.056139999999999</v>
      </c>
      <c r="S720" s="79">
        <v>80.245329999999996</v>
      </c>
      <c r="T720" s="79">
        <v>82.032449999999997</v>
      </c>
      <c r="U720" s="79">
        <v>110.2616</v>
      </c>
      <c r="V720" s="79"/>
      <c r="W720" s="79">
        <v>7.599037</v>
      </c>
      <c r="X720" s="79"/>
      <c r="Y720" s="79"/>
      <c r="Z720" s="79">
        <v>88.364329999999995</v>
      </c>
      <c r="AA720" s="79">
        <v>64.863429999999994</v>
      </c>
      <c r="AB720" s="79"/>
      <c r="AC720" s="79">
        <v>51.105510000000002</v>
      </c>
      <c r="AD720" s="79"/>
      <c r="AE720" s="79"/>
      <c r="AF720" s="79">
        <v>66.077929999999995</v>
      </c>
      <c r="AG720" s="79">
        <v>52.136110000000002</v>
      </c>
      <c r="AH720" s="79">
        <v>51.871429999999997</v>
      </c>
      <c r="AI720" s="79"/>
      <c r="AJ720" s="79">
        <v>64.157539999999997</v>
      </c>
      <c r="AK720" s="79"/>
      <c r="AL720" s="79"/>
      <c r="AM720" s="79">
        <v>55.91066</v>
      </c>
      <c r="AN720" s="79"/>
      <c r="AO720" s="79">
        <v>51.007570000000001</v>
      </c>
      <c r="AP720" s="79">
        <v>66.301280000000006</v>
      </c>
      <c r="AQ720" s="79"/>
      <c r="AR720" s="79"/>
      <c r="AS720" s="79"/>
      <c r="AT720" s="79"/>
      <c r="AU720" s="79"/>
      <c r="AV720" s="79"/>
      <c r="AW720" s="79"/>
      <c r="AX720" s="79"/>
      <c r="AY720" s="79">
        <v>60.363140000000001</v>
      </c>
    </row>
    <row r="721" spans="1:51" x14ac:dyDescent="0.2">
      <c r="A721" t="s">
        <v>1266</v>
      </c>
      <c r="B721" s="1">
        <v>28825</v>
      </c>
      <c r="C721" s="78">
        <v>721</v>
      </c>
      <c r="E721" s="1">
        <f t="shared" si="22"/>
        <v>28825</v>
      </c>
      <c r="F721" s="2">
        <f t="shared" si="23"/>
        <v>28825</v>
      </c>
      <c r="G721" s="78">
        <v>719</v>
      </c>
      <c r="H721" s="79"/>
      <c r="I721" s="79"/>
      <c r="J721" s="79">
        <v>54.47289</v>
      </c>
      <c r="K721" s="79">
        <v>57.248100000000001</v>
      </c>
      <c r="L721" s="79"/>
      <c r="M721" s="79"/>
      <c r="N721" s="79">
        <v>59.866019999999999</v>
      </c>
      <c r="O721" s="79">
        <v>61.908650000000002</v>
      </c>
      <c r="P721" s="79">
        <v>83.667000000000002</v>
      </c>
      <c r="Q721" s="79"/>
      <c r="R721" s="79">
        <v>44.765900000000002</v>
      </c>
      <c r="S721" s="79">
        <v>80.428539999999998</v>
      </c>
      <c r="T721" s="79">
        <v>84.571550000000002</v>
      </c>
      <c r="U721" s="79">
        <v>111.0767</v>
      </c>
      <c r="V721" s="79"/>
      <c r="W721" s="79">
        <v>7.5683040000000004</v>
      </c>
      <c r="X721" s="79"/>
      <c r="Y721" s="79"/>
      <c r="Z721" s="79">
        <v>93.868989999999997</v>
      </c>
      <c r="AA721" s="79">
        <v>65.452340000000007</v>
      </c>
      <c r="AB721" s="79"/>
      <c r="AC721" s="79">
        <v>51.440150000000003</v>
      </c>
      <c r="AD721" s="79"/>
      <c r="AE721" s="79"/>
      <c r="AF721" s="79">
        <v>68.459109999999995</v>
      </c>
      <c r="AG721" s="79">
        <v>51.01491</v>
      </c>
      <c r="AH721" s="79">
        <v>52.675870000000003</v>
      </c>
      <c r="AI721" s="79"/>
      <c r="AJ721" s="79">
        <v>65.372730000000004</v>
      </c>
      <c r="AK721" s="79"/>
      <c r="AL721" s="79"/>
      <c r="AM721" s="79">
        <v>55.795729999999999</v>
      </c>
      <c r="AN721" s="79"/>
      <c r="AO721" s="79">
        <v>51.280259999999998</v>
      </c>
      <c r="AP721" s="79">
        <v>68.320220000000006</v>
      </c>
      <c r="AQ721" s="79"/>
      <c r="AR721" s="79"/>
      <c r="AS721" s="79"/>
      <c r="AT721" s="79"/>
      <c r="AU721" s="79"/>
      <c r="AV721" s="79"/>
      <c r="AW721" s="79"/>
      <c r="AX721" s="79"/>
      <c r="AY721" s="79">
        <v>61.97607</v>
      </c>
    </row>
    <row r="722" spans="1:51" x14ac:dyDescent="0.2">
      <c r="A722" t="s">
        <v>1267</v>
      </c>
      <c r="B722" s="1">
        <v>28856</v>
      </c>
      <c r="C722" s="78">
        <v>722</v>
      </c>
      <c r="E722" s="1">
        <f t="shared" si="22"/>
        <v>28856</v>
      </c>
      <c r="F722" s="2">
        <f t="shared" si="23"/>
        <v>28856</v>
      </c>
      <c r="G722" s="78">
        <v>720</v>
      </c>
      <c r="H722" s="79"/>
      <c r="I722" s="79"/>
      <c r="J722" s="79">
        <v>49.27787</v>
      </c>
      <c r="K722" s="79">
        <v>57.159759999999999</v>
      </c>
      <c r="L722" s="79"/>
      <c r="M722" s="79"/>
      <c r="N722" s="79">
        <v>58.261360000000003</v>
      </c>
      <c r="O722" s="79">
        <v>57.531269999999999</v>
      </c>
      <c r="P722" s="79">
        <v>83.401009999999999</v>
      </c>
      <c r="Q722" s="79"/>
      <c r="R722" s="79">
        <v>45.577060000000003</v>
      </c>
      <c r="S722" s="79">
        <v>79.573570000000004</v>
      </c>
      <c r="T722" s="79">
        <v>78.71208</v>
      </c>
      <c r="U722" s="79">
        <v>111.7376</v>
      </c>
      <c r="V722" s="79"/>
      <c r="W722" s="79">
        <v>7.4607330000000003</v>
      </c>
      <c r="X722" s="79"/>
      <c r="Y722" s="79"/>
      <c r="Z722" s="79">
        <v>87.784890000000004</v>
      </c>
      <c r="AA722" s="79">
        <v>65.368210000000005</v>
      </c>
      <c r="AB722" s="79"/>
      <c r="AC722" s="79">
        <v>50.213920000000002</v>
      </c>
      <c r="AD722" s="79"/>
      <c r="AE722" s="79"/>
      <c r="AF722" s="79">
        <v>66.301159999999996</v>
      </c>
      <c r="AG722" s="79">
        <v>50.454300000000003</v>
      </c>
      <c r="AH722" s="79">
        <v>51.762909999999998</v>
      </c>
      <c r="AI722" s="79"/>
      <c r="AJ722" s="79">
        <v>62.839700000000001</v>
      </c>
      <c r="AK722" s="79"/>
      <c r="AL722" s="79"/>
      <c r="AM722" s="79">
        <v>55.336039999999997</v>
      </c>
      <c r="AN722" s="79"/>
      <c r="AO722" s="79">
        <v>50.950519999999997</v>
      </c>
      <c r="AP722" s="79">
        <v>65.720359999999999</v>
      </c>
      <c r="AQ722" s="79"/>
      <c r="AR722" s="79"/>
      <c r="AS722" s="79"/>
      <c r="AT722" s="79"/>
      <c r="AU722" s="79"/>
      <c r="AV722" s="79"/>
      <c r="AW722" s="79"/>
      <c r="AX722" s="79"/>
      <c r="AY722" s="79">
        <v>62.509</v>
      </c>
    </row>
    <row r="723" spans="1:51" x14ac:dyDescent="0.2">
      <c r="A723" t="s">
        <v>1268</v>
      </c>
      <c r="B723" s="1">
        <v>28887</v>
      </c>
      <c r="C723" s="78">
        <v>723</v>
      </c>
      <c r="E723" s="1">
        <f t="shared" si="22"/>
        <v>28887</v>
      </c>
      <c r="F723" s="2">
        <f t="shared" si="23"/>
        <v>28887</v>
      </c>
      <c r="G723" s="78">
        <v>721</v>
      </c>
      <c r="H723" s="79"/>
      <c r="I723" s="79"/>
      <c r="J723" s="79">
        <v>51.621729999999999</v>
      </c>
      <c r="K723" s="79">
        <v>57.250450000000001</v>
      </c>
      <c r="L723" s="79"/>
      <c r="M723" s="79"/>
      <c r="N723" s="79">
        <v>58.076210000000003</v>
      </c>
      <c r="O723" s="79">
        <v>58.781950000000002</v>
      </c>
      <c r="P723" s="79">
        <v>78.682749999999999</v>
      </c>
      <c r="Q723" s="79"/>
      <c r="R723" s="79">
        <v>46.236130000000003</v>
      </c>
      <c r="S723" s="79">
        <v>79.756770000000003</v>
      </c>
      <c r="T723" s="79">
        <v>84.571550000000002</v>
      </c>
      <c r="U723" s="79">
        <v>110.90940000000001</v>
      </c>
      <c r="V723" s="79"/>
      <c r="W723" s="79">
        <v>7.5606200000000001</v>
      </c>
      <c r="X723" s="79"/>
      <c r="Y723" s="79"/>
      <c r="Z723" s="79">
        <v>90.488929999999996</v>
      </c>
      <c r="AA723" s="79">
        <v>65.284080000000003</v>
      </c>
      <c r="AB723" s="79"/>
      <c r="AC723" s="79">
        <v>53.657679999999999</v>
      </c>
      <c r="AD723" s="79"/>
      <c r="AE723" s="79"/>
      <c r="AF723" s="79">
        <v>65.631450000000001</v>
      </c>
      <c r="AG723" s="79">
        <v>50.454300000000003</v>
      </c>
      <c r="AH723" s="79">
        <v>52.126049999999999</v>
      </c>
      <c r="AI723" s="79"/>
      <c r="AJ723" s="79">
        <v>60.590919999999997</v>
      </c>
      <c r="AK723" s="79"/>
      <c r="AL723" s="79"/>
      <c r="AM723" s="79">
        <v>55.91066</v>
      </c>
      <c r="AN723" s="79"/>
      <c r="AO723" s="79">
        <v>51.224260000000001</v>
      </c>
      <c r="AP723" s="79">
        <v>66.586979999999997</v>
      </c>
      <c r="AQ723" s="79"/>
      <c r="AR723" s="79"/>
      <c r="AS723" s="79"/>
      <c r="AT723" s="79"/>
      <c r="AU723" s="79"/>
      <c r="AV723" s="79"/>
      <c r="AW723" s="79"/>
      <c r="AX723" s="79"/>
      <c r="AY723" s="79">
        <v>62.251690000000004</v>
      </c>
    </row>
    <row r="724" spans="1:51" x14ac:dyDescent="0.2">
      <c r="A724" t="s">
        <v>1269</v>
      </c>
      <c r="B724" s="1">
        <v>28915</v>
      </c>
      <c r="C724" s="78">
        <v>724</v>
      </c>
      <c r="E724" s="1">
        <f t="shared" si="22"/>
        <v>28915</v>
      </c>
      <c r="F724" s="2">
        <f t="shared" si="23"/>
        <v>28915</v>
      </c>
      <c r="G724" s="78">
        <v>722</v>
      </c>
      <c r="H724" s="79"/>
      <c r="I724" s="79"/>
      <c r="J724" s="79">
        <v>51.56176</v>
      </c>
      <c r="K724" s="79">
        <v>57.125920000000001</v>
      </c>
      <c r="L724" s="79"/>
      <c r="M724" s="79"/>
      <c r="N724" s="79">
        <v>58.323079999999997</v>
      </c>
      <c r="O724" s="79">
        <v>60.657969999999999</v>
      </c>
      <c r="P724" s="79">
        <v>81.426559999999995</v>
      </c>
      <c r="Q724" s="79"/>
      <c r="R724" s="79">
        <v>46.895200000000003</v>
      </c>
      <c r="S724" s="79">
        <v>80.856030000000004</v>
      </c>
      <c r="T724" s="79">
        <v>85.743440000000007</v>
      </c>
      <c r="U724" s="79">
        <v>113.46169999999999</v>
      </c>
      <c r="V724" s="79"/>
      <c r="W724" s="79">
        <v>7.7988099999999996</v>
      </c>
      <c r="X724" s="79"/>
      <c r="Y724" s="79"/>
      <c r="Z724" s="79">
        <v>89.619770000000003</v>
      </c>
      <c r="AA724" s="79">
        <v>65.872990000000001</v>
      </c>
      <c r="AB724" s="79"/>
      <c r="AC724" s="79">
        <v>53.698929999999997</v>
      </c>
      <c r="AD724" s="79"/>
      <c r="AE724" s="79"/>
      <c r="AF724" s="79">
        <v>66.301159999999996</v>
      </c>
      <c r="AG724" s="79">
        <v>51.01491</v>
      </c>
      <c r="AH724" s="79">
        <v>52.456180000000003</v>
      </c>
      <c r="AI724" s="79"/>
      <c r="AJ724" s="79">
        <v>67.731160000000003</v>
      </c>
      <c r="AK724" s="79"/>
      <c r="AL724" s="79"/>
      <c r="AM724" s="79">
        <v>55.968119999999999</v>
      </c>
      <c r="AN724" s="79"/>
      <c r="AO724" s="79">
        <v>51.38467</v>
      </c>
      <c r="AP724" s="79">
        <v>67.263130000000004</v>
      </c>
      <c r="AQ724" s="79"/>
      <c r="AR724" s="79"/>
      <c r="AS724" s="79"/>
      <c r="AT724" s="79"/>
      <c r="AU724" s="79"/>
      <c r="AV724" s="79"/>
      <c r="AW724" s="79"/>
      <c r="AX724" s="79"/>
      <c r="AY724" s="79">
        <v>61.559699999999999</v>
      </c>
    </row>
    <row r="725" spans="1:51" x14ac:dyDescent="0.2">
      <c r="A725" t="s">
        <v>1270</v>
      </c>
      <c r="B725" s="1">
        <v>28946</v>
      </c>
      <c r="C725" s="78">
        <v>725</v>
      </c>
      <c r="E725" s="1">
        <f t="shared" si="22"/>
        <v>28946</v>
      </c>
      <c r="F725" s="2">
        <f t="shared" si="23"/>
        <v>28946</v>
      </c>
      <c r="G725" s="78">
        <v>723</v>
      </c>
      <c r="H725" s="79"/>
      <c r="I725" s="79"/>
      <c r="J725" s="79">
        <v>53.609450000000002</v>
      </c>
      <c r="K725" s="79">
        <v>56.759860000000003</v>
      </c>
      <c r="L725" s="79"/>
      <c r="M725" s="79"/>
      <c r="N725" s="79">
        <v>59.680860000000003</v>
      </c>
      <c r="O725" s="79">
        <v>60.657969999999999</v>
      </c>
      <c r="P725" s="79">
        <v>81.390410000000003</v>
      </c>
      <c r="Q725" s="79"/>
      <c r="R725" s="79">
        <v>47.097990000000003</v>
      </c>
      <c r="S725" s="79">
        <v>79.451430000000002</v>
      </c>
      <c r="T725" s="79">
        <v>85.645780000000002</v>
      </c>
      <c r="U725" s="79">
        <v>113.92270000000001</v>
      </c>
      <c r="V725" s="79"/>
      <c r="W725" s="79">
        <v>7.8295450000000004</v>
      </c>
      <c r="X725" s="79"/>
      <c r="Y725" s="79"/>
      <c r="Z725" s="79">
        <v>90.006069999999994</v>
      </c>
      <c r="AA725" s="79">
        <v>66.125370000000004</v>
      </c>
      <c r="AB725" s="79"/>
      <c r="AC725" s="79">
        <v>52.891069999999999</v>
      </c>
      <c r="AD725" s="79"/>
      <c r="AE725" s="79"/>
      <c r="AF725" s="79">
        <v>68.310289999999995</v>
      </c>
      <c r="AG725" s="79">
        <v>51.575510000000001</v>
      </c>
      <c r="AH725" s="79">
        <v>52.438650000000003</v>
      </c>
      <c r="AI725" s="79"/>
      <c r="AJ725" s="79">
        <v>66.253259999999997</v>
      </c>
      <c r="AK725" s="79"/>
      <c r="AL725" s="79"/>
      <c r="AM725" s="79">
        <v>57.232280000000003</v>
      </c>
      <c r="AN725" s="79"/>
      <c r="AO725" s="79">
        <v>50.805</v>
      </c>
      <c r="AP725" s="79">
        <v>67.644069999999999</v>
      </c>
      <c r="AQ725" s="79"/>
      <c r="AR725" s="79"/>
      <c r="AS725" s="79"/>
      <c r="AT725" s="79"/>
      <c r="AU725" s="79"/>
      <c r="AV725" s="79"/>
      <c r="AW725" s="79"/>
      <c r="AX725" s="79"/>
      <c r="AY725" s="79">
        <v>63.555889999999998</v>
      </c>
    </row>
    <row r="726" spans="1:51" x14ac:dyDescent="0.2">
      <c r="A726" t="s">
        <v>1271</v>
      </c>
      <c r="B726" s="1">
        <v>28976</v>
      </c>
      <c r="C726" s="78">
        <v>726</v>
      </c>
      <c r="E726" s="1">
        <f t="shared" si="22"/>
        <v>28976</v>
      </c>
      <c r="F726" s="2">
        <f t="shared" si="23"/>
        <v>28976</v>
      </c>
      <c r="G726" s="78">
        <v>724</v>
      </c>
      <c r="H726" s="79"/>
      <c r="I726" s="79"/>
      <c r="J726" s="79">
        <v>53.006</v>
      </c>
      <c r="K726" s="79">
        <v>57.727409999999999</v>
      </c>
      <c r="L726" s="79"/>
      <c r="M726" s="79"/>
      <c r="N726" s="79">
        <v>59.557429999999997</v>
      </c>
      <c r="O726" s="79">
        <v>62.533990000000003</v>
      </c>
      <c r="P726" s="79">
        <v>83.150490000000005</v>
      </c>
      <c r="Q726" s="79"/>
      <c r="R726" s="79">
        <v>46.743099999999998</v>
      </c>
      <c r="S726" s="79">
        <v>81.772069999999999</v>
      </c>
      <c r="T726" s="79">
        <v>86.915329999999997</v>
      </c>
      <c r="U726" s="79">
        <v>115.1066</v>
      </c>
      <c r="V726" s="79"/>
      <c r="W726" s="79">
        <v>7.6758730000000002</v>
      </c>
      <c r="X726" s="79"/>
      <c r="Y726" s="79"/>
      <c r="Z726" s="79">
        <v>87.881460000000004</v>
      </c>
      <c r="AA726" s="79">
        <v>67.55556</v>
      </c>
      <c r="AB726" s="79"/>
      <c r="AC726" s="79">
        <v>51.545560000000002</v>
      </c>
      <c r="AD726" s="79"/>
      <c r="AE726" s="79"/>
      <c r="AF726" s="79">
        <v>67.64058</v>
      </c>
      <c r="AG726" s="79">
        <v>52.696719999999999</v>
      </c>
      <c r="AH726" s="79">
        <v>52.85915</v>
      </c>
      <c r="AI726" s="79"/>
      <c r="AJ726" s="79">
        <v>66.307209999999998</v>
      </c>
      <c r="AK726" s="79"/>
      <c r="AL726" s="79"/>
      <c r="AM726" s="79">
        <v>57.806910000000002</v>
      </c>
      <c r="AN726" s="79"/>
      <c r="AO726" s="79">
        <v>51.213120000000004</v>
      </c>
      <c r="AP726" s="79">
        <v>67.929760000000002</v>
      </c>
      <c r="AQ726" s="79"/>
      <c r="AR726" s="79"/>
      <c r="AS726" s="79"/>
      <c r="AT726" s="79"/>
      <c r="AU726" s="79"/>
      <c r="AV726" s="79"/>
      <c r="AW726" s="79"/>
      <c r="AX726" s="79"/>
      <c r="AY726" s="79">
        <v>62.65954</v>
      </c>
    </row>
    <row r="727" spans="1:51" x14ac:dyDescent="0.2">
      <c r="A727" t="s">
        <v>1272</v>
      </c>
      <c r="B727" s="1">
        <v>29007</v>
      </c>
      <c r="C727" s="78">
        <v>727</v>
      </c>
      <c r="E727" s="1">
        <f t="shared" si="22"/>
        <v>29007</v>
      </c>
      <c r="F727" s="2">
        <f t="shared" si="23"/>
        <v>29007</v>
      </c>
      <c r="G727" s="78">
        <v>725</v>
      </c>
      <c r="H727" s="79"/>
      <c r="I727" s="79"/>
      <c r="J727" s="79">
        <v>54.98892</v>
      </c>
      <c r="K727" s="79">
        <v>57.341140000000003</v>
      </c>
      <c r="L727" s="79"/>
      <c r="M727" s="79"/>
      <c r="N727" s="79">
        <v>60.730060000000002</v>
      </c>
      <c r="O727" s="79">
        <v>61.908650000000002</v>
      </c>
      <c r="P727" s="79">
        <v>84.177779999999998</v>
      </c>
      <c r="Q727" s="79"/>
      <c r="R727" s="79">
        <v>46.793799999999997</v>
      </c>
      <c r="S727" s="79">
        <v>82.382769999999994</v>
      </c>
      <c r="T727" s="79">
        <v>88.380200000000002</v>
      </c>
      <c r="U727" s="79">
        <v>113.89870000000001</v>
      </c>
      <c r="V727" s="79"/>
      <c r="W727" s="79">
        <v>7.6374560000000002</v>
      </c>
      <c r="X727" s="79"/>
      <c r="Y727" s="79"/>
      <c r="Z727" s="79">
        <v>87.398589999999999</v>
      </c>
      <c r="AA727" s="79">
        <v>67.807950000000005</v>
      </c>
      <c r="AB727" s="79"/>
      <c r="AC727" s="79">
        <v>53.185870000000001</v>
      </c>
      <c r="AD727" s="79"/>
      <c r="AE727" s="79"/>
      <c r="AF727" s="79">
        <v>66.970870000000005</v>
      </c>
      <c r="AG727" s="79">
        <v>52.136110000000002</v>
      </c>
      <c r="AH727" s="79">
        <v>53.119100000000003</v>
      </c>
      <c r="AI727" s="79"/>
      <c r="AJ727" s="79">
        <v>65.759379999999993</v>
      </c>
      <c r="AK727" s="79"/>
      <c r="AL727" s="79"/>
      <c r="AM727" s="79">
        <v>59.128540000000001</v>
      </c>
      <c r="AN727" s="79"/>
      <c r="AO727" s="79">
        <v>51.210239999999999</v>
      </c>
      <c r="AP727" s="79">
        <v>68.701160000000002</v>
      </c>
      <c r="AQ727" s="79"/>
      <c r="AR727" s="79"/>
      <c r="AS727" s="79"/>
      <c r="AT727" s="79"/>
      <c r="AU727" s="79"/>
      <c r="AV727" s="79"/>
      <c r="AW727" s="79"/>
      <c r="AX727" s="79"/>
      <c r="AY727" s="79">
        <v>63.072279999999999</v>
      </c>
    </row>
    <row r="728" spans="1:51" x14ac:dyDescent="0.2">
      <c r="A728" t="s">
        <v>1273</v>
      </c>
      <c r="B728" s="1">
        <v>29037</v>
      </c>
      <c r="C728" s="78">
        <v>728</v>
      </c>
      <c r="E728" s="1">
        <f t="shared" si="22"/>
        <v>29037</v>
      </c>
      <c r="F728" s="2">
        <f t="shared" si="23"/>
        <v>29037</v>
      </c>
      <c r="G728" s="78">
        <v>726</v>
      </c>
      <c r="H728" s="79"/>
      <c r="I728" s="79"/>
      <c r="J728" s="79">
        <v>54.086660000000002</v>
      </c>
      <c r="K728" s="79">
        <v>57.975050000000003</v>
      </c>
      <c r="L728" s="79"/>
      <c r="M728" s="79"/>
      <c r="N728" s="79">
        <v>61.038649999999997</v>
      </c>
      <c r="O728" s="79">
        <v>64.41</v>
      </c>
      <c r="P728" s="79">
        <v>83.705389999999994</v>
      </c>
      <c r="Q728" s="79"/>
      <c r="R728" s="79">
        <v>47.75705</v>
      </c>
      <c r="S728" s="79">
        <v>84.214849999999998</v>
      </c>
      <c r="T728" s="79">
        <v>87.305959999999999</v>
      </c>
      <c r="U728" s="79">
        <v>111.645</v>
      </c>
      <c r="V728" s="79"/>
      <c r="W728" s="79">
        <v>7.7603929999999997</v>
      </c>
      <c r="X728" s="79"/>
      <c r="Y728" s="79"/>
      <c r="Z728" s="79">
        <v>86.722579999999994</v>
      </c>
      <c r="AA728" s="79">
        <v>68.312719999999999</v>
      </c>
      <c r="AB728" s="79"/>
      <c r="AC728" s="79">
        <v>51.135509999999996</v>
      </c>
      <c r="AD728" s="79"/>
      <c r="AE728" s="79"/>
      <c r="AF728" s="79">
        <v>68.310289999999995</v>
      </c>
      <c r="AG728" s="79">
        <v>53.25732</v>
      </c>
      <c r="AH728" s="79">
        <v>53.20111</v>
      </c>
      <c r="AI728" s="79"/>
      <c r="AJ728" s="79">
        <v>62.376809999999999</v>
      </c>
      <c r="AK728" s="79"/>
      <c r="AL728" s="79"/>
      <c r="AM728" s="79">
        <v>58.036749999999998</v>
      </c>
      <c r="AN728" s="79"/>
      <c r="AO728" s="79">
        <v>51.140700000000002</v>
      </c>
      <c r="AP728" s="79">
        <v>68.701160000000002</v>
      </c>
      <c r="AQ728" s="79"/>
      <c r="AR728" s="79"/>
      <c r="AS728" s="79"/>
      <c r="AT728" s="79"/>
      <c r="AU728" s="79"/>
      <c r="AV728" s="79"/>
      <c r="AW728" s="79"/>
      <c r="AX728" s="79"/>
      <c r="AY728" s="79">
        <v>62.45861</v>
      </c>
    </row>
    <row r="729" spans="1:51" x14ac:dyDescent="0.2">
      <c r="A729" t="s">
        <v>1274</v>
      </c>
      <c r="B729" s="1">
        <v>29068</v>
      </c>
      <c r="C729" s="78">
        <v>729</v>
      </c>
      <c r="E729" s="1">
        <f t="shared" si="22"/>
        <v>29068</v>
      </c>
      <c r="F729" s="2">
        <f t="shared" si="23"/>
        <v>29068</v>
      </c>
      <c r="G729" s="78">
        <v>727</v>
      </c>
      <c r="H729" s="79"/>
      <c r="I729" s="79"/>
      <c r="J729" s="79">
        <v>54.339739999999999</v>
      </c>
      <c r="K729" s="79">
        <v>57.947789999999998</v>
      </c>
      <c r="L729" s="79"/>
      <c r="M729" s="79"/>
      <c r="N729" s="79">
        <v>60.174610000000001</v>
      </c>
      <c r="O729" s="79">
        <v>62.533990000000003</v>
      </c>
      <c r="P729" s="79">
        <v>84.560749999999999</v>
      </c>
      <c r="Q729" s="79"/>
      <c r="R729" s="79">
        <v>47.199379999999998</v>
      </c>
      <c r="S729" s="79">
        <v>84.214849999999998</v>
      </c>
      <c r="T729" s="79">
        <v>84.278570000000002</v>
      </c>
      <c r="U729" s="79">
        <v>113.4592</v>
      </c>
      <c r="V729" s="79"/>
      <c r="W729" s="79">
        <v>7.8064929999999997</v>
      </c>
      <c r="X729" s="79"/>
      <c r="Y729" s="79"/>
      <c r="Z729" s="79">
        <v>93.868989999999997</v>
      </c>
      <c r="AA729" s="79">
        <v>69.322270000000003</v>
      </c>
      <c r="AB729" s="79"/>
      <c r="AC729" s="79">
        <v>52.031030000000001</v>
      </c>
      <c r="AD729" s="79"/>
      <c r="AE729" s="79"/>
      <c r="AF729" s="79">
        <v>67.64058</v>
      </c>
      <c r="AG729" s="79">
        <v>55.49973</v>
      </c>
      <c r="AH729" s="79">
        <v>53.318440000000002</v>
      </c>
      <c r="AI729" s="79"/>
      <c r="AJ729" s="79">
        <v>70.535129999999995</v>
      </c>
      <c r="AK729" s="79"/>
      <c r="AL729" s="79"/>
      <c r="AM729" s="79">
        <v>59.530769999999997</v>
      </c>
      <c r="AN729" s="79"/>
      <c r="AO729" s="79">
        <v>50.801250000000003</v>
      </c>
      <c r="AP729" s="79">
        <v>69.091610000000003</v>
      </c>
      <c r="AQ729" s="79"/>
      <c r="AR729" s="79"/>
      <c r="AS729" s="79"/>
      <c r="AT729" s="79"/>
      <c r="AU729" s="79"/>
      <c r="AV729" s="79"/>
      <c r="AW729" s="79"/>
      <c r="AX729" s="79"/>
      <c r="AY729" s="79">
        <v>63.875660000000003</v>
      </c>
    </row>
    <row r="730" spans="1:51" x14ac:dyDescent="0.2">
      <c r="A730" t="s">
        <v>1275</v>
      </c>
      <c r="B730" s="1">
        <v>29099</v>
      </c>
      <c r="C730" s="78">
        <v>730</v>
      </c>
      <c r="E730" s="1">
        <f t="shared" si="22"/>
        <v>29099</v>
      </c>
      <c r="F730" s="2">
        <f t="shared" si="23"/>
        <v>29099</v>
      </c>
      <c r="G730" s="78">
        <v>728</v>
      </c>
      <c r="H730" s="79"/>
      <c r="I730" s="79"/>
      <c r="J730" s="79">
        <v>55.076729999999998</v>
      </c>
      <c r="K730" s="79">
        <v>57.828429999999997</v>
      </c>
      <c r="L730" s="79"/>
      <c r="M730" s="79"/>
      <c r="N730" s="79">
        <v>60.29804</v>
      </c>
      <c r="O730" s="79">
        <v>62.533990000000003</v>
      </c>
      <c r="P730" s="79">
        <v>83.309629999999999</v>
      </c>
      <c r="Q730" s="79"/>
      <c r="R730" s="79">
        <v>46.945900000000002</v>
      </c>
      <c r="S730" s="79">
        <v>82.993459999999999</v>
      </c>
      <c r="T730" s="79">
        <v>83.985600000000005</v>
      </c>
      <c r="U730" s="79">
        <v>111.8584</v>
      </c>
      <c r="V730" s="79"/>
      <c r="W730" s="79">
        <v>8.1061519999999998</v>
      </c>
      <c r="X730" s="79"/>
      <c r="Y730" s="79"/>
      <c r="Z730" s="79">
        <v>95.607299999999995</v>
      </c>
      <c r="AA730" s="79">
        <v>68.060329999999993</v>
      </c>
      <c r="AB730" s="79"/>
      <c r="AC730" s="79">
        <v>54.235599999999998</v>
      </c>
      <c r="AD730" s="79"/>
      <c r="AE730" s="79"/>
      <c r="AF730" s="79">
        <v>68.98</v>
      </c>
      <c r="AG730" s="79">
        <v>57.742150000000002</v>
      </c>
      <c r="AH730" s="79">
        <v>53.225990000000003</v>
      </c>
      <c r="AI730" s="79"/>
      <c r="AJ730" s="79">
        <v>68.298029999999997</v>
      </c>
      <c r="AK730" s="79"/>
      <c r="AL730" s="79"/>
      <c r="AM730" s="79">
        <v>60.047930000000001</v>
      </c>
      <c r="AN730" s="79"/>
      <c r="AO730" s="79">
        <v>50.857640000000004</v>
      </c>
      <c r="AP730" s="79">
        <v>69.186840000000004</v>
      </c>
      <c r="AQ730" s="79"/>
      <c r="AR730" s="79"/>
      <c r="AS730" s="79"/>
      <c r="AT730" s="79"/>
      <c r="AU730" s="79"/>
      <c r="AV730" s="79"/>
      <c r="AW730" s="79"/>
      <c r="AX730" s="79"/>
      <c r="AY730" s="79">
        <v>62.667310000000001</v>
      </c>
    </row>
    <row r="731" spans="1:51" x14ac:dyDescent="0.2">
      <c r="A731" t="s">
        <v>1276</v>
      </c>
      <c r="B731" s="1">
        <v>29129</v>
      </c>
      <c r="C731" s="78">
        <v>731</v>
      </c>
      <c r="E731" s="1">
        <f t="shared" si="22"/>
        <v>29129</v>
      </c>
      <c r="F731" s="2">
        <f t="shared" si="23"/>
        <v>29129</v>
      </c>
      <c r="G731" s="78">
        <v>729</v>
      </c>
      <c r="H731" s="79"/>
      <c r="I731" s="79"/>
      <c r="J731" s="79">
        <v>53.93938</v>
      </c>
      <c r="K731" s="79">
        <v>57.741500000000002</v>
      </c>
      <c r="L731" s="79"/>
      <c r="M731" s="79"/>
      <c r="N731" s="79">
        <v>59.619149999999998</v>
      </c>
      <c r="O731" s="79">
        <v>65.660679999999999</v>
      </c>
      <c r="P731" s="79">
        <v>82.497069999999994</v>
      </c>
      <c r="Q731" s="79"/>
      <c r="R731" s="79">
        <v>47.402169999999998</v>
      </c>
      <c r="S731" s="79">
        <v>82.260630000000006</v>
      </c>
      <c r="T731" s="79">
        <v>84.278570000000002</v>
      </c>
      <c r="U731" s="79">
        <v>114.35769999999999</v>
      </c>
      <c r="V731" s="79"/>
      <c r="W731" s="79">
        <v>7.9985819999999999</v>
      </c>
      <c r="X731" s="79"/>
      <c r="Y731" s="79"/>
      <c r="Z731" s="79">
        <v>94.834720000000004</v>
      </c>
      <c r="AA731" s="79">
        <v>69.490530000000007</v>
      </c>
      <c r="AB731" s="79"/>
      <c r="AC731" s="79">
        <v>50.942410000000002</v>
      </c>
      <c r="AD731" s="79"/>
      <c r="AE731" s="79"/>
      <c r="AF731" s="79">
        <v>68.310289999999995</v>
      </c>
      <c r="AG731" s="79">
        <v>54.939129999999999</v>
      </c>
      <c r="AH731" s="79">
        <v>53.31814</v>
      </c>
      <c r="AI731" s="79"/>
      <c r="AJ731" s="79">
        <v>69.042879999999997</v>
      </c>
      <c r="AK731" s="79"/>
      <c r="AL731" s="79"/>
      <c r="AM731" s="79">
        <v>58.611379999999997</v>
      </c>
      <c r="AN731" s="79"/>
      <c r="AO731" s="79">
        <v>51.136569999999999</v>
      </c>
      <c r="AP731" s="79">
        <v>68.605919999999998</v>
      </c>
      <c r="AQ731" s="79"/>
      <c r="AR731" s="79"/>
      <c r="AS731" s="79"/>
      <c r="AT731" s="79"/>
      <c r="AU731" s="79"/>
      <c r="AV731" s="79"/>
      <c r="AW731" s="79"/>
      <c r="AX731" s="79"/>
      <c r="AY731" s="79">
        <v>64.905519999999996</v>
      </c>
    </row>
    <row r="732" spans="1:51" x14ac:dyDescent="0.2">
      <c r="A732" t="s">
        <v>1277</v>
      </c>
      <c r="B732" s="1">
        <v>29160</v>
      </c>
      <c r="C732" s="78">
        <v>732</v>
      </c>
      <c r="E732" s="1">
        <f t="shared" si="22"/>
        <v>29160</v>
      </c>
      <c r="F732" s="2">
        <f t="shared" si="23"/>
        <v>29160</v>
      </c>
      <c r="G732" s="78">
        <v>730</v>
      </c>
      <c r="H732" s="79"/>
      <c r="I732" s="79"/>
      <c r="J732" s="79">
        <v>53.827869999999997</v>
      </c>
      <c r="K732" s="79">
        <v>57.25515</v>
      </c>
      <c r="L732" s="79"/>
      <c r="M732" s="79"/>
      <c r="N732" s="79">
        <v>61.162089999999999</v>
      </c>
      <c r="O732" s="79">
        <v>65.660679999999999</v>
      </c>
      <c r="P732" s="79">
        <v>82.21011</v>
      </c>
      <c r="Q732" s="79"/>
      <c r="R732" s="79">
        <v>48.568210000000001</v>
      </c>
      <c r="S732" s="79">
        <v>82.627039999999994</v>
      </c>
      <c r="T732" s="79">
        <v>85.352810000000005</v>
      </c>
      <c r="U732" s="79">
        <v>108.1005</v>
      </c>
      <c r="V732" s="79"/>
      <c r="W732" s="79">
        <v>8.0370000000000008</v>
      </c>
      <c r="X732" s="79"/>
      <c r="Y732" s="79"/>
      <c r="Z732" s="79">
        <v>95.414150000000006</v>
      </c>
      <c r="AA732" s="79">
        <v>70.331819999999993</v>
      </c>
      <c r="AB732" s="79"/>
      <c r="AC732" s="79">
        <v>52.917940000000002</v>
      </c>
      <c r="AD732" s="79"/>
      <c r="AE732" s="79"/>
      <c r="AF732" s="79">
        <v>69.649699999999996</v>
      </c>
      <c r="AG732" s="79">
        <v>57.181550000000001</v>
      </c>
      <c r="AH732" s="79">
        <v>53.634650000000001</v>
      </c>
      <c r="AI732" s="79"/>
      <c r="AJ732" s="79">
        <v>69.741100000000003</v>
      </c>
      <c r="AK732" s="79"/>
      <c r="AL732" s="79"/>
      <c r="AM732" s="79">
        <v>59.071080000000002</v>
      </c>
      <c r="AN732" s="79"/>
      <c r="AO732" s="79">
        <v>51.091230000000003</v>
      </c>
      <c r="AP732" s="79">
        <v>69.377309999999994</v>
      </c>
      <c r="AQ732" s="79"/>
      <c r="AR732" s="79"/>
      <c r="AS732" s="79"/>
      <c r="AT732" s="79"/>
      <c r="AU732" s="79"/>
      <c r="AV732" s="79"/>
      <c r="AW732" s="79"/>
      <c r="AX732" s="79"/>
      <c r="AY732" s="79">
        <v>64.206909999999993</v>
      </c>
    </row>
    <row r="733" spans="1:51" x14ac:dyDescent="0.2">
      <c r="A733" t="s">
        <v>1278</v>
      </c>
      <c r="B733" s="1">
        <v>29190</v>
      </c>
      <c r="C733" s="78">
        <v>733</v>
      </c>
      <c r="E733" s="1">
        <f t="shared" si="22"/>
        <v>29190</v>
      </c>
      <c r="F733" s="2">
        <f t="shared" si="23"/>
        <v>29190</v>
      </c>
      <c r="G733" s="78">
        <v>731</v>
      </c>
      <c r="H733" s="79"/>
      <c r="I733" s="79"/>
      <c r="J733" s="79">
        <v>55.835070000000002</v>
      </c>
      <c r="K733" s="79">
        <v>56.511279999999999</v>
      </c>
      <c r="L733" s="79"/>
      <c r="M733" s="79"/>
      <c r="N733" s="79">
        <v>62.087850000000003</v>
      </c>
      <c r="O733" s="79">
        <v>65.035349999999994</v>
      </c>
      <c r="P733" s="79">
        <v>80.666820000000001</v>
      </c>
      <c r="Q733" s="79"/>
      <c r="R733" s="79">
        <v>48.213329999999999</v>
      </c>
      <c r="S733" s="79">
        <v>82.504909999999995</v>
      </c>
      <c r="T733" s="79">
        <v>85.841089999999994</v>
      </c>
      <c r="U733" s="79">
        <v>112.7032</v>
      </c>
      <c r="V733" s="79"/>
      <c r="W733" s="79">
        <v>7.7296579999999997</v>
      </c>
      <c r="X733" s="79"/>
      <c r="Y733" s="79"/>
      <c r="Z733" s="79">
        <v>98.311350000000004</v>
      </c>
      <c r="AA733" s="79">
        <v>70.079430000000002</v>
      </c>
      <c r="AB733" s="79"/>
      <c r="AC733" s="79">
        <v>55.317230000000002</v>
      </c>
      <c r="AD733" s="79"/>
      <c r="AE733" s="79"/>
      <c r="AF733" s="79">
        <v>66.301159999999996</v>
      </c>
      <c r="AG733" s="79">
        <v>56.060339999999997</v>
      </c>
      <c r="AH733" s="79">
        <v>53.851880000000001</v>
      </c>
      <c r="AI733" s="79"/>
      <c r="AJ733" s="79">
        <v>69.612369999999999</v>
      </c>
      <c r="AK733" s="79"/>
      <c r="AL733" s="79"/>
      <c r="AM733" s="79">
        <v>60.737479999999998</v>
      </c>
      <c r="AN733" s="79"/>
      <c r="AO733" s="79">
        <v>51.157020000000003</v>
      </c>
      <c r="AP733" s="79">
        <v>70.148700000000005</v>
      </c>
      <c r="AQ733" s="79"/>
      <c r="AR733" s="79"/>
      <c r="AS733" s="79"/>
      <c r="AT733" s="79"/>
      <c r="AU733" s="79"/>
      <c r="AV733" s="79"/>
      <c r="AW733" s="79"/>
      <c r="AX733" s="79"/>
      <c r="AY733" s="79">
        <v>65.449780000000004</v>
      </c>
    </row>
    <row r="734" spans="1:51" x14ac:dyDescent="0.2">
      <c r="A734" t="s">
        <v>1279</v>
      </c>
      <c r="B734" s="1">
        <v>29221</v>
      </c>
      <c r="C734" s="78">
        <v>734</v>
      </c>
      <c r="E734" s="1">
        <f t="shared" si="22"/>
        <v>29221</v>
      </c>
      <c r="F734" s="2">
        <f t="shared" si="23"/>
        <v>29221</v>
      </c>
      <c r="G734" s="78">
        <v>732</v>
      </c>
      <c r="H734" s="79"/>
      <c r="I734" s="79"/>
      <c r="J734" s="79">
        <v>55.372010000000003</v>
      </c>
      <c r="K734" s="79">
        <v>57.271599999999999</v>
      </c>
      <c r="L734" s="79"/>
      <c r="M734" s="79"/>
      <c r="N734" s="79">
        <v>61.71754</v>
      </c>
      <c r="O734" s="79">
        <v>64.41</v>
      </c>
      <c r="P734" s="79">
        <v>83.359790000000004</v>
      </c>
      <c r="Q734" s="79"/>
      <c r="R734" s="79">
        <v>49.582160000000002</v>
      </c>
      <c r="S734" s="79">
        <v>82.016490000000005</v>
      </c>
      <c r="T734" s="79">
        <v>85.352810000000005</v>
      </c>
      <c r="U734" s="79">
        <v>112.9633</v>
      </c>
      <c r="V734" s="79"/>
      <c r="W734" s="79">
        <v>7.868233</v>
      </c>
      <c r="X734" s="79"/>
      <c r="Y734" s="79"/>
      <c r="Z734" s="79">
        <v>97.386660000000006</v>
      </c>
      <c r="AA734" s="79">
        <v>70.584209999999999</v>
      </c>
      <c r="AB734" s="79"/>
      <c r="AC734" s="79">
        <v>54.504219999999997</v>
      </c>
      <c r="AD734" s="79"/>
      <c r="AE734" s="79">
        <v>54.656030000000001</v>
      </c>
      <c r="AF734" s="79">
        <v>68.98</v>
      </c>
      <c r="AG734" s="79">
        <v>57.742150000000002</v>
      </c>
      <c r="AH734" s="79">
        <v>53.991660000000003</v>
      </c>
      <c r="AI734" s="79"/>
      <c r="AJ734" s="79">
        <v>71.702830000000006</v>
      </c>
      <c r="AK734" s="79"/>
      <c r="AL734" s="79"/>
      <c r="AM734" s="79">
        <v>60.047930000000001</v>
      </c>
      <c r="AN734" s="79"/>
      <c r="AO734" s="79">
        <v>51.390810000000002</v>
      </c>
      <c r="AP734" s="79">
        <v>68.147149999999996</v>
      </c>
      <c r="AQ734" s="79"/>
      <c r="AR734" s="79"/>
      <c r="AS734" s="79"/>
      <c r="AT734" s="79"/>
      <c r="AU734" s="79"/>
      <c r="AV734" s="79"/>
      <c r="AW734" s="79"/>
      <c r="AX734" s="79"/>
      <c r="AY734" s="79">
        <v>66.453050000000005</v>
      </c>
    </row>
    <row r="735" spans="1:51" x14ac:dyDescent="0.2">
      <c r="A735" t="s">
        <v>1280</v>
      </c>
      <c r="B735" s="1">
        <v>29252</v>
      </c>
      <c r="C735" s="78">
        <v>735</v>
      </c>
      <c r="E735" s="1">
        <f t="shared" si="22"/>
        <v>29252</v>
      </c>
      <c r="F735" s="2">
        <f t="shared" si="23"/>
        <v>29252</v>
      </c>
      <c r="G735" s="78">
        <v>733</v>
      </c>
      <c r="H735" s="79"/>
      <c r="I735" s="79"/>
      <c r="J735" s="79">
        <v>54.117759999999997</v>
      </c>
      <c r="K735" s="79">
        <v>56.250480000000003</v>
      </c>
      <c r="L735" s="79"/>
      <c r="M735" s="79"/>
      <c r="N735" s="79">
        <v>61.655830000000002</v>
      </c>
      <c r="O735" s="79">
        <v>63.784660000000002</v>
      </c>
      <c r="P735" s="79">
        <v>82.78931</v>
      </c>
      <c r="Q735" s="79"/>
      <c r="R735" s="79">
        <v>49.125889999999998</v>
      </c>
      <c r="S735" s="79">
        <v>81.77216</v>
      </c>
      <c r="T735" s="79">
        <v>83.301990000000004</v>
      </c>
      <c r="U735" s="79">
        <v>112.8488</v>
      </c>
      <c r="V735" s="79"/>
      <c r="W735" s="79">
        <v>7.5759840000000001</v>
      </c>
      <c r="X735" s="79"/>
      <c r="Y735" s="79"/>
      <c r="Z735" s="79">
        <v>98.970939999999999</v>
      </c>
      <c r="AA735" s="79">
        <v>73.1922</v>
      </c>
      <c r="AB735" s="79"/>
      <c r="AC735" s="79">
        <v>52.397300000000001</v>
      </c>
      <c r="AD735" s="79"/>
      <c r="AE735" s="79">
        <v>54.222250000000003</v>
      </c>
      <c r="AF735" s="79">
        <v>66.301159999999996</v>
      </c>
      <c r="AG735" s="79">
        <v>58.863349999999997</v>
      </c>
      <c r="AH735" s="79">
        <v>54.107849999999999</v>
      </c>
      <c r="AI735" s="79"/>
      <c r="AJ735" s="79">
        <v>69.950490000000002</v>
      </c>
      <c r="AK735" s="79"/>
      <c r="AL735" s="79"/>
      <c r="AM735" s="79">
        <v>59.588230000000003</v>
      </c>
      <c r="AN735" s="79"/>
      <c r="AO735" s="79">
        <v>51.39235</v>
      </c>
      <c r="AP735" s="79">
        <v>67.564689999999999</v>
      </c>
      <c r="AQ735" s="79"/>
      <c r="AR735" s="79"/>
      <c r="AS735" s="79"/>
      <c r="AT735" s="79"/>
      <c r="AU735" s="79"/>
      <c r="AV735" s="79"/>
      <c r="AW735" s="79"/>
      <c r="AX735" s="79"/>
      <c r="AY735" s="79">
        <v>67.284450000000007</v>
      </c>
    </row>
    <row r="736" spans="1:51" x14ac:dyDescent="0.2">
      <c r="A736" t="s">
        <v>1281</v>
      </c>
      <c r="B736" s="1">
        <v>29281</v>
      </c>
      <c r="C736" s="78">
        <v>736</v>
      </c>
      <c r="E736" s="1">
        <f t="shared" si="22"/>
        <v>29281</v>
      </c>
      <c r="F736" s="2">
        <f t="shared" si="23"/>
        <v>29281</v>
      </c>
      <c r="G736" s="78">
        <v>734</v>
      </c>
      <c r="H736" s="79"/>
      <c r="I736" s="79"/>
      <c r="J736" s="79">
        <v>54.949199999999998</v>
      </c>
      <c r="K736" s="79">
        <v>56.903660000000002</v>
      </c>
      <c r="L736" s="79"/>
      <c r="M736" s="79"/>
      <c r="N736" s="79">
        <v>61.100369999999998</v>
      </c>
      <c r="O736" s="79">
        <v>64.41</v>
      </c>
      <c r="P736" s="79">
        <v>85.774450000000002</v>
      </c>
      <c r="Q736" s="79"/>
      <c r="R736" s="79">
        <v>50.190539999999999</v>
      </c>
      <c r="S736" s="79">
        <v>82.342280000000002</v>
      </c>
      <c r="T736" s="79">
        <v>82.81371</v>
      </c>
      <c r="U736" s="79">
        <v>113.70959999999999</v>
      </c>
      <c r="V736" s="79"/>
      <c r="W736" s="79">
        <v>7.7108679999999996</v>
      </c>
      <c r="X736" s="79"/>
      <c r="Y736" s="79"/>
      <c r="Z736" s="79">
        <v>101.39400000000001</v>
      </c>
      <c r="AA736" s="79">
        <v>71.257239999999996</v>
      </c>
      <c r="AB736" s="79"/>
      <c r="AC736" s="79">
        <v>53.566800000000001</v>
      </c>
      <c r="AD736" s="79"/>
      <c r="AE736" s="79">
        <v>55.234400000000001</v>
      </c>
      <c r="AF736" s="79">
        <v>69.649699999999996</v>
      </c>
      <c r="AG736" s="79">
        <v>56.620939999999997</v>
      </c>
      <c r="AH736" s="79">
        <v>54.105370000000001</v>
      </c>
      <c r="AI736" s="79"/>
      <c r="AJ736" s="79">
        <v>70.828540000000004</v>
      </c>
      <c r="AK736" s="79"/>
      <c r="AL736" s="79"/>
      <c r="AM736" s="79">
        <v>60.392699999999998</v>
      </c>
      <c r="AN736" s="79"/>
      <c r="AO736" s="79">
        <v>51.223399999999998</v>
      </c>
      <c r="AP736" s="79">
        <v>67.597499999999997</v>
      </c>
      <c r="AQ736" s="79"/>
      <c r="AR736" s="79"/>
      <c r="AS736" s="79"/>
      <c r="AT736" s="79"/>
      <c r="AU736" s="79"/>
      <c r="AV736" s="79"/>
      <c r="AW736" s="79"/>
      <c r="AX736" s="79"/>
      <c r="AY736" s="79">
        <v>69.766000000000005</v>
      </c>
    </row>
    <row r="737" spans="1:51" x14ac:dyDescent="0.2">
      <c r="A737" t="s">
        <v>1282</v>
      </c>
      <c r="B737" s="1">
        <v>29312</v>
      </c>
      <c r="C737" s="78">
        <v>737</v>
      </c>
      <c r="E737" s="1">
        <f t="shared" si="22"/>
        <v>29312</v>
      </c>
      <c r="F737" s="2">
        <f t="shared" si="23"/>
        <v>29312</v>
      </c>
      <c r="G737" s="78">
        <v>735</v>
      </c>
      <c r="H737" s="79"/>
      <c r="I737" s="79"/>
      <c r="J737" s="79">
        <v>53.214660000000002</v>
      </c>
      <c r="K737" s="79">
        <v>55.639600000000002</v>
      </c>
      <c r="L737" s="79"/>
      <c r="M737" s="79"/>
      <c r="N737" s="79">
        <v>60.48319</v>
      </c>
      <c r="O737" s="79">
        <v>63.784660000000002</v>
      </c>
      <c r="P737" s="79">
        <v>82.620339999999999</v>
      </c>
      <c r="Q737" s="79"/>
      <c r="R737" s="79">
        <v>50.444020000000002</v>
      </c>
      <c r="S737" s="79">
        <v>82.342280000000002</v>
      </c>
      <c r="T737" s="79">
        <v>80.469920000000002</v>
      </c>
      <c r="U737" s="79">
        <v>115.655</v>
      </c>
      <c r="V737" s="79"/>
      <c r="W737" s="79">
        <v>7.6659059999999997</v>
      </c>
      <c r="X737" s="79"/>
      <c r="Y737" s="79"/>
      <c r="Z737" s="79">
        <v>99.716480000000004</v>
      </c>
      <c r="AA737" s="79">
        <v>72.519170000000003</v>
      </c>
      <c r="AB737" s="79"/>
      <c r="AC737" s="79">
        <v>54.436860000000003</v>
      </c>
      <c r="AD737" s="79"/>
      <c r="AE737" s="79">
        <v>54.945219999999999</v>
      </c>
      <c r="AF737" s="79">
        <v>66.970870000000005</v>
      </c>
      <c r="AG737" s="79">
        <v>57.181550000000001</v>
      </c>
      <c r="AH737" s="79">
        <v>53.458100000000002</v>
      </c>
      <c r="AI737" s="79"/>
      <c r="AJ737" s="79">
        <v>69.713750000000005</v>
      </c>
      <c r="AK737" s="79"/>
      <c r="AL737" s="79"/>
      <c r="AM737" s="79">
        <v>59.530769999999997</v>
      </c>
      <c r="AN737" s="79"/>
      <c r="AO737" s="79">
        <v>50.170870000000001</v>
      </c>
      <c r="AP737" s="79">
        <v>67.441640000000007</v>
      </c>
      <c r="AQ737" s="79"/>
      <c r="AR737" s="79"/>
      <c r="AS737" s="79"/>
      <c r="AT737" s="79"/>
      <c r="AU737" s="79"/>
      <c r="AV737" s="79"/>
      <c r="AW737" s="79"/>
      <c r="AX737" s="79"/>
      <c r="AY737" s="79">
        <v>66.730699999999999</v>
      </c>
    </row>
    <row r="738" spans="1:51" x14ac:dyDescent="0.2">
      <c r="A738" t="s">
        <v>1283</v>
      </c>
      <c r="B738" s="1">
        <v>29342</v>
      </c>
      <c r="C738" s="78">
        <v>738</v>
      </c>
      <c r="E738" s="1">
        <f t="shared" si="22"/>
        <v>29342</v>
      </c>
      <c r="F738" s="2">
        <f t="shared" si="23"/>
        <v>29342</v>
      </c>
      <c r="G738" s="78">
        <v>736</v>
      </c>
      <c r="H738" s="79"/>
      <c r="I738" s="79"/>
      <c r="J738" s="79">
        <v>53.296959999999999</v>
      </c>
      <c r="K738" s="79">
        <v>54.26793</v>
      </c>
      <c r="L738" s="79"/>
      <c r="M738" s="79"/>
      <c r="N738" s="79">
        <v>60.421469999999999</v>
      </c>
      <c r="O738" s="79">
        <v>62.533990000000003</v>
      </c>
      <c r="P738" s="79">
        <v>82.116799999999998</v>
      </c>
      <c r="Q738" s="79"/>
      <c r="R738" s="79">
        <v>49.176589999999997</v>
      </c>
      <c r="S738" s="79">
        <v>80.306120000000007</v>
      </c>
      <c r="T738" s="79">
        <v>80.665239999999997</v>
      </c>
      <c r="U738" s="79">
        <v>115.252</v>
      </c>
      <c r="V738" s="79"/>
      <c r="W738" s="79">
        <v>7.8232710000000001</v>
      </c>
      <c r="X738" s="79"/>
      <c r="Y738" s="79"/>
      <c r="Z738" s="79">
        <v>97.386660000000006</v>
      </c>
      <c r="AA738" s="79">
        <v>72.014399999999995</v>
      </c>
      <c r="AB738" s="79"/>
      <c r="AC738" s="79">
        <v>52.737110000000001</v>
      </c>
      <c r="AD738" s="79"/>
      <c r="AE738" s="79">
        <v>55.017510000000001</v>
      </c>
      <c r="AF738" s="79">
        <v>67.64058</v>
      </c>
      <c r="AG738" s="79">
        <v>57.181550000000001</v>
      </c>
      <c r="AH738" s="79">
        <v>52.635779999999997</v>
      </c>
      <c r="AI738" s="79"/>
      <c r="AJ738" s="79">
        <v>69.195480000000003</v>
      </c>
      <c r="AK738" s="79"/>
      <c r="AL738" s="79"/>
      <c r="AM738" s="79">
        <v>45.969709999999999</v>
      </c>
      <c r="AN738" s="79"/>
      <c r="AO738" s="79">
        <v>48.951210000000003</v>
      </c>
      <c r="AP738" s="79">
        <v>66.670500000000004</v>
      </c>
      <c r="AQ738" s="79"/>
      <c r="AR738" s="79"/>
      <c r="AS738" s="79"/>
      <c r="AT738" s="79"/>
      <c r="AU738" s="79"/>
      <c r="AV738" s="79"/>
      <c r="AW738" s="79"/>
      <c r="AX738" s="79"/>
      <c r="AY738" s="79">
        <v>69.001109999999997</v>
      </c>
    </row>
    <row r="739" spans="1:51" x14ac:dyDescent="0.2">
      <c r="A739" t="s">
        <v>1284</v>
      </c>
      <c r="B739" s="1">
        <v>29373</v>
      </c>
      <c r="C739" s="78">
        <v>739</v>
      </c>
      <c r="E739" s="1">
        <f t="shared" si="22"/>
        <v>29373</v>
      </c>
      <c r="F739" s="2">
        <f t="shared" si="23"/>
        <v>29373</v>
      </c>
      <c r="G739" s="78">
        <v>737</v>
      </c>
      <c r="H739" s="79"/>
      <c r="I739" s="79"/>
      <c r="J739" s="79">
        <v>52.662649999999999</v>
      </c>
      <c r="K739" s="79">
        <v>53.925370000000001</v>
      </c>
      <c r="L739" s="79"/>
      <c r="M739" s="79"/>
      <c r="N739" s="79">
        <v>59.866019999999999</v>
      </c>
      <c r="O739" s="79">
        <v>62.533990000000003</v>
      </c>
      <c r="P739" s="79">
        <v>83.24897</v>
      </c>
      <c r="Q739" s="79"/>
      <c r="R739" s="79">
        <v>51.863549999999996</v>
      </c>
      <c r="S739" s="79">
        <v>80.713350000000005</v>
      </c>
      <c r="T739" s="79">
        <v>80.665239999999997</v>
      </c>
      <c r="U739" s="79">
        <v>115.2015</v>
      </c>
      <c r="V739" s="79"/>
      <c r="W739" s="79">
        <v>7.7108679999999996</v>
      </c>
      <c r="X739" s="79"/>
      <c r="Y739" s="79"/>
      <c r="Z739" s="79">
        <v>96.547920000000005</v>
      </c>
      <c r="AA739" s="79">
        <v>71.257239999999996</v>
      </c>
      <c r="AB739" s="79"/>
      <c r="AC739" s="79">
        <v>51.990430000000003</v>
      </c>
      <c r="AD739" s="79"/>
      <c r="AE739" s="79">
        <v>55.595880000000001</v>
      </c>
      <c r="AF739" s="79">
        <v>66.970870000000005</v>
      </c>
      <c r="AG739" s="79">
        <v>58.302750000000003</v>
      </c>
      <c r="AH739" s="79">
        <v>52.43985</v>
      </c>
      <c r="AI739" s="79"/>
      <c r="AJ739" s="79">
        <v>70.698949999999996</v>
      </c>
      <c r="AK739" s="79"/>
      <c r="AL739" s="79"/>
      <c r="AM739" s="79">
        <v>59.243459999999999</v>
      </c>
      <c r="AN739" s="79"/>
      <c r="AO739" s="79">
        <v>48.347050000000003</v>
      </c>
      <c r="AP739" s="79">
        <v>67.056070000000005</v>
      </c>
      <c r="AQ739" s="79"/>
      <c r="AR739" s="79"/>
      <c r="AS739" s="79"/>
      <c r="AT739" s="79"/>
      <c r="AU739" s="79"/>
      <c r="AV739" s="79"/>
      <c r="AW739" s="79"/>
      <c r="AX739" s="79"/>
      <c r="AY739" s="79">
        <v>69.732699999999994</v>
      </c>
    </row>
    <row r="740" spans="1:51" x14ac:dyDescent="0.2">
      <c r="A740" t="s">
        <v>1285</v>
      </c>
      <c r="B740" s="1">
        <v>29403</v>
      </c>
      <c r="C740" s="78">
        <v>740</v>
      </c>
      <c r="E740" s="1">
        <f t="shared" si="22"/>
        <v>29403</v>
      </c>
      <c r="F740" s="2">
        <f t="shared" si="23"/>
        <v>29403</v>
      </c>
      <c r="G740" s="78">
        <v>738</v>
      </c>
      <c r="H740" s="79"/>
      <c r="I740" s="79"/>
      <c r="J740" s="79">
        <v>52.300420000000003</v>
      </c>
      <c r="K740" s="79">
        <v>54.409379999999999</v>
      </c>
      <c r="L740" s="79"/>
      <c r="M740" s="79"/>
      <c r="N740" s="79">
        <v>60.174610000000001</v>
      </c>
      <c r="O740" s="79">
        <v>64.41</v>
      </c>
      <c r="P740" s="79">
        <v>82.113119999999995</v>
      </c>
      <c r="Q740" s="79"/>
      <c r="R740" s="79">
        <v>55.817959999999999</v>
      </c>
      <c r="S740" s="79">
        <v>81.446370000000002</v>
      </c>
      <c r="T740" s="79">
        <v>78.907399999999996</v>
      </c>
      <c r="U740" s="79">
        <v>114.4</v>
      </c>
      <c r="V740" s="79"/>
      <c r="W740" s="79">
        <v>7.4410999999999996</v>
      </c>
      <c r="X740" s="79"/>
      <c r="Y740" s="79"/>
      <c r="Z740" s="79">
        <v>93.752139999999997</v>
      </c>
      <c r="AA740" s="79">
        <v>71.173109999999994</v>
      </c>
      <c r="AB740" s="79"/>
      <c r="AC740" s="79">
        <v>52.351100000000002</v>
      </c>
      <c r="AD740" s="79"/>
      <c r="AE740" s="79">
        <v>54.656030000000001</v>
      </c>
      <c r="AF740" s="79">
        <v>66.301159999999996</v>
      </c>
      <c r="AG740" s="79">
        <v>49.333100000000002</v>
      </c>
      <c r="AH740" s="79">
        <v>52.090780000000002</v>
      </c>
      <c r="AI740" s="79"/>
      <c r="AJ740" s="79">
        <v>70.171899999999994</v>
      </c>
      <c r="AK740" s="79"/>
      <c r="AL740" s="79"/>
      <c r="AM740" s="79">
        <v>60.10539</v>
      </c>
      <c r="AN740" s="79"/>
      <c r="AO740" s="79">
        <v>47.973799999999997</v>
      </c>
      <c r="AP740" s="79">
        <v>66.473619999999997</v>
      </c>
      <c r="AQ740" s="79"/>
      <c r="AR740" s="79"/>
      <c r="AS740" s="79"/>
      <c r="AT740" s="79"/>
      <c r="AU740" s="79"/>
      <c r="AV740" s="79"/>
      <c r="AW740" s="79"/>
      <c r="AX740" s="79"/>
      <c r="AY740" s="79">
        <v>68.942139999999995</v>
      </c>
    </row>
    <row r="741" spans="1:51" x14ac:dyDescent="0.2">
      <c r="A741" t="s">
        <v>1286</v>
      </c>
      <c r="B741" s="1">
        <v>29434</v>
      </c>
      <c r="C741" s="78">
        <v>741</v>
      </c>
      <c r="E741" s="1">
        <f t="shared" si="22"/>
        <v>29434</v>
      </c>
      <c r="F741" s="2">
        <f t="shared" si="23"/>
        <v>29434</v>
      </c>
      <c r="G741" s="78">
        <v>739</v>
      </c>
      <c r="H741" s="79"/>
      <c r="I741" s="79"/>
      <c r="J741" s="79">
        <v>53.021180000000001</v>
      </c>
      <c r="K741" s="79">
        <v>54.156570000000002</v>
      </c>
      <c r="L741" s="79"/>
      <c r="M741" s="79"/>
      <c r="N741" s="79">
        <v>60.29804</v>
      </c>
      <c r="O741" s="79">
        <v>60.657969999999999</v>
      </c>
      <c r="P741" s="79">
        <v>81.832939999999994</v>
      </c>
      <c r="Q741" s="79"/>
      <c r="R741" s="79">
        <v>50.951000000000001</v>
      </c>
      <c r="S741" s="79">
        <v>81.446370000000002</v>
      </c>
      <c r="T741" s="79">
        <v>77.735500000000002</v>
      </c>
      <c r="U741" s="79">
        <v>111.5478</v>
      </c>
      <c r="V741" s="79"/>
      <c r="W741" s="79">
        <v>7.6209449999999999</v>
      </c>
      <c r="X741" s="79"/>
      <c r="Y741" s="79"/>
      <c r="Z741" s="79">
        <v>97.293459999999996</v>
      </c>
      <c r="AA741" s="79">
        <v>69.069890000000001</v>
      </c>
      <c r="AB741" s="79"/>
      <c r="AC741" s="79">
        <v>46.95355</v>
      </c>
      <c r="AD741" s="79"/>
      <c r="AE741" s="79">
        <v>56.318840000000002</v>
      </c>
      <c r="AF741" s="79">
        <v>65.631450000000001</v>
      </c>
      <c r="AG741" s="79">
        <v>56.060339999999997</v>
      </c>
      <c r="AH741" s="79">
        <v>52.05762</v>
      </c>
      <c r="AI741" s="79"/>
      <c r="AJ741" s="79">
        <v>67.614940000000004</v>
      </c>
      <c r="AK741" s="79"/>
      <c r="AL741" s="79"/>
      <c r="AM741" s="79">
        <v>58.324069999999999</v>
      </c>
      <c r="AN741" s="79"/>
      <c r="AO741" s="79">
        <v>48.146120000000003</v>
      </c>
      <c r="AP741" s="79">
        <v>67.753370000000004</v>
      </c>
      <c r="AQ741" s="79"/>
      <c r="AR741" s="79"/>
      <c r="AS741" s="79"/>
      <c r="AT741" s="79"/>
      <c r="AU741" s="79"/>
      <c r="AV741" s="79"/>
      <c r="AW741" s="79"/>
      <c r="AX741" s="79"/>
      <c r="AY741" s="79">
        <v>68.632599999999996</v>
      </c>
    </row>
    <row r="742" spans="1:51" x14ac:dyDescent="0.2">
      <c r="A742" t="s">
        <v>1287</v>
      </c>
      <c r="B742" s="1">
        <v>29465</v>
      </c>
      <c r="C742" s="78">
        <v>742</v>
      </c>
      <c r="E742" s="1">
        <f t="shared" si="22"/>
        <v>29465</v>
      </c>
      <c r="F742" s="2">
        <f t="shared" si="23"/>
        <v>29465</v>
      </c>
      <c r="G742" s="78">
        <v>740</v>
      </c>
      <c r="H742" s="79"/>
      <c r="I742" s="79"/>
      <c r="J742" s="79">
        <v>51.291919999999998</v>
      </c>
      <c r="K742" s="79">
        <v>55.403230000000001</v>
      </c>
      <c r="L742" s="79"/>
      <c r="M742" s="79"/>
      <c r="N742" s="79">
        <v>58.199640000000002</v>
      </c>
      <c r="O742" s="79">
        <v>61.28331</v>
      </c>
      <c r="P742" s="79">
        <v>82.40428</v>
      </c>
      <c r="Q742" s="79"/>
      <c r="R742" s="79">
        <v>50.798900000000003</v>
      </c>
      <c r="S742" s="79">
        <v>79.898889999999994</v>
      </c>
      <c r="T742" s="79">
        <v>76.368300000000005</v>
      </c>
      <c r="U742" s="79">
        <v>112.89</v>
      </c>
      <c r="V742" s="79"/>
      <c r="W742" s="79">
        <v>7.4186189999999996</v>
      </c>
      <c r="X742" s="79"/>
      <c r="Y742" s="79"/>
      <c r="Z742" s="79">
        <v>91.422309999999996</v>
      </c>
      <c r="AA742" s="79">
        <v>70.163560000000004</v>
      </c>
      <c r="AB742" s="79"/>
      <c r="AC742" s="79">
        <v>47.942410000000002</v>
      </c>
      <c r="AD742" s="79"/>
      <c r="AE742" s="79">
        <v>56.463439999999999</v>
      </c>
      <c r="AF742" s="79">
        <v>63.622329999999998</v>
      </c>
      <c r="AG742" s="79">
        <v>54.939129999999999</v>
      </c>
      <c r="AH742" s="79">
        <v>51.90992</v>
      </c>
      <c r="AI742" s="79"/>
      <c r="AJ742" s="79">
        <v>67.308170000000004</v>
      </c>
      <c r="AK742" s="79"/>
      <c r="AL742" s="79"/>
      <c r="AM742" s="79">
        <v>57.519599999999997</v>
      </c>
      <c r="AN742" s="79"/>
      <c r="AO742" s="79">
        <v>48.927010000000003</v>
      </c>
      <c r="AP742" s="79">
        <v>65.669659999999993</v>
      </c>
      <c r="AQ742" s="79"/>
      <c r="AR742" s="79"/>
      <c r="AS742" s="79"/>
      <c r="AT742" s="79"/>
      <c r="AU742" s="79"/>
      <c r="AV742" s="79"/>
      <c r="AW742" s="79"/>
      <c r="AX742" s="79"/>
      <c r="AY742" s="79">
        <v>71.175929999999994</v>
      </c>
    </row>
    <row r="743" spans="1:51" x14ac:dyDescent="0.2">
      <c r="A743" t="s">
        <v>1288</v>
      </c>
      <c r="B743" s="1">
        <v>29495</v>
      </c>
      <c r="C743" s="78">
        <v>743</v>
      </c>
      <c r="E743" s="1">
        <f t="shared" si="22"/>
        <v>29495</v>
      </c>
      <c r="F743" s="2">
        <f t="shared" si="23"/>
        <v>29495</v>
      </c>
      <c r="G743" s="78">
        <v>741</v>
      </c>
      <c r="H743" s="79"/>
      <c r="I743" s="79"/>
      <c r="J743" s="79">
        <v>50.957889999999999</v>
      </c>
      <c r="K743" s="79">
        <v>56.04419</v>
      </c>
      <c r="L743" s="79"/>
      <c r="M743" s="79"/>
      <c r="N743" s="79">
        <v>58.508229999999998</v>
      </c>
      <c r="O743" s="79">
        <v>61.28331</v>
      </c>
      <c r="P743" s="79">
        <v>82.958780000000004</v>
      </c>
      <c r="Q743" s="79"/>
      <c r="R743" s="79">
        <v>51.001690000000004</v>
      </c>
      <c r="S743" s="79">
        <v>79.573099999999997</v>
      </c>
      <c r="T743" s="79">
        <v>76.075329999999994</v>
      </c>
      <c r="U743" s="79">
        <v>109.30970000000001</v>
      </c>
      <c r="V743" s="79"/>
      <c r="W743" s="79">
        <v>7.5310230000000002</v>
      </c>
      <c r="X743" s="79"/>
      <c r="Y743" s="79"/>
      <c r="Z743" s="79">
        <v>92.354240000000004</v>
      </c>
      <c r="AA743" s="79">
        <v>70.584209999999999</v>
      </c>
      <c r="AB743" s="79"/>
      <c r="AC743" s="79">
        <v>46.838700000000003</v>
      </c>
      <c r="AD743" s="79"/>
      <c r="AE743" s="79">
        <v>57.403289999999998</v>
      </c>
      <c r="AF743" s="79">
        <v>66.301159999999996</v>
      </c>
      <c r="AG743" s="79">
        <v>56.620939999999997</v>
      </c>
      <c r="AH743" s="79">
        <v>52.382739999999998</v>
      </c>
      <c r="AI743" s="79"/>
      <c r="AJ743" s="79">
        <v>71.331329999999994</v>
      </c>
      <c r="AK743" s="79"/>
      <c r="AL743" s="79"/>
      <c r="AM743" s="79">
        <v>58.151679999999999</v>
      </c>
      <c r="AN743" s="79"/>
      <c r="AO743" s="79">
        <v>49.544330000000002</v>
      </c>
      <c r="AP743" s="79">
        <v>65.759900000000002</v>
      </c>
      <c r="AQ743" s="79"/>
      <c r="AR743" s="79"/>
      <c r="AS743" s="79"/>
      <c r="AT743" s="79"/>
      <c r="AU743" s="79"/>
      <c r="AV743" s="79"/>
      <c r="AW743" s="79"/>
      <c r="AX743" s="79"/>
      <c r="AY743" s="79">
        <v>69.454099999999997</v>
      </c>
    </row>
    <row r="744" spans="1:51" x14ac:dyDescent="0.2">
      <c r="A744" t="s">
        <v>1289</v>
      </c>
      <c r="B744" s="1">
        <v>29526</v>
      </c>
      <c r="C744" s="78">
        <v>744</v>
      </c>
      <c r="E744" s="1">
        <f t="shared" si="22"/>
        <v>29526</v>
      </c>
      <c r="F744" s="2">
        <f t="shared" si="23"/>
        <v>29526</v>
      </c>
      <c r="G744" s="78">
        <v>742</v>
      </c>
      <c r="H744" s="79"/>
      <c r="I744" s="79"/>
      <c r="J744" s="79">
        <v>51.057110000000002</v>
      </c>
      <c r="K744" s="79">
        <v>56.153210000000001</v>
      </c>
      <c r="L744" s="79"/>
      <c r="M744" s="79"/>
      <c r="N744" s="79">
        <v>59.495710000000003</v>
      </c>
      <c r="O744" s="79">
        <v>60.657969999999999</v>
      </c>
      <c r="P744" s="79">
        <v>83.058719999999994</v>
      </c>
      <c r="Q744" s="79"/>
      <c r="R744" s="79">
        <v>51.20449</v>
      </c>
      <c r="S744" s="79">
        <v>79.084429999999998</v>
      </c>
      <c r="T744" s="79">
        <v>76.075329999999994</v>
      </c>
      <c r="U744" s="79">
        <v>110.1444</v>
      </c>
      <c r="V744" s="79"/>
      <c r="W744" s="79">
        <v>7.5085420000000003</v>
      </c>
      <c r="X744" s="79"/>
      <c r="Y744" s="79"/>
      <c r="Z744" s="79">
        <v>96.920689999999993</v>
      </c>
      <c r="AA744" s="79">
        <v>69.658779999999993</v>
      </c>
      <c r="AB744" s="79"/>
      <c r="AC744" s="79">
        <v>48.700470000000003</v>
      </c>
      <c r="AD744" s="79"/>
      <c r="AE744" s="79">
        <v>58.270850000000003</v>
      </c>
      <c r="AF744" s="79">
        <v>68.310289999999995</v>
      </c>
      <c r="AG744" s="79">
        <v>55.49973</v>
      </c>
      <c r="AH744" s="79">
        <v>52.930599999999998</v>
      </c>
      <c r="AI744" s="79"/>
      <c r="AJ744" s="79">
        <v>70.277469999999994</v>
      </c>
      <c r="AK744" s="79"/>
      <c r="AL744" s="79"/>
      <c r="AM744" s="79">
        <v>58.381529999999998</v>
      </c>
      <c r="AN744" s="79"/>
      <c r="AO744" s="79">
        <v>50.399569999999997</v>
      </c>
      <c r="AP744" s="79">
        <v>66.350560000000002</v>
      </c>
      <c r="AQ744" s="79"/>
      <c r="AR744" s="79"/>
      <c r="AS744" s="79"/>
      <c r="AT744" s="79"/>
      <c r="AU744" s="79"/>
      <c r="AV744" s="79"/>
      <c r="AW744" s="79"/>
      <c r="AX744" s="79"/>
      <c r="AY744" s="79">
        <v>70.667199999999994</v>
      </c>
    </row>
    <row r="745" spans="1:51" x14ac:dyDescent="0.2">
      <c r="A745" t="s">
        <v>1290</v>
      </c>
      <c r="B745" s="1">
        <v>29556</v>
      </c>
      <c r="C745" s="78">
        <v>745</v>
      </c>
      <c r="E745" s="1">
        <f t="shared" si="22"/>
        <v>29556</v>
      </c>
      <c r="F745" s="2">
        <f t="shared" si="23"/>
        <v>29556</v>
      </c>
      <c r="G745" s="78">
        <v>743</v>
      </c>
      <c r="H745" s="79"/>
      <c r="I745" s="79"/>
      <c r="J745" s="79">
        <v>49.5336</v>
      </c>
      <c r="K745" s="79">
        <v>56.601500000000001</v>
      </c>
      <c r="L745" s="79"/>
      <c r="M745" s="79"/>
      <c r="N745" s="79">
        <v>58.631659999999997</v>
      </c>
      <c r="O745" s="79">
        <v>61.28331</v>
      </c>
      <c r="P745" s="79">
        <v>81.682169999999999</v>
      </c>
      <c r="Q745" s="79"/>
      <c r="R745" s="79">
        <v>52.015639999999998</v>
      </c>
      <c r="S745" s="79">
        <v>80.387569999999997</v>
      </c>
      <c r="T745" s="79">
        <v>75.587040000000002</v>
      </c>
      <c r="U745" s="79">
        <v>114.9808</v>
      </c>
      <c r="V745" s="79"/>
      <c r="W745" s="79">
        <v>7.2162930000000003</v>
      </c>
      <c r="X745" s="79"/>
      <c r="Y745" s="79"/>
      <c r="Z745" s="79">
        <v>95.522800000000004</v>
      </c>
      <c r="AA745" s="79">
        <v>70.668329999999997</v>
      </c>
      <c r="AB745" s="79"/>
      <c r="AC745" s="79">
        <v>47.389279999999999</v>
      </c>
      <c r="AD745" s="79"/>
      <c r="AE745" s="79">
        <v>58.776919999999997</v>
      </c>
      <c r="AF745" s="79">
        <v>66.970870000000005</v>
      </c>
      <c r="AG745" s="79">
        <v>54.939129999999999</v>
      </c>
      <c r="AH745" s="79">
        <v>53.018830000000001</v>
      </c>
      <c r="AI745" s="79"/>
      <c r="AJ745" s="79">
        <v>71.201750000000004</v>
      </c>
      <c r="AK745" s="79"/>
      <c r="AL745" s="79"/>
      <c r="AM745" s="79">
        <v>57.059899999999999</v>
      </c>
      <c r="AN745" s="79"/>
      <c r="AO745" s="79">
        <v>50.684649999999998</v>
      </c>
      <c r="AP745" s="79">
        <v>66.358760000000004</v>
      </c>
      <c r="AQ745" s="79"/>
      <c r="AR745" s="79"/>
      <c r="AS745" s="79"/>
      <c r="AT745" s="79"/>
      <c r="AU745" s="79"/>
      <c r="AV745" s="79"/>
      <c r="AW745" s="79"/>
      <c r="AX745" s="79"/>
      <c r="AY745" s="79">
        <v>67.889679999999998</v>
      </c>
    </row>
    <row r="746" spans="1:51" x14ac:dyDescent="0.2">
      <c r="A746" t="s">
        <v>1291</v>
      </c>
      <c r="B746" s="1">
        <v>29587</v>
      </c>
      <c r="C746" s="78">
        <v>746</v>
      </c>
      <c r="E746" s="1">
        <f t="shared" si="22"/>
        <v>29587</v>
      </c>
      <c r="F746" s="2">
        <f t="shared" si="23"/>
        <v>29587</v>
      </c>
      <c r="G746" s="78">
        <v>744</v>
      </c>
      <c r="H746" s="79"/>
      <c r="I746" s="79"/>
      <c r="J746" s="79">
        <v>49.974179999999997</v>
      </c>
      <c r="K746" s="79">
        <v>55.98122</v>
      </c>
      <c r="L746" s="79"/>
      <c r="M746" s="79"/>
      <c r="N746" s="79">
        <v>58.384799999999998</v>
      </c>
      <c r="O746" s="79">
        <v>61.908650000000002</v>
      </c>
      <c r="P746" s="79">
        <v>81.300089999999997</v>
      </c>
      <c r="Q746" s="79"/>
      <c r="R746" s="79">
        <v>50.798900000000003</v>
      </c>
      <c r="S746" s="79">
        <v>80.061779999999999</v>
      </c>
      <c r="T746" s="79">
        <v>75.489379999999997</v>
      </c>
      <c r="U746" s="79">
        <v>110.7008</v>
      </c>
      <c r="V746" s="79"/>
      <c r="W746" s="79">
        <v>7.8232710000000001</v>
      </c>
      <c r="X746" s="79"/>
      <c r="Y746" s="79"/>
      <c r="Z746" s="79">
        <v>94.785550000000001</v>
      </c>
      <c r="AA746" s="79">
        <v>70.752459999999999</v>
      </c>
      <c r="AB746" s="79"/>
      <c r="AC746" s="79">
        <v>46.665559999999999</v>
      </c>
      <c r="AD746" s="79"/>
      <c r="AE746" s="79">
        <v>58.993810000000003</v>
      </c>
      <c r="AF746" s="79">
        <v>66.301159999999996</v>
      </c>
      <c r="AG746" s="79">
        <v>54.939129999999999</v>
      </c>
      <c r="AH746" s="79">
        <v>52.794969999999999</v>
      </c>
      <c r="AI746" s="79"/>
      <c r="AJ746" s="79">
        <v>69.623090000000005</v>
      </c>
      <c r="AK746" s="79"/>
      <c r="AL746" s="79"/>
      <c r="AM746" s="79">
        <v>57.749450000000003</v>
      </c>
      <c r="AN746" s="79"/>
      <c r="AO746" s="79">
        <v>50.394860000000001</v>
      </c>
      <c r="AP746" s="79">
        <v>65.210269999999994</v>
      </c>
      <c r="AQ746" s="79"/>
      <c r="AR746" s="79"/>
      <c r="AS746" s="79"/>
      <c r="AT746" s="79"/>
      <c r="AU746" s="79"/>
      <c r="AV746" s="79"/>
      <c r="AW746" s="79"/>
      <c r="AX746" s="79"/>
      <c r="AY746" s="79">
        <v>68.104990000000001</v>
      </c>
    </row>
    <row r="747" spans="1:51" x14ac:dyDescent="0.2">
      <c r="A747" t="s">
        <v>1292</v>
      </c>
      <c r="B747" s="1">
        <v>29618</v>
      </c>
      <c r="C747" s="78">
        <v>747</v>
      </c>
      <c r="E747" s="1">
        <f t="shared" si="22"/>
        <v>29618</v>
      </c>
      <c r="F747" s="2">
        <f t="shared" si="23"/>
        <v>29618</v>
      </c>
      <c r="G747" s="78">
        <v>745</v>
      </c>
      <c r="H747" s="79"/>
      <c r="I747" s="79"/>
      <c r="J747" s="79">
        <v>51.077269999999999</v>
      </c>
      <c r="K747" s="79">
        <v>56.320030000000003</v>
      </c>
      <c r="L747" s="79"/>
      <c r="M747" s="79"/>
      <c r="N747" s="79">
        <v>59.495710000000003</v>
      </c>
      <c r="O747" s="79">
        <v>63.159320000000001</v>
      </c>
      <c r="P747" s="79">
        <v>82.968180000000004</v>
      </c>
      <c r="Q747" s="79"/>
      <c r="R747" s="79">
        <v>51.762160000000002</v>
      </c>
      <c r="S747" s="79">
        <v>80.794799999999995</v>
      </c>
      <c r="T747" s="79">
        <v>76.075329999999994</v>
      </c>
      <c r="U747" s="79">
        <v>111.5977</v>
      </c>
      <c r="V747" s="79"/>
      <c r="W747" s="79">
        <v>7.8457520000000001</v>
      </c>
      <c r="X747" s="79"/>
      <c r="Y747" s="79"/>
      <c r="Z747" s="79">
        <v>95.257710000000003</v>
      </c>
      <c r="AA747" s="79">
        <v>70.500079999999997</v>
      </c>
      <c r="AB747" s="79"/>
      <c r="AC747" s="79">
        <v>47.167999999999999</v>
      </c>
      <c r="AD747" s="79"/>
      <c r="AE747" s="79">
        <v>59.644480000000001</v>
      </c>
      <c r="AF747" s="79">
        <v>68.310289999999995</v>
      </c>
      <c r="AG747" s="79">
        <v>55.49973</v>
      </c>
      <c r="AH747" s="79">
        <v>53.031770000000002</v>
      </c>
      <c r="AI747" s="79"/>
      <c r="AJ747" s="79">
        <v>72.910430000000005</v>
      </c>
      <c r="AK747" s="79"/>
      <c r="AL747" s="79"/>
      <c r="AM747" s="79">
        <v>57.92183</v>
      </c>
      <c r="AN747" s="79"/>
      <c r="AO747" s="79">
        <v>50.16357</v>
      </c>
      <c r="AP747" s="79">
        <v>66.276730000000001</v>
      </c>
      <c r="AQ747" s="79"/>
      <c r="AR747" s="79"/>
      <c r="AS747" s="79"/>
      <c r="AT747" s="79"/>
      <c r="AU747" s="79"/>
      <c r="AV747" s="79"/>
      <c r="AW747" s="79"/>
      <c r="AX747" s="79"/>
      <c r="AY747" s="79">
        <v>70.913839999999993</v>
      </c>
    </row>
    <row r="748" spans="1:51" x14ac:dyDescent="0.2">
      <c r="A748" t="s">
        <v>1293</v>
      </c>
      <c r="B748" s="1">
        <v>29646</v>
      </c>
      <c r="C748" s="78">
        <v>748</v>
      </c>
      <c r="E748" s="1">
        <f t="shared" si="22"/>
        <v>29646</v>
      </c>
      <c r="F748" s="2">
        <f t="shared" si="23"/>
        <v>29646</v>
      </c>
      <c r="G748" s="78">
        <v>746</v>
      </c>
      <c r="H748" s="79"/>
      <c r="I748" s="79"/>
      <c r="J748" s="79">
        <v>51.253639999999997</v>
      </c>
      <c r="K748" s="79">
        <v>56.198790000000002</v>
      </c>
      <c r="L748" s="79"/>
      <c r="M748" s="79"/>
      <c r="N748" s="79">
        <v>59.248840000000001</v>
      </c>
      <c r="O748" s="79">
        <v>61.908650000000002</v>
      </c>
      <c r="P748" s="79">
        <v>82.146140000000003</v>
      </c>
      <c r="Q748" s="79"/>
      <c r="R748" s="79">
        <v>51.255180000000003</v>
      </c>
      <c r="S748" s="79">
        <v>79.247309999999999</v>
      </c>
      <c r="T748" s="79">
        <v>76.172979999999995</v>
      </c>
      <c r="U748" s="79">
        <v>112.10509999999999</v>
      </c>
      <c r="V748" s="79"/>
      <c r="W748" s="79">
        <v>7.6434259999999998</v>
      </c>
      <c r="X748" s="79"/>
      <c r="Y748" s="79"/>
      <c r="Z748" s="79">
        <v>95.139669999999995</v>
      </c>
      <c r="AA748" s="79">
        <v>70.752459999999999</v>
      </c>
      <c r="AB748" s="79"/>
      <c r="AC748" s="79">
        <v>47.473280000000003</v>
      </c>
      <c r="AD748" s="79"/>
      <c r="AE748" s="79">
        <v>60.150550000000003</v>
      </c>
      <c r="AF748" s="79">
        <v>65.631450000000001</v>
      </c>
      <c r="AG748" s="79">
        <v>56.060339999999997</v>
      </c>
      <c r="AH748" s="79">
        <v>53.02901</v>
      </c>
      <c r="AI748" s="79"/>
      <c r="AJ748" s="79">
        <v>71.039519999999996</v>
      </c>
      <c r="AK748" s="79"/>
      <c r="AL748" s="79"/>
      <c r="AM748" s="79">
        <v>57.519599999999997</v>
      </c>
      <c r="AN748" s="79"/>
      <c r="AO748" s="79">
        <v>50.42915</v>
      </c>
      <c r="AP748" s="79">
        <v>65.423559999999995</v>
      </c>
      <c r="AQ748" s="79"/>
      <c r="AR748" s="79"/>
      <c r="AS748" s="79"/>
      <c r="AT748" s="79"/>
      <c r="AU748" s="79"/>
      <c r="AV748" s="79"/>
      <c r="AW748" s="79"/>
      <c r="AX748" s="79"/>
      <c r="AY748" s="79">
        <v>64.087789999999998</v>
      </c>
    </row>
    <row r="749" spans="1:51" x14ac:dyDescent="0.2">
      <c r="A749" t="s">
        <v>1294</v>
      </c>
      <c r="B749" s="1">
        <v>29677</v>
      </c>
      <c r="C749" s="78">
        <v>749</v>
      </c>
      <c r="E749" s="1">
        <f t="shared" si="22"/>
        <v>29677</v>
      </c>
      <c r="F749" s="2">
        <f t="shared" si="23"/>
        <v>29677</v>
      </c>
      <c r="G749" s="78">
        <v>747</v>
      </c>
      <c r="H749" s="79"/>
      <c r="I749" s="79"/>
      <c r="J749" s="79">
        <v>50.678260000000002</v>
      </c>
      <c r="K749" s="79">
        <v>57.372149999999998</v>
      </c>
      <c r="L749" s="79"/>
      <c r="M749" s="79"/>
      <c r="N749" s="79">
        <v>58.693379999999998</v>
      </c>
      <c r="O749" s="79">
        <v>61.28331</v>
      </c>
      <c r="P749" s="79">
        <v>82.834649999999996</v>
      </c>
      <c r="Q749" s="79"/>
      <c r="R749" s="79">
        <v>51.914250000000003</v>
      </c>
      <c r="S749" s="79">
        <v>79.165869999999998</v>
      </c>
      <c r="T749" s="79">
        <v>76.465959999999995</v>
      </c>
      <c r="U749" s="79">
        <v>110.1181</v>
      </c>
      <c r="V749" s="79"/>
      <c r="W749" s="79">
        <v>7.9806359999999996</v>
      </c>
      <c r="X749" s="79"/>
      <c r="Y749" s="79"/>
      <c r="Z749" s="79">
        <v>95.375749999999996</v>
      </c>
      <c r="AA749" s="79">
        <v>70.752459999999999</v>
      </c>
      <c r="AB749" s="79"/>
      <c r="AC749" s="79">
        <v>44.712159999999997</v>
      </c>
      <c r="AD749" s="79"/>
      <c r="AE749" s="79">
        <v>60.728920000000002</v>
      </c>
      <c r="AF749" s="79">
        <v>66.301159999999996</v>
      </c>
      <c r="AG749" s="79">
        <v>55.49973</v>
      </c>
      <c r="AH749" s="79">
        <v>52.951430000000002</v>
      </c>
      <c r="AI749" s="79"/>
      <c r="AJ749" s="79">
        <v>72.313659999999999</v>
      </c>
      <c r="AK749" s="79"/>
      <c r="AL749" s="79"/>
      <c r="AM749" s="79">
        <v>56.944980000000001</v>
      </c>
      <c r="AN749" s="79"/>
      <c r="AO749" s="79">
        <v>50.204970000000003</v>
      </c>
      <c r="AP749" s="79">
        <v>65.480980000000002</v>
      </c>
      <c r="AQ749" s="79"/>
      <c r="AR749" s="79"/>
      <c r="AS749" s="79"/>
      <c r="AT749" s="79"/>
      <c r="AU749" s="79"/>
      <c r="AV749" s="79"/>
      <c r="AW749" s="79"/>
      <c r="AX749" s="79"/>
      <c r="AY749" s="79">
        <v>62.968290000000003</v>
      </c>
    </row>
    <row r="750" spans="1:51" x14ac:dyDescent="0.2">
      <c r="A750" t="s">
        <v>1295</v>
      </c>
      <c r="B750" s="1">
        <v>29707</v>
      </c>
      <c r="C750" s="78">
        <v>750</v>
      </c>
      <c r="E750" s="1">
        <f t="shared" si="22"/>
        <v>29707</v>
      </c>
      <c r="F750" s="2">
        <f t="shared" si="23"/>
        <v>29707</v>
      </c>
      <c r="G750" s="78">
        <v>748</v>
      </c>
      <c r="H750" s="79"/>
      <c r="I750" s="79"/>
      <c r="J750" s="79">
        <v>50.863779999999998</v>
      </c>
      <c r="K750" s="79">
        <v>56.480269999999997</v>
      </c>
      <c r="L750" s="79"/>
      <c r="M750" s="79"/>
      <c r="N750" s="79">
        <v>59.063690000000001</v>
      </c>
      <c r="O750" s="79">
        <v>61.908650000000002</v>
      </c>
      <c r="P750" s="79">
        <v>82.781109999999998</v>
      </c>
      <c r="Q750" s="79"/>
      <c r="R750" s="79">
        <v>53.333779999999997</v>
      </c>
      <c r="S750" s="79">
        <v>80.143230000000003</v>
      </c>
      <c r="T750" s="79">
        <v>75.391720000000007</v>
      </c>
      <c r="U750" s="79">
        <v>111.8004</v>
      </c>
      <c r="V750" s="79"/>
      <c r="W750" s="79">
        <v>7.9131939999999998</v>
      </c>
      <c r="X750" s="79"/>
      <c r="Y750" s="79"/>
      <c r="Z750" s="79">
        <v>96.438100000000006</v>
      </c>
      <c r="AA750" s="79">
        <v>69.658779999999993</v>
      </c>
      <c r="AB750" s="79"/>
      <c r="AC750" s="79">
        <v>48.988030000000002</v>
      </c>
      <c r="AD750" s="79"/>
      <c r="AE750" s="79">
        <v>60.945810000000002</v>
      </c>
      <c r="AF750" s="79">
        <v>65.631450000000001</v>
      </c>
      <c r="AG750" s="79">
        <v>57.742150000000002</v>
      </c>
      <c r="AH750" s="79">
        <v>53.00282</v>
      </c>
      <c r="AI750" s="79"/>
      <c r="AJ750" s="79">
        <v>72.278350000000003</v>
      </c>
      <c r="AK750" s="79"/>
      <c r="AL750" s="79"/>
      <c r="AM750" s="79">
        <v>56.083039999999997</v>
      </c>
      <c r="AN750" s="79"/>
      <c r="AO750" s="79">
        <v>50.503880000000002</v>
      </c>
      <c r="AP750" s="79">
        <v>66.366969999999995</v>
      </c>
      <c r="AQ750" s="79"/>
      <c r="AR750" s="79"/>
      <c r="AS750" s="79"/>
      <c r="AT750" s="79"/>
      <c r="AU750" s="79"/>
      <c r="AV750" s="79"/>
      <c r="AW750" s="79"/>
      <c r="AX750" s="79"/>
      <c r="AY750" s="79">
        <v>62.145249999999997</v>
      </c>
    </row>
    <row r="751" spans="1:51" x14ac:dyDescent="0.2">
      <c r="A751" t="s">
        <v>1296</v>
      </c>
      <c r="B751" s="1">
        <v>29738</v>
      </c>
      <c r="C751" s="78">
        <v>751</v>
      </c>
      <c r="E751" s="1">
        <f t="shared" si="22"/>
        <v>29738</v>
      </c>
      <c r="F751" s="2">
        <f t="shared" si="23"/>
        <v>29738</v>
      </c>
      <c r="G751" s="78">
        <v>749</v>
      </c>
      <c r="H751" s="79"/>
      <c r="I751" s="79"/>
      <c r="J751" s="79">
        <v>51.76117</v>
      </c>
      <c r="K751" s="79">
        <v>56.821420000000003</v>
      </c>
      <c r="L751" s="79"/>
      <c r="M751" s="79"/>
      <c r="N751" s="79">
        <v>58.384799999999998</v>
      </c>
      <c r="O751" s="79">
        <v>61.28331</v>
      </c>
      <c r="P751" s="79">
        <v>83.436400000000006</v>
      </c>
      <c r="Q751" s="79"/>
      <c r="R751" s="79">
        <v>50.08914</v>
      </c>
      <c r="S751" s="79">
        <v>80.550460000000001</v>
      </c>
      <c r="T751" s="79">
        <v>77.051900000000003</v>
      </c>
      <c r="U751" s="79">
        <v>114.1643</v>
      </c>
      <c r="V751" s="79"/>
      <c r="W751" s="79">
        <v>8.0031169999999996</v>
      </c>
      <c r="X751" s="79"/>
      <c r="Y751" s="79"/>
      <c r="Z751" s="79">
        <v>96.320059999999998</v>
      </c>
      <c r="AA751" s="79">
        <v>71.425489999999996</v>
      </c>
      <c r="AB751" s="79"/>
      <c r="AC751" s="79">
        <v>48.923819999999999</v>
      </c>
      <c r="AD751" s="79"/>
      <c r="AE751" s="79">
        <v>60.945810000000002</v>
      </c>
      <c r="AF751" s="79">
        <v>64.961749999999995</v>
      </c>
      <c r="AG751" s="79">
        <v>56.620939999999997</v>
      </c>
      <c r="AH751" s="79">
        <v>53.285420000000002</v>
      </c>
      <c r="AI751" s="79"/>
      <c r="AJ751" s="79">
        <v>69.645970000000005</v>
      </c>
      <c r="AK751" s="79"/>
      <c r="AL751" s="79"/>
      <c r="AM751" s="79">
        <v>56.083039999999997</v>
      </c>
      <c r="AN751" s="79"/>
      <c r="AO751" s="79">
        <v>50.742179999999998</v>
      </c>
      <c r="AP751" s="79">
        <v>65.686070000000001</v>
      </c>
      <c r="AQ751" s="79"/>
      <c r="AR751" s="79"/>
      <c r="AS751" s="79"/>
      <c r="AT751" s="79"/>
      <c r="AU751" s="79"/>
      <c r="AV751" s="79"/>
      <c r="AW751" s="79"/>
      <c r="AX751" s="79"/>
      <c r="AY751" s="79">
        <v>61.498649999999998</v>
      </c>
    </row>
    <row r="752" spans="1:51" x14ac:dyDescent="0.2">
      <c r="A752" t="s">
        <v>1297</v>
      </c>
      <c r="B752" s="1">
        <v>29768</v>
      </c>
      <c r="C752" s="78">
        <v>752</v>
      </c>
      <c r="E752" s="1">
        <f t="shared" si="22"/>
        <v>29768</v>
      </c>
      <c r="F752" s="2">
        <f t="shared" si="23"/>
        <v>29768</v>
      </c>
      <c r="G752" s="78">
        <v>750</v>
      </c>
      <c r="H752" s="79"/>
      <c r="I752" s="79"/>
      <c r="J752" s="79">
        <v>50.400750000000002</v>
      </c>
      <c r="K752" s="79">
        <v>56.877339999999997</v>
      </c>
      <c r="L752" s="79"/>
      <c r="M752" s="79"/>
      <c r="N752" s="79">
        <v>58.878540000000001</v>
      </c>
      <c r="O752" s="79">
        <v>66.286029999999997</v>
      </c>
      <c r="P752" s="79">
        <v>84.375609999999995</v>
      </c>
      <c r="Q752" s="79"/>
      <c r="R752" s="79">
        <v>53.485869999999998</v>
      </c>
      <c r="S752" s="79">
        <v>79.573099999999997</v>
      </c>
      <c r="T752" s="79">
        <v>77.247219999999999</v>
      </c>
      <c r="U752" s="79">
        <v>114.7003</v>
      </c>
      <c r="V752" s="79"/>
      <c r="W752" s="79">
        <v>8.2054419999999997</v>
      </c>
      <c r="X752" s="79"/>
      <c r="Y752" s="79"/>
      <c r="Z752" s="79">
        <v>94.785550000000001</v>
      </c>
      <c r="AA752" s="79">
        <v>72.014399999999995</v>
      </c>
      <c r="AB752" s="79"/>
      <c r="AC752" s="79">
        <v>47.972940000000001</v>
      </c>
      <c r="AD752" s="79"/>
      <c r="AE752" s="79">
        <v>61.451889999999999</v>
      </c>
      <c r="AF752" s="79">
        <v>66.301159999999996</v>
      </c>
      <c r="AG752" s="79">
        <v>58.302750000000003</v>
      </c>
      <c r="AH752" s="79">
        <v>53.595149999999997</v>
      </c>
      <c r="AI752" s="79"/>
      <c r="AJ752" s="79">
        <v>70.616420000000005</v>
      </c>
      <c r="AK752" s="79"/>
      <c r="AL752" s="79"/>
      <c r="AM752" s="79">
        <v>56.657670000000003</v>
      </c>
      <c r="AN752" s="79"/>
      <c r="AO752" s="79">
        <v>51.075189999999999</v>
      </c>
      <c r="AP752" s="79">
        <v>66.161879999999996</v>
      </c>
      <c r="AQ752" s="79"/>
      <c r="AR752" s="79"/>
      <c r="AS752" s="79"/>
      <c r="AT752" s="79"/>
      <c r="AU752" s="79"/>
      <c r="AV752" s="79"/>
      <c r="AW752" s="79"/>
      <c r="AX752" s="79"/>
      <c r="AY752" s="79">
        <v>61.88579</v>
      </c>
    </row>
    <row r="753" spans="1:51" x14ac:dyDescent="0.2">
      <c r="A753" t="s">
        <v>1298</v>
      </c>
      <c r="B753" s="1">
        <v>29799</v>
      </c>
      <c r="C753" s="78">
        <v>753</v>
      </c>
      <c r="E753" s="1">
        <f t="shared" si="22"/>
        <v>29799</v>
      </c>
      <c r="F753" s="2">
        <f t="shared" si="23"/>
        <v>29799</v>
      </c>
      <c r="G753" s="78">
        <v>751</v>
      </c>
      <c r="H753" s="79"/>
      <c r="I753" s="79"/>
      <c r="J753" s="79">
        <v>50.883229999999998</v>
      </c>
      <c r="K753" s="79">
        <v>54.735959999999999</v>
      </c>
      <c r="L753" s="79"/>
      <c r="M753" s="79"/>
      <c r="N753" s="79">
        <v>58.940249999999999</v>
      </c>
      <c r="O753" s="79">
        <v>64.41</v>
      </c>
      <c r="P753" s="79">
        <v>78.689400000000006</v>
      </c>
      <c r="Q753" s="79"/>
      <c r="R753" s="79">
        <v>53.333779999999997</v>
      </c>
      <c r="S753" s="79">
        <v>79.573099999999997</v>
      </c>
      <c r="T753" s="79">
        <v>77.442539999999994</v>
      </c>
      <c r="U753" s="79">
        <v>119.9966</v>
      </c>
      <c r="V753" s="79"/>
      <c r="W753" s="79">
        <v>8.2279230000000005</v>
      </c>
      <c r="X753" s="79"/>
      <c r="Y753" s="79"/>
      <c r="Z753" s="79">
        <v>93.841239999999999</v>
      </c>
      <c r="AA753" s="79">
        <v>71.762010000000004</v>
      </c>
      <c r="AB753" s="79"/>
      <c r="AC753" s="79">
        <v>48.643180000000001</v>
      </c>
      <c r="AD753" s="79"/>
      <c r="AE753" s="79">
        <v>62.102550000000001</v>
      </c>
      <c r="AF753" s="79">
        <v>64.29204</v>
      </c>
      <c r="AG753" s="79">
        <v>48.772500000000001</v>
      </c>
      <c r="AH753" s="79">
        <v>53.337859999999999</v>
      </c>
      <c r="AI753" s="79"/>
      <c r="AJ753" s="79">
        <v>67.768280000000004</v>
      </c>
      <c r="AK753" s="79"/>
      <c r="AL753" s="79"/>
      <c r="AM753" s="79">
        <v>57.059899999999999</v>
      </c>
      <c r="AN753" s="79"/>
      <c r="AO753" s="79">
        <v>51.068280000000001</v>
      </c>
      <c r="AP753" s="79">
        <v>65.029790000000006</v>
      </c>
      <c r="AQ753" s="79"/>
      <c r="AR753" s="79"/>
      <c r="AS753" s="79"/>
      <c r="AT753" s="79"/>
      <c r="AU753" s="79"/>
      <c r="AV753" s="79"/>
      <c r="AW753" s="79"/>
      <c r="AX753" s="79"/>
      <c r="AY753" s="79">
        <v>60.117510000000003</v>
      </c>
    </row>
    <row r="754" spans="1:51" x14ac:dyDescent="0.2">
      <c r="A754" t="s">
        <v>1299</v>
      </c>
      <c r="B754" s="1">
        <v>29830</v>
      </c>
      <c r="C754" s="78">
        <v>754</v>
      </c>
      <c r="E754" s="1">
        <f t="shared" si="22"/>
        <v>29830</v>
      </c>
      <c r="F754" s="2">
        <f t="shared" si="23"/>
        <v>29830</v>
      </c>
      <c r="G754" s="78">
        <v>752</v>
      </c>
      <c r="H754" s="79"/>
      <c r="I754" s="79"/>
      <c r="J754" s="79">
        <v>51.531300000000002</v>
      </c>
      <c r="K754" s="79">
        <v>56.087420000000002</v>
      </c>
      <c r="L754" s="79"/>
      <c r="M754" s="79"/>
      <c r="N754" s="79">
        <v>59.125399999999999</v>
      </c>
      <c r="O754" s="79">
        <v>63.784660000000002</v>
      </c>
      <c r="P754" s="79">
        <v>80.820670000000007</v>
      </c>
      <c r="Q754" s="79"/>
      <c r="R754" s="79">
        <v>52.877499999999998</v>
      </c>
      <c r="S754" s="79">
        <v>80.631900000000002</v>
      </c>
      <c r="T754" s="79">
        <v>77.63785</v>
      </c>
      <c r="U754" s="79">
        <v>117.3729</v>
      </c>
      <c r="V754" s="79"/>
      <c r="W754" s="79">
        <v>8.2953650000000003</v>
      </c>
      <c r="X754" s="79"/>
      <c r="Y754" s="79"/>
      <c r="Z754" s="79">
        <v>95.139669999999995</v>
      </c>
      <c r="AA754" s="79">
        <v>72.939819999999997</v>
      </c>
      <c r="AB754" s="79"/>
      <c r="AC754" s="79">
        <v>49.204619999999998</v>
      </c>
      <c r="AD754" s="79"/>
      <c r="AE754" s="79">
        <v>62.391739999999999</v>
      </c>
      <c r="AF754" s="79">
        <v>62.952620000000003</v>
      </c>
      <c r="AG754" s="79">
        <v>57.181550000000001</v>
      </c>
      <c r="AH754" s="79">
        <v>53.621009999999998</v>
      </c>
      <c r="AI754" s="79"/>
      <c r="AJ754" s="79">
        <v>75.06823</v>
      </c>
      <c r="AK754" s="79"/>
      <c r="AL754" s="79"/>
      <c r="AM754" s="79">
        <v>56.140509999999999</v>
      </c>
      <c r="AN754" s="79"/>
      <c r="AO754" s="79">
        <v>50.764270000000003</v>
      </c>
      <c r="AP754" s="79">
        <v>66.079840000000004</v>
      </c>
      <c r="AQ754" s="79"/>
      <c r="AR754" s="79"/>
      <c r="AS754" s="79"/>
      <c r="AT754" s="79"/>
      <c r="AU754" s="79"/>
      <c r="AV754" s="79"/>
      <c r="AW754" s="79"/>
      <c r="AX754" s="79"/>
      <c r="AY754" s="79">
        <v>58.836770000000001</v>
      </c>
    </row>
    <row r="755" spans="1:51" x14ac:dyDescent="0.2">
      <c r="A755" t="s">
        <v>1300</v>
      </c>
      <c r="B755" s="1">
        <v>29860</v>
      </c>
      <c r="C755" s="78">
        <v>755</v>
      </c>
      <c r="E755" s="1">
        <f t="shared" si="22"/>
        <v>29860</v>
      </c>
      <c r="F755" s="2">
        <f t="shared" si="23"/>
        <v>29860</v>
      </c>
      <c r="G755" s="78">
        <v>753</v>
      </c>
      <c r="H755" s="79"/>
      <c r="I755" s="79"/>
      <c r="J755" s="79">
        <v>51.609850000000002</v>
      </c>
      <c r="K755" s="79">
        <v>55.269309999999997</v>
      </c>
      <c r="L755" s="79"/>
      <c r="M755" s="79"/>
      <c r="N755" s="79">
        <v>59.433990000000001</v>
      </c>
      <c r="O755" s="79">
        <v>63.159320000000001</v>
      </c>
      <c r="P755" s="79">
        <v>82.355450000000005</v>
      </c>
      <c r="Q755" s="79"/>
      <c r="R755" s="79">
        <v>53.435180000000003</v>
      </c>
      <c r="S755" s="79">
        <v>80.061779999999999</v>
      </c>
      <c r="T755" s="79">
        <v>79.395690000000002</v>
      </c>
      <c r="U755" s="79">
        <v>114.7975</v>
      </c>
      <c r="V755" s="79"/>
      <c r="W755" s="79">
        <v>7.9581549999999996</v>
      </c>
      <c r="X755" s="79"/>
      <c r="Y755" s="79"/>
      <c r="Z755" s="79">
        <v>95.139669999999995</v>
      </c>
      <c r="AA755" s="79">
        <v>73.360460000000003</v>
      </c>
      <c r="AB755" s="79"/>
      <c r="AC755" s="79">
        <v>50.11403</v>
      </c>
      <c r="AD755" s="79"/>
      <c r="AE755" s="79">
        <v>62.102550000000001</v>
      </c>
      <c r="AF755" s="79">
        <v>66.301159999999996</v>
      </c>
      <c r="AG755" s="79">
        <v>54.378529999999998</v>
      </c>
      <c r="AH755" s="79">
        <v>53.604610000000001</v>
      </c>
      <c r="AI755" s="79"/>
      <c r="AJ755" s="79">
        <v>74.214510000000004</v>
      </c>
      <c r="AK755" s="79"/>
      <c r="AL755" s="79"/>
      <c r="AM755" s="79">
        <v>56.542740000000002</v>
      </c>
      <c r="AN755" s="79"/>
      <c r="AO755" s="79">
        <v>50.421849999999999</v>
      </c>
      <c r="AP755" s="79">
        <v>66.383380000000002</v>
      </c>
      <c r="AQ755" s="79"/>
      <c r="AR755" s="79"/>
      <c r="AS755" s="79"/>
      <c r="AT755" s="79"/>
      <c r="AU755" s="79"/>
      <c r="AV755" s="79"/>
      <c r="AW755" s="79"/>
      <c r="AX755" s="79"/>
      <c r="AY755" s="79">
        <v>58.593760000000003</v>
      </c>
    </row>
    <row r="756" spans="1:51" x14ac:dyDescent="0.2">
      <c r="A756" t="s">
        <v>1301</v>
      </c>
      <c r="B756" s="1">
        <v>29891</v>
      </c>
      <c r="C756" s="78">
        <v>756</v>
      </c>
      <c r="E756" s="1">
        <f t="shared" si="22"/>
        <v>29891</v>
      </c>
      <c r="F756" s="2">
        <f t="shared" si="23"/>
        <v>29891</v>
      </c>
      <c r="G756" s="78">
        <v>754</v>
      </c>
      <c r="H756" s="79"/>
      <c r="I756" s="79"/>
      <c r="J756" s="79">
        <v>51.856189999999998</v>
      </c>
      <c r="K756" s="79">
        <v>54.234099999999998</v>
      </c>
      <c r="L756" s="79"/>
      <c r="M756" s="79"/>
      <c r="N756" s="79">
        <v>58.940249999999999</v>
      </c>
      <c r="O756" s="79">
        <v>62.533990000000003</v>
      </c>
      <c r="P756" s="79">
        <v>81.939250000000001</v>
      </c>
      <c r="Q756" s="79"/>
      <c r="R756" s="79">
        <v>51.863549999999996</v>
      </c>
      <c r="S756" s="79">
        <v>80.061779999999999</v>
      </c>
      <c r="T756" s="79">
        <v>78.419110000000003</v>
      </c>
      <c r="U756" s="79">
        <v>117.50700000000001</v>
      </c>
      <c r="V756" s="79"/>
      <c r="W756" s="79">
        <v>8.1604810000000008</v>
      </c>
      <c r="X756" s="79"/>
      <c r="Y756" s="79"/>
      <c r="Z756" s="79">
        <v>95.847909999999999</v>
      </c>
      <c r="AA756" s="79">
        <v>73.360460000000003</v>
      </c>
      <c r="AB756" s="79"/>
      <c r="AC756" s="79">
        <v>50.539549999999998</v>
      </c>
      <c r="AD756" s="79"/>
      <c r="AE756" s="79">
        <v>62.102550000000001</v>
      </c>
      <c r="AF756" s="79">
        <v>64.961749999999995</v>
      </c>
      <c r="AG756" s="79">
        <v>56.060339999999997</v>
      </c>
      <c r="AH756" s="79">
        <v>53.300699999999999</v>
      </c>
      <c r="AI756" s="79"/>
      <c r="AJ756" s="79">
        <v>73.780280000000005</v>
      </c>
      <c r="AK756" s="79"/>
      <c r="AL756" s="79"/>
      <c r="AM756" s="79">
        <v>56.657670000000003</v>
      </c>
      <c r="AN756" s="79"/>
      <c r="AO756" s="79">
        <v>49.844679999999997</v>
      </c>
      <c r="AP756" s="79">
        <v>65.825530000000001</v>
      </c>
      <c r="AQ756" s="79"/>
      <c r="AR756" s="79"/>
      <c r="AS756" s="79"/>
      <c r="AT756" s="79"/>
      <c r="AU756" s="79"/>
      <c r="AV756" s="79"/>
      <c r="AW756" s="79"/>
      <c r="AX756" s="79"/>
      <c r="AY756" s="79">
        <v>59.531970000000001</v>
      </c>
    </row>
    <row r="757" spans="1:51" x14ac:dyDescent="0.2">
      <c r="A757" t="s">
        <v>1302</v>
      </c>
      <c r="B757" s="1">
        <v>29921</v>
      </c>
      <c r="C757" s="78">
        <v>757</v>
      </c>
      <c r="E757" s="1">
        <f t="shared" si="22"/>
        <v>29921</v>
      </c>
      <c r="F757" s="2">
        <f t="shared" si="23"/>
        <v>29921</v>
      </c>
      <c r="G757" s="78">
        <v>755</v>
      </c>
      <c r="H757" s="79"/>
      <c r="I757" s="79"/>
      <c r="J757" s="79">
        <v>52.176389999999998</v>
      </c>
      <c r="K757" s="79">
        <v>54.556460000000001</v>
      </c>
      <c r="L757" s="79"/>
      <c r="M757" s="79"/>
      <c r="N757" s="79">
        <v>58.446510000000004</v>
      </c>
      <c r="O757" s="79">
        <v>60.032629999999997</v>
      </c>
      <c r="P757" s="79">
        <v>82.013059999999996</v>
      </c>
      <c r="Q757" s="79"/>
      <c r="R757" s="79">
        <v>52.573320000000002</v>
      </c>
      <c r="S757" s="79">
        <v>81.609260000000006</v>
      </c>
      <c r="T757" s="79">
        <v>77.247219999999999</v>
      </c>
      <c r="U757" s="79">
        <v>117.94799999999999</v>
      </c>
      <c r="V757" s="79"/>
      <c r="W757" s="79">
        <v>8.0031169999999996</v>
      </c>
      <c r="X757" s="79"/>
      <c r="Y757" s="79"/>
      <c r="Z757" s="79">
        <v>92.424769999999995</v>
      </c>
      <c r="AA757" s="79">
        <v>73.108069999999998</v>
      </c>
      <c r="AB757" s="79"/>
      <c r="AC757" s="79">
        <v>46.22157</v>
      </c>
      <c r="AD757" s="79"/>
      <c r="AE757" s="79">
        <v>61.59648</v>
      </c>
      <c r="AF757" s="79">
        <v>66.970870000000005</v>
      </c>
      <c r="AG757" s="79">
        <v>56.060339999999997</v>
      </c>
      <c r="AH757" s="79">
        <v>52.901299999999999</v>
      </c>
      <c r="AI757" s="79"/>
      <c r="AJ757" s="79">
        <v>69.168589999999995</v>
      </c>
      <c r="AK757" s="79"/>
      <c r="AL757" s="79"/>
      <c r="AM757" s="79">
        <v>56.542740000000002</v>
      </c>
      <c r="AN757" s="79"/>
      <c r="AO757" s="79">
        <v>49.300460000000001</v>
      </c>
      <c r="AP757" s="79">
        <v>65.193860000000001</v>
      </c>
      <c r="AQ757" s="79"/>
      <c r="AR757" s="79"/>
      <c r="AS757" s="79"/>
      <c r="AT757" s="79"/>
      <c r="AU757" s="79"/>
      <c r="AV757" s="79"/>
      <c r="AW757" s="79"/>
      <c r="AX757" s="79"/>
      <c r="AY757" s="79">
        <v>57.734610000000004</v>
      </c>
    </row>
    <row r="758" spans="1:51" x14ac:dyDescent="0.2">
      <c r="A758" t="s">
        <v>1303</v>
      </c>
      <c r="B758" s="1">
        <v>29952</v>
      </c>
      <c r="C758" s="78">
        <v>758</v>
      </c>
      <c r="E758" s="1">
        <f t="shared" si="22"/>
        <v>29952</v>
      </c>
      <c r="F758" s="2">
        <f t="shared" si="23"/>
        <v>29952</v>
      </c>
      <c r="G758" s="78">
        <v>756</v>
      </c>
      <c r="H758" s="79"/>
      <c r="I758" s="79"/>
      <c r="J758" s="79">
        <v>52.498289999999997</v>
      </c>
      <c r="K758" s="79">
        <v>53.776879999999998</v>
      </c>
      <c r="L758" s="79"/>
      <c r="M758" s="79"/>
      <c r="N758" s="79">
        <v>58.693379999999998</v>
      </c>
      <c r="O758" s="79">
        <v>62.533990000000003</v>
      </c>
      <c r="P758" s="79">
        <v>80.527950000000004</v>
      </c>
      <c r="Q758" s="79"/>
      <c r="R758" s="79">
        <v>53.435180000000003</v>
      </c>
      <c r="S758" s="79">
        <v>80.224670000000003</v>
      </c>
      <c r="T758" s="79">
        <v>77.247219999999999</v>
      </c>
      <c r="U758" s="79">
        <v>116.9188</v>
      </c>
      <c r="V758" s="79"/>
      <c r="W758" s="79">
        <v>7.7108679999999996</v>
      </c>
      <c r="X758" s="79"/>
      <c r="Y758" s="79"/>
      <c r="Z758" s="79">
        <v>96.674180000000007</v>
      </c>
      <c r="AA758" s="79">
        <v>72.687430000000006</v>
      </c>
      <c r="AB758" s="79"/>
      <c r="AC758" s="79">
        <v>48.786769999999997</v>
      </c>
      <c r="AD758" s="79"/>
      <c r="AE758" s="79">
        <v>62.030250000000002</v>
      </c>
      <c r="AF758" s="79">
        <v>65.631450000000001</v>
      </c>
      <c r="AG758" s="79">
        <v>57.181550000000001</v>
      </c>
      <c r="AH758" s="79">
        <v>52.66619</v>
      </c>
      <c r="AI758" s="79"/>
      <c r="AJ758" s="79">
        <v>76.902950000000004</v>
      </c>
      <c r="AK758" s="79"/>
      <c r="AL758" s="79"/>
      <c r="AM758" s="79">
        <v>55.56588</v>
      </c>
      <c r="AN758" s="79"/>
      <c r="AO758" s="79">
        <v>48.31776</v>
      </c>
      <c r="AP758" s="79">
        <v>65.792720000000003</v>
      </c>
      <c r="AQ758" s="79"/>
      <c r="AR758" s="79"/>
      <c r="AS758" s="79"/>
      <c r="AT758" s="79"/>
      <c r="AU758" s="79"/>
      <c r="AV758" s="79"/>
      <c r="AW758" s="79"/>
      <c r="AX758" s="79"/>
      <c r="AY758" s="79">
        <v>59.433239999999998</v>
      </c>
    </row>
    <row r="759" spans="1:51" x14ac:dyDescent="0.2">
      <c r="A759" t="s">
        <v>1304</v>
      </c>
      <c r="B759" s="1">
        <v>29983</v>
      </c>
      <c r="C759" s="78">
        <v>759</v>
      </c>
      <c r="E759" s="1">
        <f t="shared" si="22"/>
        <v>29983</v>
      </c>
      <c r="F759" s="2">
        <f t="shared" si="23"/>
        <v>29983</v>
      </c>
      <c r="G759" s="78">
        <v>757</v>
      </c>
      <c r="H759" s="79"/>
      <c r="I759" s="79"/>
      <c r="J759" s="79">
        <v>51.202190000000002</v>
      </c>
      <c r="K759" s="79">
        <v>53.849719999999998</v>
      </c>
      <c r="L759" s="79"/>
      <c r="M759" s="79"/>
      <c r="N759" s="79">
        <v>58.261360000000003</v>
      </c>
      <c r="O759" s="79">
        <v>63.784660000000002</v>
      </c>
      <c r="P759" s="79">
        <v>80.700029999999998</v>
      </c>
      <c r="Q759" s="79"/>
      <c r="R759" s="79">
        <v>52.978900000000003</v>
      </c>
      <c r="S759" s="79">
        <v>79.573099999999997</v>
      </c>
      <c r="T759" s="79">
        <v>77.735500000000002</v>
      </c>
      <c r="U759" s="79">
        <v>117.71680000000001</v>
      </c>
      <c r="V759" s="79"/>
      <c r="W759" s="79">
        <v>7.8907129999999999</v>
      </c>
      <c r="X759" s="79"/>
      <c r="Y759" s="79"/>
      <c r="Z759" s="79">
        <v>94.195350000000005</v>
      </c>
      <c r="AA759" s="79">
        <v>72.182659999999998</v>
      </c>
      <c r="AB759" s="79"/>
      <c r="AC759" s="79">
        <v>53.277729999999998</v>
      </c>
      <c r="AD759" s="79"/>
      <c r="AE759" s="79">
        <v>62.174849999999999</v>
      </c>
      <c r="AF759" s="79">
        <v>63.622329999999998</v>
      </c>
      <c r="AG759" s="79">
        <v>56.620939999999997</v>
      </c>
      <c r="AH759" s="79">
        <v>52.806480000000001</v>
      </c>
      <c r="AI759" s="79"/>
      <c r="AJ759" s="79">
        <v>74.409540000000007</v>
      </c>
      <c r="AK759" s="79"/>
      <c r="AL759" s="79"/>
      <c r="AM759" s="79">
        <v>55.91066</v>
      </c>
      <c r="AN759" s="79"/>
      <c r="AO759" s="79">
        <v>49.275680000000001</v>
      </c>
      <c r="AP759" s="79">
        <v>65.111819999999994</v>
      </c>
      <c r="AQ759" s="79"/>
      <c r="AR759" s="79"/>
      <c r="AS759" s="79"/>
      <c r="AT759" s="79"/>
      <c r="AU759" s="79"/>
      <c r="AV759" s="79"/>
      <c r="AW759" s="79"/>
      <c r="AX759" s="79"/>
      <c r="AY759" s="79">
        <v>60.017180000000003</v>
      </c>
    </row>
    <row r="760" spans="1:51" x14ac:dyDescent="0.2">
      <c r="A760" t="s">
        <v>1305</v>
      </c>
      <c r="B760" s="1">
        <v>30011</v>
      </c>
      <c r="C760" s="78">
        <v>760</v>
      </c>
      <c r="E760" s="1">
        <f t="shared" si="22"/>
        <v>30011</v>
      </c>
      <c r="F760" s="2">
        <f t="shared" si="23"/>
        <v>30011</v>
      </c>
      <c r="G760" s="78">
        <v>758</v>
      </c>
      <c r="H760" s="79"/>
      <c r="I760" s="79"/>
      <c r="J760" s="79">
        <v>49.758409999999998</v>
      </c>
      <c r="K760" s="79">
        <v>53.196539999999999</v>
      </c>
      <c r="L760" s="79"/>
      <c r="M760" s="79"/>
      <c r="N760" s="79">
        <v>58.81682</v>
      </c>
      <c r="O760" s="79">
        <v>63.784660000000002</v>
      </c>
      <c r="P760" s="79">
        <v>84.160089999999997</v>
      </c>
      <c r="Q760" s="79"/>
      <c r="R760" s="79">
        <v>52.978900000000003</v>
      </c>
      <c r="S760" s="79">
        <v>80.631900000000002</v>
      </c>
      <c r="T760" s="79">
        <v>77.930819999999997</v>
      </c>
      <c r="U760" s="79">
        <v>116.26519999999999</v>
      </c>
      <c r="V760" s="79"/>
      <c r="W760" s="79">
        <v>7.9581549999999996</v>
      </c>
      <c r="X760" s="79"/>
      <c r="Y760" s="79"/>
      <c r="Z760" s="79">
        <v>92.5428</v>
      </c>
      <c r="AA760" s="79">
        <v>72.939819999999997</v>
      </c>
      <c r="AB760" s="79"/>
      <c r="AC760" s="79">
        <v>50.064109999999999</v>
      </c>
      <c r="AD760" s="79"/>
      <c r="AE760" s="79">
        <v>61.451889999999999</v>
      </c>
      <c r="AF760" s="79">
        <v>64.29204</v>
      </c>
      <c r="AG760" s="79">
        <v>57.181550000000001</v>
      </c>
      <c r="AH760" s="79">
        <v>52.807870000000001</v>
      </c>
      <c r="AI760" s="79"/>
      <c r="AJ760" s="79">
        <v>79.503780000000006</v>
      </c>
      <c r="AK760" s="79"/>
      <c r="AL760" s="79"/>
      <c r="AM760" s="79">
        <v>55.853200000000001</v>
      </c>
      <c r="AN760" s="79"/>
      <c r="AO760" s="79">
        <v>48.899929999999998</v>
      </c>
      <c r="AP760" s="79">
        <v>65.005170000000007</v>
      </c>
      <c r="AQ760" s="79"/>
      <c r="AR760" s="79"/>
      <c r="AS760" s="79"/>
      <c r="AT760" s="79"/>
      <c r="AU760" s="79"/>
      <c r="AV760" s="79"/>
      <c r="AW760" s="79"/>
      <c r="AX760" s="79"/>
      <c r="AY760" s="79">
        <v>62.718519999999998</v>
      </c>
    </row>
    <row r="761" spans="1:51" x14ac:dyDescent="0.2">
      <c r="A761" t="s">
        <v>1306</v>
      </c>
      <c r="B761" s="1">
        <v>30042</v>
      </c>
      <c r="C761" s="78">
        <v>761</v>
      </c>
      <c r="E761" s="1">
        <f t="shared" si="22"/>
        <v>30042</v>
      </c>
      <c r="F761" s="2">
        <f t="shared" si="23"/>
        <v>30042</v>
      </c>
      <c r="G761" s="78">
        <v>759</v>
      </c>
      <c r="H761" s="79"/>
      <c r="I761" s="79"/>
      <c r="J761" s="79">
        <v>52.05415</v>
      </c>
      <c r="K761" s="79">
        <v>51.715859999999999</v>
      </c>
      <c r="L761" s="79"/>
      <c r="M761" s="79"/>
      <c r="N761" s="79">
        <v>58.693379999999998</v>
      </c>
      <c r="O761" s="79">
        <v>65.660679999999999</v>
      </c>
      <c r="P761" s="79">
        <v>81.294420000000002</v>
      </c>
      <c r="Q761" s="79"/>
      <c r="R761" s="79">
        <v>52.218440000000001</v>
      </c>
      <c r="S761" s="79">
        <v>80.550460000000001</v>
      </c>
      <c r="T761" s="79">
        <v>78.907399999999996</v>
      </c>
      <c r="U761" s="79">
        <v>115.33540000000001</v>
      </c>
      <c r="V761" s="79"/>
      <c r="W761" s="79">
        <v>7.9356749999999998</v>
      </c>
      <c r="X761" s="79"/>
      <c r="Y761" s="79"/>
      <c r="Z761" s="79">
        <v>95.729870000000005</v>
      </c>
      <c r="AA761" s="79">
        <v>71.930269999999993</v>
      </c>
      <c r="AB761" s="79"/>
      <c r="AC761" s="79">
        <v>47.822139999999997</v>
      </c>
      <c r="AD761" s="79"/>
      <c r="AE761" s="79">
        <v>61.090400000000002</v>
      </c>
      <c r="AF761" s="79">
        <v>64.961749999999995</v>
      </c>
      <c r="AG761" s="79">
        <v>57.742150000000002</v>
      </c>
      <c r="AH761" s="79">
        <v>52.607399999999998</v>
      </c>
      <c r="AI761" s="79"/>
      <c r="AJ761" s="79">
        <v>76.688379999999995</v>
      </c>
      <c r="AK761" s="79"/>
      <c r="AL761" s="79"/>
      <c r="AM761" s="79">
        <v>55.73827</v>
      </c>
      <c r="AN761" s="79"/>
      <c r="AO761" s="79">
        <v>48.469909999999999</v>
      </c>
      <c r="AP761" s="79">
        <v>65.661460000000005</v>
      </c>
      <c r="AQ761" s="79"/>
      <c r="AR761" s="79"/>
      <c r="AS761" s="79"/>
      <c r="AT761" s="79"/>
      <c r="AU761" s="79"/>
      <c r="AV761" s="79"/>
      <c r="AW761" s="79"/>
      <c r="AX761" s="79"/>
      <c r="AY761" s="79">
        <v>63.265470000000001</v>
      </c>
    </row>
    <row r="762" spans="1:51" x14ac:dyDescent="0.2">
      <c r="A762" t="s">
        <v>1307</v>
      </c>
      <c r="B762" s="1">
        <v>30072</v>
      </c>
      <c r="C762" s="78">
        <v>762</v>
      </c>
      <c r="E762" s="1">
        <f t="shared" si="22"/>
        <v>30072</v>
      </c>
      <c r="F762" s="2">
        <f t="shared" si="23"/>
        <v>30072</v>
      </c>
      <c r="G762" s="78">
        <v>760</v>
      </c>
      <c r="H762" s="79"/>
      <c r="I762" s="79"/>
      <c r="J762" s="79">
        <v>52.06203</v>
      </c>
      <c r="K762" s="79">
        <v>52.119509999999998</v>
      </c>
      <c r="L762" s="79"/>
      <c r="M762" s="79"/>
      <c r="N762" s="79">
        <v>58.693379999999998</v>
      </c>
      <c r="O762" s="79">
        <v>63.159320000000001</v>
      </c>
      <c r="P762" s="79">
        <v>81.697069999999997</v>
      </c>
      <c r="Q762" s="79"/>
      <c r="R762" s="79">
        <v>52.218440000000001</v>
      </c>
      <c r="S762" s="79">
        <v>80.306120000000007</v>
      </c>
      <c r="T762" s="79">
        <v>79.590999999999994</v>
      </c>
      <c r="U762" s="79">
        <v>117.8326</v>
      </c>
      <c r="V762" s="79"/>
      <c r="W762" s="79">
        <v>7.9581549999999996</v>
      </c>
      <c r="X762" s="79"/>
      <c r="Y762" s="79"/>
      <c r="Z762" s="79">
        <v>91.952610000000007</v>
      </c>
      <c r="AA762" s="79">
        <v>71.257239999999996</v>
      </c>
      <c r="AB762" s="79"/>
      <c r="AC762" s="79">
        <v>49.567700000000002</v>
      </c>
      <c r="AD762" s="79"/>
      <c r="AE762" s="79">
        <v>60.945810000000002</v>
      </c>
      <c r="AF762" s="79">
        <v>63.622329999999998</v>
      </c>
      <c r="AG762" s="79">
        <v>54.378529999999998</v>
      </c>
      <c r="AH762" s="79">
        <v>52.286499999999997</v>
      </c>
      <c r="AI762" s="79"/>
      <c r="AJ762" s="79">
        <v>72.012309999999999</v>
      </c>
      <c r="AK762" s="79"/>
      <c r="AL762" s="79"/>
      <c r="AM762" s="79">
        <v>55.91066</v>
      </c>
      <c r="AN762" s="79"/>
      <c r="AO762" s="79">
        <v>48.158029999999997</v>
      </c>
      <c r="AP762" s="79">
        <v>64.923140000000004</v>
      </c>
      <c r="AQ762" s="79"/>
      <c r="AR762" s="79"/>
      <c r="AS762" s="79"/>
      <c r="AT762" s="79"/>
      <c r="AU762" s="79"/>
      <c r="AV762" s="79"/>
      <c r="AW762" s="79"/>
      <c r="AX762" s="79"/>
      <c r="AY762" s="79">
        <v>63.81888</v>
      </c>
    </row>
    <row r="763" spans="1:51" x14ac:dyDescent="0.2">
      <c r="A763" t="s">
        <v>1308</v>
      </c>
      <c r="B763" s="1">
        <v>30103</v>
      </c>
      <c r="C763" s="78">
        <v>763</v>
      </c>
      <c r="E763" s="1">
        <f t="shared" si="22"/>
        <v>30103</v>
      </c>
      <c r="F763" s="2">
        <f t="shared" si="23"/>
        <v>30103</v>
      </c>
      <c r="G763" s="78">
        <v>761</v>
      </c>
      <c r="H763" s="79"/>
      <c r="I763" s="79"/>
      <c r="J763" s="79">
        <v>50.784660000000002</v>
      </c>
      <c r="K763" s="79">
        <v>51.216810000000002</v>
      </c>
      <c r="L763" s="79"/>
      <c r="M763" s="79"/>
      <c r="N763" s="79">
        <v>57.273879999999998</v>
      </c>
      <c r="O763" s="79">
        <v>66.286029999999997</v>
      </c>
      <c r="P763" s="79">
        <v>79.829179999999994</v>
      </c>
      <c r="Q763" s="79"/>
      <c r="R763" s="79">
        <v>53.232390000000002</v>
      </c>
      <c r="S763" s="79">
        <v>80.469009999999997</v>
      </c>
      <c r="T763" s="79">
        <v>78.516769999999994</v>
      </c>
      <c r="U763" s="79">
        <v>113.49930000000001</v>
      </c>
      <c r="V763" s="79"/>
      <c r="W763" s="79">
        <v>7.868233</v>
      </c>
      <c r="X763" s="79"/>
      <c r="Y763" s="79"/>
      <c r="Z763" s="79">
        <v>89.119669999999999</v>
      </c>
      <c r="AA763" s="79">
        <v>72.182659999999998</v>
      </c>
      <c r="AB763" s="79"/>
      <c r="AC763" s="79">
        <v>49.972450000000002</v>
      </c>
      <c r="AD763" s="79"/>
      <c r="AE763" s="79">
        <v>60.43974</v>
      </c>
      <c r="AF763" s="79">
        <v>62.952620000000003</v>
      </c>
      <c r="AG763" s="79">
        <v>54.939129999999999</v>
      </c>
      <c r="AH763" s="79">
        <v>51.960039999999999</v>
      </c>
      <c r="AI763" s="79"/>
      <c r="AJ763" s="79">
        <v>78.550340000000006</v>
      </c>
      <c r="AK763" s="79"/>
      <c r="AL763" s="79"/>
      <c r="AM763" s="79">
        <v>56.197969999999998</v>
      </c>
      <c r="AN763" s="79"/>
      <c r="AO763" s="79">
        <v>47.995890000000003</v>
      </c>
      <c r="AP763" s="79">
        <v>63.72542</v>
      </c>
      <c r="AQ763" s="79"/>
      <c r="AR763" s="79"/>
      <c r="AS763" s="79"/>
      <c r="AT763" s="79"/>
      <c r="AU763" s="79"/>
      <c r="AV763" s="79"/>
      <c r="AW763" s="79"/>
      <c r="AX763" s="79"/>
      <c r="AY763" s="79">
        <v>63.430909999999997</v>
      </c>
    </row>
    <row r="764" spans="1:51" x14ac:dyDescent="0.2">
      <c r="A764" t="s">
        <v>1309</v>
      </c>
      <c r="B764" s="1">
        <v>30133</v>
      </c>
      <c r="C764" s="78">
        <v>764</v>
      </c>
      <c r="E764" s="1">
        <f t="shared" si="22"/>
        <v>30133</v>
      </c>
      <c r="F764" s="2">
        <f t="shared" si="23"/>
        <v>30133</v>
      </c>
      <c r="G764" s="78">
        <v>762</v>
      </c>
      <c r="H764" s="79"/>
      <c r="I764" s="79"/>
      <c r="J764" s="79">
        <v>51.514279999999999</v>
      </c>
      <c r="K764" s="79">
        <v>50.193820000000002</v>
      </c>
      <c r="L764" s="79"/>
      <c r="M764" s="79"/>
      <c r="N764" s="79">
        <v>55.360639999999997</v>
      </c>
      <c r="O764" s="79">
        <v>63.159320000000001</v>
      </c>
      <c r="P764" s="79">
        <v>81.557659999999998</v>
      </c>
      <c r="Q764" s="79"/>
      <c r="R764" s="79">
        <v>51.711460000000002</v>
      </c>
      <c r="S764" s="79">
        <v>78.107060000000004</v>
      </c>
      <c r="T764" s="79">
        <v>78.516769999999994</v>
      </c>
      <c r="U764" s="79">
        <v>113.77079999999999</v>
      </c>
      <c r="V764" s="79"/>
      <c r="W764" s="79">
        <v>8.0705589999999994</v>
      </c>
      <c r="X764" s="79"/>
      <c r="Y764" s="79"/>
      <c r="Z764" s="79">
        <v>92.424769999999995</v>
      </c>
      <c r="AA764" s="79">
        <v>72.014399999999995</v>
      </c>
      <c r="AB764" s="79"/>
      <c r="AC764" s="79">
        <v>48.577930000000002</v>
      </c>
      <c r="AD764" s="79"/>
      <c r="AE764" s="79">
        <v>59.499890000000001</v>
      </c>
      <c r="AF764" s="79">
        <v>62.952620000000003</v>
      </c>
      <c r="AG764" s="79">
        <v>55.49973</v>
      </c>
      <c r="AH764" s="79">
        <v>51.694670000000002</v>
      </c>
      <c r="AI764" s="79"/>
      <c r="AJ764" s="79">
        <v>78.705879999999993</v>
      </c>
      <c r="AK764" s="79"/>
      <c r="AL764" s="79"/>
      <c r="AM764" s="79">
        <v>56.715130000000002</v>
      </c>
      <c r="AN764" s="79"/>
      <c r="AO764" s="79">
        <v>47.846629999999998</v>
      </c>
      <c r="AP764" s="79">
        <v>64.094579999999993</v>
      </c>
      <c r="AQ764" s="79"/>
      <c r="AR764" s="79"/>
      <c r="AS764" s="79"/>
      <c r="AT764" s="79"/>
      <c r="AU764" s="79"/>
      <c r="AV764" s="79"/>
      <c r="AW764" s="79"/>
      <c r="AX764" s="79"/>
      <c r="AY764" s="79">
        <v>63.977969999999999</v>
      </c>
    </row>
    <row r="765" spans="1:51" x14ac:dyDescent="0.2">
      <c r="A765" t="s">
        <v>1310</v>
      </c>
      <c r="B765" s="1">
        <v>30164</v>
      </c>
      <c r="C765" s="78">
        <v>765</v>
      </c>
      <c r="E765" s="1">
        <f t="shared" si="22"/>
        <v>30164</v>
      </c>
      <c r="F765" s="2">
        <f t="shared" si="23"/>
        <v>30164</v>
      </c>
      <c r="G765" s="78">
        <v>763</v>
      </c>
      <c r="H765" s="79"/>
      <c r="I765" s="79"/>
      <c r="J765" s="79">
        <v>50.092680000000001</v>
      </c>
      <c r="K765" s="79">
        <v>51.141159999999999</v>
      </c>
      <c r="L765" s="79"/>
      <c r="M765" s="79"/>
      <c r="N765" s="79">
        <v>56.533270000000002</v>
      </c>
      <c r="O765" s="79">
        <v>63.159320000000001</v>
      </c>
      <c r="P765" s="79">
        <v>76.742450000000005</v>
      </c>
      <c r="Q765" s="79"/>
      <c r="R765" s="79">
        <v>52.674709999999997</v>
      </c>
      <c r="S765" s="79">
        <v>78.107060000000004</v>
      </c>
      <c r="T765" s="79">
        <v>79.200370000000007</v>
      </c>
      <c r="U765" s="79">
        <v>111.6981</v>
      </c>
      <c r="V765" s="79"/>
      <c r="W765" s="79">
        <v>7.8907129999999999</v>
      </c>
      <c r="X765" s="79"/>
      <c r="Y765" s="79"/>
      <c r="Z765" s="79">
        <v>90.654169999999993</v>
      </c>
      <c r="AA765" s="79">
        <v>72.098529999999997</v>
      </c>
      <c r="AB765" s="79"/>
      <c r="AC765" s="79">
        <v>49.450380000000003</v>
      </c>
      <c r="AD765" s="79"/>
      <c r="AE765" s="79">
        <v>59.138399999999997</v>
      </c>
      <c r="AF765" s="79">
        <v>60.943489999999997</v>
      </c>
      <c r="AG765" s="79">
        <v>54.939129999999999</v>
      </c>
      <c r="AH765" s="79">
        <v>51.475960000000001</v>
      </c>
      <c r="AI765" s="79"/>
      <c r="AJ765" s="79">
        <v>75.450839999999999</v>
      </c>
      <c r="AK765" s="79"/>
      <c r="AL765" s="79"/>
      <c r="AM765" s="79">
        <v>55.450960000000002</v>
      </c>
      <c r="AN765" s="79"/>
      <c r="AO765" s="79">
        <v>47.427370000000003</v>
      </c>
      <c r="AP765" s="79">
        <v>63.413679999999999</v>
      </c>
      <c r="AQ765" s="79"/>
      <c r="AR765" s="79"/>
      <c r="AS765" s="79"/>
      <c r="AT765" s="79"/>
      <c r="AU765" s="79"/>
      <c r="AV765" s="79"/>
      <c r="AW765" s="79"/>
      <c r="AX765" s="79"/>
      <c r="AY765" s="79">
        <v>63.967239999999997</v>
      </c>
    </row>
    <row r="766" spans="1:51" x14ac:dyDescent="0.2">
      <c r="A766" t="s">
        <v>1311</v>
      </c>
      <c r="B766" s="1">
        <v>30195</v>
      </c>
      <c r="C766" s="78">
        <v>766</v>
      </c>
      <c r="E766" s="1">
        <f t="shared" si="22"/>
        <v>30195</v>
      </c>
      <c r="F766" s="2">
        <f t="shared" si="23"/>
        <v>30195</v>
      </c>
      <c r="G766" s="78">
        <v>764</v>
      </c>
      <c r="H766" s="79"/>
      <c r="I766" s="79"/>
      <c r="J766" s="79">
        <v>51.427639999999997</v>
      </c>
      <c r="K766" s="79">
        <v>50.536380000000001</v>
      </c>
      <c r="L766" s="79"/>
      <c r="M766" s="79"/>
      <c r="N766" s="79">
        <v>56.2864</v>
      </c>
      <c r="O766" s="79">
        <v>63.159320000000001</v>
      </c>
      <c r="P766" s="79">
        <v>83.879019999999997</v>
      </c>
      <c r="Q766" s="79"/>
      <c r="R766" s="79">
        <v>52.776110000000003</v>
      </c>
      <c r="S766" s="79">
        <v>78.677189999999996</v>
      </c>
      <c r="T766" s="79">
        <v>79.298029999999997</v>
      </c>
      <c r="U766" s="79">
        <v>120.1778</v>
      </c>
      <c r="V766" s="79"/>
      <c r="W766" s="79">
        <v>7.9581549999999996</v>
      </c>
      <c r="X766" s="79"/>
      <c r="Y766" s="79"/>
      <c r="Z766" s="79">
        <v>91.008290000000002</v>
      </c>
      <c r="AA766" s="79">
        <v>72.435040000000001</v>
      </c>
      <c r="AB766" s="79"/>
      <c r="AC766" s="79">
        <v>49.88655</v>
      </c>
      <c r="AD766" s="79"/>
      <c r="AE766" s="79">
        <v>58.198549999999997</v>
      </c>
      <c r="AF766" s="79">
        <v>62.282910000000001</v>
      </c>
      <c r="AG766" s="79">
        <v>53.817920000000001</v>
      </c>
      <c r="AH766" s="79">
        <v>51.633290000000002</v>
      </c>
      <c r="AI766" s="79"/>
      <c r="AJ766" s="79">
        <v>76.988720000000001</v>
      </c>
      <c r="AK766" s="79"/>
      <c r="AL766" s="79"/>
      <c r="AM766" s="79">
        <v>55.91066</v>
      </c>
      <c r="AN766" s="79"/>
      <c r="AO766" s="79">
        <v>47.282040000000002</v>
      </c>
      <c r="AP766" s="79">
        <v>63.9223</v>
      </c>
      <c r="AQ766" s="79"/>
      <c r="AR766" s="79"/>
      <c r="AS766" s="79"/>
      <c r="AT766" s="79"/>
      <c r="AU766" s="79"/>
      <c r="AV766" s="79"/>
      <c r="AW766" s="79"/>
      <c r="AX766" s="79"/>
      <c r="AY766" s="79">
        <v>63.221809999999998</v>
      </c>
    </row>
    <row r="767" spans="1:51" x14ac:dyDescent="0.2">
      <c r="A767" t="s">
        <v>1312</v>
      </c>
      <c r="B767" s="1">
        <v>30225</v>
      </c>
      <c r="C767" s="78">
        <v>767</v>
      </c>
      <c r="E767" s="1">
        <f t="shared" si="22"/>
        <v>30225</v>
      </c>
      <c r="F767" s="2">
        <f t="shared" si="23"/>
        <v>30225</v>
      </c>
      <c r="G767" s="78">
        <v>765</v>
      </c>
      <c r="H767" s="79"/>
      <c r="I767" s="79"/>
      <c r="J767" s="79">
        <v>51.799120000000002</v>
      </c>
      <c r="K767" s="79">
        <v>49.58952</v>
      </c>
      <c r="L767" s="79"/>
      <c r="M767" s="79"/>
      <c r="N767" s="79">
        <v>55.669220000000003</v>
      </c>
      <c r="O767" s="79">
        <v>63.784660000000002</v>
      </c>
      <c r="P767" s="79">
        <v>80.626220000000004</v>
      </c>
      <c r="Q767" s="79"/>
      <c r="R767" s="79">
        <v>51.964950000000002</v>
      </c>
      <c r="S767" s="79">
        <v>79.247309999999999</v>
      </c>
      <c r="T767" s="79">
        <v>78.809749999999994</v>
      </c>
      <c r="U767" s="79">
        <v>115.562</v>
      </c>
      <c r="V767" s="79"/>
      <c r="W767" s="79">
        <v>8.2279230000000005</v>
      </c>
      <c r="X767" s="79"/>
      <c r="Y767" s="79"/>
      <c r="Z767" s="79">
        <v>90.063980000000001</v>
      </c>
      <c r="AA767" s="79">
        <v>70.331819999999993</v>
      </c>
      <c r="AB767" s="79"/>
      <c r="AC767" s="79">
        <v>49.393639999999998</v>
      </c>
      <c r="AD767" s="79"/>
      <c r="AE767" s="79">
        <v>56.463439999999999</v>
      </c>
      <c r="AF767" s="79">
        <v>61.613199999999999</v>
      </c>
      <c r="AG767" s="79">
        <v>52.136110000000002</v>
      </c>
      <c r="AH767" s="79">
        <v>50.917949999999998</v>
      </c>
      <c r="AI767" s="79"/>
      <c r="AJ767" s="79">
        <v>78.354100000000003</v>
      </c>
      <c r="AK767" s="79"/>
      <c r="AL767" s="79"/>
      <c r="AM767" s="79">
        <v>55.680810000000001</v>
      </c>
      <c r="AN767" s="79"/>
      <c r="AO767" s="79">
        <v>46.860759999999999</v>
      </c>
      <c r="AP767" s="79">
        <v>63.307029999999997</v>
      </c>
      <c r="AQ767" s="79"/>
      <c r="AR767" s="79"/>
      <c r="AS767" s="79"/>
      <c r="AT767" s="79"/>
      <c r="AU767" s="79"/>
      <c r="AV767" s="79"/>
      <c r="AW767" s="79"/>
      <c r="AX767" s="79"/>
      <c r="AY767" s="79">
        <v>61.21705</v>
      </c>
    </row>
    <row r="768" spans="1:51" x14ac:dyDescent="0.2">
      <c r="A768" t="s">
        <v>1313</v>
      </c>
      <c r="B768" s="1">
        <v>30256</v>
      </c>
      <c r="C768" s="78">
        <v>768</v>
      </c>
      <c r="E768" s="1">
        <f t="shared" si="22"/>
        <v>30256</v>
      </c>
      <c r="F768" s="2">
        <f t="shared" si="23"/>
        <v>30256</v>
      </c>
      <c r="G768" s="78">
        <v>766</v>
      </c>
      <c r="H768" s="79"/>
      <c r="I768" s="79"/>
      <c r="J768" s="79">
        <v>50.850320000000004</v>
      </c>
      <c r="K768" s="79">
        <v>50.409979999999997</v>
      </c>
      <c r="L768" s="79"/>
      <c r="M768" s="79"/>
      <c r="N768" s="79">
        <v>54.99033</v>
      </c>
      <c r="O768" s="79">
        <v>65.035349999999994</v>
      </c>
      <c r="P768" s="79">
        <v>82.178740000000005</v>
      </c>
      <c r="Q768" s="79"/>
      <c r="R768" s="79">
        <v>52.370530000000002</v>
      </c>
      <c r="S768" s="79">
        <v>78.75864</v>
      </c>
      <c r="T768" s="79">
        <v>77.442539999999994</v>
      </c>
      <c r="U768" s="79">
        <v>114.50069999999999</v>
      </c>
      <c r="V768" s="79"/>
      <c r="W768" s="79">
        <v>8.0705589999999994</v>
      </c>
      <c r="X768" s="79"/>
      <c r="Y768" s="79"/>
      <c r="Z768" s="79">
        <v>88.52946</v>
      </c>
      <c r="AA768" s="79">
        <v>72.098529999999997</v>
      </c>
      <c r="AB768" s="79"/>
      <c r="AC768" s="79">
        <v>47.70149</v>
      </c>
      <c r="AD768" s="79"/>
      <c r="AE768" s="79">
        <v>56.824919999999999</v>
      </c>
      <c r="AF768" s="79">
        <v>60.943489999999997</v>
      </c>
      <c r="AG768" s="79">
        <v>56.060339999999997</v>
      </c>
      <c r="AH768" s="79">
        <v>50.920279999999998</v>
      </c>
      <c r="AI768" s="79"/>
      <c r="AJ768" s="79">
        <v>78.110050000000001</v>
      </c>
      <c r="AK768" s="79"/>
      <c r="AL768" s="79"/>
      <c r="AM768" s="79">
        <v>55.221110000000003</v>
      </c>
      <c r="AN768" s="79"/>
      <c r="AO768" s="79">
        <v>46.673079999999999</v>
      </c>
      <c r="AP768" s="79">
        <v>62.708170000000003</v>
      </c>
      <c r="AQ768" s="79"/>
      <c r="AR768" s="79"/>
      <c r="AS768" s="79"/>
      <c r="AT768" s="79"/>
      <c r="AU768" s="79"/>
      <c r="AV768" s="79"/>
      <c r="AW768" s="79"/>
      <c r="AX768" s="79"/>
      <c r="AY768" s="79">
        <v>59.786059999999999</v>
      </c>
    </row>
    <row r="769" spans="1:51" x14ac:dyDescent="0.2">
      <c r="A769" t="s">
        <v>1314</v>
      </c>
      <c r="B769" s="1">
        <v>30286</v>
      </c>
      <c r="C769" s="78">
        <v>769</v>
      </c>
      <c r="E769" s="1">
        <f t="shared" si="22"/>
        <v>30286</v>
      </c>
      <c r="F769" s="2">
        <f t="shared" si="23"/>
        <v>30286</v>
      </c>
      <c r="G769" s="78">
        <v>767</v>
      </c>
      <c r="H769" s="79"/>
      <c r="I769" s="79"/>
      <c r="J769" s="79">
        <v>49.953189999999999</v>
      </c>
      <c r="K769" s="79">
        <v>50.052849999999999</v>
      </c>
      <c r="L769" s="79"/>
      <c r="M769" s="79"/>
      <c r="N769" s="79">
        <v>55.237200000000001</v>
      </c>
      <c r="O769" s="79">
        <v>64.41</v>
      </c>
      <c r="P769" s="79">
        <v>80.275379999999998</v>
      </c>
      <c r="Q769" s="79"/>
      <c r="R769" s="79">
        <v>52.978900000000003</v>
      </c>
      <c r="S769" s="79">
        <v>79.084429999999998</v>
      </c>
      <c r="T769" s="79">
        <v>78.516769999999994</v>
      </c>
      <c r="U769" s="79">
        <v>111.9263</v>
      </c>
      <c r="V769" s="79"/>
      <c r="W769" s="79">
        <v>7.7558290000000003</v>
      </c>
      <c r="X769" s="79"/>
      <c r="Y769" s="79"/>
      <c r="Z769" s="79">
        <v>89.473789999999994</v>
      </c>
      <c r="AA769" s="79">
        <v>71.341359999999995</v>
      </c>
      <c r="AB769" s="79"/>
      <c r="AC769" s="79">
        <v>45.160089999999997</v>
      </c>
      <c r="AD769" s="79"/>
      <c r="AE769" s="79">
        <v>56.101959999999998</v>
      </c>
      <c r="AF769" s="79">
        <v>62.952620000000003</v>
      </c>
      <c r="AG769" s="79">
        <v>57.181550000000001</v>
      </c>
      <c r="AH769" s="79">
        <v>50.766219999999997</v>
      </c>
      <c r="AI769" s="79"/>
      <c r="AJ769" s="79">
        <v>80.051280000000006</v>
      </c>
      <c r="AK769" s="79"/>
      <c r="AL769" s="79"/>
      <c r="AM769" s="79">
        <v>56.312890000000003</v>
      </c>
      <c r="AN769" s="79"/>
      <c r="AO769" s="79">
        <v>46.33728</v>
      </c>
      <c r="AP769" s="79">
        <v>62.281590000000001</v>
      </c>
      <c r="AQ769" s="79"/>
      <c r="AR769" s="79"/>
      <c r="AS769" s="79"/>
      <c r="AT769" s="79"/>
      <c r="AU769" s="79"/>
      <c r="AV769" s="79"/>
      <c r="AW769" s="79"/>
      <c r="AX769" s="79"/>
      <c r="AY769" s="79">
        <v>59.166640000000001</v>
      </c>
    </row>
    <row r="770" spans="1:51" x14ac:dyDescent="0.2">
      <c r="A770" t="s">
        <v>1315</v>
      </c>
      <c r="B770" s="1">
        <v>30317</v>
      </c>
      <c r="C770" s="78">
        <v>770</v>
      </c>
      <c r="E770" s="1">
        <f t="shared" ref="E770:E833" si="24">B770</f>
        <v>30317</v>
      </c>
      <c r="F770" s="2">
        <f t="shared" ref="F770:F833" si="25">B770</f>
        <v>30317</v>
      </c>
      <c r="G770" s="78">
        <v>768</v>
      </c>
      <c r="H770" s="79"/>
      <c r="I770" s="79"/>
      <c r="J770" s="79">
        <v>51.42221</v>
      </c>
      <c r="K770" s="79">
        <v>50.977159999999998</v>
      </c>
      <c r="L770" s="79"/>
      <c r="M770" s="79"/>
      <c r="N770" s="79">
        <v>56.10125</v>
      </c>
      <c r="O770" s="79">
        <v>65.035349999999994</v>
      </c>
      <c r="P770" s="79">
        <v>83.784170000000003</v>
      </c>
      <c r="Q770" s="79"/>
      <c r="R770" s="79">
        <v>52.421230000000001</v>
      </c>
      <c r="S770" s="79">
        <v>79.247309999999999</v>
      </c>
      <c r="T770" s="79">
        <v>79.590999999999994</v>
      </c>
      <c r="U770" s="79">
        <v>114.0322</v>
      </c>
      <c r="V770" s="79"/>
      <c r="W770" s="79">
        <v>8.8798630000000003</v>
      </c>
      <c r="X770" s="79"/>
      <c r="Y770" s="79"/>
      <c r="Z770" s="79">
        <v>89.709860000000006</v>
      </c>
      <c r="AA770" s="79">
        <v>71.930269999999993</v>
      </c>
      <c r="AB770" s="79"/>
      <c r="AC770" s="79">
        <v>47.497920000000001</v>
      </c>
      <c r="AD770" s="79"/>
      <c r="AE770" s="79">
        <v>55.45129</v>
      </c>
      <c r="AF770" s="79">
        <v>62.282910000000001</v>
      </c>
      <c r="AG770" s="79">
        <v>56.620939999999997</v>
      </c>
      <c r="AH770" s="79">
        <v>51.378520000000002</v>
      </c>
      <c r="AI770" s="79"/>
      <c r="AJ770" s="79">
        <v>79.310649999999995</v>
      </c>
      <c r="AK770" s="79"/>
      <c r="AL770" s="79"/>
      <c r="AM770" s="79">
        <v>56.312890000000003</v>
      </c>
      <c r="AN770" s="79"/>
      <c r="AO770" s="79">
        <v>47.234209999999997</v>
      </c>
      <c r="AP770" s="79">
        <v>63.13476</v>
      </c>
      <c r="AQ770" s="79"/>
      <c r="AR770" s="79"/>
      <c r="AS770" s="79"/>
      <c r="AT770" s="79"/>
      <c r="AU770" s="79"/>
      <c r="AV770" s="79"/>
      <c r="AW770" s="79"/>
      <c r="AX770" s="79"/>
      <c r="AY770" s="79">
        <v>58.076889999999999</v>
      </c>
    </row>
    <row r="771" spans="1:51" x14ac:dyDescent="0.2">
      <c r="A771" t="s">
        <v>1316</v>
      </c>
      <c r="B771" s="1">
        <v>30348</v>
      </c>
      <c r="C771" s="78">
        <v>771</v>
      </c>
      <c r="E771" s="1">
        <f t="shared" si="24"/>
        <v>30348</v>
      </c>
      <c r="F771" s="2">
        <f t="shared" si="25"/>
        <v>30348</v>
      </c>
      <c r="G771" s="78">
        <v>769</v>
      </c>
      <c r="H771" s="79"/>
      <c r="I771" s="79"/>
      <c r="J771" s="79">
        <v>51.549610000000001</v>
      </c>
      <c r="K771" s="79">
        <v>51.021799999999999</v>
      </c>
      <c r="L771" s="79"/>
      <c r="M771" s="79"/>
      <c r="N771" s="79">
        <v>55.607509999999998</v>
      </c>
      <c r="O771" s="79">
        <v>64.41</v>
      </c>
      <c r="P771" s="79">
        <v>83.020449999999997</v>
      </c>
      <c r="Q771" s="79"/>
      <c r="R771" s="79">
        <v>53.232390000000002</v>
      </c>
      <c r="S771" s="79">
        <v>78.921530000000004</v>
      </c>
      <c r="T771" s="79">
        <v>80.665239999999997</v>
      </c>
      <c r="U771" s="79">
        <v>114.97199999999999</v>
      </c>
      <c r="V771" s="79"/>
      <c r="W771" s="79">
        <v>8.4752100000000006</v>
      </c>
      <c r="X771" s="79"/>
      <c r="Y771" s="79"/>
      <c r="Z771" s="79">
        <v>89.355739999999997</v>
      </c>
      <c r="AA771" s="79">
        <v>71.677880000000002</v>
      </c>
      <c r="AB771" s="79"/>
      <c r="AC771" s="79">
        <v>50.073639999999997</v>
      </c>
      <c r="AD771" s="79"/>
      <c r="AE771" s="79">
        <v>54.583730000000003</v>
      </c>
      <c r="AF771" s="79">
        <v>63.622329999999998</v>
      </c>
      <c r="AG771" s="79">
        <v>58.863349999999997</v>
      </c>
      <c r="AH771" s="79">
        <v>51.223210000000002</v>
      </c>
      <c r="AI771" s="79"/>
      <c r="AJ771" s="79">
        <v>81.044600000000003</v>
      </c>
      <c r="AK771" s="79"/>
      <c r="AL771" s="79"/>
      <c r="AM771" s="79">
        <v>56.657670000000003</v>
      </c>
      <c r="AN771" s="79"/>
      <c r="AO771" s="79">
        <v>46.938949999999998</v>
      </c>
      <c r="AP771" s="79">
        <v>63.405479999999997</v>
      </c>
      <c r="AQ771" s="79"/>
      <c r="AR771" s="79"/>
      <c r="AS771" s="79"/>
      <c r="AT771" s="79"/>
      <c r="AU771" s="79"/>
      <c r="AV771" s="79"/>
      <c r="AW771" s="79"/>
      <c r="AX771" s="79"/>
      <c r="AY771" s="79">
        <v>56.851430000000001</v>
      </c>
    </row>
    <row r="772" spans="1:51" x14ac:dyDescent="0.2">
      <c r="A772" t="s">
        <v>1317</v>
      </c>
      <c r="B772" s="1">
        <v>30376</v>
      </c>
      <c r="C772" s="78">
        <v>772</v>
      </c>
      <c r="E772" s="1">
        <f t="shared" si="24"/>
        <v>30376</v>
      </c>
      <c r="F772" s="2">
        <f t="shared" si="25"/>
        <v>30376</v>
      </c>
      <c r="G772" s="78">
        <v>770</v>
      </c>
      <c r="H772" s="79"/>
      <c r="I772" s="79"/>
      <c r="J772" s="79">
        <v>51.641309999999997</v>
      </c>
      <c r="K772" s="79">
        <v>51.368119999999998</v>
      </c>
      <c r="L772" s="79"/>
      <c r="M772" s="79"/>
      <c r="N772" s="79">
        <v>56.594990000000003</v>
      </c>
      <c r="O772" s="79">
        <v>63.159320000000001</v>
      </c>
      <c r="P772" s="79">
        <v>84.738879999999995</v>
      </c>
      <c r="Q772" s="79"/>
      <c r="R772" s="79">
        <v>53.181690000000003</v>
      </c>
      <c r="S772" s="79">
        <v>79.735990000000001</v>
      </c>
      <c r="T772" s="79">
        <v>79.590999999999994</v>
      </c>
      <c r="U772" s="79">
        <v>113.71339999999999</v>
      </c>
      <c r="V772" s="79"/>
      <c r="W772" s="79">
        <v>8.2504030000000004</v>
      </c>
      <c r="X772" s="79"/>
      <c r="Y772" s="79"/>
      <c r="Z772" s="79">
        <v>88.883579999999995</v>
      </c>
      <c r="AA772" s="79">
        <v>72.687430000000006</v>
      </c>
      <c r="AB772" s="79"/>
      <c r="AC772" s="79">
        <v>48.376429999999999</v>
      </c>
      <c r="AD772" s="79"/>
      <c r="AE772" s="79">
        <v>53.716180000000001</v>
      </c>
      <c r="AF772" s="79">
        <v>64.29204</v>
      </c>
      <c r="AG772" s="79">
        <v>56.620939999999997</v>
      </c>
      <c r="AH772" s="79">
        <v>51.520829999999997</v>
      </c>
      <c r="AI772" s="79"/>
      <c r="AJ772" s="79">
        <v>81.079610000000002</v>
      </c>
      <c r="AK772" s="79"/>
      <c r="AL772" s="79"/>
      <c r="AM772" s="79">
        <v>56.312890000000003</v>
      </c>
      <c r="AN772" s="79"/>
      <c r="AO772" s="79">
        <v>47.319890000000001</v>
      </c>
      <c r="AP772" s="79">
        <v>63.996139999999997</v>
      </c>
      <c r="AQ772" s="79"/>
      <c r="AR772" s="79"/>
      <c r="AS772" s="79"/>
      <c r="AT772" s="79"/>
      <c r="AU772" s="79"/>
      <c r="AV772" s="79"/>
      <c r="AW772" s="79"/>
      <c r="AX772" s="79"/>
      <c r="AY772" s="79">
        <v>58.958979999999997</v>
      </c>
    </row>
    <row r="773" spans="1:51" x14ac:dyDescent="0.2">
      <c r="A773" t="s">
        <v>1318</v>
      </c>
      <c r="B773" s="1">
        <v>30407</v>
      </c>
      <c r="C773" s="78">
        <v>773</v>
      </c>
      <c r="E773" s="1">
        <f t="shared" si="24"/>
        <v>30407</v>
      </c>
      <c r="F773" s="2">
        <f t="shared" si="25"/>
        <v>30407</v>
      </c>
      <c r="G773" s="78">
        <v>771</v>
      </c>
      <c r="H773" s="79"/>
      <c r="I773" s="79"/>
      <c r="J773" s="79">
        <v>51.646999999999998</v>
      </c>
      <c r="K773" s="79">
        <v>52.20879</v>
      </c>
      <c r="L773" s="79"/>
      <c r="M773" s="79"/>
      <c r="N773" s="79">
        <v>57.150440000000003</v>
      </c>
      <c r="O773" s="79">
        <v>65.660679999999999</v>
      </c>
      <c r="P773" s="79">
        <v>82.809039999999996</v>
      </c>
      <c r="Q773" s="79"/>
      <c r="R773" s="79">
        <v>54.144939999999998</v>
      </c>
      <c r="S773" s="79">
        <v>79.247309999999999</v>
      </c>
      <c r="T773" s="79">
        <v>80.469920000000002</v>
      </c>
      <c r="U773" s="79">
        <v>117.92100000000001</v>
      </c>
      <c r="V773" s="79"/>
      <c r="W773" s="79">
        <v>8.0930400000000002</v>
      </c>
      <c r="X773" s="79"/>
      <c r="Y773" s="79"/>
      <c r="Z773" s="79">
        <v>88.411429999999996</v>
      </c>
      <c r="AA773" s="79">
        <v>72.687430000000006</v>
      </c>
      <c r="AB773" s="79"/>
      <c r="AC773" s="79">
        <v>51.367260000000002</v>
      </c>
      <c r="AD773" s="79"/>
      <c r="AE773" s="79">
        <v>53.57159</v>
      </c>
      <c r="AF773" s="79">
        <v>64.29204</v>
      </c>
      <c r="AG773" s="79">
        <v>62.226970000000001</v>
      </c>
      <c r="AH773" s="79">
        <v>51.905369999999998</v>
      </c>
      <c r="AI773" s="79"/>
      <c r="AJ773" s="79">
        <v>79.875259999999997</v>
      </c>
      <c r="AK773" s="79"/>
      <c r="AL773" s="79"/>
      <c r="AM773" s="79">
        <v>57.806910000000002</v>
      </c>
      <c r="AN773" s="79"/>
      <c r="AO773" s="79">
        <v>47.898209999999999</v>
      </c>
      <c r="AP773" s="79">
        <v>63.76643</v>
      </c>
      <c r="AQ773" s="79"/>
      <c r="AR773" s="79"/>
      <c r="AS773" s="79"/>
      <c r="AT773" s="79"/>
      <c r="AU773" s="79"/>
      <c r="AV773" s="79"/>
      <c r="AW773" s="79"/>
      <c r="AX773" s="79"/>
      <c r="AY773" s="79">
        <v>58.40549</v>
      </c>
    </row>
    <row r="774" spans="1:51" x14ac:dyDescent="0.2">
      <c r="A774" t="s">
        <v>1319</v>
      </c>
      <c r="B774" s="1">
        <v>30437</v>
      </c>
      <c r="C774" s="78">
        <v>774</v>
      </c>
      <c r="E774" s="1">
        <f t="shared" si="24"/>
        <v>30437</v>
      </c>
      <c r="F774" s="2">
        <f t="shared" si="25"/>
        <v>30437</v>
      </c>
      <c r="G774" s="78">
        <v>772</v>
      </c>
      <c r="H774" s="79"/>
      <c r="I774" s="79"/>
      <c r="J774" s="79">
        <v>51.326439999999998</v>
      </c>
      <c r="K774" s="79">
        <v>52.539140000000003</v>
      </c>
      <c r="L774" s="79"/>
      <c r="M774" s="79"/>
      <c r="N774" s="79">
        <v>56.780140000000003</v>
      </c>
      <c r="O774" s="79">
        <v>66.286029999999997</v>
      </c>
      <c r="P774" s="79">
        <v>83.443280000000001</v>
      </c>
      <c r="Q774" s="79"/>
      <c r="R774" s="79">
        <v>54.804009999999998</v>
      </c>
      <c r="S774" s="79">
        <v>79.898889999999994</v>
      </c>
      <c r="T774" s="79">
        <v>81.4465</v>
      </c>
      <c r="U774" s="79">
        <v>107.99299999999999</v>
      </c>
      <c r="V774" s="79"/>
      <c r="W774" s="79">
        <v>8.2054419999999997</v>
      </c>
      <c r="X774" s="79"/>
      <c r="Y774" s="79"/>
      <c r="Z774" s="79">
        <v>87.113</v>
      </c>
      <c r="AA774" s="79">
        <v>73.023949999999999</v>
      </c>
      <c r="AB774" s="79"/>
      <c r="AC774" s="79">
        <v>51.697369999999999</v>
      </c>
      <c r="AD774" s="79"/>
      <c r="AE774" s="79">
        <v>52.993209999999998</v>
      </c>
      <c r="AF774" s="79">
        <v>66.301159999999996</v>
      </c>
      <c r="AG774" s="79">
        <v>59.423960000000001</v>
      </c>
      <c r="AH774" s="79">
        <v>52.01444</v>
      </c>
      <c r="AI774" s="79"/>
      <c r="AJ774" s="79">
        <v>79.188900000000004</v>
      </c>
      <c r="AK774" s="79"/>
      <c r="AL774" s="79"/>
      <c r="AM774" s="79">
        <v>57.462139999999998</v>
      </c>
      <c r="AN774" s="79"/>
      <c r="AO774" s="79">
        <v>48.225650000000002</v>
      </c>
      <c r="AP774" s="79">
        <v>63.897689999999997</v>
      </c>
      <c r="AQ774" s="79"/>
      <c r="AR774" s="79"/>
      <c r="AS774" s="79"/>
      <c r="AT774" s="79"/>
      <c r="AU774" s="79"/>
      <c r="AV774" s="79"/>
      <c r="AW774" s="79"/>
      <c r="AX774" s="79"/>
      <c r="AY774" s="79">
        <v>60.065289999999997</v>
      </c>
    </row>
    <row r="775" spans="1:51" x14ac:dyDescent="0.2">
      <c r="A775" t="s">
        <v>1320</v>
      </c>
      <c r="B775" s="1">
        <v>30468</v>
      </c>
      <c r="C775" s="78">
        <v>775</v>
      </c>
      <c r="E775" s="1">
        <f t="shared" si="24"/>
        <v>30468</v>
      </c>
      <c r="F775" s="2">
        <f t="shared" si="25"/>
        <v>30468</v>
      </c>
      <c r="G775" s="78">
        <v>773</v>
      </c>
      <c r="H775" s="79"/>
      <c r="I775" s="79"/>
      <c r="J775" s="79">
        <v>51.947369999999999</v>
      </c>
      <c r="K775" s="79">
        <v>54.154690000000002</v>
      </c>
      <c r="L775" s="79"/>
      <c r="M775" s="79"/>
      <c r="N775" s="79">
        <v>58.693379999999998</v>
      </c>
      <c r="O775" s="79">
        <v>66.911360000000002</v>
      </c>
      <c r="P775" s="79">
        <v>83.180040000000005</v>
      </c>
      <c r="Q775" s="79"/>
      <c r="R775" s="79">
        <v>55.56447</v>
      </c>
      <c r="S775" s="79">
        <v>79.898889999999994</v>
      </c>
      <c r="T775" s="79">
        <v>80.274600000000007</v>
      </c>
      <c r="U775" s="79">
        <v>115.6263</v>
      </c>
      <c r="V775" s="79"/>
      <c r="W775" s="79">
        <v>8.4302489999999999</v>
      </c>
      <c r="X775" s="79"/>
      <c r="Y775" s="79"/>
      <c r="Z775" s="79">
        <v>87.467119999999994</v>
      </c>
      <c r="AA775" s="79">
        <v>73.781109999999998</v>
      </c>
      <c r="AB775" s="79"/>
      <c r="AC775" s="79">
        <v>50.33099</v>
      </c>
      <c r="AD775" s="79"/>
      <c r="AE775" s="79">
        <v>52.993209999999998</v>
      </c>
      <c r="AF775" s="79">
        <v>63.622329999999998</v>
      </c>
      <c r="AG775" s="79">
        <v>60.545169999999999</v>
      </c>
      <c r="AH775" s="79">
        <v>52.438009999999998</v>
      </c>
      <c r="AI775" s="79"/>
      <c r="AJ775" s="79">
        <v>81.228300000000004</v>
      </c>
      <c r="AK775" s="79"/>
      <c r="AL775" s="79"/>
      <c r="AM775" s="79">
        <v>57.806910000000002</v>
      </c>
      <c r="AN775" s="79"/>
      <c r="AO775" s="79">
        <v>48.514279999999999</v>
      </c>
      <c r="AP775" s="79">
        <v>64.381709999999998</v>
      </c>
      <c r="AQ775" s="79"/>
      <c r="AR775" s="79"/>
      <c r="AS775" s="79"/>
      <c r="AT775" s="79"/>
      <c r="AU775" s="79"/>
      <c r="AV775" s="79"/>
      <c r="AW775" s="79"/>
      <c r="AX775" s="79"/>
      <c r="AY775" s="79">
        <v>58.010460000000002</v>
      </c>
    </row>
    <row r="776" spans="1:51" x14ac:dyDescent="0.2">
      <c r="A776" t="s">
        <v>1321</v>
      </c>
      <c r="B776" s="1">
        <v>30498</v>
      </c>
      <c r="C776" s="78">
        <v>776</v>
      </c>
      <c r="E776" s="1">
        <f t="shared" si="24"/>
        <v>30498</v>
      </c>
      <c r="F776" s="2">
        <f t="shared" si="25"/>
        <v>30498</v>
      </c>
      <c r="G776" s="78">
        <v>774</v>
      </c>
      <c r="H776" s="79"/>
      <c r="I776" s="79"/>
      <c r="J776" s="79">
        <v>52.332459999999998</v>
      </c>
      <c r="K776" s="79">
        <v>54.152810000000002</v>
      </c>
      <c r="L776" s="79"/>
      <c r="M776" s="79"/>
      <c r="N776" s="79">
        <v>56.039529999999999</v>
      </c>
      <c r="O776" s="79">
        <v>65.660679999999999</v>
      </c>
      <c r="P776" s="79">
        <v>81.976730000000003</v>
      </c>
      <c r="Q776" s="79"/>
      <c r="R776" s="79">
        <v>53.080289999999998</v>
      </c>
      <c r="S776" s="79">
        <v>78.677189999999996</v>
      </c>
      <c r="T776" s="79">
        <v>81.544160000000005</v>
      </c>
      <c r="U776" s="79">
        <v>116.4465</v>
      </c>
      <c r="V776" s="79"/>
      <c r="W776" s="79">
        <v>8.9697849999999999</v>
      </c>
      <c r="X776" s="79"/>
      <c r="Y776" s="79"/>
      <c r="Z776" s="79">
        <v>89.8279</v>
      </c>
      <c r="AA776" s="79">
        <v>73.528720000000007</v>
      </c>
      <c r="AB776" s="79"/>
      <c r="AC776" s="79">
        <v>51.869900000000001</v>
      </c>
      <c r="AD776" s="79"/>
      <c r="AE776" s="79">
        <v>53.065510000000003</v>
      </c>
      <c r="AF776" s="79">
        <v>64.29204</v>
      </c>
      <c r="AG776" s="79">
        <v>61.666370000000001</v>
      </c>
      <c r="AH776" s="79">
        <v>52.539549999999998</v>
      </c>
      <c r="AI776" s="79"/>
      <c r="AJ776" s="79">
        <v>78.874679999999998</v>
      </c>
      <c r="AK776" s="79"/>
      <c r="AL776" s="79"/>
      <c r="AM776" s="79">
        <v>59.243459999999999</v>
      </c>
      <c r="AN776" s="79"/>
      <c r="AO776" s="79">
        <v>49.248489999999997</v>
      </c>
      <c r="AP776" s="79">
        <v>64.028949999999995</v>
      </c>
      <c r="AQ776" s="79"/>
      <c r="AR776" s="79"/>
      <c r="AS776" s="79"/>
      <c r="AT776" s="79"/>
      <c r="AU776" s="79"/>
      <c r="AV776" s="79"/>
      <c r="AW776" s="79"/>
      <c r="AX776" s="79"/>
      <c r="AY776" s="79">
        <v>57.864989999999999</v>
      </c>
    </row>
    <row r="777" spans="1:51" x14ac:dyDescent="0.2">
      <c r="A777" t="s">
        <v>1322</v>
      </c>
      <c r="B777" s="1">
        <v>30529</v>
      </c>
      <c r="C777" s="78">
        <v>777</v>
      </c>
      <c r="E777" s="1">
        <f t="shared" si="24"/>
        <v>30529</v>
      </c>
      <c r="F777" s="2">
        <f t="shared" si="25"/>
        <v>30529</v>
      </c>
      <c r="G777" s="78">
        <v>775</v>
      </c>
      <c r="H777" s="79"/>
      <c r="I777" s="79"/>
      <c r="J777" s="79">
        <v>53.221420000000002</v>
      </c>
      <c r="K777" s="79">
        <v>55.524470000000001</v>
      </c>
      <c r="L777" s="79"/>
      <c r="M777" s="79"/>
      <c r="N777" s="79">
        <v>56.594990000000003</v>
      </c>
      <c r="O777" s="79">
        <v>66.286029999999997</v>
      </c>
      <c r="P777" s="79">
        <v>82.297089999999997</v>
      </c>
      <c r="Q777" s="79"/>
      <c r="R777" s="79">
        <v>55.412379999999999</v>
      </c>
      <c r="S777" s="79">
        <v>78.677189999999996</v>
      </c>
      <c r="T777" s="79">
        <v>81.641819999999996</v>
      </c>
      <c r="U777" s="79">
        <v>118.8584</v>
      </c>
      <c r="V777" s="79"/>
      <c r="W777" s="79">
        <v>8.6100940000000001</v>
      </c>
      <c r="X777" s="79"/>
      <c r="Y777" s="79"/>
      <c r="Z777" s="79">
        <v>91.244370000000004</v>
      </c>
      <c r="AA777" s="79">
        <v>75.211299999999994</v>
      </c>
      <c r="AB777" s="79"/>
      <c r="AC777" s="79">
        <v>51.942990000000002</v>
      </c>
      <c r="AD777" s="79"/>
      <c r="AE777" s="79">
        <v>52.920920000000002</v>
      </c>
      <c r="AF777" s="79">
        <v>63.622329999999998</v>
      </c>
      <c r="AG777" s="79">
        <v>60.545169999999999</v>
      </c>
      <c r="AH777" s="79">
        <v>53.064410000000002</v>
      </c>
      <c r="AI777" s="79"/>
      <c r="AJ777" s="79">
        <v>77.645840000000007</v>
      </c>
      <c r="AK777" s="79"/>
      <c r="AL777" s="79"/>
      <c r="AM777" s="79">
        <v>57.864370000000001</v>
      </c>
      <c r="AN777" s="79"/>
      <c r="AO777" s="79">
        <v>49.798000000000002</v>
      </c>
      <c r="AP777" s="79">
        <v>64.365300000000005</v>
      </c>
      <c r="AQ777" s="79"/>
      <c r="AR777" s="79"/>
      <c r="AS777" s="79"/>
      <c r="AT777" s="79"/>
      <c r="AU777" s="79"/>
      <c r="AV777" s="79"/>
      <c r="AW777" s="79"/>
      <c r="AX777" s="79"/>
      <c r="AY777" s="79">
        <v>59.200519999999997</v>
      </c>
    </row>
    <row r="778" spans="1:51" x14ac:dyDescent="0.2">
      <c r="A778" t="s">
        <v>1323</v>
      </c>
      <c r="B778" s="1">
        <v>30560</v>
      </c>
      <c r="C778" s="78">
        <v>778</v>
      </c>
      <c r="E778" s="1">
        <f t="shared" si="24"/>
        <v>30560</v>
      </c>
      <c r="F778" s="2">
        <f t="shared" si="25"/>
        <v>30560</v>
      </c>
      <c r="G778" s="78">
        <v>776</v>
      </c>
      <c r="H778" s="79"/>
      <c r="I778" s="79"/>
      <c r="J778" s="79">
        <v>51.489229999999999</v>
      </c>
      <c r="K778" s="79">
        <v>56.648960000000002</v>
      </c>
      <c r="L778" s="79"/>
      <c r="M778" s="79"/>
      <c r="N778" s="79">
        <v>58.076210000000003</v>
      </c>
      <c r="O778" s="79">
        <v>68.162040000000005</v>
      </c>
      <c r="P778" s="79">
        <v>83.743160000000003</v>
      </c>
      <c r="Q778" s="79"/>
      <c r="R778" s="79">
        <v>55.463079999999998</v>
      </c>
      <c r="S778" s="79">
        <v>79.491650000000007</v>
      </c>
      <c r="T778" s="79">
        <v>82.032449999999997</v>
      </c>
      <c r="U778" s="79">
        <v>114.5971</v>
      </c>
      <c r="V778" s="79"/>
      <c r="W778" s="79">
        <v>8.5201720000000005</v>
      </c>
      <c r="X778" s="79"/>
      <c r="Y778" s="79"/>
      <c r="Z778" s="79">
        <v>89.355739999999997</v>
      </c>
      <c r="AA778" s="79">
        <v>76.220849999999999</v>
      </c>
      <c r="AB778" s="79"/>
      <c r="AC778" s="79">
        <v>53.193849999999998</v>
      </c>
      <c r="AD778" s="79"/>
      <c r="AE778" s="79">
        <v>53.210099999999997</v>
      </c>
      <c r="AF778" s="79">
        <v>63.622329999999998</v>
      </c>
      <c r="AG778" s="79">
        <v>61.10577</v>
      </c>
      <c r="AH778" s="79">
        <v>53.649439999999998</v>
      </c>
      <c r="AI778" s="79"/>
      <c r="AJ778" s="79">
        <v>80.456689999999995</v>
      </c>
      <c r="AK778" s="79"/>
      <c r="AL778" s="79"/>
      <c r="AM778" s="79">
        <v>58.611379999999997</v>
      </c>
      <c r="AN778" s="79"/>
      <c r="AO778" s="79">
        <v>50.551909999999999</v>
      </c>
      <c r="AP778" s="79">
        <v>65.029790000000006</v>
      </c>
      <c r="AQ778" s="79"/>
      <c r="AR778" s="79"/>
      <c r="AS778" s="79"/>
      <c r="AT778" s="79"/>
      <c r="AU778" s="79"/>
      <c r="AV778" s="79"/>
      <c r="AW778" s="79"/>
      <c r="AX778" s="79"/>
      <c r="AY778" s="79">
        <v>58.946959999999997</v>
      </c>
    </row>
    <row r="779" spans="1:51" x14ac:dyDescent="0.2">
      <c r="A779" t="s">
        <v>1324</v>
      </c>
      <c r="B779" s="1">
        <v>30590</v>
      </c>
      <c r="C779" s="78">
        <v>779</v>
      </c>
      <c r="E779" s="1">
        <f t="shared" si="24"/>
        <v>30590</v>
      </c>
      <c r="F779" s="2">
        <f t="shared" si="25"/>
        <v>30590</v>
      </c>
      <c r="G779" s="78">
        <v>777</v>
      </c>
      <c r="H779" s="79"/>
      <c r="I779" s="79"/>
      <c r="J779" s="79">
        <v>52.710380000000001</v>
      </c>
      <c r="K779" s="79">
        <v>56.144280000000002</v>
      </c>
      <c r="L779" s="79"/>
      <c r="M779" s="79"/>
      <c r="N779" s="79">
        <v>57.891060000000003</v>
      </c>
      <c r="O779" s="79">
        <v>66.911360000000002</v>
      </c>
      <c r="P779" s="79">
        <v>82.780119999999997</v>
      </c>
      <c r="Q779" s="79"/>
      <c r="R779" s="79">
        <v>54.956099999999999</v>
      </c>
      <c r="S779" s="79">
        <v>78.75864</v>
      </c>
      <c r="T779" s="79">
        <v>82.81371</v>
      </c>
      <c r="U779" s="79">
        <v>114.65900000000001</v>
      </c>
      <c r="V779" s="79"/>
      <c r="W779" s="79">
        <v>8.7000170000000008</v>
      </c>
      <c r="X779" s="79"/>
      <c r="Y779" s="79"/>
      <c r="Z779" s="79">
        <v>89.8279</v>
      </c>
      <c r="AA779" s="79">
        <v>75.884330000000006</v>
      </c>
      <c r="AB779" s="79"/>
      <c r="AC779" s="79">
        <v>54.219650000000001</v>
      </c>
      <c r="AD779" s="79"/>
      <c r="AE779" s="79">
        <v>53.57159</v>
      </c>
      <c r="AF779" s="79">
        <v>63.622329999999998</v>
      </c>
      <c r="AG779" s="79">
        <v>62.226970000000001</v>
      </c>
      <c r="AH779" s="79">
        <v>53.813200000000002</v>
      </c>
      <c r="AI779" s="79"/>
      <c r="AJ779" s="79">
        <v>80.169200000000004</v>
      </c>
      <c r="AK779" s="79"/>
      <c r="AL779" s="79"/>
      <c r="AM779" s="79">
        <v>59.703159999999997</v>
      </c>
      <c r="AN779" s="79"/>
      <c r="AO779" s="79">
        <v>50.972230000000003</v>
      </c>
      <c r="AP779" s="79">
        <v>64.841099999999997</v>
      </c>
      <c r="AQ779" s="79"/>
      <c r="AR779" s="79"/>
      <c r="AS779" s="79"/>
      <c r="AT779" s="79"/>
      <c r="AU779" s="79"/>
      <c r="AV779" s="79"/>
      <c r="AW779" s="79"/>
      <c r="AX779" s="79"/>
      <c r="AY779" s="79">
        <v>59.507800000000003</v>
      </c>
    </row>
    <row r="780" spans="1:51" x14ac:dyDescent="0.2">
      <c r="A780" t="s">
        <v>1325</v>
      </c>
      <c r="B780" s="1">
        <v>30621</v>
      </c>
      <c r="C780" s="78">
        <v>780</v>
      </c>
      <c r="E780" s="1">
        <f t="shared" si="24"/>
        <v>30621</v>
      </c>
      <c r="F780" s="2">
        <f t="shared" si="25"/>
        <v>30621</v>
      </c>
      <c r="G780" s="78">
        <v>778</v>
      </c>
      <c r="H780" s="79"/>
      <c r="I780" s="79"/>
      <c r="J780" s="79">
        <v>53.996769999999998</v>
      </c>
      <c r="K780" s="79">
        <v>56.901310000000002</v>
      </c>
      <c r="L780" s="79"/>
      <c r="M780" s="79"/>
      <c r="N780" s="79">
        <v>58.631659999999997</v>
      </c>
      <c r="O780" s="79">
        <v>67.536709999999999</v>
      </c>
      <c r="P780" s="79">
        <v>83.086340000000007</v>
      </c>
      <c r="Q780" s="79"/>
      <c r="R780" s="79">
        <v>55.868659999999998</v>
      </c>
      <c r="S780" s="79">
        <v>80.713350000000005</v>
      </c>
      <c r="T780" s="79">
        <v>82.716049999999996</v>
      </c>
      <c r="U780" s="79">
        <v>116.2454</v>
      </c>
      <c r="V780" s="79"/>
      <c r="W780" s="79">
        <v>8.5651329999999994</v>
      </c>
      <c r="X780" s="79"/>
      <c r="Y780" s="79"/>
      <c r="Z780" s="79">
        <v>91.480450000000005</v>
      </c>
      <c r="AA780" s="79">
        <v>76.641490000000005</v>
      </c>
      <c r="AB780" s="79"/>
      <c r="AC780" s="79">
        <v>55.673110000000001</v>
      </c>
      <c r="AD780" s="79"/>
      <c r="AE780" s="79">
        <v>53.426990000000004</v>
      </c>
      <c r="AF780" s="79">
        <v>64.961749999999995</v>
      </c>
      <c r="AG780" s="79">
        <v>61.666370000000001</v>
      </c>
      <c r="AH780" s="79">
        <v>54.221519999999998</v>
      </c>
      <c r="AI780" s="79"/>
      <c r="AJ780" s="79">
        <v>78.838629999999995</v>
      </c>
      <c r="AK780" s="79"/>
      <c r="AL780" s="79"/>
      <c r="AM780" s="79">
        <v>59.760620000000003</v>
      </c>
      <c r="AN780" s="79"/>
      <c r="AO780" s="79">
        <v>51.150399999999998</v>
      </c>
      <c r="AP780" s="79">
        <v>65.47278</v>
      </c>
      <c r="AQ780" s="79"/>
      <c r="AR780" s="79"/>
      <c r="AS780" s="79"/>
      <c r="AT780" s="79"/>
      <c r="AU780" s="79"/>
      <c r="AV780" s="79"/>
      <c r="AW780" s="79"/>
      <c r="AX780" s="79"/>
      <c r="AY780" s="79">
        <v>59.847969999999997</v>
      </c>
    </row>
    <row r="781" spans="1:51" x14ac:dyDescent="0.2">
      <c r="A781" t="s">
        <v>1326</v>
      </c>
      <c r="B781" s="1">
        <v>30651</v>
      </c>
      <c r="C781" s="78">
        <v>781</v>
      </c>
      <c r="E781" s="1">
        <f t="shared" si="24"/>
        <v>30651</v>
      </c>
      <c r="F781" s="2">
        <f t="shared" si="25"/>
        <v>30651</v>
      </c>
      <c r="G781" s="78">
        <v>779</v>
      </c>
      <c r="H781" s="79"/>
      <c r="I781" s="79"/>
      <c r="J781" s="79">
        <v>52.29383</v>
      </c>
      <c r="K781" s="79">
        <v>58.626339999999999</v>
      </c>
      <c r="L781" s="79"/>
      <c r="M781" s="79"/>
      <c r="N781" s="79">
        <v>59.804299999999998</v>
      </c>
      <c r="O781" s="79">
        <v>70.038060000000002</v>
      </c>
      <c r="P781" s="79">
        <v>85.056880000000007</v>
      </c>
      <c r="Q781" s="79"/>
      <c r="R781" s="79">
        <v>53.840760000000003</v>
      </c>
      <c r="S781" s="79">
        <v>81.120580000000004</v>
      </c>
      <c r="T781" s="79">
        <v>83.106679999999997</v>
      </c>
      <c r="U781" s="79">
        <v>116.9944</v>
      </c>
      <c r="V781" s="79"/>
      <c r="W781" s="79">
        <v>9.2170719999999999</v>
      </c>
      <c r="X781" s="79"/>
      <c r="Y781" s="79"/>
      <c r="Z781" s="79">
        <v>91.834569999999999</v>
      </c>
      <c r="AA781" s="79">
        <v>77.651039999999995</v>
      </c>
      <c r="AB781" s="79"/>
      <c r="AC781" s="79">
        <v>55.807360000000003</v>
      </c>
      <c r="AD781" s="79"/>
      <c r="AE781" s="79">
        <v>54.439140000000002</v>
      </c>
      <c r="AF781" s="79">
        <v>66.301159999999996</v>
      </c>
      <c r="AG781" s="79">
        <v>62.787579999999998</v>
      </c>
      <c r="AH781" s="79">
        <v>54.733350000000002</v>
      </c>
      <c r="AI781" s="79"/>
      <c r="AJ781" s="79">
        <v>80.265500000000003</v>
      </c>
      <c r="AK781" s="79"/>
      <c r="AL781" s="79"/>
      <c r="AM781" s="79">
        <v>59.473309999999998</v>
      </c>
      <c r="AN781" s="79"/>
      <c r="AO781" s="79">
        <v>51.420200000000001</v>
      </c>
      <c r="AP781" s="79">
        <v>66.194689999999994</v>
      </c>
      <c r="AQ781" s="79"/>
      <c r="AR781" s="79"/>
      <c r="AS781" s="79"/>
      <c r="AT781" s="79"/>
      <c r="AU781" s="79"/>
      <c r="AV781" s="79"/>
      <c r="AW781" s="79"/>
      <c r="AX781" s="79"/>
      <c r="AY781" s="79">
        <v>60.607320000000001</v>
      </c>
    </row>
    <row r="782" spans="1:51" x14ac:dyDescent="0.2">
      <c r="A782" t="s">
        <v>1327</v>
      </c>
      <c r="B782" s="1">
        <v>30682</v>
      </c>
      <c r="C782" s="78">
        <v>782</v>
      </c>
      <c r="E782" s="1">
        <f t="shared" si="24"/>
        <v>30682</v>
      </c>
      <c r="F782" s="2">
        <f t="shared" si="25"/>
        <v>30682</v>
      </c>
      <c r="G782" s="78">
        <v>780</v>
      </c>
      <c r="H782" s="79"/>
      <c r="I782" s="79"/>
      <c r="J782" s="79">
        <v>53.205919999999999</v>
      </c>
      <c r="K782" s="79">
        <v>58.254170000000002</v>
      </c>
      <c r="L782" s="79"/>
      <c r="M782" s="79"/>
      <c r="N782" s="79">
        <v>59.063690000000001</v>
      </c>
      <c r="O782" s="79">
        <v>70.663409999999999</v>
      </c>
      <c r="P782" s="79">
        <v>84.976749999999996</v>
      </c>
      <c r="Q782" s="79"/>
      <c r="R782" s="79">
        <v>55.817959999999999</v>
      </c>
      <c r="S782" s="79">
        <v>81.446370000000002</v>
      </c>
      <c r="T782" s="79">
        <v>84.376230000000007</v>
      </c>
      <c r="U782" s="79">
        <v>117.9161</v>
      </c>
      <c r="V782" s="79"/>
      <c r="W782" s="79">
        <v>8.8124210000000005</v>
      </c>
      <c r="X782" s="79"/>
      <c r="Y782" s="79"/>
      <c r="Z782" s="79">
        <v>92.306719999999999</v>
      </c>
      <c r="AA782" s="79">
        <v>78.239940000000004</v>
      </c>
      <c r="AB782" s="79"/>
      <c r="AC782" s="79">
        <v>55.065390000000001</v>
      </c>
      <c r="AD782" s="79"/>
      <c r="AE782" s="79">
        <v>54.366840000000003</v>
      </c>
      <c r="AF782" s="79">
        <v>67.64058</v>
      </c>
      <c r="AG782" s="79">
        <v>64.469390000000004</v>
      </c>
      <c r="AH782" s="79">
        <v>55.303910000000002</v>
      </c>
      <c r="AI782" s="79"/>
      <c r="AJ782" s="79">
        <v>80.582449999999994</v>
      </c>
      <c r="AK782" s="79"/>
      <c r="AL782" s="79"/>
      <c r="AM782" s="79">
        <v>60.794939999999997</v>
      </c>
      <c r="AN782" s="79"/>
      <c r="AO782" s="79">
        <v>52.444589999999998</v>
      </c>
      <c r="AP782" s="79">
        <v>65.768109999999993</v>
      </c>
      <c r="AQ782" s="79"/>
      <c r="AR782" s="79"/>
      <c r="AS782" s="79"/>
      <c r="AT782" s="79"/>
      <c r="AU782" s="79"/>
      <c r="AV782" s="79"/>
      <c r="AW782" s="79"/>
      <c r="AX782" s="79"/>
      <c r="AY782" s="79">
        <v>59.395519999999998</v>
      </c>
    </row>
    <row r="783" spans="1:51" x14ac:dyDescent="0.2">
      <c r="A783" t="s">
        <v>1328</v>
      </c>
      <c r="B783" s="1">
        <v>30713</v>
      </c>
      <c r="C783" s="78">
        <v>783</v>
      </c>
      <c r="E783" s="1">
        <f t="shared" si="24"/>
        <v>30713</v>
      </c>
      <c r="F783" s="2">
        <f t="shared" si="25"/>
        <v>30713</v>
      </c>
      <c r="G783" s="78">
        <v>781</v>
      </c>
      <c r="H783" s="79"/>
      <c r="I783" s="79"/>
      <c r="J783" s="79">
        <v>52.98836</v>
      </c>
      <c r="K783" s="79">
        <v>58.057279999999999</v>
      </c>
      <c r="L783" s="79"/>
      <c r="M783" s="79"/>
      <c r="N783" s="79">
        <v>59.619149999999998</v>
      </c>
      <c r="O783" s="79">
        <v>70.038060000000002</v>
      </c>
      <c r="P783" s="79">
        <v>84.200969999999998</v>
      </c>
      <c r="Q783" s="79"/>
      <c r="R783" s="79">
        <v>55.15889</v>
      </c>
      <c r="S783" s="79">
        <v>81.202029999999993</v>
      </c>
      <c r="T783" s="79">
        <v>83.594970000000004</v>
      </c>
      <c r="U783" s="79">
        <v>112.3087</v>
      </c>
      <c r="V783" s="79"/>
      <c r="W783" s="79">
        <v>8.9248239999999992</v>
      </c>
      <c r="X783" s="79"/>
      <c r="Y783" s="79"/>
      <c r="Z783" s="79">
        <v>88.883579999999995</v>
      </c>
      <c r="AA783" s="79">
        <v>80.174899999999994</v>
      </c>
      <c r="AB783" s="79"/>
      <c r="AC783" s="79">
        <v>55.954520000000002</v>
      </c>
      <c r="AD783" s="79"/>
      <c r="AE783" s="79">
        <v>54.222250000000003</v>
      </c>
      <c r="AF783" s="79">
        <v>66.970870000000005</v>
      </c>
      <c r="AG783" s="79">
        <v>62.226970000000001</v>
      </c>
      <c r="AH783" s="79">
        <v>55.41216</v>
      </c>
      <c r="AI783" s="79"/>
      <c r="AJ783" s="79">
        <v>82.497020000000006</v>
      </c>
      <c r="AK783" s="79"/>
      <c r="AL783" s="79"/>
      <c r="AM783" s="79">
        <v>60.622549999999997</v>
      </c>
      <c r="AN783" s="79"/>
      <c r="AO783" s="79">
        <v>52.669539999999998</v>
      </c>
      <c r="AP783" s="79">
        <v>65.579430000000002</v>
      </c>
      <c r="AQ783" s="79"/>
      <c r="AR783" s="79"/>
      <c r="AS783" s="79"/>
      <c r="AT783" s="79"/>
      <c r="AU783" s="79"/>
      <c r="AV783" s="79"/>
      <c r="AW783" s="79"/>
      <c r="AX783" s="79"/>
      <c r="AY783" s="79">
        <v>61.7224</v>
      </c>
    </row>
    <row r="784" spans="1:51" x14ac:dyDescent="0.2">
      <c r="A784" t="s">
        <v>1329</v>
      </c>
      <c r="B784" s="1">
        <v>30742</v>
      </c>
      <c r="C784" s="78">
        <v>784</v>
      </c>
      <c r="E784" s="1">
        <f t="shared" si="24"/>
        <v>30742</v>
      </c>
      <c r="F784" s="2">
        <f t="shared" si="25"/>
        <v>30742</v>
      </c>
      <c r="G784" s="78">
        <v>782</v>
      </c>
      <c r="H784" s="79"/>
      <c r="I784" s="79"/>
      <c r="J784" s="79">
        <v>53.113419999999998</v>
      </c>
      <c r="K784" s="79">
        <v>58.888550000000002</v>
      </c>
      <c r="L784" s="79"/>
      <c r="M784" s="79"/>
      <c r="N784" s="79">
        <v>58.693379999999998</v>
      </c>
      <c r="O784" s="79">
        <v>71.914090000000002</v>
      </c>
      <c r="P784" s="79">
        <v>82.779120000000006</v>
      </c>
      <c r="Q784" s="79"/>
      <c r="R784" s="79">
        <v>55.665869999999998</v>
      </c>
      <c r="S784" s="79">
        <v>81.039140000000003</v>
      </c>
      <c r="T784" s="79">
        <v>82.520740000000004</v>
      </c>
      <c r="U784" s="79">
        <v>118.43470000000001</v>
      </c>
      <c r="V784" s="79"/>
      <c r="W784" s="79">
        <v>9.1271500000000003</v>
      </c>
      <c r="X784" s="79"/>
      <c r="Y784" s="79"/>
      <c r="Z784" s="79">
        <v>90.53613</v>
      </c>
      <c r="AA784" s="79">
        <v>79.50188</v>
      </c>
      <c r="AB784" s="79"/>
      <c r="AC784" s="79">
        <v>55.927680000000002</v>
      </c>
      <c r="AD784" s="79"/>
      <c r="AE784" s="79">
        <v>54.800620000000002</v>
      </c>
      <c r="AF784" s="79">
        <v>68.310289999999995</v>
      </c>
      <c r="AG784" s="79">
        <v>62.787579999999998</v>
      </c>
      <c r="AH784" s="79">
        <v>55.412680000000002</v>
      </c>
      <c r="AI784" s="79"/>
      <c r="AJ784" s="79">
        <v>78.851699999999994</v>
      </c>
      <c r="AK784" s="79"/>
      <c r="AL784" s="79"/>
      <c r="AM784" s="79">
        <v>60.335239999999999</v>
      </c>
      <c r="AN784" s="79"/>
      <c r="AO784" s="79">
        <v>52.929070000000003</v>
      </c>
      <c r="AP784" s="79">
        <v>65.407150000000001</v>
      </c>
      <c r="AQ784" s="79"/>
      <c r="AR784" s="79"/>
      <c r="AS784" s="79"/>
      <c r="AT784" s="79"/>
      <c r="AU784" s="79"/>
      <c r="AV784" s="79"/>
      <c r="AW784" s="79"/>
      <c r="AX784" s="79"/>
      <c r="AY784" s="79">
        <v>58.8949</v>
      </c>
    </row>
    <row r="785" spans="1:51" x14ac:dyDescent="0.2">
      <c r="A785" t="s">
        <v>1330</v>
      </c>
      <c r="B785" s="1">
        <v>30773</v>
      </c>
      <c r="C785" s="78">
        <v>785</v>
      </c>
      <c r="E785" s="1">
        <f t="shared" si="24"/>
        <v>30773</v>
      </c>
      <c r="F785" s="2">
        <f t="shared" si="25"/>
        <v>30773</v>
      </c>
      <c r="G785" s="78">
        <v>783</v>
      </c>
      <c r="H785" s="79"/>
      <c r="I785" s="79"/>
      <c r="J785" s="79">
        <v>52.77778</v>
      </c>
      <c r="K785" s="79">
        <v>60.653060000000004</v>
      </c>
      <c r="L785" s="79"/>
      <c r="M785" s="79"/>
      <c r="N785" s="79">
        <v>58.261360000000003</v>
      </c>
      <c r="O785" s="79">
        <v>70.038060000000002</v>
      </c>
      <c r="P785" s="79">
        <v>83.635549999999995</v>
      </c>
      <c r="Q785" s="79"/>
      <c r="R785" s="79">
        <v>56.071449999999999</v>
      </c>
      <c r="S785" s="79">
        <v>79.735990000000001</v>
      </c>
      <c r="T785" s="79">
        <v>80.958209999999994</v>
      </c>
      <c r="U785" s="79">
        <v>116.18129999999999</v>
      </c>
      <c r="V785" s="79"/>
      <c r="W785" s="79">
        <v>9.2845139999999997</v>
      </c>
      <c r="X785" s="79"/>
      <c r="Y785" s="79"/>
      <c r="Z785" s="79">
        <v>89.473789999999994</v>
      </c>
      <c r="AA785" s="79">
        <v>79.249489999999994</v>
      </c>
      <c r="AB785" s="79"/>
      <c r="AC785" s="79">
        <v>56.610660000000003</v>
      </c>
      <c r="AD785" s="79"/>
      <c r="AE785" s="79">
        <v>55.378990000000002</v>
      </c>
      <c r="AF785" s="79">
        <v>67.64058</v>
      </c>
      <c r="AG785" s="79">
        <v>62.787579999999998</v>
      </c>
      <c r="AH785" s="79">
        <v>55.416139999999999</v>
      </c>
      <c r="AI785" s="79"/>
      <c r="AJ785" s="79">
        <v>78.843810000000005</v>
      </c>
      <c r="AK785" s="79"/>
      <c r="AL785" s="79"/>
      <c r="AM785" s="79">
        <v>60.967320000000001</v>
      </c>
      <c r="AN785" s="79"/>
      <c r="AO785" s="79">
        <v>53.261600000000001</v>
      </c>
      <c r="AP785" s="79">
        <v>65.341520000000003</v>
      </c>
      <c r="AQ785" s="79"/>
      <c r="AR785" s="79"/>
      <c r="AS785" s="79"/>
      <c r="AT785" s="79"/>
      <c r="AU785" s="79"/>
      <c r="AV785" s="79"/>
      <c r="AW785" s="79"/>
      <c r="AX785" s="79"/>
      <c r="AY785" s="79">
        <v>61.357840000000003</v>
      </c>
    </row>
    <row r="786" spans="1:51" x14ac:dyDescent="0.2">
      <c r="A786" t="s">
        <v>1331</v>
      </c>
      <c r="B786" s="1">
        <v>30803</v>
      </c>
      <c r="C786" s="78">
        <v>786</v>
      </c>
      <c r="E786" s="1">
        <f t="shared" si="24"/>
        <v>30803</v>
      </c>
      <c r="F786" s="2">
        <f t="shared" si="25"/>
        <v>30803</v>
      </c>
      <c r="G786" s="78">
        <v>784</v>
      </c>
      <c r="H786" s="79"/>
      <c r="I786" s="79"/>
      <c r="J786" s="79">
        <v>53.82056</v>
      </c>
      <c r="K786" s="79">
        <v>61.398330000000001</v>
      </c>
      <c r="L786" s="79"/>
      <c r="M786" s="79"/>
      <c r="N786" s="79">
        <v>58.693379999999998</v>
      </c>
      <c r="O786" s="79">
        <v>73.790099999999995</v>
      </c>
      <c r="P786" s="79">
        <v>83.350229999999996</v>
      </c>
      <c r="Q786" s="79"/>
      <c r="R786" s="79">
        <v>56.477029999999999</v>
      </c>
      <c r="S786" s="79">
        <v>81.8536</v>
      </c>
      <c r="T786" s="79">
        <v>80.469920000000002</v>
      </c>
      <c r="U786" s="79">
        <v>117.33320000000001</v>
      </c>
      <c r="V786" s="79"/>
      <c r="W786" s="79">
        <v>9.3069950000000006</v>
      </c>
      <c r="X786" s="79"/>
      <c r="Y786" s="79"/>
      <c r="Z786" s="79">
        <v>93.251040000000003</v>
      </c>
      <c r="AA786" s="79">
        <v>80.679680000000005</v>
      </c>
      <c r="AB786" s="79"/>
      <c r="AC786" s="79">
        <v>57.026490000000003</v>
      </c>
      <c r="AD786" s="79"/>
      <c r="AE786" s="79">
        <v>54.872920000000001</v>
      </c>
      <c r="AF786" s="79">
        <v>67.64058</v>
      </c>
      <c r="AG786" s="79">
        <v>65.590590000000006</v>
      </c>
      <c r="AH786" s="79">
        <v>55.973059999999997</v>
      </c>
      <c r="AI786" s="79"/>
      <c r="AJ786" s="79">
        <v>81.394919999999999</v>
      </c>
      <c r="AK786" s="79"/>
      <c r="AL786" s="79"/>
      <c r="AM786" s="79">
        <v>62.748649999999998</v>
      </c>
      <c r="AN786" s="79"/>
      <c r="AO786" s="79">
        <v>53.513919999999999</v>
      </c>
      <c r="AP786" s="79">
        <v>66.366969999999995</v>
      </c>
      <c r="AQ786" s="79"/>
      <c r="AR786" s="79"/>
      <c r="AS786" s="79"/>
      <c r="AT786" s="79"/>
      <c r="AU786" s="79"/>
      <c r="AV786" s="79"/>
      <c r="AW786" s="79"/>
      <c r="AX786" s="79"/>
      <c r="AY786" s="79">
        <v>63.288710000000002</v>
      </c>
    </row>
    <row r="787" spans="1:51" x14ac:dyDescent="0.2">
      <c r="A787" t="s">
        <v>1332</v>
      </c>
      <c r="B787" s="1">
        <v>30834</v>
      </c>
      <c r="C787" s="78">
        <v>787</v>
      </c>
      <c r="E787" s="1">
        <f t="shared" si="24"/>
        <v>30834</v>
      </c>
      <c r="F787" s="2">
        <f t="shared" si="25"/>
        <v>30834</v>
      </c>
      <c r="G787" s="78">
        <v>785</v>
      </c>
      <c r="H787" s="79"/>
      <c r="I787" s="79"/>
      <c r="J787" s="79">
        <v>53.50855</v>
      </c>
      <c r="K787" s="79">
        <v>61.408200000000001</v>
      </c>
      <c r="L787" s="79"/>
      <c r="M787" s="79"/>
      <c r="N787" s="79">
        <v>53.138809999999999</v>
      </c>
      <c r="O787" s="79">
        <v>70.663409999999999</v>
      </c>
      <c r="P787" s="79">
        <v>83.418009999999995</v>
      </c>
      <c r="Q787" s="79"/>
      <c r="R787" s="79">
        <v>56.679819999999999</v>
      </c>
      <c r="S787" s="79">
        <v>79.898889999999994</v>
      </c>
      <c r="T787" s="79">
        <v>81.055869999999999</v>
      </c>
      <c r="U787" s="79">
        <v>116.8409</v>
      </c>
      <c r="V787" s="79"/>
      <c r="W787" s="79">
        <v>9.9589339999999993</v>
      </c>
      <c r="X787" s="79"/>
      <c r="Y787" s="79"/>
      <c r="Z787" s="79">
        <v>93.723200000000006</v>
      </c>
      <c r="AA787" s="79">
        <v>81.184460000000001</v>
      </c>
      <c r="AB787" s="79"/>
      <c r="AC787" s="79">
        <v>59.110129999999998</v>
      </c>
      <c r="AD787" s="79"/>
      <c r="AE787" s="79">
        <v>56.174250000000001</v>
      </c>
      <c r="AF787" s="79">
        <v>68.98</v>
      </c>
      <c r="AG787" s="79">
        <v>63.908790000000003</v>
      </c>
      <c r="AH787" s="79">
        <v>55.581499999999998</v>
      </c>
      <c r="AI787" s="79"/>
      <c r="AJ787" s="79">
        <v>80.834000000000003</v>
      </c>
      <c r="AK787" s="79"/>
      <c r="AL787" s="79"/>
      <c r="AM787" s="79">
        <v>61.484490000000001</v>
      </c>
      <c r="AN787" s="79"/>
      <c r="AO787" s="79">
        <v>53.700650000000003</v>
      </c>
      <c r="AP787" s="79">
        <v>63.028109999999998</v>
      </c>
      <c r="AQ787" s="79"/>
      <c r="AR787" s="79"/>
      <c r="AS787" s="79"/>
      <c r="AT787" s="79"/>
      <c r="AU787" s="79"/>
      <c r="AV787" s="79"/>
      <c r="AW787" s="79"/>
      <c r="AX787" s="79"/>
      <c r="AY787" s="79">
        <v>64.309200000000004</v>
      </c>
    </row>
    <row r="788" spans="1:51" x14ac:dyDescent="0.2">
      <c r="A788" t="s">
        <v>1333</v>
      </c>
      <c r="B788" s="1">
        <v>30864</v>
      </c>
      <c r="C788" s="78">
        <v>788</v>
      </c>
      <c r="E788" s="1">
        <f t="shared" si="24"/>
        <v>30864</v>
      </c>
      <c r="F788" s="2">
        <f t="shared" si="25"/>
        <v>30864</v>
      </c>
      <c r="G788" s="78">
        <v>786</v>
      </c>
      <c r="H788" s="79"/>
      <c r="I788" s="79"/>
      <c r="J788" s="79">
        <v>53.100479999999997</v>
      </c>
      <c r="K788" s="79">
        <v>62.308549999999997</v>
      </c>
      <c r="L788" s="79"/>
      <c r="M788" s="79"/>
      <c r="N788" s="79">
        <v>59.680860000000003</v>
      </c>
      <c r="O788" s="79">
        <v>74.415440000000004</v>
      </c>
      <c r="P788" s="79">
        <v>83.869060000000005</v>
      </c>
      <c r="Q788" s="79"/>
      <c r="R788" s="79">
        <v>57.28819</v>
      </c>
      <c r="S788" s="79">
        <v>81.283479999999997</v>
      </c>
      <c r="T788" s="79">
        <v>79.786320000000003</v>
      </c>
      <c r="U788" s="79">
        <v>111.97199999999999</v>
      </c>
      <c r="V788" s="79"/>
      <c r="W788" s="79">
        <v>9.5992440000000006</v>
      </c>
      <c r="X788" s="79"/>
      <c r="Y788" s="79"/>
      <c r="Z788" s="79">
        <v>90.772220000000004</v>
      </c>
      <c r="AA788" s="79">
        <v>81.184460000000001</v>
      </c>
      <c r="AB788" s="79"/>
      <c r="AC788" s="79">
        <v>57.217170000000003</v>
      </c>
      <c r="AD788" s="79"/>
      <c r="AE788" s="79">
        <v>56.897219999999997</v>
      </c>
      <c r="AF788" s="79">
        <v>66.970870000000005</v>
      </c>
      <c r="AG788" s="79">
        <v>62.787579999999998</v>
      </c>
      <c r="AH788" s="79">
        <v>56.27075</v>
      </c>
      <c r="AI788" s="79"/>
      <c r="AJ788" s="79">
        <v>84.888800000000003</v>
      </c>
      <c r="AK788" s="79"/>
      <c r="AL788" s="79"/>
      <c r="AM788" s="79">
        <v>60.680019999999999</v>
      </c>
      <c r="AN788" s="79"/>
      <c r="AO788" s="79">
        <v>53.869410000000002</v>
      </c>
      <c r="AP788" s="79">
        <v>66.645889999999994</v>
      </c>
      <c r="AQ788" s="79"/>
      <c r="AR788" s="79"/>
      <c r="AS788" s="79"/>
      <c r="AT788" s="79"/>
      <c r="AU788" s="79"/>
      <c r="AV788" s="79"/>
      <c r="AW788" s="79"/>
      <c r="AX788" s="79"/>
      <c r="AY788" s="79">
        <v>63.917929999999998</v>
      </c>
    </row>
    <row r="789" spans="1:51" x14ac:dyDescent="0.2">
      <c r="A789" t="s">
        <v>1334</v>
      </c>
      <c r="B789" s="1">
        <v>30895</v>
      </c>
      <c r="C789" s="78">
        <v>789</v>
      </c>
      <c r="E789" s="1">
        <f t="shared" si="24"/>
        <v>30895</v>
      </c>
      <c r="F789" s="2">
        <f t="shared" si="25"/>
        <v>30895</v>
      </c>
      <c r="G789" s="78">
        <v>787</v>
      </c>
      <c r="H789" s="79"/>
      <c r="I789" s="79"/>
      <c r="J789" s="79">
        <v>53.57246</v>
      </c>
      <c r="K789" s="79">
        <v>62.371519999999997</v>
      </c>
      <c r="L789" s="79"/>
      <c r="M789" s="79"/>
      <c r="N789" s="79">
        <v>59.063690000000001</v>
      </c>
      <c r="O789" s="79">
        <v>75.040779999999998</v>
      </c>
      <c r="P789" s="79">
        <v>87.592100000000002</v>
      </c>
      <c r="Q789" s="79"/>
      <c r="R789" s="79">
        <v>56.730510000000002</v>
      </c>
      <c r="S789" s="79">
        <v>81.283479999999997</v>
      </c>
      <c r="T789" s="79">
        <v>79.493350000000007</v>
      </c>
      <c r="U789" s="79">
        <v>126.54349999999999</v>
      </c>
      <c r="V789" s="79"/>
      <c r="W789" s="79">
        <v>8.8573819999999994</v>
      </c>
      <c r="X789" s="79"/>
      <c r="Y789" s="79"/>
      <c r="Z789" s="79">
        <v>96.320059999999998</v>
      </c>
      <c r="AA789" s="79">
        <v>82.362260000000006</v>
      </c>
      <c r="AB789" s="79"/>
      <c r="AC789" s="79">
        <v>59.341099999999997</v>
      </c>
      <c r="AD789" s="79"/>
      <c r="AE789" s="79">
        <v>56.96951</v>
      </c>
      <c r="AF789" s="79">
        <v>68.98</v>
      </c>
      <c r="AG789" s="79">
        <v>63.908790000000003</v>
      </c>
      <c r="AH789" s="79">
        <v>56.74465</v>
      </c>
      <c r="AI789" s="79"/>
      <c r="AJ789" s="79">
        <v>83.309100000000001</v>
      </c>
      <c r="AK789" s="79"/>
      <c r="AL789" s="79"/>
      <c r="AM789" s="79">
        <v>62.346420000000002</v>
      </c>
      <c r="AN789" s="79"/>
      <c r="AO789" s="79">
        <v>53.920699999999997</v>
      </c>
      <c r="AP789" s="79">
        <v>68.114329999999995</v>
      </c>
      <c r="AQ789" s="79"/>
      <c r="AR789" s="79"/>
      <c r="AS789" s="79"/>
      <c r="AT789" s="79"/>
      <c r="AU789" s="79"/>
      <c r="AV789" s="79"/>
      <c r="AW789" s="79"/>
      <c r="AX789" s="79"/>
      <c r="AY789" s="79">
        <v>63.538469999999997</v>
      </c>
    </row>
    <row r="790" spans="1:51" x14ac:dyDescent="0.2">
      <c r="A790" t="s">
        <v>1335</v>
      </c>
      <c r="B790" s="1">
        <v>30926</v>
      </c>
      <c r="C790" s="78">
        <v>790</v>
      </c>
      <c r="E790" s="1">
        <f t="shared" si="24"/>
        <v>30926</v>
      </c>
      <c r="F790" s="2">
        <f t="shared" si="25"/>
        <v>30926</v>
      </c>
      <c r="G790" s="78">
        <v>788</v>
      </c>
      <c r="H790" s="79"/>
      <c r="I790" s="79"/>
      <c r="J790" s="79">
        <v>54.238340000000001</v>
      </c>
      <c r="K790" s="79">
        <v>61.323619999999998</v>
      </c>
      <c r="L790" s="79"/>
      <c r="M790" s="79"/>
      <c r="N790" s="79">
        <v>60.29804</v>
      </c>
      <c r="O790" s="79">
        <v>75.040779999999998</v>
      </c>
      <c r="P790" s="79">
        <v>84.331440000000001</v>
      </c>
      <c r="Q790" s="79"/>
      <c r="R790" s="79">
        <v>56.88261</v>
      </c>
      <c r="S790" s="79">
        <v>81.120580000000004</v>
      </c>
      <c r="T790" s="79">
        <v>80.860550000000003</v>
      </c>
      <c r="U790" s="79">
        <v>120.79810000000001</v>
      </c>
      <c r="V790" s="79"/>
      <c r="W790" s="79">
        <v>9.7341280000000001</v>
      </c>
      <c r="X790" s="79"/>
      <c r="Y790" s="79"/>
      <c r="Z790" s="79">
        <v>94.431430000000006</v>
      </c>
      <c r="AA790" s="79">
        <v>81.184460000000001</v>
      </c>
      <c r="AB790" s="79"/>
      <c r="AC790" s="79">
        <v>60.813209999999998</v>
      </c>
      <c r="AD790" s="79"/>
      <c r="AE790" s="79">
        <v>58.198549999999997</v>
      </c>
      <c r="AF790" s="79">
        <v>68.310289999999995</v>
      </c>
      <c r="AG790" s="79">
        <v>66.151200000000003</v>
      </c>
      <c r="AH790" s="79">
        <v>56.686059999999998</v>
      </c>
      <c r="AI790" s="79"/>
      <c r="AJ790" s="79">
        <v>84.075620000000001</v>
      </c>
      <c r="AK790" s="79"/>
      <c r="AL790" s="79"/>
      <c r="AM790" s="79">
        <v>63.323270000000001</v>
      </c>
      <c r="AN790" s="79"/>
      <c r="AO790" s="79">
        <v>53.825229999999998</v>
      </c>
      <c r="AP790" s="79">
        <v>67.8108</v>
      </c>
      <c r="AQ790" s="79"/>
      <c r="AR790" s="79"/>
      <c r="AS790" s="79"/>
      <c r="AT790" s="79"/>
      <c r="AU790" s="79"/>
      <c r="AV790" s="79"/>
      <c r="AW790" s="79"/>
      <c r="AX790" s="79"/>
      <c r="AY790" s="79">
        <v>63.16583</v>
      </c>
    </row>
    <row r="791" spans="1:51" x14ac:dyDescent="0.2">
      <c r="A791" t="s">
        <v>1336</v>
      </c>
      <c r="B791" s="1">
        <v>30956</v>
      </c>
      <c r="C791" s="78">
        <v>791</v>
      </c>
      <c r="E791" s="1">
        <f t="shared" si="24"/>
        <v>30956</v>
      </c>
      <c r="F791" s="2">
        <f t="shared" si="25"/>
        <v>30956</v>
      </c>
      <c r="G791" s="78">
        <v>789</v>
      </c>
      <c r="H791" s="79"/>
      <c r="I791" s="79"/>
      <c r="J791" s="79">
        <v>53.651980000000002</v>
      </c>
      <c r="K791" s="79">
        <v>62.57593</v>
      </c>
      <c r="L791" s="79"/>
      <c r="M791" s="79"/>
      <c r="N791" s="79">
        <v>60.051169999999999</v>
      </c>
      <c r="O791" s="79">
        <v>75.666120000000006</v>
      </c>
      <c r="P791" s="79">
        <v>84.540260000000004</v>
      </c>
      <c r="Q791" s="79"/>
      <c r="R791" s="79">
        <v>57.845860000000002</v>
      </c>
      <c r="S791" s="79">
        <v>81.446370000000002</v>
      </c>
      <c r="T791" s="79">
        <v>80.958209999999994</v>
      </c>
      <c r="U791" s="79">
        <v>120.17400000000001</v>
      </c>
      <c r="V791" s="79"/>
      <c r="W791" s="79">
        <v>9.5318009999999997</v>
      </c>
      <c r="X791" s="79"/>
      <c r="Y791" s="79"/>
      <c r="Z791" s="79">
        <v>93.959270000000004</v>
      </c>
      <c r="AA791" s="79">
        <v>83.54007</v>
      </c>
      <c r="AB791" s="79"/>
      <c r="AC791" s="79">
        <v>56.149679999999996</v>
      </c>
      <c r="AD791" s="79"/>
      <c r="AE791" s="79">
        <v>56.174250000000001</v>
      </c>
      <c r="AF791" s="79">
        <v>66.301159999999996</v>
      </c>
      <c r="AG791" s="79">
        <v>65.590590000000006</v>
      </c>
      <c r="AH791" s="79">
        <v>56.76887</v>
      </c>
      <c r="AI791" s="79"/>
      <c r="AJ791" s="79">
        <v>81.810010000000005</v>
      </c>
      <c r="AK791" s="79"/>
      <c r="AL791" s="79"/>
      <c r="AM791" s="79">
        <v>63.782969999999999</v>
      </c>
      <c r="AN791" s="79"/>
      <c r="AO791" s="79">
        <v>53.73657</v>
      </c>
      <c r="AP791" s="79">
        <v>67.211939999999998</v>
      </c>
      <c r="AQ791" s="79"/>
      <c r="AR791" s="79"/>
      <c r="AS791" s="79"/>
      <c r="AT791" s="79"/>
      <c r="AU791" s="79"/>
      <c r="AV791" s="79"/>
      <c r="AW791" s="79"/>
      <c r="AX791" s="79"/>
      <c r="AY791" s="79">
        <v>64.064639999999997</v>
      </c>
    </row>
    <row r="792" spans="1:51" x14ac:dyDescent="0.2">
      <c r="A792" t="s">
        <v>1337</v>
      </c>
      <c r="B792" s="1">
        <v>30987</v>
      </c>
      <c r="C792" s="78">
        <v>792</v>
      </c>
      <c r="E792" s="1">
        <f t="shared" si="24"/>
        <v>30987</v>
      </c>
      <c r="F792" s="2">
        <f t="shared" si="25"/>
        <v>30987</v>
      </c>
      <c r="G792" s="78">
        <v>790</v>
      </c>
      <c r="H792" s="79"/>
      <c r="I792" s="79"/>
      <c r="J792" s="79">
        <v>52.439779999999999</v>
      </c>
      <c r="K792" s="79">
        <v>62.377160000000003</v>
      </c>
      <c r="L792" s="79"/>
      <c r="M792" s="79"/>
      <c r="N792" s="79">
        <v>60.544910000000002</v>
      </c>
      <c r="O792" s="79">
        <v>76.291470000000004</v>
      </c>
      <c r="P792" s="79">
        <v>83.449449999999999</v>
      </c>
      <c r="Q792" s="79"/>
      <c r="R792" s="79">
        <v>58.657020000000003</v>
      </c>
      <c r="S792" s="79">
        <v>80.224670000000003</v>
      </c>
      <c r="T792" s="79">
        <v>80.469920000000002</v>
      </c>
      <c r="U792" s="79">
        <v>116.88930000000001</v>
      </c>
      <c r="V792" s="79"/>
      <c r="W792" s="79">
        <v>9.7790890000000008</v>
      </c>
      <c r="X792" s="79"/>
      <c r="Y792" s="79"/>
      <c r="Z792" s="79">
        <v>91.834569999999999</v>
      </c>
      <c r="AA792" s="79">
        <v>83.54007</v>
      </c>
      <c r="AB792" s="79"/>
      <c r="AC792" s="79">
        <v>60.415509999999998</v>
      </c>
      <c r="AD792" s="79"/>
      <c r="AE792" s="79">
        <v>57.69247</v>
      </c>
      <c r="AF792" s="79">
        <v>67.64058</v>
      </c>
      <c r="AG792" s="79">
        <v>66.151200000000003</v>
      </c>
      <c r="AH792" s="79">
        <v>56.821159999999999</v>
      </c>
      <c r="AI792" s="79"/>
      <c r="AJ792" s="79">
        <v>85.03801</v>
      </c>
      <c r="AK792" s="79"/>
      <c r="AL792" s="79"/>
      <c r="AM792" s="79">
        <v>63.955359999999999</v>
      </c>
      <c r="AN792" s="79"/>
      <c r="AO792" s="79">
        <v>53.948650000000001</v>
      </c>
      <c r="AP792" s="79">
        <v>66.949420000000003</v>
      </c>
      <c r="AQ792" s="79"/>
      <c r="AR792" s="79"/>
      <c r="AS792" s="79"/>
      <c r="AT792" s="79"/>
      <c r="AU792" s="79"/>
      <c r="AV792" s="79"/>
      <c r="AW792" s="79"/>
      <c r="AX792" s="79"/>
      <c r="AY792" s="79">
        <v>64.684759999999997</v>
      </c>
    </row>
    <row r="793" spans="1:51" x14ac:dyDescent="0.2">
      <c r="A793" t="s">
        <v>1338</v>
      </c>
      <c r="B793" s="1">
        <v>31017</v>
      </c>
      <c r="C793" s="78">
        <v>793</v>
      </c>
      <c r="E793" s="1">
        <f t="shared" si="24"/>
        <v>31017</v>
      </c>
      <c r="F793" s="2">
        <f t="shared" si="25"/>
        <v>31017</v>
      </c>
      <c r="G793" s="78">
        <v>791</v>
      </c>
      <c r="H793" s="79"/>
      <c r="I793" s="79"/>
      <c r="J793" s="79">
        <v>55.47437</v>
      </c>
      <c r="K793" s="79">
        <v>62.455159999999999</v>
      </c>
      <c r="L793" s="79"/>
      <c r="M793" s="79"/>
      <c r="N793" s="79">
        <v>60.915210000000002</v>
      </c>
      <c r="O793" s="79">
        <v>76.916799999999995</v>
      </c>
      <c r="P793" s="79">
        <v>84.216740000000001</v>
      </c>
      <c r="Q793" s="79"/>
      <c r="R793" s="79">
        <v>60.076549999999997</v>
      </c>
      <c r="S793" s="79">
        <v>80.224670000000003</v>
      </c>
      <c r="T793" s="79">
        <v>81.837130000000002</v>
      </c>
      <c r="U793" s="79">
        <v>113.1407</v>
      </c>
      <c r="V793" s="79"/>
      <c r="W793" s="79">
        <v>10.0039</v>
      </c>
      <c r="X793" s="79"/>
      <c r="Y793" s="79"/>
      <c r="Z793" s="79">
        <v>93.959270000000004</v>
      </c>
      <c r="AA793" s="79">
        <v>83.035290000000003</v>
      </c>
      <c r="AB793" s="79"/>
      <c r="AC793" s="79">
        <v>62.025190000000002</v>
      </c>
      <c r="AD793" s="79"/>
      <c r="AE793" s="79">
        <v>58.632330000000003</v>
      </c>
      <c r="AF793" s="79">
        <v>66.301159999999996</v>
      </c>
      <c r="AG793" s="79">
        <v>65.029989999999998</v>
      </c>
      <c r="AH793" s="79">
        <v>57.093679999999999</v>
      </c>
      <c r="AI793" s="79"/>
      <c r="AJ793" s="79">
        <v>81.396159999999995</v>
      </c>
      <c r="AK793" s="79"/>
      <c r="AL793" s="79"/>
      <c r="AM793" s="79">
        <v>65.794139999999999</v>
      </c>
      <c r="AN793" s="79"/>
      <c r="AO793" s="79">
        <v>54.009070000000001</v>
      </c>
      <c r="AP793" s="79">
        <v>67.802599999999998</v>
      </c>
      <c r="AQ793" s="79"/>
      <c r="AR793" s="79"/>
      <c r="AS793" s="79"/>
      <c r="AT793" s="79"/>
      <c r="AU793" s="79"/>
      <c r="AV793" s="79"/>
      <c r="AW793" s="79"/>
      <c r="AX793" s="79"/>
      <c r="AY793" s="79">
        <v>66.17989</v>
      </c>
    </row>
    <row r="794" spans="1:51" x14ac:dyDescent="0.2">
      <c r="A794" t="s">
        <v>1339</v>
      </c>
      <c r="B794" s="1">
        <v>31048</v>
      </c>
      <c r="C794" s="78">
        <v>794</v>
      </c>
      <c r="E794" s="1">
        <f t="shared" si="24"/>
        <v>31048</v>
      </c>
      <c r="F794" s="2">
        <f t="shared" si="25"/>
        <v>31048</v>
      </c>
      <c r="G794" s="78">
        <v>792</v>
      </c>
      <c r="H794" s="79"/>
      <c r="I794" s="79"/>
      <c r="J794" s="79">
        <v>52.974539999999998</v>
      </c>
      <c r="K794" s="79">
        <v>62.978639999999999</v>
      </c>
      <c r="L794" s="79"/>
      <c r="M794" s="79"/>
      <c r="N794" s="79">
        <v>60.915210000000002</v>
      </c>
      <c r="O794" s="79">
        <v>75.220830000000007</v>
      </c>
      <c r="P794" s="79">
        <v>84.46378</v>
      </c>
      <c r="Q794" s="79"/>
      <c r="R794" s="79">
        <v>58.254330000000003</v>
      </c>
      <c r="S794" s="79">
        <v>80.85051</v>
      </c>
      <c r="T794" s="79">
        <v>83.301990000000004</v>
      </c>
      <c r="U794" s="79">
        <v>118.0658</v>
      </c>
      <c r="V794" s="79">
        <v>44.224080000000001</v>
      </c>
      <c r="W794" s="79">
        <v>9.8240499999999997</v>
      </c>
      <c r="X794" s="79"/>
      <c r="Y794" s="79"/>
      <c r="Z794" s="79">
        <v>90.654169999999993</v>
      </c>
      <c r="AA794" s="79">
        <v>83.876580000000004</v>
      </c>
      <c r="AB794" s="79"/>
      <c r="AC794" s="79">
        <v>63.307569999999998</v>
      </c>
      <c r="AD794" s="79"/>
      <c r="AE794" s="79">
        <v>58.560029999999998</v>
      </c>
      <c r="AF794" s="79">
        <v>76.366879999999995</v>
      </c>
      <c r="AG794" s="79">
        <v>66.151200000000003</v>
      </c>
      <c r="AH794" s="79">
        <v>57.376460000000002</v>
      </c>
      <c r="AI794" s="79">
        <v>34.931840000000001</v>
      </c>
      <c r="AJ794" s="79">
        <v>82.645120000000006</v>
      </c>
      <c r="AK794" s="79"/>
      <c r="AL794" s="79"/>
      <c r="AM794" s="79">
        <v>63.495660000000001</v>
      </c>
      <c r="AN794" s="79"/>
      <c r="AO794" s="79">
        <v>53.922809999999998</v>
      </c>
      <c r="AP794" s="79">
        <v>68.367840000000001</v>
      </c>
      <c r="AQ794" s="79"/>
      <c r="AR794" s="79"/>
      <c r="AS794" s="79"/>
      <c r="AT794" s="79"/>
      <c r="AU794" s="79"/>
      <c r="AV794" s="79"/>
      <c r="AW794" s="79"/>
      <c r="AX794" s="79">
        <v>23.564260000000001</v>
      </c>
      <c r="AY794" s="79">
        <v>66.56053</v>
      </c>
    </row>
    <row r="795" spans="1:51" x14ac:dyDescent="0.2">
      <c r="A795" t="s">
        <v>1340</v>
      </c>
      <c r="B795" s="1">
        <v>31079</v>
      </c>
      <c r="C795" s="78">
        <v>795</v>
      </c>
      <c r="E795" s="1">
        <f t="shared" si="24"/>
        <v>31079</v>
      </c>
      <c r="F795" s="2">
        <f t="shared" si="25"/>
        <v>31079</v>
      </c>
      <c r="G795" s="78">
        <v>793</v>
      </c>
      <c r="H795" s="79"/>
      <c r="I795" s="79"/>
      <c r="J795" s="79">
        <v>53.917090000000002</v>
      </c>
      <c r="K795" s="79">
        <v>63.761980000000001</v>
      </c>
      <c r="L795" s="79"/>
      <c r="M795" s="79"/>
      <c r="N795" s="79">
        <v>60.976930000000003</v>
      </c>
      <c r="O795" s="79">
        <v>75.873980000000003</v>
      </c>
      <c r="P795" s="79">
        <v>84.117040000000003</v>
      </c>
      <c r="Q795" s="79"/>
      <c r="R795" s="79">
        <v>58.726500000000001</v>
      </c>
      <c r="S795" s="79">
        <v>82.23021</v>
      </c>
      <c r="T795" s="79">
        <v>83.301990000000004</v>
      </c>
      <c r="U795" s="79">
        <v>118.3518</v>
      </c>
      <c r="V795" s="79">
        <v>44.089790000000001</v>
      </c>
      <c r="W795" s="79">
        <v>9.6891660000000002</v>
      </c>
      <c r="X795" s="79"/>
      <c r="Y795" s="79"/>
      <c r="Z795" s="79">
        <v>94.785550000000001</v>
      </c>
      <c r="AA795" s="79">
        <v>83.624200000000002</v>
      </c>
      <c r="AB795" s="79"/>
      <c r="AC795" s="79">
        <v>56.765689999999999</v>
      </c>
      <c r="AD795" s="79"/>
      <c r="AE795" s="79">
        <v>59.716769999999997</v>
      </c>
      <c r="AF795" s="79">
        <v>72.124279999999999</v>
      </c>
      <c r="AG795" s="79">
        <v>66.711799999999997</v>
      </c>
      <c r="AH795" s="79">
        <v>57.582340000000002</v>
      </c>
      <c r="AI795" s="79">
        <v>34.69247</v>
      </c>
      <c r="AJ795" s="79">
        <v>80.361530000000002</v>
      </c>
      <c r="AK795" s="79"/>
      <c r="AL795" s="79"/>
      <c r="AM795" s="79">
        <v>62.921039999999998</v>
      </c>
      <c r="AN795" s="79"/>
      <c r="AO795" s="79">
        <v>54.107709999999997</v>
      </c>
      <c r="AP795" s="79">
        <v>68.110709999999997</v>
      </c>
      <c r="AQ795" s="79"/>
      <c r="AR795" s="79"/>
      <c r="AS795" s="79"/>
      <c r="AT795" s="79"/>
      <c r="AU795" s="79"/>
      <c r="AV795" s="79"/>
      <c r="AW795" s="79"/>
      <c r="AX795" s="79">
        <v>21.97871</v>
      </c>
      <c r="AY795" s="79">
        <v>65.301119999999997</v>
      </c>
    </row>
    <row r="796" spans="1:51" x14ac:dyDescent="0.2">
      <c r="A796" t="s">
        <v>1341</v>
      </c>
      <c r="B796" s="1">
        <v>31107</v>
      </c>
      <c r="C796" s="78">
        <v>796</v>
      </c>
      <c r="E796" s="1">
        <f t="shared" si="24"/>
        <v>31107</v>
      </c>
      <c r="F796" s="2">
        <f t="shared" si="25"/>
        <v>31107</v>
      </c>
      <c r="G796" s="78">
        <v>794</v>
      </c>
      <c r="H796" s="79"/>
      <c r="I796" s="79"/>
      <c r="J796" s="79">
        <v>54.493319999999997</v>
      </c>
      <c r="K796" s="79">
        <v>64.082459999999998</v>
      </c>
      <c r="L796" s="79"/>
      <c r="M796" s="79"/>
      <c r="N796" s="79">
        <v>61.532389999999999</v>
      </c>
      <c r="O796" s="79">
        <v>70.104510000000005</v>
      </c>
      <c r="P796" s="79">
        <v>84.546580000000006</v>
      </c>
      <c r="Q796" s="79"/>
      <c r="R796" s="79">
        <v>60.674210000000002</v>
      </c>
      <c r="S796" s="79">
        <v>82.598129999999998</v>
      </c>
      <c r="T796" s="79">
        <v>85.352810000000005</v>
      </c>
      <c r="U796" s="79">
        <v>118.53570000000001</v>
      </c>
      <c r="V796" s="79">
        <v>45.074539999999999</v>
      </c>
      <c r="W796" s="79">
        <v>10.318619999999999</v>
      </c>
      <c r="X796" s="79"/>
      <c r="Y796" s="79"/>
      <c r="Z796" s="79">
        <v>93.487120000000004</v>
      </c>
      <c r="AA796" s="79">
        <v>82.951160000000002</v>
      </c>
      <c r="AB796" s="79"/>
      <c r="AC796" s="79">
        <v>63.684780000000003</v>
      </c>
      <c r="AD796" s="79"/>
      <c r="AE796" s="79">
        <v>59.572180000000003</v>
      </c>
      <c r="AF796" s="79">
        <v>71.417180000000002</v>
      </c>
      <c r="AG796" s="79">
        <v>67.833010000000002</v>
      </c>
      <c r="AH796" s="79">
        <v>57.715049999999998</v>
      </c>
      <c r="AI796" s="79">
        <v>35.742600000000003</v>
      </c>
      <c r="AJ796" s="79">
        <v>83.829459999999997</v>
      </c>
      <c r="AK796" s="79"/>
      <c r="AL796" s="79"/>
      <c r="AM796" s="79">
        <v>64.644900000000007</v>
      </c>
      <c r="AN796" s="79"/>
      <c r="AO796" s="79">
        <v>54.19502</v>
      </c>
      <c r="AP796" s="79">
        <v>68.644009999999994</v>
      </c>
      <c r="AQ796" s="79"/>
      <c r="AR796" s="79"/>
      <c r="AS796" s="79"/>
      <c r="AT796" s="79"/>
      <c r="AU796" s="79"/>
      <c r="AV796" s="79"/>
      <c r="AW796" s="79"/>
      <c r="AX796" s="79">
        <v>22.614789999999999</v>
      </c>
      <c r="AY796" s="79">
        <v>67.12039</v>
      </c>
    </row>
    <row r="797" spans="1:51" x14ac:dyDescent="0.2">
      <c r="A797" t="s">
        <v>1342</v>
      </c>
      <c r="B797" s="1">
        <v>31138</v>
      </c>
      <c r="C797" s="78">
        <v>797</v>
      </c>
      <c r="E797" s="1">
        <f t="shared" si="24"/>
        <v>31138</v>
      </c>
      <c r="F797" s="2">
        <f t="shared" si="25"/>
        <v>31138</v>
      </c>
      <c r="G797" s="78">
        <v>795</v>
      </c>
      <c r="H797" s="79"/>
      <c r="I797" s="79"/>
      <c r="J797" s="79">
        <v>54.694070000000004</v>
      </c>
      <c r="K797" s="79">
        <v>63.59328</v>
      </c>
      <c r="L797" s="79"/>
      <c r="M797" s="79"/>
      <c r="N797" s="79">
        <v>60.853499999999997</v>
      </c>
      <c r="O797" s="79">
        <v>68.689350000000005</v>
      </c>
      <c r="P797" s="79">
        <v>85.001279999999994</v>
      </c>
      <c r="Q797" s="79"/>
      <c r="R797" s="79">
        <v>59.670850000000002</v>
      </c>
      <c r="S797" s="79">
        <v>81.678330000000003</v>
      </c>
      <c r="T797" s="79">
        <v>86.134060000000005</v>
      </c>
      <c r="U797" s="79">
        <v>114.87609999999999</v>
      </c>
      <c r="V797" s="79">
        <v>43.731699999999996</v>
      </c>
      <c r="W797" s="79">
        <v>9.7341280000000001</v>
      </c>
      <c r="X797" s="79"/>
      <c r="Y797" s="79"/>
      <c r="Z797" s="79">
        <v>92.5428</v>
      </c>
      <c r="AA797" s="79">
        <v>84.297229999999999</v>
      </c>
      <c r="AB797" s="79"/>
      <c r="AC797" s="79">
        <v>62.022820000000003</v>
      </c>
      <c r="AD797" s="79"/>
      <c r="AE797" s="79">
        <v>58.921509999999998</v>
      </c>
      <c r="AF797" s="79">
        <v>69.295879999999997</v>
      </c>
      <c r="AG797" s="79">
        <v>67.272409999999994</v>
      </c>
      <c r="AH797" s="79">
        <v>57.645740000000004</v>
      </c>
      <c r="AI797" s="79">
        <v>35.12923</v>
      </c>
      <c r="AJ797" s="79">
        <v>82.236800000000002</v>
      </c>
      <c r="AK797" s="79"/>
      <c r="AL797" s="79"/>
      <c r="AM797" s="79">
        <v>64.644900000000007</v>
      </c>
      <c r="AN797" s="79"/>
      <c r="AO797" s="79">
        <v>54.047199999999997</v>
      </c>
      <c r="AP797" s="79">
        <v>67.920240000000007</v>
      </c>
      <c r="AQ797" s="79"/>
      <c r="AR797" s="79"/>
      <c r="AS797" s="79"/>
      <c r="AT797" s="79"/>
      <c r="AU797" s="79"/>
      <c r="AV797" s="79"/>
      <c r="AW797" s="79"/>
      <c r="AX797" s="79">
        <v>22.82075</v>
      </c>
      <c r="AY797" s="79">
        <v>61.875340000000001</v>
      </c>
    </row>
    <row r="798" spans="1:51" x14ac:dyDescent="0.2">
      <c r="A798" t="s">
        <v>1343</v>
      </c>
      <c r="B798" s="1">
        <v>31168</v>
      </c>
      <c r="C798" s="78">
        <v>798</v>
      </c>
      <c r="E798" s="1">
        <f t="shared" si="24"/>
        <v>31168</v>
      </c>
      <c r="F798" s="2">
        <f t="shared" si="25"/>
        <v>31168</v>
      </c>
      <c r="G798" s="78">
        <v>796</v>
      </c>
      <c r="H798" s="79"/>
      <c r="I798" s="79"/>
      <c r="J798" s="79">
        <v>54.817970000000003</v>
      </c>
      <c r="K798" s="79">
        <v>64.045330000000007</v>
      </c>
      <c r="L798" s="79"/>
      <c r="M798" s="79"/>
      <c r="N798" s="79">
        <v>61.594110000000001</v>
      </c>
      <c r="O798" s="79">
        <v>72.717089999999999</v>
      </c>
      <c r="P798" s="79">
        <v>84.578829999999996</v>
      </c>
      <c r="Q798" s="79"/>
      <c r="R798" s="79">
        <v>60.792259999999999</v>
      </c>
      <c r="S798" s="79">
        <v>82.506150000000005</v>
      </c>
      <c r="T798" s="79">
        <v>86.915329999999997</v>
      </c>
      <c r="U798" s="79">
        <v>121.1099</v>
      </c>
      <c r="V798" s="79">
        <v>44.850729999999999</v>
      </c>
      <c r="W798" s="79">
        <v>9.7566079999999999</v>
      </c>
      <c r="X798" s="79"/>
      <c r="Y798" s="79"/>
      <c r="Z798" s="79">
        <v>93.841239999999999</v>
      </c>
      <c r="AA798" s="79">
        <v>85.13852</v>
      </c>
      <c r="AB798" s="79"/>
      <c r="AC798" s="79">
        <v>60.708309999999997</v>
      </c>
      <c r="AD798" s="79"/>
      <c r="AE798" s="79">
        <v>58.560029999999998</v>
      </c>
      <c r="AF798" s="79">
        <v>70.002979999999994</v>
      </c>
      <c r="AG798" s="79">
        <v>67.272409999999994</v>
      </c>
      <c r="AH798" s="79">
        <v>58.071010000000001</v>
      </c>
      <c r="AI798" s="79">
        <v>35.089750000000002</v>
      </c>
      <c r="AJ798" s="79">
        <v>82.742739999999998</v>
      </c>
      <c r="AK798" s="79"/>
      <c r="AL798" s="79"/>
      <c r="AM798" s="79">
        <v>64.415049999999994</v>
      </c>
      <c r="AN798" s="79"/>
      <c r="AO798" s="79">
        <v>54.123559999999998</v>
      </c>
      <c r="AP798" s="79">
        <v>68.824960000000004</v>
      </c>
      <c r="AQ798" s="79"/>
      <c r="AR798" s="79"/>
      <c r="AS798" s="79"/>
      <c r="AT798" s="79"/>
      <c r="AU798" s="79"/>
      <c r="AV798" s="79"/>
      <c r="AW798" s="79"/>
      <c r="AX798" s="79">
        <v>24.948229999999999</v>
      </c>
      <c r="AY798" s="79">
        <v>65.852980000000002</v>
      </c>
    </row>
    <row r="799" spans="1:51" x14ac:dyDescent="0.2">
      <c r="A799" t="s">
        <v>1344</v>
      </c>
      <c r="B799" s="1">
        <v>31199</v>
      </c>
      <c r="C799" s="78">
        <v>799</v>
      </c>
      <c r="E799" s="1">
        <f t="shared" si="24"/>
        <v>31199</v>
      </c>
      <c r="F799" s="2">
        <f t="shared" si="25"/>
        <v>31199</v>
      </c>
      <c r="G799" s="78">
        <v>797</v>
      </c>
      <c r="H799" s="79"/>
      <c r="I799" s="79"/>
      <c r="J799" s="79">
        <v>54.780889999999999</v>
      </c>
      <c r="K799" s="79">
        <v>63.972029999999997</v>
      </c>
      <c r="L799" s="79"/>
      <c r="M799" s="79"/>
      <c r="N799" s="79">
        <v>62.334719999999997</v>
      </c>
      <c r="O799" s="79">
        <v>76.418270000000007</v>
      </c>
      <c r="P799" s="79">
        <v>83.145979999999994</v>
      </c>
      <c r="Q799" s="79"/>
      <c r="R799" s="79">
        <v>60.024979999999999</v>
      </c>
      <c r="S799" s="79">
        <v>81.310410000000005</v>
      </c>
      <c r="T799" s="79">
        <v>88.770830000000004</v>
      </c>
      <c r="U799" s="79">
        <v>123.07</v>
      </c>
      <c r="V799" s="79">
        <v>44.716450000000002</v>
      </c>
      <c r="W799" s="79">
        <v>9.5318009999999997</v>
      </c>
      <c r="X799" s="79"/>
      <c r="Y799" s="79"/>
      <c r="Z799" s="79">
        <v>94.667509999999993</v>
      </c>
      <c r="AA799" s="79">
        <v>83.792450000000002</v>
      </c>
      <c r="AB799" s="79"/>
      <c r="AC799" s="79">
        <v>59.73451</v>
      </c>
      <c r="AD799" s="79"/>
      <c r="AE799" s="79">
        <v>59.933660000000003</v>
      </c>
      <c r="AF799" s="79">
        <v>70.710080000000005</v>
      </c>
      <c r="AG799" s="79">
        <v>63.908790000000003</v>
      </c>
      <c r="AH799" s="79">
        <v>57.951030000000003</v>
      </c>
      <c r="AI799" s="79">
        <v>35.593020000000003</v>
      </c>
      <c r="AJ799" s="79">
        <v>82.6404</v>
      </c>
      <c r="AK799" s="79"/>
      <c r="AL799" s="79"/>
      <c r="AM799" s="79">
        <v>65.621759999999995</v>
      </c>
      <c r="AN799" s="79"/>
      <c r="AO799" s="79">
        <v>54.163229999999999</v>
      </c>
      <c r="AP799" s="79">
        <v>68.23451</v>
      </c>
      <c r="AQ799" s="79"/>
      <c r="AR799" s="79"/>
      <c r="AS799" s="79"/>
      <c r="AT799" s="79"/>
      <c r="AU799" s="79"/>
      <c r="AV799" s="79"/>
      <c r="AW799" s="79"/>
      <c r="AX799" s="79">
        <v>19.873239999999999</v>
      </c>
      <c r="AY799" s="79">
        <v>66.940740000000005</v>
      </c>
    </row>
    <row r="800" spans="1:51" x14ac:dyDescent="0.2">
      <c r="A800" t="s">
        <v>1345</v>
      </c>
      <c r="B800" s="1">
        <v>31229</v>
      </c>
      <c r="C800" s="78">
        <v>800</v>
      </c>
      <c r="E800" s="1">
        <f t="shared" si="24"/>
        <v>31229</v>
      </c>
      <c r="F800" s="2">
        <f t="shared" si="25"/>
        <v>31229</v>
      </c>
      <c r="G800" s="78">
        <v>798</v>
      </c>
      <c r="H800" s="79"/>
      <c r="I800" s="79"/>
      <c r="J800" s="79">
        <v>53.878599999999999</v>
      </c>
      <c r="K800" s="79">
        <v>64.154349999999994</v>
      </c>
      <c r="L800" s="79"/>
      <c r="M800" s="79"/>
      <c r="N800" s="79">
        <v>62.951889999999999</v>
      </c>
      <c r="O800" s="79">
        <v>75.220830000000007</v>
      </c>
      <c r="P800" s="79">
        <v>85.925060000000002</v>
      </c>
      <c r="Q800" s="79"/>
      <c r="R800" s="79">
        <v>57.723129999999998</v>
      </c>
      <c r="S800" s="79">
        <v>81.494370000000004</v>
      </c>
      <c r="T800" s="79">
        <v>85.352810000000005</v>
      </c>
      <c r="U800" s="79">
        <v>122.0857</v>
      </c>
      <c r="V800" s="79">
        <v>46.999279999999999</v>
      </c>
      <c r="W800" s="79">
        <v>9.6442049999999995</v>
      </c>
      <c r="X800" s="79"/>
      <c r="Y800" s="79"/>
      <c r="Z800" s="79">
        <v>93.251040000000003</v>
      </c>
      <c r="AA800" s="79">
        <v>85.054389999999998</v>
      </c>
      <c r="AB800" s="79"/>
      <c r="AC800" s="79">
        <v>64.519750000000002</v>
      </c>
      <c r="AD800" s="79"/>
      <c r="AE800" s="79">
        <v>60.150550000000003</v>
      </c>
      <c r="AF800" s="79">
        <v>68.58878</v>
      </c>
      <c r="AG800" s="79">
        <v>68.954220000000007</v>
      </c>
      <c r="AH800" s="79">
        <v>57.94997</v>
      </c>
      <c r="AI800" s="79">
        <v>36.049880000000002</v>
      </c>
      <c r="AJ800" s="79">
        <v>80.935119999999998</v>
      </c>
      <c r="AK800" s="79"/>
      <c r="AL800" s="79"/>
      <c r="AM800" s="79">
        <v>62.116570000000003</v>
      </c>
      <c r="AN800" s="79"/>
      <c r="AO800" s="79">
        <v>53.811010000000003</v>
      </c>
      <c r="AP800" s="79">
        <v>68.843999999999994</v>
      </c>
      <c r="AQ800" s="79"/>
      <c r="AR800" s="79"/>
      <c r="AS800" s="79"/>
      <c r="AT800" s="79"/>
      <c r="AU800" s="79"/>
      <c r="AV800" s="79"/>
      <c r="AW800" s="79"/>
      <c r="AX800" s="79">
        <v>22.799900000000001</v>
      </c>
      <c r="AY800" s="79">
        <v>68.799319999999994</v>
      </c>
    </row>
    <row r="801" spans="1:51" x14ac:dyDescent="0.2">
      <c r="A801" t="s">
        <v>1346</v>
      </c>
      <c r="B801" s="1">
        <v>31260</v>
      </c>
      <c r="C801" s="78">
        <v>801</v>
      </c>
      <c r="E801" s="1">
        <f t="shared" si="24"/>
        <v>31260</v>
      </c>
      <c r="F801" s="2">
        <f t="shared" si="25"/>
        <v>31260</v>
      </c>
      <c r="G801" s="78">
        <v>799</v>
      </c>
      <c r="H801" s="79"/>
      <c r="I801" s="79"/>
      <c r="J801" s="79">
        <v>54.492019999999997</v>
      </c>
      <c r="K801" s="79">
        <v>64.347020000000001</v>
      </c>
      <c r="L801" s="79"/>
      <c r="M801" s="79"/>
      <c r="N801" s="79">
        <v>61.347239999999999</v>
      </c>
      <c r="O801" s="79">
        <v>74.894260000000003</v>
      </c>
      <c r="P801" s="79">
        <v>87.046620000000004</v>
      </c>
      <c r="Q801" s="79"/>
      <c r="R801" s="79">
        <v>59.021610000000003</v>
      </c>
      <c r="S801" s="79">
        <v>81.494370000000004</v>
      </c>
      <c r="T801" s="79">
        <v>86.134060000000005</v>
      </c>
      <c r="U801" s="79">
        <v>124.4365</v>
      </c>
      <c r="V801" s="79">
        <v>44.716450000000002</v>
      </c>
      <c r="W801" s="79">
        <v>9.2620330000000006</v>
      </c>
      <c r="X801" s="79"/>
      <c r="Y801" s="79"/>
      <c r="Z801" s="79">
        <v>96.083979999999997</v>
      </c>
      <c r="AA801" s="79">
        <v>84.297229999999999</v>
      </c>
      <c r="AB801" s="79"/>
      <c r="AC801" s="79">
        <v>62.218440000000001</v>
      </c>
      <c r="AD801" s="79"/>
      <c r="AE801" s="79">
        <v>59.716769999999997</v>
      </c>
      <c r="AF801" s="79">
        <v>69.295879999999997</v>
      </c>
      <c r="AG801" s="79">
        <v>68.954220000000007</v>
      </c>
      <c r="AH801" s="79">
        <v>58.017339999999997</v>
      </c>
      <c r="AI801" s="79">
        <v>36.465829999999997</v>
      </c>
      <c r="AJ801" s="79">
        <v>82.545850000000002</v>
      </c>
      <c r="AK801" s="79"/>
      <c r="AL801" s="79"/>
      <c r="AM801" s="79">
        <v>65.90907</v>
      </c>
      <c r="AN801" s="79"/>
      <c r="AO801" s="79">
        <v>54.033940000000001</v>
      </c>
      <c r="AP801" s="79">
        <v>68.948759999999993</v>
      </c>
      <c r="AQ801" s="79"/>
      <c r="AR801" s="79"/>
      <c r="AS801" s="79"/>
      <c r="AT801" s="79"/>
      <c r="AU801" s="79"/>
      <c r="AV801" s="79"/>
      <c r="AW801" s="79"/>
      <c r="AX801" s="79">
        <v>22.995920000000002</v>
      </c>
      <c r="AY801" s="79">
        <v>69.403829999999999</v>
      </c>
    </row>
    <row r="802" spans="1:51" x14ac:dyDescent="0.2">
      <c r="A802" t="s">
        <v>1347</v>
      </c>
      <c r="B802" s="1">
        <v>31291</v>
      </c>
      <c r="C802" s="78">
        <v>802</v>
      </c>
      <c r="E802" s="1">
        <f t="shared" si="24"/>
        <v>31291</v>
      </c>
      <c r="F802" s="2">
        <f t="shared" si="25"/>
        <v>31291</v>
      </c>
      <c r="G802" s="78">
        <v>800</v>
      </c>
      <c r="H802" s="79"/>
      <c r="I802" s="79"/>
      <c r="J802" s="79">
        <v>55.871029999999998</v>
      </c>
      <c r="K802" s="79">
        <v>64.587140000000005</v>
      </c>
      <c r="L802" s="79"/>
      <c r="M802" s="79"/>
      <c r="N802" s="79">
        <v>62.087850000000003</v>
      </c>
      <c r="O802" s="79">
        <v>76.962549999999993</v>
      </c>
      <c r="P802" s="79">
        <v>86.652500000000003</v>
      </c>
      <c r="Q802" s="79"/>
      <c r="R802" s="79">
        <v>59.021610000000003</v>
      </c>
      <c r="S802" s="79">
        <v>81.678330000000003</v>
      </c>
      <c r="T802" s="79">
        <v>87.69659</v>
      </c>
      <c r="U802" s="79">
        <v>124.2668</v>
      </c>
      <c r="V802" s="79">
        <v>45.343110000000003</v>
      </c>
      <c r="W802" s="79">
        <v>9.6891660000000002</v>
      </c>
      <c r="X802" s="79"/>
      <c r="Y802" s="79"/>
      <c r="Z802" s="79">
        <v>93.605159999999998</v>
      </c>
      <c r="AA802" s="79">
        <v>83.624200000000002</v>
      </c>
      <c r="AB802" s="79"/>
      <c r="AC802" s="79">
        <v>59.550249999999998</v>
      </c>
      <c r="AD802" s="79"/>
      <c r="AE802" s="79">
        <v>59.933660000000003</v>
      </c>
      <c r="AF802" s="79">
        <v>67.881680000000003</v>
      </c>
      <c r="AG802" s="79">
        <v>68.393619999999999</v>
      </c>
      <c r="AH802" s="79">
        <v>58.092390000000002</v>
      </c>
      <c r="AI802" s="79">
        <v>36.683520000000001</v>
      </c>
      <c r="AJ802" s="79">
        <v>80.289550000000006</v>
      </c>
      <c r="AK802" s="79"/>
      <c r="AL802" s="79"/>
      <c r="AM802" s="79">
        <v>65.966530000000006</v>
      </c>
      <c r="AN802" s="79"/>
      <c r="AO802" s="79">
        <v>54.267150000000001</v>
      </c>
      <c r="AP802" s="79">
        <v>68.853520000000003</v>
      </c>
      <c r="AQ802" s="79"/>
      <c r="AR802" s="79"/>
      <c r="AS802" s="79"/>
      <c r="AT802" s="79"/>
      <c r="AU802" s="79"/>
      <c r="AV802" s="79"/>
      <c r="AW802" s="79"/>
      <c r="AX802" s="79">
        <v>23.19172</v>
      </c>
      <c r="AY802" s="79">
        <v>70.217860000000002</v>
      </c>
    </row>
    <row r="803" spans="1:51" x14ac:dyDescent="0.2">
      <c r="A803" t="s">
        <v>1348</v>
      </c>
      <c r="B803" s="1">
        <v>31321</v>
      </c>
      <c r="C803" s="78">
        <v>803</v>
      </c>
      <c r="E803" s="1">
        <f t="shared" si="24"/>
        <v>31321</v>
      </c>
      <c r="F803" s="2">
        <f t="shared" si="25"/>
        <v>31321</v>
      </c>
      <c r="G803" s="78">
        <v>801</v>
      </c>
      <c r="H803" s="79"/>
      <c r="I803" s="79"/>
      <c r="J803" s="79">
        <v>55.369120000000002</v>
      </c>
      <c r="K803" s="79">
        <v>65.174059999999997</v>
      </c>
      <c r="L803" s="79"/>
      <c r="M803" s="79"/>
      <c r="N803" s="79">
        <v>62.82846</v>
      </c>
      <c r="O803" s="79">
        <v>82.732029999999995</v>
      </c>
      <c r="P803" s="79">
        <v>87.584469999999996</v>
      </c>
      <c r="Q803" s="79"/>
      <c r="R803" s="79">
        <v>58.726500000000001</v>
      </c>
      <c r="S803" s="79">
        <v>82.506150000000005</v>
      </c>
      <c r="T803" s="79">
        <v>85.841089999999994</v>
      </c>
      <c r="U803" s="79">
        <v>124.7317</v>
      </c>
      <c r="V803" s="79">
        <v>45.074539999999999</v>
      </c>
      <c r="W803" s="79">
        <v>9.5992440000000006</v>
      </c>
      <c r="X803" s="79"/>
      <c r="Y803" s="79"/>
      <c r="Z803" s="79">
        <v>93.014960000000002</v>
      </c>
      <c r="AA803" s="79">
        <v>84.465479999999999</v>
      </c>
      <c r="AB803" s="79"/>
      <c r="AC803" s="79">
        <v>65.121880000000004</v>
      </c>
      <c r="AD803" s="79"/>
      <c r="AE803" s="79">
        <v>59.355289999999997</v>
      </c>
      <c r="AF803" s="79">
        <v>69.295879999999997</v>
      </c>
      <c r="AG803" s="79">
        <v>69.51482</v>
      </c>
      <c r="AH803" s="79">
        <v>58.152760000000001</v>
      </c>
      <c r="AI803" s="79">
        <v>36.792580000000001</v>
      </c>
      <c r="AJ803" s="79">
        <v>85.601969999999994</v>
      </c>
      <c r="AK803" s="79"/>
      <c r="AL803" s="79"/>
      <c r="AM803" s="79">
        <v>63.955359999999999</v>
      </c>
      <c r="AN803" s="79"/>
      <c r="AO803" s="79">
        <v>54.042879999999997</v>
      </c>
      <c r="AP803" s="79">
        <v>69.472539999999995</v>
      </c>
      <c r="AQ803" s="79"/>
      <c r="AR803" s="79"/>
      <c r="AS803" s="79"/>
      <c r="AT803" s="79"/>
      <c r="AU803" s="79"/>
      <c r="AV803" s="79"/>
      <c r="AW803" s="79"/>
      <c r="AX803" s="79">
        <v>23.82949</v>
      </c>
      <c r="AY803" s="79">
        <v>71.641170000000002</v>
      </c>
    </row>
    <row r="804" spans="1:51" x14ac:dyDescent="0.2">
      <c r="A804" t="s">
        <v>1349</v>
      </c>
      <c r="B804" s="1">
        <v>31352</v>
      </c>
      <c r="C804" s="78">
        <v>804</v>
      </c>
      <c r="E804" s="1">
        <f t="shared" si="24"/>
        <v>31352</v>
      </c>
      <c r="F804" s="2">
        <f t="shared" si="25"/>
        <v>31352</v>
      </c>
      <c r="G804" s="78">
        <v>802</v>
      </c>
      <c r="H804" s="79"/>
      <c r="I804" s="79"/>
      <c r="J804" s="79">
        <v>56.928400000000003</v>
      </c>
      <c r="K804" s="79">
        <v>65.255350000000007</v>
      </c>
      <c r="L804" s="79"/>
      <c r="M804" s="79"/>
      <c r="N804" s="79">
        <v>64.001090000000005</v>
      </c>
      <c r="O804" s="79">
        <v>86.106620000000007</v>
      </c>
      <c r="P804" s="79">
        <v>87.569190000000006</v>
      </c>
      <c r="Q804" s="79"/>
      <c r="R804" s="79">
        <v>59.139650000000003</v>
      </c>
      <c r="S804" s="79">
        <v>83.42595</v>
      </c>
      <c r="T804" s="79">
        <v>86.915329999999997</v>
      </c>
      <c r="U804" s="79">
        <v>123.10169999999999</v>
      </c>
      <c r="V804" s="79">
        <v>44.805970000000002</v>
      </c>
      <c r="W804" s="79">
        <v>9.9364539999999995</v>
      </c>
      <c r="X804" s="79"/>
      <c r="Y804" s="79"/>
      <c r="Z804" s="79">
        <v>95.139669999999995</v>
      </c>
      <c r="AA804" s="79">
        <v>84.297229999999999</v>
      </c>
      <c r="AB804" s="79"/>
      <c r="AC804" s="79">
        <v>63.112369999999999</v>
      </c>
      <c r="AD804" s="79"/>
      <c r="AE804" s="79">
        <v>59.355289999999997</v>
      </c>
      <c r="AF804" s="79">
        <v>75.659779999999998</v>
      </c>
      <c r="AG804" s="79">
        <v>70.075419999999994</v>
      </c>
      <c r="AH804" s="79">
        <v>58.65213</v>
      </c>
      <c r="AI804" s="79">
        <v>36.58737</v>
      </c>
      <c r="AJ804" s="79">
        <v>82.40016</v>
      </c>
      <c r="AK804" s="79"/>
      <c r="AL804" s="79"/>
      <c r="AM804" s="79">
        <v>63.782969999999999</v>
      </c>
      <c r="AN804" s="79"/>
      <c r="AO804" s="79">
        <v>54.225470000000001</v>
      </c>
      <c r="AP804" s="79">
        <v>70.110600000000005</v>
      </c>
      <c r="AQ804" s="79"/>
      <c r="AR804" s="79"/>
      <c r="AS804" s="79"/>
      <c r="AT804" s="79"/>
      <c r="AU804" s="79"/>
      <c r="AV804" s="79"/>
      <c r="AW804" s="79"/>
      <c r="AX804" s="79">
        <v>25.43599</v>
      </c>
      <c r="AY804" s="79">
        <v>71.864660000000001</v>
      </c>
    </row>
    <row r="805" spans="1:51" x14ac:dyDescent="0.2">
      <c r="A805" t="s">
        <v>1350</v>
      </c>
      <c r="B805" s="1">
        <v>31382</v>
      </c>
      <c r="C805" s="78">
        <v>805</v>
      </c>
      <c r="E805" s="1">
        <f t="shared" si="24"/>
        <v>31382</v>
      </c>
      <c r="F805" s="2">
        <f t="shared" si="25"/>
        <v>31382</v>
      </c>
      <c r="G805" s="78">
        <v>803</v>
      </c>
      <c r="H805" s="79"/>
      <c r="I805" s="79"/>
      <c r="J805" s="79">
        <v>55.530149999999999</v>
      </c>
      <c r="K805" s="79">
        <v>65.332890000000006</v>
      </c>
      <c r="L805" s="79"/>
      <c r="M805" s="79"/>
      <c r="N805" s="79">
        <v>61.594110000000001</v>
      </c>
      <c r="O805" s="79">
        <v>83.058599999999998</v>
      </c>
      <c r="P805" s="79">
        <v>86.930769999999995</v>
      </c>
      <c r="Q805" s="79"/>
      <c r="R805" s="79">
        <v>59.611820000000002</v>
      </c>
      <c r="S805" s="79">
        <v>82.598129999999998</v>
      </c>
      <c r="T805" s="79">
        <v>84.669200000000004</v>
      </c>
      <c r="U805" s="79">
        <v>126.23350000000001</v>
      </c>
      <c r="V805" s="79">
        <v>43.731699999999996</v>
      </c>
      <c r="W805" s="79">
        <v>9.7566079999999999</v>
      </c>
      <c r="X805" s="79"/>
      <c r="Y805" s="79"/>
      <c r="Z805" s="79">
        <v>94.195350000000005</v>
      </c>
      <c r="AA805" s="79">
        <v>84.297229999999999</v>
      </c>
      <c r="AB805" s="79"/>
      <c r="AC805" s="79">
        <v>62.107419999999998</v>
      </c>
      <c r="AD805" s="79"/>
      <c r="AE805" s="79">
        <v>58.632330000000003</v>
      </c>
      <c r="AF805" s="79">
        <v>67.881680000000003</v>
      </c>
      <c r="AG805" s="79">
        <v>70.636020000000002</v>
      </c>
      <c r="AH805" s="79">
        <v>58.2485</v>
      </c>
      <c r="AI805" s="79">
        <v>37.433309999999999</v>
      </c>
      <c r="AJ805" s="79">
        <v>83.16704</v>
      </c>
      <c r="AK805" s="79"/>
      <c r="AL805" s="79"/>
      <c r="AM805" s="79">
        <v>61.886719999999997</v>
      </c>
      <c r="AN805" s="79"/>
      <c r="AO805" s="79">
        <v>54.793030000000002</v>
      </c>
      <c r="AP805" s="79">
        <v>69.539209999999997</v>
      </c>
      <c r="AQ805" s="79"/>
      <c r="AR805" s="79"/>
      <c r="AS805" s="79"/>
      <c r="AT805" s="79"/>
      <c r="AU805" s="79"/>
      <c r="AV805" s="79"/>
      <c r="AW805" s="79"/>
      <c r="AX805" s="79">
        <v>24.600739999999998</v>
      </c>
      <c r="AY805" s="79">
        <v>73.111509999999996</v>
      </c>
    </row>
    <row r="806" spans="1:51" x14ac:dyDescent="0.2">
      <c r="A806" t="s">
        <v>1351</v>
      </c>
      <c r="B806" s="1">
        <v>31413</v>
      </c>
      <c r="C806" s="78">
        <v>806</v>
      </c>
      <c r="E806" s="1">
        <f t="shared" si="24"/>
        <v>31413</v>
      </c>
      <c r="F806" s="2">
        <f t="shared" si="25"/>
        <v>31413</v>
      </c>
      <c r="G806" s="78">
        <v>804</v>
      </c>
      <c r="H806" s="79"/>
      <c r="I806" s="79"/>
      <c r="J806" s="79">
        <v>55.265239999999999</v>
      </c>
      <c r="K806" s="79">
        <v>65.689539999999994</v>
      </c>
      <c r="L806" s="79"/>
      <c r="M806" s="79"/>
      <c r="N806" s="79">
        <v>62.82846</v>
      </c>
      <c r="O806" s="79">
        <v>80.228290000000001</v>
      </c>
      <c r="P806" s="79">
        <v>86.871070000000003</v>
      </c>
      <c r="Q806" s="79"/>
      <c r="R806" s="79">
        <v>60.379109999999997</v>
      </c>
      <c r="S806" s="79">
        <v>82.966049999999996</v>
      </c>
      <c r="T806" s="79">
        <v>85.645780000000002</v>
      </c>
      <c r="U806" s="79">
        <v>120.51139999999999</v>
      </c>
      <c r="V806" s="79">
        <v>44.492649999999998</v>
      </c>
      <c r="W806" s="79">
        <v>9.6666860000000003</v>
      </c>
      <c r="X806" s="79"/>
      <c r="Y806" s="79"/>
      <c r="Z806" s="79">
        <v>95.965940000000003</v>
      </c>
      <c r="AA806" s="79">
        <v>84.128969999999995</v>
      </c>
      <c r="AB806" s="79"/>
      <c r="AC806" s="79">
        <v>65.114469999999997</v>
      </c>
      <c r="AD806" s="79"/>
      <c r="AE806" s="79">
        <v>58.560029999999998</v>
      </c>
      <c r="AF806" s="79">
        <v>68.58878</v>
      </c>
      <c r="AG806" s="79">
        <v>70.190569999999994</v>
      </c>
      <c r="AH806" s="79">
        <v>58.522210000000001</v>
      </c>
      <c r="AI806" s="79">
        <v>37.087470000000003</v>
      </c>
      <c r="AJ806" s="79">
        <v>83.336429999999993</v>
      </c>
      <c r="AK806" s="79"/>
      <c r="AL806" s="79"/>
      <c r="AM806" s="79">
        <v>64.874750000000006</v>
      </c>
      <c r="AN806" s="79"/>
      <c r="AO806" s="79">
        <v>55.047179999999997</v>
      </c>
      <c r="AP806" s="79">
        <v>69.967749999999995</v>
      </c>
      <c r="AQ806" s="79"/>
      <c r="AR806" s="79"/>
      <c r="AS806" s="79"/>
      <c r="AT806" s="79"/>
      <c r="AU806" s="79"/>
      <c r="AV806" s="79"/>
      <c r="AW806" s="79"/>
      <c r="AX806" s="79">
        <v>23.49804</v>
      </c>
      <c r="AY806" s="79">
        <v>74.371979999999994</v>
      </c>
    </row>
    <row r="807" spans="1:51" x14ac:dyDescent="0.2">
      <c r="A807" t="s">
        <v>1352</v>
      </c>
      <c r="B807" s="1">
        <v>31444</v>
      </c>
      <c r="C807" s="78">
        <v>807</v>
      </c>
      <c r="E807" s="1">
        <f t="shared" si="24"/>
        <v>31444</v>
      </c>
      <c r="F807" s="2">
        <f t="shared" si="25"/>
        <v>31444</v>
      </c>
      <c r="G807" s="78">
        <v>805</v>
      </c>
      <c r="H807" s="79"/>
      <c r="I807" s="79"/>
      <c r="J807" s="79">
        <v>55.51634</v>
      </c>
      <c r="K807" s="79">
        <v>65.295760000000001</v>
      </c>
      <c r="L807" s="79"/>
      <c r="M807" s="79"/>
      <c r="N807" s="79">
        <v>63.075330000000001</v>
      </c>
      <c r="O807" s="79">
        <v>80.119439999999997</v>
      </c>
      <c r="P807" s="79">
        <v>87.618409999999997</v>
      </c>
      <c r="Q807" s="79"/>
      <c r="R807" s="79">
        <v>59.847909999999999</v>
      </c>
      <c r="S807" s="79">
        <v>82.138229999999993</v>
      </c>
      <c r="T807" s="79">
        <v>86.32938</v>
      </c>
      <c r="U807" s="79">
        <v>121.50360000000001</v>
      </c>
      <c r="V807" s="79">
        <v>44.268839999999997</v>
      </c>
      <c r="W807" s="79">
        <v>9.9139730000000004</v>
      </c>
      <c r="X807" s="79"/>
      <c r="Y807" s="79"/>
      <c r="Z807" s="79">
        <v>96.438100000000006</v>
      </c>
      <c r="AA807" s="79">
        <v>84.128969999999995</v>
      </c>
      <c r="AB807" s="79"/>
      <c r="AC807" s="79">
        <v>63.858980000000003</v>
      </c>
      <c r="AD807" s="79"/>
      <c r="AE807" s="79">
        <v>58.993810000000003</v>
      </c>
      <c r="AF807" s="79">
        <v>74.952680000000001</v>
      </c>
      <c r="AG807" s="79">
        <v>71.065219999999997</v>
      </c>
      <c r="AH807" s="79">
        <v>58.529649999999997</v>
      </c>
      <c r="AI807" s="79">
        <v>37.220019999999998</v>
      </c>
      <c r="AJ807" s="79">
        <v>84.948040000000006</v>
      </c>
      <c r="AK807" s="79"/>
      <c r="AL807" s="79"/>
      <c r="AM807" s="79">
        <v>64.529979999999995</v>
      </c>
      <c r="AN807" s="79"/>
      <c r="AO807" s="79">
        <v>54.686039999999998</v>
      </c>
      <c r="AP807" s="79">
        <v>70.196309999999997</v>
      </c>
      <c r="AQ807" s="79"/>
      <c r="AR807" s="79"/>
      <c r="AS807" s="79"/>
      <c r="AT807" s="79"/>
      <c r="AU807" s="79"/>
      <c r="AV807" s="79"/>
      <c r="AW807" s="79"/>
      <c r="AX807" s="79">
        <v>22.398129999999998</v>
      </c>
      <c r="AY807" s="79">
        <v>74.282719999999998</v>
      </c>
    </row>
    <row r="808" spans="1:51" x14ac:dyDescent="0.2">
      <c r="A808" t="s">
        <v>1353</v>
      </c>
      <c r="B808" s="1">
        <v>31472</v>
      </c>
      <c r="C808" s="78">
        <v>808</v>
      </c>
      <c r="E808" s="1">
        <f t="shared" si="24"/>
        <v>31472</v>
      </c>
      <c r="F808" s="2">
        <f t="shared" si="25"/>
        <v>31472</v>
      </c>
      <c r="G808" s="78">
        <v>806</v>
      </c>
      <c r="H808" s="79"/>
      <c r="I808" s="79"/>
      <c r="J808" s="79">
        <v>56.513010000000001</v>
      </c>
      <c r="K808" s="79">
        <v>64.151060000000001</v>
      </c>
      <c r="L808" s="79"/>
      <c r="M808" s="79"/>
      <c r="N808" s="79">
        <v>63.19876</v>
      </c>
      <c r="O808" s="79">
        <v>80.881439999999998</v>
      </c>
      <c r="P808" s="79">
        <v>89.316869999999994</v>
      </c>
      <c r="Q808" s="79"/>
      <c r="R808" s="79">
        <v>57.841180000000001</v>
      </c>
      <c r="S808" s="79">
        <v>81.862290000000002</v>
      </c>
      <c r="T808" s="79">
        <v>87.208309999999997</v>
      </c>
      <c r="U808" s="79">
        <v>117.66549999999999</v>
      </c>
      <c r="V808" s="79">
        <v>44.313600000000001</v>
      </c>
      <c r="W808" s="79">
        <v>10.18374</v>
      </c>
      <c r="X808" s="79"/>
      <c r="Y808" s="79"/>
      <c r="Z808" s="79">
        <v>97.382419999999996</v>
      </c>
      <c r="AA808" s="79">
        <v>84.044839999999994</v>
      </c>
      <c r="AB808" s="79"/>
      <c r="AC808" s="79">
        <v>62.398890000000002</v>
      </c>
      <c r="AD808" s="79"/>
      <c r="AE808" s="79">
        <v>57.981659999999998</v>
      </c>
      <c r="AF808" s="79">
        <v>67.174580000000006</v>
      </c>
      <c r="AG808" s="79">
        <v>71.283869999999993</v>
      </c>
      <c r="AH808" s="79">
        <v>58.362290000000002</v>
      </c>
      <c r="AI808" s="79">
        <v>37.160069999999997</v>
      </c>
      <c r="AJ808" s="79">
        <v>86.678579999999997</v>
      </c>
      <c r="AK808" s="79"/>
      <c r="AL808" s="79"/>
      <c r="AM808" s="79">
        <v>65.90907</v>
      </c>
      <c r="AN808" s="79"/>
      <c r="AO808" s="79">
        <v>54.309130000000003</v>
      </c>
      <c r="AP808" s="79">
        <v>69.46302</v>
      </c>
      <c r="AQ808" s="79"/>
      <c r="AR808" s="79"/>
      <c r="AS808" s="79"/>
      <c r="AT808" s="79"/>
      <c r="AU808" s="79"/>
      <c r="AV808" s="79"/>
      <c r="AW808" s="79"/>
      <c r="AX808" s="79">
        <v>23.49804</v>
      </c>
      <c r="AY808" s="79">
        <v>70.098960000000005</v>
      </c>
    </row>
    <row r="809" spans="1:51" x14ac:dyDescent="0.2">
      <c r="A809" t="s">
        <v>1354</v>
      </c>
      <c r="B809" s="1">
        <v>31503</v>
      </c>
      <c r="C809" s="78">
        <v>809</v>
      </c>
      <c r="E809" s="1">
        <f t="shared" si="24"/>
        <v>31503</v>
      </c>
      <c r="F809" s="2">
        <f t="shared" si="25"/>
        <v>31503</v>
      </c>
      <c r="G809" s="78">
        <v>807</v>
      </c>
      <c r="H809" s="79"/>
      <c r="I809" s="79"/>
      <c r="J809" s="79">
        <v>54.582360000000001</v>
      </c>
      <c r="K809" s="79">
        <v>64.680179999999993</v>
      </c>
      <c r="L809" s="79"/>
      <c r="M809" s="79"/>
      <c r="N809" s="79">
        <v>63.507350000000002</v>
      </c>
      <c r="O809" s="79">
        <v>82.623170000000002</v>
      </c>
      <c r="P809" s="79">
        <v>88.83502</v>
      </c>
      <c r="Q809" s="79"/>
      <c r="R809" s="79">
        <v>59.847909999999999</v>
      </c>
      <c r="S809" s="79">
        <v>83.977829999999997</v>
      </c>
      <c r="T809" s="79">
        <v>88.282539999999997</v>
      </c>
      <c r="U809" s="79">
        <v>127.9984</v>
      </c>
      <c r="V809" s="79">
        <v>47.44688</v>
      </c>
      <c r="W809" s="79">
        <v>10.048859999999999</v>
      </c>
      <c r="X809" s="79"/>
      <c r="Y809" s="79"/>
      <c r="Z809" s="79">
        <v>97.854579999999999</v>
      </c>
      <c r="AA809" s="79">
        <v>84.044839999999994</v>
      </c>
      <c r="AB809" s="79"/>
      <c r="AC809" s="79">
        <v>64.235830000000007</v>
      </c>
      <c r="AD809" s="79"/>
      <c r="AE809" s="79">
        <v>57.547879999999999</v>
      </c>
      <c r="AF809" s="79">
        <v>74.952680000000001</v>
      </c>
      <c r="AG809" s="79">
        <v>48.215020000000003</v>
      </c>
      <c r="AH809" s="79">
        <v>58.491860000000003</v>
      </c>
      <c r="AI809" s="79">
        <v>37.653919999999999</v>
      </c>
      <c r="AJ809" s="79">
        <v>88.909809999999993</v>
      </c>
      <c r="AK809" s="79"/>
      <c r="AL809" s="79"/>
      <c r="AM809" s="79">
        <v>63.093420000000002</v>
      </c>
      <c r="AN809" s="79"/>
      <c r="AO809" s="79">
        <v>54.326320000000003</v>
      </c>
      <c r="AP809" s="79">
        <v>71.177220000000005</v>
      </c>
      <c r="AQ809" s="79"/>
      <c r="AR809" s="79"/>
      <c r="AS809" s="79"/>
      <c r="AT809" s="79"/>
      <c r="AU809" s="79"/>
      <c r="AV809" s="79"/>
      <c r="AW809" s="79"/>
      <c r="AX809" s="79">
        <v>23.198070000000001</v>
      </c>
      <c r="AY809" s="79">
        <v>74.098849999999999</v>
      </c>
    </row>
    <row r="810" spans="1:51" x14ac:dyDescent="0.2">
      <c r="A810" t="s">
        <v>1355</v>
      </c>
      <c r="B810" s="1">
        <v>31533</v>
      </c>
      <c r="C810" s="78">
        <v>810</v>
      </c>
      <c r="E810" s="1">
        <f t="shared" si="24"/>
        <v>31533</v>
      </c>
      <c r="F810" s="2">
        <f t="shared" si="25"/>
        <v>31533</v>
      </c>
      <c r="G810" s="78">
        <v>808</v>
      </c>
      <c r="H810" s="79"/>
      <c r="I810" s="79"/>
      <c r="J810" s="79">
        <v>54.289810000000003</v>
      </c>
      <c r="K810" s="79">
        <v>63.324019999999997</v>
      </c>
      <c r="L810" s="79"/>
      <c r="M810" s="79"/>
      <c r="N810" s="79">
        <v>62.890169999999998</v>
      </c>
      <c r="O810" s="79">
        <v>81.425730000000001</v>
      </c>
      <c r="P810" s="79">
        <v>85.757320000000007</v>
      </c>
      <c r="Q810" s="79"/>
      <c r="R810" s="79">
        <v>58.31335</v>
      </c>
      <c r="S810" s="79">
        <v>81.402389999999997</v>
      </c>
      <c r="T810" s="79">
        <v>86.817670000000007</v>
      </c>
      <c r="U810" s="79">
        <v>119.97</v>
      </c>
      <c r="V810" s="79">
        <v>45.298349999999999</v>
      </c>
      <c r="W810" s="79">
        <v>9.3969170000000002</v>
      </c>
      <c r="X810" s="79"/>
      <c r="Y810" s="79"/>
      <c r="Z810" s="79">
        <v>95.375749999999996</v>
      </c>
      <c r="AA810" s="79">
        <v>84.044839999999994</v>
      </c>
      <c r="AB810" s="79"/>
      <c r="AC810" s="79">
        <v>61.65889</v>
      </c>
      <c r="AD810" s="79"/>
      <c r="AE810" s="79">
        <v>56.824919999999999</v>
      </c>
      <c r="AF810" s="79">
        <v>67.174580000000006</v>
      </c>
      <c r="AG810" s="79">
        <v>67.894620000000003</v>
      </c>
      <c r="AH810" s="79">
        <v>58.018250000000002</v>
      </c>
      <c r="AI810" s="79">
        <v>37.479939999999999</v>
      </c>
      <c r="AJ810" s="79">
        <v>86.232770000000002</v>
      </c>
      <c r="AK810" s="79"/>
      <c r="AL810" s="79"/>
      <c r="AM810" s="79">
        <v>63.208350000000003</v>
      </c>
      <c r="AN810" s="79"/>
      <c r="AO810" s="79">
        <v>54.443890000000003</v>
      </c>
      <c r="AP810" s="79">
        <v>69.234459999999999</v>
      </c>
      <c r="AQ810" s="79"/>
      <c r="AR810" s="79"/>
      <c r="AS810" s="79"/>
      <c r="AT810" s="79"/>
      <c r="AU810" s="79"/>
      <c r="AV810" s="79"/>
      <c r="AW810" s="79"/>
      <c r="AX810" s="79">
        <v>23.09808</v>
      </c>
      <c r="AY810" s="79">
        <v>73.765950000000004</v>
      </c>
    </row>
    <row r="811" spans="1:51" x14ac:dyDescent="0.2">
      <c r="A811" t="s">
        <v>1356</v>
      </c>
      <c r="B811" s="1">
        <v>31564</v>
      </c>
      <c r="C811" s="78">
        <v>811</v>
      </c>
      <c r="E811" s="1">
        <f t="shared" si="24"/>
        <v>31564</v>
      </c>
      <c r="F811" s="2">
        <f t="shared" si="25"/>
        <v>31564</v>
      </c>
      <c r="G811" s="78">
        <v>809</v>
      </c>
      <c r="H811" s="79"/>
      <c r="I811" s="79"/>
      <c r="J811" s="79">
        <v>55.169670000000004</v>
      </c>
      <c r="K811" s="79">
        <v>63.08108</v>
      </c>
      <c r="L811" s="79"/>
      <c r="M811" s="79"/>
      <c r="N811" s="79">
        <v>63.19876</v>
      </c>
      <c r="O811" s="79">
        <v>81.208020000000005</v>
      </c>
      <c r="P811" s="79">
        <v>91.020160000000004</v>
      </c>
      <c r="Q811" s="79"/>
      <c r="R811" s="79">
        <v>59.552799999999998</v>
      </c>
      <c r="S811" s="79">
        <v>82.046250000000001</v>
      </c>
      <c r="T811" s="79">
        <v>87.989559999999997</v>
      </c>
      <c r="U811" s="79">
        <v>122.6048</v>
      </c>
      <c r="V811" s="79">
        <v>45.387869999999999</v>
      </c>
      <c r="W811" s="79">
        <v>9.9589339999999993</v>
      </c>
      <c r="X811" s="79"/>
      <c r="Y811" s="79"/>
      <c r="Z811" s="79">
        <v>97.26437</v>
      </c>
      <c r="AA811" s="79">
        <v>84.297229999999999</v>
      </c>
      <c r="AB811" s="79"/>
      <c r="AC811" s="79">
        <v>62.685380000000002</v>
      </c>
      <c r="AD811" s="79"/>
      <c r="AE811" s="79">
        <v>55.45129</v>
      </c>
      <c r="AF811" s="79">
        <v>70.002979999999994</v>
      </c>
      <c r="AG811" s="79">
        <v>73.142499999999998</v>
      </c>
      <c r="AH811" s="79">
        <v>58.366039999999998</v>
      </c>
      <c r="AI811" s="79">
        <v>36.858379999999997</v>
      </c>
      <c r="AJ811" s="79">
        <v>87.543499999999995</v>
      </c>
      <c r="AK811" s="79"/>
      <c r="AL811" s="79"/>
      <c r="AM811" s="79">
        <v>63.610579999999999</v>
      </c>
      <c r="AN811" s="79"/>
      <c r="AO811" s="79">
        <v>54.266480000000001</v>
      </c>
      <c r="AP811" s="79">
        <v>70.377260000000007</v>
      </c>
      <c r="AQ811" s="79"/>
      <c r="AR811" s="79"/>
      <c r="AS811" s="79"/>
      <c r="AT811" s="79"/>
      <c r="AU811" s="79"/>
      <c r="AV811" s="79"/>
      <c r="AW811" s="79"/>
      <c r="AX811" s="79">
        <v>24.697939999999999</v>
      </c>
      <c r="AY811" s="79">
        <v>75.558589999999995</v>
      </c>
    </row>
    <row r="812" spans="1:51" x14ac:dyDescent="0.2">
      <c r="A812" t="s">
        <v>1357</v>
      </c>
      <c r="B812" s="1">
        <v>31594</v>
      </c>
      <c r="C812" s="78">
        <v>812</v>
      </c>
      <c r="E812" s="1">
        <f t="shared" si="24"/>
        <v>31594</v>
      </c>
      <c r="F812" s="2">
        <f t="shared" si="25"/>
        <v>31594</v>
      </c>
      <c r="G812" s="78">
        <v>810</v>
      </c>
      <c r="H812" s="79"/>
      <c r="I812" s="79"/>
      <c r="J812" s="79">
        <v>56.628030000000003</v>
      </c>
      <c r="K812" s="79">
        <v>63.53877</v>
      </c>
      <c r="L812" s="79"/>
      <c r="M812" s="79"/>
      <c r="N812" s="79">
        <v>64.124529999999993</v>
      </c>
      <c r="O812" s="79">
        <v>81.861159999999998</v>
      </c>
      <c r="P812" s="79">
        <v>87.71123</v>
      </c>
      <c r="Q812" s="79"/>
      <c r="R812" s="79">
        <v>61.382469999999998</v>
      </c>
      <c r="S812" s="79">
        <v>82.138229999999993</v>
      </c>
      <c r="T812" s="79">
        <v>87.305959999999999</v>
      </c>
      <c r="U812" s="79">
        <v>128.0652</v>
      </c>
      <c r="V812" s="79">
        <v>46.685940000000002</v>
      </c>
      <c r="W812" s="79">
        <v>9.6891660000000002</v>
      </c>
      <c r="X812" s="79"/>
      <c r="Y812" s="79"/>
      <c r="Z812" s="79">
        <v>98.562809999999999</v>
      </c>
      <c r="AA812" s="79">
        <v>84.297229999999999</v>
      </c>
      <c r="AB812" s="79"/>
      <c r="AC812" s="79">
        <v>65.057379999999995</v>
      </c>
      <c r="AD812" s="79"/>
      <c r="AE812" s="79">
        <v>54.728319999999997</v>
      </c>
      <c r="AF812" s="79">
        <v>70.710080000000005</v>
      </c>
      <c r="AG812" s="79">
        <v>75.438460000000006</v>
      </c>
      <c r="AH812" s="79">
        <v>58.5839</v>
      </c>
      <c r="AI812" s="79">
        <v>37.525190000000002</v>
      </c>
      <c r="AJ812" s="79">
        <v>88.653279999999995</v>
      </c>
      <c r="AK812" s="79"/>
      <c r="AL812" s="79"/>
      <c r="AM812" s="79">
        <v>64.242670000000004</v>
      </c>
      <c r="AN812" s="79"/>
      <c r="AO812" s="79">
        <v>54.570390000000003</v>
      </c>
      <c r="AP812" s="79">
        <v>70.520099999999999</v>
      </c>
      <c r="AQ812" s="79"/>
      <c r="AR812" s="79"/>
      <c r="AS812" s="79"/>
      <c r="AT812" s="79"/>
      <c r="AU812" s="79"/>
      <c r="AV812" s="79"/>
      <c r="AW812" s="79"/>
      <c r="AX812" s="79">
        <v>24.497959999999999</v>
      </c>
      <c r="AY812" s="79">
        <v>75.624489999999994</v>
      </c>
    </row>
    <row r="813" spans="1:51" x14ac:dyDescent="0.2">
      <c r="A813" t="s">
        <v>1358</v>
      </c>
      <c r="B813" s="1">
        <v>31625</v>
      </c>
      <c r="C813" s="78">
        <v>813</v>
      </c>
      <c r="E813" s="1">
        <f t="shared" si="24"/>
        <v>31625</v>
      </c>
      <c r="F813" s="2">
        <f t="shared" si="25"/>
        <v>31625</v>
      </c>
      <c r="G813" s="78">
        <v>811</v>
      </c>
      <c r="H813" s="79"/>
      <c r="I813" s="79"/>
      <c r="J813" s="79">
        <v>56.014580000000002</v>
      </c>
      <c r="K813" s="79">
        <v>62.967829999999999</v>
      </c>
      <c r="L813" s="79"/>
      <c r="M813" s="79"/>
      <c r="N813" s="79">
        <v>63.01361</v>
      </c>
      <c r="O813" s="79">
        <v>84.147180000000006</v>
      </c>
      <c r="P813" s="79">
        <v>86.643159999999995</v>
      </c>
      <c r="Q813" s="79"/>
      <c r="R813" s="79">
        <v>60.497149999999998</v>
      </c>
      <c r="S813" s="79">
        <v>82.138229999999993</v>
      </c>
      <c r="T813" s="79">
        <v>87.305959999999999</v>
      </c>
      <c r="U813" s="79">
        <v>118.3415</v>
      </c>
      <c r="V813" s="79">
        <v>45.79072</v>
      </c>
      <c r="W813" s="79">
        <v>9.9589339999999993</v>
      </c>
      <c r="X813" s="79"/>
      <c r="Y813" s="79"/>
      <c r="Z813" s="79">
        <v>98.79889</v>
      </c>
      <c r="AA813" s="79">
        <v>82.278130000000004</v>
      </c>
      <c r="AB813" s="79"/>
      <c r="AC813" s="79">
        <v>60.263379999999998</v>
      </c>
      <c r="AD813" s="79"/>
      <c r="AE813" s="79">
        <v>54.439140000000002</v>
      </c>
      <c r="AF813" s="79">
        <v>70.710080000000005</v>
      </c>
      <c r="AG813" s="79">
        <v>77.187749999999994</v>
      </c>
      <c r="AH813" s="79">
        <v>58.229869999999998</v>
      </c>
      <c r="AI813" s="79">
        <v>36.821950000000001</v>
      </c>
      <c r="AJ813" s="79">
        <v>90.799689999999998</v>
      </c>
      <c r="AK813" s="79"/>
      <c r="AL813" s="79"/>
      <c r="AM813" s="79">
        <v>64.644900000000007</v>
      </c>
      <c r="AN813" s="79"/>
      <c r="AO813" s="79">
        <v>54.497489999999999</v>
      </c>
      <c r="AP813" s="79">
        <v>70.082030000000003</v>
      </c>
      <c r="AQ813" s="79"/>
      <c r="AR813" s="79"/>
      <c r="AS813" s="79"/>
      <c r="AT813" s="79"/>
      <c r="AU813" s="79"/>
      <c r="AV813" s="79"/>
      <c r="AW813" s="79"/>
      <c r="AX813" s="79">
        <v>26.097829999999998</v>
      </c>
      <c r="AY813" s="79">
        <v>76.283100000000005</v>
      </c>
    </row>
    <row r="814" spans="1:51" x14ac:dyDescent="0.2">
      <c r="A814" t="s">
        <v>1359</v>
      </c>
      <c r="B814" s="1">
        <v>31656</v>
      </c>
      <c r="C814" s="78">
        <v>814</v>
      </c>
      <c r="E814" s="1">
        <f t="shared" si="24"/>
        <v>31656</v>
      </c>
      <c r="F814" s="2">
        <f t="shared" si="25"/>
        <v>31656</v>
      </c>
      <c r="G814" s="78">
        <v>812</v>
      </c>
      <c r="H814" s="79"/>
      <c r="I814" s="79"/>
      <c r="J814" s="79">
        <v>55.137239999999998</v>
      </c>
      <c r="K814" s="79">
        <v>63.251660000000001</v>
      </c>
      <c r="L814" s="79"/>
      <c r="M814" s="79"/>
      <c r="N814" s="79">
        <v>62.64331</v>
      </c>
      <c r="O814" s="79">
        <v>83.494029999999995</v>
      </c>
      <c r="P814" s="79">
        <v>88.220029999999994</v>
      </c>
      <c r="Q814" s="79"/>
      <c r="R814" s="79">
        <v>60.792259999999999</v>
      </c>
      <c r="S814" s="79">
        <v>82.874070000000003</v>
      </c>
      <c r="T814" s="79">
        <v>89.454430000000002</v>
      </c>
      <c r="U814" s="79">
        <v>118.35809999999999</v>
      </c>
      <c r="V814" s="79">
        <v>46.059289999999997</v>
      </c>
      <c r="W814" s="79">
        <v>10.138780000000001</v>
      </c>
      <c r="X814" s="79"/>
      <c r="Y814" s="79"/>
      <c r="Z814" s="79">
        <v>97.854579999999999</v>
      </c>
      <c r="AA814" s="79">
        <v>85.054389999999998</v>
      </c>
      <c r="AB814" s="79"/>
      <c r="AC814" s="79">
        <v>64.06053</v>
      </c>
      <c r="AD814" s="79"/>
      <c r="AE814" s="79">
        <v>54.077660000000002</v>
      </c>
      <c r="AF814" s="79">
        <v>72.831379999999996</v>
      </c>
      <c r="AG814" s="79">
        <v>69.315920000000006</v>
      </c>
      <c r="AH814" s="79">
        <v>58.551349999999999</v>
      </c>
      <c r="AI814" s="79">
        <v>37.945549999999997</v>
      </c>
      <c r="AJ814" s="79">
        <v>91.546170000000004</v>
      </c>
      <c r="AK814" s="79"/>
      <c r="AL814" s="79"/>
      <c r="AM814" s="79">
        <v>64.300129999999996</v>
      </c>
      <c r="AN814" s="79"/>
      <c r="AO814" s="79">
        <v>54.608040000000003</v>
      </c>
      <c r="AP814" s="79">
        <v>70.615340000000003</v>
      </c>
      <c r="AQ814" s="79"/>
      <c r="AR814" s="79"/>
      <c r="AS814" s="79"/>
      <c r="AT814" s="79"/>
      <c r="AU814" s="79"/>
      <c r="AV814" s="79"/>
      <c r="AW814" s="79"/>
      <c r="AX814" s="79">
        <v>24.297979999999999</v>
      </c>
      <c r="AY814" s="79">
        <v>78.893230000000003</v>
      </c>
    </row>
    <row r="815" spans="1:51" x14ac:dyDescent="0.2">
      <c r="A815" t="s">
        <v>1360</v>
      </c>
      <c r="B815" s="1">
        <v>31686</v>
      </c>
      <c r="C815" s="78">
        <v>815</v>
      </c>
      <c r="E815" s="1">
        <f t="shared" si="24"/>
        <v>31686</v>
      </c>
      <c r="F815" s="2">
        <f t="shared" si="25"/>
        <v>31686</v>
      </c>
      <c r="G815" s="78">
        <v>813</v>
      </c>
      <c r="H815" s="79"/>
      <c r="I815" s="79"/>
      <c r="J815" s="79">
        <v>54.94764</v>
      </c>
      <c r="K815" s="79">
        <v>63.177410000000002</v>
      </c>
      <c r="L815" s="79"/>
      <c r="M815" s="79"/>
      <c r="N815" s="79">
        <v>62.82846</v>
      </c>
      <c r="O815" s="79">
        <v>80.881439999999998</v>
      </c>
      <c r="P815" s="79">
        <v>89.337069999999997</v>
      </c>
      <c r="Q815" s="79"/>
      <c r="R815" s="79">
        <v>61.618560000000002</v>
      </c>
      <c r="S815" s="79">
        <v>83.609909999999999</v>
      </c>
      <c r="T815" s="79">
        <v>89.747399999999999</v>
      </c>
      <c r="U815" s="79">
        <v>119.74290000000001</v>
      </c>
      <c r="V815" s="79">
        <v>45.61168</v>
      </c>
      <c r="W815" s="79">
        <v>10.25118</v>
      </c>
      <c r="X815" s="79"/>
      <c r="Y815" s="79"/>
      <c r="Z815" s="79">
        <v>97.736530000000002</v>
      </c>
      <c r="AA815" s="79">
        <v>83.960710000000006</v>
      </c>
      <c r="AB815" s="79"/>
      <c r="AC815" s="79">
        <v>64.268069999999994</v>
      </c>
      <c r="AD815" s="79"/>
      <c r="AE815" s="79">
        <v>54.294550000000001</v>
      </c>
      <c r="AF815" s="79">
        <v>70.002979999999994</v>
      </c>
      <c r="AG815" s="79">
        <v>71.721199999999996</v>
      </c>
      <c r="AH815" s="79">
        <v>58.603020000000001</v>
      </c>
      <c r="AI815" s="79">
        <v>37.588259999999998</v>
      </c>
      <c r="AJ815" s="79">
        <v>90.67689</v>
      </c>
      <c r="AK815" s="79"/>
      <c r="AL815" s="79"/>
      <c r="AM815" s="79">
        <v>64.300129999999996</v>
      </c>
      <c r="AN815" s="79"/>
      <c r="AO815" s="79">
        <v>54.863439999999997</v>
      </c>
      <c r="AP815" s="79">
        <v>70.501059999999995</v>
      </c>
      <c r="AQ815" s="79"/>
      <c r="AR815" s="79"/>
      <c r="AS815" s="79"/>
      <c r="AT815" s="79"/>
      <c r="AU815" s="79"/>
      <c r="AV815" s="79"/>
      <c r="AW815" s="79"/>
      <c r="AX815" s="79">
        <v>25.497879999999999</v>
      </c>
      <c r="AY815" s="79">
        <v>79.780690000000007</v>
      </c>
    </row>
    <row r="816" spans="1:51" x14ac:dyDescent="0.2">
      <c r="A816" t="s">
        <v>1361</v>
      </c>
      <c r="B816" s="1">
        <v>31717</v>
      </c>
      <c r="C816" s="78">
        <v>816</v>
      </c>
      <c r="E816" s="1">
        <f t="shared" si="24"/>
        <v>31717</v>
      </c>
      <c r="F816" s="2">
        <f t="shared" si="25"/>
        <v>31717</v>
      </c>
      <c r="G816" s="78">
        <v>814</v>
      </c>
      <c r="H816" s="79"/>
      <c r="I816" s="79"/>
      <c r="J816" s="79">
        <v>54.910820000000001</v>
      </c>
      <c r="K816" s="79">
        <v>63.041609999999999</v>
      </c>
      <c r="L816" s="79"/>
      <c r="M816" s="79"/>
      <c r="N816" s="79">
        <v>63.507350000000002</v>
      </c>
      <c r="O816" s="79">
        <v>79.030850000000001</v>
      </c>
      <c r="P816" s="79">
        <v>88.801519999999996</v>
      </c>
      <c r="Q816" s="79"/>
      <c r="R816" s="79">
        <v>61.79562</v>
      </c>
      <c r="S816" s="79">
        <v>82.414169999999999</v>
      </c>
      <c r="T816" s="79">
        <v>89.356769999999997</v>
      </c>
      <c r="U816" s="79">
        <v>122.3222</v>
      </c>
      <c r="V816" s="79">
        <v>44.805970000000002</v>
      </c>
      <c r="W816" s="79">
        <v>10.093819999999999</v>
      </c>
      <c r="X816" s="79"/>
      <c r="Y816" s="79"/>
      <c r="Z816" s="79">
        <v>97.500460000000004</v>
      </c>
      <c r="AA816" s="79">
        <v>82.782910000000001</v>
      </c>
      <c r="AB816" s="79"/>
      <c r="AC816" s="79">
        <v>61.961269999999999</v>
      </c>
      <c r="AD816" s="79"/>
      <c r="AE816" s="79">
        <v>53.78848</v>
      </c>
      <c r="AF816" s="79">
        <v>70.002979999999994</v>
      </c>
      <c r="AG816" s="79">
        <v>72.814509999999999</v>
      </c>
      <c r="AH816" s="79">
        <v>58.53613</v>
      </c>
      <c r="AI816" s="79">
        <v>38.173520000000003</v>
      </c>
      <c r="AJ816" s="79">
        <v>91.396270000000001</v>
      </c>
      <c r="AK816" s="79"/>
      <c r="AL816" s="79"/>
      <c r="AM816" s="79">
        <v>65.449370000000002</v>
      </c>
      <c r="AN816" s="79"/>
      <c r="AO816" s="79">
        <v>55.11327</v>
      </c>
      <c r="AP816" s="79">
        <v>69.824910000000003</v>
      </c>
      <c r="AQ816" s="79"/>
      <c r="AR816" s="79"/>
      <c r="AS816" s="79"/>
      <c r="AT816" s="79"/>
      <c r="AU816" s="79"/>
      <c r="AV816" s="79"/>
      <c r="AW816" s="79"/>
      <c r="AX816" s="79">
        <v>25.59787</v>
      </c>
      <c r="AY816" s="79">
        <v>78.923550000000006</v>
      </c>
    </row>
    <row r="817" spans="1:51" x14ac:dyDescent="0.2">
      <c r="A817" t="s">
        <v>1362</v>
      </c>
      <c r="B817" s="1">
        <v>31747</v>
      </c>
      <c r="C817" s="78">
        <v>817</v>
      </c>
      <c r="E817" s="1">
        <f t="shared" si="24"/>
        <v>31747</v>
      </c>
      <c r="F817" s="2">
        <f t="shared" si="25"/>
        <v>31747</v>
      </c>
      <c r="G817" s="78">
        <v>815</v>
      </c>
      <c r="H817" s="79"/>
      <c r="I817" s="79"/>
      <c r="J817" s="79">
        <v>55.48977</v>
      </c>
      <c r="K817" s="79">
        <v>64.157169999999994</v>
      </c>
      <c r="L817" s="79"/>
      <c r="M817" s="79"/>
      <c r="N817" s="79">
        <v>62.705019999999998</v>
      </c>
      <c r="O817" s="79">
        <v>80.119439999999997</v>
      </c>
      <c r="P817" s="79">
        <v>90.131770000000003</v>
      </c>
      <c r="Q817" s="79"/>
      <c r="R817" s="79">
        <v>61.323450000000001</v>
      </c>
      <c r="S817" s="79">
        <v>82.966049999999996</v>
      </c>
      <c r="T817" s="79">
        <v>89.747399999999999</v>
      </c>
      <c r="U817" s="79">
        <v>119.58620000000001</v>
      </c>
      <c r="V817" s="79">
        <v>46.372619999999998</v>
      </c>
      <c r="W817" s="79">
        <v>10.02638</v>
      </c>
      <c r="X817" s="79"/>
      <c r="Y817" s="79"/>
      <c r="Z817" s="79">
        <v>100.2154</v>
      </c>
      <c r="AA817" s="79">
        <v>84.717870000000005</v>
      </c>
      <c r="AB817" s="79"/>
      <c r="AC817" s="79">
        <v>60.105969999999999</v>
      </c>
      <c r="AD817" s="79"/>
      <c r="AE817" s="79">
        <v>53.716180000000001</v>
      </c>
      <c r="AF817" s="79">
        <v>71.417180000000002</v>
      </c>
      <c r="AG817" s="79">
        <v>75.438460000000006</v>
      </c>
      <c r="AH817" s="79">
        <v>59.058199999999999</v>
      </c>
      <c r="AI817" s="79">
        <v>37.684800000000003</v>
      </c>
      <c r="AJ817" s="79">
        <v>91.372860000000003</v>
      </c>
      <c r="AK817" s="79"/>
      <c r="AL817" s="79"/>
      <c r="AM817" s="79">
        <v>64.702359999999999</v>
      </c>
      <c r="AN817" s="79"/>
      <c r="AO817" s="79">
        <v>55.577289999999998</v>
      </c>
      <c r="AP817" s="79">
        <v>70.577250000000006</v>
      </c>
      <c r="AQ817" s="79"/>
      <c r="AR817" s="79"/>
      <c r="AS817" s="79"/>
      <c r="AT817" s="79"/>
      <c r="AU817" s="79"/>
      <c r="AV817" s="79"/>
      <c r="AW817" s="79"/>
      <c r="AX817" s="79">
        <v>25.397880000000001</v>
      </c>
      <c r="AY817" s="79">
        <v>77.188640000000007</v>
      </c>
    </row>
    <row r="818" spans="1:51" x14ac:dyDescent="0.2">
      <c r="A818" t="s">
        <v>1363</v>
      </c>
      <c r="B818" s="1">
        <v>31778</v>
      </c>
      <c r="C818" s="78">
        <v>818</v>
      </c>
      <c r="E818" s="1">
        <f t="shared" si="24"/>
        <v>31778</v>
      </c>
      <c r="F818" s="2">
        <f t="shared" si="25"/>
        <v>31778</v>
      </c>
      <c r="G818" s="78">
        <v>816</v>
      </c>
      <c r="H818" s="79"/>
      <c r="I818" s="79"/>
      <c r="J818" s="79">
        <v>54.556170000000002</v>
      </c>
      <c r="K818" s="79">
        <v>64.820689999999999</v>
      </c>
      <c r="L818" s="79"/>
      <c r="M818" s="79"/>
      <c r="N818" s="79">
        <v>61.71754</v>
      </c>
      <c r="O818" s="79">
        <v>74.894260000000003</v>
      </c>
      <c r="P818" s="79">
        <v>86.881240000000005</v>
      </c>
      <c r="Q818" s="79"/>
      <c r="R818" s="79">
        <v>60.674210000000002</v>
      </c>
      <c r="S818" s="79">
        <v>80.758529999999993</v>
      </c>
      <c r="T818" s="79">
        <v>88.087220000000002</v>
      </c>
      <c r="U818" s="79">
        <v>116.73260000000001</v>
      </c>
      <c r="V818" s="79">
        <v>43.328850000000003</v>
      </c>
      <c r="W818" s="79">
        <v>9.5318009999999997</v>
      </c>
      <c r="X818" s="79"/>
      <c r="Y818" s="79"/>
      <c r="Z818" s="79">
        <v>95.729870000000005</v>
      </c>
      <c r="AA818" s="79">
        <v>84.465479999999999</v>
      </c>
      <c r="AB818" s="79"/>
      <c r="AC818" s="79">
        <v>62.077390000000001</v>
      </c>
      <c r="AD818" s="79"/>
      <c r="AE818" s="79">
        <v>54.14996</v>
      </c>
      <c r="AF818" s="79">
        <v>74.952680000000001</v>
      </c>
      <c r="AG818" s="79">
        <v>77.406419999999997</v>
      </c>
      <c r="AH818" s="79">
        <v>58.532179999999997</v>
      </c>
      <c r="AI818" s="79">
        <v>35.448569999999997</v>
      </c>
      <c r="AJ818" s="79">
        <v>88.370350000000002</v>
      </c>
      <c r="AK818" s="79"/>
      <c r="AL818" s="79"/>
      <c r="AM818" s="79">
        <v>62.346420000000002</v>
      </c>
      <c r="AN818" s="79"/>
      <c r="AO818" s="79">
        <v>55.40699</v>
      </c>
      <c r="AP818" s="79">
        <v>69.948710000000005</v>
      </c>
      <c r="AQ818" s="79"/>
      <c r="AR818" s="79"/>
      <c r="AS818" s="79"/>
      <c r="AT818" s="79"/>
      <c r="AU818" s="79"/>
      <c r="AV818" s="79"/>
      <c r="AW818" s="79"/>
      <c r="AX818" s="79">
        <v>25.497879999999999</v>
      </c>
      <c r="AY818" s="79">
        <v>79.618600000000001</v>
      </c>
    </row>
    <row r="819" spans="1:51" x14ac:dyDescent="0.2">
      <c r="A819" t="s">
        <v>1364</v>
      </c>
      <c r="B819" s="1">
        <v>31809</v>
      </c>
      <c r="C819" s="78">
        <v>819</v>
      </c>
      <c r="E819" s="1">
        <f t="shared" si="24"/>
        <v>31809</v>
      </c>
      <c r="F819" s="2">
        <f t="shared" si="25"/>
        <v>31809</v>
      </c>
      <c r="G819" s="78">
        <v>817</v>
      </c>
      <c r="H819" s="79"/>
      <c r="I819" s="79"/>
      <c r="J819" s="79">
        <v>56.2682</v>
      </c>
      <c r="K819" s="79">
        <v>64.961190000000002</v>
      </c>
      <c r="L819" s="79"/>
      <c r="M819" s="79"/>
      <c r="N819" s="79">
        <v>62.951889999999999</v>
      </c>
      <c r="O819" s="79">
        <v>78.377709999999993</v>
      </c>
      <c r="P819" s="79">
        <v>91.690910000000002</v>
      </c>
      <c r="Q819" s="79"/>
      <c r="R819" s="79">
        <v>61.559539999999998</v>
      </c>
      <c r="S819" s="79">
        <v>82.690110000000004</v>
      </c>
      <c r="T819" s="79">
        <v>90.919300000000007</v>
      </c>
      <c r="U819" s="79">
        <v>126.41719999999999</v>
      </c>
      <c r="V819" s="79">
        <v>46.551659999999998</v>
      </c>
      <c r="W819" s="79">
        <v>10.318619999999999</v>
      </c>
      <c r="X819" s="79"/>
      <c r="Y819" s="79"/>
      <c r="Z819" s="79">
        <v>98.680850000000007</v>
      </c>
      <c r="AA819" s="79">
        <v>84.044839999999994</v>
      </c>
      <c r="AB819" s="79"/>
      <c r="AC819" s="79">
        <v>60.505969999999998</v>
      </c>
      <c r="AD819" s="79"/>
      <c r="AE819" s="79">
        <v>55.017510000000001</v>
      </c>
      <c r="AF819" s="79">
        <v>71.417180000000002</v>
      </c>
      <c r="AG819" s="79">
        <v>74.454480000000004</v>
      </c>
      <c r="AH819" s="79">
        <v>59.405360000000002</v>
      </c>
      <c r="AI819" s="79">
        <v>39.817219999999999</v>
      </c>
      <c r="AJ819" s="79">
        <v>92.108350000000002</v>
      </c>
      <c r="AK819" s="79"/>
      <c r="AL819" s="79"/>
      <c r="AM819" s="79">
        <v>64.932209999999998</v>
      </c>
      <c r="AN819" s="79"/>
      <c r="AO819" s="79">
        <v>56.132080000000002</v>
      </c>
      <c r="AP819" s="79">
        <v>70.881990000000002</v>
      </c>
      <c r="AQ819" s="79"/>
      <c r="AR819" s="79"/>
      <c r="AS819" s="79"/>
      <c r="AT819" s="79"/>
      <c r="AU819" s="79"/>
      <c r="AV819" s="79"/>
      <c r="AW819" s="79"/>
      <c r="AX819" s="79">
        <v>26.097829999999998</v>
      </c>
      <c r="AY819" s="79">
        <v>83.995189999999994</v>
      </c>
    </row>
    <row r="820" spans="1:51" x14ac:dyDescent="0.2">
      <c r="A820" t="s">
        <v>1365</v>
      </c>
      <c r="B820" s="1">
        <v>31837</v>
      </c>
      <c r="C820" s="78">
        <v>820</v>
      </c>
      <c r="E820" s="1">
        <f t="shared" si="24"/>
        <v>31837</v>
      </c>
      <c r="F820" s="2">
        <f t="shared" si="25"/>
        <v>31837</v>
      </c>
      <c r="G820" s="78">
        <v>818</v>
      </c>
      <c r="H820" s="79"/>
      <c r="I820" s="79"/>
      <c r="J820" s="79">
        <v>55.373260000000002</v>
      </c>
      <c r="K820" s="79">
        <v>65.388339999999999</v>
      </c>
      <c r="L820" s="79"/>
      <c r="M820" s="79"/>
      <c r="N820" s="79">
        <v>62.581589999999998</v>
      </c>
      <c r="O820" s="79">
        <v>79.901719999999997</v>
      </c>
      <c r="P820" s="79">
        <v>91.064539999999994</v>
      </c>
      <c r="Q820" s="79"/>
      <c r="R820" s="79">
        <v>63.979419999999998</v>
      </c>
      <c r="S820" s="79">
        <v>83.609909999999999</v>
      </c>
      <c r="T820" s="79">
        <v>90.528660000000002</v>
      </c>
      <c r="U820" s="79">
        <v>118.72880000000001</v>
      </c>
      <c r="V820" s="79">
        <v>46.954509999999999</v>
      </c>
      <c r="W820" s="79">
        <v>10.2287</v>
      </c>
      <c r="X820" s="79"/>
      <c r="Y820" s="79"/>
      <c r="Z820" s="79">
        <v>99.979280000000003</v>
      </c>
      <c r="AA820" s="79">
        <v>85.306780000000003</v>
      </c>
      <c r="AB820" s="79"/>
      <c r="AC820" s="79">
        <v>63.579250000000002</v>
      </c>
      <c r="AD820" s="79"/>
      <c r="AE820" s="79">
        <v>55.740470000000002</v>
      </c>
      <c r="AF820" s="79">
        <v>73.538480000000007</v>
      </c>
      <c r="AG820" s="79">
        <v>74.017150000000001</v>
      </c>
      <c r="AH820" s="79">
        <v>59.59507</v>
      </c>
      <c r="AI820" s="79">
        <v>38.816279999999999</v>
      </c>
      <c r="AJ820" s="79">
        <v>89.560460000000006</v>
      </c>
      <c r="AK820" s="79"/>
      <c r="AL820" s="79"/>
      <c r="AM820" s="79">
        <v>64.702359999999999</v>
      </c>
      <c r="AN820" s="79"/>
      <c r="AO820" s="79">
        <v>56.205179999999999</v>
      </c>
      <c r="AP820" s="79">
        <v>70.662959999999998</v>
      </c>
      <c r="AQ820" s="79"/>
      <c r="AR820" s="79"/>
      <c r="AS820" s="79"/>
      <c r="AT820" s="79"/>
      <c r="AU820" s="79"/>
      <c r="AV820" s="79"/>
      <c r="AW820" s="79"/>
      <c r="AX820" s="79">
        <v>25.197900000000001</v>
      </c>
      <c r="AY820" s="79">
        <v>79.599080000000001</v>
      </c>
    </row>
    <row r="821" spans="1:51" x14ac:dyDescent="0.2">
      <c r="A821" t="s">
        <v>1366</v>
      </c>
      <c r="B821" s="1">
        <v>31868</v>
      </c>
      <c r="C821" s="78">
        <v>821</v>
      </c>
      <c r="E821" s="1">
        <f t="shared" si="24"/>
        <v>31868</v>
      </c>
      <c r="F821" s="2">
        <f t="shared" si="25"/>
        <v>31868</v>
      </c>
      <c r="G821" s="78">
        <v>819</v>
      </c>
      <c r="H821" s="79"/>
      <c r="I821" s="79"/>
      <c r="J821" s="79">
        <v>56.698059999999998</v>
      </c>
      <c r="K821" s="79">
        <v>65.078190000000006</v>
      </c>
      <c r="L821" s="79"/>
      <c r="M821" s="79"/>
      <c r="N821" s="79">
        <v>63.445630000000001</v>
      </c>
      <c r="O821" s="79">
        <v>79.901719999999997</v>
      </c>
      <c r="P821" s="79">
        <v>91.317769999999996</v>
      </c>
      <c r="Q821" s="79"/>
      <c r="R821" s="79">
        <v>62.267800000000001</v>
      </c>
      <c r="S821" s="79">
        <v>82.782089999999997</v>
      </c>
      <c r="T821" s="79">
        <v>89.747399999999999</v>
      </c>
      <c r="U821" s="79">
        <v>119.9392</v>
      </c>
      <c r="V821" s="79">
        <v>47.804969999999997</v>
      </c>
      <c r="W821" s="79">
        <v>10.79072</v>
      </c>
      <c r="X821" s="79"/>
      <c r="Y821" s="79"/>
      <c r="Z821" s="79">
        <v>101.86790000000001</v>
      </c>
      <c r="AA821" s="79">
        <v>84.633740000000003</v>
      </c>
      <c r="AB821" s="79"/>
      <c r="AC821" s="79">
        <v>61.149140000000003</v>
      </c>
      <c r="AD821" s="79"/>
      <c r="AE821" s="79">
        <v>57.041809999999998</v>
      </c>
      <c r="AF821" s="79">
        <v>70.002979999999994</v>
      </c>
      <c r="AG821" s="79">
        <v>74.235820000000004</v>
      </c>
      <c r="AH821" s="79">
        <v>59.869680000000002</v>
      </c>
      <c r="AI821" s="79">
        <v>38.704520000000002</v>
      </c>
      <c r="AJ821" s="79">
        <v>92.245599999999996</v>
      </c>
      <c r="AK821" s="79"/>
      <c r="AL821" s="79"/>
      <c r="AM821" s="79">
        <v>65.047129999999996</v>
      </c>
      <c r="AN821" s="79"/>
      <c r="AO821" s="79">
        <v>56.559699999999999</v>
      </c>
      <c r="AP821" s="79">
        <v>70.777240000000006</v>
      </c>
      <c r="AQ821" s="79"/>
      <c r="AR821" s="79"/>
      <c r="AS821" s="79"/>
      <c r="AT821" s="79"/>
      <c r="AU821" s="79"/>
      <c r="AV821" s="79"/>
      <c r="AW821" s="79"/>
      <c r="AX821" s="79">
        <v>26.19782</v>
      </c>
      <c r="AY821" s="79">
        <v>80.692099999999996</v>
      </c>
    </row>
    <row r="822" spans="1:51" x14ac:dyDescent="0.2">
      <c r="A822" t="s">
        <v>1367</v>
      </c>
      <c r="B822" s="1">
        <v>31898</v>
      </c>
      <c r="C822" s="78">
        <v>822</v>
      </c>
      <c r="E822" s="1">
        <f t="shared" si="24"/>
        <v>31898</v>
      </c>
      <c r="F822" s="2">
        <f t="shared" si="25"/>
        <v>31898</v>
      </c>
      <c r="G822" s="78">
        <v>820</v>
      </c>
      <c r="H822" s="79"/>
      <c r="I822" s="79"/>
      <c r="J822" s="79">
        <v>57.052190000000003</v>
      </c>
      <c r="K822" s="79">
        <v>65.120959999999997</v>
      </c>
      <c r="L822" s="79"/>
      <c r="M822" s="79"/>
      <c r="N822" s="79">
        <v>64.371399999999994</v>
      </c>
      <c r="O822" s="79">
        <v>80.554869999999994</v>
      </c>
      <c r="P822" s="79">
        <v>93.115070000000003</v>
      </c>
      <c r="Q822" s="79"/>
      <c r="R822" s="79">
        <v>63.743340000000003</v>
      </c>
      <c r="S822" s="79">
        <v>83.517930000000007</v>
      </c>
      <c r="T822" s="79">
        <v>91.407589999999999</v>
      </c>
      <c r="U822" s="79">
        <v>118.7131</v>
      </c>
      <c r="V822" s="79">
        <v>46.148809999999997</v>
      </c>
      <c r="W822" s="79">
        <v>11.127929999999999</v>
      </c>
      <c r="X822" s="79"/>
      <c r="Y822" s="79"/>
      <c r="Z822" s="79">
        <v>102.34010000000001</v>
      </c>
      <c r="AA822" s="79">
        <v>83.287679999999995</v>
      </c>
      <c r="AB822" s="79"/>
      <c r="AC822" s="79">
        <v>62.675109999999997</v>
      </c>
      <c r="AD822" s="79"/>
      <c r="AE822" s="79">
        <v>57.547879999999999</v>
      </c>
      <c r="AF822" s="79">
        <v>72.124279999999999</v>
      </c>
      <c r="AG822" s="79">
        <v>76.094440000000006</v>
      </c>
      <c r="AH822" s="79">
        <v>60.209589999999999</v>
      </c>
      <c r="AI822" s="79">
        <v>38.974919999999997</v>
      </c>
      <c r="AJ822" s="79">
        <v>92.879009999999994</v>
      </c>
      <c r="AK822" s="79"/>
      <c r="AL822" s="79"/>
      <c r="AM822" s="79">
        <v>65.90907</v>
      </c>
      <c r="AN822" s="79"/>
      <c r="AO822" s="79">
        <v>56.924880000000002</v>
      </c>
      <c r="AP822" s="79">
        <v>71.681950000000001</v>
      </c>
      <c r="AQ822" s="79"/>
      <c r="AR822" s="79"/>
      <c r="AS822" s="79"/>
      <c r="AT822" s="79"/>
      <c r="AU822" s="79"/>
      <c r="AV822" s="79"/>
      <c r="AW822" s="79"/>
      <c r="AX822" s="79">
        <v>26.79777</v>
      </c>
      <c r="AY822" s="79">
        <v>79.632810000000006</v>
      </c>
    </row>
    <row r="823" spans="1:51" x14ac:dyDescent="0.2">
      <c r="A823" t="s">
        <v>1368</v>
      </c>
      <c r="B823" s="1">
        <v>31929</v>
      </c>
      <c r="C823" s="78">
        <v>823</v>
      </c>
      <c r="E823" s="1">
        <f t="shared" si="24"/>
        <v>31929</v>
      </c>
      <c r="F823" s="2">
        <f t="shared" si="25"/>
        <v>31929</v>
      </c>
      <c r="G823" s="78">
        <v>821</v>
      </c>
      <c r="H823" s="79"/>
      <c r="I823" s="79"/>
      <c r="J823" s="79">
        <v>57.016959999999997</v>
      </c>
      <c r="K823" s="79">
        <v>65.884559999999993</v>
      </c>
      <c r="L823" s="79"/>
      <c r="M823" s="79"/>
      <c r="N823" s="79">
        <v>63.19876</v>
      </c>
      <c r="O823" s="79">
        <v>79.030850000000001</v>
      </c>
      <c r="P823" s="79">
        <v>92.934340000000006</v>
      </c>
      <c r="Q823" s="79"/>
      <c r="R823" s="79">
        <v>62.562910000000002</v>
      </c>
      <c r="S823" s="79">
        <v>83.977829999999997</v>
      </c>
      <c r="T823" s="79">
        <v>91.016949999999994</v>
      </c>
      <c r="U823" s="79">
        <v>116.4686</v>
      </c>
      <c r="V823" s="79">
        <v>46.417380000000001</v>
      </c>
      <c r="W823" s="79">
        <v>10.79072</v>
      </c>
      <c r="X823" s="79"/>
      <c r="Y823" s="79"/>
      <c r="Z823" s="79">
        <v>100.8056</v>
      </c>
      <c r="AA823" s="79">
        <v>86.400450000000006</v>
      </c>
      <c r="AB823" s="79"/>
      <c r="AC823" s="79">
        <v>62.831339999999997</v>
      </c>
      <c r="AD823" s="79"/>
      <c r="AE823" s="79">
        <v>57.547879999999999</v>
      </c>
      <c r="AF823" s="79">
        <v>70.710080000000005</v>
      </c>
      <c r="AG823" s="79">
        <v>71.830529999999996</v>
      </c>
      <c r="AH823" s="79">
        <v>60.456359999999997</v>
      </c>
      <c r="AI823" s="79">
        <v>38.992820000000002</v>
      </c>
      <c r="AJ823" s="79">
        <v>92.889250000000004</v>
      </c>
      <c r="AK823" s="79"/>
      <c r="AL823" s="79"/>
      <c r="AM823" s="79">
        <v>65.506839999999997</v>
      </c>
      <c r="AN823" s="79"/>
      <c r="AO823" s="79">
        <v>57.189599999999999</v>
      </c>
      <c r="AP823" s="79">
        <v>70.929609999999997</v>
      </c>
      <c r="AQ823" s="79"/>
      <c r="AR823" s="79"/>
      <c r="AS823" s="79"/>
      <c r="AT823" s="79"/>
      <c r="AU823" s="79"/>
      <c r="AV823" s="79"/>
      <c r="AW823" s="79"/>
      <c r="AX823" s="79">
        <v>27.497710000000001</v>
      </c>
      <c r="AY823" s="79">
        <v>74.890460000000004</v>
      </c>
    </row>
    <row r="824" spans="1:51" x14ac:dyDescent="0.2">
      <c r="A824" t="s">
        <v>1369</v>
      </c>
      <c r="B824" s="1">
        <v>31959</v>
      </c>
      <c r="C824" s="78">
        <v>824</v>
      </c>
      <c r="E824" s="1">
        <f t="shared" si="24"/>
        <v>31959</v>
      </c>
      <c r="F824" s="2">
        <f t="shared" si="25"/>
        <v>31959</v>
      </c>
      <c r="G824" s="78">
        <v>822</v>
      </c>
      <c r="H824" s="79"/>
      <c r="I824" s="79"/>
      <c r="J824" s="79">
        <v>56.374049999999997</v>
      </c>
      <c r="K824" s="79">
        <v>66.600700000000003</v>
      </c>
      <c r="L824" s="79"/>
      <c r="M824" s="79"/>
      <c r="N824" s="79">
        <v>62.458150000000003</v>
      </c>
      <c r="O824" s="79">
        <v>82.187740000000005</v>
      </c>
      <c r="P824" s="79">
        <v>96.342449999999999</v>
      </c>
      <c r="Q824" s="79"/>
      <c r="R824" s="79">
        <v>63.80236</v>
      </c>
      <c r="S824" s="79">
        <v>82.966049999999996</v>
      </c>
      <c r="T824" s="79">
        <v>92.677130000000005</v>
      </c>
      <c r="U824" s="79">
        <v>117.9966</v>
      </c>
      <c r="V824" s="79">
        <v>47.133560000000003</v>
      </c>
      <c r="W824" s="79">
        <v>11.127929999999999</v>
      </c>
      <c r="X824" s="79"/>
      <c r="Y824" s="79"/>
      <c r="Z824" s="79">
        <v>99.979280000000003</v>
      </c>
      <c r="AA824" s="79">
        <v>87.157619999999994</v>
      </c>
      <c r="AB824" s="79"/>
      <c r="AC824" s="79">
        <v>64.597409999999996</v>
      </c>
      <c r="AD824" s="79"/>
      <c r="AE824" s="79">
        <v>57.837069999999997</v>
      </c>
      <c r="AF824" s="79">
        <v>70.710080000000005</v>
      </c>
      <c r="AG824" s="79">
        <v>75.219800000000006</v>
      </c>
      <c r="AH824" s="79">
        <v>60.651519999999998</v>
      </c>
      <c r="AI824" s="79">
        <v>39.065770000000001</v>
      </c>
      <c r="AJ824" s="79">
        <v>95.419600000000003</v>
      </c>
      <c r="AK824" s="79"/>
      <c r="AL824" s="79"/>
      <c r="AM824" s="79">
        <v>65.219520000000003</v>
      </c>
      <c r="AN824" s="79"/>
      <c r="AO824" s="79">
        <v>57.585999999999999</v>
      </c>
      <c r="AP824" s="79">
        <v>71.215310000000002</v>
      </c>
      <c r="AQ824" s="79"/>
      <c r="AR824" s="79"/>
      <c r="AS824" s="79"/>
      <c r="AT824" s="79"/>
      <c r="AU824" s="79"/>
      <c r="AV824" s="79"/>
      <c r="AW824" s="79"/>
      <c r="AX824" s="79">
        <v>25.297889999999999</v>
      </c>
      <c r="AY824" s="79">
        <v>70.944040000000001</v>
      </c>
    </row>
    <row r="825" spans="1:51" x14ac:dyDescent="0.2">
      <c r="A825" t="s">
        <v>1370</v>
      </c>
      <c r="B825" s="1">
        <v>31990</v>
      </c>
      <c r="C825" s="78">
        <v>825</v>
      </c>
      <c r="E825" s="1">
        <f t="shared" si="24"/>
        <v>31990</v>
      </c>
      <c r="F825" s="2">
        <f t="shared" si="25"/>
        <v>31990</v>
      </c>
      <c r="G825" s="78">
        <v>823</v>
      </c>
      <c r="H825" s="79"/>
      <c r="I825" s="79"/>
      <c r="J825" s="79">
        <v>56.394109999999998</v>
      </c>
      <c r="K825" s="79">
        <v>67.353030000000004</v>
      </c>
      <c r="L825" s="79"/>
      <c r="M825" s="79"/>
      <c r="N825" s="79">
        <v>63.815939999999998</v>
      </c>
      <c r="O825" s="79">
        <v>82.623170000000002</v>
      </c>
      <c r="P825" s="79">
        <v>90.477109999999996</v>
      </c>
      <c r="Q825" s="79"/>
      <c r="R825" s="79">
        <v>64.038439999999994</v>
      </c>
      <c r="S825" s="79">
        <v>82.966049999999996</v>
      </c>
      <c r="T825" s="79">
        <v>92.384159999999994</v>
      </c>
      <c r="U825" s="79">
        <v>117.42310000000001</v>
      </c>
      <c r="V825" s="79">
        <v>44.716450000000002</v>
      </c>
      <c r="W825" s="79">
        <v>11.555059999999999</v>
      </c>
      <c r="X825" s="79"/>
      <c r="Y825" s="79"/>
      <c r="Z825" s="79">
        <v>99.743200000000002</v>
      </c>
      <c r="AA825" s="79">
        <v>87.157619999999994</v>
      </c>
      <c r="AB825" s="79"/>
      <c r="AC825" s="79">
        <v>57.737130000000001</v>
      </c>
      <c r="AD825" s="79"/>
      <c r="AE825" s="79">
        <v>58.126260000000002</v>
      </c>
      <c r="AF825" s="79">
        <v>70.710080000000005</v>
      </c>
      <c r="AG825" s="79">
        <v>67.894620000000003</v>
      </c>
      <c r="AH825" s="79">
        <v>60.976329999999997</v>
      </c>
      <c r="AI825" s="79">
        <v>39.021830000000001</v>
      </c>
      <c r="AJ825" s="79">
        <v>90.298249999999996</v>
      </c>
      <c r="AK825" s="79"/>
      <c r="AL825" s="79"/>
      <c r="AM825" s="79">
        <v>67.747860000000003</v>
      </c>
      <c r="AN825" s="79"/>
      <c r="AO825" s="79">
        <v>58.064430000000002</v>
      </c>
      <c r="AP825" s="79">
        <v>71.253399999999999</v>
      </c>
      <c r="AQ825" s="79"/>
      <c r="AR825" s="79"/>
      <c r="AS825" s="79"/>
      <c r="AT825" s="79"/>
      <c r="AU825" s="79"/>
      <c r="AV825" s="79"/>
      <c r="AW825" s="79"/>
      <c r="AX825" s="79">
        <v>27.997669999999999</v>
      </c>
      <c r="AY825" s="79">
        <v>71.986410000000006</v>
      </c>
    </row>
    <row r="826" spans="1:51" x14ac:dyDescent="0.2">
      <c r="A826" t="s">
        <v>1371</v>
      </c>
      <c r="B826" s="1">
        <v>32021</v>
      </c>
      <c r="C826" s="78">
        <v>826</v>
      </c>
      <c r="E826" s="1">
        <f t="shared" si="24"/>
        <v>32021</v>
      </c>
      <c r="F826" s="2">
        <f t="shared" si="25"/>
        <v>32021</v>
      </c>
      <c r="G826" s="78">
        <v>824</v>
      </c>
      <c r="H826" s="79"/>
      <c r="I826" s="79"/>
      <c r="J826" s="79">
        <v>56.856290000000001</v>
      </c>
      <c r="K826" s="79">
        <v>67.723309999999998</v>
      </c>
      <c r="L826" s="79"/>
      <c r="M826" s="79"/>
      <c r="N826" s="79">
        <v>63.01361</v>
      </c>
      <c r="O826" s="79">
        <v>80.337149999999994</v>
      </c>
      <c r="P826" s="79">
        <v>93.910679999999999</v>
      </c>
      <c r="Q826" s="79"/>
      <c r="R826" s="79">
        <v>63.271160000000002</v>
      </c>
      <c r="S826" s="79">
        <v>84.161789999999996</v>
      </c>
      <c r="T826" s="79">
        <v>91.798209999999997</v>
      </c>
      <c r="U826" s="79">
        <v>121.4577</v>
      </c>
      <c r="V826" s="79">
        <v>47.26784</v>
      </c>
      <c r="W826" s="79">
        <v>11.19537</v>
      </c>
      <c r="X826" s="79"/>
      <c r="Y826" s="79"/>
      <c r="Z826" s="79">
        <v>100.45140000000001</v>
      </c>
      <c r="AA826" s="79">
        <v>88.503680000000003</v>
      </c>
      <c r="AB826" s="79"/>
      <c r="AC826" s="79">
        <v>63.46893</v>
      </c>
      <c r="AD826" s="79"/>
      <c r="AE826" s="79">
        <v>59.138399999999997</v>
      </c>
      <c r="AF826" s="79">
        <v>69.295879999999997</v>
      </c>
      <c r="AG826" s="79">
        <v>75.985119999999995</v>
      </c>
      <c r="AH826" s="79">
        <v>61.240740000000002</v>
      </c>
      <c r="AI826" s="79">
        <v>38.104680000000002</v>
      </c>
      <c r="AJ826" s="79">
        <v>92.949910000000003</v>
      </c>
      <c r="AK826" s="79"/>
      <c r="AL826" s="79"/>
      <c r="AM826" s="79">
        <v>67.115780000000001</v>
      </c>
      <c r="AN826" s="79"/>
      <c r="AO826" s="79">
        <v>58.213500000000003</v>
      </c>
      <c r="AP826" s="79">
        <v>71.320059999999998</v>
      </c>
      <c r="AQ826" s="79"/>
      <c r="AR826" s="79"/>
      <c r="AS826" s="79"/>
      <c r="AT826" s="79"/>
      <c r="AU826" s="79"/>
      <c r="AV826" s="79"/>
      <c r="AW826" s="79"/>
      <c r="AX826" s="79">
        <v>26.99775</v>
      </c>
      <c r="AY826" s="79">
        <v>73.936490000000006</v>
      </c>
    </row>
    <row r="827" spans="1:51" x14ac:dyDescent="0.2">
      <c r="A827" t="s">
        <v>1372</v>
      </c>
      <c r="B827" s="1">
        <v>32051</v>
      </c>
      <c r="C827" s="78">
        <v>827</v>
      </c>
      <c r="E827" s="1">
        <f t="shared" si="24"/>
        <v>32051</v>
      </c>
      <c r="F827" s="2">
        <f t="shared" si="25"/>
        <v>32051</v>
      </c>
      <c r="G827" s="78">
        <v>825</v>
      </c>
      <c r="H827" s="79"/>
      <c r="I827" s="79"/>
      <c r="J827" s="79">
        <v>57.641719999999999</v>
      </c>
      <c r="K827" s="79">
        <v>68.414550000000006</v>
      </c>
      <c r="L827" s="79"/>
      <c r="M827" s="79"/>
      <c r="N827" s="79">
        <v>64.001090000000005</v>
      </c>
      <c r="O827" s="79">
        <v>68.036199999999994</v>
      </c>
      <c r="P827" s="79">
        <v>93.466809999999995</v>
      </c>
      <c r="Q827" s="79"/>
      <c r="R827" s="79">
        <v>62.85801</v>
      </c>
      <c r="S827" s="79">
        <v>84.713669999999993</v>
      </c>
      <c r="T827" s="79">
        <v>92.872439999999997</v>
      </c>
      <c r="U827" s="79">
        <v>120.1572</v>
      </c>
      <c r="V827" s="79">
        <v>47.760219999999997</v>
      </c>
      <c r="W827" s="79">
        <v>11.19537</v>
      </c>
      <c r="X827" s="79"/>
      <c r="Y827" s="79"/>
      <c r="Z827" s="79">
        <v>103.0483</v>
      </c>
      <c r="AA827" s="79">
        <v>89.933869999999999</v>
      </c>
      <c r="AB827" s="79"/>
      <c r="AC827" s="79">
        <v>65.551220000000001</v>
      </c>
      <c r="AD827" s="79"/>
      <c r="AE827" s="79">
        <v>58.921509999999998</v>
      </c>
      <c r="AF827" s="79">
        <v>71.417180000000002</v>
      </c>
      <c r="AG827" s="79">
        <v>76.313100000000006</v>
      </c>
      <c r="AH827" s="79">
        <v>62.066479999999999</v>
      </c>
      <c r="AI827" s="79">
        <v>38.324269999999999</v>
      </c>
      <c r="AJ827" s="79">
        <v>92.110950000000003</v>
      </c>
      <c r="AK827" s="79"/>
      <c r="AL827" s="79"/>
      <c r="AM827" s="79">
        <v>67.288160000000005</v>
      </c>
      <c r="AN827" s="79"/>
      <c r="AO827" s="79">
        <v>59.062690000000003</v>
      </c>
      <c r="AP827" s="79">
        <v>71.843850000000003</v>
      </c>
      <c r="AQ827" s="79"/>
      <c r="AR827" s="79"/>
      <c r="AS827" s="79"/>
      <c r="AT827" s="79"/>
      <c r="AU827" s="79"/>
      <c r="AV827" s="79"/>
      <c r="AW827" s="79"/>
      <c r="AX827" s="79">
        <v>27.997669999999999</v>
      </c>
      <c r="AY827" s="79">
        <v>74.439449999999994</v>
      </c>
    </row>
    <row r="828" spans="1:51" x14ac:dyDescent="0.2">
      <c r="A828" t="s">
        <v>1373</v>
      </c>
      <c r="B828" s="1">
        <v>32082</v>
      </c>
      <c r="C828" s="78">
        <v>828</v>
      </c>
      <c r="E828" s="1">
        <f t="shared" si="24"/>
        <v>32082</v>
      </c>
      <c r="F828" s="2">
        <f t="shared" si="25"/>
        <v>32082</v>
      </c>
      <c r="G828" s="78">
        <v>826</v>
      </c>
      <c r="H828" s="79"/>
      <c r="I828" s="79"/>
      <c r="J828" s="79">
        <v>56.924810000000001</v>
      </c>
      <c r="K828" s="79">
        <v>68.973269999999999</v>
      </c>
      <c r="L828" s="79"/>
      <c r="M828" s="79"/>
      <c r="N828" s="79">
        <v>64.371399999999994</v>
      </c>
      <c r="O828" s="79">
        <v>69.669079999999994</v>
      </c>
      <c r="P828" s="79">
        <v>93.999340000000004</v>
      </c>
      <c r="Q828" s="79"/>
      <c r="R828" s="79">
        <v>62.444859999999998</v>
      </c>
      <c r="S828" s="79">
        <v>84.713669999999993</v>
      </c>
      <c r="T828" s="79">
        <v>92.872439999999997</v>
      </c>
      <c r="U828" s="79">
        <v>121.0639</v>
      </c>
      <c r="V828" s="79">
        <v>47.312600000000003</v>
      </c>
      <c r="W828" s="79">
        <v>11.3977</v>
      </c>
      <c r="X828" s="79"/>
      <c r="Y828" s="79"/>
      <c r="Z828" s="79">
        <v>102.5761</v>
      </c>
      <c r="AA828" s="79">
        <v>90.270390000000006</v>
      </c>
      <c r="AB828" s="79"/>
      <c r="AC828" s="79">
        <v>60.105980000000002</v>
      </c>
      <c r="AD828" s="79"/>
      <c r="AE828" s="79">
        <v>59.066099999999999</v>
      </c>
      <c r="AF828" s="79">
        <v>72.831379999999996</v>
      </c>
      <c r="AG828" s="79">
        <v>75.657120000000006</v>
      </c>
      <c r="AH828" s="79">
        <v>62.35342</v>
      </c>
      <c r="AI828" s="79">
        <v>38.706449999999997</v>
      </c>
      <c r="AJ828" s="79">
        <v>92.76379</v>
      </c>
      <c r="AK828" s="79"/>
      <c r="AL828" s="79"/>
      <c r="AM828" s="79">
        <v>68.150090000000006</v>
      </c>
      <c r="AN828" s="79"/>
      <c r="AO828" s="79">
        <v>59.37265</v>
      </c>
      <c r="AP828" s="79">
        <v>72.129549999999995</v>
      </c>
      <c r="AQ828" s="79"/>
      <c r="AR828" s="79"/>
      <c r="AS828" s="79"/>
      <c r="AT828" s="79"/>
      <c r="AU828" s="79"/>
      <c r="AV828" s="79"/>
      <c r="AW828" s="79"/>
      <c r="AX828" s="79">
        <v>29.197569999999999</v>
      </c>
      <c r="AY828" s="79">
        <v>76.817719999999994</v>
      </c>
    </row>
    <row r="829" spans="1:51" x14ac:dyDescent="0.2">
      <c r="A829" t="s">
        <v>1374</v>
      </c>
      <c r="B829" s="1">
        <v>32112</v>
      </c>
      <c r="C829" s="78">
        <v>829</v>
      </c>
      <c r="E829" s="1">
        <f t="shared" si="24"/>
        <v>32112</v>
      </c>
      <c r="F829" s="2">
        <f t="shared" si="25"/>
        <v>32112</v>
      </c>
      <c r="G829" s="78">
        <v>827</v>
      </c>
      <c r="H829" s="79"/>
      <c r="I829" s="79"/>
      <c r="J829" s="79">
        <v>57.216769999999997</v>
      </c>
      <c r="K829" s="79">
        <v>69.66216</v>
      </c>
      <c r="L829" s="79"/>
      <c r="M829" s="79"/>
      <c r="N829" s="79">
        <v>64.433109999999999</v>
      </c>
      <c r="O829" s="79">
        <v>72.281660000000002</v>
      </c>
      <c r="P829" s="79">
        <v>93.221069999999997</v>
      </c>
      <c r="Q829" s="79"/>
      <c r="R829" s="79">
        <v>63.743340000000003</v>
      </c>
      <c r="S829" s="79">
        <v>85.909409999999994</v>
      </c>
      <c r="T829" s="79">
        <v>93.653710000000004</v>
      </c>
      <c r="U829" s="79">
        <v>124.0334</v>
      </c>
      <c r="V829" s="79">
        <v>47.35736</v>
      </c>
      <c r="W829" s="79">
        <v>10.745760000000001</v>
      </c>
      <c r="X829" s="79"/>
      <c r="Y829" s="79"/>
      <c r="Z829" s="79">
        <v>101.0416</v>
      </c>
      <c r="AA829" s="79">
        <v>91.279929999999993</v>
      </c>
      <c r="AB829" s="79"/>
      <c r="AC829" s="79">
        <v>66.524060000000006</v>
      </c>
      <c r="AD829" s="79"/>
      <c r="AE829" s="79">
        <v>59.066099999999999</v>
      </c>
      <c r="AF829" s="79">
        <v>70.710080000000005</v>
      </c>
      <c r="AG829" s="79">
        <v>75.875780000000006</v>
      </c>
      <c r="AH829" s="79">
        <v>62.591239999999999</v>
      </c>
      <c r="AI829" s="79">
        <v>39.468589999999999</v>
      </c>
      <c r="AJ829" s="79">
        <v>96.004630000000006</v>
      </c>
      <c r="AK829" s="79"/>
      <c r="AL829" s="79"/>
      <c r="AM829" s="79">
        <v>68.379940000000005</v>
      </c>
      <c r="AN829" s="79"/>
      <c r="AO829" s="79">
        <v>59.665889999999997</v>
      </c>
      <c r="AP829" s="79">
        <v>71.948599999999999</v>
      </c>
      <c r="AQ829" s="79"/>
      <c r="AR829" s="79"/>
      <c r="AS829" s="79"/>
      <c r="AT829" s="79"/>
      <c r="AU829" s="79"/>
      <c r="AV829" s="79"/>
      <c r="AW829" s="79"/>
      <c r="AX829" s="79">
        <v>28.897590000000001</v>
      </c>
      <c r="AY829" s="79">
        <v>74.463390000000004</v>
      </c>
    </row>
    <row r="830" spans="1:51" x14ac:dyDescent="0.2">
      <c r="A830" t="s">
        <v>1375</v>
      </c>
      <c r="B830" s="1">
        <v>32143</v>
      </c>
      <c r="C830" s="78">
        <v>830</v>
      </c>
      <c r="E830" s="1">
        <f t="shared" si="24"/>
        <v>32143</v>
      </c>
      <c r="F830" s="2">
        <f t="shared" si="25"/>
        <v>32143</v>
      </c>
      <c r="G830" s="78">
        <v>828</v>
      </c>
      <c r="H830" s="79"/>
      <c r="I830" s="79"/>
      <c r="J830" s="79">
        <v>58.93927</v>
      </c>
      <c r="K830" s="79">
        <v>70.222759999999994</v>
      </c>
      <c r="L830" s="79"/>
      <c r="M830" s="79"/>
      <c r="N830" s="79">
        <v>64.124529999999993</v>
      </c>
      <c r="O830" s="79">
        <v>83.058599999999998</v>
      </c>
      <c r="P830" s="79">
        <v>91.643299999999996</v>
      </c>
      <c r="Q830" s="79"/>
      <c r="R830" s="79">
        <v>64.923770000000005</v>
      </c>
      <c r="S830" s="79">
        <v>85.817430000000002</v>
      </c>
      <c r="T830" s="79">
        <v>94.532629999999997</v>
      </c>
      <c r="U830" s="79">
        <v>126.146</v>
      </c>
      <c r="V830" s="79">
        <v>44.089790000000001</v>
      </c>
      <c r="W830" s="79">
        <v>11.734909999999999</v>
      </c>
      <c r="X830" s="79"/>
      <c r="Y830" s="79"/>
      <c r="Z830" s="79">
        <v>105.99930000000001</v>
      </c>
      <c r="AA830" s="79">
        <v>91.573409999999996</v>
      </c>
      <c r="AB830" s="79"/>
      <c r="AC830" s="79">
        <v>66.086939999999998</v>
      </c>
      <c r="AD830" s="79"/>
      <c r="AE830" s="79">
        <v>58.415439999999997</v>
      </c>
      <c r="AF830" s="79">
        <v>68.58878</v>
      </c>
      <c r="AG830" s="79">
        <v>76.094440000000006</v>
      </c>
      <c r="AH830" s="79">
        <v>62.845440000000004</v>
      </c>
      <c r="AI830" s="79">
        <v>39.754489999999997</v>
      </c>
      <c r="AJ830" s="79">
        <v>96.31765</v>
      </c>
      <c r="AK830" s="79"/>
      <c r="AL830" s="79"/>
      <c r="AM830" s="79">
        <v>65.56429</v>
      </c>
      <c r="AN830" s="79"/>
      <c r="AO830" s="79">
        <v>59.692689999999999</v>
      </c>
      <c r="AP830" s="79">
        <v>71.805760000000006</v>
      </c>
      <c r="AQ830" s="79"/>
      <c r="AR830" s="79"/>
      <c r="AS830" s="79"/>
      <c r="AT830" s="79"/>
      <c r="AU830" s="79"/>
      <c r="AV830" s="79"/>
      <c r="AW830" s="79"/>
      <c r="AX830" s="79">
        <v>29.597529999999999</v>
      </c>
      <c r="AY830" s="79">
        <v>74.624139999999997</v>
      </c>
    </row>
    <row r="831" spans="1:51" x14ac:dyDescent="0.2">
      <c r="A831" t="s">
        <v>1376</v>
      </c>
      <c r="B831" s="1">
        <v>32174</v>
      </c>
      <c r="C831" s="78">
        <v>831</v>
      </c>
      <c r="E831" s="1">
        <f t="shared" si="24"/>
        <v>32174</v>
      </c>
      <c r="F831" s="2">
        <f t="shared" si="25"/>
        <v>32174</v>
      </c>
      <c r="G831" s="78">
        <v>829</v>
      </c>
      <c r="H831" s="79"/>
      <c r="I831" s="79"/>
      <c r="J831" s="79">
        <v>58.111199999999997</v>
      </c>
      <c r="K831" s="79">
        <v>70.432810000000003</v>
      </c>
      <c r="L831" s="79"/>
      <c r="M831" s="79"/>
      <c r="N831" s="79">
        <v>64.618269999999995</v>
      </c>
      <c r="O831" s="79">
        <v>80.663730000000001</v>
      </c>
      <c r="P831" s="79">
        <v>93.849689999999995</v>
      </c>
      <c r="Q831" s="79"/>
      <c r="R831" s="79">
        <v>64.864750000000001</v>
      </c>
      <c r="S831" s="79">
        <v>87.105159999999998</v>
      </c>
      <c r="T831" s="79">
        <v>93.360730000000004</v>
      </c>
      <c r="U831" s="79">
        <v>125.2312</v>
      </c>
      <c r="V831" s="79">
        <v>47.088790000000003</v>
      </c>
      <c r="W831" s="79">
        <v>11.44266</v>
      </c>
      <c r="X831" s="79"/>
      <c r="Y831" s="79"/>
      <c r="Z831" s="79">
        <v>104.58280000000001</v>
      </c>
      <c r="AA831" s="79">
        <v>94.514309999999995</v>
      </c>
      <c r="AB831" s="79"/>
      <c r="AC831" s="79">
        <v>65.822789999999998</v>
      </c>
      <c r="AD831" s="79"/>
      <c r="AE831" s="79">
        <v>58.053959999999996</v>
      </c>
      <c r="AF831" s="79">
        <v>69.295879999999997</v>
      </c>
      <c r="AG831" s="79">
        <v>76.641099999999994</v>
      </c>
      <c r="AH831" s="79">
        <v>63.262360000000001</v>
      </c>
      <c r="AI831" s="79">
        <v>40.869399999999999</v>
      </c>
      <c r="AJ831" s="79">
        <v>96.063310000000001</v>
      </c>
      <c r="AK831" s="79"/>
      <c r="AL831" s="79"/>
      <c r="AM831" s="79">
        <v>64.415049999999994</v>
      </c>
      <c r="AN831" s="79"/>
      <c r="AO831" s="79">
        <v>59.952030000000001</v>
      </c>
      <c r="AP831" s="79">
        <v>72.52</v>
      </c>
      <c r="AQ831" s="79"/>
      <c r="AR831" s="79"/>
      <c r="AS831" s="79"/>
      <c r="AT831" s="79"/>
      <c r="AU831" s="79"/>
      <c r="AV831" s="79"/>
      <c r="AW831" s="79"/>
      <c r="AX831" s="79">
        <v>29.397549999999999</v>
      </c>
      <c r="AY831" s="79">
        <v>74.728740000000002</v>
      </c>
    </row>
    <row r="832" spans="1:51" x14ac:dyDescent="0.2">
      <c r="A832" t="s">
        <v>1377</v>
      </c>
      <c r="B832" s="1">
        <v>32203</v>
      </c>
      <c r="C832" s="78">
        <v>832</v>
      </c>
      <c r="E832" s="1">
        <f t="shared" si="24"/>
        <v>32203</v>
      </c>
      <c r="F832" s="2">
        <f t="shared" si="25"/>
        <v>32203</v>
      </c>
      <c r="G832" s="78">
        <v>830</v>
      </c>
      <c r="H832" s="79"/>
      <c r="I832" s="79"/>
      <c r="J832" s="79">
        <v>58.041139999999999</v>
      </c>
      <c r="K832" s="79">
        <v>71.022540000000006</v>
      </c>
      <c r="L832" s="79"/>
      <c r="M832" s="79"/>
      <c r="N832" s="79">
        <v>64.30968</v>
      </c>
      <c r="O832" s="79">
        <v>81.643450000000001</v>
      </c>
      <c r="P832" s="79">
        <v>97.691730000000007</v>
      </c>
      <c r="Q832" s="79"/>
      <c r="R832" s="79">
        <v>63.507249999999999</v>
      </c>
      <c r="S832" s="79">
        <v>87.197140000000005</v>
      </c>
      <c r="T832" s="79">
        <v>94.825599999999994</v>
      </c>
      <c r="U832" s="79">
        <v>127.187</v>
      </c>
      <c r="V832" s="79">
        <v>46.820230000000002</v>
      </c>
      <c r="W832" s="79">
        <v>11.48762</v>
      </c>
      <c r="X832" s="79"/>
      <c r="Y832" s="79"/>
      <c r="Z832" s="79">
        <v>105.99930000000001</v>
      </c>
      <c r="AA832" s="79">
        <v>92.688929999999999</v>
      </c>
      <c r="AB832" s="79"/>
      <c r="AC832" s="79">
        <v>65.837260000000001</v>
      </c>
      <c r="AD832" s="79"/>
      <c r="AE832" s="79">
        <v>57.909370000000003</v>
      </c>
      <c r="AF832" s="79">
        <v>70.002979999999994</v>
      </c>
      <c r="AG832" s="79">
        <v>76.094440000000006</v>
      </c>
      <c r="AH832" s="79">
        <v>63.203310000000002</v>
      </c>
      <c r="AI832" s="79">
        <v>40.896470000000001</v>
      </c>
      <c r="AJ832" s="79">
        <v>91.548689999999993</v>
      </c>
      <c r="AK832" s="79"/>
      <c r="AL832" s="79"/>
      <c r="AM832" s="79">
        <v>66.023989999999998</v>
      </c>
      <c r="AN832" s="79"/>
      <c r="AO832" s="79">
        <v>60.07199</v>
      </c>
      <c r="AP832" s="79">
        <v>73.453289999999996</v>
      </c>
      <c r="AQ832" s="79"/>
      <c r="AR832" s="79"/>
      <c r="AS832" s="79"/>
      <c r="AT832" s="79"/>
      <c r="AU832" s="79"/>
      <c r="AV832" s="79"/>
      <c r="AW832" s="79"/>
      <c r="AX832" s="79">
        <v>27.997669999999999</v>
      </c>
      <c r="AY832" s="79">
        <v>78.63158</v>
      </c>
    </row>
    <row r="833" spans="1:51" x14ac:dyDescent="0.2">
      <c r="A833" t="s">
        <v>1378</v>
      </c>
      <c r="B833" s="1">
        <v>32234</v>
      </c>
      <c r="C833" s="78">
        <v>833</v>
      </c>
      <c r="E833" s="1">
        <f t="shared" si="24"/>
        <v>32234</v>
      </c>
      <c r="F833" s="2">
        <f t="shared" si="25"/>
        <v>32234</v>
      </c>
      <c r="G833" s="78">
        <v>831</v>
      </c>
      <c r="H833" s="79"/>
      <c r="I833" s="79"/>
      <c r="J833" s="79">
        <v>59.632710000000003</v>
      </c>
      <c r="K833" s="79">
        <v>70.894729999999996</v>
      </c>
      <c r="L833" s="79"/>
      <c r="M833" s="79"/>
      <c r="N833" s="79">
        <v>64.741699999999994</v>
      </c>
      <c r="O833" s="79">
        <v>78.921999999999997</v>
      </c>
      <c r="P833" s="79">
        <v>93.555570000000003</v>
      </c>
      <c r="Q833" s="79"/>
      <c r="R833" s="79">
        <v>65.513980000000004</v>
      </c>
      <c r="S833" s="79">
        <v>85.909409999999994</v>
      </c>
      <c r="T833" s="79">
        <v>94.141999999999996</v>
      </c>
      <c r="U833" s="79">
        <v>123.3575</v>
      </c>
      <c r="V833" s="79">
        <v>45.656440000000003</v>
      </c>
      <c r="W833" s="79">
        <v>11.6225</v>
      </c>
      <c r="X833" s="79"/>
      <c r="Y833" s="79"/>
      <c r="Z833" s="79">
        <v>105.291</v>
      </c>
      <c r="AA833" s="79">
        <v>94.91995</v>
      </c>
      <c r="AB833" s="79"/>
      <c r="AC833" s="79">
        <v>65.564329999999998</v>
      </c>
      <c r="AD833" s="79"/>
      <c r="AE833" s="79">
        <v>57.909370000000003</v>
      </c>
      <c r="AF833" s="79">
        <v>68.58878</v>
      </c>
      <c r="AG833" s="79">
        <v>77.734409999999997</v>
      </c>
      <c r="AH833" s="79">
        <v>63.498339999999999</v>
      </c>
      <c r="AI833" s="79">
        <v>40.006450000000001</v>
      </c>
      <c r="AJ833" s="79">
        <v>95.0959</v>
      </c>
      <c r="AK833" s="79"/>
      <c r="AL833" s="79"/>
      <c r="AM833" s="79">
        <v>67.690389999999994</v>
      </c>
      <c r="AN833" s="79"/>
      <c r="AO833" s="79">
        <v>60.412109999999998</v>
      </c>
      <c r="AP833" s="79">
        <v>72.348579999999998</v>
      </c>
      <c r="AQ833" s="79"/>
      <c r="AR833" s="79"/>
      <c r="AS833" s="79"/>
      <c r="AT833" s="79"/>
      <c r="AU833" s="79"/>
      <c r="AV833" s="79"/>
      <c r="AW833" s="79"/>
      <c r="AX833" s="79">
        <v>28.497630000000001</v>
      </c>
      <c r="AY833" s="79">
        <v>75.332210000000003</v>
      </c>
    </row>
    <row r="834" spans="1:51" x14ac:dyDescent="0.2">
      <c r="A834" t="s">
        <v>1379</v>
      </c>
      <c r="B834" s="1">
        <v>32264</v>
      </c>
      <c r="C834" s="78">
        <v>834</v>
      </c>
      <c r="E834" s="1">
        <f t="shared" ref="E834:E897" si="26">B834</f>
        <v>32264</v>
      </c>
      <c r="F834" s="2">
        <f t="shared" ref="F834:F897" si="27">B834</f>
        <v>32264</v>
      </c>
      <c r="G834" s="78">
        <v>832</v>
      </c>
      <c r="H834" s="79"/>
      <c r="I834" s="79"/>
      <c r="J834" s="79">
        <v>59.587389999999999</v>
      </c>
      <c r="K834" s="79">
        <v>71.408339999999995</v>
      </c>
      <c r="L834" s="79"/>
      <c r="M834" s="79"/>
      <c r="N834" s="79">
        <v>64.741699999999994</v>
      </c>
      <c r="O834" s="79">
        <v>79.901719999999997</v>
      </c>
      <c r="P834" s="79">
        <v>95.140209999999996</v>
      </c>
      <c r="Q834" s="79"/>
      <c r="R834" s="79">
        <v>64.805729999999997</v>
      </c>
      <c r="S834" s="79">
        <v>87.013180000000006</v>
      </c>
      <c r="T834" s="79">
        <v>95.216229999999996</v>
      </c>
      <c r="U834" s="79">
        <v>124.8905</v>
      </c>
      <c r="V834" s="79">
        <v>46.014530000000001</v>
      </c>
      <c r="W834" s="79">
        <v>11.64498</v>
      </c>
      <c r="X834" s="79"/>
      <c r="Y834" s="79"/>
      <c r="Z834" s="79">
        <v>105.7632</v>
      </c>
      <c r="AA834" s="79">
        <v>93.905850000000001</v>
      </c>
      <c r="AB834" s="79"/>
      <c r="AC834" s="79">
        <v>67.911730000000006</v>
      </c>
      <c r="AD834" s="79"/>
      <c r="AE834" s="79">
        <v>57.764769999999999</v>
      </c>
      <c r="AF834" s="79">
        <v>70.710080000000005</v>
      </c>
      <c r="AG834" s="79">
        <v>75.001140000000007</v>
      </c>
      <c r="AH834" s="79">
        <v>63.519500000000001</v>
      </c>
      <c r="AI834" s="79">
        <v>42.024900000000002</v>
      </c>
      <c r="AJ834" s="79">
        <v>97.595979999999997</v>
      </c>
      <c r="AK834" s="79"/>
      <c r="AL834" s="79"/>
      <c r="AM834" s="79">
        <v>68.035160000000005</v>
      </c>
      <c r="AN834" s="79"/>
      <c r="AO834" s="79">
        <v>60.341419999999999</v>
      </c>
      <c r="AP834" s="79">
        <v>73.472329999999999</v>
      </c>
      <c r="AQ834" s="79"/>
      <c r="AR834" s="79"/>
      <c r="AS834" s="79"/>
      <c r="AT834" s="79"/>
      <c r="AU834" s="79"/>
      <c r="AV834" s="79"/>
      <c r="AW834" s="79"/>
      <c r="AX834" s="79">
        <v>28.197649999999999</v>
      </c>
      <c r="AY834" s="79">
        <v>73.939959999999999</v>
      </c>
    </row>
    <row r="835" spans="1:51" x14ac:dyDescent="0.2">
      <c r="A835" t="s">
        <v>1380</v>
      </c>
      <c r="B835" s="1">
        <v>32295</v>
      </c>
      <c r="C835" s="78">
        <v>835</v>
      </c>
      <c r="E835" s="1">
        <f t="shared" si="26"/>
        <v>32295</v>
      </c>
      <c r="F835" s="2">
        <f t="shared" si="27"/>
        <v>32295</v>
      </c>
      <c r="G835" s="78">
        <v>833</v>
      </c>
      <c r="H835" s="79"/>
      <c r="I835" s="79"/>
      <c r="J835" s="79">
        <v>59.333599999999997</v>
      </c>
      <c r="K835" s="79">
        <v>71.021129999999999</v>
      </c>
      <c r="L835" s="79"/>
      <c r="M835" s="79"/>
      <c r="N835" s="79">
        <v>65.914339999999996</v>
      </c>
      <c r="O835" s="79">
        <v>80.554869999999994</v>
      </c>
      <c r="P835" s="79">
        <v>94.579899999999995</v>
      </c>
      <c r="Q835" s="79"/>
      <c r="R835" s="79">
        <v>65.750079999999997</v>
      </c>
      <c r="S835" s="79">
        <v>87.565060000000003</v>
      </c>
      <c r="T835" s="79">
        <v>95.509200000000007</v>
      </c>
      <c r="U835" s="79">
        <v>127.0235</v>
      </c>
      <c r="V835" s="79">
        <v>46.641190000000002</v>
      </c>
      <c r="W835" s="79">
        <v>12.11708</v>
      </c>
      <c r="X835" s="79"/>
      <c r="Y835" s="79"/>
      <c r="Z835" s="79">
        <v>106.82559999999999</v>
      </c>
      <c r="AA835" s="79">
        <v>94.210080000000005</v>
      </c>
      <c r="AB835" s="79"/>
      <c r="AC835" s="79">
        <v>68.395380000000003</v>
      </c>
      <c r="AD835" s="79"/>
      <c r="AE835" s="79">
        <v>58.632330000000003</v>
      </c>
      <c r="AF835" s="79">
        <v>72.124279999999999</v>
      </c>
      <c r="AG835" s="79">
        <v>73.579830000000001</v>
      </c>
      <c r="AH835" s="79">
        <v>63.774360000000001</v>
      </c>
      <c r="AI835" s="79">
        <v>41.428229999999999</v>
      </c>
      <c r="AJ835" s="79">
        <v>94.836370000000002</v>
      </c>
      <c r="AK835" s="79"/>
      <c r="AL835" s="79"/>
      <c r="AM835" s="79">
        <v>67.747860000000003</v>
      </c>
      <c r="AN835" s="79"/>
      <c r="AO835" s="79">
        <v>60.495100000000001</v>
      </c>
      <c r="AP835" s="79">
        <v>73.519949999999994</v>
      </c>
      <c r="AQ835" s="79"/>
      <c r="AR835" s="79"/>
      <c r="AS835" s="79"/>
      <c r="AT835" s="79"/>
      <c r="AU835" s="79"/>
      <c r="AV835" s="79"/>
      <c r="AW835" s="79"/>
      <c r="AX835" s="79">
        <v>26.897760000000002</v>
      </c>
      <c r="AY835" s="79">
        <v>76.100999999999999</v>
      </c>
    </row>
    <row r="836" spans="1:51" x14ac:dyDescent="0.2">
      <c r="A836" t="s">
        <v>1381</v>
      </c>
      <c r="B836" s="1">
        <v>32325</v>
      </c>
      <c r="C836" s="78">
        <v>836</v>
      </c>
      <c r="E836" s="1">
        <f t="shared" si="26"/>
        <v>32325</v>
      </c>
      <c r="F836" s="2">
        <f t="shared" si="27"/>
        <v>32325</v>
      </c>
      <c r="G836" s="78">
        <v>834</v>
      </c>
      <c r="H836" s="79"/>
      <c r="I836" s="79"/>
      <c r="J836" s="79">
        <v>60.513339999999999</v>
      </c>
      <c r="K836" s="79">
        <v>70.607609999999994</v>
      </c>
      <c r="L836" s="79"/>
      <c r="M836" s="79"/>
      <c r="N836" s="79">
        <v>64.371399999999994</v>
      </c>
      <c r="O836" s="79">
        <v>75.111969999999999</v>
      </c>
      <c r="P836" s="79">
        <v>96.050539999999998</v>
      </c>
      <c r="Q836" s="79"/>
      <c r="R836" s="79">
        <v>64.68768</v>
      </c>
      <c r="S836" s="79">
        <v>86.921199999999999</v>
      </c>
      <c r="T836" s="79">
        <v>95.997489999999999</v>
      </c>
      <c r="U836" s="79">
        <v>125.23909999999999</v>
      </c>
      <c r="V836" s="79">
        <v>45.387869999999999</v>
      </c>
      <c r="W836" s="79">
        <v>11.982189999999999</v>
      </c>
      <c r="X836" s="79"/>
      <c r="Y836" s="79"/>
      <c r="Z836" s="79">
        <v>106.5895</v>
      </c>
      <c r="AA836" s="79">
        <v>94.615719999999996</v>
      </c>
      <c r="AB836" s="79"/>
      <c r="AC836" s="79">
        <v>65.420779999999993</v>
      </c>
      <c r="AD836" s="79"/>
      <c r="AE836" s="79">
        <v>56.897219999999997</v>
      </c>
      <c r="AF836" s="79">
        <v>73.538480000000007</v>
      </c>
      <c r="AG836" s="79">
        <v>74.017150000000001</v>
      </c>
      <c r="AH836" s="79">
        <v>63.688130000000001</v>
      </c>
      <c r="AI836" s="79">
        <v>40.201949999999997</v>
      </c>
      <c r="AJ836" s="79">
        <v>96.350409999999997</v>
      </c>
      <c r="AK836" s="79"/>
      <c r="AL836" s="79"/>
      <c r="AM836" s="79">
        <v>66.713539999999995</v>
      </c>
      <c r="AN836" s="79"/>
      <c r="AO836" s="79">
        <v>60.521030000000003</v>
      </c>
      <c r="AP836" s="79">
        <v>72.939030000000002</v>
      </c>
      <c r="AQ836" s="79"/>
      <c r="AR836" s="79"/>
      <c r="AS836" s="79"/>
      <c r="AT836" s="79"/>
      <c r="AU836" s="79"/>
      <c r="AV836" s="79"/>
      <c r="AW836" s="79"/>
      <c r="AX836" s="79">
        <v>28.697610000000001</v>
      </c>
      <c r="AY836" s="79">
        <v>73.588470000000001</v>
      </c>
    </row>
    <row r="837" spans="1:51" x14ac:dyDescent="0.2">
      <c r="A837" t="s">
        <v>1382</v>
      </c>
      <c r="B837" s="1">
        <v>32356</v>
      </c>
      <c r="C837" s="78">
        <v>837</v>
      </c>
      <c r="E837" s="1">
        <f t="shared" si="26"/>
        <v>32356</v>
      </c>
      <c r="F837" s="2">
        <f t="shared" si="27"/>
        <v>32356</v>
      </c>
      <c r="G837" s="78">
        <v>835</v>
      </c>
      <c r="H837" s="79"/>
      <c r="I837" s="79"/>
      <c r="J837" s="79">
        <v>60.628520000000002</v>
      </c>
      <c r="K837" s="79">
        <v>70.642390000000006</v>
      </c>
      <c r="L837" s="79"/>
      <c r="M837" s="79"/>
      <c r="N837" s="79">
        <v>67.02525</v>
      </c>
      <c r="O837" s="79">
        <v>77.397989999999993</v>
      </c>
      <c r="P837" s="79">
        <v>95.470330000000004</v>
      </c>
      <c r="Q837" s="79"/>
      <c r="R837" s="79">
        <v>64.628659999999996</v>
      </c>
      <c r="S837" s="79">
        <v>86.921199999999999</v>
      </c>
      <c r="T837" s="79">
        <v>97.071719999999999</v>
      </c>
      <c r="U837" s="79">
        <v>128.7732</v>
      </c>
      <c r="V837" s="79">
        <v>46.820230000000002</v>
      </c>
      <c r="W837" s="79">
        <v>11.93723</v>
      </c>
      <c r="X837" s="79"/>
      <c r="Y837" s="79"/>
      <c r="Z837" s="79">
        <v>105.173</v>
      </c>
      <c r="AA837" s="79">
        <v>95.122770000000003</v>
      </c>
      <c r="AB837" s="79"/>
      <c r="AC837" s="79">
        <v>73.648120000000006</v>
      </c>
      <c r="AD837" s="79"/>
      <c r="AE837" s="79">
        <v>59.210700000000003</v>
      </c>
      <c r="AF837" s="79">
        <v>72.124279999999999</v>
      </c>
      <c r="AG837" s="79">
        <v>74.673140000000004</v>
      </c>
      <c r="AH837" s="79">
        <v>64.139589999999998</v>
      </c>
      <c r="AI837" s="79">
        <v>40.778460000000003</v>
      </c>
      <c r="AJ837" s="79">
        <v>95.887600000000006</v>
      </c>
      <c r="AK837" s="79"/>
      <c r="AL837" s="79"/>
      <c r="AM837" s="79">
        <v>65.104600000000005</v>
      </c>
      <c r="AN837" s="79"/>
      <c r="AO837" s="79">
        <v>60.773650000000004</v>
      </c>
      <c r="AP837" s="79">
        <v>75.396039999999999</v>
      </c>
      <c r="AQ837" s="79"/>
      <c r="AR837" s="79"/>
      <c r="AS837" s="79"/>
      <c r="AT837" s="79"/>
      <c r="AU837" s="79"/>
      <c r="AV837" s="79"/>
      <c r="AW837" s="79"/>
      <c r="AX837" s="79">
        <v>27.497710000000001</v>
      </c>
      <c r="AY837" s="79">
        <v>74.158429999999996</v>
      </c>
    </row>
    <row r="838" spans="1:51" x14ac:dyDescent="0.2">
      <c r="A838" t="s">
        <v>1383</v>
      </c>
      <c r="B838" s="1">
        <v>32387</v>
      </c>
      <c r="C838" s="78">
        <v>838</v>
      </c>
      <c r="E838" s="1">
        <f t="shared" si="26"/>
        <v>32387</v>
      </c>
      <c r="F838" s="2">
        <f t="shared" si="27"/>
        <v>32387</v>
      </c>
      <c r="G838" s="78">
        <v>836</v>
      </c>
      <c r="H838" s="79"/>
      <c r="I838" s="79"/>
      <c r="J838" s="79">
        <v>60.755330000000001</v>
      </c>
      <c r="K838" s="79">
        <v>71.111360000000005</v>
      </c>
      <c r="L838" s="79"/>
      <c r="M838" s="79"/>
      <c r="N838" s="79">
        <v>66.222920000000002</v>
      </c>
      <c r="O838" s="79">
        <v>78.16</v>
      </c>
      <c r="P838" s="79">
        <v>95.220389999999995</v>
      </c>
      <c r="Q838" s="79"/>
      <c r="R838" s="79">
        <v>66.340289999999996</v>
      </c>
      <c r="S838" s="79">
        <v>88.668819999999997</v>
      </c>
      <c r="T838" s="79">
        <v>98.048299999999998</v>
      </c>
      <c r="U838" s="79">
        <v>126.0968</v>
      </c>
      <c r="V838" s="79">
        <v>46.148809999999997</v>
      </c>
      <c r="W838" s="79">
        <v>12.184519999999999</v>
      </c>
      <c r="X838" s="79"/>
      <c r="Y838" s="79"/>
      <c r="Z838" s="79">
        <v>108.006</v>
      </c>
      <c r="AA838" s="79">
        <v>96.643919999999994</v>
      </c>
      <c r="AB838" s="79"/>
      <c r="AC838" s="79">
        <v>65.521180000000001</v>
      </c>
      <c r="AD838" s="79"/>
      <c r="AE838" s="79">
        <v>58.849220000000003</v>
      </c>
      <c r="AF838" s="79">
        <v>74.245580000000004</v>
      </c>
      <c r="AG838" s="79">
        <v>79.593040000000002</v>
      </c>
      <c r="AH838" s="79">
        <v>64.380799999999994</v>
      </c>
      <c r="AI838" s="79">
        <v>39.937040000000003</v>
      </c>
      <c r="AJ838" s="79">
        <v>94.339519999999993</v>
      </c>
      <c r="AK838" s="79"/>
      <c r="AL838" s="79"/>
      <c r="AM838" s="79">
        <v>66.311300000000003</v>
      </c>
      <c r="AN838" s="79"/>
      <c r="AO838" s="79">
        <v>60.607190000000003</v>
      </c>
      <c r="AP838" s="79">
        <v>74.653220000000005</v>
      </c>
      <c r="AQ838" s="79"/>
      <c r="AR838" s="79"/>
      <c r="AS838" s="79"/>
      <c r="AT838" s="79"/>
      <c r="AU838" s="79"/>
      <c r="AV838" s="79"/>
      <c r="AW838" s="79"/>
      <c r="AX838" s="79">
        <v>26.497789999999998</v>
      </c>
      <c r="AY838" s="79">
        <v>72.973590000000002</v>
      </c>
    </row>
    <row r="839" spans="1:51" x14ac:dyDescent="0.2">
      <c r="A839" t="s">
        <v>1384</v>
      </c>
      <c r="B839" s="1">
        <v>32417</v>
      </c>
      <c r="C839" s="78">
        <v>839</v>
      </c>
      <c r="E839" s="1">
        <f t="shared" si="26"/>
        <v>32417</v>
      </c>
      <c r="F839" s="2">
        <f t="shared" si="27"/>
        <v>32417</v>
      </c>
      <c r="G839" s="78">
        <v>837</v>
      </c>
      <c r="H839" s="79"/>
      <c r="I839" s="79"/>
      <c r="J839" s="79">
        <v>60.294699999999999</v>
      </c>
      <c r="K839" s="79">
        <v>70.476979999999998</v>
      </c>
      <c r="L839" s="79"/>
      <c r="M839" s="79"/>
      <c r="N839" s="79">
        <v>66.469800000000006</v>
      </c>
      <c r="O839" s="79">
        <v>87.1952</v>
      </c>
      <c r="P839" s="79">
        <v>95.918959999999998</v>
      </c>
      <c r="Q839" s="79"/>
      <c r="R839" s="79">
        <v>66.871480000000005</v>
      </c>
      <c r="S839" s="79">
        <v>86.645259999999993</v>
      </c>
      <c r="T839" s="79">
        <v>96.974069999999998</v>
      </c>
      <c r="U839" s="79">
        <v>124.76349999999999</v>
      </c>
      <c r="V839" s="79">
        <v>46.104050000000001</v>
      </c>
      <c r="W839" s="79">
        <v>12.836460000000001</v>
      </c>
      <c r="X839" s="79"/>
      <c r="Y839" s="79"/>
      <c r="Z839" s="79">
        <v>107.4158</v>
      </c>
      <c r="AA839" s="79">
        <v>95.325590000000005</v>
      </c>
      <c r="AB839" s="79"/>
      <c r="AC839" s="79">
        <v>68.532839999999993</v>
      </c>
      <c r="AD839" s="79"/>
      <c r="AE839" s="79">
        <v>59.861370000000001</v>
      </c>
      <c r="AF839" s="79">
        <v>74.245580000000004</v>
      </c>
      <c r="AG839" s="79">
        <v>78.17174</v>
      </c>
      <c r="AH839" s="79">
        <v>64.454149999999998</v>
      </c>
      <c r="AI839" s="79">
        <v>39.526600000000002</v>
      </c>
      <c r="AJ839" s="79">
        <v>97.563820000000007</v>
      </c>
      <c r="AK839" s="79"/>
      <c r="AL839" s="79"/>
      <c r="AM839" s="79">
        <v>68.609790000000004</v>
      </c>
      <c r="AN839" s="79"/>
      <c r="AO839" s="79">
        <v>60.90802</v>
      </c>
      <c r="AP839" s="79">
        <v>74.158010000000004</v>
      </c>
      <c r="AQ839" s="79"/>
      <c r="AR839" s="79"/>
      <c r="AS839" s="79"/>
      <c r="AT839" s="79"/>
      <c r="AU839" s="79"/>
      <c r="AV839" s="79"/>
      <c r="AW839" s="79"/>
      <c r="AX839" s="79">
        <v>27.79768</v>
      </c>
      <c r="AY839" s="79">
        <v>69.941569999999999</v>
      </c>
    </row>
    <row r="840" spans="1:51" x14ac:dyDescent="0.2">
      <c r="A840" t="s">
        <v>1385</v>
      </c>
      <c r="B840" s="1">
        <v>32448</v>
      </c>
      <c r="C840" s="78">
        <v>840</v>
      </c>
      <c r="E840" s="1">
        <f t="shared" si="26"/>
        <v>32448</v>
      </c>
      <c r="F840" s="2">
        <f t="shared" si="27"/>
        <v>32448</v>
      </c>
      <c r="G840" s="78">
        <v>838</v>
      </c>
      <c r="H840" s="79"/>
      <c r="I840" s="79"/>
      <c r="J840" s="79">
        <v>61.250680000000003</v>
      </c>
      <c r="K840" s="79">
        <v>70.016000000000005</v>
      </c>
      <c r="L840" s="79"/>
      <c r="M840" s="79"/>
      <c r="N840" s="79">
        <v>66.778379999999999</v>
      </c>
      <c r="O840" s="79">
        <v>86.542050000000003</v>
      </c>
      <c r="P840" s="79">
        <v>97.737489999999994</v>
      </c>
      <c r="Q840" s="79"/>
      <c r="R840" s="79">
        <v>67.284639999999996</v>
      </c>
      <c r="S840" s="79">
        <v>88.944760000000002</v>
      </c>
      <c r="T840" s="79">
        <v>97.950649999999996</v>
      </c>
      <c r="U840" s="79">
        <v>125.4885</v>
      </c>
      <c r="V840" s="79">
        <v>46.283090000000001</v>
      </c>
      <c r="W840" s="79">
        <v>12.25196</v>
      </c>
      <c r="X840" s="79"/>
      <c r="Y840" s="79"/>
      <c r="Z840" s="79">
        <v>109.3044</v>
      </c>
      <c r="AA840" s="79">
        <v>97.353800000000007</v>
      </c>
      <c r="AB840" s="79"/>
      <c r="AC840" s="79">
        <v>71.789630000000002</v>
      </c>
      <c r="AD840" s="79"/>
      <c r="AE840" s="79">
        <v>61.451889999999999</v>
      </c>
      <c r="AF840" s="79">
        <v>73.538480000000007</v>
      </c>
      <c r="AG840" s="79">
        <v>79.483710000000002</v>
      </c>
      <c r="AH840" s="79">
        <v>64.992909999999995</v>
      </c>
      <c r="AI840" s="79">
        <v>40.342149999999997</v>
      </c>
      <c r="AJ840" s="79">
        <v>97.095380000000006</v>
      </c>
      <c r="AK840" s="79"/>
      <c r="AL840" s="79"/>
      <c r="AM840" s="79">
        <v>68.265010000000004</v>
      </c>
      <c r="AN840" s="79"/>
      <c r="AO840" s="79">
        <v>61.004649999999998</v>
      </c>
      <c r="AP840" s="79">
        <v>74.853210000000004</v>
      </c>
      <c r="AQ840" s="79"/>
      <c r="AR840" s="79"/>
      <c r="AS840" s="79"/>
      <c r="AT840" s="79"/>
      <c r="AU840" s="79"/>
      <c r="AV840" s="79"/>
      <c r="AW840" s="79"/>
      <c r="AX840" s="79">
        <v>26.59778</v>
      </c>
      <c r="AY840" s="79">
        <v>69.748369999999994</v>
      </c>
    </row>
    <row r="841" spans="1:51" x14ac:dyDescent="0.2">
      <c r="A841" t="s">
        <v>1386</v>
      </c>
      <c r="B841" s="1">
        <v>32478</v>
      </c>
      <c r="C841" s="78">
        <v>841</v>
      </c>
      <c r="E841" s="1">
        <f t="shared" si="26"/>
        <v>32478</v>
      </c>
      <c r="F841" s="2">
        <f t="shared" si="27"/>
        <v>32478</v>
      </c>
      <c r="G841" s="78">
        <v>839</v>
      </c>
      <c r="H841" s="79"/>
      <c r="I841" s="79"/>
      <c r="J841" s="79">
        <v>60.494320000000002</v>
      </c>
      <c r="K841" s="79">
        <v>70.974140000000006</v>
      </c>
      <c r="L841" s="79"/>
      <c r="M841" s="79"/>
      <c r="N841" s="79">
        <v>68.259609999999995</v>
      </c>
      <c r="O841" s="79">
        <v>88.828069999999997</v>
      </c>
      <c r="P841" s="79">
        <v>97.312100000000001</v>
      </c>
      <c r="Q841" s="79"/>
      <c r="R841" s="79">
        <v>66.812460000000002</v>
      </c>
      <c r="S841" s="79">
        <v>90.048519999999996</v>
      </c>
      <c r="T841" s="79">
        <v>97.267039999999994</v>
      </c>
      <c r="U841" s="79">
        <v>125.18470000000001</v>
      </c>
      <c r="V841" s="79">
        <v>46.775469999999999</v>
      </c>
      <c r="W841" s="79">
        <v>12.656610000000001</v>
      </c>
      <c r="X841" s="79"/>
      <c r="Y841" s="79"/>
      <c r="Z841" s="79">
        <v>111.5471</v>
      </c>
      <c r="AA841" s="79">
        <v>98.063670000000002</v>
      </c>
      <c r="AB841" s="79"/>
      <c r="AC841" s="79">
        <v>74.309529999999995</v>
      </c>
      <c r="AD841" s="79"/>
      <c r="AE841" s="79">
        <v>61.451889999999999</v>
      </c>
      <c r="AF841" s="79">
        <v>71.417180000000002</v>
      </c>
      <c r="AG841" s="79">
        <v>79.811700000000002</v>
      </c>
      <c r="AH841" s="79">
        <v>65.466710000000006</v>
      </c>
      <c r="AI841" s="79">
        <v>39.284419999999997</v>
      </c>
      <c r="AJ841" s="79">
        <v>97.757450000000006</v>
      </c>
      <c r="AK841" s="79"/>
      <c r="AL841" s="79"/>
      <c r="AM841" s="79">
        <v>68.035160000000005</v>
      </c>
      <c r="AN841" s="79"/>
      <c r="AO841" s="79">
        <v>61.302889999999998</v>
      </c>
      <c r="AP841" s="79">
        <v>75.872209999999995</v>
      </c>
      <c r="AQ841" s="79"/>
      <c r="AR841" s="79"/>
      <c r="AS841" s="79"/>
      <c r="AT841" s="79"/>
      <c r="AU841" s="79"/>
      <c r="AV841" s="79"/>
      <c r="AW841" s="79"/>
      <c r="AX841" s="79">
        <v>27.997669999999999</v>
      </c>
      <c r="AY841" s="79">
        <v>73.910709999999995</v>
      </c>
    </row>
    <row r="842" spans="1:51" x14ac:dyDescent="0.2">
      <c r="A842" t="s">
        <v>1387</v>
      </c>
      <c r="B842" s="1">
        <v>32509</v>
      </c>
      <c r="C842" s="78">
        <v>842</v>
      </c>
      <c r="E842" s="1">
        <f t="shared" si="26"/>
        <v>32509</v>
      </c>
      <c r="F842" s="2">
        <f t="shared" si="27"/>
        <v>32509</v>
      </c>
      <c r="G842" s="78">
        <v>840</v>
      </c>
      <c r="H842" s="79"/>
      <c r="I842" s="79"/>
      <c r="J842" s="79">
        <v>61.578290000000003</v>
      </c>
      <c r="K842" s="79">
        <v>70.738249999999994</v>
      </c>
      <c r="L842" s="79"/>
      <c r="M842" s="79"/>
      <c r="N842" s="79">
        <v>67.272130000000004</v>
      </c>
      <c r="O842" s="79">
        <v>83.929469999999995</v>
      </c>
      <c r="P842" s="79">
        <v>98.896529999999998</v>
      </c>
      <c r="Q842" s="79"/>
      <c r="R842" s="79">
        <v>66.458340000000007</v>
      </c>
      <c r="S842" s="79">
        <v>89.588620000000006</v>
      </c>
      <c r="T842" s="79">
        <v>97.755330000000001</v>
      </c>
      <c r="U842" s="79">
        <v>127.8215</v>
      </c>
      <c r="V842" s="79">
        <v>45.164059999999999</v>
      </c>
      <c r="W842" s="79">
        <v>13.038779999999999</v>
      </c>
      <c r="X842" s="79"/>
      <c r="Y842" s="79"/>
      <c r="Z842" s="79">
        <v>110.01260000000001</v>
      </c>
      <c r="AA842" s="79">
        <v>98.874949999999998</v>
      </c>
      <c r="AB842" s="79">
        <v>18.981349999999999</v>
      </c>
      <c r="AC842" s="79">
        <v>74.04092</v>
      </c>
      <c r="AD842" s="79"/>
      <c r="AE842" s="79">
        <v>62.174849999999999</v>
      </c>
      <c r="AF842" s="79">
        <v>72.548540000000003</v>
      </c>
      <c r="AG842" s="79">
        <v>80.795680000000004</v>
      </c>
      <c r="AH842" s="79">
        <v>65.554760000000002</v>
      </c>
      <c r="AI842" s="79">
        <v>44.6173</v>
      </c>
      <c r="AJ842" s="79">
        <v>98.310820000000007</v>
      </c>
      <c r="AK842" s="79">
        <v>47.26587</v>
      </c>
      <c r="AL842" s="79"/>
      <c r="AM842" s="79">
        <v>70.506039999999999</v>
      </c>
      <c r="AN842" s="79"/>
      <c r="AO842" s="79">
        <v>61.487299999999998</v>
      </c>
      <c r="AP842" s="79">
        <v>76.034099999999995</v>
      </c>
      <c r="AQ842" s="79"/>
      <c r="AR842" s="79"/>
      <c r="AS842" s="79"/>
      <c r="AT842" s="79"/>
      <c r="AU842" s="79"/>
      <c r="AV842" s="79"/>
      <c r="AW842" s="79"/>
      <c r="AX842" s="79">
        <v>26.99775</v>
      </c>
      <c r="AY842" s="79">
        <v>73.195610000000002</v>
      </c>
    </row>
    <row r="843" spans="1:51" x14ac:dyDescent="0.2">
      <c r="A843" t="s">
        <v>1388</v>
      </c>
      <c r="B843" s="1">
        <v>32540</v>
      </c>
      <c r="C843" s="78">
        <v>843</v>
      </c>
      <c r="E843" s="1">
        <f t="shared" si="26"/>
        <v>32540</v>
      </c>
      <c r="F843" s="2">
        <f t="shared" si="27"/>
        <v>32540</v>
      </c>
      <c r="G843" s="78">
        <v>841</v>
      </c>
      <c r="H843" s="79"/>
      <c r="I843" s="79"/>
      <c r="J843" s="79">
        <v>61.479399999999998</v>
      </c>
      <c r="K843" s="79">
        <v>71.465199999999996</v>
      </c>
      <c r="L843" s="79"/>
      <c r="M843" s="79"/>
      <c r="N843" s="79">
        <v>67.02525</v>
      </c>
      <c r="O843" s="79">
        <v>81.208020000000005</v>
      </c>
      <c r="P843" s="79">
        <v>98.894599999999997</v>
      </c>
      <c r="Q843" s="79"/>
      <c r="R843" s="79">
        <v>66.045180000000002</v>
      </c>
      <c r="S843" s="79">
        <v>89.404660000000007</v>
      </c>
      <c r="T843" s="79">
        <v>98.048299999999998</v>
      </c>
      <c r="U843" s="79">
        <v>126.7033</v>
      </c>
      <c r="V843" s="79">
        <v>44.940260000000002</v>
      </c>
      <c r="W843" s="79">
        <v>12.72406</v>
      </c>
      <c r="X843" s="79"/>
      <c r="Y843" s="79"/>
      <c r="Z843" s="79">
        <v>110.2487</v>
      </c>
      <c r="AA843" s="79">
        <v>98.266490000000005</v>
      </c>
      <c r="AB843" s="79">
        <v>18.896619999999999</v>
      </c>
      <c r="AC843" s="79">
        <v>71.986450000000005</v>
      </c>
      <c r="AD843" s="79"/>
      <c r="AE843" s="79">
        <v>62.174849999999999</v>
      </c>
      <c r="AF843" s="79">
        <v>72.124279999999999</v>
      </c>
      <c r="AG843" s="79">
        <v>80.249020000000002</v>
      </c>
      <c r="AH843" s="79">
        <v>65.435559999999995</v>
      </c>
      <c r="AI843" s="79">
        <v>41.243369999999999</v>
      </c>
      <c r="AJ843" s="79">
        <v>97.062510000000003</v>
      </c>
      <c r="AK843" s="79">
        <v>48.365020000000001</v>
      </c>
      <c r="AL843" s="79"/>
      <c r="AM843" s="79">
        <v>69.988879999999995</v>
      </c>
      <c r="AN843" s="79"/>
      <c r="AO843" s="79">
        <v>61.207700000000003</v>
      </c>
      <c r="AP843" s="79">
        <v>75.843639999999994</v>
      </c>
      <c r="AQ843" s="79"/>
      <c r="AR843" s="79"/>
      <c r="AS843" s="79"/>
      <c r="AT843" s="79"/>
      <c r="AU843" s="79"/>
      <c r="AV843" s="79"/>
      <c r="AW843" s="79"/>
      <c r="AX843" s="79">
        <v>28.497630000000001</v>
      </c>
      <c r="AY843" s="79">
        <v>69.970799999999997</v>
      </c>
    </row>
    <row r="844" spans="1:51" x14ac:dyDescent="0.2">
      <c r="A844" t="s">
        <v>1389</v>
      </c>
      <c r="B844" s="1">
        <v>32568</v>
      </c>
      <c r="C844" s="78">
        <v>844</v>
      </c>
      <c r="E844" s="1">
        <f t="shared" si="26"/>
        <v>32568</v>
      </c>
      <c r="F844" s="2">
        <f t="shared" si="27"/>
        <v>32568</v>
      </c>
      <c r="G844" s="78">
        <v>842</v>
      </c>
      <c r="H844" s="79"/>
      <c r="I844" s="79"/>
      <c r="J844" s="79">
        <v>60.472110000000001</v>
      </c>
      <c r="K844" s="79">
        <v>71.062020000000004</v>
      </c>
      <c r="L844" s="79"/>
      <c r="M844" s="79"/>
      <c r="N844" s="79">
        <v>67.518990000000002</v>
      </c>
      <c r="O844" s="79">
        <v>80.663730000000001</v>
      </c>
      <c r="P844" s="79">
        <v>101.65349999999999</v>
      </c>
      <c r="Q844" s="79"/>
      <c r="R844" s="79">
        <v>66.39931</v>
      </c>
      <c r="S844" s="79">
        <v>89.496639999999999</v>
      </c>
      <c r="T844" s="79">
        <v>96.778760000000005</v>
      </c>
      <c r="U844" s="79">
        <v>127.9023</v>
      </c>
      <c r="V844" s="79">
        <v>45.119300000000003</v>
      </c>
      <c r="W844" s="79">
        <v>12.993819999999999</v>
      </c>
      <c r="X844" s="79"/>
      <c r="Y844" s="79"/>
      <c r="Z844" s="79">
        <v>108.71420000000001</v>
      </c>
      <c r="AA844" s="79">
        <v>101.8158</v>
      </c>
      <c r="AB844" s="79">
        <v>19.066089999999999</v>
      </c>
      <c r="AC844" s="79">
        <v>73.105249999999998</v>
      </c>
      <c r="AD844" s="79"/>
      <c r="AE844" s="79">
        <v>61.813369999999999</v>
      </c>
      <c r="AF844" s="79">
        <v>71.912149999999997</v>
      </c>
      <c r="AG844" s="79">
        <v>83.310299999999998</v>
      </c>
      <c r="AH844" s="79">
        <v>65.866399999999999</v>
      </c>
      <c r="AI844" s="79">
        <v>40.481009999999998</v>
      </c>
      <c r="AJ844" s="79">
        <v>101.31229999999999</v>
      </c>
      <c r="AK844" s="79">
        <v>44.573329999999999</v>
      </c>
      <c r="AL844" s="79"/>
      <c r="AM844" s="79">
        <v>69.931420000000003</v>
      </c>
      <c r="AN844" s="79"/>
      <c r="AO844" s="79">
        <v>61.346879999999999</v>
      </c>
      <c r="AP844" s="79">
        <v>75.815060000000003</v>
      </c>
      <c r="AQ844" s="79"/>
      <c r="AR844" s="79"/>
      <c r="AS844" s="79"/>
      <c r="AT844" s="79"/>
      <c r="AU844" s="79"/>
      <c r="AV844" s="79"/>
      <c r="AW844" s="79"/>
      <c r="AX844" s="79">
        <v>28.197649999999999</v>
      </c>
      <c r="AY844" s="79">
        <v>72.494759999999999</v>
      </c>
    </row>
    <row r="845" spans="1:51" x14ac:dyDescent="0.2">
      <c r="A845" t="s">
        <v>1390</v>
      </c>
      <c r="B845" s="1">
        <v>32599</v>
      </c>
      <c r="C845" s="78">
        <v>845</v>
      </c>
      <c r="E845" s="1">
        <f t="shared" si="26"/>
        <v>32599</v>
      </c>
      <c r="F845" s="2">
        <f t="shared" si="27"/>
        <v>32599</v>
      </c>
      <c r="G845" s="78">
        <v>843</v>
      </c>
      <c r="H845" s="79"/>
      <c r="I845" s="79"/>
      <c r="J845" s="79">
        <v>61.6447</v>
      </c>
      <c r="K845" s="79">
        <v>71.489639999999994</v>
      </c>
      <c r="L845" s="79"/>
      <c r="M845" s="79"/>
      <c r="N845" s="79">
        <v>69.555670000000006</v>
      </c>
      <c r="O845" s="79">
        <v>81.970020000000005</v>
      </c>
      <c r="P845" s="79">
        <v>99.317740000000001</v>
      </c>
      <c r="Q845" s="79"/>
      <c r="R845" s="79">
        <v>64.274540000000002</v>
      </c>
      <c r="S845" s="79">
        <v>91.152280000000005</v>
      </c>
      <c r="T845" s="79">
        <v>99.122540000000001</v>
      </c>
      <c r="U845" s="79">
        <v>130.68379999999999</v>
      </c>
      <c r="V845" s="79">
        <v>44.492649999999998</v>
      </c>
      <c r="W845" s="79">
        <v>12.94886</v>
      </c>
      <c r="X845" s="79"/>
      <c r="Y845" s="79"/>
      <c r="Z845" s="79">
        <v>109.54049999999999</v>
      </c>
      <c r="AA845" s="79">
        <v>100.19329999999999</v>
      </c>
      <c r="AB845" s="79">
        <v>18.070419999999999</v>
      </c>
      <c r="AC845" s="79">
        <v>75.987369999999999</v>
      </c>
      <c r="AD845" s="79"/>
      <c r="AE845" s="79">
        <v>62.31944</v>
      </c>
      <c r="AF845" s="79">
        <v>77.922499999999999</v>
      </c>
      <c r="AG845" s="79">
        <v>83.856949999999998</v>
      </c>
      <c r="AH845" s="79">
        <v>66.045320000000004</v>
      </c>
      <c r="AI845" s="79">
        <v>42.376519999999999</v>
      </c>
      <c r="AJ845" s="79">
        <v>100.52509999999999</v>
      </c>
      <c r="AK845" s="79">
        <v>46.903469999999999</v>
      </c>
      <c r="AL845" s="79"/>
      <c r="AM845" s="79">
        <v>69.931420000000003</v>
      </c>
      <c r="AN845" s="79"/>
      <c r="AO845" s="79">
        <v>61.388469999999998</v>
      </c>
      <c r="AP845" s="79">
        <v>77.443550000000002</v>
      </c>
      <c r="AQ845" s="79"/>
      <c r="AR845" s="79"/>
      <c r="AS845" s="79"/>
      <c r="AT845" s="79"/>
      <c r="AU845" s="79"/>
      <c r="AV845" s="79"/>
      <c r="AW845" s="79"/>
      <c r="AX845" s="79">
        <v>26.697769999999998</v>
      </c>
      <c r="AY845" s="79">
        <v>74.617329999999995</v>
      </c>
    </row>
    <row r="846" spans="1:51" x14ac:dyDescent="0.2">
      <c r="A846" t="s">
        <v>1391</v>
      </c>
      <c r="B846" s="1">
        <v>32629</v>
      </c>
      <c r="C846" s="78">
        <v>846</v>
      </c>
      <c r="E846" s="1">
        <f t="shared" si="26"/>
        <v>32629</v>
      </c>
      <c r="F846" s="2">
        <f t="shared" si="27"/>
        <v>32629</v>
      </c>
      <c r="G846" s="78">
        <v>844</v>
      </c>
      <c r="H846" s="79"/>
      <c r="I846" s="79"/>
      <c r="J846" s="79">
        <v>61.345199999999998</v>
      </c>
      <c r="K846" s="79">
        <v>70.803569999999993</v>
      </c>
      <c r="L846" s="79"/>
      <c r="M846" s="79"/>
      <c r="N846" s="79">
        <v>66.222920000000002</v>
      </c>
      <c r="O846" s="79">
        <v>82.078879999999998</v>
      </c>
      <c r="P846" s="79">
        <v>99.621709999999993</v>
      </c>
      <c r="Q846" s="79"/>
      <c r="R846" s="79">
        <v>65.513980000000004</v>
      </c>
      <c r="S846" s="79">
        <v>90.140500000000003</v>
      </c>
      <c r="T846" s="79">
        <v>96.681100000000001</v>
      </c>
      <c r="U846" s="79">
        <v>128.21369999999999</v>
      </c>
      <c r="V846" s="79">
        <v>45.745959999999997</v>
      </c>
      <c r="W846" s="79">
        <v>13.4884</v>
      </c>
      <c r="X846" s="79"/>
      <c r="Y846" s="79"/>
      <c r="Z846" s="79">
        <v>108.59610000000001</v>
      </c>
      <c r="AA846" s="79">
        <v>100.29470000000001</v>
      </c>
      <c r="AB846" s="79">
        <v>19.299119999999998</v>
      </c>
      <c r="AC846" s="79">
        <v>74.437240000000003</v>
      </c>
      <c r="AD846" s="79"/>
      <c r="AE846" s="79">
        <v>62.391739999999999</v>
      </c>
      <c r="AF846" s="79">
        <v>75.023390000000006</v>
      </c>
      <c r="AG846" s="79">
        <v>83.310299999999998</v>
      </c>
      <c r="AH846" s="79">
        <v>65.508309999999994</v>
      </c>
      <c r="AI846" s="79">
        <v>39.880139999999997</v>
      </c>
      <c r="AJ846" s="79">
        <v>102.2257</v>
      </c>
      <c r="AK846" s="79">
        <v>46.997570000000003</v>
      </c>
      <c r="AL846" s="79"/>
      <c r="AM846" s="79">
        <v>67.977710000000002</v>
      </c>
      <c r="AN846" s="79"/>
      <c r="AO846" s="79">
        <v>60.981209999999997</v>
      </c>
      <c r="AP846" s="79">
        <v>75.138909999999996</v>
      </c>
      <c r="AQ846" s="79"/>
      <c r="AR846" s="79"/>
      <c r="AS846" s="79"/>
      <c r="AT846" s="79"/>
      <c r="AU846" s="79"/>
      <c r="AV846" s="79"/>
      <c r="AW846" s="79"/>
      <c r="AX846" s="79">
        <v>27.997669999999999</v>
      </c>
      <c r="AY846" s="79">
        <v>76.543180000000007</v>
      </c>
    </row>
    <row r="847" spans="1:51" x14ac:dyDescent="0.2">
      <c r="A847" t="s">
        <v>1392</v>
      </c>
      <c r="B847" s="1">
        <v>32660</v>
      </c>
      <c r="C847" s="78">
        <v>847</v>
      </c>
      <c r="E847" s="1">
        <f t="shared" si="26"/>
        <v>32660</v>
      </c>
      <c r="F847" s="2">
        <f t="shared" si="27"/>
        <v>32660</v>
      </c>
      <c r="G847" s="78">
        <v>845</v>
      </c>
      <c r="H847" s="79"/>
      <c r="I847" s="79"/>
      <c r="J847" s="79">
        <v>60.868360000000003</v>
      </c>
      <c r="K847" s="79">
        <v>70.265529999999998</v>
      </c>
      <c r="L847" s="79"/>
      <c r="M847" s="79"/>
      <c r="N847" s="79">
        <v>68.876779999999997</v>
      </c>
      <c r="O847" s="79">
        <v>82.623170000000002</v>
      </c>
      <c r="P847" s="79">
        <v>100.4769</v>
      </c>
      <c r="Q847" s="79"/>
      <c r="R847" s="79">
        <v>66.39931</v>
      </c>
      <c r="S847" s="79">
        <v>91.336240000000004</v>
      </c>
      <c r="T847" s="79">
        <v>96.681100000000001</v>
      </c>
      <c r="U847" s="79">
        <v>126.8169</v>
      </c>
      <c r="V847" s="79">
        <v>45.164059999999999</v>
      </c>
      <c r="W847" s="79">
        <v>13.35351</v>
      </c>
      <c r="X847" s="79"/>
      <c r="Y847" s="79"/>
      <c r="Z847" s="79">
        <v>111.3111</v>
      </c>
      <c r="AA847" s="79">
        <v>101.5116</v>
      </c>
      <c r="AB847" s="79">
        <v>19.57452</v>
      </c>
      <c r="AC847" s="79">
        <v>72.180160000000001</v>
      </c>
      <c r="AD847" s="79"/>
      <c r="AE847" s="79">
        <v>63.548479999999998</v>
      </c>
      <c r="AF847" s="79">
        <v>74.457710000000006</v>
      </c>
      <c r="AG847" s="79">
        <v>84.62227</v>
      </c>
      <c r="AH847" s="79">
        <v>66.198260000000005</v>
      </c>
      <c r="AI847" s="79">
        <v>41.013069999999999</v>
      </c>
      <c r="AJ847" s="79">
        <v>102.9379</v>
      </c>
      <c r="AK847" s="79">
        <v>52.46172</v>
      </c>
      <c r="AL847" s="79"/>
      <c r="AM847" s="79">
        <v>68.954560000000001</v>
      </c>
      <c r="AN847" s="79"/>
      <c r="AO847" s="79">
        <v>61.010309999999997</v>
      </c>
      <c r="AP847" s="79">
        <v>77.538790000000006</v>
      </c>
      <c r="AQ847" s="79"/>
      <c r="AR847" s="79"/>
      <c r="AS847" s="79"/>
      <c r="AT847" s="79"/>
      <c r="AU847" s="79"/>
      <c r="AV847" s="79"/>
      <c r="AW847" s="79"/>
      <c r="AX847" s="79">
        <v>28.997579999999999</v>
      </c>
      <c r="AY847" s="79">
        <v>79.275120000000001</v>
      </c>
    </row>
    <row r="848" spans="1:51" x14ac:dyDescent="0.2">
      <c r="A848" t="s">
        <v>1393</v>
      </c>
      <c r="B848" s="1">
        <v>32690</v>
      </c>
      <c r="C848" s="78">
        <v>848</v>
      </c>
      <c r="E848" s="1">
        <f t="shared" si="26"/>
        <v>32690</v>
      </c>
      <c r="F848" s="2">
        <f t="shared" si="27"/>
        <v>32690</v>
      </c>
      <c r="G848" s="78">
        <v>846</v>
      </c>
      <c r="H848" s="79"/>
      <c r="I848" s="79"/>
      <c r="J848" s="79">
        <v>63.920830000000002</v>
      </c>
      <c r="K848" s="79">
        <v>69.703509999999994</v>
      </c>
      <c r="L848" s="79"/>
      <c r="M848" s="79"/>
      <c r="N848" s="79">
        <v>69.24709</v>
      </c>
      <c r="O848" s="79">
        <v>79.030850000000001</v>
      </c>
      <c r="P848" s="79">
        <v>101.4567</v>
      </c>
      <c r="Q848" s="79"/>
      <c r="R848" s="79">
        <v>77.318309999999997</v>
      </c>
      <c r="S848" s="79">
        <v>90.324460000000002</v>
      </c>
      <c r="T848" s="79">
        <v>96.876410000000007</v>
      </c>
      <c r="U848" s="79">
        <v>128.4402</v>
      </c>
      <c r="V848" s="79">
        <v>44.00027</v>
      </c>
      <c r="W848" s="79">
        <v>14.81476</v>
      </c>
      <c r="X848" s="79"/>
      <c r="Y848" s="79"/>
      <c r="Z848" s="79">
        <v>110.01260000000001</v>
      </c>
      <c r="AA848" s="79">
        <v>99.382000000000005</v>
      </c>
      <c r="AB848" s="79">
        <v>19.701630000000002</v>
      </c>
      <c r="AC848" s="79">
        <v>71.895769999999999</v>
      </c>
      <c r="AD848" s="79"/>
      <c r="AE848" s="79">
        <v>63.114699999999999</v>
      </c>
      <c r="AF848" s="79">
        <v>75.023390000000006</v>
      </c>
      <c r="AG848" s="79">
        <v>84.95026</v>
      </c>
      <c r="AH848" s="79">
        <v>65.864769999999993</v>
      </c>
      <c r="AI848" s="79">
        <v>37.833739999999999</v>
      </c>
      <c r="AJ848" s="79">
        <v>101.00230000000001</v>
      </c>
      <c r="AK848" s="79">
        <v>42.21499</v>
      </c>
      <c r="AL848" s="79"/>
      <c r="AM848" s="79">
        <v>67.230699999999999</v>
      </c>
      <c r="AN848" s="79"/>
      <c r="AO848" s="79">
        <v>60.450049999999997</v>
      </c>
      <c r="AP848" s="79">
        <v>76.862629999999996</v>
      </c>
      <c r="AQ848" s="79"/>
      <c r="AR848" s="79"/>
      <c r="AS848" s="79"/>
      <c r="AT848" s="79"/>
      <c r="AU848" s="79"/>
      <c r="AV848" s="79"/>
      <c r="AW848" s="79"/>
      <c r="AX848" s="79">
        <v>29.69753</v>
      </c>
      <c r="AY848" s="79">
        <v>78.411479999999997</v>
      </c>
    </row>
    <row r="849" spans="1:51" x14ac:dyDescent="0.2">
      <c r="A849" t="s">
        <v>1394</v>
      </c>
      <c r="B849" s="1">
        <v>32721</v>
      </c>
      <c r="C849" s="78">
        <v>849</v>
      </c>
      <c r="E849" s="1">
        <f t="shared" si="26"/>
        <v>32721</v>
      </c>
      <c r="F849" s="2">
        <f t="shared" si="27"/>
        <v>32721</v>
      </c>
      <c r="G849" s="78">
        <v>847</v>
      </c>
      <c r="H849" s="79"/>
      <c r="I849" s="79"/>
      <c r="J849" s="79">
        <v>62.507710000000003</v>
      </c>
      <c r="K849" s="79">
        <v>69.823340000000002</v>
      </c>
      <c r="L849" s="79"/>
      <c r="M849" s="79"/>
      <c r="N849" s="79">
        <v>69.061930000000004</v>
      </c>
      <c r="O849" s="79">
        <v>77.833420000000004</v>
      </c>
      <c r="P849" s="79">
        <v>99.459159999999997</v>
      </c>
      <c r="Q849" s="79"/>
      <c r="R849" s="79">
        <v>68.878219999999999</v>
      </c>
      <c r="S849" s="79">
        <v>90.324460000000002</v>
      </c>
      <c r="T849" s="79">
        <v>98.927220000000005</v>
      </c>
      <c r="U849" s="79">
        <v>128.208</v>
      </c>
      <c r="V849" s="79">
        <v>44.224080000000001</v>
      </c>
      <c r="W849" s="79">
        <v>12.70158</v>
      </c>
      <c r="X849" s="79"/>
      <c r="Y849" s="79"/>
      <c r="Z849" s="79">
        <v>109.54049999999999</v>
      </c>
      <c r="AA849" s="79">
        <v>101.10599999999999</v>
      </c>
      <c r="AB849" s="79">
        <v>20.421900000000001</v>
      </c>
      <c r="AC849" s="79">
        <v>77.859830000000002</v>
      </c>
      <c r="AD849" s="79"/>
      <c r="AE849" s="79">
        <v>63.620780000000003</v>
      </c>
      <c r="AF849" s="79">
        <v>75.447649999999996</v>
      </c>
      <c r="AG849" s="79">
        <v>85.387590000000003</v>
      </c>
      <c r="AH849" s="79">
        <v>66.234470000000002</v>
      </c>
      <c r="AI849" s="79">
        <v>36.713000000000001</v>
      </c>
      <c r="AJ849" s="79">
        <v>103.7058</v>
      </c>
      <c r="AK849" s="79">
        <v>34.447400000000002</v>
      </c>
      <c r="AL849" s="79"/>
      <c r="AM849" s="79">
        <v>68.207549999999998</v>
      </c>
      <c r="AN849" s="79"/>
      <c r="AO849" s="79">
        <v>61.008490000000002</v>
      </c>
      <c r="AP849" s="79">
        <v>79.157749999999993</v>
      </c>
      <c r="AQ849" s="79"/>
      <c r="AR849" s="79"/>
      <c r="AS849" s="79"/>
      <c r="AT849" s="79"/>
      <c r="AU849" s="79"/>
      <c r="AV849" s="79"/>
      <c r="AW849" s="79"/>
      <c r="AX849" s="79">
        <v>29.097580000000001</v>
      </c>
      <c r="AY849" s="79">
        <v>78.310040000000001</v>
      </c>
    </row>
    <row r="850" spans="1:51" x14ac:dyDescent="0.2">
      <c r="A850" t="s">
        <v>1395</v>
      </c>
      <c r="B850" s="1">
        <v>32752</v>
      </c>
      <c r="C850" s="78">
        <v>850</v>
      </c>
      <c r="E850" s="1">
        <f t="shared" si="26"/>
        <v>32752</v>
      </c>
      <c r="F850" s="2">
        <f t="shared" si="27"/>
        <v>32752</v>
      </c>
      <c r="G850" s="78">
        <v>848</v>
      </c>
      <c r="H850" s="79"/>
      <c r="I850" s="79"/>
      <c r="J850" s="79">
        <v>61.699849999999998</v>
      </c>
      <c r="K850" s="79">
        <v>70.011769999999999</v>
      </c>
      <c r="L850" s="79"/>
      <c r="M850" s="79"/>
      <c r="N850" s="79">
        <v>69.432239999999993</v>
      </c>
      <c r="O850" s="79">
        <v>80.663730000000001</v>
      </c>
      <c r="P850" s="79">
        <v>101.3351</v>
      </c>
      <c r="Q850" s="79"/>
      <c r="R850" s="79">
        <v>66.694419999999994</v>
      </c>
      <c r="S850" s="79">
        <v>90.232479999999995</v>
      </c>
      <c r="T850" s="79">
        <v>98.438929999999999</v>
      </c>
      <c r="U850" s="79">
        <v>127.1936</v>
      </c>
      <c r="V850" s="79">
        <v>43.59742</v>
      </c>
      <c r="W850" s="79">
        <v>13.08375</v>
      </c>
      <c r="X850" s="79"/>
      <c r="Y850" s="79"/>
      <c r="Z850" s="79">
        <v>112.1373</v>
      </c>
      <c r="AA850" s="79">
        <v>100.8017</v>
      </c>
      <c r="AB850" s="79">
        <v>19.934660000000001</v>
      </c>
      <c r="AC850" s="79">
        <v>72.120590000000007</v>
      </c>
      <c r="AD850" s="79"/>
      <c r="AE850" s="79">
        <v>62.68092</v>
      </c>
      <c r="AF850" s="79">
        <v>76.084050000000005</v>
      </c>
      <c r="AG850" s="79">
        <v>85.715580000000003</v>
      </c>
      <c r="AH850" s="79">
        <v>66.229060000000004</v>
      </c>
      <c r="AI850" s="79">
        <v>38.408630000000002</v>
      </c>
      <c r="AJ850" s="79">
        <v>105.2039</v>
      </c>
      <c r="AK850" s="79">
        <v>43.510590000000001</v>
      </c>
      <c r="AL850" s="79"/>
      <c r="AM850" s="79">
        <v>68.839640000000003</v>
      </c>
      <c r="AN850" s="79"/>
      <c r="AO850" s="79">
        <v>60.795830000000002</v>
      </c>
      <c r="AP850" s="79">
        <v>77.557829999999996</v>
      </c>
      <c r="AQ850" s="79"/>
      <c r="AR850" s="79"/>
      <c r="AS850" s="79"/>
      <c r="AT850" s="79"/>
      <c r="AU850" s="79"/>
      <c r="AV850" s="79"/>
      <c r="AW850" s="79"/>
      <c r="AX850" s="79">
        <v>29.497540000000001</v>
      </c>
      <c r="AY850" s="79">
        <v>77.11</v>
      </c>
    </row>
    <row r="851" spans="1:51" x14ac:dyDescent="0.2">
      <c r="A851" t="s">
        <v>1396</v>
      </c>
      <c r="B851" s="1">
        <v>32782</v>
      </c>
      <c r="C851" s="78">
        <v>851</v>
      </c>
      <c r="E851" s="1">
        <f t="shared" si="26"/>
        <v>32782</v>
      </c>
      <c r="F851" s="2">
        <f t="shared" si="27"/>
        <v>32782</v>
      </c>
      <c r="G851" s="78">
        <v>849</v>
      </c>
      <c r="H851" s="79"/>
      <c r="I851" s="79"/>
      <c r="J851" s="79">
        <v>61.416240000000002</v>
      </c>
      <c r="K851" s="79">
        <v>69.165469999999999</v>
      </c>
      <c r="L851" s="79"/>
      <c r="M851" s="79"/>
      <c r="N851" s="79">
        <v>69.61739</v>
      </c>
      <c r="O851" s="79">
        <v>83.276309999999995</v>
      </c>
      <c r="P851" s="79">
        <v>100.1716</v>
      </c>
      <c r="Q851" s="79"/>
      <c r="R851" s="79">
        <v>66.281270000000006</v>
      </c>
      <c r="S851" s="79">
        <v>91.060299999999998</v>
      </c>
      <c r="T851" s="79">
        <v>97.852990000000005</v>
      </c>
      <c r="U851" s="79">
        <v>129.0675</v>
      </c>
      <c r="V851" s="79">
        <v>43.194569999999999</v>
      </c>
      <c r="W851" s="79">
        <v>13.398479999999999</v>
      </c>
      <c r="X851" s="79"/>
      <c r="Y851" s="79"/>
      <c r="Z851" s="79">
        <v>112.6095</v>
      </c>
      <c r="AA851" s="79">
        <v>100.19329999999999</v>
      </c>
      <c r="AB851" s="79">
        <v>19.765180000000001</v>
      </c>
      <c r="AC851" s="79">
        <v>71.96942</v>
      </c>
      <c r="AD851" s="79"/>
      <c r="AE851" s="79">
        <v>62.68092</v>
      </c>
      <c r="AF851" s="79">
        <v>76.43759</v>
      </c>
      <c r="AG851" s="79">
        <v>85.387590000000003</v>
      </c>
      <c r="AH851" s="79">
        <v>66.08766</v>
      </c>
      <c r="AI851" s="79">
        <v>37.077559999999998</v>
      </c>
      <c r="AJ851" s="79">
        <v>105.6018</v>
      </c>
      <c r="AK851" s="79">
        <v>43.373579999999997</v>
      </c>
      <c r="AL851" s="79"/>
      <c r="AM851" s="79">
        <v>69.931420000000003</v>
      </c>
      <c r="AN851" s="79"/>
      <c r="AO851" s="79">
        <v>60.756259999999997</v>
      </c>
      <c r="AP851" s="79">
        <v>78.129230000000007</v>
      </c>
      <c r="AQ851" s="79"/>
      <c r="AR851" s="79"/>
      <c r="AS851" s="79"/>
      <c r="AT851" s="79"/>
      <c r="AU851" s="79"/>
      <c r="AV851" s="79"/>
      <c r="AW851" s="79"/>
      <c r="AX851" s="79">
        <v>28.397629999999999</v>
      </c>
      <c r="AY851" s="79">
        <v>77.944209999999998</v>
      </c>
    </row>
    <row r="852" spans="1:51" x14ac:dyDescent="0.2">
      <c r="A852" t="s">
        <v>1397</v>
      </c>
      <c r="B852" s="1">
        <v>32813</v>
      </c>
      <c r="C852" s="78">
        <v>852</v>
      </c>
      <c r="E852" s="1">
        <f t="shared" si="26"/>
        <v>32813</v>
      </c>
      <c r="F852" s="2">
        <f t="shared" si="27"/>
        <v>32813</v>
      </c>
      <c r="G852" s="78">
        <v>850</v>
      </c>
      <c r="H852" s="79"/>
      <c r="I852" s="79"/>
      <c r="J852" s="79">
        <v>62.649140000000003</v>
      </c>
      <c r="K852" s="79">
        <v>69.875500000000002</v>
      </c>
      <c r="L852" s="79"/>
      <c r="M852" s="79"/>
      <c r="N852" s="79">
        <v>69.925979999999996</v>
      </c>
      <c r="O852" s="79">
        <v>82.949749999999995</v>
      </c>
      <c r="P852" s="79">
        <v>100.46980000000001</v>
      </c>
      <c r="Q852" s="79"/>
      <c r="R852" s="79">
        <v>66.340289999999996</v>
      </c>
      <c r="S852" s="79">
        <v>92.072069999999997</v>
      </c>
      <c r="T852" s="79">
        <v>98.731909999999999</v>
      </c>
      <c r="U852" s="79">
        <v>128.3717</v>
      </c>
      <c r="V852" s="79">
        <v>42.657440000000001</v>
      </c>
      <c r="W852" s="79">
        <v>13.870570000000001</v>
      </c>
      <c r="X852" s="79"/>
      <c r="Y852" s="79"/>
      <c r="Z852" s="79">
        <v>112.72750000000001</v>
      </c>
      <c r="AA852" s="79">
        <v>100.9032</v>
      </c>
      <c r="AB852" s="79">
        <v>20.061769999999999</v>
      </c>
      <c r="AC852" s="79">
        <v>73.373729999999995</v>
      </c>
      <c r="AD852" s="79"/>
      <c r="AE852" s="79">
        <v>62.753219999999999</v>
      </c>
      <c r="AF852" s="79">
        <v>77.073980000000006</v>
      </c>
      <c r="AG852" s="79">
        <v>84.7316</v>
      </c>
      <c r="AH852" s="79">
        <v>66.461699999999993</v>
      </c>
      <c r="AI852" s="79">
        <v>35.347410000000004</v>
      </c>
      <c r="AJ852" s="79">
        <v>105.282</v>
      </c>
      <c r="AK852" s="79">
        <v>58.610190000000003</v>
      </c>
      <c r="AL852" s="79"/>
      <c r="AM852" s="79">
        <v>69.931420000000003</v>
      </c>
      <c r="AN852" s="79"/>
      <c r="AO852" s="79">
        <v>60.955469999999998</v>
      </c>
      <c r="AP852" s="79">
        <v>78.062569999999994</v>
      </c>
      <c r="AQ852" s="79"/>
      <c r="AR852" s="79"/>
      <c r="AS852" s="79"/>
      <c r="AT852" s="79"/>
      <c r="AU852" s="79"/>
      <c r="AV852" s="79"/>
      <c r="AW852" s="79"/>
      <c r="AX852" s="79">
        <v>29.097580000000001</v>
      </c>
      <c r="AY852" s="79">
        <v>77.17474</v>
      </c>
    </row>
    <row r="853" spans="1:51" x14ac:dyDescent="0.2">
      <c r="A853" t="s">
        <v>1398</v>
      </c>
      <c r="B853" s="1">
        <v>32843</v>
      </c>
      <c r="C853" s="78">
        <v>853</v>
      </c>
      <c r="E853" s="1">
        <f t="shared" si="26"/>
        <v>32843</v>
      </c>
      <c r="F853" s="2">
        <f t="shared" si="27"/>
        <v>32843</v>
      </c>
      <c r="G853" s="78">
        <v>851</v>
      </c>
      <c r="H853" s="79"/>
      <c r="I853" s="79"/>
      <c r="J853" s="79">
        <v>62.935920000000003</v>
      </c>
      <c r="K853" s="79">
        <v>70.643330000000006</v>
      </c>
      <c r="L853" s="79"/>
      <c r="M853" s="79"/>
      <c r="N853" s="79">
        <v>71.098609999999994</v>
      </c>
      <c r="O853" s="79">
        <v>86.324340000000007</v>
      </c>
      <c r="P853" s="79">
        <v>100.5684</v>
      </c>
      <c r="Q853" s="79"/>
      <c r="R853" s="79">
        <v>65.750079999999997</v>
      </c>
      <c r="S853" s="79">
        <v>92.348010000000002</v>
      </c>
      <c r="T853" s="79">
        <v>98.536590000000004</v>
      </c>
      <c r="U853" s="79">
        <v>128.3604</v>
      </c>
      <c r="V853" s="79">
        <v>39.300350000000002</v>
      </c>
      <c r="W853" s="79">
        <v>14.16282</v>
      </c>
      <c r="X853" s="79"/>
      <c r="Y853" s="79"/>
      <c r="Z853" s="79">
        <v>113.5538</v>
      </c>
      <c r="AA853" s="79">
        <v>101.5116</v>
      </c>
      <c r="AB853" s="79">
        <v>19.955839999999998</v>
      </c>
      <c r="AC853" s="79">
        <v>73.397130000000004</v>
      </c>
      <c r="AD853" s="79"/>
      <c r="AE853" s="79">
        <v>62.825519999999997</v>
      </c>
      <c r="AF853" s="79">
        <v>79.407420000000002</v>
      </c>
      <c r="AG853" s="79">
        <v>83.966290000000001</v>
      </c>
      <c r="AH853" s="79">
        <v>66.91104</v>
      </c>
      <c r="AI853" s="79">
        <v>38.051490000000001</v>
      </c>
      <c r="AJ853" s="79">
        <v>105.2546</v>
      </c>
      <c r="AK853" s="79">
        <v>62.528309999999998</v>
      </c>
      <c r="AL853" s="79"/>
      <c r="AM853" s="79">
        <v>70.678430000000006</v>
      </c>
      <c r="AN853" s="79"/>
      <c r="AO853" s="79">
        <v>61.325360000000003</v>
      </c>
      <c r="AP853" s="79">
        <v>78.776820000000001</v>
      </c>
      <c r="AQ853" s="79"/>
      <c r="AR853" s="79"/>
      <c r="AS853" s="79"/>
      <c r="AT853" s="79"/>
      <c r="AU853" s="79"/>
      <c r="AV853" s="79"/>
      <c r="AW853" s="79"/>
      <c r="AX853" s="79">
        <v>29.497540000000001</v>
      </c>
      <c r="AY853" s="79">
        <v>78.619450000000001</v>
      </c>
    </row>
    <row r="854" spans="1:51" x14ac:dyDescent="0.2">
      <c r="A854" t="s">
        <v>1399</v>
      </c>
      <c r="B854" s="1">
        <v>32874</v>
      </c>
      <c r="C854" s="78">
        <v>854</v>
      </c>
      <c r="E854" s="1">
        <f t="shared" si="26"/>
        <v>32874</v>
      </c>
      <c r="F854" s="2">
        <f t="shared" si="27"/>
        <v>32874</v>
      </c>
      <c r="G854" s="78">
        <v>852</v>
      </c>
      <c r="H854" s="79"/>
      <c r="I854" s="79"/>
      <c r="J854" s="79">
        <v>64.099980000000002</v>
      </c>
      <c r="K854" s="79">
        <v>69.055040000000005</v>
      </c>
      <c r="L854" s="79"/>
      <c r="M854" s="79">
        <v>68.266800000000003</v>
      </c>
      <c r="N854" s="79">
        <v>70.975170000000006</v>
      </c>
      <c r="O854" s="79">
        <v>83.058599999999998</v>
      </c>
      <c r="P854" s="79">
        <v>100.92230000000001</v>
      </c>
      <c r="Q854" s="79"/>
      <c r="R854" s="79">
        <v>68.891720000000007</v>
      </c>
      <c r="S854" s="79">
        <v>91.330759999999998</v>
      </c>
      <c r="T854" s="79">
        <v>97.560010000000005</v>
      </c>
      <c r="U854" s="79">
        <v>126.88939999999999</v>
      </c>
      <c r="V854" s="79">
        <v>42.209820000000001</v>
      </c>
      <c r="W854" s="79">
        <v>13.42507</v>
      </c>
      <c r="X854" s="79"/>
      <c r="Y854" s="79">
        <v>39.012999999999998</v>
      </c>
      <c r="Z854" s="79">
        <v>110.1908</v>
      </c>
      <c r="AA854" s="79">
        <v>100.9032</v>
      </c>
      <c r="AB854" s="79">
        <v>19.76735</v>
      </c>
      <c r="AC854" s="79">
        <v>71.467489999999998</v>
      </c>
      <c r="AD854" s="79"/>
      <c r="AE854" s="79">
        <v>64.994410000000002</v>
      </c>
      <c r="AF854" s="79">
        <v>76.629109999999997</v>
      </c>
      <c r="AG854" s="79">
        <v>84.075609999999998</v>
      </c>
      <c r="AH854" s="79">
        <v>66.573530000000005</v>
      </c>
      <c r="AI854" s="79">
        <v>31.238409999999998</v>
      </c>
      <c r="AJ854" s="79">
        <v>106.92449999999999</v>
      </c>
      <c r="AK854" s="79">
        <v>43.167630000000003</v>
      </c>
      <c r="AL854" s="79"/>
      <c r="AM854" s="79">
        <v>69.729079999999996</v>
      </c>
      <c r="AN854" s="79"/>
      <c r="AO854" s="79">
        <v>60.918210000000002</v>
      </c>
      <c r="AP854" s="79">
        <v>78.862530000000007</v>
      </c>
      <c r="AQ854" s="79"/>
      <c r="AR854" s="79"/>
      <c r="AS854" s="79"/>
      <c r="AT854" s="79"/>
      <c r="AU854" s="79"/>
      <c r="AV854" s="79"/>
      <c r="AW854" s="79"/>
      <c r="AX854" s="79">
        <v>29.89751</v>
      </c>
      <c r="AY854" s="79">
        <v>76.831580000000002</v>
      </c>
    </row>
    <row r="855" spans="1:51" x14ac:dyDescent="0.2">
      <c r="A855" t="s">
        <v>1400</v>
      </c>
      <c r="B855" s="1">
        <v>32905</v>
      </c>
      <c r="C855" s="78">
        <v>855</v>
      </c>
      <c r="E855" s="1">
        <f t="shared" si="26"/>
        <v>32905</v>
      </c>
      <c r="F855" s="2">
        <f t="shared" si="27"/>
        <v>32905</v>
      </c>
      <c r="G855" s="78">
        <v>853</v>
      </c>
      <c r="H855" s="79"/>
      <c r="I855" s="79"/>
      <c r="J855" s="79">
        <v>63.391019999999997</v>
      </c>
      <c r="K855" s="79">
        <v>69.414519999999996</v>
      </c>
      <c r="L855" s="79"/>
      <c r="M855" s="79">
        <v>65.450760000000002</v>
      </c>
      <c r="N855" s="79">
        <v>70.666589999999999</v>
      </c>
      <c r="O855" s="79">
        <v>82.405450000000002</v>
      </c>
      <c r="P855" s="79">
        <v>98.397850000000005</v>
      </c>
      <c r="Q855" s="79"/>
      <c r="R855" s="79">
        <v>68.813429999999997</v>
      </c>
      <c r="S855" s="79">
        <v>92.840770000000006</v>
      </c>
      <c r="T855" s="79">
        <v>96.974069999999998</v>
      </c>
      <c r="U855" s="79">
        <v>131.78460000000001</v>
      </c>
      <c r="V855" s="79">
        <v>40.732700000000001</v>
      </c>
      <c r="W855" s="79">
        <v>13.66268</v>
      </c>
      <c r="X855" s="79"/>
      <c r="Y855" s="79">
        <v>39.223120000000002</v>
      </c>
      <c r="Z855" s="79">
        <v>110.7908</v>
      </c>
      <c r="AA855" s="79">
        <v>101.4102</v>
      </c>
      <c r="AB855" s="79">
        <v>20.229310000000002</v>
      </c>
      <c r="AC855" s="79">
        <v>74.510869999999997</v>
      </c>
      <c r="AD855" s="79"/>
      <c r="AE855" s="79">
        <v>64.488330000000005</v>
      </c>
      <c r="AF855" s="79">
        <v>73.005809999999997</v>
      </c>
      <c r="AG855" s="79">
        <v>84.84093</v>
      </c>
      <c r="AH855" s="79">
        <v>66.746260000000007</v>
      </c>
      <c r="AI855" s="79">
        <v>28.74194</v>
      </c>
      <c r="AJ855" s="79">
        <v>105.68519999999999</v>
      </c>
      <c r="AK855" s="79">
        <v>45.454799999999999</v>
      </c>
      <c r="AL855" s="79"/>
      <c r="AM855" s="79">
        <v>69.729079999999996</v>
      </c>
      <c r="AN855" s="79"/>
      <c r="AO855" s="79">
        <v>61.515450000000001</v>
      </c>
      <c r="AP855" s="79">
        <v>79.786289999999994</v>
      </c>
      <c r="AQ855" s="79"/>
      <c r="AR855" s="79"/>
      <c r="AS855" s="79"/>
      <c r="AT855" s="79"/>
      <c r="AU855" s="79"/>
      <c r="AV855" s="79"/>
      <c r="AW855" s="79"/>
      <c r="AX855" s="79">
        <v>30.997420000000002</v>
      </c>
      <c r="AY855" s="79">
        <v>76.119209999999995</v>
      </c>
    </row>
    <row r="856" spans="1:51" x14ac:dyDescent="0.2">
      <c r="A856" t="s">
        <v>1401</v>
      </c>
      <c r="B856" s="1">
        <v>32933</v>
      </c>
      <c r="C856" s="78">
        <v>856</v>
      </c>
      <c r="E856" s="1">
        <f t="shared" si="26"/>
        <v>32933</v>
      </c>
      <c r="F856" s="2">
        <f t="shared" si="27"/>
        <v>32933</v>
      </c>
      <c r="G856" s="78">
        <v>854</v>
      </c>
      <c r="H856" s="79"/>
      <c r="I856" s="79"/>
      <c r="J856" s="79">
        <v>65.017120000000006</v>
      </c>
      <c r="K856" s="79">
        <v>69.753320000000002</v>
      </c>
      <c r="L856" s="79"/>
      <c r="M856" s="79">
        <v>79.936899999999994</v>
      </c>
      <c r="N856" s="79">
        <v>71.345479999999995</v>
      </c>
      <c r="O856" s="79">
        <v>83.602890000000002</v>
      </c>
      <c r="P856" s="79">
        <v>99.423500000000004</v>
      </c>
      <c r="Q856" s="79"/>
      <c r="R856" s="79">
        <v>68.410820000000001</v>
      </c>
      <c r="S856" s="79">
        <v>92.410769999999999</v>
      </c>
      <c r="T856" s="79">
        <v>98.243620000000007</v>
      </c>
      <c r="U856" s="79">
        <v>126.3963</v>
      </c>
      <c r="V856" s="79">
        <v>40.419379999999997</v>
      </c>
      <c r="W856" s="79">
        <v>14.13791</v>
      </c>
      <c r="X856" s="79"/>
      <c r="Y856" s="79">
        <v>38.872920000000001</v>
      </c>
      <c r="Z856" s="79">
        <v>111.19070000000001</v>
      </c>
      <c r="AA856" s="79">
        <v>103.23560000000001</v>
      </c>
      <c r="AB856" s="79">
        <v>20.765270000000001</v>
      </c>
      <c r="AC856" s="79">
        <v>70.429850000000002</v>
      </c>
      <c r="AD856" s="79"/>
      <c r="AE856" s="79">
        <v>66.368030000000005</v>
      </c>
      <c r="AF856" s="79">
        <v>74.701819999999998</v>
      </c>
      <c r="AG856" s="79">
        <v>83.747619999999998</v>
      </c>
      <c r="AH856" s="79">
        <v>67.539180000000002</v>
      </c>
      <c r="AI856" s="79">
        <v>28.75564</v>
      </c>
      <c r="AJ856" s="79">
        <v>108.6092</v>
      </c>
      <c r="AK856" s="79">
        <v>44.78443</v>
      </c>
      <c r="AL856" s="79"/>
      <c r="AM856" s="79">
        <v>70.336299999999994</v>
      </c>
      <c r="AN856" s="79"/>
      <c r="AO856" s="79">
        <v>61.816470000000002</v>
      </c>
      <c r="AP856" s="79">
        <v>79.557720000000003</v>
      </c>
      <c r="AQ856" s="79"/>
      <c r="AR856" s="79"/>
      <c r="AS856" s="79"/>
      <c r="AT856" s="79"/>
      <c r="AU856" s="79"/>
      <c r="AV856" s="79"/>
      <c r="AW856" s="79"/>
      <c r="AX856" s="79">
        <v>31.997330000000002</v>
      </c>
      <c r="AY856" s="79">
        <v>70.221320000000006</v>
      </c>
    </row>
    <row r="857" spans="1:51" x14ac:dyDescent="0.2">
      <c r="A857" t="s">
        <v>1402</v>
      </c>
      <c r="B857" s="1">
        <v>32964</v>
      </c>
      <c r="C857" s="78">
        <v>857</v>
      </c>
      <c r="E857" s="1">
        <f t="shared" si="26"/>
        <v>32964</v>
      </c>
      <c r="F857" s="2">
        <f t="shared" si="27"/>
        <v>32964</v>
      </c>
      <c r="G857" s="78">
        <v>855</v>
      </c>
      <c r="H857" s="79"/>
      <c r="I857" s="79"/>
      <c r="J857" s="79">
        <v>62.14593</v>
      </c>
      <c r="K857" s="79">
        <v>69.21857</v>
      </c>
      <c r="L857" s="79"/>
      <c r="M857" s="79">
        <v>71.758269999999996</v>
      </c>
      <c r="N857" s="79">
        <v>70.111130000000003</v>
      </c>
      <c r="O857" s="79">
        <v>82.296589999999995</v>
      </c>
      <c r="P857" s="79">
        <v>100.7756</v>
      </c>
      <c r="Q857" s="79"/>
      <c r="R857" s="79">
        <v>67.750979999999998</v>
      </c>
      <c r="S857" s="79">
        <v>92.860770000000002</v>
      </c>
      <c r="T857" s="79">
        <v>98.927220000000005</v>
      </c>
      <c r="U857" s="79">
        <v>124.7684</v>
      </c>
      <c r="V857" s="79">
        <v>40.419379999999997</v>
      </c>
      <c r="W857" s="79">
        <v>13.36567</v>
      </c>
      <c r="X857" s="79"/>
      <c r="Y857" s="79">
        <v>39.29316</v>
      </c>
      <c r="Z857" s="79">
        <v>112.0907</v>
      </c>
      <c r="AA857" s="79">
        <v>103.4384</v>
      </c>
      <c r="AB857" s="79">
        <v>20.700279999999999</v>
      </c>
      <c r="AC857" s="79">
        <v>73.696920000000006</v>
      </c>
      <c r="AD857" s="79"/>
      <c r="AE857" s="79">
        <v>65.789670000000001</v>
      </c>
      <c r="AF857" s="79">
        <v>76.937479999999994</v>
      </c>
      <c r="AG857" s="79">
        <v>83.310299999999998</v>
      </c>
      <c r="AH857" s="79">
        <v>67.377039999999994</v>
      </c>
      <c r="AI857" s="79">
        <v>28.47261</v>
      </c>
      <c r="AJ857" s="79">
        <v>111.5312</v>
      </c>
      <c r="AK857" s="79">
        <v>48.47287</v>
      </c>
      <c r="AL857" s="79"/>
      <c r="AM857" s="79">
        <v>70.133899999999997</v>
      </c>
      <c r="AN857" s="79"/>
      <c r="AO857" s="79">
        <v>61.722529999999999</v>
      </c>
      <c r="AP857" s="79">
        <v>79.881519999999995</v>
      </c>
      <c r="AQ857" s="79"/>
      <c r="AR857" s="79"/>
      <c r="AS857" s="79"/>
      <c r="AT857" s="79"/>
      <c r="AU857" s="79"/>
      <c r="AV857" s="79"/>
      <c r="AW857" s="79"/>
      <c r="AX857" s="79">
        <v>32.197319999999998</v>
      </c>
      <c r="AY857" s="79">
        <v>53.543900000000001</v>
      </c>
    </row>
    <row r="858" spans="1:51" x14ac:dyDescent="0.2">
      <c r="A858" t="s">
        <v>1403</v>
      </c>
      <c r="B858" s="1">
        <v>32994</v>
      </c>
      <c r="C858" s="78">
        <v>858</v>
      </c>
      <c r="E858" s="1">
        <f t="shared" si="26"/>
        <v>32994</v>
      </c>
      <c r="F858" s="2">
        <f t="shared" si="27"/>
        <v>32994</v>
      </c>
      <c r="G858" s="78">
        <v>856</v>
      </c>
      <c r="H858" s="79"/>
      <c r="I858" s="79"/>
      <c r="J858" s="79">
        <v>63.57159</v>
      </c>
      <c r="K858" s="79">
        <v>69.365650000000002</v>
      </c>
      <c r="L858" s="79"/>
      <c r="M858" s="79">
        <v>73.778300000000002</v>
      </c>
      <c r="N858" s="79">
        <v>71.900940000000006</v>
      </c>
      <c r="O858" s="79">
        <v>80.881439999999998</v>
      </c>
      <c r="P858" s="79">
        <v>99.712549999999993</v>
      </c>
      <c r="Q858" s="79"/>
      <c r="R858" s="79">
        <v>68.511470000000003</v>
      </c>
      <c r="S858" s="79">
        <v>93.110780000000005</v>
      </c>
      <c r="T858" s="79">
        <v>98.341279999999998</v>
      </c>
      <c r="U858" s="79">
        <v>128.45760000000001</v>
      </c>
      <c r="V858" s="79">
        <v>40.24033</v>
      </c>
      <c r="W858" s="79">
        <v>13.78149</v>
      </c>
      <c r="X858" s="79"/>
      <c r="Y858" s="79">
        <v>40.413829999999997</v>
      </c>
      <c r="Z858" s="79">
        <v>110.7908</v>
      </c>
      <c r="AA858" s="79">
        <v>104.14830000000001</v>
      </c>
      <c r="AB858" s="79">
        <v>20.368300000000001</v>
      </c>
      <c r="AC858" s="79">
        <v>72.795389999999998</v>
      </c>
      <c r="AD858" s="79"/>
      <c r="AE858" s="79">
        <v>66.729519999999994</v>
      </c>
      <c r="AF858" s="79">
        <v>76.012370000000004</v>
      </c>
      <c r="AG858" s="79">
        <v>86.590230000000005</v>
      </c>
      <c r="AH858" s="79">
        <v>67.539640000000006</v>
      </c>
      <c r="AI858" s="79">
        <v>28.809349999999998</v>
      </c>
      <c r="AJ858" s="79">
        <v>110.75920000000001</v>
      </c>
      <c r="AK858" s="79">
        <v>48.160339999999998</v>
      </c>
      <c r="AL858" s="79"/>
      <c r="AM858" s="79">
        <v>70.336299999999994</v>
      </c>
      <c r="AN858" s="79"/>
      <c r="AO858" s="79">
        <v>61.854219999999998</v>
      </c>
      <c r="AP858" s="79">
        <v>79.862470000000002</v>
      </c>
      <c r="AQ858" s="79"/>
      <c r="AR858" s="79"/>
      <c r="AS858" s="79"/>
      <c r="AT858" s="79"/>
      <c r="AU858" s="79"/>
      <c r="AV858" s="79"/>
      <c r="AW858" s="79"/>
      <c r="AX858" s="79">
        <v>30.397469999999998</v>
      </c>
      <c r="AY858" s="79">
        <v>67.014150000000001</v>
      </c>
    </row>
    <row r="859" spans="1:51" x14ac:dyDescent="0.2">
      <c r="A859" t="s">
        <v>1404</v>
      </c>
      <c r="B859" s="1">
        <v>33025</v>
      </c>
      <c r="C859" s="78">
        <v>859</v>
      </c>
      <c r="E859" s="1">
        <f t="shared" si="26"/>
        <v>33025</v>
      </c>
      <c r="F859" s="2">
        <f t="shared" si="27"/>
        <v>33025</v>
      </c>
      <c r="G859" s="78">
        <v>857</v>
      </c>
      <c r="H859" s="79"/>
      <c r="I859" s="79"/>
      <c r="J859" s="79">
        <v>63.998699999999999</v>
      </c>
      <c r="K859" s="79">
        <v>69.468090000000004</v>
      </c>
      <c r="L859" s="79"/>
      <c r="M859" s="79">
        <v>77.145910000000001</v>
      </c>
      <c r="N859" s="79">
        <v>71.900940000000006</v>
      </c>
      <c r="O859" s="79">
        <v>80.010570000000001</v>
      </c>
      <c r="P859" s="79">
        <v>102.31829999999999</v>
      </c>
      <c r="Q859" s="79"/>
      <c r="R859" s="79">
        <v>67.247709999999998</v>
      </c>
      <c r="S859" s="79">
        <v>91.720759999999999</v>
      </c>
      <c r="T859" s="79">
        <v>99.806139999999999</v>
      </c>
      <c r="U859" s="79">
        <v>126.696</v>
      </c>
      <c r="V859" s="79">
        <v>39.747959999999999</v>
      </c>
      <c r="W859" s="79">
        <v>14.19731</v>
      </c>
      <c r="X859" s="79"/>
      <c r="Y859" s="79">
        <v>39.363199999999999</v>
      </c>
      <c r="Z859" s="79">
        <v>109.6909</v>
      </c>
      <c r="AA859" s="79">
        <v>104.4525</v>
      </c>
      <c r="AB859" s="79">
        <v>20.765270000000001</v>
      </c>
      <c r="AC859" s="79">
        <v>78.392939999999996</v>
      </c>
      <c r="AD859" s="79"/>
      <c r="AE859" s="79">
        <v>66.874110000000002</v>
      </c>
      <c r="AF859" s="79">
        <v>77.245840000000001</v>
      </c>
      <c r="AG859" s="79">
        <v>87.902209999999997</v>
      </c>
      <c r="AH859" s="79">
        <v>67.752189999999999</v>
      </c>
      <c r="AI859" s="79">
        <v>28.46594</v>
      </c>
      <c r="AJ859" s="79">
        <v>110.76349999999999</v>
      </c>
      <c r="AK859" s="79">
        <v>45.519559999999998</v>
      </c>
      <c r="AL859" s="79"/>
      <c r="AM859" s="79">
        <v>70.4375</v>
      </c>
      <c r="AN859" s="79"/>
      <c r="AO859" s="79">
        <v>62.052849999999999</v>
      </c>
      <c r="AP859" s="79">
        <v>79.348209999999995</v>
      </c>
      <c r="AQ859" s="79"/>
      <c r="AR859" s="79"/>
      <c r="AS859" s="79"/>
      <c r="AT859" s="79"/>
      <c r="AU859" s="79"/>
      <c r="AV859" s="79"/>
      <c r="AW859" s="79"/>
      <c r="AX859" s="79">
        <v>31.197399999999998</v>
      </c>
      <c r="AY859" s="79">
        <v>66.794939999999997</v>
      </c>
    </row>
    <row r="860" spans="1:51" x14ac:dyDescent="0.2">
      <c r="A860" t="s">
        <v>1405</v>
      </c>
      <c r="B860" s="1">
        <v>33055</v>
      </c>
      <c r="C860" s="78">
        <v>860</v>
      </c>
      <c r="E860" s="1">
        <f t="shared" si="26"/>
        <v>33055</v>
      </c>
      <c r="F860" s="2">
        <f t="shared" si="27"/>
        <v>33055</v>
      </c>
      <c r="G860" s="78">
        <v>858</v>
      </c>
      <c r="H860" s="79"/>
      <c r="I860" s="79"/>
      <c r="J860" s="79">
        <v>61.362920000000003</v>
      </c>
      <c r="K860" s="79">
        <v>69.53152</v>
      </c>
      <c r="L860" s="79"/>
      <c r="M860" s="79">
        <v>78.186499999999995</v>
      </c>
      <c r="N860" s="79">
        <v>72.579830000000001</v>
      </c>
      <c r="O860" s="79">
        <v>82.187740000000005</v>
      </c>
      <c r="P860" s="79">
        <v>99.268990000000002</v>
      </c>
      <c r="Q860" s="79"/>
      <c r="R860" s="79">
        <v>66.207629999999995</v>
      </c>
      <c r="S860" s="79">
        <v>91.790760000000006</v>
      </c>
      <c r="T860" s="79">
        <v>97.462360000000004</v>
      </c>
      <c r="U860" s="79">
        <v>128.2893</v>
      </c>
      <c r="V860" s="79">
        <v>37.867980000000003</v>
      </c>
      <c r="W860" s="79">
        <v>14.25671</v>
      </c>
      <c r="X860" s="79"/>
      <c r="Y860" s="79">
        <v>39.713410000000003</v>
      </c>
      <c r="Z860" s="79">
        <v>109.99079999999999</v>
      </c>
      <c r="AA860" s="79">
        <v>105.3652</v>
      </c>
      <c r="AB860" s="79">
        <v>21.43121</v>
      </c>
      <c r="AC860" s="79">
        <v>75.0929</v>
      </c>
      <c r="AD860" s="79"/>
      <c r="AE860" s="79">
        <v>67.813959999999994</v>
      </c>
      <c r="AF860" s="79">
        <v>77.400019999999998</v>
      </c>
      <c r="AG860" s="79">
        <v>79.483710000000002</v>
      </c>
      <c r="AH860" s="79">
        <v>67.793189999999996</v>
      </c>
      <c r="AI860" s="79">
        <v>29.570209999999999</v>
      </c>
      <c r="AJ860" s="79">
        <v>113.551</v>
      </c>
      <c r="AK860" s="79">
        <v>52.188720000000004</v>
      </c>
      <c r="AL860" s="79"/>
      <c r="AM860" s="79">
        <v>68.615840000000006</v>
      </c>
      <c r="AN860" s="79"/>
      <c r="AO860" s="79">
        <v>61.972560000000001</v>
      </c>
      <c r="AP860" s="79">
        <v>79.652959999999993</v>
      </c>
      <c r="AQ860" s="79"/>
      <c r="AR860" s="79"/>
      <c r="AS860" s="79"/>
      <c r="AT860" s="79"/>
      <c r="AU860" s="79"/>
      <c r="AV860" s="79"/>
      <c r="AW860" s="79"/>
      <c r="AX860" s="79">
        <v>30.597449999999998</v>
      </c>
      <c r="AY860" s="79">
        <v>70.543570000000003</v>
      </c>
    </row>
    <row r="861" spans="1:51" x14ac:dyDescent="0.2">
      <c r="A861" t="s">
        <v>1406</v>
      </c>
      <c r="B861" s="1">
        <v>33086</v>
      </c>
      <c r="C861" s="78">
        <v>861</v>
      </c>
      <c r="E861" s="1">
        <f t="shared" si="26"/>
        <v>33086</v>
      </c>
      <c r="F861" s="2">
        <f t="shared" si="27"/>
        <v>33086</v>
      </c>
      <c r="G861" s="78">
        <v>859</v>
      </c>
      <c r="H861" s="79"/>
      <c r="I861" s="79"/>
      <c r="J861" s="79">
        <v>64.210939999999994</v>
      </c>
      <c r="K861" s="79">
        <v>68.474230000000006</v>
      </c>
      <c r="L861" s="79"/>
      <c r="M861" s="79">
        <v>75.470339999999993</v>
      </c>
      <c r="N861" s="79">
        <v>73.011859999999999</v>
      </c>
      <c r="O861" s="79">
        <v>84.038319999999999</v>
      </c>
      <c r="P861" s="79">
        <v>97.977429999999998</v>
      </c>
      <c r="Q861" s="79"/>
      <c r="R861" s="79">
        <v>67.482569999999996</v>
      </c>
      <c r="S861" s="79">
        <v>91.230760000000004</v>
      </c>
      <c r="T861" s="79">
        <v>97.560010000000005</v>
      </c>
      <c r="U861" s="79">
        <v>121.9615</v>
      </c>
      <c r="V861" s="79">
        <v>39.792720000000003</v>
      </c>
      <c r="W861" s="79">
        <v>14.19731</v>
      </c>
      <c r="X861" s="79"/>
      <c r="Y861" s="79">
        <v>39.993580000000001</v>
      </c>
      <c r="Z861" s="79">
        <v>111.19070000000001</v>
      </c>
      <c r="AA861" s="79">
        <v>106.2779</v>
      </c>
      <c r="AB861" s="79">
        <v>21.967169999999999</v>
      </c>
      <c r="AC861" s="79">
        <v>75.334379999999996</v>
      </c>
      <c r="AD861" s="79"/>
      <c r="AE861" s="79">
        <v>67.813959999999994</v>
      </c>
      <c r="AF861" s="79">
        <v>78.170940000000002</v>
      </c>
      <c r="AG861" s="79">
        <v>88.776849999999996</v>
      </c>
      <c r="AH861" s="79">
        <v>68.085430000000002</v>
      </c>
      <c r="AI861" s="79">
        <v>29.74588</v>
      </c>
      <c r="AJ861" s="79">
        <v>116.206</v>
      </c>
      <c r="AK861" s="79">
        <v>48.103870000000001</v>
      </c>
      <c r="AL861" s="79"/>
      <c r="AM861" s="79">
        <v>70.235100000000003</v>
      </c>
      <c r="AN861" s="79"/>
      <c r="AO861" s="79">
        <v>62.176279999999998</v>
      </c>
      <c r="AP861" s="79">
        <v>80.186260000000004</v>
      </c>
      <c r="AQ861" s="79"/>
      <c r="AR861" s="79"/>
      <c r="AS861" s="79"/>
      <c r="AT861" s="79"/>
      <c r="AU861" s="79"/>
      <c r="AV861" s="79"/>
      <c r="AW861" s="79"/>
      <c r="AX861" s="79">
        <v>30.29748</v>
      </c>
      <c r="AY861" s="79">
        <v>72.208590000000001</v>
      </c>
    </row>
    <row r="862" spans="1:51" x14ac:dyDescent="0.2">
      <c r="A862" t="s">
        <v>1407</v>
      </c>
      <c r="B862" s="1">
        <v>33117</v>
      </c>
      <c r="C862" s="78">
        <v>862</v>
      </c>
      <c r="E862" s="1">
        <f t="shared" si="26"/>
        <v>33117</v>
      </c>
      <c r="F862" s="2">
        <f t="shared" si="27"/>
        <v>33117</v>
      </c>
      <c r="G862" s="78">
        <v>860</v>
      </c>
      <c r="H862" s="79"/>
      <c r="I862" s="79"/>
      <c r="J862" s="79">
        <v>63.445650000000001</v>
      </c>
      <c r="K862" s="79">
        <v>67.278310000000005</v>
      </c>
      <c r="L862" s="79"/>
      <c r="M862" s="79">
        <v>73.727850000000004</v>
      </c>
      <c r="N862" s="79">
        <v>73.690749999999994</v>
      </c>
      <c r="O862" s="79">
        <v>81.752300000000005</v>
      </c>
      <c r="P862" s="79">
        <v>101.3836</v>
      </c>
      <c r="Q862" s="79"/>
      <c r="R862" s="79">
        <v>66.822730000000007</v>
      </c>
      <c r="S862" s="79">
        <v>92.040760000000006</v>
      </c>
      <c r="T862" s="79">
        <v>97.071719999999999</v>
      </c>
      <c r="U862" s="79">
        <v>105.8638</v>
      </c>
      <c r="V862" s="79">
        <v>38.987009999999998</v>
      </c>
      <c r="W862" s="79">
        <v>14.37552</v>
      </c>
      <c r="X862" s="79"/>
      <c r="Y862" s="79">
        <v>40.764029999999998</v>
      </c>
      <c r="Z862" s="79">
        <v>110.8908</v>
      </c>
      <c r="AA862" s="79">
        <v>105.3652</v>
      </c>
      <c r="AB862" s="79">
        <v>21.902170000000002</v>
      </c>
      <c r="AC862" s="79">
        <v>72.137370000000004</v>
      </c>
      <c r="AD862" s="79"/>
      <c r="AE862" s="79">
        <v>68.103149999999999</v>
      </c>
      <c r="AF862" s="79">
        <v>79.404409999999999</v>
      </c>
      <c r="AG862" s="79">
        <v>87.355549999999994</v>
      </c>
      <c r="AH862" s="79">
        <v>68.108040000000003</v>
      </c>
      <c r="AI862" s="79">
        <v>29.619119999999999</v>
      </c>
      <c r="AJ862" s="79">
        <v>113.2295</v>
      </c>
      <c r="AK862" s="79">
        <v>43.160510000000002</v>
      </c>
      <c r="AL862" s="79"/>
      <c r="AM862" s="79">
        <v>70.336299999999994</v>
      </c>
      <c r="AN862" s="79"/>
      <c r="AO862" s="79">
        <v>62.254939999999998</v>
      </c>
      <c r="AP862" s="79">
        <v>80.586240000000004</v>
      </c>
      <c r="AQ862" s="79"/>
      <c r="AR862" s="79"/>
      <c r="AS862" s="79"/>
      <c r="AT862" s="79"/>
      <c r="AU862" s="79"/>
      <c r="AV862" s="79"/>
      <c r="AW862" s="79"/>
      <c r="AX862" s="79">
        <v>32.997250000000001</v>
      </c>
      <c r="AY862" s="79">
        <v>72.774140000000003</v>
      </c>
    </row>
    <row r="863" spans="1:51" x14ac:dyDescent="0.2">
      <c r="A863" t="s">
        <v>1408</v>
      </c>
      <c r="B863" s="1">
        <v>33147</v>
      </c>
      <c r="C863" s="78">
        <v>863</v>
      </c>
      <c r="E863" s="1">
        <f t="shared" si="26"/>
        <v>33147</v>
      </c>
      <c r="F863" s="2">
        <f t="shared" si="27"/>
        <v>33147</v>
      </c>
      <c r="G863" s="78">
        <v>861</v>
      </c>
      <c r="H863" s="79"/>
      <c r="I863" s="79"/>
      <c r="J863" s="79">
        <v>65.06353</v>
      </c>
      <c r="K863" s="79">
        <v>67.31026</v>
      </c>
      <c r="L863" s="79"/>
      <c r="M863" s="79">
        <v>73.501660000000001</v>
      </c>
      <c r="N863" s="79">
        <v>73.814179999999993</v>
      </c>
      <c r="O863" s="79">
        <v>83.276309999999995</v>
      </c>
      <c r="P863" s="79">
        <v>97.329319999999996</v>
      </c>
      <c r="Q863" s="79"/>
      <c r="R863" s="79">
        <v>66.833920000000006</v>
      </c>
      <c r="S863" s="79">
        <v>91.740759999999995</v>
      </c>
      <c r="T863" s="79">
        <v>96.974069999999998</v>
      </c>
      <c r="U863" s="79">
        <v>128.8485</v>
      </c>
      <c r="V863" s="79">
        <v>38.494639999999997</v>
      </c>
      <c r="W863" s="79">
        <v>14.0785</v>
      </c>
      <c r="X863" s="79"/>
      <c r="Y863" s="79">
        <v>40.553910000000002</v>
      </c>
      <c r="Z863" s="79">
        <v>110.2908</v>
      </c>
      <c r="AA863" s="79">
        <v>107.4948</v>
      </c>
      <c r="AB863" s="79">
        <v>21.902170000000002</v>
      </c>
      <c r="AC863" s="79">
        <v>71.386279999999999</v>
      </c>
      <c r="AD863" s="79"/>
      <c r="AE863" s="79">
        <v>68.103149999999999</v>
      </c>
      <c r="AF863" s="79">
        <v>77.322940000000003</v>
      </c>
      <c r="AG863" s="79">
        <v>88.667519999999996</v>
      </c>
      <c r="AH863" s="79">
        <v>68.176730000000006</v>
      </c>
      <c r="AI863" s="79">
        <v>29.91291</v>
      </c>
      <c r="AJ863" s="79">
        <v>113.66840000000001</v>
      </c>
      <c r="AK863" s="79">
        <v>55.876049999999999</v>
      </c>
      <c r="AL863" s="79"/>
      <c r="AM863" s="79">
        <v>70.336299999999994</v>
      </c>
      <c r="AN863" s="79"/>
      <c r="AO863" s="79">
        <v>61.787080000000003</v>
      </c>
      <c r="AP863" s="79">
        <v>80.748140000000006</v>
      </c>
      <c r="AQ863" s="79"/>
      <c r="AR863" s="79"/>
      <c r="AS863" s="79"/>
      <c r="AT863" s="79"/>
      <c r="AU863" s="79"/>
      <c r="AV863" s="79"/>
      <c r="AW863" s="79"/>
      <c r="AX863" s="79">
        <v>32.797269999999997</v>
      </c>
      <c r="AY863" s="79">
        <v>71.484309999999994</v>
      </c>
    </row>
    <row r="864" spans="1:51" x14ac:dyDescent="0.2">
      <c r="A864" t="s">
        <v>1409</v>
      </c>
      <c r="B864" s="1">
        <v>33178</v>
      </c>
      <c r="C864" s="78">
        <v>864</v>
      </c>
      <c r="E864" s="1">
        <f t="shared" si="26"/>
        <v>33178</v>
      </c>
      <c r="F864" s="2">
        <f t="shared" si="27"/>
        <v>33178</v>
      </c>
      <c r="G864" s="78">
        <v>862</v>
      </c>
      <c r="H864" s="79"/>
      <c r="I864" s="79"/>
      <c r="J864" s="79">
        <v>64.345950000000002</v>
      </c>
      <c r="K864" s="79">
        <v>66.544780000000003</v>
      </c>
      <c r="L864" s="79"/>
      <c r="M864" s="79">
        <v>72.175269999999998</v>
      </c>
      <c r="N864" s="79">
        <v>73.814179999999993</v>
      </c>
      <c r="O864" s="79">
        <v>84.147180000000006</v>
      </c>
      <c r="P864" s="79">
        <v>100.4843</v>
      </c>
      <c r="Q864" s="79"/>
      <c r="R864" s="79">
        <v>66.587879999999998</v>
      </c>
      <c r="S864" s="79">
        <v>90.720759999999999</v>
      </c>
      <c r="T864" s="79">
        <v>96.485780000000005</v>
      </c>
      <c r="U864" s="79">
        <v>123.78</v>
      </c>
      <c r="V864" s="79">
        <v>41.046030000000002</v>
      </c>
      <c r="W864" s="79">
        <v>14.0785</v>
      </c>
      <c r="X864" s="79"/>
      <c r="Y864" s="79">
        <v>40.974159999999998</v>
      </c>
      <c r="Z864" s="79">
        <v>108.6909</v>
      </c>
      <c r="AA864" s="79">
        <v>106.78489999999999</v>
      </c>
      <c r="AB864" s="79">
        <v>21.967169999999999</v>
      </c>
      <c r="AC864" s="79">
        <v>71.059449999999998</v>
      </c>
      <c r="AD864" s="79"/>
      <c r="AE864" s="79">
        <v>67.813959999999994</v>
      </c>
      <c r="AF864" s="79">
        <v>78.093850000000003</v>
      </c>
      <c r="AG864" s="79">
        <v>89.104839999999996</v>
      </c>
      <c r="AH864" s="79">
        <v>67.753010000000003</v>
      </c>
      <c r="AI864" s="79">
        <v>29.827190000000002</v>
      </c>
      <c r="AJ864" s="79">
        <v>113.96380000000001</v>
      </c>
      <c r="AK864" s="79">
        <v>39.210839999999997</v>
      </c>
      <c r="AL864" s="79"/>
      <c r="AM864" s="79">
        <v>70.133899999999997</v>
      </c>
      <c r="AN864" s="79"/>
      <c r="AO864" s="79">
        <v>61.064680000000003</v>
      </c>
      <c r="AP864" s="79">
        <v>79.986270000000005</v>
      </c>
      <c r="AQ864" s="79"/>
      <c r="AR864" s="79"/>
      <c r="AS864" s="79"/>
      <c r="AT864" s="79"/>
      <c r="AU864" s="79"/>
      <c r="AV864" s="79"/>
      <c r="AW864" s="79"/>
      <c r="AX864" s="79">
        <v>33.197240000000001</v>
      </c>
      <c r="AY864" s="79">
        <v>69.874359999999996</v>
      </c>
    </row>
    <row r="865" spans="1:51" x14ac:dyDescent="0.2">
      <c r="A865" t="s">
        <v>1410</v>
      </c>
      <c r="B865" s="1">
        <v>33208</v>
      </c>
      <c r="C865" s="78">
        <v>865</v>
      </c>
      <c r="E865" s="1">
        <f t="shared" si="26"/>
        <v>33208</v>
      </c>
      <c r="F865" s="2">
        <f t="shared" si="27"/>
        <v>33208</v>
      </c>
      <c r="G865" s="78">
        <v>863</v>
      </c>
      <c r="H865" s="79"/>
      <c r="I865" s="79"/>
      <c r="J865" s="79">
        <v>63.533189999999998</v>
      </c>
      <c r="K865" s="79">
        <v>66.011439999999993</v>
      </c>
      <c r="L865" s="79"/>
      <c r="M865" s="79">
        <v>89.35857</v>
      </c>
      <c r="N865" s="79">
        <v>74.122770000000003</v>
      </c>
      <c r="O865" s="79">
        <v>82.840879999999999</v>
      </c>
      <c r="P865" s="79">
        <v>99.994</v>
      </c>
      <c r="Q865" s="79"/>
      <c r="R865" s="79">
        <v>65.212270000000004</v>
      </c>
      <c r="S865" s="79">
        <v>91.870769999999993</v>
      </c>
      <c r="T865" s="79">
        <v>95.899829999999994</v>
      </c>
      <c r="U865" s="79">
        <v>128.98339999999999</v>
      </c>
      <c r="V865" s="79">
        <v>37.912750000000003</v>
      </c>
      <c r="W865" s="79">
        <v>14.55373</v>
      </c>
      <c r="X865" s="79"/>
      <c r="Y865" s="79">
        <v>41.184280000000001</v>
      </c>
      <c r="Z865" s="79">
        <v>110.49079999999999</v>
      </c>
      <c r="AA865" s="79">
        <v>106.88639999999999</v>
      </c>
      <c r="AB865" s="79">
        <v>22.364139999999999</v>
      </c>
      <c r="AC865" s="79">
        <v>71.112459999999999</v>
      </c>
      <c r="AD865" s="79"/>
      <c r="AE865" s="79">
        <v>66.946399999999997</v>
      </c>
      <c r="AF865" s="79">
        <v>80.175319999999999</v>
      </c>
      <c r="AG865" s="79">
        <v>87.246219999999994</v>
      </c>
      <c r="AH865" s="79">
        <v>67.827579999999998</v>
      </c>
      <c r="AI865" s="79">
        <v>29.187010000000001</v>
      </c>
      <c r="AJ865" s="79">
        <v>115.3257</v>
      </c>
      <c r="AK865" s="79">
        <v>33.948680000000003</v>
      </c>
      <c r="AL865" s="79"/>
      <c r="AM865" s="79">
        <v>70.943520000000007</v>
      </c>
      <c r="AN865" s="79"/>
      <c r="AO865" s="79">
        <v>60.665210000000002</v>
      </c>
      <c r="AP865" s="79">
        <v>80.824330000000003</v>
      </c>
      <c r="AQ865" s="79"/>
      <c r="AR865" s="79"/>
      <c r="AS865" s="79"/>
      <c r="AT865" s="79"/>
      <c r="AU865" s="79"/>
      <c r="AV865" s="79"/>
      <c r="AW865" s="79"/>
      <c r="AX865" s="79">
        <v>31.797350000000002</v>
      </c>
      <c r="AY865" s="79">
        <v>65.592380000000006</v>
      </c>
    </row>
    <row r="866" spans="1:51" x14ac:dyDescent="0.2">
      <c r="A866" t="s">
        <v>1411</v>
      </c>
      <c r="B866" s="1">
        <v>33239</v>
      </c>
      <c r="C866" s="78">
        <v>866</v>
      </c>
      <c r="E866" s="1">
        <f t="shared" si="26"/>
        <v>33239</v>
      </c>
      <c r="F866" s="2">
        <f t="shared" si="27"/>
        <v>33239</v>
      </c>
      <c r="G866" s="78">
        <v>864</v>
      </c>
      <c r="H866" s="79"/>
      <c r="I866" s="79"/>
      <c r="J866" s="79">
        <v>63.355649999999997</v>
      </c>
      <c r="K866" s="79">
        <v>66.348830000000007</v>
      </c>
      <c r="L866" s="79"/>
      <c r="M866" s="79">
        <v>68.891930000000002</v>
      </c>
      <c r="N866" s="79">
        <v>76.393630000000002</v>
      </c>
      <c r="O866" s="79">
        <v>81.208020000000005</v>
      </c>
      <c r="P866" s="79">
        <v>100.09690000000001</v>
      </c>
      <c r="Q866" s="79"/>
      <c r="R866" s="79">
        <v>65.413579999999996</v>
      </c>
      <c r="S866" s="79">
        <v>93.070779999999999</v>
      </c>
      <c r="T866" s="79">
        <v>95.704520000000002</v>
      </c>
      <c r="U866" s="79">
        <v>123.1071</v>
      </c>
      <c r="V866" s="79">
        <v>39.166060000000002</v>
      </c>
      <c r="W866" s="79">
        <v>14.37552</v>
      </c>
      <c r="X866" s="79"/>
      <c r="Y866" s="79">
        <v>38.522709999999996</v>
      </c>
      <c r="Z866" s="79">
        <v>111.0907</v>
      </c>
      <c r="AA866" s="79">
        <v>107.5962</v>
      </c>
      <c r="AB866" s="79">
        <v>22.299140000000001</v>
      </c>
      <c r="AC866" s="79">
        <v>71.397980000000004</v>
      </c>
      <c r="AD866" s="79"/>
      <c r="AE866" s="79">
        <v>68.681520000000006</v>
      </c>
      <c r="AF866" s="79">
        <v>78.633489999999995</v>
      </c>
      <c r="AG866" s="79">
        <v>88.339519999999993</v>
      </c>
      <c r="AH866" s="79">
        <v>67.672659999999993</v>
      </c>
      <c r="AI866" s="79">
        <v>28.744879999999998</v>
      </c>
      <c r="AJ866" s="79">
        <v>111.5069</v>
      </c>
      <c r="AK866" s="79">
        <v>45.414900000000003</v>
      </c>
      <c r="AL866" s="79"/>
      <c r="AM866" s="79">
        <v>70.032690000000002</v>
      </c>
      <c r="AN866" s="79"/>
      <c r="AO866" s="79">
        <v>60.401829999999997</v>
      </c>
      <c r="AP866" s="79">
        <v>82.386269999999996</v>
      </c>
      <c r="AQ866" s="79"/>
      <c r="AR866" s="79"/>
      <c r="AS866" s="79"/>
      <c r="AT866" s="79"/>
      <c r="AU866" s="79"/>
      <c r="AV866" s="79"/>
      <c r="AW866" s="79"/>
      <c r="AX866" s="79">
        <v>27.5977</v>
      </c>
      <c r="AY866" s="79">
        <v>64.308160000000001</v>
      </c>
    </row>
    <row r="867" spans="1:51" x14ac:dyDescent="0.2">
      <c r="A867" t="s">
        <v>1412</v>
      </c>
      <c r="B867" s="1">
        <v>33270</v>
      </c>
      <c r="C867" s="78">
        <v>867</v>
      </c>
      <c r="E867" s="1">
        <f t="shared" si="26"/>
        <v>33270</v>
      </c>
      <c r="F867" s="2">
        <f t="shared" si="27"/>
        <v>33270</v>
      </c>
      <c r="G867" s="78">
        <v>865</v>
      </c>
      <c r="H867" s="79"/>
      <c r="I867" s="79"/>
      <c r="J867" s="79">
        <v>62.149270000000001</v>
      </c>
      <c r="K867" s="79">
        <v>65.19614</v>
      </c>
      <c r="L867" s="79"/>
      <c r="M867" s="79">
        <v>63.540939999999999</v>
      </c>
      <c r="N867" s="79">
        <v>75.493709999999993</v>
      </c>
      <c r="O867" s="79">
        <v>82.187740000000005</v>
      </c>
      <c r="P867" s="79">
        <v>98.506900000000002</v>
      </c>
      <c r="Q867" s="79"/>
      <c r="R867" s="79">
        <v>63.333410000000001</v>
      </c>
      <c r="S867" s="79">
        <v>92.660769999999999</v>
      </c>
      <c r="T867" s="79">
        <v>95.606859999999998</v>
      </c>
      <c r="U867" s="79">
        <v>124.2291</v>
      </c>
      <c r="V867" s="79">
        <v>36.748950000000001</v>
      </c>
      <c r="W867" s="79">
        <v>14.49432</v>
      </c>
      <c r="X867" s="79"/>
      <c r="Y867" s="79">
        <v>39.50329</v>
      </c>
      <c r="Z867" s="79">
        <v>108.9909</v>
      </c>
      <c r="AA867" s="79">
        <v>108.00190000000001</v>
      </c>
      <c r="AB867" s="79">
        <v>22.364139999999999</v>
      </c>
      <c r="AC867" s="79">
        <v>72.234830000000002</v>
      </c>
      <c r="AD867" s="79"/>
      <c r="AE867" s="79">
        <v>68.753810000000001</v>
      </c>
      <c r="AF867" s="79">
        <v>80.468279999999993</v>
      </c>
      <c r="AG867" s="79">
        <v>89.979489999999998</v>
      </c>
      <c r="AH867" s="79">
        <v>67.481399999999994</v>
      </c>
      <c r="AI867" s="79">
        <v>27.107610000000001</v>
      </c>
      <c r="AJ867" s="79">
        <v>113.7067</v>
      </c>
      <c r="AK867" s="79">
        <v>41.716099999999997</v>
      </c>
      <c r="AL867" s="79"/>
      <c r="AM867" s="79">
        <v>70.133899999999997</v>
      </c>
      <c r="AN867" s="79"/>
      <c r="AO867" s="79">
        <v>59.980170000000001</v>
      </c>
      <c r="AP867" s="79">
        <v>81.486419999999995</v>
      </c>
      <c r="AQ867" s="79"/>
      <c r="AR867" s="79"/>
      <c r="AS867" s="79"/>
      <c r="AT867" s="79"/>
      <c r="AU867" s="79"/>
      <c r="AV867" s="79"/>
      <c r="AW867" s="79"/>
      <c r="AX867" s="79">
        <v>32.197319999999998</v>
      </c>
      <c r="AY867" s="79">
        <v>63.27234</v>
      </c>
    </row>
    <row r="868" spans="1:51" x14ac:dyDescent="0.2">
      <c r="A868" t="s">
        <v>1413</v>
      </c>
      <c r="B868" s="1">
        <v>33298</v>
      </c>
      <c r="C868" s="78">
        <v>868</v>
      </c>
      <c r="E868" s="1">
        <f t="shared" si="26"/>
        <v>33298</v>
      </c>
      <c r="F868" s="2">
        <f t="shared" si="27"/>
        <v>33298</v>
      </c>
      <c r="G868" s="78">
        <v>866</v>
      </c>
      <c r="H868" s="79"/>
      <c r="I868" s="79"/>
      <c r="J868" s="79">
        <v>61.987349999999999</v>
      </c>
      <c r="K868" s="79">
        <v>65.241259999999997</v>
      </c>
      <c r="L868" s="79"/>
      <c r="M868" s="79">
        <v>66.609949999999998</v>
      </c>
      <c r="N868" s="79">
        <v>74.993750000000006</v>
      </c>
      <c r="O868" s="79">
        <v>82.405450000000002</v>
      </c>
      <c r="P868" s="79">
        <v>95.078100000000006</v>
      </c>
      <c r="Q868" s="79"/>
      <c r="R868" s="79">
        <v>63.188020000000002</v>
      </c>
      <c r="S868" s="79">
        <v>91.520759999999996</v>
      </c>
      <c r="T868" s="79">
        <v>94.630290000000002</v>
      </c>
      <c r="U868" s="79">
        <v>124.3158</v>
      </c>
      <c r="V868" s="79">
        <v>34.60042</v>
      </c>
      <c r="W868" s="79">
        <v>13.84089</v>
      </c>
      <c r="X868" s="79"/>
      <c r="Y868" s="79">
        <v>41.674570000000003</v>
      </c>
      <c r="Z868" s="79">
        <v>108.39100000000001</v>
      </c>
      <c r="AA868" s="79">
        <v>106.98779999999999</v>
      </c>
      <c r="AB868" s="79">
        <v>22.429130000000001</v>
      </c>
      <c r="AC868" s="79">
        <v>72.884129999999999</v>
      </c>
      <c r="AD868" s="79"/>
      <c r="AE868" s="79">
        <v>68.175449999999998</v>
      </c>
      <c r="AF868" s="79">
        <v>75.503569999999996</v>
      </c>
      <c r="AG868" s="79">
        <v>88.558189999999996</v>
      </c>
      <c r="AH868" s="79">
        <v>67.085459999999998</v>
      </c>
      <c r="AI868" s="79">
        <v>26.73517</v>
      </c>
      <c r="AJ868" s="79">
        <v>112.70489999999999</v>
      </c>
      <c r="AK868" s="79">
        <v>46.118139999999997</v>
      </c>
      <c r="AL868" s="79"/>
      <c r="AM868" s="79">
        <v>69.425470000000004</v>
      </c>
      <c r="AN868" s="79"/>
      <c r="AO868" s="79">
        <v>59.665889999999997</v>
      </c>
      <c r="AP868" s="79">
        <v>80.686549999999997</v>
      </c>
      <c r="AQ868" s="79"/>
      <c r="AR868" s="79"/>
      <c r="AS868" s="79"/>
      <c r="AT868" s="79"/>
      <c r="AU868" s="79"/>
      <c r="AV868" s="79"/>
      <c r="AW868" s="79"/>
      <c r="AX868" s="79">
        <v>33.597200000000001</v>
      </c>
      <c r="AY868" s="79">
        <v>62.517429999999997</v>
      </c>
    </row>
    <row r="869" spans="1:51" x14ac:dyDescent="0.2">
      <c r="A869" t="s">
        <v>1414</v>
      </c>
      <c r="B869" s="1">
        <v>33329</v>
      </c>
      <c r="C869" s="78">
        <v>869</v>
      </c>
      <c r="E869" s="1">
        <f t="shared" si="26"/>
        <v>33329</v>
      </c>
      <c r="F869" s="2">
        <f t="shared" si="27"/>
        <v>33329</v>
      </c>
      <c r="G869" s="78">
        <v>867</v>
      </c>
      <c r="H869" s="79"/>
      <c r="I869" s="79"/>
      <c r="J869" s="79">
        <v>63.464410000000001</v>
      </c>
      <c r="K869" s="79">
        <v>65.277439999999999</v>
      </c>
      <c r="L869" s="79"/>
      <c r="M869" s="79">
        <v>61.159320000000001</v>
      </c>
      <c r="N869" s="79">
        <v>74.393799999999999</v>
      </c>
      <c r="O869" s="79">
        <v>81.643450000000001</v>
      </c>
      <c r="P869" s="79">
        <v>102.17100000000001</v>
      </c>
      <c r="Q869" s="79"/>
      <c r="R869" s="79">
        <v>63.210389999999997</v>
      </c>
      <c r="S869" s="79">
        <v>91.50076</v>
      </c>
      <c r="T869" s="79">
        <v>93.360730000000004</v>
      </c>
      <c r="U869" s="79">
        <v>124.77670000000001</v>
      </c>
      <c r="V869" s="79">
        <v>34.824219999999997</v>
      </c>
      <c r="W869" s="79">
        <v>14.25671</v>
      </c>
      <c r="X869" s="79"/>
      <c r="Y869" s="79">
        <v>42.374980000000001</v>
      </c>
      <c r="Z869" s="79">
        <v>107.39109999999999</v>
      </c>
      <c r="AA869" s="79">
        <v>107.3934</v>
      </c>
      <c r="AB869" s="79">
        <v>22.697109999999999</v>
      </c>
      <c r="AC869" s="79">
        <v>72.88449</v>
      </c>
      <c r="AD869" s="79"/>
      <c r="AE869" s="79">
        <v>68.320040000000006</v>
      </c>
      <c r="AF869" s="79">
        <v>77.168750000000003</v>
      </c>
      <c r="AG869" s="79">
        <v>87.574209999999994</v>
      </c>
      <c r="AH869" s="79">
        <v>67.011380000000003</v>
      </c>
      <c r="AI869" s="79">
        <v>25.262429999999998</v>
      </c>
      <c r="AJ869" s="79">
        <v>108.1313</v>
      </c>
      <c r="AK869" s="79">
        <v>37.340229999999998</v>
      </c>
      <c r="AL869" s="79"/>
      <c r="AM869" s="79">
        <v>69.020660000000007</v>
      </c>
      <c r="AN869" s="79"/>
      <c r="AO869" s="79">
        <v>59.783549999999998</v>
      </c>
      <c r="AP869" s="79">
        <v>80.186639999999997</v>
      </c>
      <c r="AQ869" s="79"/>
      <c r="AR869" s="79"/>
      <c r="AS869" s="79"/>
      <c r="AT869" s="79"/>
      <c r="AU869" s="79"/>
      <c r="AV869" s="79"/>
      <c r="AW869" s="79"/>
      <c r="AX869" s="79">
        <v>32.197319999999998</v>
      </c>
      <c r="AY869" s="79">
        <v>66.774799999999999</v>
      </c>
    </row>
    <row r="870" spans="1:51" x14ac:dyDescent="0.2">
      <c r="A870" t="s">
        <v>1415</v>
      </c>
      <c r="B870" s="1">
        <v>33359</v>
      </c>
      <c r="C870" s="78">
        <v>870</v>
      </c>
      <c r="E870" s="1">
        <f t="shared" si="26"/>
        <v>33359</v>
      </c>
      <c r="F870" s="2">
        <f t="shared" si="27"/>
        <v>33359</v>
      </c>
      <c r="G870" s="78">
        <v>868</v>
      </c>
      <c r="H870" s="79"/>
      <c r="I870" s="79"/>
      <c r="J870" s="79">
        <v>63.001939999999998</v>
      </c>
      <c r="K870" s="79">
        <v>65.76661</v>
      </c>
      <c r="L870" s="79"/>
      <c r="M870" s="79">
        <v>57.694929999999999</v>
      </c>
      <c r="N870" s="79">
        <v>73.193899999999999</v>
      </c>
      <c r="O870" s="79">
        <v>82.840879999999999</v>
      </c>
      <c r="P870" s="79">
        <v>97.14085</v>
      </c>
      <c r="Q870" s="79"/>
      <c r="R870" s="79">
        <v>62.684750000000001</v>
      </c>
      <c r="S870" s="79">
        <v>91.610759999999999</v>
      </c>
      <c r="T870" s="79">
        <v>94.434970000000007</v>
      </c>
      <c r="U870" s="79">
        <v>123.313</v>
      </c>
      <c r="V870" s="79">
        <v>33.705190000000002</v>
      </c>
      <c r="W870" s="79">
        <v>13.9597</v>
      </c>
      <c r="X870" s="79"/>
      <c r="Y870" s="79">
        <v>43.075389999999999</v>
      </c>
      <c r="Z870" s="79">
        <v>108.6909</v>
      </c>
      <c r="AA870" s="79">
        <v>108.5089</v>
      </c>
      <c r="AB870" s="79">
        <v>22.567119999999999</v>
      </c>
      <c r="AC870" s="79">
        <v>70.633189999999999</v>
      </c>
      <c r="AD870" s="79"/>
      <c r="AE870" s="79">
        <v>68.753810000000001</v>
      </c>
      <c r="AF870" s="79">
        <v>79.604849999999999</v>
      </c>
      <c r="AG870" s="79">
        <v>90.854140000000001</v>
      </c>
      <c r="AH870" s="79">
        <v>67.190240000000003</v>
      </c>
      <c r="AI870" s="79">
        <v>23.783909999999999</v>
      </c>
      <c r="AJ870" s="79">
        <v>110.206</v>
      </c>
      <c r="AK870" s="79">
        <v>35.157089999999997</v>
      </c>
      <c r="AL870" s="79"/>
      <c r="AM870" s="79">
        <v>68.615840000000006</v>
      </c>
      <c r="AN870" s="79"/>
      <c r="AO870" s="79">
        <v>60.38205</v>
      </c>
      <c r="AP870" s="79">
        <v>80.086650000000006</v>
      </c>
      <c r="AQ870" s="79"/>
      <c r="AR870" s="79"/>
      <c r="AS870" s="79"/>
      <c r="AT870" s="79"/>
      <c r="AU870" s="79"/>
      <c r="AV870" s="79"/>
      <c r="AW870" s="79"/>
      <c r="AX870" s="79">
        <v>33.697189999999999</v>
      </c>
      <c r="AY870" s="79">
        <v>67.924719999999994</v>
      </c>
    </row>
    <row r="871" spans="1:51" x14ac:dyDescent="0.2">
      <c r="A871" t="s">
        <v>1416</v>
      </c>
      <c r="B871" s="1">
        <v>33390</v>
      </c>
      <c r="C871" s="78">
        <v>871</v>
      </c>
      <c r="E871" s="1">
        <f t="shared" si="26"/>
        <v>33390</v>
      </c>
      <c r="F871" s="2">
        <f t="shared" si="27"/>
        <v>33390</v>
      </c>
      <c r="G871" s="78">
        <v>869</v>
      </c>
      <c r="H871" s="79"/>
      <c r="I871" s="79"/>
      <c r="J871" s="79">
        <v>62.377119999999998</v>
      </c>
      <c r="K871" s="79">
        <v>66.105890000000002</v>
      </c>
      <c r="L871" s="79"/>
      <c r="M871" s="79">
        <v>57.997259999999997</v>
      </c>
      <c r="N871" s="79">
        <v>76.393630000000002</v>
      </c>
      <c r="O871" s="79">
        <v>82.187740000000005</v>
      </c>
      <c r="P871" s="79">
        <v>100.1859</v>
      </c>
      <c r="Q871" s="79"/>
      <c r="R871" s="79">
        <v>57.059339999999999</v>
      </c>
      <c r="S871" s="79">
        <v>91.970759999999999</v>
      </c>
      <c r="T871" s="79">
        <v>94.825599999999994</v>
      </c>
      <c r="U871" s="79">
        <v>122.1367</v>
      </c>
      <c r="V871" s="79">
        <v>31.914750000000002</v>
      </c>
      <c r="W871" s="79">
        <v>14.49432</v>
      </c>
      <c r="X871" s="79"/>
      <c r="Y871" s="79">
        <v>43.285519999999998</v>
      </c>
      <c r="Z871" s="79">
        <v>109.0909</v>
      </c>
      <c r="AA871" s="79">
        <v>105.3652</v>
      </c>
      <c r="AB871" s="79">
        <v>22.493130000000001</v>
      </c>
      <c r="AC871" s="79">
        <v>77.644570000000002</v>
      </c>
      <c r="AD871" s="79"/>
      <c r="AE871" s="79">
        <v>68.030850000000001</v>
      </c>
      <c r="AF871" s="79">
        <v>79.242519999999999</v>
      </c>
      <c r="AG871" s="79">
        <v>88.230189999999993</v>
      </c>
      <c r="AH871" s="79">
        <v>67.319699999999997</v>
      </c>
      <c r="AI871" s="79">
        <v>24.564150000000001</v>
      </c>
      <c r="AJ871" s="79">
        <v>113.3486</v>
      </c>
      <c r="AK871" s="79">
        <v>35.031509999999997</v>
      </c>
      <c r="AL871" s="79"/>
      <c r="AM871" s="79">
        <v>68.413439999999994</v>
      </c>
      <c r="AN871" s="79"/>
      <c r="AO871" s="79">
        <v>60.932029999999997</v>
      </c>
      <c r="AP871" s="79">
        <v>81.686390000000003</v>
      </c>
      <c r="AQ871" s="79"/>
      <c r="AR871" s="79"/>
      <c r="AS871" s="79"/>
      <c r="AT871" s="79"/>
      <c r="AU871" s="79"/>
      <c r="AV871" s="79"/>
      <c r="AW871" s="79"/>
      <c r="AX871" s="79">
        <v>31.49738</v>
      </c>
      <c r="AY871" s="79">
        <v>70.847819999999999</v>
      </c>
    </row>
    <row r="872" spans="1:51" x14ac:dyDescent="0.2">
      <c r="A872" t="s">
        <v>1417</v>
      </c>
      <c r="B872" s="1">
        <v>33420</v>
      </c>
      <c r="C872" s="78">
        <v>872</v>
      </c>
      <c r="E872" s="1">
        <f t="shared" si="26"/>
        <v>33420</v>
      </c>
      <c r="F872" s="2">
        <f t="shared" si="27"/>
        <v>33420</v>
      </c>
      <c r="G872" s="78">
        <v>870</v>
      </c>
      <c r="H872" s="79"/>
      <c r="I872" s="79"/>
      <c r="J872" s="79">
        <v>61.928899999999999</v>
      </c>
      <c r="K872" s="79">
        <v>66.288210000000007</v>
      </c>
      <c r="L872" s="79"/>
      <c r="M872" s="79">
        <v>55.385300000000001</v>
      </c>
      <c r="N872" s="79">
        <v>74.193820000000002</v>
      </c>
      <c r="O872" s="79">
        <v>85.126900000000006</v>
      </c>
      <c r="P872" s="79">
        <v>97.733320000000006</v>
      </c>
      <c r="Q872" s="79"/>
      <c r="R872" s="79">
        <v>62.304510000000001</v>
      </c>
      <c r="S872" s="79">
        <v>90.430760000000006</v>
      </c>
      <c r="T872" s="79">
        <v>93.946680000000001</v>
      </c>
      <c r="U872" s="79">
        <v>120.6049</v>
      </c>
      <c r="V872" s="79">
        <v>32.183309999999999</v>
      </c>
      <c r="W872" s="79">
        <v>14.0785</v>
      </c>
      <c r="X872" s="79"/>
      <c r="Y872" s="79">
        <v>43.425600000000003</v>
      </c>
      <c r="Z872" s="79">
        <v>109.0909</v>
      </c>
      <c r="AA872" s="79">
        <v>107.69759999999999</v>
      </c>
      <c r="AB872" s="79">
        <v>23.15907</v>
      </c>
      <c r="AC872" s="79">
        <v>73.257040000000003</v>
      </c>
      <c r="AD872" s="79"/>
      <c r="AE872" s="79">
        <v>69.043000000000006</v>
      </c>
      <c r="AF872" s="79">
        <v>78.209490000000002</v>
      </c>
      <c r="AG872" s="79">
        <v>85.934240000000003</v>
      </c>
      <c r="AH872" s="79">
        <v>67.345290000000006</v>
      </c>
      <c r="AI872" s="79">
        <v>24.264779999999998</v>
      </c>
      <c r="AJ872" s="79">
        <v>111.393</v>
      </c>
      <c r="AK872" s="79">
        <v>34.12782</v>
      </c>
      <c r="AL872" s="79"/>
      <c r="AM872" s="79">
        <v>68.51464</v>
      </c>
      <c r="AN872" s="79"/>
      <c r="AO872" s="79">
        <v>61.004649999999998</v>
      </c>
      <c r="AP872" s="79">
        <v>80.086650000000006</v>
      </c>
      <c r="AQ872" s="79"/>
      <c r="AR872" s="79"/>
      <c r="AS872" s="79"/>
      <c r="AT872" s="79"/>
      <c r="AU872" s="79"/>
      <c r="AV872" s="79"/>
      <c r="AW872" s="79"/>
      <c r="AX872" s="79">
        <v>32.397300000000001</v>
      </c>
      <c r="AY872" s="79">
        <v>72.234759999999994</v>
      </c>
    </row>
    <row r="873" spans="1:51" x14ac:dyDescent="0.2">
      <c r="A873" t="s">
        <v>1418</v>
      </c>
      <c r="B873" s="1">
        <v>33451</v>
      </c>
      <c r="C873" s="78">
        <v>873</v>
      </c>
      <c r="E873" s="1">
        <f t="shared" si="26"/>
        <v>33451</v>
      </c>
      <c r="F873" s="2">
        <f t="shared" si="27"/>
        <v>33451</v>
      </c>
      <c r="G873" s="78">
        <v>871</v>
      </c>
      <c r="H873" s="79"/>
      <c r="I873" s="79"/>
      <c r="J873" s="79">
        <v>61.236510000000003</v>
      </c>
      <c r="K873" s="79">
        <v>66.201279999999997</v>
      </c>
      <c r="L873" s="79"/>
      <c r="M873" s="79">
        <v>58.086640000000003</v>
      </c>
      <c r="N873" s="79">
        <v>72.993920000000003</v>
      </c>
      <c r="O873" s="79">
        <v>83.385170000000002</v>
      </c>
      <c r="P873" s="79">
        <v>97.506550000000004</v>
      </c>
      <c r="Q873" s="79"/>
      <c r="R873" s="79">
        <v>61.15258</v>
      </c>
      <c r="S873" s="79">
        <v>91.380759999999995</v>
      </c>
      <c r="T873" s="79">
        <v>93.067760000000007</v>
      </c>
      <c r="U873" s="79">
        <v>124.0812</v>
      </c>
      <c r="V873" s="79">
        <v>30.392859999999999</v>
      </c>
      <c r="W873" s="79">
        <v>14.61313</v>
      </c>
      <c r="X873" s="79"/>
      <c r="Y873" s="79">
        <v>44.266089999999998</v>
      </c>
      <c r="Z873" s="79">
        <v>109.6909</v>
      </c>
      <c r="AA873" s="79">
        <v>105.97369999999999</v>
      </c>
      <c r="AB873" s="79">
        <v>24.027999999999999</v>
      </c>
      <c r="AC873" s="79">
        <v>74.074539999999999</v>
      </c>
      <c r="AD873" s="79"/>
      <c r="AE873" s="79">
        <v>68.753810000000001</v>
      </c>
      <c r="AF873" s="79">
        <v>78.340549999999993</v>
      </c>
      <c r="AG873" s="79">
        <v>81.123670000000004</v>
      </c>
      <c r="AH873" s="79">
        <v>67.149450000000002</v>
      </c>
      <c r="AI873" s="79">
        <v>23.671610000000001</v>
      </c>
      <c r="AJ873" s="79">
        <v>113.0521</v>
      </c>
      <c r="AK873" s="79">
        <v>33.780110000000001</v>
      </c>
      <c r="AL873" s="79"/>
      <c r="AM873" s="79">
        <v>66.794179999999997</v>
      </c>
      <c r="AN873" s="79"/>
      <c r="AO873" s="79">
        <v>61.056800000000003</v>
      </c>
      <c r="AP873" s="79">
        <v>80.086650000000006</v>
      </c>
      <c r="AQ873" s="79"/>
      <c r="AR873" s="79"/>
      <c r="AS873" s="79"/>
      <c r="AT873" s="79"/>
      <c r="AU873" s="79"/>
      <c r="AV873" s="79"/>
      <c r="AW873" s="79"/>
      <c r="AX873" s="79">
        <v>32.597279999999998</v>
      </c>
      <c r="AY873" s="79">
        <v>72.726330000000004</v>
      </c>
    </row>
    <row r="874" spans="1:51" x14ac:dyDescent="0.2">
      <c r="A874" t="s">
        <v>1419</v>
      </c>
      <c r="B874" s="1">
        <v>33482</v>
      </c>
      <c r="C874" s="78">
        <v>874</v>
      </c>
      <c r="E874" s="1">
        <f t="shared" si="26"/>
        <v>33482</v>
      </c>
      <c r="F874" s="2">
        <f t="shared" si="27"/>
        <v>33482</v>
      </c>
      <c r="G874" s="78">
        <v>872</v>
      </c>
      <c r="H874" s="79"/>
      <c r="I874" s="79"/>
      <c r="J874" s="79">
        <v>62.698309999999999</v>
      </c>
      <c r="K874" s="79">
        <v>66.47054</v>
      </c>
      <c r="L874" s="79"/>
      <c r="M874" s="79">
        <v>51.390949999999997</v>
      </c>
      <c r="N874" s="79">
        <v>72.793930000000003</v>
      </c>
      <c r="O874" s="79">
        <v>83.385170000000002</v>
      </c>
      <c r="P874" s="79">
        <v>99.945480000000003</v>
      </c>
      <c r="Q874" s="79"/>
      <c r="R874" s="79">
        <v>61.063110000000002</v>
      </c>
      <c r="S874" s="79">
        <v>91.690770000000001</v>
      </c>
      <c r="T874" s="79">
        <v>93.165419999999997</v>
      </c>
      <c r="U874" s="79">
        <v>131.495</v>
      </c>
      <c r="V874" s="79">
        <v>29.40812</v>
      </c>
      <c r="W874" s="79">
        <v>14.79134</v>
      </c>
      <c r="X874" s="79"/>
      <c r="Y874" s="79">
        <v>42.515059999999998</v>
      </c>
      <c r="Z874" s="79">
        <v>110.8908</v>
      </c>
      <c r="AA874" s="79">
        <v>106.07510000000001</v>
      </c>
      <c r="AB874" s="79">
        <v>23.824010000000001</v>
      </c>
      <c r="AC874" s="79">
        <v>74.330100000000002</v>
      </c>
      <c r="AD874" s="79"/>
      <c r="AE874" s="79">
        <v>68.753810000000001</v>
      </c>
      <c r="AF874" s="79">
        <v>76.343869999999995</v>
      </c>
      <c r="AG874" s="79">
        <v>91.400790000000001</v>
      </c>
      <c r="AH874" s="79">
        <v>67.368639999999999</v>
      </c>
      <c r="AI874" s="79">
        <v>23.103059999999999</v>
      </c>
      <c r="AJ874" s="79">
        <v>112.36109999999999</v>
      </c>
      <c r="AK874" s="79">
        <v>33.209220000000002</v>
      </c>
      <c r="AL874" s="79"/>
      <c r="AM874" s="79">
        <v>67.603809999999996</v>
      </c>
      <c r="AN874" s="79"/>
      <c r="AO874" s="79">
        <v>61.600360000000002</v>
      </c>
      <c r="AP874" s="79">
        <v>80.286619999999999</v>
      </c>
      <c r="AQ874" s="79"/>
      <c r="AR874" s="79"/>
      <c r="AS874" s="79"/>
      <c r="AT874" s="79"/>
      <c r="AU874" s="79"/>
      <c r="AV874" s="79"/>
      <c r="AW874" s="79"/>
      <c r="AX874" s="79">
        <v>33.497210000000003</v>
      </c>
      <c r="AY874" s="79">
        <v>69.671549999999996</v>
      </c>
    </row>
    <row r="875" spans="1:51" x14ac:dyDescent="0.2">
      <c r="A875" t="s">
        <v>1420</v>
      </c>
      <c r="B875" s="1">
        <v>33512</v>
      </c>
      <c r="C875" s="78">
        <v>875</v>
      </c>
      <c r="E875" s="1">
        <f t="shared" si="26"/>
        <v>33512</v>
      </c>
      <c r="F875" s="2">
        <f t="shared" si="27"/>
        <v>33512</v>
      </c>
      <c r="G875" s="78">
        <v>873</v>
      </c>
      <c r="H875" s="79"/>
      <c r="I875" s="79"/>
      <c r="J875" s="79">
        <v>62.794960000000003</v>
      </c>
      <c r="K875" s="79">
        <v>66.182010000000005</v>
      </c>
      <c r="L875" s="79"/>
      <c r="M875" s="79">
        <v>52.023110000000003</v>
      </c>
      <c r="N875" s="79">
        <v>73.893839999999997</v>
      </c>
      <c r="O875" s="79">
        <v>81.534589999999994</v>
      </c>
      <c r="P875" s="79">
        <v>100.5453</v>
      </c>
      <c r="Q875" s="79"/>
      <c r="R875" s="79">
        <v>60.582210000000003</v>
      </c>
      <c r="S875" s="79">
        <v>91.260760000000005</v>
      </c>
      <c r="T875" s="79">
        <v>94.337310000000002</v>
      </c>
      <c r="U875" s="79">
        <v>123.33450000000001</v>
      </c>
      <c r="V875" s="79">
        <v>29.631920000000001</v>
      </c>
      <c r="W875" s="79">
        <v>14.73194</v>
      </c>
      <c r="X875" s="79"/>
      <c r="Y875" s="79">
        <v>44.19605</v>
      </c>
      <c r="Z875" s="79">
        <v>110.1908</v>
      </c>
      <c r="AA875" s="79">
        <v>105.3652</v>
      </c>
      <c r="AB875" s="79">
        <v>24.027999999999999</v>
      </c>
      <c r="AC875" s="79">
        <v>71.47</v>
      </c>
      <c r="AD875" s="79"/>
      <c r="AE875" s="79">
        <v>71.067300000000003</v>
      </c>
      <c r="AF875" s="79">
        <v>78.803089999999997</v>
      </c>
      <c r="AG875" s="79">
        <v>87.683539999999994</v>
      </c>
      <c r="AH875" s="79">
        <v>67.526870000000002</v>
      </c>
      <c r="AI875" s="79">
        <v>23.375610000000002</v>
      </c>
      <c r="AJ875" s="79">
        <v>111.79649999999999</v>
      </c>
      <c r="AK875" s="79">
        <v>33.881889999999999</v>
      </c>
      <c r="AL875" s="79"/>
      <c r="AM875" s="79">
        <v>67.907420000000002</v>
      </c>
      <c r="AN875" s="79"/>
      <c r="AO875" s="79">
        <v>61.493070000000003</v>
      </c>
      <c r="AP875" s="79">
        <v>80.586569999999995</v>
      </c>
      <c r="AQ875" s="79"/>
      <c r="AR875" s="79"/>
      <c r="AS875" s="79"/>
      <c r="AT875" s="79"/>
      <c r="AU875" s="79"/>
      <c r="AV875" s="79"/>
      <c r="AW875" s="79"/>
      <c r="AX875" s="79">
        <v>33.497210000000003</v>
      </c>
      <c r="AY875" s="79">
        <v>71.400840000000002</v>
      </c>
    </row>
    <row r="876" spans="1:51" x14ac:dyDescent="0.2">
      <c r="A876" t="s">
        <v>1421</v>
      </c>
      <c r="B876" s="1">
        <v>33543</v>
      </c>
      <c r="C876" s="78">
        <v>876</v>
      </c>
      <c r="E876" s="1">
        <f t="shared" si="26"/>
        <v>33543</v>
      </c>
      <c r="F876" s="2">
        <f t="shared" si="27"/>
        <v>33543</v>
      </c>
      <c r="G876" s="78">
        <v>874</v>
      </c>
      <c r="H876" s="79"/>
      <c r="I876" s="79"/>
      <c r="J876" s="79">
        <v>62.08569</v>
      </c>
      <c r="K876" s="79">
        <v>65.846019999999996</v>
      </c>
      <c r="L876" s="79"/>
      <c r="M876" s="79">
        <v>51.951099999999997</v>
      </c>
      <c r="N876" s="79">
        <v>74.693780000000004</v>
      </c>
      <c r="O876" s="79">
        <v>82.840879999999999</v>
      </c>
      <c r="P876" s="79">
        <v>100.2518</v>
      </c>
      <c r="Q876" s="79"/>
      <c r="R876" s="79">
        <v>60.101309999999998</v>
      </c>
      <c r="S876" s="79">
        <v>92.720770000000002</v>
      </c>
      <c r="T876" s="79">
        <v>94.630290000000002</v>
      </c>
      <c r="U876" s="79">
        <v>121.4357</v>
      </c>
      <c r="V876" s="79">
        <v>29.810970000000001</v>
      </c>
      <c r="W876" s="79">
        <v>15.32597</v>
      </c>
      <c r="X876" s="79"/>
      <c r="Y876" s="79">
        <v>44.19605</v>
      </c>
      <c r="Z876" s="79">
        <v>110.7908</v>
      </c>
      <c r="AA876" s="79">
        <v>106.07510000000001</v>
      </c>
      <c r="AB876" s="79">
        <v>24.165990000000001</v>
      </c>
      <c r="AC876" s="79">
        <v>74.573269999999994</v>
      </c>
      <c r="AD876" s="79"/>
      <c r="AE876" s="79">
        <v>70.633520000000004</v>
      </c>
      <c r="AF876" s="79">
        <v>80.028850000000006</v>
      </c>
      <c r="AG876" s="79">
        <v>88.120859999999993</v>
      </c>
      <c r="AH876" s="79">
        <v>67.715429999999998</v>
      </c>
      <c r="AI876" s="79">
        <v>22.703299999999999</v>
      </c>
      <c r="AJ876" s="79">
        <v>111.4118</v>
      </c>
      <c r="AK876" s="79">
        <v>33.680509999999998</v>
      </c>
      <c r="AL876" s="79"/>
      <c r="AM876" s="79">
        <v>68.919460000000001</v>
      </c>
      <c r="AN876" s="79"/>
      <c r="AO876" s="79">
        <v>61.42266</v>
      </c>
      <c r="AP876" s="79">
        <v>81.486419999999995</v>
      </c>
      <c r="AQ876" s="79"/>
      <c r="AR876" s="79"/>
      <c r="AS876" s="79"/>
      <c r="AT876" s="79"/>
      <c r="AU876" s="79"/>
      <c r="AV876" s="79"/>
      <c r="AW876" s="79"/>
      <c r="AX876" s="79">
        <v>33.397219999999997</v>
      </c>
      <c r="AY876" s="79">
        <v>67.125919999999994</v>
      </c>
    </row>
    <row r="877" spans="1:51" x14ac:dyDescent="0.2">
      <c r="A877" t="s">
        <v>1422</v>
      </c>
      <c r="B877" s="1">
        <v>33573</v>
      </c>
      <c r="C877" s="78">
        <v>877</v>
      </c>
      <c r="E877" s="1">
        <f t="shared" si="26"/>
        <v>33573</v>
      </c>
      <c r="F877" s="2">
        <f t="shared" si="27"/>
        <v>33573</v>
      </c>
      <c r="G877" s="78">
        <v>875</v>
      </c>
      <c r="H877" s="79"/>
      <c r="I877" s="79"/>
      <c r="J877" s="79">
        <v>62.476619999999997</v>
      </c>
      <c r="K877" s="79">
        <v>65.149150000000006</v>
      </c>
      <c r="L877" s="79"/>
      <c r="M877" s="79">
        <v>58.728850000000001</v>
      </c>
      <c r="N877" s="79">
        <v>74.793769999999995</v>
      </c>
      <c r="O877" s="79">
        <v>83.494029999999995</v>
      </c>
      <c r="P877" s="79">
        <v>101.2586</v>
      </c>
      <c r="Q877" s="79"/>
      <c r="R877" s="79">
        <v>61.063110000000002</v>
      </c>
      <c r="S877" s="79">
        <v>91.89076</v>
      </c>
      <c r="T877" s="79">
        <v>94.239649999999997</v>
      </c>
      <c r="U877" s="79">
        <v>121.63209999999999</v>
      </c>
      <c r="V877" s="79">
        <v>28.9605</v>
      </c>
      <c r="W877" s="79">
        <v>14.79134</v>
      </c>
      <c r="X877" s="79"/>
      <c r="Y877" s="79">
        <v>43.705759999999998</v>
      </c>
      <c r="Z877" s="79">
        <v>109.29089999999999</v>
      </c>
      <c r="AA877" s="79">
        <v>104.6553</v>
      </c>
      <c r="AB877" s="79">
        <v>24.165990000000001</v>
      </c>
      <c r="AC877" s="79">
        <v>75.165329999999997</v>
      </c>
      <c r="AD877" s="79"/>
      <c r="AE877" s="79">
        <v>69.621369999999999</v>
      </c>
      <c r="AF877" s="79">
        <v>78.810810000000004</v>
      </c>
      <c r="AG877" s="79">
        <v>89.214169999999996</v>
      </c>
      <c r="AH877" s="79">
        <v>67.400710000000004</v>
      </c>
      <c r="AI877" s="79">
        <v>23.024170000000002</v>
      </c>
      <c r="AJ877" s="79">
        <v>109.7094</v>
      </c>
      <c r="AK877" s="79">
        <v>32.726349999999996</v>
      </c>
      <c r="AL877" s="79"/>
      <c r="AM877" s="79">
        <v>67.806209999999993</v>
      </c>
      <c r="AN877" s="79"/>
      <c r="AO877" s="79">
        <v>61.17841</v>
      </c>
      <c r="AP877" s="79">
        <v>80.886520000000004</v>
      </c>
      <c r="AQ877" s="79"/>
      <c r="AR877" s="79"/>
      <c r="AS877" s="79"/>
      <c r="AT877" s="79"/>
      <c r="AU877" s="79"/>
      <c r="AV877" s="79"/>
      <c r="AW877" s="79"/>
      <c r="AX877" s="79">
        <v>33.097239999999999</v>
      </c>
      <c r="AY877" s="79">
        <v>63.035339999999998</v>
      </c>
    </row>
    <row r="878" spans="1:51" x14ac:dyDescent="0.2">
      <c r="A878" t="s">
        <v>1423</v>
      </c>
      <c r="B878" s="1">
        <v>33604</v>
      </c>
      <c r="C878" s="78">
        <v>878</v>
      </c>
      <c r="E878" s="1">
        <f t="shared" si="26"/>
        <v>33604</v>
      </c>
      <c r="F878" s="2">
        <f t="shared" si="27"/>
        <v>33604</v>
      </c>
      <c r="G878" s="78">
        <v>876</v>
      </c>
      <c r="H878" s="79"/>
      <c r="I878" s="79"/>
      <c r="J878" s="79">
        <v>63.328980000000001</v>
      </c>
      <c r="K878" s="79">
        <v>66.065479999999994</v>
      </c>
      <c r="L878" s="79"/>
      <c r="M878" s="79">
        <v>53.02731</v>
      </c>
      <c r="N878" s="79">
        <v>75.693700000000007</v>
      </c>
      <c r="O878" s="79">
        <v>84.800319999999999</v>
      </c>
      <c r="P878" s="79">
        <v>99.691090000000003</v>
      </c>
      <c r="Q878" s="79"/>
      <c r="R878" s="79">
        <v>60.805889999999998</v>
      </c>
      <c r="S878" s="79">
        <v>92.140770000000003</v>
      </c>
      <c r="T878" s="79">
        <v>94.141999999999996</v>
      </c>
      <c r="U878" s="79">
        <v>124.4089</v>
      </c>
      <c r="V878" s="79">
        <v>28.945930000000001</v>
      </c>
      <c r="W878" s="79">
        <v>15.44477</v>
      </c>
      <c r="X878" s="79"/>
      <c r="Y878" s="79">
        <v>44.546259999999997</v>
      </c>
      <c r="Z878" s="79">
        <v>110.1908</v>
      </c>
      <c r="AA878" s="79">
        <v>103.9455</v>
      </c>
      <c r="AB878" s="79">
        <v>24.091989999999999</v>
      </c>
      <c r="AC878" s="79">
        <v>72.200680000000006</v>
      </c>
      <c r="AD878" s="79"/>
      <c r="AE878" s="79">
        <v>69.621369999999999</v>
      </c>
      <c r="AF878" s="79">
        <v>80.283259999999999</v>
      </c>
      <c r="AG878" s="79">
        <v>91.072810000000004</v>
      </c>
      <c r="AH878" s="79">
        <v>67.395579999999995</v>
      </c>
      <c r="AI878" s="79">
        <v>24.320489999999999</v>
      </c>
      <c r="AJ878" s="79">
        <v>112.79179999999999</v>
      </c>
      <c r="AK878" s="79">
        <v>33.310290000000002</v>
      </c>
      <c r="AL878" s="79">
        <v>66.965549999999993</v>
      </c>
      <c r="AM878" s="79">
        <v>69.121859999999998</v>
      </c>
      <c r="AN878" s="79"/>
      <c r="AO878" s="79">
        <v>60.836179999999999</v>
      </c>
      <c r="AP878" s="79">
        <v>81.886349999999993</v>
      </c>
      <c r="AQ878" s="79"/>
      <c r="AR878" s="79"/>
      <c r="AS878" s="79"/>
      <c r="AT878" s="79"/>
      <c r="AU878" s="79"/>
      <c r="AV878" s="79"/>
      <c r="AW878" s="79"/>
      <c r="AX878" s="79">
        <v>33.297229999999999</v>
      </c>
      <c r="AY878" s="79">
        <v>63.219679999999997</v>
      </c>
    </row>
    <row r="879" spans="1:51" x14ac:dyDescent="0.2">
      <c r="A879" t="s">
        <v>1424</v>
      </c>
      <c r="B879" s="1">
        <v>33635</v>
      </c>
      <c r="C879" s="78">
        <v>879</v>
      </c>
      <c r="E879" s="1">
        <f t="shared" si="26"/>
        <v>33635</v>
      </c>
      <c r="F879" s="2">
        <f t="shared" si="27"/>
        <v>33635</v>
      </c>
      <c r="G879" s="78">
        <v>877</v>
      </c>
      <c r="H879" s="79"/>
      <c r="I879" s="79"/>
      <c r="J879" s="79">
        <v>63.270110000000003</v>
      </c>
      <c r="K879" s="79">
        <v>66.000159999999994</v>
      </c>
      <c r="L879" s="79"/>
      <c r="M879" s="79">
        <v>53.155529999999999</v>
      </c>
      <c r="N879" s="79">
        <v>76.993579999999994</v>
      </c>
      <c r="O879" s="79">
        <v>85.671189999999996</v>
      </c>
      <c r="P879" s="79">
        <v>99.895079999999993</v>
      </c>
      <c r="Q879" s="79"/>
      <c r="R879" s="79">
        <v>62.595280000000002</v>
      </c>
      <c r="S879" s="79">
        <v>91.450760000000002</v>
      </c>
      <c r="T879" s="79">
        <v>94.727940000000004</v>
      </c>
      <c r="U879" s="79">
        <v>121.1832</v>
      </c>
      <c r="V879" s="79">
        <v>29.326799999999999</v>
      </c>
      <c r="W879" s="79">
        <v>15.32597</v>
      </c>
      <c r="X879" s="79"/>
      <c r="Y879" s="79">
        <v>43.495640000000002</v>
      </c>
      <c r="Z879" s="79">
        <v>110.1908</v>
      </c>
      <c r="AA879" s="79">
        <v>103.6412</v>
      </c>
      <c r="AB879" s="79">
        <v>24.69294</v>
      </c>
      <c r="AC879" s="79">
        <v>74.610770000000002</v>
      </c>
      <c r="AD879" s="79"/>
      <c r="AE879" s="79">
        <v>69.693659999999994</v>
      </c>
      <c r="AF879" s="79">
        <v>78.702870000000004</v>
      </c>
      <c r="AG879" s="79">
        <v>90.088819999999998</v>
      </c>
      <c r="AH879" s="79">
        <v>67.697540000000004</v>
      </c>
      <c r="AI879" s="79">
        <v>24.599319999999999</v>
      </c>
      <c r="AJ879" s="79">
        <v>113.5671</v>
      </c>
      <c r="AK879" s="79">
        <v>31.897310000000001</v>
      </c>
      <c r="AL879" s="79">
        <v>70.716239999999999</v>
      </c>
      <c r="AM879" s="79">
        <v>68.919460000000001</v>
      </c>
      <c r="AN879" s="79"/>
      <c r="AO879" s="79">
        <v>61.27196</v>
      </c>
      <c r="AP879" s="79">
        <v>82.086320000000001</v>
      </c>
      <c r="AQ879" s="79"/>
      <c r="AR879" s="79"/>
      <c r="AS879" s="79"/>
      <c r="AT879" s="79"/>
      <c r="AU879" s="79"/>
      <c r="AV879" s="79"/>
      <c r="AW879" s="79"/>
      <c r="AX879" s="79">
        <v>32.997250000000001</v>
      </c>
      <c r="AY879" s="79">
        <v>65.405420000000007</v>
      </c>
    </row>
    <row r="880" spans="1:51" x14ac:dyDescent="0.2">
      <c r="A880" t="s">
        <v>1425</v>
      </c>
      <c r="B880" s="1">
        <v>33664</v>
      </c>
      <c r="C880" s="78">
        <v>880</v>
      </c>
      <c r="E880" s="1">
        <f t="shared" si="26"/>
        <v>33664</v>
      </c>
      <c r="F880" s="2">
        <f t="shared" si="27"/>
        <v>33664</v>
      </c>
      <c r="G880" s="78">
        <v>878</v>
      </c>
      <c r="H880" s="79"/>
      <c r="I880" s="79"/>
      <c r="J880" s="79">
        <v>62.97542</v>
      </c>
      <c r="K880" s="79">
        <v>65.945179999999993</v>
      </c>
      <c r="L880" s="79"/>
      <c r="M880" s="79">
        <v>53.146839999999997</v>
      </c>
      <c r="N880" s="79">
        <v>74.793769999999995</v>
      </c>
      <c r="O880" s="79">
        <v>86.759770000000003</v>
      </c>
      <c r="P880" s="79">
        <v>98.561080000000004</v>
      </c>
      <c r="Q880" s="79"/>
      <c r="R880" s="79">
        <v>62.147930000000002</v>
      </c>
      <c r="S880" s="79">
        <v>92.340770000000006</v>
      </c>
      <c r="T880" s="79">
        <v>94.337310000000002</v>
      </c>
      <c r="U880" s="79">
        <v>122.9</v>
      </c>
      <c r="V880" s="79">
        <v>29.326799999999999</v>
      </c>
      <c r="W880" s="79">
        <v>15.80119</v>
      </c>
      <c r="X880" s="79"/>
      <c r="Y880" s="79">
        <v>45.596879999999999</v>
      </c>
      <c r="Z880" s="79">
        <v>109.99079999999999</v>
      </c>
      <c r="AA880" s="79">
        <v>102.12009999999999</v>
      </c>
      <c r="AB880" s="79">
        <v>24.69294</v>
      </c>
      <c r="AC880" s="79">
        <v>74.436260000000004</v>
      </c>
      <c r="AD880" s="79"/>
      <c r="AE880" s="79">
        <v>72.802409999999995</v>
      </c>
      <c r="AF880" s="79">
        <v>77.646720000000002</v>
      </c>
      <c r="AG880" s="79">
        <v>92.275440000000003</v>
      </c>
      <c r="AH880" s="79">
        <v>67.599680000000006</v>
      </c>
      <c r="AI880" s="79">
        <v>25.511199999999999</v>
      </c>
      <c r="AJ880" s="79">
        <v>109.8082</v>
      </c>
      <c r="AK880" s="79">
        <v>35.88355</v>
      </c>
      <c r="AL880" s="79">
        <v>67.043689999999998</v>
      </c>
      <c r="AM880" s="79">
        <v>68.211029999999994</v>
      </c>
      <c r="AN880" s="79"/>
      <c r="AO880" s="79">
        <v>61.781120000000001</v>
      </c>
      <c r="AP880" s="79">
        <v>81.386439999999993</v>
      </c>
      <c r="AQ880" s="79"/>
      <c r="AR880" s="79"/>
      <c r="AS880" s="79"/>
      <c r="AT880" s="79"/>
      <c r="AU880" s="79"/>
      <c r="AV880" s="79"/>
      <c r="AW880" s="79"/>
      <c r="AX880" s="79">
        <v>33.097239999999999</v>
      </c>
      <c r="AY880" s="79">
        <v>64.413489999999996</v>
      </c>
    </row>
    <row r="881" spans="1:51" x14ac:dyDescent="0.2">
      <c r="A881" t="s">
        <v>1426</v>
      </c>
      <c r="B881" s="1">
        <v>33695</v>
      </c>
      <c r="C881" s="78">
        <v>881</v>
      </c>
      <c r="E881" s="1">
        <f t="shared" si="26"/>
        <v>33695</v>
      </c>
      <c r="F881" s="2">
        <f t="shared" si="27"/>
        <v>33695</v>
      </c>
      <c r="G881" s="78">
        <v>879</v>
      </c>
      <c r="H881" s="79"/>
      <c r="I881" s="79"/>
      <c r="J881" s="79">
        <v>62.686340000000001</v>
      </c>
      <c r="K881" s="79">
        <v>66.546660000000003</v>
      </c>
      <c r="L881" s="79"/>
      <c r="M881" s="79">
        <v>55.168559999999999</v>
      </c>
      <c r="N881" s="79">
        <v>74.693780000000004</v>
      </c>
      <c r="O881" s="79">
        <v>86.106620000000007</v>
      </c>
      <c r="P881" s="79">
        <v>98.626080000000002</v>
      </c>
      <c r="Q881" s="79"/>
      <c r="R881" s="79">
        <v>61.99136</v>
      </c>
      <c r="S881" s="79">
        <v>91.690770000000001</v>
      </c>
      <c r="T881" s="79">
        <v>94.923259999999999</v>
      </c>
      <c r="U881" s="79">
        <v>120.4943</v>
      </c>
      <c r="V881" s="79">
        <v>29.531880000000001</v>
      </c>
      <c r="W881" s="79">
        <v>15.56358</v>
      </c>
      <c r="X881" s="79"/>
      <c r="Y881" s="79">
        <v>45.666919999999998</v>
      </c>
      <c r="Z881" s="79">
        <v>110.2908</v>
      </c>
      <c r="AA881" s="79">
        <v>101.613</v>
      </c>
      <c r="AB881" s="79">
        <v>24.424959999999999</v>
      </c>
      <c r="AC881" s="79">
        <v>71.719040000000007</v>
      </c>
      <c r="AD881" s="79"/>
      <c r="AE881" s="79">
        <v>70.488929999999996</v>
      </c>
      <c r="AF881" s="79">
        <v>79.566299999999998</v>
      </c>
      <c r="AG881" s="79">
        <v>93.696749999999994</v>
      </c>
      <c r="AH881" s="79">
        <v>67.653999999999996</v>
      </c>
      <c r="AI881" s="79">
        <v>25.722110000000001</v>
      </c>
      <c r="AJ881" s="79">
        <v>110.8224</v>
      </c>
      <c r="AK881" s="79">
        <v>33.225819999999999</v>
      </c>
      <c r="AL881" s="79">
        <v>67.434380000000004</v>
      </c>
      <c r="AM881" s="79">
        <v>69.425470000000004</v>
      </c>
      <c r="AN881" s="79"/>
      <c r="AO881" s="79">
        <v>62.249470000000002</v>
      </c>
      <c r="AP881" s="79">
        <v>81.18647</v>
      </c>
      <c r="AQ881" s="79"/>
      <c r="AR881" s="79"/>
      <c r="AS881" s="79"/>
      <c r="AT881" s="79"/>
      <c r="AU881" s="79"/>
      <c r="AV881" s="79"/>
      <c r="AW881" s="79"/>
      <c r="AX881" s="79">
        <v>33.097239999999999</v>
      </c>
      <c r="AY881" s="79">
        <v>64.808509999999998</v>
      </c>
    </row>
    <row r="882" spans="1:51" x14ac:dyDescent="0.2">
      <c r="A882" t="s">
        <v>1427</v>
      </c>
      <c r="B882" s="1">
        <v>33725</v>
      </c>
      <c r="C882" s="78">
        <v>882</v>
      </c>
      <c r="E882" s="1">
        <f t="shared" si="26"/>
        <v>33725</v>
      </c>
      <c r="F882" s="2">
        <f t="shared" si="27"/>
        <v>33725</v>
      </c>
      <c r="G882" s="78">
        <v>880</v>
      </c>
      <c r="H882" s="79"/>
      <c r="I882" s="79"/>
      <c r="J882" s="79">
        <v>62.287509999999997</v>
      </c>
      <c r="K882" s="79">
        <v>66.201279999999997</v>
      </c>
      <c r="L882" s="79"/>
      <c r="M882" s="79">
        <v>53.860030000000002</v>
      </c>
      <c r="N882" s="79">
        <v>74.193820000000002</v>
      </c>
      <c r="O882" s="79">
        <v>85.453479999999999</v>
      </c>
      <c r="P882" s="79">
        <v>97.766080000000002</v>
      </c>
      <c r="Q882" s="79"/>
      <c r="R882" s="79">
        <v>61.968989999999998</v>
      </c>
      <c r="S882" s="79">
        <v>91.720759999999999</v>
      </c>
      <c r="T882" s="79">
        <v>92.970110000000005</v>
      </c>
      <c r="U882" s="79">
        <v>120.3425</v>
      </c>
      <c r="V882" s="79">
        <v>29.033819999999999</v>
      </c>
      <c r="W882" s="79">
        <v>15.68238</v>
      </c>
      <c r="X882" s="79"/>
      <c r="Y882" s="79">
        <v>45.807000000000002</v>
      </c>
      <c r="Z882" s="79">
        <v>109.99079999999999</v>
      </c>
      <c r="AA882" s="79">
        <v>99.280590000000004</v>
      </c>
      <c r="AB882" s="79">
        <v>24.230979999999999</v>
      </c>
      <c r="AC882" s="79">
        <v>73.150850000000005</v>
      </c>
      <c r="AD882" s="79"/>
      <c r="AE882" s="79">
        <v>72.079440000000005</v>
      </c>
      <c r="AF882" s="79">
        <v>78.047600000000003</v>
      </c>
      <c r="AG882" s="79">
        <v>92.603440000000006</v>
      </c>
      <c r="AH882" s="79">
        <v>67.358559999999997</v>
      </c>
      <c r="AI882" s="79">
        <v>24.6326</v>
      </c>
      <c r="AJ882" s="79">
        <v>112.64019999999999</v>
      </c>
      <c r="AK882" s="79">
        <v>31.200060000000001</v>
      </c>
      <c r="AL882" s="79">
        <v>66.965549999999993</v>
      </c>
      <c r="AM882" s="79">
        <v>68.615840000000006</v>
      </c>
      <c r="AN882" s="79"/>
      <c r="AO882" s="79">
        <v>62.45252</v>
      </c>
      <c r="AP882" s="79">
        <v>80.686549999999997</v>
      </c>
      <c r="AQ882" s="79"/>
      <c r="AR882" s="79"/>
      <c r="AS882" s="79"/>
      <c r="AT882" s="79"/>
      <c r="AU882" s="79"/>
      <c r="AV882" s="79"/>
      <c r="AW882" s="79"/>
      <c r="AX882" s="79">
        <v>33.997169999999997</v>
      </c>
      <c r="AY882" s="79">
        <v>63.325009999999999</v>
      </c>
    </row>
    <row r="883" spans="1:51" x14ac:dyDescent="0.2">
      <c r="A883" t="s">
        <v>1428</v>
      </c>
      <c r="B883" s="1">
        <v>33756</v>
      </c>
      <c r="C883" s="78">
        <v>883</v>
      </c>
      <c r="E883" s="1">
        <f t="shared" si="26"/>
        <v>33756</v>
      </c>
      <c r="F883" s="2">
        <f t="shared" si="27"/>
        <v>33756</v>
      </c>
      <c r="G883" s="78">
        <v>881</v>
      </c>
      <c r="H883" s="79"/>
      <c r="I883" s="79"/>
      <c r="J883" s="79">
        <v>63.230800000000002</v>
      </c>
      <c r="K883" s="79">
        <v>66.437640000000002</v>
      </c>
      <c r="L883" s="79"/>
      <c r="M883" s="79">
        <v>52.889519999999997</v>
      </c>
      <c r="N883" s="79">
        <v>72.993920000000003</v>
      </c>
      <c r="O883" s="79">
        <v>87.086340000000007</v>
      </c>
      <c r="P883" s="79">
        <v>96.533079999999998</v>
      </c>
      <c r="Q883" s="79"/>
      <c r="R883" s="79">
        <v>62.159120000000001</v>
      </c>
      <c r="S883" s="79">
        <v>90.630750000000006</v>
      </c>
      <c r="T883" s="79">
        <v>93.946680000000001</v>
      </c>
      <c r="U883" s="79">
        <v>122.18129999999999</v>
      </c>
      <c r="V883" s="79">
        <v>29.356100000000001</v>
      </c>
      <c r="W883" s="79">
        <v>15.38537</v>
      </c>
      <c r="X883" s="79"/>
      <c r="Y883" s="79">
        <v>45.456800000000001</v>
      </c>
      <c r="Z883" s="79">
        <v>109.7908</v>
      </c>
      <c r="AA883" s="79">
        <v>101.30880000000001</v>
      </c>
      <c r="AB883" s="79">
        <v>24.563949999999998</v>
      </c>
      <c r="AC883" s="79">
        <v>72.016030000000001</v>
      </c>
      <c r="AD883" s="79"/>
      <c r="AE883" s="79">
        <v>72.224040000000002</v>
      </c>
      <c r="AF883" s="79">
        <v>78.24803</v>
      </c>
      <c r="AG883" s="79">
        <v>93.696749999999994</v>
      </c>
      <c r="AH883" s="79">
        <v>67.446759999999998</v>
      </c>
      <c r="AI883" s="79">
        <v>24.707940000000001</v>
      </c>
      <c r="AJ883" s="79">
        <v>110.9393</v>
      </c>
      <c r="AK883" s="79">
        <v>33.089640000000003</v>
      </c>
      <c r="AL883" s="79">
        <v>65.090190000000007</v>
      </c>
      <c r="AM883" s="79">
        <v>68.008619999999993</v>
      </c>
      <c r="AN883" s="79"/>
      <c r="AO883" s="79">
        <v>62.461460000000002</v>
      </c>
      <c r="AP883" s="79">
        <v>79.986670000000004</v>
      </c>
      <c r="AQ883" s="79"/>
      <c r="AR883" s="79"/>
      <c r="AS883" s="79"/>
      <c r="AT883" s="79"/>
      <c r="AU883" s="79"/>
      <c r="AV883" s="79"/>
      <c r="AW883" s="79"/>
      <c r="AX883" s="79">
        <v>33.197240000000001</v>
      </c>
      <c r="AY883" s="79">
        <v>64.457380000000001</v>
      </c>
    </row>
    <row r="884" spans="1:51" x14ac:dyDescent="0.2">
      <c r="A884" t="s">
        <v>1429</v>
      </c>
      <c r="B884" s="1">
        <v>33786</v>
      </c>
      <c r="C884" s="78">
        <v>884</v>
      </c>
      <c r="E884" s="1">
        <f t="shared" si="26"/>
        <v>33786</v>
      </c>
      <c r="F884" s="2">
        <f t="shared" si="27"/>
        <v>33786</v>
      </c>
      <c r="G884" s="78">
        <v>882</v>
      </c>
      <c r="H884" s="79"/>
      <c r="I884" s="79"/>
      <c r="J884" s="79">
        <v>63.11797</v>
      </c>
      <c r="K884" s="79">
        <v>65.776949999999999</v>
      </c>
      <c r="L884" s="79"/>
      <c r="M884" s="79">
        <v>53.838900000000002</v>
      </c>
      <c r="N884" s="79">
        <v>71.694019999999995</v>
      </c>
      <c r="O884" s="79">
        <v>85.562330000000003</v>
      </c>
      <c r="P884" s="79">
        <v>95.589079999999996</v>
      </c>
      <c r="Q884" s="79"/>
      <c r="R884" s="79">
        <v>61.242049999999999</v>
      </c>
      <c r="S884" s="79">
        <v>90.280749999999998</v>
      </c>
      <c r="T884" s="79">
        <v>94.825599999999994</v>
      </c>
      <c r="U884" s="79">
        <v>123.36539999999999</v>
      </c>
      <c r="V884" s="79">
        <v>28.916640000000001</v>
      </c>
      <c r="W884" s="79">
        <v>16.038799999999998</v>
      </c>
      <c r="X884" s="79"/>
      <c r="Y884" s="79">
        <v>46.367330000000003</v>
      </c>
      <c r="Z884" s="79">
        <v>108.39100000000001</v>
      </c>
      <c r="AA884" s="79">
        <v>101.10599999999999</v>
      </c>
      <c r="AB884" s="79">
        <v>24.960920000000002</v>
      </c>
      <c r="AC884" s="79">
        <v>72.266980000000004</v>
      </c>
      <c r="AD884" s="79"/>
      <c r="AE884" s="79">
        <v>73.45308</v>
      </c>
      <c r="AF884" s="79">
        <v>79.635689999999997</v>
      </c>
      <c r="AG884" s="79">
        <v>93.587419999999995</v>
      </c>
      <c r="AH884" s="79">
        <v>67.626140000000007</v>
      </c>
      <c r="AI884" s="79">
        <v>26.00797</v>
      </c>
      <c r="AJ884" s="79">
        <v>109.32729999999999</v>
      </c>
      <c r="AK884" s="79">
        <v>33.364249999999998</v>
      </c>
      <c r="AL884" s="79">
        <v>65.715310000000002</v>
      </c>
      <c r="AM884" s="79">
        <v>69.526669999999996</v>
      </c>
      <c r="AN884" s="79"/>
      <c r="AO884" s="79">
        <v>63.025950000000002</v>
      </c>
      <c r="AP884" s="79">
        <v>78.986840000000001</v>
      </c>
      <c r="AQ884" s="79"/>
      <c r="AR884" s="79"/>
      <c r="AS884" s="79"/>
      <c r="AT884" s="79"/>
      <c r="AU884" s="79"/>
      <c r="AV884" s="79"/>
      <c r="AW884" s="79"/>
      <c r="AX884" s="79">
        <v>33.797179999999997</v>
      </c>
      <c r="AY884" s="79">
        <v>64.466160000000002</v>
      </c>
    </row>
    <row r="885" spans="1:51" x14ac:dyDescent="0.2">
      <c r="A885" t="s">
        <v>1430</v>
      </c>
      <c r="B885" s="1">
        <v>33817</v>
      </c>
      <c r="C885" s="78">
        <v>885</v>
      </c>
      <c r="E885" s="1">
        <f t="shared" si="26"/>
        <v>33817</v>
      </c>
      <c r="F885" s="2">
        <f t="shared" si="27"/>
        <v>33817</v>
      </c>
      <c r="G885" s="78">
        <v>883</v>
      </c>
      <c r="H885" s="79"/>
      <c r="I885" s="79"/>
      <c r="J885" s="79">
        <v>61.964750000000002</v>
      </c>
      <c r="K885" s="79">
        <v>66.224770000000007</v>
      </c>
      <c r="L885" s="79"/>
      <c r="M885" s="79">
        <v>54.113909999999997</v>
      </c>
      <c r="N885" s="79">
        <v>71.894009999999994</v>
      </c>
      <c r="O885" s="79">
        <v>85.888909999999996</v>
      </c>
      <c r="P885" s="79">
        <v>95.195080000000004</v>
      </c>
      <c r="Q885" s="79"/>
      <c r="R885" s="79">
        <v>62.628830000000001</v>
      </c>
      <c r="S885" s="79">
        <v>90.560749999999999</v>
      </c>
      <c r="T885" s="79">
        <v>94.630290000000002</v>
      </c>
      <c r="U885" s="79">
        <v>124.1186</v>
      </c>
      <c r="V885" s="79">
        <v>27.0123</v>
      </c>
      <c r="W885" s="79">
        <v>15.80119</v>
      </c>
      <c r="X885" s="79"/>
      <c r="Y885" s="79">
        <v>45.666919999999998</v>
      </c>
      <c r="Z885" s="79">
        <v>106.4911</v>
      </c>
      <c r="AA885" s="79">
        <v>98.165080000000003</v>
      </c>
      <c r="AB885" s="79">
        <v>24.757940000000001</v>
      </c>
      <c r="AC885" s="79">
        <v>71.293760000000006</v>
      </c>
      <c r="AD885" s="79"/>
      <c r="AE885" s="79">
        <v>72.151740000000004</v>
      </c>
      <c r="AF885" s="79">
        <v>76.582859999999997</v>
      </c>
      <c r="AG885" s="79">
        <v>95.664709999999999</v>
      </c>
      <c r="AH885" s="79">
        <v>66.913989999999998</v>
      </c>
      <c r="AI885" s="79">
        <v>25.675190000000001</v>
      </c>
      <c r="AJ885" s="79">
        <v>99.782300000000006</v>
      </c>
      <c r="AK885" s="79">
        <v>32.730989999999998</v>
      </c>
      <c r="AL885" s="79">
        <v>64.46508</v>
      </c>
      <c r="AM885" s="79">
        <v>70.336299999999994</v>
      </c>
      <c r="AN885" s="79"/>
      <c r="AO885" s="79">
        <v>62.715800000000002</v>
      </c>
      <c r="AP885" s="79">
        <v>78.886849999999995</v>
      </c>
      <c r="AQ885" s="79"/>
      <c r="AR885" s="79"/>
      <c r="AS885" s="79"/>
      <c r="AT885" s="79"/>
      <c r="AU885" s="79"/>
      <c r="AV885" s="79"/>
      <c r="AW885" s="79"/>
      <c r="AX885" s="79">
        <v>32.597279999999998</v>
      </c>
      <c r="AY885" s="79">
        <v>64.106260000000006</v>
      </c>
    </row>
    <row r="886" spans="1:51" x14ac:dyDescent="0.2">
      <c r="A886" t="s">
        <v>1431</v>
      </c>
      <c r="B886" s="1">
        <v>33848</v>
      </c>
      <c r="C886" s="78">
        <v>886</v>
      </c>
      <c r="E886" s="1">
        <f t="shared" si="26"/>
        <v>33848</v>
      </c>
      <c r="F886" s="2">
        <f t="shared" si="27"/>
        <v>33848</v>
      </c>
      <c r="G886" s="78">
        <v>884</v>
      </c>
      <c r="H886" s="79"/>
      <c r="I886" s="79"/>
      <c r="J886" s="79">
        <v>61.95364</v>
      </c>
      <c r="K886" s="79">
        <v>66.593649999999997</v>
      </c>
      <c r="L886" s="79"/>
      <c r="M886" s="79">
        <v>54.694650000000003</v>
      </c>
      <c r="N886" s="79">
        <v>71.294060000000002</v>
      </c>
      <c r="O886" s="79">
        <v>86.215479999999999</v>
      </c>
      <c r="P886" s="79">
        <v>94.509079999999997</v>
      </c>
      <c r="Q886" s="79"/>
      <c r="R886" s="79">
        <v>62.181489999999997</v>
      </c>
      <c r="S886" s="79">
        <v>89.29074</v>
      </c>
      <c r="T886" s="79">
        <v>95.313890000000001</v>
      </c>
      <c r="U886" s="79">
        <v>121.4743</v>
      </c>
      <c r="V886" s="79">
        <v>29.326799999999999</v>
      </c>
      <c r="W886" s="79">
        <v>16.395219999999998</v>
      </c>
      <c r="X886" s="79"/>
      <c r="Y886" s="79">
        <v>46.367330000000003</v>
      </c>
      <c r="Z886" s="79">
        <v>105.69119999999999</v>
      </c>
      <c r="AA886" s="79">
        <v>101.9173</v>
      </c>
      <c r="AB886" s="79">
        <v>24.424959999999999</v>
      </c>
      <c r="AC886" s="79">
        <v>73.823300000000003</v>
      </c>
      <c r="AD886" s="79"/>
      <c r="AE886" s="79">
        <v>73.525379999999998</v>
      </c>
      <c r="AF886" s="79">
        <v>76.868099999999998</v>
      </c>
      <c r="AG886" s="79">
        <v>94.899389999999997</v>
      </c>
      <c r="AH886" s="79">
        <v>67.468549999999993</v>
      </c>
      <c r="AI886" s="79">
        <v>25.541620000000002</v>
      </c>
      <c r="AJ886" s="79">
        <v>106.3708</v>
      </c>
      <c r="AK886" s="79">
        <v>34.192259999999997</v>
      </c>
      <c r="AL886" s="79">
        <v>64.6995</v>
      </c>
      <c r="AM886" s="79">
        <v>68.211029999999994</v>
      </c>
      <c r="AN886" s="79"/>
      <c r="AO886" s="79">
        <v>62.861510000000003</v>
      </c>
      <c r="AP886" s="79">
        <v>78.186970000000002</v>
      </c>
      <c r="AQ886" s="79"/>
      <c r="AR886" s="79"/>
      <c r="AS886" s="79"/>
      <c r="AT886" s="79"/>
      <c r="AU886" s="79"/>
      <c r="AV886" s="79"/>
      <c r="AW886" s="79"/>
      <c r="AX886" s="79">
        <v>34.497120000000002</v>
      </c>
      <c r="AY886" s="79">
        <v>65.642430000000004</v>
      </c>
    </row>
    <row r="887" spans="1:51" x14ac:dyDescent="0.2">
      <c r="A887" t="s">
        <v>1432</v>
      </c>
      <c r="B887" s="1">
        <v>33878</v>
      </c>
      <c r="C887" s="78">
        <v>887</v>
      </c>
      <c r="E887" s="1">
        <f t="shared" si="26"/>
        <v>33878</v>
      </c>
      <c r="F887" s="2">
        <f t="shared" si="27"/>
        <v>33878</v>
      </c>
      <c r="G887" s="78">
        <v>885</v>
      </c>
      <c r="H887" s="79"/>
      <c r="I887" s="79"/>
      <c r="J887" s="79">
        <v>61.23207</v>
      </c>
      <c r="K887" s="79">
        <v>67.393910000000005</v>
      </c>
      <c r="L887" s="79"/>
      <c r="M887" s="79">
        <v>54.302889999999998</v>
      </c>
      <c r="N887" s="79">
        <v>71.194069999999996</v>
      </c>
      <c r="O887" s="79">
        <v>85.453479999999999</v>
      </c>
      <c r="P887" s="79">
        <v>94.108080000000001</v>
      </c>
      <c r="Q887" s="79"/>
      <c r="R887" s="79">
        <v>62.371609999999997</v>
      </c>
      <c r="S887" s="79">
        <v>90.240750000000006</v>
      </c>
      <c r="T887" s="79">
        <v>96.290469999999999</v>
      </c>
      <c r="U887" s="79">
        <v>121.65260000000001</v>
      </c>
      <c r="V887" s="79">
        <v>29.971350000000001</v>
      </c>
      <c r="W887" s="79">
        <v>16.514030000000002</v>
      </c>
      <c r="X887" s="79"/>
      <c r="Y887" s="79">
        <v>46.71754</v>
      </c>
      <c r="Z887" s="79">
        <v>106.39109999999999</v>
      </c>
      <c r="AA887" s="79">
        <v>98.773539999999997</v>
      </c>
      <c r="AB887" s="79">
        <v>24.424959999999999</v>
      </c>
      <c r="AC887" s="79">
        <v>74.620230000000006</v>
      </c>
      <c r="AD887" s="79"/>
      <c r="AE887" s="79">
        <v>72.296329999999998</v>
      </c>
      <c r="AF887" s="79">
        <v>81.516720000000007</v>
      </c>
      <c r="AG887" s="79">
        <v>93.259429999999995</v>
      </c>
      <c r="AH887" s="79">
        <v>67.399249999999995</v>
      </c>
      <c r="AI887" s="79">
        <v>26.305969999999999</v>
      </c>
      <c r="AJ887" s="79">
        <v>107.69540000000001</v>
      </c>
      <c r="AK887" s="79">
        <v>33.301090000000002</v>
      </c>
      <c r="AL887" s="79">
        <v>65.480900000000005</v>
      </c>
      <c r="AM887" s="79">
        <v>68.109830000000002</v>
      </c>
      <c r="AN887" s="79"/>
      <c r="AO887" s="79">
        <v>63.333019999999998</v>
      </c>
      <c r="AP887" s="79">
        <v>78.286950000000004</v>
      </c>
      <c r="AQ887" s="79"/>
      <c r="AR887" s="79"/>
      <c r="AS887" s="79"/>
      <c r="AT887" s="79"/>
      <c r="AU887" s="79"/>
      <c r="AV887" s="79"/>
      <c r="AW887" s="79"/>
      <c r="AX887" s="79">
        <v>34.597119999999997</v>
      </c>
      <c r="AY887" s="79">
        <v>65.677539999999993</v>
      </c>
    </row>
    <row r="888" spans="1:51" x14ac:dyDescent="0.2">
      <c r="A888" t="s">
        <v>1433</v>
      </c>
      <c r="B888" s="1">
        <v>33909</v>
      </c>
      <c r="C888" s="78">
        <v>888</v>
      </c>
      <c r="E888" s="1">
        <f t="shared" si="26"/>
        <v>33909</v>
      </c>
      <c r="F888" s="2">
        <f t="shared" si="27"/>
        <v>33909</v>
      </c>
      <c r="G888" s="78">
        <v>886</v>
      </c>
      <c r="H888" s="79"/>
      <c r="I888" s="79"/>
      <c r="J888" s="79">
        <v>60.59751</v>
      </c>
      <c r="K888" s="79">
        <v>67.572010000000006</v>
      </c>
      <c r="L888" s="79"/>
      <c r="M888" s="79">
        <v>54.481279999999998</v>
      </c>
      <c r="N888" s="79">
        <v>70.094160000000002</v>
      </c>
      <c r="O888" s="79">
        <v>82.623170000000002</v>
      </c>
      <c r="P888" s="79">
        <v>92.213070000000002</v>
      </c>
      <c r="Q888" s="79"/>
      <c r="R888" s="79">
        <v>62.818959999999997</v>
      </c>
      <c r="S888" s="79">
        <v>89.070740000000001</v>
      </c>
      <c r="T888" s="79">
        <v>95.020910000000001</v>
      </c>
      <c r="U888" s="79">
        <v>122.20359999999999</v>
      </c>
      <c r="V888" s="79">
        <v>29.209610000000001</v>
      </c>
      <c r="W888" s="79">
        <v>16.454619999999998</v>
      </c>
      <c r="X888" s="79"/>
      <c r="Y888" s="79">
        <v>46.997709999999998</v>
      </c>
      <c r="Z888" s="79">
        <v>107.0911</v>
      </c>
      <c r="AA888" s="79">
        <v>97.556619999999995</v>
      </c>
      <c r="AB888" s="79">
        <v>24.49896</v>
      </c>
      <c r="AC888" s="79">
        <v>73.302170000000004</v>
      </c>
      <c r="AD888" s="79"/>
      <c r="AE888" s="79">
        <v>72.079440000000005</v>
      </c>
      <c r="AF888" s="79">
        <v>77.762360000000001</v>
      </c>
      <c r="AG888" s="79">
        <v>92.603440000000006</v>
      </c>
      <c r="AH888" s="79">
        <v>67.043800000000005</v>
      </c>
      <c r="AI888" s="79">
        <v>26.23028</v>
      </c>
      <c r="AJ888" s="79">
        <v>107.4768</v>
      </c>
      <c r="AK888" s="79">
        <v>32.555280000000003</v>
      </c>
      <c r="AL888" s="79">
        <v>64.933909999999997</v>
      </c>
      <c r="AM888" s="79">
        <v>66.692980000000006</v>
      </c>
      <c r="AN888" s="79"/>
      <c r="AO888" s="79">
        <v>63.602440000000001</v>
      </c>
      <c r="AP888" s="79">
        <v>77.587069999999997</v>
      </c>
      <c r="AQ888" s="79"/>
      <c r="AR888" s="79"/>
      <c r="AS888" s="79"/>
      <c r="AT888" s="79"/>
      <c r="AU888" s="79"/>
      <c r="AV888" s="79"/>
      <c r="AW888" s="79"/>
      <c r="AX888" s="79">
        <v>34.497120000000002</v>
      </c>
      <c r="AY888" s="79">
        <v>66.985470000000007</v>
      </c>
    </row>
    <row r="889" spans="1:51" x14ac:dyDescent="0.2">
      <c r="A889" t="s">
        <v>1434</v>
      </c>
      <c r="B889" s="1">
        <v>33939</v>
      </c>
      <c r="C889" s="78">
        <v>889</v>
      </c>
      <c r="E889" s="1">
        <f t="shared" si="26"/>
        <v>33939</v>
      </c>
      <c r="F889" s="2">
        <f t="shared" si="27"/>
        <v>33939</v>
      </c>
      <c r="G889" s="78">
        <v>887</v>
      </c>
      <c r="H889" s="79"/>
      <c r="I889" s="79"/>
      <c r="J889" s="79">
        <v>59.849290000000003</v>
      </c>
      <c r="K889" s="79">
        <v>67.730829999999997</v>
      </c>
      <c r="L889" s="79"/>
      <c r="M889" s="79">
        <v>52.286090000000002</v>
      </c>
      <c r="N889" s="79">
        <v>68.894260000000003</v>
      </c>
      <c r="O889" s="79">
        <v>81.643450000000001</v>
      </c>
      <c r="P889" s="79">
        <v>90.677080000000004</v>
      </c>
      <c r="Q889" s="79"/>
      <c r="R889" s="79">
        <v>62.651200000000003</v>
      </c>
      <c r="S889" s="79">
        <v>87.88073</v>
      </c>
      <c r="T889" s="79">
        <v>94.923259999999999</v>
      </c>
      <c r="U889" s="79">
        <v>121.0277</v>
      </c>
      <c r="V889" s="79">
        <v>31.641300000000001</v>
      </c>
      <c r="W889" s="79">
        <v>15.26656</v>
      </c>
      <c r="X889" s="79"/>
      <c r="Y889" s="79">
        <v>47.908239999999999</v>
      </c>
      <c r="Z889" s="79">
        <v>105.2912</v>
      </c>
      <c r="AA889" s="79">
        <v>97.150970000000001</v>
      </c>
      <c r="AB889" s="79">
        <v>24.627949999999998</v>
      </c>
      <c r="AC889" s="79">
        <v>69.285210000000006</v>
      </c>
      <c r="AD889" s="79"/>
      <c r="AE889" s="79">
        <v>71.501080000000002</v>
      </c>
      <c r="AF889" s="79">
        <v>74.50909</v>
      </c>
      <c r="AG889" s="79">
        <v>94.352739999999997</v>
      </c>
      <c r="AH889" s="79">
        <v>66.645319999999998</v>
      </c>
      <c r="AI889" s="79">
        <v>26.424790000000002</v>
      </c>
      <c r="AJ889" s="79">
        <v>103.45189999999999</v>
      </c>
      <c r="AK889" s="79">
        <v>33.133209999999998</v>
      </c>
      <c r="AL889" s="79">
        <v>63.761830000000003</v>
      </c>
      <c r="AM889" s="79">
        <v>66.692980000000006</v>
      </c>
      <c r="AN889" s="79"/>
      <c r="AO889" s="79">
        <v>63.659880000000001</v>
      </c>
      <c r="AP889" s="79">
        <v>76.287279999999996</v>
      </c>
      <c r="AQ889" s="79"/>
      <c r="AR889" s="79"/>
      <c r="AS889" s="79"/>
      <c r="AT889" s="79"/>
      <c r="AU889" s="79"/>
      <c r="AV889" s="79"/>
      <c r="AW889" s="79"/>
      <c r="AX889" s="79">
        <v>33.597200000000001</v>
      </c>
      <c r="AY889" s="79">
        <v>66.256889999999999</v>
      </c>
    </row>
    <row r="890" spans="1:51" x14ac:dyDescent="0.2">
      <c r="A890" t="s">
        <v>1435</v>
      </c>
      <c r="B890" s="1">
        <v>33970</v>
      </c>
      <c r="C890" s="78">
        <v>890</v>
      </c>
      <c r="E890" s="1">
        <f t="shared" si="26"/>
        <v>33970</v>
      </c>
      <c r="F890" s="2">
        <f t="shared" si="27"/>
        <v>33970</v>
      </c>
      <c r="G890" s="78">
        <v>888</v>
      </c>
      <c r="H890" s="79"/>
      <c r="I890" s="79"/>
      <c r="J890" s="79">
        <v>58.612639999999999</v>
      </c>
      <c r="K890" s="79">
        <v>67.856769999999997</v>
      </c>
      <c r="L890" s="79"/>
      <c r="M890" s="79">
        <v>51.402529999999999</v>
      </c>
      <c r="N890" s="79">
        <v>68.094319999999996</v>
      </c>
      <c r="O890" s="79">
        <v>79.466290000000001</v>
      </c>
      <c r="P890" s="79">
        <v>92.402079999999998</v>
      </c>
      <c r="Q890" s="79"/>
      <c r="R890" s="79">
        <v>62.807769999999998</v>
      </c>
      <c r="S890" s="79">
        <v>87.790729999999996</v>
      </c>
      <c r="T890" s="79">
        <v>95.020910000000001</v>
      </c>
      <c r="U890" s="79">
        <v>115.3168</v>
      </c>
      <c r="V890" s="79">
        <v>27.59825</v>
      </c>
      <c r="W890" s="79">
        <v>16.632829999999998</v>
      </c>
      <c r="X890" s="79"/>
      <c r="Y890" s="79">
        <v>48.188409999999998</v>
      </c>
      <c r="Z890" s="79">
        <v>107.0911</v>
      </c>
      <c r="AA890" s="79">
        <v>99.179180000000002</v>
      </c>
      <c r="AB890" s="79">
        <v>24.627949999999998</v>
      </c>
      <c r="AC890" s="79">
        <v>66.08184</v>
      </c>
      <c r="AD890" s="79"/>
      <c r="AE890" s="79">
        <v>71.332970000000003</v>
      </c>
      <c r="AF890" s="79">
        <v>77.800899999999999</v>
      </c>
      <c r="AG890" s="79">
        <v>89.323509999999999</v>
      </c>
      <c r="AH890" s="79">
        <v>67.007080000000002</v>
      </c>
      <c r="AI890" s="79">
        <v>25.683990000000001</v>
      </c>
      <c r="AJ890" s="79">
        <v>106.3845</v>
      </c>
      <c r="AK890" s="79">
        <v>33.676609999999997</v>
      </c>
      <c r="AL890" s="79">
        <v>66.184150000000002</v>
      </c>
      <c r="AM890" s="79">
        <v>66.895390000000006</v>
      </c>
      <c r="AN890" s="79"/>
      <c r="AO890" s="79">
        <v>63.935650000000003</v>
      </c>
      <c r="AP890" s="79">
        <v>76.687219999999996</v>
      </c>
      <c r="AQ890" s="79"/>
      <c r="AR890" s="79"/>
      <c r="AS890" s="79"/>
      <c r="AT890" s="79"/>
      <c r="AU890" s="79"/>
      <c r="AV890" s="79">
        <v>77.417599999999993</v>
      </c>
      <c r="AW890" s="79"/>
      <c r="AX890" s="79">
        <v>35.097079999999998</v>
      </c>
      <c r="AY890" s="79">
        <v>67.608710000000002</v>
      </c>
    </row>
    <row r="891" spans="1:51" x14ac:dyDescent="0.2">
      <c r="A891" t="s">
        <v>1436</v>
      </c>
      <c r="B891" s="1">
        <v>34001</v>
      </c>
      <c r="C891" s="78">
        <v>891</v>
      </c>
      <c r="E891" s="1">
        <f t="shared" si="26"/>
        <v>34001</v>
      </c>
      <c r="F891" s="2">
        <f t="shared" si="27"/>
        <v>34001</v>
      </c>
      <c r="G891" s="78">
        <v>889</v>
      </c>
      <c r="H891" s="79"/>
      <c r="I891" s="79"/>
      <c r="J891" s="79">
        <v>59.168819999999997</v>
      </c>
      <c r="K891" s="79">
        <v>68.844049999999996</v>
      </c>
      <c r="L891" s="79"/>
      <c r="M891" s="79">
        <v>51.820819999999998</v>
      </c>
      <c r="N891" s="79">
        <v>67.094409999999996</v>
      </c>
      <c r="O891" s="79">
        <v>80.772580000000005</v>
      </c>
      <c r="P891" s="79">
        <v>90.817080000000004</v>
      </c>
      <c r="Q891" s="79"/>
      <c r="R891" s="79">
        <v>63.120919999999998</v>
      </c>
      <c r="S891" s="79">
        <v>87.930729999999997</v>
      </c>
      <c r="T891" s="79">
        <v>96.388120000000001</v>
      </c>
      <c r="U891" s="79">
        <v>119.4161</v>
      </c>
      <c r="V891" s="79">
        <v>29.590479999999999</v>
      </c>
      <c r="W891" s="79">
        <v>16.632829999999998</v>
      </c>
      <c r="X891" s="79"/>
      <c r="Y891" s="79">
        <v>49.0289</v>
      </c>
      <c r="Z891" s="79">
        <v>106.7911</v>
      </c>
      <c r="AA891" s="79">
        <v>99.382000000000005</v>
      </c>
      <c r="AB891" s="79">
        <v>24.359970000000001</v>
      </c>
      <c r="AC891" s="79">
        <v>70.244349999999997</v>
      </c>
      <c r="AD891" s="79"/>
      <c r="AE891" s="79">
        <v>72.280330000000006</v>
      </c>
      <c r="AF891" s="79">
        <v>77.754649999999998</v>
      </c>
      <c r="AG891" s="79">
        <v>92.494110000000006</v>
      </c>
      <c r="AH891" s="79">
        <v>67.12679</v>
      </c>
      <c r="AI891" s="79">
        <v>25.875869999999999</v>
      </c>
      <c r="AJ891" s="79">
        <v>103.4284</v>
      </c>
      <c r="AK891" s="79">
        <v>33.561639999999997</v>
      </c>
      <c r="AL891" s="79">
        <v>63.292990000000003</v>
      </c>
      <c r="AM891" s="79">
        <v>65.984560000000002</v>
      </c>
      <c r="AN891" s="79"/>
      <c r="AO891" s="79">
        <v>64.219089999999994</v>
      </c>
      <c r="AP891" s="79">
        <v>76.087320000000005</v>
      </c>
      <c r="AQ891" s="79"/>
      <c r="AR891" s="79"/>
      <c r="AS891" s="79"/>
      <c r="AT891" s="79"/>
      <c r="AU891" s="79"/>
      <c r="AV891" s="79">
        <v>82.274799999999999</v>
      </c>
      <c r="AW891" s="79"/>
      <c r="AX891" s="79">
        <v>35.197069999999997</v>
      </c>
      <c r="AY891" s="79">
        <v>69.057090000000002</v>
      </c>
    </row>
    <row r="892" spans="1:51" x14ac:dyDescent="0.2">
      <c r="A892" t="s">
        <v>1437</v>
      </c>
      <c r="B892" s="1">
        <v>34029</v>
      </c>
      <c r="C892" s="78">
        <v>892</v>
      </c>
      <c r="E892" s="1">
        <f t="shared" si="26"/>
        <v>34029</v>
      </c>
      <c r="F892" s="2">
        <f t="shared" si="27"/>
        <v>34029</v>
      </c>
      <c r="G892" s="78">
        <v>890</v>
      </c>
      <c r="H892" s="79"/>
      <c r="I892" s="79"/>
      <c r="J892" s="79">
        <v>59.412610000000001</v>
      </c>
      <c r="K892" s="79">
        <v>69.547970000000007</v>
      </c>
      <c r="L892" s="79"/>
      <c r="M892" s="79">
        <v>50.18815</v>
      </c>
      <c r="N892" s="79">
        <v>67.194400000000002</v>
      </c>
      <c r="O892" s="79">
        <v>81.534589999999994</v>
      </c>
      <c r="P892" s="79">
        <v>90.821079999999995</v>
      </c>
      <c r="Q892" s="79"/>
      <c r="R892" s="79">
        <v>63.613</v>
      </c>
      <c r="S892" s="79">
        <v>87.490729999999999</v>
      </c>
      <c r="T892" s="79">
        <v>95.606859999999998</v>
      </c>
      <c r="U892" s="79">
        <v>117.705</v>
      </c>
      <c r="V892" s="79">
        <v>30.440110000000001</v>
      </c>
      <c r="W892" s="79">
        <v>16.692229999999999</v>
      </c>
      <c r="X892" s="79"/>
      <c r="Y892" s="79">
        <v>48.538609999999998</v>
      </c>
      <c r="Z892" s="79">
        <v>106.2911</v>
      </c>
      <c r="AA892" s="79">
        <v>96.03546</v>
      </c>
      <c r="AB892" s="79">
        <v>25.228899999999999</v>
      </c>
      <c r="AC892" s="79">
        <v>70.569400000000002</v>
      </c>
      <c r="AD892" s="79"/>
      <c r="AE892" s="79">
        <v>72.787189999999995</v>
      </c>
      <c r="AF892" s="79">
        <v>77.029979999999995</v>
      </c>
      <c r="AG892" s="79">
        <v>96.320689999999999</v>
      </c>
      <c r="AH892" s="79">
        <v>66.712280000000007</v>
      </c>
      <c r="AI892" s="79">
        <v>26.095980000000001</v>
      </c>
      <c r="AJ892" s="79">
        <v>106.45010000000001</v>
      </c>
      <c r="AK892" s="79">
        <v>31.817530000000001</v>
      </c>
      <c r="AL892" s="79">
        <v>62.980429999999998</v>
      </c>
      <c r="AM892" s="79">
        <v>67.198999999999998</v>
      </c>
      <c r="AN892" s="79"/>
      <c r="AO892" s="79">
        <v>64.129189999999994</v>
      </c>
      <c r="AP892" s="79">
        <v>75.887349999999998</v>
      </c>
      <c r="AQ892" s="79"/>
      <c r="AR892" s="79"/>
      <c r="AS892" s="79"/>
      <c r="AT892" s="79"/>
      <c r="AU892" s="79"/>
      <c r="AV892" s="79">
        <v>83.563029999999998</v>
      </c>
      <c r="AW892" s="79"/>
      <c r="AX892" s="79">
        <v>33.997169999999997</v>
      </c>
      <c r="AY892" s="79">
        <v>68.811310000000006</v>
      </c>
    </row>
    <row r="893" spans="1:51" x14ac:dyDescent="0.2">
      <c r="A893" t="s">
        <v>1438</v>
      </c>
      <c r="B893" s="1">
        <v>34060</v>
      </c>
      <c r="C893" s="78">
        <v>893</v>
      </c>
      <c r="E893" s="1">
        <f t="shared" si="26"/>
        <v>34060</v>
      </c>
      <c r="F893" s="2">
        <f t="shared" si="27"/>
        <v>34060</v>
      </c>
      <c r="G893" s="78">
        <v>891</v>
      </c>
      <c r="H893" s="79"/>
      <c r="I893" s="79"/>
      <c r="J893" s="79">
        <v>59.662059999999997</v>
      </c>
      <c r="K893" s="79">
        <v>69.235950000000003</v>
      </c>
      <c r="L893" s="79"/>
      <c r="M893" s="79">
        <v>51.38503</v>
      </c>
      <c r="N893" s="79">
        <v>66.69444</v>
      </c>
      <c r="O893" s="79">
        <v>82.405450000000002</v>
      </c>
      <c r="P893" s="79">
        <v>90.574070000000006</v>
      </c>
      <c r="Q893" s="79"/>
      <c r="R893" s="79">
        <v>64.082719999999995</v>
      </c>
      <c r="S893" s="79">
        <v>86.900729999999996</v>
      </c>
      <c r="T893" s="79">
        <v>95.704520000000002</v>
      </c>
      <c r="U893" s="79">
        <v>119.0604</v>
      </c>
      <c r="V893" s="79">
        <v>30.93816</v>
      </c>
      <c r="W893" s="79">
        <v>16.632829999999998</v>
      </c>
      <c r="X893" s="79"/>
      <c r="Y893" s="79">
        <v>48.118369999999999</v>
      </c>
      <c r="Z893" s="79">
        <v>106.0912</v>
      </c>
      <c r="AA893" s="79">
        <v>97.860849999999999</v>
      </c>
      <c r="AB893" s="79">
        <v>25.08991</v>
      </c>
      <c r="AC893" s="79">
        <v>70.146000000000001</v>
      </c>
      <c r="AD893" s="79"/>
      <c r="AE893" s="79">
        <v>72.388559999999998</v>
      </c>
      <c r="AF893" s="79">
        <v>76.189689999999999</v>
      </c>
      <c r="AG893" s="79">
        <v>95.992710000000002</v>
      </c>
      <c r="AH893" s="79">
        <v>67.009309999999999</v>
      </c>
      <c r="AI893" s="79">
        <v>26.711919999999999</v>
      </c>
      <c r="AJ893" s="79">
        <v>104.6943</v>
      </c>
      <c r="AK893" s="79">
        <v>31.993410000000001</v>
      </c>
      <c r="AL893" s="79">
        <v>63.058570000000003</v>
      </c>
      <c r="AM893" s="79">
        <v>66.490579999999994</v>
      </c>
      <c r="AN893" s="79"/>
      <c r="AO893" s="79">
        <v>64.354140000000001</v>
      </c>
      <c r="AP893" s="79">
        <v>75.387439999999998</v>
      </c>
      <c r="AQ893" s="79"/>
      <c r="AR893" s="79"/>
      <c r="AS893" s="79"/>
      <c r="AT893" s="79"/>
      <c r="AU893" s="79"/>
      <c r="AV893" s="79">
        <v>82.162540000000007</v>
      </c>
      <c r="AW893" s="79"/>
      <c r="AX893" s="79">
        <v>35.697029999999998</v>
      </c>
      <c r="AY893" s="79">
        <v>69.495990000000006</v>
      </c>
    </row>
    <row r="894" spans="1:51" x14ac:dyDescent="0.2">
      <c r="A894" t="s">
        <v>1439</v>
      </c>
      <c r="B894" s="1">
        <v>34090</v>
      </c>
      <c r="C894" s="78">
        <v>894</v>
      </c>
      <c r="E894" s="1">
        <f t="shared" si="26"/>
        <v>34090</v>
      </c>
      <c r="F894" s="2">
        <f t="shared" si="27"/>
        <v>34090</v>
      </c>
      <c r="G894" s="78">
        <v>892</v>
      </c>
      <c r="H894" s="79"/>
      <c r="I894" s="79"/>
      <c r="J894" s="79">
        <v>58.275179999999999</v>
      </c>
      <c r="K894" s="79">
        <v>68.873649999999998</v>
      </c>
      <c r="L894" s="79"/>
      <c r="M894" s="79">
        <v>52.697560000000003</v>
      </c>
      <c r="N894" s="79">
        <v>66.69444</v>
      </c>
      <c r="O894" s="79">
        <v>77.180269999999993</v>
      </c>
      <c r="P894" s="79">
        <v>91.131069999999994</v>
      </c>
      <c r="Q894" s="79"/>
      <c r="R894" s="79">
        <v>63.333410000000001</v>
      </c>
      <c r="S894" s="79">
        <v>86.830730000000003</v>
      </c>
      <c r="T894" s="79">
        <v>96.388120000000001</v>
      </c>
      <c r="U894" s="79">
        <v>119.5956</v>
      </c>
      <c r="V894" s="79">
        <v>30.088539999999998</v>
      </c>
      <c r="W894" s="79">
        <v>16.632829999999998</v>
      </c>
      <c r="X894" s="79"/>
      <c r="Y894" s="79">
        <v>48.188409999999998</v>
      </c>
      <c r="Z894" s="79">
        <v>105.49120000000001</v>
      </c>
      <c r="AA894" s="79">
        <v>99.179180000000002</v>
      </c>
      <c r="AB894" s="79">
        <v>25.025919999999999</v>
      </c>
      <c r="AC894" s="79">
        <v>72.443600000000004</v>
      </c>
      <c r="AD894" s="79"/>
      <c r="AE894" s="79">
        <v>73.032589999999999</v>
      </c>
      <c r="AF894" s="79">
        <v>76.713909999999998</v>
      </c>
      <c r="AG894" s="79">
        <v>96.102040000000002</v>
      </c>
      <c r="AH894" s="79">
        <v>67.143240000000006</v>
      </c>
      <c r="AI894" s="79">
        <v>27.637699999999999</v>
      </c>
      <c r="AJ894" s="79">
        <v>102.76779999999999</v>
      </c>
      <c r="AK894" s="79">
        <v>31.716760000000001</v>
      </c>
      <c r="AL894" s="79">
        <v>62.902290000000001</v>
      </c>
      <c r="AM894" s="79">
        <v>67.502610000000004</v>
      </c>
      <c r="AN894" s="79"/>
      <c r="AO894" s="79">
        <v>64.130719999999997</v>
      </c>
      <c r="AP894" s="79">
        <v>75.287450000000007</v>
      </c>
      <c r="AQ894" s="79"/>
      <c r="AR894" s="79"/>
      <c r="AS894" s="79"/>
      <c r="AT894" s="79"/>
      <c r="AU894" s="79"/>
      <c r="AV894" s="79">
        <v>82.156109999999998</v>
      </c>
      <c r="AW894" s="79"/>
      <c r="AX894" s="79">
        <v>35.297060000000002</v>
      </c>
      <c r="AY894" s="79">
        <v>71.146270000000001</v>
      </c>
    </row>
    <row r="895" spans="1:51" x14ac:dyDescent="0.2">
      <c r="A895" t="s">
        <v>1440</v>
      </c>
      <c r="B895" s="1">
        <v>34121</v>
      </c>
      <c r="C895" s="78">
        <v>895</v>
      </c>
      <c r="E895" s="1">
        <f t="shared" si="26"/>
        <v>34121</v>
      </c>
      <c r="F895" s="2">
        <f t="shared" si="27"/>
        <v>34121</v>
      </c>
      <c r="G895" s="78">
        <v>893</v>
      </c>
      <c r="H895" s="79"/>
      <c r="I895" s="79"/>
      <c r="J895" s="79">
        <v>59.203589999999998</v>
      </c>
      <c r="K895" s="79">
        <v>69.265079999999998</v>
      </c>
      <c r="L895" s="79"/>
      <c r="M895" s="79">
        <v>50.926229999999997</v>
      </c>
      <c r="N895" s="79">
        <v>66.194479999999999</v>
      </c>
      <c r="O895" s="79">
        <v>82.296589999999995</v>
      </c>
      <c r="P895" s="79">
        <v>90.633070000000004</v>
      </c>
      <c r="Q895" s="79"/>
      <c r="R895" s="79">
        <v>65.201089999999994</v>
      </c>
      <c r="S895" s="79">
        <v>86.160719999999998</v>
      </c>
      <c r="T895" s="79">
        <v>95.802180000000007</v>
      </c>
      <c r="U895" s="79">
        <v>120.4049</v>
      </c>
      <c r="V895" s="79">
        <v>31.201840000000001</v>
      </c>
      <c r="W895" s="79">
        <v>16.217009999999998</v>
      </c>
      <c r="X895" s="79"/>
      <c r="Y895" s="79">
        <v>49.0289</v>
      </c>
      <c r="Z895" s="79">
        <v>105.0912</v>
      </c>
      <c r="AA895" s="79">
        <v>97.353800000000007</v>
      </c>
      <c r="AB895" s="79">
        <v>25.293890000000001</v>
      </c>
      <c r="AC895" s="79">
        <v>71.846789999999999</v>
      </c>
      <c r="AD895" s="79"/>
      <c r="AE895" s="79">
        <v>72.051950000000005</v>
      </c>
      <c r="AF895" s="79">
        <v>75.966130000000007</v>
      </c>
      <c r="AG895" s="79">
        <v>92.384780000000006</v>
      </c>
      <c r="AH895" s="79">
        <v>66.854579999999999</v>
      </c>
      <c r="AI895" s="79">
        <v>27.34207</v>
      </c>
      <c r="AJ895" s="79">
        <v>102.6943</v>
      </c>
      <c r="AK895" s="79">
        <v>31.183319999999998</v>
      </c>
      <c r="AL895" s="79">
        <v>62.277180000000001</v>
      </c>
      <c r="AM895" s="79">
        <v>68.008619999999993</v>
      </c>
      <c r="AN895" s="79"/>
      <c r="AO895" s="79">
        <v>64.237049999999996</v>
      </c>
      <c r="AP895" s="79">
        <v>74.887519999999995</v>
      </c>
      <c r="AQ895" s="79"/>
      <c r="AR895" s="79"/>
      <c r="AS895" s="79"/>
      <c r="AT895" s="79"/>
      <c r="AU895" s="79"/>
      <c r="AV895" s="79">
        <v>80.707890000000006</v>
      </c>
      <c r="AW895" s="79"/>
      <c r="AX895" s="79">
        <v>36.096989999999998</v>
      </c>
      <c r="AY895" s="79">
        <v>70.602040000000002</v>
      </c>
    </row>
    <row r="896" spans="1:51" x14ac:dyDescent="0.2">
      <c r="A896" t="s">
        <v>1441</v>
      </c>
      <c r="B896" s="1">
        <v>34151</v>
      </c>
      <c r="C896" s="78">
        <v>896</v>
      </c>
      <c r="E896" s="1">
        <f t="shared" si="26"/>
        <v>34151</v>
      </c>
      <c r="F896" s="2">
        <f t="shared" si="27"/>
        <v>34151</v>
      </c>
      <c r="G896" s="78">
        <v>894</v>
      </c>
      <c r="H896" s="79"/>
      <c r="I896" s="79"/>
      <c r="J896" s="79">
        <v>57.841000000000001</v>
      </c>
      <c r="K896" s="79">
        <v>68.813969999999998</v>
      </c>
      <c r="L896" s="79"/>
      <c r="M896" s="79">
        <v>49.761679999999998</v>
      </c>
      <c r="N896" s="79">
        <v>64.694609999999997</v>
      </c>
      <c r="O896" s="79">
        <v>87.086340000000007</v>
      </c>
      <c r="P896" s="79">
        <v>91.545069999999996</v>
      </c>
      <c r="Q896" s="79"/>
      <c r="R896" s="79">
        <v>66.028689999999997</v>
      </c>
      <c r="S896" s="79">
        <v>87.330730000000003</v>
      </c>
      <c r="T896" s="79">
        <v>96.681100000000001</v>
      </c>
      <c r="U896" s="79">
        <v>114.9217</v>
      </c>
      <c r="V896" s="79">
        <v>31.729189999999999</v>
      </c>
      <c r="W896" s="79">
        <v>16.454619999999998</v>
      </c>
      <c r="X896" s="79"/>
      <c r="Y896" s="79">
        <v>49.168990000000001</v>
      </c>
      <c r="Z896" s="79">
        <v>104.4913</v>
      </c>
      <c r="AA896" s="79">
        <v>97.252380000000002</v>
      </c>
      <c r="AB896" s="79">
        <v>25.625859999999999</v>
      </c>
      <c r="AC896" s="79">
        <v>71.066959999999995</v>
      </c>
      <c r="AD896" s="79"/>
      <c r="AE896" s="79">
        <v>71.827100000000002</v>
      </c>
      <c r="AF896" s="79">
        <v>77.191879999999998</v>
      </c>
      <c r="AG896" s="79">
        <v>97.960660000000004</v>
      </c>
      <c r="AH896" s="79">
        <v>66.834630000000004</v>
      </c>
      <c r="AI896" s="79">
        <v>26.209700000000002</v>
      </c>
      <c r="AJ896" s="79">
        <v>103.8002</v>
      </c>
      <c r="AK896" s="79">
        <v>30.378640000000001</v>
      </c>
      <c r="AL896" s="79">
        <v>62.667870000000001</v>
      </c>
      <c r="AM896" s="79">
        <v>69.121859999999998</v>
      </c>
      <c r="AN896" s="79"/>
      <c r="AO896" s="79">
        <v>64.435299999999998</v>
      </c>
      <c r="AP896" s="79">
        <v>74.387600000000006</v>
      </c>
      <c r="AQ896" s="79"/>
      <c r="AR896" s="79"/>
      <c r="AS896" s="79"/>
      <c r="AT896" s="79"/>
      <c r="AU896" s="79"/>
      <c r="AV896" s="79">
        <v>77.773570000000007</v>
      </c>
      <c r="AW896" s="79"/>
      <c r="AX896" s="79">
        <v>36.59695</v>
      </c>
      <c r="AY896" s="79">
        <v>71.014600000000002</v>
      </c>
    </row>
    <row r="897" spans="1:51" x14ac:dyDescent="0.2">
      <c r="A897" t="s">
        <v>1442</v>
      </c>
      <c r="B897" s="1">
        <v>34182</v>
      </c>
      <c r="C897" s="78">
        <v>897</v>
      </c>
      <c r="E897" s="1">
        <f t="shared" si="26"/>
        <v>34182</v>
      </c>
      <c r="F897" s="2">
        <f t="shared" si="27"/>
        <v>34182</v>
      </c>
      <c r="G897" s="78">
        <v>895</v>
      </c>
      <c r="H897" s="79"/>
      <c r="I897" s="79"/>
      <c r="J897" s="79">
        <v>58.921840000000003</v>
      </c>
      <c r="K897" s="79">
        <v>69.747219999999999</v>
      </c>
      <c r="L897" s="79"/>
      <c r="M897" s="79">
        <v>49.919899999999998</v>
      </c>
      <c r="N897" s="79">
        <v>67.494380000000007</v>
      </c>
      <c r="O897" s="79">
        <v>85.888909999999996</v>
      </c>
      <c r="P897" s="79">
        <v>89.840069999999997</v>
      </c>
      <c r="Q897" s="79"/>
      <c r="R897" s="79">
        <v>65.570149999999998</v>
      </c>
      <c r="S897" s="79">
        <v>86.700720000000004</v>
      </c>
      <c r="T897" s="79">
        <v>96.974069999999998</v>
      </c>
      <c r="U897" s="79">
        <v>117.3823</v>
      </c>
      <c r="V897" s="79">
        <v>29.942049999999998</v>
      </c>
      <c r="W897" s="79">
        <v>16.632829999999998</v>
      </c>
      <c r="X897" s="79"/>
      <c r="Y897" s="79">
        <v>48.888820000000003</v>
      </c>
      <c r="Z897" s="79">
        <v>104.5913</v>
      </c>
      <c r="AA897" s="79">
        <v>96.339690000000004</v>
      </c>
      <c r="AB897" s="79">
        <v>25.228899999999999</v>
      </c>
      <c r="AC897" s="79">
        <v>64.441040000000001</v>
      </c>
      <c r="AD897" s="79"/>
      <c r="AE897" s="79">
        <v>71.626859999999994</v>
      </c>
      <c r="AF897" s="79">
        <v>76.505759999999995</v>
      </c>
      <c r="AG897" s="79">
        <v>98.944640000000007</v>
      </c>
      <c r="AH897" s="79">
        <v>66.851960000000005</v>
      </c>
      <c r="AI897" s="79">
        <v>26.615220000000001</v>
      </c>
      <c r="AJ897" s="79">
        <v>101.36920000000001</v>
      </c>
      <c r="AK897" s="79">
        <v>32.333759999999998</v>
      </c>
      <c r="AL897" s="79">
        <v>65.559039999999996</v>
      </c>
      <c r="AM897" s="79">
        <v>69.425470000000004</v>
      </c>
      <c r="AN897" s="79"/>
      <c r="AO897" s="79">
        <v>64.367580000000004</v>
      </c>
      <c r="AP897" s="79">
        <v>75.48742</v>
      </c>
      <c r="AQ897" s="79"/>
      <c r="AR897" s="79"/>
      <c r="AS897" s="79"/>
      <c r="AT897" s="79"/>
      <c r="AU897" s="79"/>
      <c r="AV897" s="79">
        <v>75.144990000000007</v>
      </c>
      <c r="AW897" s="79"/>
      <c r="AX897" s="79">
        <v>34.297139999999999</v>
      </c>
      <c r="AY897" s="79">
        <v>70.242130000000003</v>
      </c>
    </row>
    <row r="898" spans="1:51" x14ac:dyDescent="0.2">
      <c r="A898" t="s">
        <v>1443</v>
      </c>
      <c r="B898" s="1">
        <v>34213</v>
      </c>
      <c r="C898" s="78">
        <v>898</v>
      </c>
      <c r="E898" s="1">
        <f t="shared" ref="E898:E961" si="28">B898</f>
        <v>34213</v>
      </c>
      <c r="F898" s="2">
        <f t="shared" ref="F898:F961" si="29">B898</f>
        <v>34213</v>
      </c>
      <c r="G898" s="78">
        <v>896</v>
      </c>
      <c r="H898" s="79"/>
      <c r="I898" s="79"/>
      <c r="J898" s="79">
        <v>59.670059999999999</v>
      </c>
      <c r="K898" s="79">
        <v>70.652259999999998</v>
      </c>
      <c r="L898" s="79"/>
      <c r="M898" s="79">
        <v>51.669580000000003</v>
      </c>
      <c r="N898" s="79">
        <v>67.194400000000002</v>
      </c>
      <c r="O898" s="79">
        <v>86.106620000000007</v>
      </c>
      <c r="P898" s="79">
        <v>92.618080000000006</v>
      </c>
      <c r="Q898" s="79"/>
      <c r="R898" s="79">
        <v>66.934569999999994</v>
      </c>
      <c r="S898" s="79">
        <v>87.280720000000002</v>
      </c>
      <c r="T898" s="79">
        <v>97.364699999999999</v>
      </c>
      <c r="U898" s="79">
        <v>125.68429999999999</v>
      </c>
      <c r="V898" s="79">
        <v>30.4694</v>
      </c>
      <c r="W898" s="79">
        <v>16.811039999999998</v>
      </c>
      <c r="X898" s="79"/>
      <c r="Y898" s="79">
        <v>50.149560000000001</v>
      </c>
      <c r="Z898" s="79">
        <v>105.19119999999999</v>
      </c>
      <c r="AA898" s="79">
        <v>96.643919999999994</v>
      </c>
      <c r="AB898" s="79">
        <v>26.291810000000002</v>
      </c>
      <c r="AC898" s="79">
        <v>70.184839999999994</v>
      </c>
      <c r="AD898" s="79"/>
      <c r="AE898" s="79">
        <v>71.988749999999996</v>
      </c>
      <c r="AF898" s="79">
        <v>79.458370000000002</v>
      </c>
      <c r="AG898" s="79">
        <v>98.288659999999993</v>
      </c>
      <c r="AH898" s="79">
        <v>67.434049999999999</v>
      </c>
      <c r="AI898" s="79">
        <v>27.005870000000002</v>
      </c>
      <c r="AJ898" s="79">
        <v>104.20399999999999</v>
      </c>
      <c r="AK898" s="79">
        <v>31.709299999999999</v>
      </c>
      <c r="AL898" s="79">
        <v>65.012050000000002</v>
      </c>
      <c r="AM898" s="79">
        <v>69.526669999999996</v>
      </c>
      <c r="AN898" s="79"/>
      <c r="AO898" s="79">
        <v>64.675430000000006</v>
      </c>
      <c r="AP898" s="79">
        <v>75.787369999999996</v>
      </c>
      <c r="AQ898" s="79"/>
      <c r="AR898" s="79"/>
      <c r="AS898" s="79"/>
      <c r="AT898" s="79"/>
      <c r="AU898" s="79"/>
      <c r="AV898" s="79">
        <v>73.901949999999999</v>
      </c>
      <c r="AW898" s="79"/>
      <c r="AX898" s="79">
        <v>36.496960000000001</v>
      </c>
      <c r="AY898" s="79">
        <v>69.961240000000004</v>
      </c>
    </row>
    <row r="899" spans="1:51" x14ac:dyDescent="0.2">
      <c r="A899" t="s">
        <v>1444</v>
      </c>
      <c r="B899" s="1">
        <v>34243</v>
      </c>
      <c r="C899" s="78">
        <v>899</v>
      </c>
      <c r="E899" s="1">
        <f t="shared" si="28"/>
        <v>34243</v>
      </c>
      <c r="F899" s="2">
        <f t="shared" si="29"/>
        <v>34243</v>
      </c>
      <c r="G899" s="78">
        <v>897</v>
      </c>
      <c r="H899" s="79"/>
      <c r="I899" s="79"/>
      <c r="J899" s="79">
        <v>59.23377</v>
      </c>
      <c r="K899" s="79">
        <v>70.671049999999994</v>
      </c>
      <c r="L899" s="79"/>
      <c r="M899" s="79">
        <v>50.877960000000002</v>
      </c>
      <c r="N899" s="79">
        <v>67.194400000000002</v>
      </c>
      <c r="O899" s="79">
        <v>80.990300000000005</v>
      </c>
      <c r="P899" s="79">
        <v>93.289079999999998</v>
      </c>
      <c r="Q899" s="79"/>
      <c r="R899" s="79">
        <v>67.594409999999996</v>
      </c>
      <c r="S899" s="79">
        <v>87.670730000000006</v>
      </c>
      <c r="T899" s="79">
        <v>97.560010000000005</v>
      </c>
      <c r="U899" s="79">
        <v>119.5967</v>
      </c>
      <c r="V899" s="79">
        <v>30.410810000000001</v>
      </c>
      <c r="W899" s="79">
        <v>16.751639999999998</v>
      </c>
      <c r="X899" s="79"/>
      <c r="Y899" s="79">
        <v>50.569809999999997</v>
      </c>
      <c r="Z899" s="79">
        <v>105.0912</v>
      </c>
      <c r="AA899" s="79">
        <v>95.832639999999998</v>
      </c>
      <c r="AB899" s="79">
        <v>26.088830000000002</v>
      </c>
      <c r="AC899" s="79">
        <v>69.777090000000001</v>
      </c>
      <c r="AD899" s="79"/>
      <c r="AE899" s="79">
        <v>71.942059999999998</v>
      </c>
      <c r="AF899" s="79">
        <v>79.373570000000001</v>
      </c>
      <c r="AG899" s="79">
        <v>100.58459999999999</v>
      </c>
      <c r="AH899" s="79">
        <v>67.48903</v>
      </c>
      <c r="AI899" s="79">
        <v>26.761389999999999</v>
      </c>
      <c r="AJ899" s="79">
        <v>100.0509</v>
      </c>
      <c r="AK899" s="79">
        <v>31.07976</v>
      </c>
      <c r="AL899" s="79">
        <v>67.35624</v>
      </c>
      <c r="AM899" s="79">
        <v>69.526669999999996</v>
      </c>
      <c r="AN899" s="79"/>
      <c r="AO899" s="79">
        <v>65.17201</v>
      </c>
      <c r="AP899" s="79">
        <v>75.887349999999998</v>
      </c>
      <c r="AQ899" s="79"/>
      <c r="AR899" s="79"/>
      <c r="AS899" s="79"/>
      <c r="AT899" s="79"/>
      <c r="AU899" s="79"/>
      <c r="AV899" s="79">
        <v>73.469669999999994</v>
      </c>
      <c r="AW899" s="79"/>
      <c r="AX899" s="79">
        <v>36.896929999999998</v>
      </c>
      <c r="AY899" s="79">
        <v>70.610810000000001</v>
      </c>
    </row>
    <row r="900" spans="1:51" x14ac:dyDescent="0.2">
      <c r="A900" t="s">
        <v>1445</v>
      </c>
      <c r="B900" s="1">
        <v>34274</v>
      </c>
      <c r="C900" s="78">
        <v>900</v>
      </c>
      <c r="E900" s="1">
        <f t="shared" si="28"/>
        <v>34274</v>
      </c>
      <c r="F900" s="2">
        <f t="shared" si="29"/>
        <v>34274</v>
      </c>
      <c r="G900" s="78">
        <v>898</v>
      </c>
      <c r="H900" s="79"/>
      <c r="I900" s="79"/>
      <c r="J900" s="79">
        <v>58.939079999999997</v>
      </c>
      <c r="K900" s="79">
        <v>70.87218</v>
      </c>
      <c r="L900" s="79"/>
      <c r="M900" s="79">
        <v>50.706299999999999</v>
      </c>
      <c r="N900" s="79">
        <v>66.594449999999995</v>
      </c>
      <c r="O900" s="79">
        <v>81.643450000000001</v>
      </c>
      <c r="P900" s="79">
        <v>93.637079999999997</v>
      </c>
      <c r="Q900" s="79"/>
      <c r="R900" s="79">
        <v>68.310169999999999</v>
      </c>
      <c r="S900" s="79">
        <v>87.050730000000001</v>
      </c>
      <c r="T900" s="79">
        <v>98.438929999999999</v>
      </c>
      <c r="U900" s="79">
        <v>120.07040000000001</v>
      </c>
      <c r="V900" s="79">
        <v>31.260439999999999</v>
      </c>
      <c r="W900" s="79">
        <v>16.751639999999998</v>
      </c>
      <c r="X900" s="79"/>
      <c r="Y900" s="79">
        <v>51.270229999999998</v>
      </c>
      <c r="Z900" s="79">
        <v>105.8912</v>
      </c>
      <c r="AA900" s="79">
        <v>95.629819999999995</v>
      </c>
      <c r="AB900" s="79">
        <v>26.624780000000001</v>
      </c>
      <c r="AC900" s="79">
        <v>67.051199999999994</v>
      </c>
      <c r="AD900" s="79"/>
      <c r="AE900" s="79">
        <v>72.493399999999994</v>
      </c>
      <c r="AF900" s="79">
        <v>79.712779999999995</v>
      </c>
      <c r="AG900" s="79">
        <v>101.5686</v>
      </c>
      <c r="AH900" s="79">
        <v>67.584469999999996</v>
      </c>
      <c r="AI900" s="79">
        <v>27.46021</v>
      </c>
      <c r="AJ900" s="79">
        <v>103.0675</v>
      </c>
      <c r="AK900" s="79">
        <v>32.326219999999999</v>
      </c>
      <c r="AL900" s="79">
        <v>65.402760000000001</v>
      </c>
      <c r="AM900" s="79">
        <v>70.032690000000002</v>
      </c>
      <c r="AN900" s="79"/>
      <c r="AO900" s="79">
        <v>65.442009999999996</v>
      </c>
      <c r="AP900" s="79">
        <v>75.887349999999998</v>
      </c>
      <c r="AQ900" s="79"/>
      <c r="AR900" s="79"/>
      <c r="AS900" s="79"/>
      <c r="AT900" s="79"/>
      <c r="AU900" s="79"/>
      <c r="AV900" s="79">
        <v>71.080799999999996</v>
      </c>
      <c r="AW900" s="79"/>
      <c r="AX900" s="79">
        <v>35.497039999999998</v>
      </c>
      <c r="AY900" s="79">
        <v>70.180689999999998</v>
      </c>
    </row>
    <row r="901" spans="1:51" x14ac:dyDescent="0.2">
      <c r="A901" t="s">
        <v>1446</v>
      </c>
      <c r="B901" s="1">
        <v>34304</v>
      </c>
      <c r="C901" s="78">
        <v>901</v>
      </c>
      <c r="E901" s="1">
        <f t="shared" si="28"/>
        <v>34304</v>
      </c>
      <c r="F901" s="2">
        <f t="shared" si="29"/>
        <v>34304</v>
      </c>
      <c r="G901" s="78">
        <v>899</v>
      </c>
      <c r="H901" s="79"/>
      <c r="I901" s="79"/>
      <c r="J901" s="79">
        <v>59.536499999999997</v>
      </c>
      <c r="K901" s="79">
        <v>70.241550000000004</v>
      </c>
      <c r="L901" s="79"/>
      <c r="M901" s="79">
        <v>50.766800000000003</v>
      </c>
      <c r="N901" s="79">
        <v>67.394390000000001</v>
      </c>
      <c r="O901" s="79">
        <v>79.792860000000005</v>
      </c>
      <c r="P901" s="79">
        <v>93.893079999999998</v>
      </c>
      <c r="Q901" s="79"/>
      <c r="R901" s="79">
        <v>68.600939999999994</v>
      </c>
      <c r="S901" s="79">
        <v>86.270719999999997</v>
      </c>
      <c r="T901" s="79">
        <v>98.731909999999999</v>
      </c>
      <c r="U901" s="79">
        <v>118.75879999999999</v>
      </c>
      <c r="V901" s="79">
        <v>31.99287</v>
      </c>
      <c r="W901" s="79">
        <v>17.226859999999999</v>
      </c>
      <c r="X901" s="79"/>
      <c r="Y901" s="79">
        <v>51.270229999999998</v>
      </c>
      <c r="Z901" s="79">
        <v>105.7912</v>
      </c>
      <c r="AA901" s="79">
        <v>94.91995</v>
      </c>
      <c r="AB901" s="79">
        <v>27.224730000000001</v>
      </c>
      <c r="AC901" s="79">
        <v>70.402770000000004</v>
      </c>
      <c r="AD901" s="79"/>
      <c r="AE901" s="79">
        <v>73.876570000000001</v>
      </c>
      <c r="AF901" s="79">
        <v>74.909970000000001</v>
      </c>
      <c r="AG901" s="79">
        <v>100.9126</v>
      </c>
      <c r="AH901" s="79">
        <v>67.812569999999994</v>
      </c>
      <c r="AI901" s="79">
        <v>27.635649999999998</v>
      </c>
      <c r="AJ901" s="79">
        <v>105.1101</v>
      </c>
      <c r="AK901" s="79">
        <v>32.58108</v>
      </c>
      <c r="AL901" s="79">
        <v>67.043689999999998</v>
      </c>
      <c r="AM901" s="79">
        <v>71.348339999999993</v>
      </c>
      <c r="AN901" s="79"/>
      <c r="AO901" s="79">
        <v>65.800089999999997</v>
      </c>
      <c r="AP901" s="79">
        <v>75.987340000000003</v>
      </c>
      <c r="AQ901" s="79"/>
      <c r="AR901" s="79"/>
      <c r="AS901" s="79"/>
      <c r="AT901" s="79"/>
      <c r="AU901" s="79"/>
      <c r="AV901" s="79">
        <v>66.712069999999997</v>
      </c>
      <c r="AW901" s="79"/>
      <c r="AX901" s="79">
        <v>38.296810000000001</v>
      </c>
      <c r="AY901" s="79">
        <v>71.374499999999998</v>
      </c>
    </row>
    <row r="902" spans="1:51" x14ac:dyDescent="0.2">
      <c r="A902" t="s">
        <v>1447</v>
      </c>
      <c r="B902" s="1">
        <v>34335</v>
      </c>
      <c r="C902" s="78">
        <v>902</v>
      </c>
      <c r="E902" s="1">
        <f t="shared" si="28"/>
        <v>34335</v>
      </c>
      <c r="F902" s="2">
        <f t="shared" si="29"/>
        <v>34335</v>
      </c>
      <c r="G902" s="78">
        <v>900</v>
      </c>
      <c r="H902" s="79"/>
      <c r="I902" s="79"/>
      <c r="J902" s="79">
        <v>61.312519999999999</v>
      </c>
      <c r="K902" s="79">
        <v>70.971329999999995</v>
      </c>
      <c r="L902" s="79"/>
      <c r="M902" s="79">
        <v>50.556449999999998</v>
      </c>
      <c r="N902" s="79">
        <v>67.094409999999996</v>
      </c>
      <c r="O902" s="79">
        <v>89.154640000000001</v>
      </c>
      <c r="P902" s="79">
        <v>93.469080000000005</v>
      </c>
      <c r="Q902" s="79"/>
      <c r="R902" s="79">
        <v>69.160129999999995</v>
      </c>
      <c r="S902" s="79">
        <v>87.88073</v>
      </c>
      <c r="T902" s="79">
        <v>99.317859999999996</v>
      </c>
      <c r="U902" s="79">
        <v>116.8313</v>
      </c>
      <c r="V902" s="79">
        <v>32.139360000000003</v>
      </c>
      <c r="W902" s="79">
        <v>17.167459999999998</v>
      </c>
      <c r="X902" s="79"/>
      <c r="Y902" s="79">
        <v>52.250799999999998</v>
      </c>
      <c r="Z902" s="79">
        <v>106.0912</v>
      </c>
      <c r="AA902" s="79">
        <v>94.514309999999995</v>
      </c>
      <c r="AB902" s="79">
        <v>26.95675</v>
      </c>
      <c r="AC902" s="79">
        <v>73.627539999999996</v>
      </c>
      <c r="AD902" s="79"/>
      <c r="AE902" s="79">
        <v>74.682739999999995</v>
      </c>
      <c r="AF902" s="79">
        <v>78.77225</v>
      </c>
      <c r="AG902" s="79">
        <v>102.4432</v>
      </c>
      <c r="AH902" s="79">
        <v>68.145790000000005</v>
      </c>
      <c r="AI902" s="79">
        <v>28.510929999999998</v>
      </c>
      <c r="AJ902" s="79">
        <v>103.258</v>
      </c>
      <c r="AK902" s="79">
        <v>32.007390000000001</v>
      </c>
      <c r="AL902" s="79">
        <v>65.480900000000005</v>
      </c>
      <c r="AM902" s="79">
        <v>71.753140000000002</v>
      </c>
      <c r="AN902" s="79"/>
      <c r="AO902" s="79">
        <v>66.049250000000001</v>
      </c>
      <c r="AP902" s="79">
        <v>76.087320000000005</v>
      </c>
      <c r="AQ902" s="79"/>
      <c r="AR902" s="79"/>
      <c r="AS902" s="79"/>
      <c r="AT902" s="79"/>
      <c r="AU902" s="79"/>
      <c r="AV902" s="79">
        <v>60.625810000000001</v>
      </c>
      <c r="AW902" s="79"/>
      <c r="AX902" s="79">
        <v>38.196820000000002</v>
      </c>
      <c r="AY902" s="79">
        <v>72.471760000000003</v>
      </c>
    </row>
    <row r="903" spans="1:51" x14ac:dyDescent="0.2">
      <c r="A903" t="s">
        <v>1448</v>
      </c>
      <c r="B903" s="1">
        <v>34366</v>
      </c>
      <c r="C903" s="78">
        <v>903</v>
      </c>
      <c r="E903" s="1">
        <f t="shared" si="28"/>
        <v>34366</v>
      </c>
      <c r="F903" s="2">
        <f t="shared" si="29"/>
        <v>34366</v>
      </c>
      <c r="G903" s="78">
        <v>901</v>
      </c>
      <c r="H903" s="79"/>
      <c r="I903" s="79"/>
      <c r="J903" s="79">
        <v>60.866070000000001</v>
      </c>
      <c r="K903" s="79">
        <v>71.166809999999998</v>
      </c>
      <c r="L903" s="79"/>
      <c r="M903" s="79">
        <v>49.866889999999998</v>
      </c>
      <c r="N903" s="79">
        <v>68.094319999999996</v>
      </c>
      <c r="O903" s="79">
        <v>87.41292</v>
      </c>
      <c r="P903" s="79">
        <v>96.383080000000007</v>
      </c>
      <c r="Q903" s="79"/>
      <c r="R903" s="79">
        <v>69.506820000000005</v>
      </c>
      <c r="S903" s="79">
        <v>87.610730000000004</v>
      </c>
      <c r="T903" s="79">
        <v>99.610820000000004</v>
      </c>
      <c r="U903" s="79">
        <v>118.928</v>
      </c>
      <c r="V903" s="79">
        <v>32.022170000000003</v>
      </c>
      <c r="W903" s="79">
        <v>18.236709999999999</v>
      </c>
      <c r="X903" s="79"/>
      <c r="Y903" s="79">
        <v>53.231380000000001</v>
      </c>
      <c r="Z903" s="79">
        <v>107.791</v>
      </c>
      <c r="AA903" s="79">
        <v>95.325590000000005</v>
      </c>
      <c r="AB903" s="79">
        <v>27.021750000000001</v>
      </c>
      <c r="AC903" s="79">
        <v>72.142589999999998</v>
      </c>
      <c r="AD903" s="79"/>
      <c r="AE903" s="79">
        <v>75.008219999999994</v>
      </c>
      <c r="AF903" s="79">
        <v>80.475980000000007</v>
      </c>
      <c r="AG903" s="79">
        <v>103.86450000000001</v>
      </c>
      <c r="AH903" s="79">
        <v>68.344340000000003</v>
      </c>
      <c r="AI903" s="79">
        <v>28.861409999999999</v>
      </c>
      <c r="AJ903" s="79">
        <v>103.053</v>
      </c>
      <c r="AK903" s="79">
        <v>32.797530000000002</v>
      </c>
      <c r="AL903" s="79">
        <v>66.106009999999998</v>
      </c>
      <c r="AM903" s="79">
        <v>73.271190000000004</v>
      </c>
      <c r="AN903" s="79"/>
      <c r="AO903" s="79">
        <v>66.067310000000006</v>
      </c>
      <c r="AP903" s="79">
        <v>77.187129999999996</v>
      </c>
      <c r="AQ903" s="79"/>
      <c r="AR903" s="79"/>
      <c r="AS903" s="79"/>
      <c r="AT903" s="79"/>
      <c r="AU903" s="79"/>
      <c r="AV903" s="79">
        <v>63.091769999999997</v>
      </c>
      <c r="AW903" s="79"/>
      <c r="AX903" s="79">
        <v>34.097160000000002</v>
      </c>
      <c r="AY903" s="79">
        <v>71.242840000000001</v>
      </c>
    </row>
    <row r="904" spans="1:51" x14ac:dyDescent="0.2">
      <c r="A904" t="s">
        <v>1449</v>
      </c>
      <c r="B904" s="1">
        <v>34394</v>
      </c>
      <c r="C904" s="78">
        <v>904</v>
      </c>
      <c r="E904" s="1">
        <f t="shared" si="28"/>
        <v>34394</v>
      </c>
      <c r="F904" s="2">
        <f t="shared" si="29"/>
        <v>34394</v>
      </c>
      <c r="G904" s="78">
        <v>902</v>
      </c>
      <c r="H904" s="79"/>
      <c r="I904" s="79"/>
      <c r="J904" s="79">
        <v>61.048659999999998</v>
      </c>
      <c r="K904" s="79">
        <v>72.155029999999996</v>
      </c>
      <c r="L904" s="79"/>
      <c r="M904" s="79">
        <v>50.620159999999998</v>
      </c>
      <c r="N904" s="79">
        <v>67.794349999999994</v>
      </c>
      <c r="O904" s="79">
        <v>89.807789999999997</v>
      </c>
      <c r="P904" s="79">
        <v>96.287080000000003</v>
      </c>
      <c r="Q904" s="79"/>
      <c r="R904" s="79">
        <v>70.121930000000006</v>
      </c>
      <c r="S904" s="79">
        <v>87.550730000000001</v>
      </c>
      <c r="T904" s="79">
        <v>100.00149999999999</v>
      </c>
      <c r="U904" s="79">
        <v>119.0043</v>
      </c>
      <c r="V904" s="79">
        <v>31.99287</v>
      </c>
      <c r="W904" s="79">
        <v>17.939699999999998</v>
      </c>
      <c r="X904" s="79"/>
      <c r="Y904" s="79">
        <v>51.760509999999996</v>
      </c>
      <c r="Z904" s="79">
        <v>109.29089999999999</v>
      </c>
      <c r="AA904" s="79">
        <v>96.339690000000004</v>
      </c>
      <c r="AB904" s="79">
        <v>27.492709999999999</v>
      </c>
      <c r="AC904" s="79">
        <v>73.798929999999999</v>
      </c>
      <c r="AD904" s="79"/>
      <c r="AE904" s="79">
        <v>75.765270000000001</v>
      </c>
      <c r="AF904" s="79">
        <v>80.637879999999996</v>
      </c>
      <c r="AG904" s="79">
        <v>101.0219</v>
      </c>
      <c r="AH904" s="79">
        <v>68.775369999999995</v>
      </c>
      <c r="AI904" s="79">
        <v>29.30377</v>
      </c>
      <c r="AJ904" s="79">
        <v>103.0861</v>
      </c>
      <c r="AK904" s="79">
        <v>33.181109999999997</v>
      </c>
      <c r="AL904" s="79">
        <v>68.684619999999995</v>
      </c>
      <c r="AM904" s="79">
        <v>73.676010000000005</v>
      </c>
      <c r="AN904" s="79"/>
      <c r="AO904" s="79">
        <v>66.732929999999996</v>
      </c>
      <c r="AP904" s="79">
        <v>77.287120000000002</v>
      </c>
      <c r="AQ904" s="79"/>
      <c r="AR904" s="79"/>
      <c r="AS904" s="79"/>
      <c r="AT904" s="79"/>
      <c r="AU904" s="79"/>
      <c r="AV904" s="79">
        <v>61.565060000000003</v>
      </c>
      <c r="AW904" s="79"/>
      <c r="AX904" s="79">
        <v>34.097160000000002</v>
      </c>
      <c r="AY904" s="79">
        <v>71.936300000000003</v>
      </c>
    </row>
    <row r="905" spans="1:51" x14ac:dyDescent="0.2">
      <c r="A905" t="s">
        <v>1450</v>
      </c>
      <c r="B905" s="1">
        <v>34425</v>
      </c>
      <c r="C905" s="78">
        <v>905</v>
      </c>
      <c r="E905" s="1">
        <f t="shared" si="28"/>
        <v>34425</v>
      </c>
      <c r="F905" s="2">
        <f t="shared" si="29"/>
        <v>34425</v>
      </c>
      <c r="G905" s="78">
        <v>903</v>
      </c>
      <c r="H905" s="79"/>
      <c r="I905" s="79"/>
      <c r="J905" s="79">
        <v>59.958919999999999</v>
      </c>
      <c r="K905" s="79">
        <v>72.660650000000004</v>
      </c>
      <c r="L905" s="79"/>
      <c r="M905" s="79">
        <v>51.290199999999999</v>
      </c>
      <c r="N905" s="79">
        <v>68.594279999999998</v>
      </c>
      <c r="O905" s="79">
        <v>86.650909999999996</v>
      </c>
      <c r="P905" s="79">
        <v>97.752080000000007</v>
      </c>
      <c r="Q905" s="79"/>
      <c r="R905" s="79">
        <v>71.408060000000006</v>
      </c>
      <c r="S905" s="79">
        <v>90.010750000000002</v>
      </c>
      <c r="T905" s="79">
        <v>101.271</v>
      </c>
      <c r="U905" s="79">
        <v>120.1835</v>
      </c>
      <c r="V905" s="79">
        <v>32.256549999999997</v>
      </c>
      <c r="W905" s="79">
        <v>18.474319999999999</v>
      </c>
      <c r="X905" s="79"/>
      <c r="Y905" s="79">
        <v>51.900599999999997</v>
      </c>
      <c r="Z905" s="79">
        <v>111.0907</v>
      </c>
      <c r="AA905" s="79">
        <v>97.252380000000002</v>
      </c>
      <c r="AB905" s="79">
        <v>27.35472</v>
      </c>
      <c r="AC905" s="79">
        <v>74.639089999999996</v>
      </c>
      <c r="AD905" s="79"/>
      <c r="AE905" s="79">
        <v>78.013480000000001</v>
      </c>
      <c r="AF905" s="79">
        <v>80.514529999999993</v>
      </c>
      <c r="AG905" s="79">
        <v>100.6939</v>
      </c>
      <c r="AH905" s="79">
        <v>69.437910000000002</v>
      </c>
      <c r="AI905" s="79">
        <v>29.488990000000001</v>
      </c>
      <c r="AJ905" s="79">
        <v>102.87009999999999</v>
      </c>
      <c r="AK905" s="79">
        <v>32.500819999999997</v>
      </c>
      <c r="AL905" s="79">
        <v>67.434380000000004</v>
      </c>
      <c r="AM905" s="79">
        <v>73.979619999999997</v>
      </c>
      <c r="AN905" s="79"/>
      <c r="AO905" s="79">
        <v>67.111090000000004</v>
      </c>
      <c r="AP905" s="79">
        <v>78.686880000000002</v>
      </c>
      <c r="AQ905" s="79"/>
      <c r="AR905" s="79"/>
      <c r="AS905" s="79"/>
      <c r="AT905" s="79">
        <v>26.962720000000001</v>
      </c>
      <c r="AU905" s="79"/>
      <c r="AV905" s="79">
        <v>60.665230000000001</v>
      </c>
      <c r="AW905" s="79"/>
      <c r="AX905" s="79">
        <v>32.097320000000003</v>
      </c>
      <c r="AY905" s="79">
        <v>71.620289999999997</v>
      </c>
    </row>
    <row r="906" spans="1:51" x14ac:dyDescent="0.2">
      <c r="A906" t="s">
        <v>1451</v>
      </c>
      <c r="B906" s="1">
        <v>34455</v>
      </c>
      <c r="C906" s="78">
        <v>906</v>
      </c>
      <c r="E906" s="1">
        <f t="shared" si="28"/>
        <v>34455</v>
      </c>
      <c r="F906" s="2">
        <f t="shared" si="29"/>
        <v>34455</v>
      </c>
      <c r="G906" s="78">
        <v>904</v>
      </c>
      <c r="H906" s="79"/>
      <c r="I906" s="79"/>
      <c r="J906" s="79">
        <v>59.751750000000001</v>
      </c>
      <c r="K906" s="79">
        <v>73.357060000000004</v>
      </c>
      <c r="L906" s="79"/>
      <c r="M906" s="79">
        <v>53.211790000000001</v>
      </c>
      <c r="N906" s="79">
        <v>68.294309999999996</v>
      </c>
      <c r="O906" s="79">
        <v>92.311520000000002</v>
      </c>
      <c r="P906" s="79">
        <v>96.868080000000006</v>
      </c>
      <c r="Q906" s="79"/>
      <c r="R906" s="79">
        <v>72.123819999999995</v>
      </c>
      <c r="S906" s="79">
        <v>89.910749999999993</v>
      </c>
      <c r="T906" s="79">
        <v>102.6382</v>
      </c>
      <c r="U906" s="79">
        <v>118.709</v>
      </c>
      <c r="V906" s="79">
        <v>32.666710000000002</v>
      </c>
      <c r="W906" s="79">
        <v>18.296119999999998</v>
      </c>
      <c r="X906" s="79"/>
      <c r="Y906" s="79">
        <v>52.110720000000001</v>
      </c>
      <c r="Z906" s="79">
        <v>111.4907</v>
      </c>
      <c r="AA906" s="79">
        <v>97.150970000000001</v>
      </c>
      <c r="AB906" s="79">
        <v>28.223649999999999</v>
      </c>
      <c r="AC906" s="79">
        <v>75.462410000000006</v>
      </c>
      <c r="AD906" s="79"/>
      <c r="AE906" s="79">
        <v>76.701639999999998</v>
      </c>
      <c r="AF906" s="79">
        <v>79.959469999999996</v>
      </c>
      <c r="AG906" s="79">
        <v>102.77119999999999</v>
      </c>
      <c r="AH906" s="79">
        <v>69.598089999999999</v>
      </c>
      <c r="AI906" s="79">
        <v>29.792339999999999</v>
      </c>
      <c r="AJ906" s="79">
        <v>103.7745</v>
      </c>
      <c r="AK906" s="79">
        <v>33.809719999999999</v>
      </c>
      <c r="AL906" s="79">
        <v>69.544150000000002</v>
      </c>
      <c r="AM906" s="79">
        <v>74.688040000000001</v>
      </c>
      <c r="AN906" s="79"/>
      <c r="AO906" s="79">
        <v>67.454759999999993</v>
      </c>
      <c r="AP906" s="79">
        <v>78.486919999999998</v>
      </c>
      <c r="AQ906" s="79"/>
      <c r="AR906" s="79"/>
      <c r="AS906" s="79"/>
      <c r="AT906" s="79">
        <v>27.40025</v>
      </c>
      <c r="AU906" s="79"/>
      <c r="AV906" s="79">
        <v>59.537129999999998</v>
      </c>
      <c r="AW906" s="79"/>
      <c r="AX906" s="79">
        <v>31.89734</v>
      </c>
      <c r="AY906" s="79">
        <v>73.463679999999997</v>
      </c>
    </row>
    <row r="907" spans="1:51" x14ac:dyDescent="0.2">
      <c r="A907" t="s">
        <v>1452</v>
      </c>
      <c r="B907" s="1">
        <v>34486</v>
      </c>
      <c r="C907" s="78">
        <v>907</v>
      </c>
      <c r="E907" s="1">
        <f t="shared" si="28"/>
        <v>34486</v>
      </c>
      <c r="F907" s="2">
        <f t="shared" si="29"/>
        <v>34486</v>
      </c>
      <c r="G907" s="78">
        <v>905</v>
      </c>
      <c r="H907" s="79"/>
      <c r="I907" s="79"/>
      <c r="J907" s="79">
        <v>60.129899999999999</v>
      </c>
      <c r="K907" s="79">
        <v>74.309560000000005</v>
      </c>
      <c r="L907" s="79"/>
      <c r="M907" s="79">
        <v>52.833649999999999</v>
      </c>
      <c r="N907" s="79">
        <v>68.794269999999997</v>
      </c>
      <c r="O907" s="79">
        <v>92.093810000000005</v>
      </c>
      <c r="P907" s="79">
        <v>98.515079999999998</v>
      </c>
      <c r="Q907" s="79"/>
      <c r="R907" s="79">
        <v>72.671809999999994</v>
      </c>
      <c r="S907" s="79">
        <v>90.420749999999998</v>
      </c>
      <c r="T907" s="79">
        <v>101.3687</v>
      </c>
      <c r="U907" s="79">
        <v>119.1113</v>
      </c>
      <c r="V907" s="79">
        <v>33.018279999999997</v>
      </c>
      <c r="W907" s="79">
        <v>19.008949999999999</v>
      </c>
      <c r="X907" s="79"/>
      <c r="Y907" s="79">
        <v>52.530970000000003</v>
      </c>
      <c r="Z907" s="79">
        <v>112.59059999999999</v>
      </c>
      <c r="AA907" s="79">
        <v>98.367900000000006</v>
      </c>
      <c r="AB907" s="79">
        <v>28.620619999999999</v>
      </c>
      <c r="AC907" s="79">
        <v>73.268360000000001</v>
      </c>
      <c r="AD907" s="79"/>
      <c r="AE907" s="79">
        <v>76.999229999999997</v>
      </c>
      <c r="AF907" s="79">
        <v>80.183040000000005</v>
      </c>
      <c r="AG907" s="79">
        <v>106.59780000000001</v>
      </c>
      <c r="AH907" s="79">
        <v>69.999529999999993</v>
      </c>
      <c r="AI907" s="79">
        <v>30.081430000000001</v>
      </c>
      <c r="AJ907" s="79">
        <v>102.7955</v>
      </c>
      <c r="AK907" s="79">
        <v>34.199370000000002</v>
      </c>
      <c r="AL907" s="79">
        <v>71.575779999999995</v>
      </c>
      <c r="AM907" s="79">
        <v>75.801280000000006</v>
      </c>
      <c r="AN907" s="79"/>
      <c r="AO907" s="79">
        <v>67.885260000000002</v>
      </c>
      <c r="AP907" s="79">
        <v>79.086820000000003</v>
      </c>
      <c r="AQ907" s="79"/>
      <c r="AR907" s="79"/>
      <c r="AS907" s="79"/>
      <c r="AT907" s="79">
        <v>28.105399999999999</v>
      </c>
      <c r="AU907" s="79"/>
      <c r="AV907" s="79">
        <v>59.093640000000001</v>
      </c>
      <c r="AW907" s="79"/>
      <c r="AX907" s="79">
        <v>30.197479999999999</v>
      </c>
      <c r="AY907" s="79">
        <v>73.753360000000001</v>
      </c>
    </row>
    <row r="908" spans="1:51" x14ac:dyDescent="0.2">
      <c r="A908" t="s">
        <v>1453</v>
      </c>
      <c r="B908" s="1">
        <v>34516</v>
      </c>
      <c r="C908" s="78">
        <v>908</v>
      </c>
      <c r="E908" s="1">
        <f t="shared" si="28"/>
        <v>34516</v>
      </c>
      <c r="F908" s="2">
        <f t="shared" si="29"/>
        <v>34516</v>
      </c>
      <c r="G908" s="78">
        <v>906</v>
      </c>
      <c r="H908" s="79"/>
      <c r="I908" s="79"/>
      <c r="J908" s="79">
        <v>55.010370000000002</v>
      </c>
      <c r="K908" s="79">
        <v>74.292180000000002</v>
      </c>
      <c r="L908" s="79"/>
      <c r="M908" s="79">
        <v>53.416890000000002</v>
      </c>
      <c r="N908" s="79">
        <v>68.494290000000007</v>
      </c>
      <c r="O908" s="79">
        <v>91.005229999999997</v>
      </c>
      <c r="P908" s="79">
        <v>100.0461</v>
      </c>
      <c r="Q908" s="79"/>
      <c r="R908" s="79">
        <v>73.387569999999997</v>
      </c>
      <c r="S908" s="79">
        <v>91.210759999999993</v>
      </c>
      <c r="T908" s="79">
        <v>101.9546</v>
      </c>
      <c r="U908" s="79">
        <v>120.81480000000001</v>
      </c>
      <c r="V908" s="79">
        <v>33.399149999999999</v>
      </c>
      <c r="W908" s="79">
        <v>18.414919999999999</v>
      </c>
      <c r="X908" s="79"/>
      <c r="Y908" s="79">
        <v>53.161340000000003</v>
      </c>
      <c r="Z908" s="79">
        <v>112.7906</v>
      </c>
      <c r="AA908" s="79">
        <v>99.382000000000005</v>
      </c>
      <c r="AB908" s="79">
        <v>27.557700000000001</v>
      </c>
      <c r="AC908" s="79">
        <v>71.879660000000001</v>
      </c>
      <c r="AD908" s="79"/>
      <c r="AE908" s="79">
        <v>77.087000000000003</v>
      </c>
      <c r="AF908" s="79">
        <v>81.046459999999996</v>
      </c>
      <c r="AG908" s="79">
        <v>102.77119999999999</v>
      </c>
      <c r="AH908" s="79">
        <v>70.201160000000002</v>
      </c>
      <c r="AI908" s="79">
        <v>30.582360000000001</v>
      </c>
      <c r="AJ908" s="79">
        <v>103.03619999999999</v>
      </c>
      <c r="AK908" s="79">
        <v>35.587539999999997</v>
      </c>
      <c r="AL908" s="79">
        <v>70.247410000000002</v>
      </c>
      <c r="AM908" s="79">
        <v>73.878420000000006</v>
      </c>
      <c r="AN908" s="79"/>
      <c r="AO908" s="79">
        <v>67.989279999999994</v>
      </c>
      <c r="AP908" s="79">
        <v>79.286789999999996</v>
      </c>
      <c r="AQ908" s="79"/>
      <c r="AR908" s="79"/>
      <c r="AS908" s="79"/>
      <c r="AT908" s="79">
        <v>28.357209999999998</v>
      </c>
      <c r="AU908" s="79"/>
      <c r="AV908" s="79">
        <v>58.458289999999998</v>
      </c>
      <c r="AW908" s="79"/>
      <c r="AX908" s="79">
        <v>31.197399999999998</v>
      </c>
      <c r="AY908" s="79">
        <v>74.095699999999994</v>
      </c>
    </row>
    <row r="909" spans="1:51" x14ac:dyDescent="0.2">
      <c r="A909" t="s">
        <v>1454</v>
      </c>
      <c r="B909" s="1">
        <v>34547</v>
      </c>
      <c r="C909" s="78">
        <v>909</v>
      </c>
      <c r="E909" s="1">
        <f t="shared" si="28"/>
        <v>34547</v>
      </c>
      <c r="F909" s="2">
        <f t="shared" si="29"/>
        <v>34547</v>
      </c>
      <c r="G909" s="78">
        <v>907</v>
      </c>
      <c r="H909" s="79"/>
      <c r="I909" s="79"/>
      <c r="J909" s="79">
        <v>61.84234</v>
      </c>
      <c r="K909" s="79">
        <v>74.940179999999998</v>
      </c>
      <c r="L909" s="79"/>
      <c r="M909" s="79">
        <v>53.189959999999999</v>
      </c>
      <c r="N909" s="79">
        <v>68.494290000000007</v>
      </c>
      <c r="O909" s="79">
        <v>87.1952</v>
      </c>
      <c r="P909" s="79">
        <v>100.05110000000001</v>
      </c>
      <c r="Q909" s="79"/>
      <c r="R909" s="79">
        <v>73.387569999999997</v>
      </c>
      <c r="S909" s="79">
        <v>91.710759999999993</v>
      </c>
      <c r="T909" s="79">
        <v>102.34520000000001</v>
      </c>
      <c r="U909" s="79">
        <v>121.8271</v>
      </c>
      <c r="V909" s="79">
        <v>33.92651</v>
      </c>
      <c r="W909" s="79">
        <v>19.187159999999999</v>
      </c>
      <c r="X909" s="79"/>
      <c r="Y909" s="79">
        <v>54.352040000000002</v>
      </c>
      <c r="Z909" s="79">
        <v>113.1906</v>
      </c>
      <c r="AA909" s="79">
        <v>100.19329999999999</v>
      </c>
      <c r="AB909" s="79">
        <v>28.28764</v>
      </c>
      <c r="AC909" s="79">
        <v>77.767560000000003</v>
      </c>
      <c r="AD909" s="79"/>
      <c r="AE909" s="79">
        <v>77.599519999999998</v>
      </c>
      <c r="AF909" s="79">
        <v>81.539850000000001</v>
      </c>
      <c r="AG909" s="79">
        <v>96.758020000000002</v>
      </c>
      <c r="AH909" s="79">
        <v>70.820430000000002</v>
      </c>
      <c r="AI909" s="79">
        <v>31.59404</v>
      </c>
      <c r="AJ909" s="79">
        <v>103.3028</v>
      </c>
      <c r="AK909" s="79">
        <v>33.712800000000001</v>
      </c>
      <c r="AL909" s="79">
        <v>70.091130000000007</v>
      </c>
      <c r="AM909" s="79">
        <v>75.396460000000005</v>
      </c>
      <c r="AN909" s="79"/>
      <c r="AO909" s="79">
        <v>68.393370000000004</v>
      </c>
      <c r="AP909" s="79">
        <v>79.486760000000004</v>
      </c>
      <c r="AQ909" s="79"/>
      <c r="AR909" s="79"/>
      <c r="AS909" s="79"/>
      <c r="AT909" s="79">
        <v>28.52628</v>
      </c>
      <c r="AU909" s="79"/>
      <c r="AV909" s="79">
        <v>59.231639999999999</v>
      </c>
      <c r="AW909" s="79"/>
      <c r="AX909" s="79">
        <v>33.397219999999997</v>
      </c>
      <c r="AY909" s="79">
        <v>77.501599999999996</v>
      </c>
    </row>
    <row r="910" spans="1:51" x14ac:dyDescent="0.2">
      <c r="A910" t="s">
        <v>1455</v>
      </c>
      <c r="B910" s="1">
        <v>34578</v>
      </c>
      <c r="C910" s="78">
        <v>910</v>
      </c>
      <c r="E910" s="1">
        <f t="shared" si="28"/>
        <v>34578</v>
      </c>
      <c r="F910" s="2">
        <f t="shared" si="29"/>
        <v>34578</v>
      </c>
      <c r="G910" s="78">
        <v>908</v>
      </c>
      <c r="H910" s="79"/>
      <c r="I910" s="79"/>
      <c r="J910" s="79">
        <v>61.06841</v>
      </c>
      <c r="K910" s="79">
        <v>75.593829999999997</v>
      </c>
      <c r="L910" s="79"/>
      <c r="M910" s="79">
        <v>53.110889999999998</v>
      </c>
      <c r="N910" s="79">
        <v>69.494209999999995</v>
      </c>
      <c r="O910" s="79">
        <v>88.936930000000004</v>
      </c>
      <c r="P910" s="79">
        <v>100.08710000000001</v>
      </c>
      <c r="Q910" s="79"/>
      <c r="R910" s="79">
        <v>75.132230000000007</v>
      </c>
      <c r="S910" s="79">
        <v>91.400760000000005</v>
      </c>
      <c r="T910" s="79">
        <v>103.3218</v>
      </c>
      <c r="U910" s="79">
        <v>126.6619</v>
      </c>
      <c r="V910" s="79">
        <v>34.278080000000003</v>
      </c>
      <c r="W910" s="79">
        <v>18.236709999999999</v>
      </c>
      <c r="X910" s="79"/>
      <c r="Y910" s="79">
        <v>53.371459999999999</v>
      </c>
      <c r="Z910" s="79">
        <v>113.79049999999999</v>
      </c>
      <c r="AA910" s="79">
        <v>99.179180000000002</v>
      </c>
      <c r="AB910" s="79">
        <v>29.22157</v>
      </c>
      <c r="AC910" s="79">
        <v>71.730590000000007</v>
      </c>
      <c r="AD910" s="79"/>
      <c r="AE910" s="79">
        <v>77.195040000000006</v>
      </c>
      <c r="AF910" s="79">
        <v>82.071780000000004</v>
      </c>
      <c r="AG910" s="79">
        <v>104.1925</v>
      </c>
      <c r="AH910" s="79">
        <v>71.001220000000004</v>
      </c>
      <c r="AI910" s="79">
        <v>31.147480000000002</v>
      </c>
      <c r="AJ910" s="79">
        <v>106.2452</v>
      </c>
      <c r="AK910" s="79">
        <v>32.652169999999998</v>
      </c>
      <c r="AL910" s="79">
        <v>68.059489999999997</v>
      </c>
      <c r="AM910" s="79">
        <v>78.837379999999996</v>
      </c>
      <c r="AN910" s="79"/>
      <c r="AO910" s="79">
        <v>68.654049999999998</v>
      </c>
      <c r="AP910" s="79">
        <v>79.886690000000002</v>
      </c>
      <c r="AQ910" s="79"/>
      <c r="AR910" s="79"/>
      <c r="AS910" s="79"/>
      <c r="AT910" s="79">
        <v>28.655819999999999</v>
      </c>
      <c r="AU910" s="79"/>
      <c r="AV910" s="79">
        <v>58.43759</v>
      </c>
      <c r="AW910" s="79"/>
      <c r="AX910" s="79">
        <v>33.997169999999997</v>
      </c>
      <c r="AY910" s="79">
        <v>77.931719999999999</v>
      </c>
    </row>
    <row r="911" spans="1:51" x14ac:dyDescent="0.2">
      <c r="A911" t="s">
        <v>1456</v>
      </c>
      <c r="B911" s="1">
        <v>34608</v>
      </c>
      <c r="C911" s="78">
        <v>911</v>
      </c>
      <c r="E911" s="1">
        <f t="shared" si="28"/>
        <v>34608</v>
      </c>
      <c r="F911" s="2">
        <f t="shared" si="29"/>
        <v>34608</v>
      </c>
      <c r="G911" s="78">
        <v>909</v>
      </c>
      <c r="H911" s="79"/>
      <c r="I911" s="79"/>
      <c r="J911" s="79">
        <v>60.650440000000003</v>
      </c>
      <c r="K911" s="79">
        <v>75.340069999999997</v>
      </c>
      <c r="L911" s="79"/>
      <c r="M911" s="79">
        <v>51.664090000000002</v>
      </c>
      <c r="N911" s="79">
        <v>70.7941</v>
      </c>
      <c r="O911" s="79">
        <v>90.243229999999997</v>
      </c>
      <c r="P911" s="79">
        <v>100.9371</v>
      </c>
      <c r="Q911" s="79"/>
      <c r="R911" s="79">
        <v>75.456569999999999</v>
      </c>
      <c r="S911" s="79">
        <v>92.290769999999995</v>
      </c>
      <c r="T911" s="79">
        <v>103.5171</v>
      </c>
      <c r="U911" s="79">
        <v>122.3887</v>
      </c>
      <c r="V911" s="79">
        <v>34.190190000000001</v>
      </c>
      <c r="W911" s="79">
        <v>19.365369999999999</v>
      </c>
      <c r="X911" s="79"/>
      <c r="Y911" s="79">
        <v>54.702249999999999</v>
      </c>
      <c r="Z911" s="79">
        <v>113.4905</v>
      </c>
      <c r="AA911" s="79">
        <v>100.19329999999999</v>
      </c>
      <c r="AB911" s="79">
        <v>29.61853</v>
      </c>
      <c r="AC911" s="79">
        <v>72.718180000000004</v>
      </c>
      <c r="AD911" s="79"/>
      <c r="AE911" s="79">
        <v>77.24682</v>
      </c>
      <c r="AF911" s="79">
        <v>85.463809999999995</v>
      </c>
      <c r="AG911" s="79">
        <v>106.05119999999999</v>
      </c>
      <c r="AH911" s="79">
        <v>71.542090000000002</v>
      </c>
      <c r="AI911" s="79">
        <v>30.49718</v>
      </c>
      <c r="AJ911" s="79">
        <v>102.2804</v>
      </c>
      <c r="AK911" s="79">
        <v>33.643439999999998</v>
      </c>
      <c r="AL911" s="79">
        <v>67.512519999999995</v>
      </c>
      <c r="AM911" s="79">
        <v>79.647000000000006</v>
      </c>
      <c r="AN911" s="79"/>
      <c r="AO911" s="79">
        <v>69.23545</v>
      </c>
      <c r="AP911" s="79">
        <v>80.786540000000002</v>
      </c>
      <c r="AQ911" s="79"/>
      <c r="AR911" s="79"/>
      <c r="AS911" s="79"/>
      <c r="AT911" s="79">
        <v>29.13908</v>
      </c>
      <c r="AU911" s="79"/>
      <c r="AV911" s="79">
        <v>59.457929999999998</v>
      </c>
      <c r="AW911" s="79"/>
      <c r="AX911" s="79">
        <v>34.7971</v>
      </c>
      <c r="AY911" s="79">
        <v>77.984390000000005</v>
      </c>
    </row>
    <row r="912" spans="1:51" x14ac:dyDescent="0.2">
      <c r="A912" t="s">
        <v>1457</v>
      </c>
      <c r="B912" s="1">
        <v>34639</v>
      </c>
      <c r="C912" s="78">
        <v>912</v>
      </c>
      <c r="E912" s="1">
        <f t="shared" si="28"/>
        <v>34639</v>
      </c>
      <c r="F912" s="2">
        <f t="shared" si="29"/>
        <v>34639</v>
      </c>
      <c r="G912" s="78">
        <v>910</v>
      </c>
      <c r="H912" s="79"/>
      <c r="I912" s="79"/>
      <c r="J912" s="79">
        <v>62.638330000000003</v>
      </c>
      <c r="K912" s="79">
        <v>76.231960000000001</v>
      </c>
      <c r="L912" s="79"/>
      <c r="M912" s="79">
        <v>52.533589999999997</v>
      </c>
      <c r="N912" s="79">
        <v>71.194069999999996</v>
      </c>
      <c r="O912" s="79">
        <v>92.964669999999998</v>
      </c>
      <c r="P912" s="79">
        <v>102.4081</v>
      </c>
      <c r="Q912" s="79"/>
      <c r="R912" s="79">
        <v>75.83681</v>
      </c>
      <c r="S912" s="79">
        <v>93.10078</v>
      </c>
      <c r="T912" s="79">
        <v>103.4195</v>
      </c>
      <c r="U912" s="79">
        <v>121.8122</v>
      </c>
      <c r="V912" s="79">
        <v>34.307380000000002</v>
      </c>
      <c r="W912" s="79">
        <v>19.305969999999999</v>
      </c>
      <c r="X912" s="79"/>
      <c r="Y912" s="79">
        <v>55.332619999999999</v>
      </c>
      <c r="Z912" s="79">
        <v>115.3904</v>
      </c>
      <c r="AA912" s="79">
        <v>100.8017</v>
      </c>
      <c r="AB912" s="79">
        <v>30.219480000000001</v>
      </c>
      <c r="AC912" s="79">
        <v>74.039739999999995</v>
      </c>
      <c r="AD912" s="79"/>
      <c r="AE912" s="79">
        <v>76.944680000000005</v>
      </c>
      <c r="AF912" s="79">
        <v>80.144490000000005</v>
      </c>
      <c r="AG912" s="79">
        <v>106.8165</v>
      </c>
      <c r="AH912" s="79">
        <v>71.978679999999997</v>
      </c>
      <c r="AI912" s="79">
        <v>31.168420000000001</v>
      </c>
      <c r="AJ912" s="79">
        <v>103.9538</v>
      </c>
      <c r="AK912" s="79">
        <v>33.788649999999997</v>
      </c>
      <c r="AL912" s="79">
        <v>70.012990000000002</v>
      </c>
      <c r="AM912" s="79">
        <v>80.355429999999998</v>
      </c>
      <c r="AN912" s="79"/>
      <c r="AO912" s="79">
        <v>69.662199999999999</v>
      </c>
      <c r="AP912" s="79">
        <v>81.386439999999993</v>
      </c>
      <c r="AQ912" s="79"/>
      <c r="AR912" s="79"/>
      <c r="AS912" s="79"/>
      <c r="AT912" s="79">
        <v>29.586130000000001</v>
      </c>
      <c r="AU912" s="79"/>
      <c r="AV912" s="79">
        <v>60.359830000000002</v>
      </c>
      <c r="AW912" s="79"/>
      <c r="AX912" s="79">
        <v>34.697110000000002</v>
      </c>
      <c r="AY912" s="79">
        <v>79.230879999999999</v>
      </c>
    </row>
    <row r="913" spans="1:51" x14ac:dyDescent="0.2">
      <c r="A913" t="s">
        <v>1458</v>
      </c>
      <c r="B913" s="1">
        <v>34669</v>
      </c>
      <c r="C913" s="78">
        <v>913</v>
      </c>
      <c r="E913" s="1">
        <f t="shared" si="28"/>
        <v>34669</v>
      </c>
      <c r="F913" s="2">
        <f t="shared" si="29"/>
        <v>34669</v>
      </c>
      <c r="G913" s="78">
        <v>911</v>
      </c>
      <c r="H913" s="79"/>
      <c r="I913" s="79"/>
      <c r="J913" s="79">
        <v>57.084180000000003</v>
      </c>
      <c r="K913" s="79">
        <v>77.425529999999995</v>
      </c>
      <c r="L913" s="79"/>
      <c r="M913" s="79">
        <v>54.555840000000003</v>
      </c>
      <c r="N913" s="79">
        <v>71.194069999999996</v>
      </c>
      <c r="O913" s="79">
        <v>98.625280000000004</v>
      </c>
      <c r="P913" s="79">
        <v>105.3771</v>
      </c>
      <c r="Q913" s="79"/>
      <c r="R913" s="79">
        <v>76.440730000000002</v>
      </c>
      <c r="S913" s="79">
        <v>92.96078</v>
      </c>
      <c r="T913" s="79">
        <v>104.4937</v>
      </c>
      <c r="U913" s="79">
        <v>122.0883</v>
      </c>
      <c r="V913" s="79">
        <v>35.420679999999997</v>
      </c>
      <c r="W913" s="79">
        <v>20.375219999999999</v>
      </c>
      <c r="X913" s="79"/>
      <c r="Y913" s="79">
        <v>55.332619999999999</v>
      </c>
      <c r="Z913" s="79">
        <v>118.1901</v>
      </c>
      <c r="AA913" s="79">
        <v>101.5116</v>
      </c>
      <c r="AB913" s="79">
        <v>30.015499999999999</v>
      </c>
      <c r="AC913" s="79">
        <v>74.949749999999995</v>
      </c>
      <c r="AD913" s="79"/>
      <c r="AE913" s="79">
        <v>75.957080000000005</v>
      </c>
      <c r="AF913" s="79">
        <v>82.950630000000004</v>
      </c>
      <c r="AG913" s="79">
        <v>106.9258</v>
      </c>
      <c r="AH913" s="79">
        <v>72.534649999999999</v>
      </c>
      <c r="AI913" s="79">
        <v>32.773310000000002</v>
      </c>
      <c r="AJ913" s="79">
        <v>104.7188</v>
      </c>
      <c r="AK913" s="79">
        <v>35.759610000000002</v>
      </c>
      <c r="AL913" s="79">
        <v>69.856700000000004</v>
      </c>
      <c r="AM913" s="79">
        <v>80.861440000000002</v>
      </c>
      <c r="AN913" s="79"/>
      <c r="AO913" s="79">
        <v>70.393730000000005</v>
      </c>
      <c r="AP913" s="79">
        <v>82.286289999999994</v>
      </c>
      <c r="AQ913" s="79"/>
      <c r="AR913" s="79"/>
      <c r="AS913" s="79"/>
      <c r="AT913" s="79">
        <v>29.99916</v>
      </c>
      <c r="AU913" s="79"/>
      <c r="AV913" s="79">
        <v>60.708410000000001</v>
      </c>
      <c r="AW913" s="79"/>
      <c r="AX913" s="79">
        <v>33.997169999999997</v>
      </c>
      <c r="AY913" s="79">
        <v>83.576030000000003</v>
      </c>
    </row>
    <row r="914" spans="1:51" x14ac:dyDescent="0.2">
      <c r="A914" t="s">
        <v>1459</v>
      </c>
      <c r="B914" s="1">
        <v>34700</v>
      </c>
      <c r="C914" s="78">
        <v>914</v>
      </c>
      <c r="E914" s="1">
        <f t="shared" si="28"/>
        <v>34700</v>
      </c>
      <c r="F914" s="2">
        <f t="shared" si="29"/>
        <v>34700</v>
      </c>
      <c r="G914" s="78">
        <v>912</v>
      </c>
      <c r="H914" s="79"/>
      <c r="I914" s="79"/>
      <c r="J914" s="79">
        <v>62.790570000000002</v>
      </c>
      <c r="K914" s="79">
        <v>78.25197</v>
      </c>
      <c r="L914" s="79"/>
      <c r="M914" s="79">
        <v>58.140279999999997</v>
      </c>
      <c r="N914" s="79">
        <v>69.794179999999997</v>
      </c>
      <c r="O914" s="79">
        <v>97.210130000000007</v>
      </c>
      <c r="P914" s="79">
        <v>104.8301</v>
      </c>
      <c r="Q914" s="79"/>
      <c r="R914" s="79">
        <v>80.2</v>
      </c>
      <c r="S914" s="79">
        <v>93.630780000000001</v>
      </c>
      <c r="T914" s="79">
        <v>102.6382</v>
      </c>
      <c r="U914" s="79">
        <v>124.4307</v>
      </c>
      <c r="V914" s="79">
        <v>34.746839999999999</v>
      </c>
      <c r="W914" s="79">
        <v>19.959399999999999</v>
      </c>
      <c r="X914" s="79"/>
      <c r="Y914" s="79">
        <v>55.402659999999997</v>
      </c>
      <c r="Z914" s="79">
        <v>117.7902</v>
      </c>
      <c r="AA914" s="79">
        <v>99.483410000000006</v>
      </c>
      <c r="AB914" s="79">
        <v>30.681439999999998</v>
      </c>
      <c r="AC914" s="79">
        <v>74.463009999999997</v>
      </c>
      <c r="AD914" s="79"/>
      <c r="AE914" s="79">
        <v>74.433260000000004</v>
      </c>
      <c r="AF914" s="79">
        <v>85.007930000000002</v>
      </c>
      <c r="AG914" s="79">
        <v>105.6138</v>
      </c>
      <c r="AH914" s="79">
        <v>72.294110000000003</v>
      </c>
      <c r="AI914" s="79">
        <v>32.109220000000001</v>
      </c>
      <c r="AJ914" s="79">
        <v>105.11279999999999</v>
      </c>
      <c r="AK914" s="79">
        <v>33.209029999999998</v>
      </c>
      <c r="AL914" s="79">
        <v>73.372990000000001</v>
      </c>
      <c r="AM914" s="79">
        <v>82.075879999999998</v>
      </c>
      <c r="AN914" s="79"/>
      <c r="AO914" s="79">
        <v>70.522440000000003</v>
      </c>
      <c r="AP914" s="79">
        <v>81.686390000000003</v>
      </c>
      <c r="AQ914" s="79"/>
      <c r="AR914" s="79"/>
      <c r="AS914" s="79"/>
      <c r="AT914" s="79">
        <v>30.55564</v>
      </c>
      <c r="AU914" s="79"/>
      <c r="AV914" s="79">
        <v>60.169910000000002</v>
      </c>
      <c r="AW914" s="79"/>
      <c r="AX914" s="79">
        <v>34.497120000000002</v>
      </c>
      <c r="AY914" s="79">
        <v>82.224209999999999</v>
      </c>
    </row>
    <row r="915" spans="1:51" x14ac:dyDescent="0.2">
      <c r="A915" t="s">
        <v>1460</v>
      </c>
      <c r="B915" s="1">
        <v>34731</v>
      </c>
      <c r="C915" s="78">
        <v>915</v>
      </c>
      <c r="E915" s="1">
        <f t="shared" si="28"/>
        <v>34731</v>
      </c>
      <c r="F915" s="2">
        <f t="shared" si="29"/>
        <v>34731</v>
      </c>
      <c r="G915" s="78">
        <v>913</v>
      </c>
      <c r="H915" s="79"/>
      <c r="I915" s="79"/>
      <c r="J915" s="79">
        <v>63.955599999999997</v>
      </c>
      <c r="K915" s="79">
        <v>78.261750000000006</v>
      </c>
      <c r="L915" s="79"/>
      <c r="M915" s="79">
        <v>56.020670000000003</v>
      </c>
      <c r="N915" s="79">
        <v>70.7941</v>
      </c>
      <c r="O915" s="79">
        <v>94.488690000000005</v>
      </c>
      <c r="P915" s="79">
        <v>103.6361</v>
      </c>
      <c r="Q915" s="79"/>
      <c r="R915" s="79">
        <v>79</v>
      </c>
      <c r="S915" s="79">
        <v>93.000780000000006</v>
      </c>
      <c r="T915" s="79">
        <v>102.6382</v>
      </c>
      <c r="U915" s="79">
        <v>123.95740000000001</v>
      </c>
      <c r="V915" s="79">
        <v>34.86403</v>
      </c>
      <c r="W915" s="79">
        <v>20.612829999999999</v>
      </c>
      <c r="X915" s="79"/>
      <c r="Y915" s="79">
        <v>55.542740000000002</v>
      </c>
      <c r="Z915" s="79">
        <v>117.0902</v>
      </c>
      <c r="AA915" s="79">
        <v>100.9032</v>
      </c>
      <c r="AB915" s="79">
        <v>30.496459999999999</v>
      </c>
      <c r="AC915" s="79">
        <v>74.590360000000004</v>
      </c>
      <c r="AD915" s="79"/>
      <c r="AE915" s="79">
        <v>69.547960000000003</v>
      </c>
      <c r="AF915" s="79">
        <v>81.807180000000002</v>
      </c>
      <c r="AG915" s="79">
        <v>105.2859</v>
      </c>
      <c r="AH915" s="79">
        <v>72.181020000000004</v>
      </c>
      <c r="AI915" s="79">
        <v>32.81288</v>
      </c>
      <c r="AJ915" s="79">
        <v>106.26009999999999</v>
      </c>
      <c r="AK915" s="79">
        <v>34.783290000000001</v>
      </c>
      <c r="AL915" s="79">
        <v>73.138570000000001</v>
      </c>
      <c r="AM915" s="79">
        <v>82.278289999999998</v>
      </c>
      <c r="AN915" s="79"/>
      <c r="AO915" s="79">
        <v>70.407749999999993</v>
      </c>
      <c r="AP915" s="79">
        <v>81.886349999999993</v>
      </c>
      <c r="AQ915" s="79"/>
      <c r="AR915" s="79"/>
      <c r="AS915" s="79"/>
      <c r="AT915" s="79">
        <v>30.344760000000001</v>
      </c>
      <c r="AU915" s="79"/>
      <c r="AV915" s="79">
        <v>60.414180000000002</v>
      </c>
      <c r="AW915" s="79"/>
      <c r="AX915" s="79">
        <v>33.597200000000001</v>
      </c>
      <c r="AY915" s="79">
        <v>81.899410000000003</v>
      </c>
    </row>
    <row r="916" spans="1:51" x14ac:dyDescent="0.2">
      <c r="A916" t="s">
        <v>1461</v>
      </c>
      <c r="B916" s="1">
        <v>34759</v>
      </c>
      <c r="C916" s="78">
        <v>916</v>
      </c>
      <c r="E916" s="1">
        <f t="shared" si="28"/>
        <v>34759</v>
      </c>
      <c r="F916" s="2">
        <f t="shared" si="29"/>
        <v>34759</v>
      </c>
      <c r="G916" s="78">
        <v>914</v>
      </c>
      <c r="H916" s="79"/>
      <c r="I916" s="79"/>
      <c r="J916" s="79">
        <v>64.309889999999996</v>
      </c>
      <c r="K916" s="79">
        <v>77.70402</v>
      </c>
      <c r="L916" s="79"/>
      <c r="M916" s="79">
        <v>56.472839999999998</v>
      </c>
      <c r="N916" s="79">
        <v>69.994159999999994</v>
      </c>
      <c r="O916" s="79">
        <v>94.815250000000006</v>
      </c>
      <c r="P916" s="79">
        <v>103.5821</v>
      </c>
      <c r="Q916" s="79"/>
      <c r="R916" s="79">
        <v>78.7</v>
      </c>
      <c r="S916" s="79">
        <v>93.780779999999993</v>
      </c>
      <c r="T916" s="79">
        <v>103.0288</v>
      </c>
      <c r="U916" s="79">
        <v>123.4825</v>
      </c>
      <c r="V916" s="79">
        <v>35.01052</v>
      </c>
      <c r="W916" s="79">
        <v>21.147459999999999</v>
      </c>
      <c r="X916" s="79"/>
      <c r="Y916" s="79">
        <v>55.682830000000003</v>
      </c>
      <c r="Z916" s="79">
        <v>117.39019999999999</v>
      </c>
      <c r="AA916" s="79">
        <v>101.9173</v>
      </c>
      <c r="AB916" s="79">
        <v>31.420380000000002</v>
      </c>
      <c r="AC916" s="79">
        <v>73.961150000000004</v>
      </c>
      <c r="AD916" s="79"/>
      <c r="AE916" s="79">
        <v>68.907619999999994</v>
      </c>
      <c r="AF916" s="79">
        <v>82.84272</v>
      </c>
      <c r="AG916" s="79">
        <v>107.69110000000001</v>
      </c>
      <c r="AH916" s="79">
        <v>72.304150000000007</v>
      </c>
      <c r="AI916" s="79">
        <v>32.031689999999998</v>
      </c>
      <c r="AJ916" s="79">
        <v>100.7808</v>
      </c>
      <c r="AK916" s="79">
        <v>35.18656</v>
      </c>
      <c r="AL916" s="79">
        <v>70.481819999999999</v>
      </c>
      <c r="AM916" s="79">
        <v>83.59393</v>
      </c>
      <c r="AN916" s="79"/>
      <c r="AO916" s="79">
        <v>70.509180000000001</v>
      </c>
      <c r="AP916" s="79">
        <v>81.786370000000005</v>
      </c>
      <c r="AQ916" s="79"/>
      <c r="AR916" s="79"/>
      <c r="AS916" s="79"/>
      <c r="AT916" s="79">
        <v>30.559819999999998</v>
      </c>
      <c r="AU916" s="79"/>
      <c r="AV916" s="79">
        <v>58.055950000000003</v>
      </c>
      <c r="AW916" s="79"/>
      <c r="AX916" s="79">
        <v>33.497210000000003</v>
      </c>
      <c r="AY916" s="79">
        <v>81.899410000000003</v>
      </c>
    </row>
    <row r="917" spans="1:51" x14ac:dyDescent="0.2">
      <c r="A917" t="s">
        <v>1462</v>
      </c>
      <c r="B917" s="1">
        <v>34790</v>
      </c>
      <c r="C917" s="78">
        <v>917</v>
      </c>
      <c r="E917" s="1">
        <f t="shared" si="28"/>
        <v>34790</v>
      </c>
      <c r="F917" s="2">
        <f t="shared" si="29"/>
        <v>34790</v>
      </c>
      <c r="G917" s="78">
        <v>915</v>
      </c>
      <c r="H917" s="79"/>
      <c r="I917" s="79"/>
      <c r="J917" s="79">
        <v>63.163699999999999</v>
      </c>
      <c r="K917" s="79">
        <v>77.537430000000001</v>
      </c>
      <c r="L917" s="79"/>
      <c r="M917" s="79">
        <v>56.55847</v>
      </c>
      <c r="N917" s="79">
        <v>70.394130000000004</v>
      </c>
      <c r="O917" s="79">
        <v>94.924109999999999</v>
      </c>
      <c r="P917" s="79">
        <v>104.0581</v>
      </c>
      <c r="Q917" s="79"/>
      <c r="R917" s="79">
        <v>78.5</v>
      </c>
      <c r="S917" s="79">
        <v>93.820790000000002</v>
      </c>
      <c r="T917" s="79">
        <v>103.90779999999999</v>
      </c>
      <c r="U917" s="79">
        <v>122.6992</v>
      </c>
      <c r="V917" s="79">
        <v>35.01052</v>
      </c>
      <c r="W917" s="79">
        <v>21.503879999999999</v>
      </c>
      <c r="X917" s="79"/>
      <c r="Y917" s="79">
        <v>56.943570000000001</v>
      </c>
      <c r="Z917" s="79">
        <v>117.4902</v>
      </c>
      <c r="AA917" s="79">
        <v>103.13420000000001</v>
      </c>
      <c r="AB917" s="79">
        <v>31.513369999999998</v>
      </c>
      <c r="AC917" s="79">
        <v>74.786799999999999</v>
      </c>
      <c r="AD917" s="79"/>
      <c r="AE917" s="79">
        <v>68.326980000000006</v>
      </c>
      <c r="AF917" s="79">
        <v>81.618899999999996</v>
      </c>
      <c r="AG917" s="79">
        <v>107.9098</v>
      </c>
      <c r="AH917" s="79">
        <v>72.697069999999997</v>
      </c>
      <c r="AI917" s="79">
        <v>32.222180000000002</v>
      </c>
      <c r="AJ917" s="79">
        <v>110.04089999999999</v>
      </c>
      <c r="AK917" s="79">
        <v>36.328510000000001</v>
      </c>
      <c r="AL917" s="79">
        <v>69.466009999999997</v>
      </c>
      <c r="AM917" s="79">
        <v>84.201160000000002</v>
      </c>
      <c r="AN917" s="79"/>
      <c r="AO917" s="79">
        <v>70.464129999999997</v>
      </c>
      <c r="AP917" s="79">
        <v>82.086320000000001</v>
      </c>
      <c r="AQ917" s="79"/>
      <c r="AR917" s="79"/>
      <c r="AS917" s="79"/>
      <c r="AT917" s="79">
        <v>31.217690000000001</v>
      </c>
      <c r="AU917" s="79"/>
      <c r="AV917" s="79">
        <v>56.958970000000001</v>
      </c>
      <c r="AW917" s="79"/>
      <c r="AX917" s="79">
        <v>36.296970000000002</v>
      </c>
      <c r="AY917" s="79">
        <v>80.661709999999999</v>
      </c>
    </row>
    <row r="918" spans="1:51" x14ac:dyDescent="0.2">
      <c r="A918" t="s">
        <v>1463</v>
      </c>
      <c r="B918" s="1">
        <v>34820</v>
      </c>
      <c r="C918" s="78">
        <v>918</v>
      </c>
      <c r="E918" s="1">
        <f t="shared" si="28"/>
        <v>34820</v>
      </c>
      <c r="F918" s="2">
        <f t="shared" si="29"/>
        <v>34820</v>
      </c>
      <c r="G918" s="78">
        <v>916</v>
      </c>
      <c r="H918" s="79"/>
      <c r="I918" s="79"/>
      <c r="J918" s="79">
        <v>65.793210000000002</v>
      </c>
      <c r="K918" s="79">
        <v>77.459199999999996</v>
      </c>
      <c r="L918" s="79"/>
      <c r="M918" s="79">
        <v>55.854689999999998</v>
      </c>
      <c r="N918" s="79">
        <v>70.7941</v>
      </c>
      <c r="O918" s="79">
        <v>94.379819999999995</v>
      </c>
      <c r="P918" s="79">
        <v>105.02209999999999</v>
      </c>
      <c r="Q918" s="79"/>
      <c r="R918" s="79">
        <v>77.3</v>
      </c>
      <c r="S918" s="79">
        <v>93.360780000000005</v>
      </c>
      <c r="T918" s="79">
        <v>103.81010000000001</v>
      </c>
      <c r="U918" s="79">
        <v>121.96040000000001</v>
      </c>
      <c r="V918" s="79">
        <v>36.123820000000002</v>
      </c>
      <c r="W918" s="79">
        <v>22.157309999999999</v>
      </c>
      <c r="X918" s="79"/>
      <c r="Y918" s="79">
        <v>57.714019999999998</v>
      </c>
      <c r="Z918" s="79">
        <v>118.1901</v>
      </c>
      <c r="AA918" s="79">
        <v>101.4102</v>
      </c>
      <c r="AB918" s="79">
        <v>31.051410000000001</v>
      </c>
      <c r="AC918" s="79">
        <v>73.965130000000002</v>
      </c>
      <c r="AD918" s="79"/>
      <c r="AE918" s="79">
        <v>67.465069999999997</v>
      </c>
      <c r="AF918" s="79">
        <v>83.031000000000006</v>
      </c>
      <c r="AG918" s="79">
        <v>109.11239999999999</v>
      </c>
      <c r="AH918" s="79">
        <v>72.630459999999999</v>
      </c>
      <c r="AI918" s="79">
        <v>33.251269999999998</v>
      </c>
      <c r="AJ918" s="79">
        <v>106.6622</v>
      </c>
      <c r="AK918" s="79">
        <v>36.864649999999997</v>
      </c>
      <c r="AL918" s="79">
        <v>70.012990000000002</v>
      </c>
      <c r="AM918" s="79">
        <v>84.201160000000002</v>
      </c>
      <c r="AN918" s="79"/>
      <c r="AO918" s="79">
        <v>70.703490000000002</v>
      </c>
      <c r="AP918" s="79">
        <v>82.386269999999996</v>
      </c>
      <c r="AQ918" s="79"/>
      <c r="AR918" s="79"/>
      <c r="AS918" s="79"/>
      <c r="AT918" s="79">
        <v>30.960930000000001</v>
      </c>
      <c r="AU918" s="79"/>
      <c r="AV918" s="79">
        <v>59.547199999999997</v>
      </c>
      <c r="AW918" s="79"/>
      <c r="AX918" s="79">
        <v>35.997</v>
      </c>
      <c r="AY918" s="79">
        <v>71.620289999999997</v>
      </c>
    </row>
    <row r="919" spans="1:51" x14ac:dyDescent="0.2">
      <c r="A919" t="s">
        <v>1464</v>
      </c>
      <c r="B919" s="1">
        <v>34851</v>
      </c>
      <c r="C919" s="78">
        <v>919</v>
      </c>
      <c r="E919" s="1">
        <f t="shared" si="28"/>
        <v>34851</v>
      </c>
      <c r="F919" s="2">
        <f t="shared" si="29"/>
        <v>34851</v>
      </c>
      <c r="G919" s="78">
        <v>917</v>
      </c>
      <c r="H919" s="79"/>
      <c r="I919" s="79"/>
      <c r="J919" s="79">
        <v>65.192250000000001</v>
      </c>
      <c r="K919" s="79">
        <v>77.317229999999995</v>
      </c>
      <c r="L919" s="79"/>
      <c r="M919" s="79">
        <v>56.64537</v>
      </c>
      <c r="N919" s="79">
        <v>69.994159999999994</v>
      </c>
      <c r="O919" s="79">
        <v>93.182389999999998</v>
      </c>
      <c r="P919" s="79">
        <v>104.1801</v>
      </c>
      <c r="Q919" s="79"/>
      <c r="R919" s="79">
        <v>76.7</v>
      </c>
      <c r="S919" s="79">
        <v>93.970780000000005</v>
      </c>
      <c r="T919" s="79">
        <v>103.2242</v>
      </c>
      <c r="U919" s="79">
        <v>120.9953</v>
      </c>
      <c r="V919" s="79">
        <v>34.68824</v>
      </c>
      <c r="W919" s="79">
        <v>21.622679999999999</v>
      </c>
      <c r="X919" s="79"/>
      <c r="Y919" s="79">
        <v>56.453279999999999</v>
      </c>
      <c r="Z919" s="79">
        <v>117.9902</v>
      </c>
      <c r="AA919" s="79">
        <v>101.30880000000001</v>
      </c>
      <c r="AB919" s="79">
        <v>32.160319999999999</v>
      </c>
      <c r="AC919" s="79">
        <v>74.949889999999996</v>
      </c>
      <c r="AD919" s="79"/>
      <c r="AE919" s="79">
        <v>67.346879999999999</v>
      </c>
      <c r="AF919" s="79">
        <v>82.183750000000003</v>
      </c>
      <c r="AG919" s="79">
        <v>107.0351</v>
      </c>
      <c r="AH919" s="79">
        <v>72.668300000000002</v>
      </c>
      <c r="AI919" s="79">
        <v>33.227809999999998</v>
      </c>
      <c r="AJ919" s="79">
        <v>103.3199</v>
      </c>
      <c r="AK919" s="79">
        <v>36.905410000000003</v>
      </c>
      <c r="AL919" s="79">
        <v>74.466930000000005</v>
      </c>
      <c r="AM919" s="79">
        <v>84.504760000000005</v>
      </c>
      <c r="AN919" s="79"/>
      <c r="AO919" s="79">
        <v>70.943430000000006</v>
      </c>
      <c r="AP919" s="79">
        <v>81.986339999999998</v>
      </c>
      <c r="AQ919" s="79"/>
      <c r="AR919" s="79"/>
      <c r="AS919" s="79"/>
      <c r="AT919" s="79">
        <v>31.234110000000001</v>
      </c>
      <c r="AU919" s="79"/>
      <c r="AV919" s="79">
        <v>59.729660000000003</v>
      </c>
      <c r="AW919" s="79"/>
      <c r="AX919" s="79">
        <v>37.196899999999999</v>
      </c>
      <c r="AY919" s="79">
        <v>76.518460000000005</v>
      </c>
    </row>
    <row r="920" spans="1:51" x14ac:dyDescent="0.2">
      <c r="A920" t="s">
        <v>1465</v>
      </c>
      <c r="B920" s="1">
        <v>34881</v>
      </c>
      <c r="C920" s="78">
        <v>920</v>
      </c>
      <c r="E920" s="1">
        <f t="shared" si="28"/>
        <v>34881</v>
      </c>
      <c r="F920" s="2">
        <f t="shared" si="29"/>
        <v>34881</v>
      </c>
      <c r="G920" s="78">
        <v>918</v>
      </c>
      <c r="H920" s="79"/>
      <c r="I920" s="79"/>
      <c r="J920" s="79">
        <v>63.1477</v>
      </c>
      <c r="K920" s="79">
        <v>77.072770000000006</v>
      </c>
      <c r="L920" s="79"/>
      <c r="M920" s="79">
        <v>54.818010000000001</v>
      </c>
      <c r="N920" s="79">
        <v>69.794179999999997</v>
      </c>
      <c r="O920" s="79">
        <v>88.719220000000007</v>
      </c>
      <c r="P920" s="79">
        <v>103.48909999999999</v>
      </c>
      <c r="Q920" s="79"/>
      <c r="R920" s="79">
        <v>78</v>
      </c>
      <c r="S920" s="79">
        <v>94.410790000000006</v>
      </c>
      <c r="T920" s="79">
        <v>103.81010000000001</v>
      </c>
      <c r="U920" s="79">
        <v>121.23439999999999</v>
      </c>
      <c r="V920" s="79">
        <v>35.215600000000002</v>
      </c>
      <c r="W920" s="79">
        <v>22.632529999999999</v>
      </c>
      <c r="X920" s="79"/>
      <c r="Y920" s="79">
        <v>58.134270000000001</v>
      </c>
      <c r="Z920" s="79">
        <v>117.89019999999999</v>
      </c>
      <c r="AA920" s="79">
        <v>99.889049999999997</v>
      </c>
      <c r="AB920" s="79">
        <v>32.160319999999999</v>
      </c>
      <c r="AC920" s="79">
        <v>70.840029999999999</v>
      </c>
      <c r="AD920" s="79"/>
      <c r="AE920" s="79">
        <v>67.344309999999993</v>
      </c>
      <c r="AF920" s="79">
        <v>82.748580000000004</v>
      </c>
      <c r="AG920" s="79">
        <v>111.1897</v>
      </c>
      <c r="AH920" s="79">
        <v>72.484679999999997</v>
      </c>
      <c r="AI920" s="79">
        <v>33.845759999999999</v>
      </c>
      <c r="AJ920" s="79">
        <v>109.88460000000001</v>
      </c>
      <c r="AK920" s="79">
        <v>36.957169999999998</v>
      </c>
      <c r="AL920" s="79">
        <v>70.012990000000002</v>
      </c>
      <c r="AM920" s="79">
        <v>84.504760000000005</v>
      </c>
      <c r="AN920" s="79"/>
      <c r="AO920" s="79">
        <v>70.661230000000003</v>
      </c>
      <c r="AP920" s="79">
        <v>81.986339999999998</v>
      </c>
      <c r="AQ920" s="79"/>
      <c r="AR920" s="79"/>
      <c r="AS920" s="79"/>
      <c r="AT920" s="79">
        <v>31.981580000000001</v>
      </c>
      <c r="AU920" s="79"/>
      <c r="AV920" s="79">
        <v>59.955629999999999</v>
      </c>
      <c r="AW920" s="79"/>
      <c r="AX920" s="79">
        <v>37.196899999999999</v>
      </c>
      <c r="AY920" s="79">
        <v>74.622389999999996</v>
      </c>
    </row>
    <row r="921" spans="1:51" x14ac:dyDescent="0.2">
      <c r="A921" t="s">
        <v>1466</v>
      </c>
      <c r="B921" s="1">
        <v>34912</v>
      </c>
      <c r="C921" s="78">
        <v>921</v>
      </c>
      <c r="E921" s="1">
        <f t="shared" si="28"/>
        <v>34912</v>
      </c>
      <c r="F921" s="2">
        <f t="shared" si="29"/>
        <v>34912</v>
      </c>
      <c r="G921" s="78">
        <v>919</v>
      </c>
      <c r="H921" s="79"/>
      <c r="I921" s="79"/>
      <c r="J921" s="79">
        <v>64.27628</v>
      </c>
      <c r="K921" s="79">
        <v>77.243709999999993</v>
      </c>
      <c r="L921" s="79"/>
      <c r="M921" s="79">
        <v>56.946179999999998</v>
      </c>
      <c r="N921" s="79">
        <v>68.994249999999994</v>
      </c>
      <c r="O921" s="79">
        <v>91.222949999999997</v>
      </c>
      <c r="P921" s="79">
        <v>103.3561</v>
      </c>
      <c r="Q921" s="79"/>
      <c r="R921" s="79">
        <v>78.400000000000006</v>
      </c>
      <c r="S921" s="79">
        <v>93.840779999999995</v>
      </c>
      <c r="T921" s="79">
        <v>104.00539999999999</v>
      </c>
      <c r="U921" s="79">
        <v>122.0381</v>
      </c>
      <c r="V921" s="79">
        <v>35.47927</v>
      </c>
      <c r="W921" s="79">
        <v>23.167159999999999</v>
      </c>
      <c r="X921" s="79"/>
      <c r="Y921" s="79">
        <v>58.484479999999998</v>
      </c>
      <c r="Z921" s="79">
        <v>119.99</v>
      </c>
      <c r="AA921" s="79">
        <v>101.4102</v>
      </c>
      <c r="AB921" s="79">
        <v>32.345309999999998</v>
      </c>
      <c r="AC921" s="79">
        <v>78.213719999999995</v>
      </c>
      <c r="AD921" s="79"/>
      <c r="AE921" s="79">
        <v>67.833380000000005</v>
      </c>
      <c r="AF921" s="79">
        <v>83.972399999999993</v>
      </c>
      <c r="AG921" s="79">
        <v>108.6751</v>
      </c>
      <c r="AH921" s="79">
        <v>73.051349999999999</v>
      </c>
      <c r="AI921" s="79">
        <v>33.435310000000001</v>
      </c>
      <c r="AJ921" s="79">
        <v>110.3184</v>
      </c>
      <c r="AK921" s="79">
        <v>37.450229999999998</v>
      </c>
      <c r="AL921" s="79">
        <v>67.668800000000005</v>
      </c>
      <c r="AM921" s="79">
        <v>84.605959999999996</v>
      </c>
      <c r="AN921" s="79"/>
      <c r="AO921" s="79">
        <v>71.553150000000002</v>
      </c>
      <c r="AP921" s="79">
        <v>81.986339999999998</v>
      </c>
      <c r="AQ921" s="79"/>
      <c r="AR921" s="79"/>
      <c r="AS921" s="79"/>
      <c r="AT921" s="79">
        <v>32.067529999999998</v>
      </c>
      <c r="AU921" s="79"/>
      <c r="AV921" s="79">
        <v>59.456299999999999</v>
      </c>
      <c r="AW921" s="79"/>
      <c r="AX921" s="79">
        <v>37.796849999999999</v>
      </c>
      <c r="AY921" s="79">
        <v>72.919439999999994</v>
      </c>
    </row>
    <row r="922" spans="1:51" x14ac:dyDescent="0.2">
      <c r="A922" t="s">
        <v>1467</v>
      </c>
      <c r="B922" s="1">
        <v>34943</v>
      </c>
      <c r="C922" s="78">
        <v>922</v>
      </c>
      <c r="E922" s="1">
        <f t="shared" si="28"/>
        <v>34943</v>
      </c>
      <c r="F922" s="2">
        <f t="shared" si="29"/>
        <v>34943</v>
      </c>
      <c r="G922" s="78">
        <v>920</v>
      </c>
      <c r="H922" s="79"/>
      <c r="I922" s="79"/>
      <c r="J922" s="79">
        <v>63.321689999999997</v>
      </c>
      <c r="K922" s="79">
        <v>76.999250000000004</v>
      </c>
      <c r="L922" s="79"/>
      <c r="M922" s="79">
        <v>56.315689999999996</v>
      </c>
      <c r="N922" s="79">
        <v>70.394130000000004</v>
      </c>
      <c r="O922" s="79">
        <v>91.767229999999998</v>
      </c>
      <c r="P922" s="79">
        <v>104.01009999999999</v>
      </c>
      <c r="Q922" s="79"/>
      <c r="R922" s="79">
        <v>76.3</v>
      </c>
      <c r="S922" s="79">
        <v>93.980779999999996</v>
      </c>
      <c r="T922" s="79">
        <v>104.2984</v>
      </c>
      <c r="U922" s="79">
        <v>122.7491</v>
      </c>
      <c r="V922" s="79">
        <v>35.362090000000002</v>
      </c>
      <c r="W922" s="79">
        <v>23.048349999999999</v>
      </c>
      <c r="X922" s="79"/>
      <c r="Y922" s="79">
        <v>57.994190000000003</v>
      </c>
      <c r="Z922" s="79">
        <v>119.1901</v>
      </c>
      <c r="AA922" s="79">
        <v>99.787639999999996</v>
      </c>
      <c r="AB922" s="79">
        <v>32.067329999999998</v>
      </c>
      <c r="AC922" s="79">
        <v>76.247990000000001</v>
      </c>
      <c r="AD922" s="79"/>
      <c r="AE922" s="79">
        <v>68.526200000000003</v>
      </c>
      <c r="AF922" s="79">
        <v>84.066540000000003</v>
      </c>
      <c r="AG922" s="79">
        <v>111.7364</v>
      </c>
      <c r="AH922" s="79">
        <v>73.008409999999998</v>
      </c>
      <c r="AI922" s="79">
        <v>33.958240000000004</v>
      </c>
      <c r="AJ922" s="79">
        <v>107.6935</v>
      </c>
      <c r="AK922" s="79">
        <v>37.204529999999998</v>
      </c>
      <c r="AL922" s="79">
        <v>69.075310000000002</v>
      </c>
      <c r="AM922" s="79">
        <v>84.201160000000002</v>
      </c>
      <c r="AN922" s="79"/>
      <c r="AO922" s="79">
        <v>71.840069999999997</v>
      </c>
      <c r="AP922" s="79">
        <v>82.386269999999996</v>
      </c>
      <c r="AQ922" s="79"/>
      <c r="AR922" s="79"/>
      <c r="AS922" s="79"/>
      <c r="AT922" s="79">
        <v>33.276850000000003</v>
      </c>
      <c r="AU922" s="79"/>
      <c r="AV922" s="79">
        <v>58.987749999999998</v>
      </c>
      <c r="AW922" s="79"/>
      <c r="AX922" s="79">
        <v>36.096989999999998</v>
      </c>
      <c r="AY922" s="79">
        <v>73.577799999999996</v>
      </c>
    </row>
    <row r="923" spans="1:51" x14ac:dyDescent="0.2">
      <c r="A923" t="s">
        <v>1468</v>
      </c>
      <c r="B923" s="1">
        <v>34973</v>
      </c>
      <c r="C923" s="78">
        <v>923</v>
      </c>
      <c r="E923" s="1">
        <f t="shared" si="28"/>
        <v>34973</v>
      </c>
      <c r="F923" s="2">
        <f t="shared" si="29"/>
        <v>34973</v>
      </c>
      <c r="G923" s="78">
        <v>921</v>
      </c>
      <c r="H923" s="79"/>
      <c r="I923" s="79"/>
      <c r="J923" s="79">
        <v>64.390919999999994</v>
      </c>
      <c r="K923" s="79">
        <v>76.960139999999996</v>
      </c>
      <c r="L923" s="79"/>
      <c r="M923" s="79">
        <v>57.589179999999999</v>
      </c>
      <c r="N923" s="79">
        <v>68.594279999999998</v>
      </c>
      <c r="O923" s="79">
        <v>93.508960000000002</v>
      </c>
      <c r="P923" s="79">
        <v>102.5911</v>
      </c>
      <c r="Q923" s="79"/>
      <c r="R923" s="79">
        <v>75.599999999999994</v>
      </c>
      <c r="S923" s="79">
        <v>92.170770000000005</v>
      </c>
      <c r="T923" s="79">
        <v>103.90779999999999</v>
      </c>
      <c r="U923" s="79">
        <v>123.8819</v>
      </c>
      <c r="V923" s="79">
        <v>35.303489999999996</v>
      </c>
      <c r="W923" s="79">
        <v>23.701789999999999</v>
      </c>
      <c r="X923" s="79"/>
      <c r="Y923" s="79">
        <v>58.414439999999999</v>
      </c>
      <c r="Z923" s="79">
        <v>119.99</v>
      </c>
      <c r="AA923" s="79">
        <v>101.30880000000001</v>
      </c>
      <c r="AB923" s="79">
        <v>32.252310000000001</v>
      </c>
      <c r="AC923" s="79">
        <v>76.444710000000001</v>
      </c>
      <c r="AD923" s="79"/>
      <c r="AE923" s="79">
        <v>64.703609999999998</v>
      </c>
      <c r="AF923" s="79">
        <v>84.066540000000003</v>
      </c>
      <c r="AG923" s="79">
        <v>111.0804</v>
      </c>
      <c r="AH923" s="79">
        <v>72.757900000000006</v>
      </c>
      <c r="AI923" s="79">
        <v>33.681489999999997</v>
      </c>
      <c r="AJ923" s="79">
        <v>114.26439999999999</v>
      </c>
      <c r="AK923" s="79">
        <v>37.408949999999997</v>
      </c>
      <c r="AL923" s="79">
        <v>66.574839999999995</v>
      </c>
      <c r="AM923" s="79">
        <v>84.909580000000005</v>
      </c>
      <c r="AN923" s="79"/>
      <c r="AO923" s="79">
        <v>71.751689999999996</v>
      </c>
      <c r="AP923" s="79">
        <v>81.386439999999993</v>
      </c>
      <c r="AQ923" s="79"/>
      <c r="AR923" s="79"/>
      <c r="AS923" s="79"/>
      <c r="AT923" s="79">
        <v>32.378230000000002</v>
      </c>
      <c r="AU923" s="79"/>
      <c r="AV923" s="79">
        <v>58.339500000000001</v>
      </c>
      <c r="AW923" s="79"/>
      <c r="AX923" s="79">
        <v>35.097079999999998</v>
      </c>
      <c r="AY923" s="79">
        <v>74.517049999999998</v>
      </c>
    </row>
    <row r="924" spans="1:51" x14ac:dyDescent="0.2">
      <c r="A924" t="s">
        <v>1469</v>
      </c>
      <c r="B924" s="1">
        <v>35004</v>
      </c>
      <c r="C924" s="78">
        <v>924</v>
      </c>
      <c r="E924" s="1">
        <f t="shared" si="28"/>
        <v>35004</v>
      </c>
      <c r="F924" s="2">
        <f t="shared" si="29"/>
        <v>35004</v>
      </c>
      <c r="G924" s="78">
        <v>922</v>
      </c>
      <c r="H924" s="79"/>
      <c r="I924" s="79"/>
      <c r="J924" s="79">
        <v>64.071510000000004</v>
      </c>
      <c r="K924" s="79">
        <v>77.155709999999999</v>
      </c>
      <c r="L924" s="79"/>
      <c r="M924" s="79">
        <v>58.198749999999997</v>
      </c>
      <c r="N924" s="79">
        <v>68.994249999999994</v>
      </c>
      <c r="O924" s="79">
        <v>95.903829999999999</v>
      </c>
      <c r="P924" s="79">
        <v>103.48309999999999</v>
      </c>
      <c r="Q924" s="79"/>
      <c r="R924" s="79">
        <v>75.7</v>
      </c>
      <c r="S924" s="79">
        <v>92.130769999999998</v>
      </c>
      <c r="T924" s="79">
        <v>104.4937</v>
      </c>
      <c r="U924" s="79">
        <v>122.7861</v>
      </c>
      <c r="V924" s="79">
        <v>34.42456</v>
      </c>
      <c r="W924" s="79">
        <v>23.582979999999999</v>
      </c>
      <c r="X924" s="79"/>
      <c r="Y924" s="79">
        <v>58.344389999999997</v>
      </c>
      <c r="Z924" s="79">
        <v>119.99</v>
      </c>
      <c r="AA924" s="79">
        <v>102.12009999999999</v>
      </c>
      <c r="AB924" s="79">
        <v>32.4373</v>
      </c>
      <c r="AC924" s="79">
        <v>74.762349999999998</v>
      </c>
      <c r="AD924" s="79"/>
      <c r="AE924" s="79">
        <v>69.358279999999993</v>
      </c>
      <c r="AF924" s="79">
        <v>84.254810000000006</v>
      </c>
      <c r="AG924" s="79">
        <v>112.8297</v>
      </c>
      <c r="AH924" s="79">
        <v>73.412530000000004</v>
      </c>
      <c r="AI924" s="79">
        <v>34.927950000000003</v>
      </c>
      <c r="AJ924" s="79">
        <v>110.1782</v>
      </c>
      <c r="AK924" s="79">
        <v>37.265300000000003</v>
      </c>
      <c r="AL924" s="79">
        <v>68.76276</v>
      </c>
      <c r="AM924" s="79">
        <v>85.010779999999997</v>
      </c>
      <c r="AN924" s="79"/>
      <c r="AO924" s="79">
        <v>71.932270000000003</v>
      </c>
      <c r="AP924" s="79">
        <v>81.686390000000003</v>
      </c>
      <c r="AQ924" s="79"/>
      <c r="AR924" s="79"/>
      <c r="AS924" s="79"/>
      <c r="AT924" s="79">
        <v>33.190240000000003</v>
      </c>
      <c r="AU924" s="79"/>
      <c r="AV924" s="79">
        <v>56.753740000000001</v>
      </c>
      <c r="AW924" s="79"/>
      <c r="AX924" s="79">
        <v>38.596780000000003</v>
      </c>
      <c r="AY924" s="79">
        <v>74.999849999999995</v>
      </c>
    </row>
    <row r="925" spans="1:51" x14ac:dyDescent="0.2">
      <c r="A925" t="s">
        <v>1470</v>
      </c>
      <c r="B925" s="1">
        <v>35034</v>
      </c>
      <c r="C925" s="78">
        <v>925</v>
      </c>
      <c r="E925" s="1">
        <f t="shared" si="28"/>
        <v>35034</v>
      </c>
      <c r="F925" s="2">
        <f t="shared" si="29"/>
        <v>35034</v>
      </c>
      <c r="G925" s="78">
        <v>923</v>
      </c>
      <c r="H925" s="79"/>
      <c r="I925" s="79"/>
      <c r="J925" s="79">
        <v>64.028080000000003</v>
      </c>
      <c r="K925" s="79">
        <v>76.793549999999996</v>
      </c>
      <c r="L925" s="79"/>
      <c r="M925" s="79">
        <v>56.968640000000001</v>
      </c>
      <c r="N925" s="79">
        <v>68.994249999999994</v>
      </c>
      <c r="O925" s="79">
        <v>99.27843</v>
      </c>
      <c r="P925" s="79">
        <v>104.80410000000001</v>
      </c>
      <c r="Q925" s="79"/>
      <c r="R925" s="79">
        <v>76.599999999999994</v>
      </c>
      <c r="S925" s="79">
        <v>94.090779999999995</v>
      </c>
      <c r="T925" s="79">
        <v>105.0797</v>
      </c>
      <c r="U925" s="79">
        <v>124.90519999999999</v>
      </c>
      <c r="V925" s="79">
        <v>35.449979999999996</v>
      </c>
      <c r="W925" s="79">
        <v>24.355219999999999</v>
      </c>
      <c r="X925" s="79"/>
      <c r="Y925" s="79">
        <v>59.605139999999999</v>
      </c>
      <c r="Z925" s="79">
        <v>121.9898</v>
      </c>
      <c r="AA925" s="79">
        <v>103.4384</v>
      </c>
      <c r="AB925" s="79">
        <v>33.17624</v>
      </c>
      <c r="AC925" s="79">
        <v>74.658720000000002</v>
      </c>
      <c r="AD925" s="79"/>
      <c r="AE925" s="79">
        <v>73.447429999999997</v>
      </c>
      <c r="AF925" s="79">
        <v>86.514160000000004</v>
      </c>
      <c r="AG925" s="79">
        <v>113.8137</v>
      </c>
      <c r="AH925" s="79">
        <v>74.164680000000004</v>
      </c>
      <c r="AI925" s="79">
        <v>34.607509999999998</v>
      </c>
      <c r="AJ925" s="79">
        <v>116.86539999999999</v>
      </c>
      <c r="AK925" s="79">
        <v>37.36768</v>
      </c>
      <c r="AL925" s="79">
        <v>67.434380000000004</v>
      </c>
      <c r="AM925" s="79">
        <v>83.998750000000001</v>
      </c>
      <c r="AN925" s="79"/>
      <c r="AO925" s="79">
        <v>72.206789999999998</v>
      </c>
      <c r="AP925" s="79">
        <v>82.686220000000006</v>
      </c>
      <c r="AQ925" s="79"/>
      <c r="AR925" s="79"/>
      <c r="AS925" s="79"/>
      <c r="AT925" s="79">
        <v>33.756529999999998</v>
      </c>
      <c r="AU925" s="79"/>
      <c r="AV925" s="79">
        <v>56.364939999999997</v>
      </c>
      <c r="AW925" s="79"/>
      <c r="AX925" s="79">
        <v>40.196649999999998</v>
      </c>
      <c r="AY925" s="79">
        <v>75.833759999999998</v>
      </c>
    </row>
    <row r="926" spans="1:51" x14ac:dyDescent="0.2">
      <c r="A926" t="s">
        <v>1471</v>
      </c>
      <c r="B926" s="1">
        <v>35065</v>
      </c>
      <c r="C926" s="78">
        <v>926</v>
      </c>
      <c r="E926" s="1">
        <f t="shared" si="28"/>
        <v>35065</v>
      </c>
      <c r="F926" s="2">
        <f t="shared" si="29"/>
        <v>35065</v>
      </c>
      <c r="G926" s="78">
        <v>924</v>
      </c>
      <c r="H926" s="79"/>
      <c r="I926" s="79"/>
      <c r="J926" s="79">
        <v>63.95581</v>
      </c>
      <c r="K926" s="79">
        <v>77.542500000000004</v>
      </c>
      <c r="L926" s="79"/>
      <c r="M926" s="79">
        <v>59.416710000000002</v>
      </c>
      <c r="N926" s="79">
        <v>69.294229999999999</v>
      </c>
      <c r="O926" s="79">
        <v>89.698939999999993</v>
      </c>
      <c r="P926" s="79">
        <v>100.6371</v>
      </c>
      <c r="Q926" s="79"/>
      <c r="R926" s="79">
        <v>76.8</v>
      </c>
      <c r="S926" s="79">
        <v>93.260779999999997</v>
      </c>
      <c r="T926" s="79">
        <v>104.59139999999999</v>
      </c>
      <c r="U926" s="79">
        <v>123.2899</v>
      </c>
      <c r="V926" s="79">
        <v>35.156999999999996</v>
      </c>
      <c r="W926" s="79">
        <v>23.879989999999999</v>
      </c>
      <c r="X926" s="79"/>
      <c r="Y926" s="79">
        <v>59.254930000000002</v>
      </c>
      <c r="Z926" s="79">
        <v>120.19</v>
      </c>
      <c r="AA926" s="79">
        <v>101.9173</v>
      </c>
      <c r="AB926" s="79">
        <v>33.084240000000001</v>
      </c>
      <c r="AC926" s="79">
        <v>75.050619999999995</v>
      </c>
      <c r="AD926" s="79"/>
      <c r="AE926" s="79">
        <v>75.066379999999995</v>
      </c>
      <c r="AF926" s="79">
        <v>85.478620000000006</v>
      </c>
      <c r="AG926" s="79">
        <v>114.907</v>
      </c>
      <c r="AH926" s="79">
        <v>73.645099999999999</v>
      </c>
      <c r="AI926" s="79">
        <v>35.004950000000001</v>
      </c>
      <c r="AJ926" s="79">
        <v>112.53230000000001</v>
      </c>
      <c r="AK926" s="79">
        <v>36.710729999999998</v>
      </c>
      <c r="AL926" s="79">
        <v>68.76276</v>
      </c>
      <c r="AM926" s="79">
        <v>84.201160000000002</v>
      </c>
      <c r="AN926" s="79"/>
      <c r="AO926" s="79">
        <v>71.734790000000004</v>
      </c>
      <c r="AP926" s="79">
        <v>81.886349999999993</v>
      </c>
      <c r="AQ926" s="79"/>
      <c r="AR926" s="79"/>
      <c r="AS926" s="79"/>
      <c r="AT926" s="79">
        <v>34.136189999999999</v>
      </c>
      <c r="AU926" s="79"/>
      <c r="AV926" s="79">
        <v>56.456910000000001</v>
      </c>
      <c r="AW926" s="79"/>
      <c r="AX926" s="79">
        <v>38.89676</v>
      </c>
      <c r="AY926" s="79">
        <v>74.955960000000005</v>
      </c>
    </row>
    <row r="927" spans="1:51" x14ac:dyDescent="0.2">
      <c r="A927" t="s">
        <v>1472</v>
      </c>
      <c r="B927" s="1">
        <v>35096</v>
      </c>
      <c r="C927" s="78">
        <v>927</v>
      </c>
      <c r="E927" s="1">
        <f t="shared" si="28"/>
        <v>35096</v>
      </c>
      <c r="F927" s="2">
        <f t="shared" si="29"/>
        <v>35096</v>
      </c>
      <c r="G927" s="78">
        <v>925</v>
      </c>
      <c r="H927" s="79"/>
      <c r="I927" s="79"/>
      <c r="J927" s="79">
        <v>63.03745</v>
      </c>
      <c r="K927" s="79">
        <v>77.522940000000006</v>
      </c>
      <c r="L927" s="79"/>
      <c r="M927" s="79">
        <v>60.184730000000002</v>
      </c>
      <c r="N927" s="79">
        <v>68.694270000000003</v>
      </c>
      <c r="O927" s="79">
        <v>94.706400000000002</v>
      </c>
      <c r="P927" s="79">
        <v>101.0111</v>
      </c>
      <c r="Q927" s="79"/>
      <c r="R927" s="79">
        <v>77.900000000000006</v>
      </c>
      <c r="S927" s="79">
        <v>93.530779999999993</v>
      </c>
      <c r="T927" s="79">
        <v>105.37260000000001</v>
      </c>
      <c r="U927" s="79">
        <v>122.6694</v>
      </c>
      <c r="V927" s="79">
        <v>35.537869999999998</v>
      </c>
      <c r="W927" s="79">
        <v>22.929549999999999</v>
      </c>
      <c r="X927" s="79"/>
      <c r="Y927" s="79">
        <v>59.675179999999997</v>
      </c>
      <c r="Z927" s="79">
        <v>118.8901</v>
      </c>
      <c r="AA927" s="79">
        <v>101.8158</v>
      </c>
      <c r="AB927" s="79">
        <v>33.823180000000001</v>
      </c>
      <c r="AC927" s="79">
        <v>73.338130000000007</v>
      </c>
      <c r="AD927" s="79"/>
      <c r="AE927" s="79">
        <v>74.742360000000005</v>
      </c>
      <c r="AF927" s="79">
        <v>85.761039999999994</v>
      </c>
      <c r="AG927" s="79">
        <v>118.7336</v>
      </c>
      <c r="AH927" s="79">
        <v>73.95702</v>
      </c>
      <c r="AI927" s="79">
        <v>34.540059999999997</v>
      </c>
      <c r="AJ927" s="79">
        <v>112.4423</v>
      </c>
      <c r="AK927" s="79">
        <v>36.520220000000002</v>
      </c>
      <c r="AL927" s="79">
        <v>67.434380000000004</v>
      </c>
      <c r="AM927" s="79">
        <v>84.909580000000005</v>
      </c>
      <c r="AN927" s="79"/>
      <c r="AO927" s="79">
        <v>72.839659999999995</v>
      </c>
      <c r="AP927" s="79">
        <v>81.586399999999998</v>
      </c>
      <c r="AQ927" s="79"/>
      <c r="AR927" s="79"/>
      <c r="AS927" s="79"/>
      <c r="AT927" s="79">
        <v>33.492660000000001</v>
      </c>
      <c r="AU927" s="79"/>
      <c r="AV927" s="79">
        <v>55.578530000000001</v>
      </c>
      <c r="AW927" s="79"/>
      <c r="AX927" s="79">
        <v>36.196980000000003</v>
      </c>
      <c r="AY927" s="79">
        <v>74.560940000000002</v>
      </c>
    </row>
    <row r="928" spans="1:51" x14ac:dyDescent="0.2">
      <c r="A928" t="s">
        <v>1473</v>
      </c>
      <c r="B928" s="1">
        <v>35125</v>
      </c>
      <c r="C928" s="78">
        <v>928</v>
      </c>
      <c r="E928" s="1">
        <f t="shared" si="28"/>
        <v>35125</v>
      </c>
      <c r="F928" s="2">
        <f t="shared" si="29"/>
        <v>35125</v>
      </c>
      <c r="G928" s="78">
        <v>926</v>
      </c>
      <c r="H928" s="79"/>
      <c r="I928" s="79"/>
      <c r="J928" s="79">
        <v>63.046280000000003</v>
      </c>
      <c r="K928" s="79">
        <v>77.033659999999998</v>
      </c>
      <c r="L928" s="79"/>
      <c r="M928" s="79">
        <v>58.685519999999997</v>
      </c>
      <c r="N928" s="79">
        <v>68.794269999999997</v>
      </c>
      <c r="O928" s="79">
        <v>96.121549999999999</v>
      </c>
      <c r="P928" s="79">
        <v>101.8891</v>
      </c>
      <c r="Q928" s="79"/>
      <c r="R928" s="79">
        <v>76.8</v>
      </c>
      <c r="S928" s="79">
        <v>94.180790000000002</v>
      </c>
      <c r="T928" s="79">
        <v>105.47029999999999</v>
      </c>
      <c r="U928" s="79">
        <v>123.13890000000001</v>
      </c>
      <c r="V928" s="79">
        <v>36.094520000000003</v>
      </c>
      <c r="W928" s="79">
        <v>23.226559999999999</v>
      </c>
      <c r="X928" s="79"/>
      <c r="Y928" s="79">
        <v>60.025390000000002</v>
      </c>
      <c r="Z928" s="79">
        <v>117.6902</v>
      </c>
      <c r="AA928" s="79">
        <v>101.7144</v>
      </c>
      <c r="AB928" s="79">
        <v>33.823180000000001</v>
      </c>
      <c r="AC928" s="79">
        <v>78.81944</v>
      </c>
      <c r="AD928" s="79"/>
      <c r="AE928" s="79">
        <v>75.250309999999999</v>
      </c>
      <c r="AF928" s="79">
        <v>86.890720000000002</v>
      </c>
      <c r="AG928" s="79">
        <v>113.595</v>
      </c>
      <c r="AH928" s="79">
        <v>73.953400000000002</v>
      </c>
      <c r="AI928" s="79">
        <v>35.861370000000001</v>
      </c>
      <c r="AJ928" s="79">
        <v>113.1797</v>
      </c>
      <c r="AK928" s="79">
        <v>36.320239999999998</v>
      </c>
      <c r="AL928" s="79">
        <v>68.606480000000005</v>
      </c>
      <c r="AM928" s="79">
        <v>83.391530000000003</v>
      </c>
      <c r="AN928" s="79"/>
      <c r="AO928" s="79">
        <v>72.771180000000001</v>
      </c>
      <c r="AP928" s="79">
        <v>81.586399999999998</v>
      </c>
      <c r="AQ928" s="79"/>
      <c r="AR928" s="79"/>
      <c r="AS928" s="79"/>
      <c r="AT928" s="79">
        <v>34.961820000000003</v>
      </c>
      <c r="AU928" s="79"/>
      <c r="AV928" s="79">
        <v>56.274380000000001</v>
      </c>
      <c r="AW928" s="79"/>
      <c r="AX928" s="79">
        <v>36.296970000000002</v>
      </c>
      <c r="AY928" s="79">
        <v>74.438050000000004</v>
      </c>
    </row>
    <row r="929" spans="1:51" x14ac:dyDescent="0.2">
      <c r="A929" t="s">
        <v>1474</v>
      </c>
      <c r="B929" s="1">
        <v>35156</v>
      </c>
      <c r="C929" s="78">
        <v>929</v>
      </c>
      <c r="E929" s="1">
        <f t="shared" si="28"/>
        <v>35156</v>
      </c>
      <c r="F929" s="2">
        <f t="shared" si="29"/>
        <v>35156</v>
      </c>
      <c r="G929" s="78">
        <v>927</v>
      </c>
      <c r="H929" s="79"/>
      <c r="I929" s="79"/>
      <c r="J929" s="79">
        <v>64.601730000000003</v>
      </c>
      <c r="K929" s="79">
        <v>77.424800000000005</v>
      </c>
      <c r="L929" s="79"/>
      <c r="M929" s="79">
        <v>56.79007</v>
      </c>
      <c r="N929" s="79">
        <v>68.794269999999997</v>
      </c>
      <c r="O929" s="79">
        <v>98.29871</v>
      </c>
      <c r="P929" s="79">
        <v>100.3831</v>
      </c>
      <c r="Q929" s="79"/>
      <c r="R929" s="79">
        <v>75.7</v>
      </c>
      <c r="S929" s="79">
        <v>93.260779999999997</v>
      </c>
      <c r="T929" s="79">
        <v>104.2007</v>
      </c>
      <c r="U929" s="79">
        <v>122.49079999999999</v>
      </c>
      <c r="V929" s="79">
        <v>35.244900000000001</v>
      </c>
      <c r="W929" s="79">
        <v>23.345369999999999</v>
      </c>
      <c r="X929" s="79"/>
      <c r="Y929" s="79">
        <v>60.025390000000002</v>
      </c>
      <c r="Z929" s="79">
        <v>116.3903</v>
      </c>
      <c r="AA929" s="79">
        <v>102.0187</v>
      </c>
      <c r="AB929" s="79">
        <v>34.8401</v>
      </c>
      <c r="AC929" s="79">
        <v>73.894400000000005</v>
      </c>
      <c r="AD929" s="79"/>
      <c r="AE929" s="79">
        <v>75.849559999999997</v>
      </c>
      <c r="AF929" s="79">
        <v>85.007930000000002</v>
      </c>
      <c r="AG929" s="79">
        <v>114.4697</v>
      </c>
      <c r="AH929" s="79">
        <v>74.162819999999996</v>
      </c>
      <c r="AI929" s="79">
        <v>35.832030000000003</v>
      </c>
      <c r="AJ929" s="79">
        <v>113.2389</v>
      </c>
      <c r="AK929" s="79">
        <v>36.038330000000002</v>
      </c>
      <c r="AL929" s="79">
        <v>75.013909999999996</v>
      </c>
      <c r="AM929" s="79">
        <v>83.391530000000003</v>
      </c>
      <c r="AN929" s="79"/>
      <c r="AO929" s="79">
        <v>73.436909999999997</v>
      </c>
      <c r="AP929" s="79">
        <v>80.986500000000007</v>
      </c>
      <c r="AQ929" s="79"/>
      <c r="AR929" s="79"/>
      <c r="AS929" s="79"/>
      <c r="AT929" s="79">
        <v>34.582189999999997</v>
      </c>
      <c r="AU929" s="79"/>
      <c r="AV929" s="79">
        <v>56.603929999999998</v>
      </c>
      <c r="AW929" s="79"/>
      <c r="AX929" s="79">
        <v>37.896839999999997</v>
      </c>
      <c r="AY929" s="79">
        <v>76.378010000000003</v>
      </c>
    </row>
    <row r="930" spans="1:51" x14ac:dyDescent="0.2">
      <c r="A930" t="s">
        <v>1475</v>
      </c>
      <c r="B930" s="1">
        <v>35186</v>
      </c>
      <c r="C930" s="78">
        <v>930</v>
      </c>
      <c r="E930" s="1">
        <f t="shared" si="28"/>
        <v>35186</v>
      </c>
      <c r="F930" s="2">
        <f t="shared" si="29"/>
        <v>35186</v>
      </c>
      <c r="G930" s="78">
        <v>928</v>
      </c>
      <c r="H930" s="79"/>
      <c r="I930" s="79"/>
      <c r="J930" s="79">
        <v>64.538489999999996</v>
      </c>
      <c r="K930" s="79">
        <v>77.816289999999995</v>
      </c>
      <c r="L930" s="79"/>
      <c r="M930" s="79">
        <v>56.646889999999999</v>
      </c>
      <c r="N930" s="79">
        <v>69.394220000000004</v>
      </c>
      <c r="O930" s="79">
        <v>95.141829999999999</v>
      </c>
      <c r="P930" s="79">
        <v>102.01609999999999</v>
      </c>
      <c r="Q930" s="79"/>
      <c r="R930" s="79">
        <v>78.099999999999994</v>
      </c>
      <c r="S930" s="79">
        <v>95.110789999999994</v>
      </c>
      <c r="T930" s="79">
        <v>104.982</v>
      </c>
      <c r="U930" s="79">
        <v>124.16240000000001</v>
      </c>
      <c r="V930" s="79">
        <v>36.328899999999997</v>
      </c>
      <c r="W930" s="79">
        <v>24.533429999999999</v>
      </c>
      <c r="X930" s="79"/>
      <c r="Y930" s="79">
        <v>59.5351</v>
      </c>
      <c r="Z930" s="79">
        <v>116.2903</v>
      </c>
      <c r="AA930" s="79">
        <v>102.6271</v>
      </c>
      <c r="AB930" s="79">
        <v>34.932090000000002</v>
      </c>
      <c r="AC930" s="79">
        <v>73.386629999999997</v>
      </c>
      <c r="AD930" s="79"/>
      <c r="AE930" s="79">
        <v>76.272090000000006</v>
      </c>
      <c r="AF930" s="79">
        <v>85.196209999999994</v>
      </c>
      <c r="AG930" s="79">
        <v>111.6271</v>
      </c>
      <c r="AH930" s="79">
        <v>74.619810000000001</v>
      </c>
      <c r="AI930" s="79">
        <v>36.028730000000003</v>
      </c>
      <c r="AJ930" s="79">
        <v>114.8738</v>
      </c>
      <c r="AK930" s="79">
        <v>36.874569999999999</v>
      </c>
      <c r="AL930" s="79">
        <v>69.466009999999997</v>
      </c>
      <c r="AM930" s="79">
        <v>84.909580000000005</v>
      </c>
      <c r="AN930" s="79"/>
      <c r="AO930" s="79">
        <v>73.974699999999999</v>
      </c>
      <c r="AP930" s="79">
        <v>81.886349999999993</v>
      </c>
      <c r="AQ930" s="79"/>
      <c r="AR930" s="79"/>
      <c r="AS930" s="79"/>
      <c r="AT930" s="79">
        <v>34.95261</v>
      </c>
      <c r="AU930" s="79"/>
      <c r="AV930" s="79">
        <v>56.66865</v>
      </c>
      <c r="AW930" s="79"/>
      <c r="AX930" s="79">
        <v>37.596870000000003</v>
      </c>
      <c r="AY930" s="79">
        <v>76.395560000000003</v>
      </c>
    </row>
    <row r="931" spans="1:51" x14ac:dyDescent="0.2">
      <c r="A931" t="s">
        <v>1476</v>
      </c>
      <c r="B931" s="1">
        <v>35217</v>
      </c>
      <c r="C931" s="78">
        <v>931</v>
      </c>
      <c r="E931" s="1">
        <f t="shared" si="28"/>
        <v>35217</v>
      </c>
      <c r="F931" s="2">
        <f t="shared" si="29"/>
        <v>35217</v>
      </c>
      <c r="G931" s="78">
        <v>929</v>
      </c>
      <c r="H931" s="79"/>
      <c r="I931" s="79"/>
      <c r="J931" s="79">
        <v>63.311529999999998</v>
      </c>
      <c r="K931" s="79">
        <v>78.007149999999996</v>
      </c>
      <c r="L931" s="79"/>
      <c r="M931" s="79">
        <v>56.436599999999999</v>
      </c>
      <c r="N931" s="79">
        <v>69.794179999999997</v>
      </c>
      <c r="O931" s="79">
        <v>96.230410000000006</v>
      </c>
      <c r="P931" s="79">
        <v>103.55710000000001</v>
      </c>
      <c r="Q931" s="79"/>
      <c r="R931" s="79">
        <v>78.8</v>
      </c>
      <c r="S931" s="79">
        <v>94.35078</v>
      </c>
      <c r="T931" s="79">
        <v>104.2984</v>
      </c>
      <c r="U931" s="79">
        <v>125.029</v>
      </c>
      <c r="V931" s="79">
        <v>35.655059999999999</v>
      </c>
      <c r="W931" s="79">
        <v>24.533429999999999</v>
      </c>
      <c r="X931" s="79"/>
      <c r="Y931" s="79">
        <v>60.655760000000001</v>
      </c>
      <c r="Z931" s="79">
        <v>116.4903</v>
      </c>
      <c r="AA931" s="79">
        <v>102.82989999999999</v>
      </c>
      <c r="AB931" s="79">
        <v>33.916170000000001</v>
      </c>
      <c r="AC931" s="79">
        <v>74.897880000000001</v>
      </c>
      <c r="AD931" s="79"/>
      <c r="AE931" s="79">
        <v>76.924639999999997</v>
      </c>
      <c r="AF931" s="79">
        <v>84.537229999999994</v>
      </c>
      <c r="AG931" s="79">
        <v>116.547</v>
      </c>
      <c r="AH931" s="79">
        <v>74.878529999999998</v>
      </c>
      <c r="AI931" s="79">
        <v>35.676439999999999</v>
      </c>
      <c r="AJ931" s="79">
        <v>117.98569999999999</v>
      </c>
      <c r="AK931" s="79">
        <v>36.99004</v>
      </c>
      <c r="AL931" s="79">
        <v>68.606480000000005</v>
      </c>
      <c r="AM931" s="79">
        <v>85.111980000000003</v>
      </c>
      <c r="AN931" s="79"/>
      <c r="AO931" s="79">
        <v>74.599800000000002</v>
      </c>
      <c r="AP931" s="79">
        <v>81.886349999999993</v>
      </c>
      <c r="AQ931" s="79"/>
      <c r="AR931" s="79"/>
      <c r="AS931" s="79"/>
      <c r="AT931" s="79">
        <v>34.533720000000002</v>
      </c>
      <c r="AU931" s="79"/>
      <c r="AV931" s="79">
        <v>56.522309999999997</v>
      </c>
      <c r="AW931" s="79"/>
      <c r="AX931" s="79">
        <v>38.596780000000003</v>
      </c>
      <c r="AY931" s="79">
        <v>76.184889999999996</v>
      </c>
    </row>
    <row r="932" spans="1:51" x14ac:dyDescent="0.2">
      <c r="A932" t="s">
        <v>1477</v>
      </c>
      <c r="B932" s="1">
        <v>35247</v>
      </c>
      <c r="C932" s="78">
        <v>932</v>
      </c>
      <c r="E932" s="1">
        <f t="shared" si="28"/>
        <v>35247</v>
      </c>
      <c r="F932" s="2">
        <f t="shared" si="29"/>
        <v>35247</v>
      </c>
      <c r="G932" s="78">
        <v>930</v>
      </c>
      <c r="H932" s="79"/>
      <c r="I932" s="79"/>
      <c r="J932" s="79">
        <v>64.732219999999998</v>
      </c>
      <c r="K932" s="79">
        <v>78.799930000000003</v>
      </c>
      <c r="L932" s="79"/>
      <c r="M932" s="79">
        <v>57.769260000000003</v>
      </c>
      <c r="N932" s="79">
        <v>68.994249999999994</v>
      </c>
      <c r="O932" s="79">
        <v>95.794979999999995</v>
      </c>
      <c r="P932" s="79">
        <v>101.8621</v>
      </c>
      <c r="Q932" s="79"/>
      <c r="R932" s="79">
        <v>76</v>
      </c>
      <c r="S932" s="79">
        <v>92.700779999999995</v>
      </c>
      <c r="T932" s="79">
        <v>104.2984</v>
      </c>
      <c r="U932" s="79">
        <v>124.9314</v>
      </c>
      <c r="V932" s="79">
        <v>36.06523</v>
      </c>
      <c r="W932" s="79">
        <v>24.474019999999999</v>
      </c>
      <c r="X932" s="79"/>
      <c r="Y932" s="79">
        <v>59.114849999999997</v>
      </c>
      <c r="Z932" s="79">
        <v>116.3903</v>
      </c>
      <c r="AA932" s="79">
        <v>103.4384</v>
      </c>
      <c r="AB932" s="79">
        <v>34.655110000000001</v>
      </c>
      <c r="AC932" s="79">
        <v>74.275869999999998</v>
      </c>
      <c r="AD932" s="79"/>
      <c r="AE932" s="79">
        <v>77.365300000000005</v>
      </c>
      <c r="AF932" s="79">
        <v>85.949330000000003</v>
      </c>
      <c r="AG932" s="79">
        <v>117.2029</v>
      </c>
      <c r="AH932" s="79">
        <v>74.868009999999998</v>
      </c>
      <c r="AI932" s="79">
        <v>36.626139999999999</v>
      </c>
      <c r="AJ932" s="79">
        <v>114.6521</v>
      </c>
      <c r="AK932" s="79">
        <v>37.433889999999998</v>
      </c>
      <c r="AL932" s="79">
        <v>71.575779999999995</v>
      </c>
      <c r="AM932" s="79">
        <v>85.921610000000001</v>
      </c>
      <c r="AN932" s="79"/>
      <c r="AO932" s="79">
        <v>74.503069999999994</v>
      </c>
      <c r="AP932" s="79">
        <v>81.18647</v>
      </c>
      <c r="AQ932" s="79"/>
      <c r="AR932" s="79"/>
      <c r="AS932" s="79"/>
      <c r="AT932" s="79">
        <v>34.104140000000001</v>
      </c>
      <c r="AU932" s="79"/>
      <c r="AV932" s="79">
        <v>56.28369</v>
      </c>
      <c r="AW932" s="79"/>
      <c r="AX932" s="79">
        <v>38.196820000000002</v>
      </c>
      <c r="AY932" s="79">
        <v>80.43347</v>
      </c>
    </row>
    <row r="933" spans="1:51" x14ac:dyDescent="0.2">
      <c r="A933" t="s">
        <v>1478</v>
      </c>
      <c r="B933" s="1">
        <v>35278</v>
      </c>
      <c r="C933" s="78">
        <v>933</v>
      </c>
      <c r="E933" s="1">
        <f t="shared" si="28"/>
        <v>35278</v>
      </c>
      <c r="F933" s="2">
        <f t="shared" si="29"/>
        <v>35278</v>
      </c>
      <c r="G933" s="78">
        <v>931</v>
      </c>
      <c r="H933" s="79"/>
      <c r="I933" s="79"/>
      <c r="J933" s="79">
        <v>63.500109999999999</v>
      </c>
      <c r="K933" s="79">
        <v>79.069010000000006</v>
      </c>
      <c r="L933" s="79"/>
      <c r="M933" s="79">
        <v>57.408259999999999</v>
      </c>
      <c r="N933" s="79">
        <v>69.894170000000003</v>
      </c>
      <c r="O933" s="79">
        <v>98.29871</v>
      </c>
      <c r="P933" s="79">
        <v>102.7841</v>
      </c>
      <c r="Q933" s="79"/>
      <c r="R933" s="79">
        <v>79.099999999999994</v>
      </c>
      <c r="S933" s="79">
        <v>94.750789999999995</v>
      </c>
      <c r="T933" s="79">
        <v>104.982</v>
      </c>
      <c r="U933" s="79">
        <v>122.45059999999999</v>
      </c>
      <c r="V933" s="79">
        <v>35.948039999999999</v>
      </c>
      <c r="W933" s="79">
        <v>23.523579999999999</v>
      </c>
      <c r="X933" s="79"/>
      <c r="Y933" s="79">
        <v>60.375590000000003</v>
      </c>
      <c r="Z933" s="79">
        <v>116.9902</v>
      </c>
      <c r="AA933" s="79">
        <v>103.5398</v>
      </c>
      <c r="AB933" s="79">
        <v>34.470129999999997</v>
      </c>
      <c r="AC933" s="79">
        <v>72.854929999999996</v>
      </c>
      <c r="AD933" s="79"/>
      <c r="AE933" s="79">
        <v>76.883030000000005</v>
      </c>
      <c r="AF933" s="79">
        <v>85.666899999999998</v>
      </c>
      <c r="AG933" s="79">
        <v>116.8749</v>
      </c>
      <c r="AH933" s="79">
        <v>75.194590000000005</v>
      </c>
      <c r="AI933" s="79">
        <v>36.773269999999997</v>
      </c>
      <c r="AJ933" s="79">
        <v>116.0629</v>
      </c>
      <c r="AK933" s="79">
        <v>37.342010000000002</v>
      </c>
      <c r="AL933" s="79">
        <v>68.137630000000001</v>
      </c>
      <c r="AM933" s="79">
        <v>86.427629999999994</v>
      </c>
      <c r="AN933" s="79"/>
      <c r="AO933" s="79">
        <v>74.935109999999995</v>
      </c>
      <c r="AP933" s="79">
        <v>82.186300000000003</v>
      </c>
      <c r="AQ933" s="79"/>
      <c r="AR933" s="79"/>
      <c r="AS933" s="79"/>
      <c r="AT933" s="79">
        <v>34.92324</v>
      </c>
      <c r="AU933" s="79"/>
      <c r="AV933" s="79">
        <v>56.209359999999997</v>
      </c>
      <c r="AW933" s="79"/>
      <c r="AX933" s="79">
        <v>38.096820000000001</v>
      </c>
      <c r="AY933" s="79">
        <v>78.756870000000006</v>
      </c>
    </row>
    <row r="934" spans="1:51" x14ac:dyDescent="0.2">
      <c r="A934" t="s">
        <v>1479</v>
      </c>
      <c r="B934" s="1">
        <v>35309</v>
      </c>
      <c r="C934" s="78">
        <v>934</v>
      </c>
      <c r="E934" s="1">
        <f t="shared" si="28"/>
        <v>35309</v>
      </c>
      <c r="F934" s="2">
        <f t="shared" si="29"/>
        <v>35309</v>
      </c>
      <c r="G934" s="78">
        <v>932</v>
      </c>
      <c r="H934" s="79"/>
      <c r="I934" s="79"/>
      <c r="J934" s="79">
        <v>65.552639999999997</v>
      </c>
      <c r="K934" s="79">
        <v>79.049449999999993</v>
      </c>
      <c r="L934" s="79"/>
      <c r="M934" s="79">
        <v>58.122320000000002</v>
      </c>
      <c r="N934" s="79">
        <v>70.494129999999998</v>
      </c>
      <c r="O934" s="79">
        <v>97.427850000000007</v>
      </c>
      <c r="P934" s="79">
        <v>103.1991</v>
      </c>
      <c r="Q934" s="79"/>
      <c r="R934" s="79">
        <v>81</v>
      </c>
      <c r="S934" s="79">
        <v>94.840789999999998</v>
      </c>
      <c r="T934" s="79">
        <v>105.56789999999999</v>
      </c>
      <c r="U934" s="79">
        <v>123.91849999999999</v>
      </c>
      <c r="V934" s="79">
        <v>36.123820000000002</v>
      </c>
      <c r="W934" s="79">
        <v>23.048349999999999</v>
      </c>
      <c r="X934" s="79"/>
      <c r="Y934" s="79">
        <v>61.28613</v>
      </c>
      <c r="Z934" s="79">
        <v>115.3904</v>
      </c>
      <c r="AA934" s="79">
        <v>104.6553</v>
      </c>
      <c r="AB934" s="79">
        <v>34.932090000000002</v>
      </c>
      <c r="AC934" s="79">
        <v>75.128879999999995</v>
      </c>
      <c r="AD934" s="79"/>
      <c r="AE934" s="79">
        <v>77.447239999999994</v>
      </c>
      <c r="AF934" s="79">
        <v>86.137600000000006</v>
      </c>
      <c r="AG934" s="79">
        <v>116.21899999999999</v>
      </c>
      <c r="AH934" s="79">
        <v>75.567490000000006</v>
      </c>
      <c r="AI934" s="79">
        <v>36.734079999999999</v>
      </c>
      <c r="AJ934" s="79">
        <v>115.54470000000001</v>
      </c>
      <c r="AK934" s="79">
        <v>38.522030000000001</v>
      </c>
      <c r="AL934" s="79">
        <v>71.653919999999999</v>
      </c>
      <c r="AM934" s="79">
        <v>85.111980000000003</v>
      </c>
      <c r="AN934" s="79"/>
      <c r="AO934" s="79">
        <v>75.451099999999997</v>
      </c>
      <c r="AP934" s="79">
        <v>82.186300000000003</v>
      </c>
      <c r="AQ934" s="79"/>
      <c r="AR934" s="79"/>
      <c r="AS934" s="79"/>
      <c r="AT934" s="79">
        <v>34.522239999999996</v>
      </c>
      <c r="AU934" s="79"/>
      <c r="AV934" s="79">
        <v>56.494959999999999</v>
      </c>
      <c r="AW934" s="79"/>
      <c r="AX934" s="79">
        <v>37.696860000000001</v>
      </c>
      <c r="AY934" s="79">
        <v>79.704899999999995</v>
      </c>
    </row>
    <row r="935" spans="1:51" x14ac:dyDescent="0.2">
      <c r="A935" t="s">
        <v>1480</v>
      </c>
      <c r="B935" s="1">
        <v>35339</v>
      </c>
      <c r="C935" s="78">
        <v>935</v>
      </c>
      <c r="E935" s="1">
        <f t="shared" si="28"/>
        <v>35339</v>
      </c>
      <c r="F935" s="2">
        <f t="shared" si="29"/>
        <v>35339</v>
      </c>
      <c r="G935" s="78">
        <v>933</v>
      </c>
      <c r="H935" s="79"/>
      <c r="I935" s="79"/>
      <c r="J935" s="79">
        <v>65.80565</v>
      </c>
      <c r="K935" s="79">
        <v>78.799930000000003</v>
      </c>
      <c r="L935" s="79"/>
      <c r="M935" s="79">
        <v>57.556739999999998</v>
      </c>
      <c r="N935" s="79">
        <v>69.494209999999995</v>
      </c>
      <c r="O935" s="79">
        <v>94.924109999999999</v>
      </c>
      <c r="P935" s="79">
        <v>103.37009999999999</v>
      </c>
      <c r="Q935" s="79"/>
      <c r="R935" s="79">
        <v>81.099999999999994</v>
      </c>
      <c r="S935" s="79">
        <v>93.870779999999996</v>
      </c>
      <c r="T935" s="79">
        <v>105.47029999999999</v>
      </c>
      <c r="U935" s="79">
        <v>122.7882</v>
      </c>
      <c r="V935" s="79">
        <v>36.475389999999997</v>
      </c>
      <c r="W935" s="79">
        <v>24.236409999999999</v>
      </c>
      <c r="X935" s="79"/>
      <c r="Y935" s="79">
        <v>60.165469999999999</v>
      </c>
      <c r="Z935" s="79">
        <v>115.8903</v>
      </c>
      <c r="AA935" s="79">
        <v>105.2638</v>
      </c>
      <c r="AB935" s="79">
        <v>34.470129999999997</v>
      </c>
      <c r="AC935" s="79">
        <v>75.073040000000006</v>
      </c>
      <c r="AD935" s="79"/>
      <c r="AE935" s="79">
        <v>78.441820000000007</v>
      </c>
      <c r="AF935" s="79">
        <v>85.478620000000006</v>
      </c>
      <c r="AG935" s="79">
        <v>112.39239999999999</v>
      </c>
      <c r="AH935" s="79">
        <v>75.634609999999995</v>
      </c>
      <c r="AI935" s="79">
        <v>37.600940000000001</v>
      </c>
      <c r="AJ935" s="79">
        <v>113.3896</v>
      </c>
      <c r="AK935" s="79">
        <v>38.253869999999999</v>
      </c>
      <c r="AL935" s="79">
        <v>72.122749999999996</v>
      </c>
      <c r="AM935" s="79">
        <v>84.707170000000005</v>
      </c>
      <c r="AN935" s="79"/>
      <c r="AO935" s="79">
        <v>75.406239999999997</v>
      </c>
      <c r="AP935" s="79">
        <v>81.786370000000005</v>
      </c>
      <c r="AQ935" s="79"/>
      <c r="AR935" s="79"/>
      <c r="AS935" s="79"/>
      <c r="AT935" s="79">
        <v>35.097880000000004</v>
      </c>
      <c r="AU935" s="79"/>
      <c r="AV935" s="79">
        <v>56.264009999999999</v>
      </c>
      <c r="AW935" s="79"/>
      <c r="AX935" s="79">
        <v>40.69661</v>
      </c>
      <c r="AY935" s="79">
        <v>80.249139999999997</v>
      </c>
    </row>
    <row r="936" spans="1:51" x14ac:dyDescent="0.2">
      <c r="A936" t="s">
        <v>1481</v>
      </c>
      <c r="B936" s="1">
        <v>35370</v>
      </c>
      <c r="C936" s="78">
        <v>936</v>
      </c>
      <c r="E936" s="1">
        <f t="shared" si="28"/>
        <v>35370</v>
      </c>
      <c r="F936" s="2">
        <f t="shared" si="29"/>
        <v>35370</v>
      </c>
      <c r="G936" s="78">
        <v>934</v>
      </c>
      <c r="H936" s="79"/>
      <c r="I936" s="79"/>
      <c r="J936" s="79">
        <v>65.899720000000002</v>
      </c>
      <c r="K936" s="79">
        <v>80.033079999999998</v>
      </c>
      <c r="L936" s="79"/>
      <c r="M936" s="79">
        <v>57.321240000000003</v>
      </c>
      <c r="N936" s="79">
        <v>70.494129999999998</v>
      </c>
      <c r="O936" s="79">
        <v>93.182389999999998</v>
      </c>
      <c r="P936" s="79">
        <v>104.7671</v>
      </c>
      <c r="Q936" s="79"/>
      <c r="R936" s="79">
        <v>81</v>
      </c>
      <c r="S936" s="79">
        <v>95.040790000000001</v>
      </c>
      <c r="T936" s="79">
        <v>106.0562</v>
      </c>
      <c r="U936" s="79">
        <v>125.03740000000001</v>
      </c>
      <c r="V936" s="79">
        <v>37.178530000000002</v>
      </c>
      <c r="W936" s="79">
        <v>25.89969</v>
      </c>
      <c r="X936" s="79"/>
      <c r="Y936" s="79">
        <v>59.745220000000003</v>
      </c>
      <c r="Z936" s="79">
        <v>115.3904</v>
      </c>
      <c r="AA936" s="79">
        <v>105.77079999999999</v>
      </c>
      <c r="AB936" s="79">
        <v>34.932090000000002</v>
      </c>
      <c r="AC936" s="79">
        <v>75.702439999999996</v>
      </c>
      <c r="AD936" s="79"/>
      <c r="AE936" s="79">
        <v>78.913570000000007</v>
      </c>
      <c r="AF936" s="79">
        <v>84.443089999999998</v>
      </c>
      <c r="AG936" s="79">
        <v>114.79770000000001</v>
      </c>
      <c r="AH936" s="79">
        <v>76.183049999999994</v>
      </c>
      <c r="AI936" s="79">
        <v>37.27243</v>
      </c>
      <c r="AJ936" s="79">
        <v>115.18819999999999</v>
      </c>
      <c r="AK936" s="79">
        <v>37.705539999999999</v>
      </c>
      <c r="AL936" s="79">
        <v>72.122749999999996</v>
      </c>
      <c r="AM936" s="79">
        <v>85.820400000000006</v>
      </c>
      <c r="AN936" s="79"/>
      <c r="AO936" s="79">
        <v>76.071969999999993</v>
      </c>
      <c r="AP936" s="79">
        <v>82.486249999999998</v>
      </c>
      <c r="AQ936" s="79"/>
      <c r="AR936" s="79"/>
      <c r="AS936" s="79"/>
      <c r="AT936" s="79">
        <v>33.977220000000003</v>
      </c>
      <c r="AU936" s="79"/>
      <c r="AV936" s="79">
        <v>55.792760000000001</v>
      </c>
      <c r="AW936" s="79"/>
      <c r="AX936" s="79">
        <v>40.896590000000003</v>
      </c>
      <c r="AY936" s="79">
        <v>80.749489999999994</v>
      </c>
    </row>
    <row r="937" spans="1:51" x14ac:dyDescent="0.2">
      <c r="A937" t="s">
        <v>1482</v>
      </c>
      <c r="B937" s="1">
        <v>35400</v>
      </c>
      <c r="C937" s="78">
        <v>937</v>
      </c>
      <c r="E937" s="1">
        <f t="shared" si="28"/>
        <v>35400</v>
      </c>
      <c r="F937" s="2">
        <f t="shared" si="29"/>
        <v>35400</v>
      </c>
      <c r="G937" s="78">
        <v>935</v>
      </c>
      <c r="H937" s="79"/>
      <c r="I937" s="79"/>
      <c r="J937" s="79">
        <v>66.307109999999994</v>
      </c>
      <c r="K937" s="79">
        <v>78.697069999999997</v>
      </c>
      <c r="L937" s="79"/>
      <c r="M937" s="79">
        <v>54.443689999999997</v>
      </c>
      <c r="N937" s="79">
        <v>70.494129999999998</v>
      </c>
      <c r="O937" s="79">
        <v>95.250690000000006</v>
      </c>
      <c r="P937" s="79">
        <v>103.21810000000001</v>
      </c>
      <c r="Q937" s="79"/>
      <c r="R937" s="79">
        <v>78.400000000000006</v>
      </c>
      <c r="S937" s="79">
        <v>95.190799999999996</v>
      </c>
      <c r="T937" s="79">
        <v>106.5445</v>
      </c>
      <c r="U937" s="79">
        <v>124.1343</v>
      </c>
      <c r="V937" s="79">
        <v>37.325020000000002</v>
      </c>
      <c r="W937" s="79">
        <v>25.127459999999999</v>
      </c>
      <c r="X937" s="79"/>
      <c r="Y937" s="79">
        <v>60.165469999999999</v>
      </c>
      <c r="Z937" s="79">
        <v>115.0904</v>
      </c>
      <c r="AA937" s="79">
        <v>106.78489999999999</v>
      </c>
      <c r="AB937" s="79">
        <v>35.857010000000002</v>
      </c>
      <c r="AC937" s="79">
        <v>74.779110000000003</v>
      </c>
      <c r="AD937" s="79"/>
      <c r="AE937" s="79">
        <v>80.940610000000007</v>
      </c>
      <c r="AF937" s="79">
        <v>85.855180000000004</v>
      </c>
      <c r="AG937" s="79">
        <v>115.3443</v>
      </c>
      <c r="AH937" s="79">
        <v>76.544830000000005</v>
      </c>
      <c r="AI937" s="79">
        <v>37.621789999999997</v>
      </c>
      <c r="AJ937" s="79">
        <v>109.82850000000001</v>
      </c>
      <c r="AK937" s="79">
        <v>37.599969999999999</v>
      </c>
      <c r="AL937" s="79">
        <v>71.888339999999999</v>
      </c>
      <c r="AM937" s="79">
        <v>88.148079999999993</v>
      </c>
      <c r="AN937" s="79"/>
      <c r="AO937" s="79">
        <v>76.56635</v>
      </c>
      <c r="AP937" s="79">
        <v>82.286289999999994</v>
      </c>
      <c r="AQ937" s="79"/>
      <c r="AR937" s="79"/>
      <c r="AS937" s="79"/>
      <c r="AT937" s="79">
        <v>35.002879999999998</v>
      </c>
      <c r="AU937" s="79"/>
      <c r="AV937" s="79">
        <v>54.894570000000002</v>
      </c>
      <c r="AW937" s="79"/>
      <c r="AX937" s="79">
        <v>40.296639999999996</v>
      </c>
      <c r="AY937" s="79">
        <v>80.029690000000002</v>
      </c>
    </row>
    <row r="938" spans="1:51" x14ac:dyDescent="0.2">
      <c r="A938" t="s">
        <v>1483</v>
      </c>
      <c r="B938" s="1">
        <v>35431</v>
      </c>
      <c r="C938" s="78">
        <v>938</v>
      </c>
      <c r="E938" s="1">
        <f t="shared" si="28"/>
        <v>35431</v>
      </c>
      <c r="F938" s="2">
        <f t="shared" si="29"/>
        <v>35431</v>
      </c>
      <c r="G938" s="78">
        <v>936</v>
      </c>
      <c r="H938" s="79"/>
      <c r="I938" s="79"/>
      <c r="J938" s="79">
        <v>65.072090000000003</v>
      </c>
      <c r="K938" s="79">
        <v>80.635859999999994</v>
      </c>
      <c r="L938" s="79"/>
      <c r="M938" s="79">
        <v>58.485239999999997</v>
      </c>
      <c r="N938" s="79">
        <v>69.594200000000001</v>
      </c>
      <c r="O938" s="79">
        <v>98.08099</v>
      </c>
      <c r="P938" s="79">
        <v>106.0951</v>
      </c>
      <c r="Q938" s="79"/>
      <c r="R938" s="79">
        <v>80.599999999999994</v>
      </c>
      <c r="S938" s="79">
        <v>94.330789999999993</v>
      </c>
      <c r="T938" s="79">
        <v>106.7313</v>
      </c>
      <c r="U938" s="79">
        <v>126.1927</v>
      </c>
      <c r="V938" s="79">
        <v>37.940269999999998</v>
      </c>
      <c r="W938" s="79">
        <v>27.20656</v>
      </c>
      <c r="X938" s="79"/>
      <c r="Y938" s="79">
        <v>61.005960000000002</v>
      </c>
      <c r="Z938" s="79">
        <v>115.9903</v>
      </c>
      <c r="AA938" s="79">
        <v>108.4075</v>
      </c>
      <c r="AB938" s="79">
        <v>33.916170000000001</v>
      </c>
      <c r="AC938" s="79">
        <v>72.955770000000001</v>
      </c>
      <c r="AD938" s="79"/>
      <c r="AE938" s="79">
        <v>79.653809999999993</v>
      </c>
      <c r="AF938" s="79">
        <v>85.855180000000004</v>
      </c>
      <c r="AG938" s="79">
        <v>117.2029</v>
      </c>
      <c r="AH938" s="79">
        <v>76.653080000000003</v>
      </c>
      <c r="AI938" s="79">
        <v>38.407470000000004</v>
      </c>
      <c r="AJ938" s="79">
        <v>113.70310000000001</v>
      </c>
      <c r="AK938" s="79">
        <v>36.244990000000001</v>
      </c>
      <c r="AL938" s="79">
        <v>66.106009999999998</v>
      </c>
      <c r="AM938" s="79">
        <v>88.451689999999999</v>
      </c>
      <c r="AN938" s="79"/>
      <c r="AO938" s="79">
        <v>76.674880000000002</v>
      </c>
      <c r="AP938" s="79">
        <v>82.586240000000004</v>
      </c>
      <c r="AQ938" s="79"/>
      <c r="AR938" s="79"/>
      <c r="AS938" s="79"/>
      <c r="AT938" s="79">
        <v>34.684010000000001</v>
      </c>
      <c r="AU938" s="79"/>
      <c r="AV938" s="79">
        <v>55.913209999999999</v>
      </c>
      <c r="AW938" s="79"/>
      <c r="AX938" s="79">
        <v>38.89676</v>
      </c>
      <c r="AY938" s="79">
        <v>80.091130000000007</v>
      </c>
    </row>
    <row r="939" spans="1:51" x14ac:dyDescent="0.2">
      <c r="A939" t="s">
        <v>1484</v>
      </c>
      <c r="B939" s="1">
        <v>35462</v>
      </c>
      <c r="C939" s="78">
        <v>939</v>
      </c>
      <c r="E939" s="1">
        <f t="shared" si="28"/>
        <v>35462</v>
      </c>
      <c r="F939" s="2">
        <f t="shared" si="29"/>
        <v>35462</v>
      </c>
      <c r="G939" s="78">
        <v>937</v>
      </c>
      <c r="H939" s="79"/>
      <c r="I939" s="79"/>
      <c r="J939" s="79">
        <v>66.507450000000006</v>
      </c>
      <c r="K939" s="79">
        <v>81.523799999999994</v>
      </c>
      <c r="L939" s="79"/>
      <c r="M939" s="79">
        <v>58.682589999999998</v>
      </c>
      <c r="N939" s="79">
        <v>70.594120000000004</v>
      </c>
      <c r="O939" s="79">
        <v>98.189850000000007</v>
      </c>
      <c r="P939" s="79">
        <v>104.8601</v>
      </c>
      <c r="Q939" s="79"/>
      <c r="R939" s="79">
        <v>80.400000000000006</v>
      </c>
      <c r="S939" s="79">
        <v>95.090789999999998</v>
      </c>
      <c r="T939" s="79">
        <v>106.9389</v>
      </c>
      <c r="U939" s="79">
        <v>126.76349999999999</v>
      </c>
      <c r="V939" s="79">
        <v>38.643410000000003</v>
      </c>
      <c r="W939" s="79">
        <v>25.780889999999999</v>
      </c>
      <c r="X939" s="79"/>
      <c r="Y939" s="79">
        <v>60.375590000000003</v>
      </c>
      <c r="Z939" s="79">
        <v>117.9902</v>
      </c>
      <c r="AA939" s="79">
        <v>108.4075</v>
      </c>
      <c r="AB939" s="79">
        <v>35.39405</v>
      </c>
      <c r="AC939" s="79">
        <v>80.44444</v>
      </c>
      <c r="AD939" s="79"/>
      <c r="AE939" s="79">
        <v>79.958340000000007</v>
      </c>
      <c r="AF939" s="79">
        <v>83.407550000000001</v>
      </c>
      <c r="AG939" s="79">
        <v>117.85890000000001</v>
      </c>
      <c r="AH939" s="79">
        <v>77.332499999999996</v>
      </c>
      <c r="AI939" s="79">
        <v>39.236499999999999</v>
      </c>
      <c r="AJ939" s="79">
        <v>116.6485</v>
      </c>
      <c r="AK939" s="79">
        <v>38.072270000000003</v>
      </c>
      <c r="AL939" s="79">
        <v>70.091130000000007</v>
      </c>
      <c r="AM939" s="79">
        <v>87.540859999999995</v>
      </c>
      <c r="AN939" s="79"/>
      <c r="AO939" s="79">
        <v>77.602450000000005</v>
      </c>
      <c r="AP939" s="79">
        <v>83.086150000000004</v>
      </c>
      <c r="AQ939" s="79"/>
      <c r="AR939" s="79"/>
      <c r="AS939" s="79"/>
      <c r="AT939" s="79">
        <v>35.5002</v>
      </c>
      <c r="AU939" s="79"/>
      <c r="AV939" s="79">
        <v>58.435200000000002</v>
      </c>
      <c r="AW939" s="79"/>
      <c r="AX939" s="79">
        <v>39.696689999999997</v>
      </c>
      <c r="AY939" s="79">
        <v>80.459810000000004</v>
      </c>
    </row>
    <row r="940" spans="1:51" x14ac:dyDescent="0.2">
      <c r="A940" t="s">
        <v>1485</v>
      </c>
      <c r="B940" s="1">
        <v>35490</v>
      </c>
      <c r="C940" s="78">
        <v>940</v>
      </c>
      <c r="E940" s="1">
        <f t="shared" si="28"/>
        <v>35490</v>
      </c>
      <c r="F940" s="2">
        <f t="shared" si="29"/>
        <v>35490</v>
      </c>
      <c r="G940" s="78">
        <v>938</v>
      </c>
      <c r="H940" s="79"/>
      <c r="I940" s="79"/>
      <c r="J940" s="79">
        <v>66.46369</v>
      </c>
      <c r="K940" s="79">
        <v>81.034750000000003</v>
      </c>
      <c r="L940" s="79"/>
      <c r="M940" s="79">
        <v>59.127180000000003</v>
      </c>
      <c r="N940" s="79">
        <v>71.394049999999993</v>
      </c>
      <c r="O940" s="79">
        <v>97.536709999999999</v>
      </c>
      <c r="P940" s="79">
        <v>109.51309999999999</v>
      </c>
      <c r="Q940" s="79"/>
      <c r="R940" s="79">
        <v>80.900000000000006</v>
      </c>
      <c r="S940" s="79">
        <v>95.420789999999997</v>
      </c>
      <c r="T940" s="79">
        <v>106.1083</v>
      </c>
      <c r="U940" s="79">
        <v>127.0523</v>
      </c>
      <c r="V940" s="79">
        <v>37.676589999999997</v>
      </c>
      <c r="W940" s="79">
        <v>27.26596</v>
      </c>
      <c r="X940" s="79"/>
      <c r="Y940" s="79">
        <v>61.426209999999998</v>
      </c>
      <c r="Z940" s="79">
        <v>118.59010000000001</v>
      </c>
      <c r="AA940" s="79">
        <v>108.81310000000001</v>
      </c>
      <c r="AB940" s="79">
        <v>35.949010000000001</v>
      </c>
      <c r="AC940" s="79">
        <v>75.772189999999995</v>
      </c>
      <c r="AD940" s="79"/>
      <c r="AE940" s="79">
        <v>80.641919999999999</v>
      </c>
      <c r="AF940" s="79">
        <v>81.618899999999996</v>
      </c>
      <c r="AG940" s="79">
        <v>118.40560000000001</v>
      </c>
      <c r="AH940" s="79">
        <v>77.810410000000005</v>
      </c>
      <c r="AI940" s="79">
        <v>37.97457</v>
      </c>
      <c r="AJ940" s="79">
        <v>116.4173</v>
      </c>
      <c r="AK940" s="79">
        <v>37.163879999999999</v>
      </c>
      <c r="AL940" s="79">
        <v>69.778559999999999</v>
      </c>
      <c r="AM940" s="79">
        <v>87.642070000000004</v>
      </c>
      <c r="AN940" s="79"/>
      <c r="AO940" s="79">
        <v>78.12209</v>
      </c>
      <c r="AP940" s="79">
        <v>83.986000000000004</v>
      </c>
      <c r="AQ940" s="79"/>
      <c r="AR940" s="79"/>
      <c r="AS940" s="79"/>
      <c r="AT940" s="79">
        <v>36.09102</v>
      </c>
      <c r="AU940" s="79"/>
      <c r="AV940" s="79">
        <v>56.34686</v>
      </c>
      <c r="AW940" s="79"/>
      <c r="AX940" s="79">
        <v>41.396549999999998</v>
      </c>
      <c r="AY940" s="79">
        <v>81.460509999999999</v>
      </c>
    </row>
    <row r="941" spans="1:51" x14ac:dyDescent="0.2">
      <c r="A941" t="s">
        <v>1486</v>
      </c>
      <c r="B941" s="1">
        <v>35521</v>
      </c>
      <c r="C941" s="78">
        <v>941</v>
      </c>
      <c r="E941" s="1">
        <f t="shared" si="28"/>
        <v>35521</v>
      </c>
      <c r="F941" s="2">
        <f t="shared" si="29"/>
        <v>35521</v>
      </c>
      <c r="G941" s="78">
        <v>939</v>
      </c>
      <c r="H941" s="79"/>
      <c r="I941" s="79"/>
      <c r="J941" s="79">
        <v>66.902569999999997</v>
      </c>
      <c r="K941" s="79">
        <v>82.151700000000005</v>
      </c>
      <c r="L941" s="79"/>
      <c r="M941" s="79">
        <v>61.923729999999999</v>
      </c>
      <c r="N941" s="79">
        <v>71.094080000000005</v>
      </c>
      <c r="O941" s="79">
        <v>98.625280000000004</v>
      </c>
      <c r="P941" s="79">
        <v>108.9221</v>
      </c>
      <c r="Q941" s="79"/>
      <c r="R941" s="79">
        <v>83.4</v>
      </c>
      <c r="S941" s="79">
        <v>98.770820000000001</v>
      </c>
      <c r="T941" s="79">
        <v>106.316</v>
      </c>
      <c r="U941" s="79">
        <v>126.0728</v>
      </c>
      <c r="V941" s="79">
        <v>38.93638</v>
      </c>
      <c r="W941" s="79">
        <v>27.38477</v>
      </c>
      <c r="X941" s="79"/>
      <c r="Y941" s="79">
        <v>61.636330000000001</v>
      </c>
      <c r="Z941" s="79">
        <v>120.68989999999999</v>
      </c>
      <c r="AA941" s="79">
        <v>106.07510000000001</v>
      </c>
      <c r="AB941" s="79">
        <v>36.595950000000002</v>
      </c>
      <c r="AC941" s="79">
        <v>77.823549999999997</v>
      </c>
      <c r="AD941" s="79"/>
      <c r="AE941" s="79">
        <v>81.619489999999999</v>
      </c>
      <c r="AF941" s="79">
        <v>86.325879999999998</v>
      </c>
      <c r="AG941" s="79">
        <v>118.18689999999999</v>
      </c>
      <c r="AH941" s="79">
        <v>78.11815</v>
      </c>
      <c r="AI941" s="79">
        <v>41.22484</v>
      </c>
      <c r="AJ941" s="79">
        <v>117.0347</v>
      </c>
      <c r="AK941" s="79">
        <v>37.234000000000002</v>
      </c>
      <c r="AL941" s="79">
        <v>76.967399999999998</v>
      </c>
      <c r="AM941" s="79">
        <v>89.362520000000004</v>
      </c>
      <c r="AN941" s="79"/>
      <c r="AO941" s="79">
        <v>78.140429999999995</v>
      </c>
      <c r="AP941" s="79">
        <v>84.885850000000005</v>
      </c>
      <c r="AQ941" s="79"/>
      <c r="AR941" s="79"/>
      <c r="AS941" s="79"/>
      <c r="AT941" s="79">
        <v>36.0807</v>
      </c>
      <c r="AU941" s="79"/>
      <c r="AV941" s="79">
        <v>56.215519999999998</v>
      </c>
      <c r="AW941" s="79"/>
      <c r="AX941" s="79">
        <v>41.796520000000001</v>
      </c>
      <c r="AY941" s="79">
        <v>79.880459999999999</v>
      </c>
    </row>
    <row r="942" spans="1:51" x14ac:dyDescent="0.2">
      <c r="A942" t="s">
        <v>1487</v>
      </c>
      <c r="B942" s="1">
        <v>35551</v>
      </c>
      <c r="C942" s="78">
        <v>942</v>
      </c>
      <c r="E942" s="1">
        <f t="shared" si="28"/>
        <v>35551</v>
      </c>
      <c r="F942" s="2">
        <f t="shared" si="29"/>
        <v>35551</v>
      </c>
      <c r="G942" s="78">
        <v>940</v>
      </c>
      <c r="H942" s="79"/>
      <c r="I942" s="79"/>
      <c r="J942" s="79">
        <v>66.804540000000003</v>
      </c>
      <c r="K942" s="79">
        <v>82.284660000000002</v>
      </c>
      <c r="L942" s="79"/>
      <c r="M942" s="79">
        <v>57.135280000000002</v>
      </c>
      <c r="N942" s="79">
        <v>70.194149999999993</v>
      </c>
      <c r="O942" s="79">
        <v>99.605000000000004</v>
      </c>
      <c r="P942" s="79">
        <v>107.6661</v>
      </c>
      <c r="Q942" s="79"/>
      <c r="R942" s="79">
        <v>81.7</v>
      </c>
      <c r="S942" s="79">
        <v>96.930809999999994</v>
      </c>
      <c r="T942" s="79">
        <v>105.9007</v>
      </c>
      <c r="U942" s="79">
        <v>127.3633</v>
      </c>
      <c r="V942" s="79">
        <v>38.116050000000001</v>
      </c>
      <c r="W942" s="79">
        <v>27.02835</v>
      </c>
      <c r="X942" s="79"/>
      <c r="Y942" s="79">
        <v>62.126629999999999</v>
      </c>
      <c r="Z942" s="79">
        <v>120.39</v>
      </c>
      <c r="AA942" s="79">
        <v>109.2188</v>
      </c>
      <c r="AB942" s="79">
        <v>36.31897</v>
      </c>
      <c r="AC942" s="79">
        <v>77.023979999999995</v>
      </c>
      <c r="AD942" s="79"/>
      <c r="AE942" s="79">
        <v>82.419089999999997</v>
      </c>
      <c r="AF942" s="79">
        <v>84.066540000000003</v>
      </c>
      <c r="AG942" s="79">
        <v>119.82689999999999</v>
      </c>
      <c r="AH942" s="79">
        <v>78.284450000000007</v>
      </c>
      <c r="AI942" s="79">
        <v>39.362749999999998</v>
      </c>
      <c r="AJ942" s="79">
        <v>115.0852</v>
      </c>
      <c r="AK942" s="79">
        <v>36.998519999999999</v>
      </c>
      <c r="AL942" s="79">
        <v>70.403679999999994</v>
      </c>
      <c r="AM942" s="79">
        <v>88.957710000000006</v>
      </c>
      <c r="AN942" s="79"/>
      <c r="AO942" s="79">
        <v>78.597819999999999</v>
      </c>
      <c r="AP942" s="79">
        <v>84.185969999999998</v>
      </c>
      <c r="AQ942" s="79"/>
      <c r="AR942" s="79"/>
      <c r="AS942" s="79"/>
      <c r="AT942" s="79">
        <v>36.343429999999998</v>
      </c>
      <c r="AU942" s="79"/>
      <c r="AV942" s="79">
        <v>57.30274</v>
      </c>
      <c r="AW942" s="79"/>
      <c r="AX942" s="79">
        <v>41.696530000000003</v>
      </c>
      <c r="AY942" s="79">
        <v>79.415210000000002</v>
      </c>
    </row>
    <row r="943" spans="1:51" x14ac:dyDescent="0.2">
      <c r="A943" t="s">
        <v>1488</v>
      </c>
      <c r="B943" s="1">
        <v>35582</v>
      </c>
      <c r="C943" s="78">
        <v>943</v>
      </c>
      <c r="E943" s="1">
        <f t="shared" si="28"/>
        <v>35582</v>
      </c>
      <c r="F943" s="2">
        <f t="shared" si="29"/>
        <v>35582</v>
      </c>
      <c r="G943" s="78">
        <v>941</v>
      </c>
      <c r="H943" s="79"/>
      <c r="I943" s="79"/>
      <c r="J943" s="79">
        <v>67.154849999999996</v>
      </c>
      <c r="K943" s="79">
        <v>81.590149999999994</v>
      </c>
      <c r="L943" s="79"/>
      <c r="M943" s="79">
        <v>60.470030000000001</v>
      </c>
      <c r="N943" s="79">
        <v>72.993920000000003</v>
      </c>
      <c r="O943" s="79">
        <v>100.4759</v>
      </c>
      <c r="P943" s="79">
        <v>109.0521</v>
      </c>
      <c r="Q943" s="79"/>
      <c r="R943" s="79">
        <v>85.2</v>
      </c>
      <c r="S943" s="79">
        <v>97.650810000000007</v>
      </c>
      <c r="T943" s="79">
        <v>106.00449999999999</v>
      </c>
      <c r="U943" s="79">
        <v>126.2747</v>
      </c>
      <c r="V943" s="79">
        <v>40.225470000000001</v>
      </c>
      <c r="W943" s="79">
        <v>28.27581</v>
      </c>
      <c r="X943" s="79"/>
      <c r="Y943" s="79">
        <v>61.84646</v>
      </c>
      <c r="Z943" s="79">
        <v>121.3899</v>
      </c>
      <c r="AA943" s="79">
        <v>108.6103</v>
      </c>
      <c r="AB943" s="79">
        <v>37.149900000000002</v>
      </c>
      <c r="AC943" s="79">
        <v>76.968440000000001</v>
      </c>
      <c r="AD943" s="79"/>
      <c r="AE943" s="79">
        <v>83.178719999999998</v>
      </c>
      <c r="AF943" s="79">
        <v>84.72551</v>
      </c>
      <c r="AG943" s="79">
        <v>118.40560000000001</v>
      </c>
      <c r="AH943" s="79">
        <v>78.978110000000001</v>
      </c>
      <c r="AI943" s="79">
        <v>41.961910000000003</v>
      </c>
      <c r="AJ943" s="79">
        <v>118.7649</v>
      </c>
      <c r="AK943" s="79">
        <v>38.844670000000001</v>
      </c>
      <c r="AL943" s="79">
        <v>70.872519999999994</v>
      </c>
      <c r="AM943" s="79">
        <v>88.350489999999994</v>
      </c>
      <c r="AN943" s="79"/>
      <c r="AO943" s="79">
        <v>78.981250000000003</v>
      </c>
      <c r="AP943" s="79">
        <v>85.585740000000001</v>
      </c>
      <c r="AQ943" s="79"/>
      <c r="AR943" s="79"/>
      <c r="AS943" s="79"/>
      <c r="AT943" s="79">
        <v>36.659559999999999</v>
      </c>
      <c r="AU943" s="79"/>
      <c r="AV943" s="79">
        <v>57.754449999999999</v>
      </c>
      <c r="AW943" s="79"/>
      <c r="AX943" s="79">
        <v>42.196480000000001</v>
      </c>
      <c r="AY943" s="79">
        <v>82.320760000000007</v>
      </c>
    </row>
    <row r="944" spans="1:51" x14ac:dyDescent="0.2">
      <c r="A944" t="s">
        <v>1489</v>
      </c>
      <c r="B944" s="1">
        <v>35612</v>
      </c>
      <c r="C944" s="78">
        <v>944</v>
      </c>
      <c r="E944" s="1">
        <f t="shared" si="28"/>
        <v>35612</v>
      </c>
      <c r="F944" s="2">
        <f t="shared" si="29"/>
        <v>35612</v>
      </c>
      <c r="G944" s="78">
        <v>942</v>
      </c>
      <c r="H944" s="79"/>
      <c r="I944" s="79"/>
      <c r="J944" s="79">
        <v>69.423140000000004</v>
      </c>
      <c r="K944" s="79">
        <v>83.613209999999995</v>
      </c>
      <c r="L944" s="79"/>
      <c r="M944" s="79">
        <v>59.671759999999999</v>
      </c>
      <c r="N944" s="79">
        <v>73.793850000000006</v>
      </c>
      <c r="O944" s="79">
        <v>99.169569999999993</v>
      </c>
      <c r="P944" s="79">
        <v>110.3841</v>
      </c>
      <c r="Q944" s="79"/>
      <c r="R944" s="79">
        <v>85</v>
      </c>
      <c r="S944" s="79">
        <v>97.820819999999998</v>
      </c>
      <c r="T944" s="79">
        <v>107.56189999999999</v>
      </c>
      <c r="U944" s="79">
        <v>124.94370000000001</v>
      </c>
      <c r="V944" s="79">
        <v>39.493029999999997</v>
      </c>
      <c r="W944" s="79">
        <v>28.75104</v>
      </c>
      <c r="X944" s="79"/>
      <c r="Y944" s="79">
        <v>61.84646</v>
      </c>
      <c r="Z944" s="79">
        <v>122.18980000000001</v>
      </c>
      <c r="AA944" s="79">
        <v>108.91459999999999</v>
      </c>
      <c r="AB944" s="79">
        <v>36.31897</v>
      </c>
      <c r="AC944" s="79">
        <v>81.134609999999995</v>
      </c>
      <c r="AD944" s="79"/>
      <c r="AE944" s="79">
        <v>83.077460000000002</v>
      </c>
      <c r="AF944" s="79">
        <v>85.196209999999994</v>
      </c>
      <c r="AG944" s="79">
        <v>121.9042</v>
      </c>
      <c r="AH944" s="79">
        <v>79.399280000000005</v>
      </c>
      <c r="AI944" s="79">
        <v>40.195450000000001</v>
      </c>
      <c r="AJ944" s="79">
        <v>116.5033</v>
      </c>
      <c r="AK944" s="79">
        <v>37.823700000000002</v>
      </c>
      <c r="AL944" s="79">
        <v>72.669730000000001</v>
      </c>
      <c r="AM944" s="79">
        <v>90.070949999999996</v>
      </c>
      <c r="AN944" s="79"/>
      <c r="AO944" s="79">
        <v>79.583690000000004</v>
      </c>
      <c r="AP944" s="79">
        <v>86.285619999999994</v>
      </c>
      <c r="AQ944" s="79"/>
      <c r="AR944" s="79"/>
      <c r="AS944" s="79"/>
      <c r="AT944" s="79">
        <v>36.915390000000002</v>
      </c>
      <c r="AU944" s="79"/>
      <c r="AV944" s="79">
        <v>58.14246</v>
      </c>
      <c r="AW944" s="79"/>
      <c r="AX944" s="79">
        <v>41.996499999999997</v>
      </c>
      <c r="AY944" s="79">
        <v>81.284949999999995</v>
      </c>
    </row>
    <row r="945" spans="1:51" x14ac:dyDescent="0.2">
      <c r="A945" t="s">
        <v>1490</v>
      </c>
      <c r="B945" s="1">
        <v>35643</v>
      </c>
      <c r="C945" s="78">
        <v>945</v>
      </c>
      <c r="E945" s="1">
        <f t="shared" si="28"/>
        <v>35643</v>
      </c>
      <c r="F945" s="2">
        <f t="shared" si="29"/>
        <v>35643</v>
      </c>
      <c r="G945" s="78">
        <v>943</v>
      </c>
      <c r="H945" s="79"/>
      <c r="I945" s="79"/>
      <c r="J945" s="79">
        <v>68.607619999999997</v>
      </c>
      <c r="K945" s="79">
        <v>83.428889999999996</v>
      </c>
      <c r="L945" s="79"/>
      <c r="M945" s="79">
        <v>60.518369999999997</v>
      </c>
      <c r="N945" s="79">
        <v>71.394049999999993</v>
      </c>
      <c r="O945" s="79">
        <v>96.665840000000003</v>
      </c>
      <c r="P945" s="79">
        <v>112.08410000000001</v>
      </c>
      <c r="Q945" s="79"/>
      <c r="R945" s="79">
        <v>83.9</v>
      </c>
      <c r="S945" s="79">
        <v>101.6108</v>
      </c>
      <c r="T945" s="79">
        <v>105.79689999999999</v>
      </c>
      <c r="U945" s="79">
        <v>120.34099999999999</v>
      </c>
      <c r="V945" s="79">
        <v>40.928609999999999</v>
      </c>
      <c r="W945" s="79">
        <v>29.10746</v>
      </c>
      <c r="X945" s="79"/>
      <c r="Y945" s="79">
        <v>60.935920000000003</v>
      </c>
      <c r="Z945" s="79">
        <v>122.88979999999999</v>
      </c>
      <c r="AA945" s="79">
        <v>108.4075</v>
      </c>
      <c r="AB945" s="79">
        <v>37.427880000000002</v>
      </c>
      <c r="AC945" s="79">
        <v>78.725040000000007</v>
      </c>
      <c r="AD945" s="79"/>
      <c r="AE945" s="79">
        <v>83.942629999999994</v>
      </c>
      <c r="AF945" s="79">
        <v>86.043459999999996</v>
      </c>
      <c r="AG945" s="79">
        <v>116.1096</v>
      </c>
      <c r="AH945" s="79">
        <v>79.584819999999993</v>
      </c>
      <c r="AI945" s="79">
        <v>40.247570000000003</v>
      </c>
      <c r="AJ945" s="79">
        <v>116.28870000000001</v>
      </c>
      <c r="AK945" s="79">
        <v>36.774140000000003</v>
      </c>
      <c r="AL945" s="79">
        <v>69.153450000000007</v>
      </c>
      <c r="AM945" s="79">
        <v>89.564930000000004</v>
      </c>
      <c r="AN945" s="79"/>
      <c r="AO945" s="79">
        <v>80.415199999999999</v>
      </c>
      <c r="AP945" s="79">
        <v>86.385599999999997</v>
      </c>
      <c r="AQ945" s="79"/>
      <c r="AR945" s="79"/>
      <c r="AS945" s="79"/>
      <c r="AT945" s="79">
        <v>36.82687</v>
      </c>
      <c r="AU945" s="79"/>
      <c r="AV945" s="79">
        <v>58.641170000000002</v>
      </c>
      <c r="AW945" s="79"/>
      <c r="AX945" s="79">
        <v>43.396389999999997</v>
      </c>
      <c r="AY945" s="79">
        <v>81.952079999999995</v>
      </c>
    </row>
    <row r="946" spans="1:51" x14ac:dyDescent="0.2">
      <c r="A946" t="s">
        <v>1491</v>
      </c>
      <c r="B946" s="1">
        <v>35674</v>
      </c>
      <c r="C946" s="78">
        <v>946</v>
      </c>
      <c r="E946" s="1">
        <f t="shared" si="28"/>
        <v>35674</v>
      </c>
      <c r="F946" s="2">
        <f t="shared" si="29"/>
        <v>35674</v>
      </c>
      <c r="G946" s="78">
        <v>944</v>
      </c>
      <c r="H946" s="79"/>
      <c r="I946" s="79"/>
      <c r="J946" s="79">
        <v>68.699969999999993</v>
      </c>
      <c r="K946" s="79">
        <v>83.29298</v>
      </c>
      <c r="L946" s="79"/>
      <c r="M946" s="79">
        <v>61.336489999999998</v>
      </c>
      <c r="N946" s="79">
        <v>71.994</v>
      </c>
      <c r="O946" s="79">
        <v>99.169569999999993</v>
      </c>
      <c r="P946" s="79">
        <v>111.5551</v>
      </c>
      <c r="Q946" s="79"/>
      <c r="R946" s="79">
        <v>83.9</v>
      </c>
      <c r="S946" s="79">
        <v>99.230829999999997</v>
      </c>
      <c r="T946" s="79">
        <v>106.316</v>
      </c>
      <c r="U946" s="79">
        <v>126.018</v>
      </c>
      <c r="V946" s="79">
        <v>41.133690000000001</v>
      </c>
      <c r="W946" s="79">
        <v>29.22626</v>
      </c>
      <c r="X946" s="79"/>
      <c r="Y946" s="79">
        <v>61.356169999999999</v>
      </c>
      <c r="Z946" s="79">
        <v>122.7898</v>
      </c>
      <c r="AA946" s="79">
        <v>107.69759999999999</v>
      </c>
      <c r="AB946" s="79">
        <v>37.612870000000001</v>
      </c>
      <c r="AC946" s="79">
        <v>81.165790000000001</v>
      </c>
      <c r="AD946" s="79"/>
      <c r="AE946" s="79">
        <v>84.059730000000002</v>
      </c>
      <c r="AF946" s="79">
        <v>86.514160000000004</v>
      </c>
      <c r="AG946" s="79">
        <v>119.49890000000001</v>
      </c>
      <c r="AH946" s="79">
        <v>79.853899999999996</v>
      </c>
      <c r="AI946" s="79">
        <v>41.633569999999999</v>
      </c>
      <c r="AJ946" s="79">
        <v>115.8476</v>
      </c>
      <c r="AK946" s="79">
        <v>37.411949999999997</v>
      </c>
      <c r="AL946" s="79">
        <v>71.653919999999999</v>
      </c>
      <c r="AM946" s="79">
        <v>89.868539999999996</v>
      </c>
      <c r="AN946" s="79"/>
      <c r="AO946" s="79">
        <v>81.129530000000003</v>
      </c>
      <c r="AP946" s="79">
        <v>86.085660000000004</v>
      </c>
      <c r="AQ946" s="79"/>
      <c r="AR946" s="79"/>
      <c r="AS946" s="79"/>
      <c r="AT946" s="79">
        <v>37.315660000000001</v>
      </c>
      <c r="AU946" s="79"/>
      <c r="AV946" s="79">
        <v>58.009480000000003</v>
      </c>
      <c r="AW946" s="79"/>
      <c r="AX946" s="79">
        <v>43.296390000000002</v>
      </c>
      <c r="AY946" s="79">
        <v>83.962260000000001</v>
      </c>
    </row>
    <row r="947" spans="1:51" x14ac:dyDescent="0.2">
      <c r="A947" t="s">
        <v>1492</v>
      </c>
      <c r="B947" s="1">
        <v>35704</v>
      </c>
      <c r="C947" s="78">
        <v>947</v>
      </c>
      <c r="E947" s="1">
        <f t="shared" si="28"/>
        <v>35704</v>
      </c>
      <c r="F947" s="2">
        <f t="shared" si="29"/>
        <v>35704</v>
      </c>
      <c r="G947" s="78">
        <v>945</v>
      </c>
      <c r="H947" s="79"/>
      <c r="I947" s="79"/>
      <c r="J947" s="79">
        <v>68.435180000000003</v>
      </c>
      <c r="K947" s="79">
        <v>84.268389999999997</v>
      </c>
      <c r="L947" s="79"/>
      <c r="M947" s="79">
        <v>62.810229999999997</v>
      </c>
      <c r="N947" s="79">
        <v>72.993920000000003</v>
      </c>
      <c r="O947" s="79">
        <v>103.0885</v>
      </c>
      <c r="P947" s="79">
        <v>112.8841</v>
      </c>
      <c r="Q947" s="79"/>
      <c r="R947" s="79">
        <v>85.3</v>
      </c>
      <c r="S947" s="79">
        <v>101.7208</v>
      </c>
      <c r="T947" s="79">
        <v>107.0427</v>
      </c>
      <c r="U947" s="79">
        <v>126.9024</v>
      </c>
      <c r="V947" s="79">
        <v>41.661050000000003</v>
      </c>
      <c r="W947" s="79">
        <v>29.16686</v>
      </c>
      <c r="X947" s="79"/>
      <c r="Y947" s="79">
        <v>61.776420000000002</v>
      </c>
      <c r="Z947" s="79">
        <v>124.28959999999999</v>
      </c>
      <c r="AA947" s="79">
        <v>106.98779999999999</v>
      </c>
      <c r="AB947" s="79">
        <v>36.780929999999998</v>
      </c>
      <c r="AC947" s="79">
        <v>81.700040000000001</v>
      </c>
      <c r="AD947" s="79"/>
      <c r="AE947" s="79">
        <v>84.794700000000006</v>
      </c>
      <c r="AF947" s="79">
        <v>86.043459999999996</v>
      </c>
      <c r="AG947" s="79">
        <v>122.7788</v>
      </c>
      <c r="AH947" s="79">
        <v>80.391990000000007</v>
      </c>
      <c r="AI947" s="79">
        <v>41.362400000000001</v>
      </c>
      <c r="AJ947" s="79">
        <v>119.0166</v>
      </c>
      <c r="AK947" s="79">
        <v>38.808880000000002</v>
      </c>
      <c r="AL947" s="79">
        <v>72.122749999999996</v>
      </c>
      <c r="AM947" s="79">
        <v>91.285390000000007</v>
      </c>
      <c r="AN947" s="79"/>
      <c r="AO947" s="79">
        <v>81.827539999999999</v>
      </c>
      <c r="AP947" s="79">
        <v>87.385440000000003</v>
      </c>
      <c r="AQ947" s="79"/>
      <c r="AR947" s="79"/>
      <c r="AS947" s="79"/>
      <c r="AT947" s="79">
        <v>37.529879999999999</v>
      </c>
      <c r="AU947" s="79"/>
      <c r="AV947" s="79">
        <v>57.535710000000002</v>
      </c>
      <c r="AW947" s="79"/>
      <c r="AX947" s="79">
        <v>42.896430000000002</v>
      </c>
      <c r="AY947" s="79">
        <v>84.401160000000004</v>
      </c>
    </row>
    <row r="948" spans="1:51" x14ac:dyDescent="0.2">
      <c r="A948" t="s">
        <v>1493</v>
      </c>
      <c r="B948" s="1">
        <v>35735</v>
      </c>
      <c r="C948" s="78">
        <v>948</v>
      </c>
      <c r="E948" s="1">
        <f t="shared" si="28"/>
        <v>35735</v>
      </c>
      <c r="F948" s="2">
        <f t="shared" si="29"/>
        <v>35735</v>
      </c>
      <c r="G948" s="78">
        <v>946</v>
      </c>
      <c r="H948" s="79"/>
      <c r="I948" s="79"/>
      <c r="J948" s="79">
        <v>66.807599999999994</v>
      </c>
      <c r="K948" s="79">
        <v>84.368989999999997</v>
      </c>
      <c r="L948" s="79"/>
      <c r="M948" s="79">
        <v>64.053160000000005</v>
      </c>
      <c r="N948" s="79">
        <v>73.393879999999996</v>
      </c>
      <c r="O948" s="79">
        <v>105.70099999999999</v>
      </c>
      <c r="P948" s="79">
        <v>111.7921</v>
      </c>
      <c r="Q948" s="79"/>
      <c r="R948" s="79">
        <v>87.2</v>
      </c>
      <c r="S948" s="79">
        <v>99.380830000000003</v>
      </c>
      <c r="T948" s="79">
        <v>107.35420000000001</v>
      </c>
      <c r="U948" s="79">
        <v>128.07910000000001</v>
      </c>
      <c r="V948" s="79">
        <v>43.038029999999999</v>
      </c>
      <c r="W948" s="79">
        <v>30.29552</v>
      </c>
      <c r="X948" s="79"/>
      <c r="Y948" s="79">
        <v>63.317329999999998</v>
      </c>
      <c r="Z948" s="79">
        <v>123.58969999999999</v>
      </c>
      <c r="AA948" s="79">
        <v>105.6694</v>
      </c>
      <c r="AB948" s="79">
        <v>36.31897</v>
      </c>
      <c r="AC948" s="79">
        <v>83.584630000000004</v>
      </c>
      <c r="AD948" s="79"/>
      <c r="AE948" s="79">
        <v>84.692390000000003</v>
      </c>
      <c r="AF948" s="79">
        <v>87.267269999999996</v>
      </c>
      <c r="AG948" s="79">
        <v>120.7015</v>
      </c>
      <c r="AH948" s="79">
        <v>80.435000000000002</v>
      </c>
      <c r="AI948" s="79">
        <v>42.320909999999998</v>
      </c>
      <c r="AJ948" s="79">
        <v>119.8368</v>
      </c>
      <c r="AK948" s="79">
        <v>39.077979999999997</v>
      </c>
      <c r="AL948" s="79">
        <v>73.060419999999993</v>
      </c>
      <c r="AM948" s="79">
        <v>90.981769999999997</v>
      </c>
      <c r="AN948" s="79"/>
      <c r="AO948" s="79">
        <v>82.545900000000003</v>
      </c>
      <c r="AP948" s="79">
        <v>86.985500000000002</v>
      </c>
      <c r="AQ948" s="79"/>
      <c r="AR948" s="79"/>
      <c r="AS948" s="79"/>
      <c r="AT948" s="79">
        <v>37.614989999999999</v>
      </c>
      <c r="AU948" s="79"/>
      <c r="AV948" s="79">
        <v>58.15804</v>
      </c>
      <c r="AW948" s="79"/>
      <c r="AX948" s="79">
        <v>42.296469999999999</v>
      </c>
      <c r="AY948" s="79">
        <v>80.626589999999993</v>
      </c>
    </row>
    <row r="949" spans="1:51" x14ac:dyDescent="0.2">
      <c r="A949" t="s">
        <v>1494</v>
      </c>
      <c r="B949" s="1">
        <v>35765</v>
      </c>
      <c r="C949" s="78">
        <v>949</v>
      </c>
      <c r="E949" s="1">
        <f t="shared" si="28"/>
        <v>35765</v>
      </c>
      <c r="F949" s="2">
        <f t="shared" si="29"/>
        <v>35765</v>
      </c>
      <c r="G949" s="78">
        <v>947</v>
      </c>
      <c r="H949" s="79"/>
      <c r="I949" s="79"/>
      <c r="J949" s="79">
        <v>70.141199999999998</v>
      </c>
      <c r="K949" s="79">
        <v>84.644279999999995</v>
      </c>
      <c r="L949" s="79"/>
      <c r="M949" s="79">
        <v>59.394599999999997</v>
      </c>
      <c r="N949" s="79">
        <v>74.093829999999997</v>
      </c>
      <c r="O949" s="79">
        <v>105.1568</v>
      </c>
      <c r="P949" s="79">
        <v>111.5521</v>
      </c>
      <c r="Q949" s="79"/>
      <c r="R949" s="79">
        <v>88.4</v>
      </c>
      <c r="S949" s="79">
        <v>101.3708</v>
      </c>
      <c r="T949" s="79">
        <v>107.14660000000001</v>
      </c>
      <c r="U949" s="79">
        <v>128.86109999999999</v>
      </c>
      <c r="V949" s="79">
        <v>42.071210000000001</v>
      </c>
      <c r="W949" s="79">
        <v>29.82029</v>
      </c>
      <c r="X949" s="79"/>
      <c r="Y949" s="79">
        <v>61.076000000000001</v>
      </c>
      <c r="Z949" s="79">
        <v>124.4896</v>
      </c>
      <c r="AA949" s="79">
        <v>104.6553</v>
      </c>
      <c r="AB949" s="79">
        <v>35.764020000000002</v>
      </c>
      <c r="AC949" s="79">
        <v>82.548789999999997</v>
      </c>
      <c r="AD949" s="79"/>
      <c r="AE949" s="79">
        <v>84.061310000000006</v>
      </c>
      <c r="AF949" s="79">
        <v>84.160679999999999</v>
      </c>
      <c r="AG949" s="79">
        <v>121.13890000000001</v>
      </c>
      <c r="AH949" s="79">
        <v>80.456019999999995</v>
      </c>
      <c r="AI949" s="79">
        <v>42.14329</v>
      </c>
      <c r="AJ949" s="79">
        <v>118.3754</v>
      </c>
      <c r="AK949" s="79">
        <v>38.93835</v>
      </c>
      <c r="AL949" s="79">
        <v>73.138570000000001</v>
      </c>
      <c r="AM949" s="79">
        <v>92.601029999999994</v>
      </c>
      <c r="AN949" s="79"/>
      <c r="AO949" s="79">
        <v>82.800439999999995</v>
      </c>
      <c r="AP949" s="79">
        <v>87.985339999999994</v>
      </c>
      <c r="AQ949" s="79"/>
      <c r="AR949" s="79"/>
      <c r="AS949" s="79"/>
      <c r="AT949" s="79">
        <v>37.41751</v>
      </c>
      <c r="AU949" s="79"/>
      <c r="AV949" s="79">
        <v>56.00526</v>
      </c>
      <c r="AW949" s="79"/>
      <c r="AX949" s="79">
        <v>42.896430000000002</v>
      </c>
      <c r="AY949" s="79">
        <v>77.097809999999996</v>
      </c>
    </row>
    <row r="950" spans="1:51" x14ac:dyDescent="0.2">
      <c r="A950" t="s">
        <v>1495</v>
      </c>
      <c r="B950" s="1">
        <v>35796</v>
      </c>
      <c r="C950" s="78">
        <v>950</v>
      </c>
      <c r="E950" s="1">
        <f t="shared" si="28"/>
        <v>35796</v>
      </c>
      <c r="F950" s="2">
        <f t="shared" si="29"/>
        <v>35796</v>
      </c>
      <c r="G950" s="78">
        <v>948</v>
      </c>
      <c r="H950" s="79"/>
      <c r="I950" s="79"/>
      <c r="J950" s="79">
        <v>69.437359999999998</v>
      </c>
      <c r="K950" s="79">
        <v>84.022000000000006</v>
      </c>
      <c r="L950" s="79"/>
      <c r="M950" s="79">
        <v>63.840330000000002</v>
      </c>
      <c r="N950" s="79">
        <v>74.89376</v>
      </c>
      <c r="O950" s="79">
        <v>102.4353</v>
      </c>
      <c r="P950" s="79">
        <v>113.44110000000001</v>
      </c>
      <c r="Q950" s="79"/>
      <c r="R950" s="79">
        <v>86.6</v>
      </c>
      <c r="S950" s="79">
        <v>101.3708</v>
      </c>
      <c r="T950" s="79">
        <v>106.9389</v>
      </c>
      <c r="U950" s="79">
        <v>132.173</v>
      </c>
      <c r="V950" s="79">
        <v>41.907440000000001</v>
      </c>
      <c r="W950" s="79">
        <v>31.66178</v>
      </c>
      <c r="X950" s="79">
        <v>25.60022</v>
      </c>
      <c r="Y950" s="79">
        <v>60.935920000000003</v>
      </c>
      <c r="Z950" s="79">
        <v>123.58969999999999</v>
      </c>
      <c r="AA950" s="79">
        <v>106.1943</v>
      </c>
      <c r="AB950" s="79">
        <v>33.731189999999998</v>
      </c>
      <c r="AC950" s="79">
        <v>82.025300000000001</v>
      </c>
      <c r="AD950" s="79"/>
      <c r="AE950" s="79">
        <v>84.657489999999996</v>
      </c>
      <c r="AF950" s="79">
        <v>86.702439999999996</v>
      </c>
      <c r="AG950" s="79">
        <v>119.1709</v>
      </c>
      <c r="AH950" s="79">
        <v>80.805059999999997</v>
      </c>
      <c r="AI950" s="79">
        <v>42.951680000000003</v>
      </c>
      <c r="AJ950" s="79">
        <v>118.833</v>
      </c>
      <c r="AK950" s="79">
        <v>40.618209999999998</v>
      </c>
      <c r="AL950" s="79">
        <v>73.743089999999995</v>
      </c>
      <c r="AM950" s="79">
        <v>91.386589999999998</v>
      </c>
      <c r="AN950" s="79"/>
      <c r="AO950" s="79">
        <v>83.225650000000002</v>
      </c>
      <c r="AP950" s="79">
        <v>88.285290000000003</v>
      </c>
      <c r="AQ950" s="79"/>
      <c r="AR950" s="79"/>
      <c r="AS950" s="79"/>
      <c r="AT950" s="79">
        <v>37.613050000000001</v>
      </c>
      <c r="AU950" s="79"/>
      <c r="AV950" s="79">
        <v>53.747489999999999</v>
      </c>
      <c r="AW950" s="79"/>
      <c r="AX950" s="79">
        <v>43.396389999999997</v>
      </c>
      <c r="AY950" s="79">
        <v>78.511080000000007</v>
      </c>
    </row>
    <row r="951" spans="1:51" x14ac:dyDescent="0.2">
      <c r="A951" t="s">
        <v>1496</v>
      </c>
      <c r="B951" s="1">
        <v>35827</v>
      </c>
      <c r="C951" s="78">
        <v>951</v>
      </c>
      <c r="E951" s="1">
        <f t="shared" si="28"/>
        <v>35827</v>
      </c>
      <c r="F951" s="2">
        <f t="shared" si="29"/>
        <v>35827</v>
      </c>
      <c r="G951" s="78">
        <v>949</v>
      </c>
      <c r="H951" s="79"/>
      <c r="I951" s="79"/>
      <c r="J951" s="79">
        <v>70.232929999999996</v>
      </c>
      <c r="K951" s="79">
        <v>85.056809999999999</v>
      </c>
      <c r="L951" s="79"/>
      <c r="M951" s="79">
        <v>63.800179999999997</v>
      </c>
      <c r="N951" s="79">
        <v>74.693780000000004</v>
      </c>
      <c r="O951" s="79">
        <v>101.4556</v>
      </c>
      <c r="P951" s="79">
        <v>116.32510000000001</v>
      </c>
      <c r="Q951" s="79"/>
      <c r="R951" s="79">
        <v>88.1</v>
      </c>
      <c r="S951" s="79">
        <v>102.07089999999999</v>
      </c>
      <c r="T951" s="79">
        <v>108.1848</v>
      </c>
      <c r="U951" s="79">
        <v>134.08179999999999</v>
      </c>
      <c r="V951" s="79">
        <v>43.374780000000001</v>
      </c>
      <c r="W951" s="79">
        <v>32.968649999999997</v>
      </c>
      <c r="X951" s="79">
        <v>25.582039999999999</v>
      </c>
      <c r="Y951" s="79">
        <v>64.718149999999994</v>
      </c>
      <c r="Z951" s="79">
        <v>123.4897</v>
      </c>
      <c r="AA951" s="79">
        <v>103.43049999999999</v>
      </c>
      <c r="AB951" s="79">
        <v>34.00817</v>
      </c>
      <c r="AC951" s="79">
        <v>85.474530000000001</v>
      </c>
      <c r="AD951" s="79"/>
      <c r="AE951" s="79">
        <v>86.489519999999999</v>
      </c>
      <c r="AF951" s="79">
        <v>85.478620000000006</v>
      </c>
      <c r="AG951" s="79">
        <v>118.2962</v>
      </c>
      <c r="AH951" s="79">
        <v>80.864239999999995</v>
      </c>
      <c r="AI951" s="79">
        <v>43.526040000000002</v>
      </c>
      <c r="AJ951" s="79">
        <v>124.42749999999999</v>
      </c>
      <c r="AK951" s="79">
        <v>40.336779999999997</v>
      </c>
      <c r="AL951" s="79">
        <v>74.583200000000005</v>
      </c>
      <c r="AM951" s="79">
        <v>91.285390000000007</v>
      </c>
      <c r="AN951" s="79"/>
      <c r="AO951" s="79">
        <v>83.334959999999995</v>
      </c>
      <c r="AP951" s="79">
        <v>88.685220000000001</v>
      </c>
      <c r="AQ951" s="79"/>
      <c r="AR951" s="79"/>
      <c r="AS951" s="79"/>
      <c r="AT951" s="79">
        <v>37.9968</v>
      </c>
      <c r="AU951" s="79"/>
      <c r="AV951" s="79">
        <v>56.248130000000003</v>
      </c>
      <c r="AW951" s="79"/>
      <c r="AX951" s="79">
        <v>43.496380000000002</v>
      </c>
      <c r="AY951" s="79">
        <v>79.977010000000007</v>
      </c>
    </row>
    <row r="952" spans="1:51" x14ac:dyDescent="0.2">
      <c r="A952" t="s">
        <v>1497</v>
      </c>
      <c r="B952" s="1">
        <v>35855</v>
      </c>
      <c r="C952" s="78">
        <v>952</v>
      </c>
      <c r="E952" s="1">
        <f t="shared" si="28"/>
        <v>35855</v>
      </c>
      <c r="F952" s="2">
        <f t="shared" si="29"/>
        <v>35855</v>
      </c>
      <c r="G952" s="78">
        <v>950</v>
      </c>
      <c r="H952" s="79"/>
      <c r="I952" s="79"/>
      <c r="J952" s="79">
        <v>69.698800000000006</v>
      </c>
      <c r="K952" s="79">
        <v>85.894710000000003</v>
      </c>
      <c r="L952" s="79"/>
      <c r="M952" s="79">
        <v>63.99145</v>
      </c>
      <c r="N952" s="79">
        <v>75.693700000000007</v>
      </c>
      <c r="O952" s="79">
        <v>103.41500000000001</v>
      </c>
      <c r="P952" s="79">
        <v>114.30110000000001</v>
      </c>
      <c r="Q952" s="79"/>
      <c r="R952" s="79">
        <v>89.3</v>
      </c>
      <c r="S952" s="79">
        <v>100.85080000000001</v>
      </c>
      <c r="T952" s="79">
        <v>108.49630000000001</v>
      </c>
      <c r="U952" s="79">
        <v>143.6789</v>
      </c>
      <c r="V952" s="79">
        <v>43.492170000000002</v>
      </c>
      <c r="W952" s="79">
        <v>33.265659999999997</v>
      </c>
      <c r="X952" s="79">
        <v>26.09271</v>
      </c>
      <c r="Y952" s="79">
        <v>63.737580000000001</v>
      </c>
      <c r="Z952" s="79">
        <v>122.88979999999999</v>
      </c>
      <c r="AA952" s="79">
        <v>101.1981</v>
      </c>
      <c r="AB952" s="79">
        <v>32.622280000000003</v>
      </c>
      <c r="AC952" s="79">
        <v>82.732460000000003</v>
      </c>
      <c r="AD952" s="79"/>
      <c r="AE952" s="79">
        <v>88.084509999999995</v>
      </c>
      <c r="AF952" s="79">
        <v>85.855180000000004</v>
      </c>
      <c r="AG952" s="79">
        <v>119.6082</v>
      </c>
      <c r="AH952" s="79">
        <v>80.656369999999995</v>
      </c>
      <c r="AI952" s="79">
        <v>42.383400000000002</v>
      </c>
      <c r="AJ952" s="79">
        <v>123.6494</v>
      </c>
      <c r="AK952" s="79">
        <v>41.829900000000002</v>
      </c>
      <c r="AL952" s="79">
        <v>73.929779999999994</v>
      </c>
      <c r="AM952" s="79">
        <v>91.993799999999993</v>
      </c>
      <c r="AN952" s="79"/>
      <c r="AO952" s="79">
        <v>83.391239999999996</v>
      </c>
      <c r="AP952" s="79">
        <v>88.685220000000001</v>
      </c>
      <c r="AQ952" s="79"/>
      <c r="AR952" s="79"/>
      <c r="AS952" s="79"/>
      <c r="AT952" s="79">
        <v>37.480080000000001</v>
      </c>
      <c r="AU952" s="79"/>
      <c r="AV952" s="79">
        <v>55.460160000000002</v>
      </c>
      <c r="AW952" s="79"/>
      <c r="AX952" s="79">
        <v>44.19632</v>
      </c>
      <c r="AY952" s="79">
        <v>79.643450000000001</v>
      </c>
    </row>
    <row r="953" spans="1:51" x14ac:dyDescent="0.2">
      <c r="A953" t="s">
        <v>1498</v>
      </c>
      <c r="B953" s="1">
        <v>35886</v>
      </c>
      <c r="C953" s="78">
        <v>953</v>
      </c>
      <c r="E953" s="1">
        <f t="shared" si="28"/>
        <v>35886</v>
      </c>
      <c r="F953" s="2">
        <f t="shared" si="29"/>
        <v>35886</v>
      </c>
      <c r="G953" s="78">
        <v>951</v>
      </c>
      <c r="H953" s="79"/>
      <c r="I953" s="79"/>
      <c r="J953" s="79">
        <v>69.875010000000003</v>
      </c>
      <c r="K953" s="79">
        <v>85.518039999999999</v>
      </c>
      <c r="L953" s="79"/>
      <c r="M953" s="79">
        <v>63.837809999999998</v>
      </c>
      <c r="N953" s="79">
        <v>74.993750000000006</v>
      </c>
      <c r="O953" s="79">
        <v>97.863280000000003</v>
      </c>
      <c r="P953" s="79">
        <v>115.1901</v>
      </c>
      <c r="Q953" s="79"/>
      <c r="R953" s="79">
        <v>90</v>
      </c>
      <c r="S953" s="79">
        <v>102.1508</v>
      </c>
      <c r="T953" s="79">
        <v>108.3925</v>
      </c>
      <c r="U953" s="79">
        <v>138.51599999999999</v>
      </c>
      <c r="V953" s="79">
        <v>43.96172</v>
      </c>
      <c r="W953" s="79">
        <v>32.434019999999997</v>
      </c>
      <c r="X953" s="79">
        <v>26.613790000000002</v>
      </c>
      <c r="Y953" s="79">
        <v>62.546869999999998</v>
      </c>
      <c r="Z953" s="79">
        <v>123.8897</v>
      </c>
      <c r="AA953" s="79">
        <v>100.9855</v>
      </c>
      <c r="AB953" s="79">
        <v>32.252310000000001</v>
      </c>
      <c r="AC953" s="79">
        <v>81.141249999999999</v>
      </c>
      <c r="AD953" s="79"/>
      <c r="AE953" s="79">
        <v>86.800730000000001</v>
      </c>
      <c r="AF953" s="79">
        <v>86.796580000000006</v>
      </c>
      <c r="AG953" s="79">
        <v>121.5762</v>
      </c>
      <c r="AH953" s="79">
        <v>80.634399999999999</v>
      </c>
      <c r="AI953" s="79">
        <v>43.111409999999999</v>
      </c>
      <c r="AJ953" s="79">
        <v>124.861</v>
      </c>
      <c r="AK953" s="79">
        <v>41.65016</v>
      </c>
      <c r="AL953" s="79">
        <v>74.396510000000006</v>
      </c>
      <c r="AM953" s="79">
        <v>93.107050000000001</v>
      </c>
      <c r="AN953" s="79"/>
      <c r="AO953" s="79">
        <v>83.699860000000001</v>
      </c>
      <c r="AP953" s="79">
        <v>88.985169999999997</v>
      </c>
      <c r="AQ953" s="79"/>
      <c r="AR953" s="79"/>
      <c r="AS953" s="79"/>
      <c r="AT953" s="79">
        <v>37.927990000000001</v>
      </c>
      <c r="AU953" s="79"/>
      <c r="AV953" s="79">
        <v>54.75544</v>
      </c>
      <c r="AW953" s="79"/>
      <c r="AX953" s="79">
        <v>43.296390000000002</v>
      </c>
      <c r="AY953" s="79">
        <v>80.3018</v>
      </c>
    </row>
    <row r="954" spans="1:51" x14ac:dyDescent="0.2">
      <c r="A954" t="s">
        <v>1499</v>
      </c>
      <c r="B954" s="1">
        <v>35916</v>
      </c>
      <c r="C954" s="78">
        <v>954</v>
      </c>
      <c r="E954" s="1">
        <f t="shared" si="28"/>
        <v>35916</v>
      </c>
      <c r="F954" s="2">
        <f t="shared" si="29"/>
        <v>35916</v>
      </c>
      <c r="G954" s="78">
        <v>952</v>
      </c>
      <c r="H954" s="79"/>
      <c r="I954" s="79"/>
      <c r="J954" s="79">
        <v>69.847759999999994</v>
      </c>
      <c r="K954" s="79">
        <v>84.835030000000003</v>
      </c>
      <c r="L954" s="79"/>
      <c r="M954" s="79">
        <v>62.632420000000003</v>
      </c>
      <c r="N954" s="79">
        <v>75.393709999999999</v>
      </c>
      <c r="O954" s="79">
        <v>98.29871</v>
      </c>
      <c r="P954" s="79">
        <v>115.98909999999999</v>
      </c>
      <c r="Q954" s="79"/>
      <c r="R954" s="79">
        <v>89.6</v>
      </c>
      <c r="S954" s="79">
        <v>103.4409</v>
      </c>
      <c r="T954" s="79">
        <v>107.35420000000001</v>
      </c>
      <c r="U954" s="79">
        <v>134.33629999999999</v>
      </c>
      <c r="V954" s="79">
        <v>45.076900000000002</v>
      </c>
      <c r="W954" s="79">
        <v>32.790439999999997</v>
      </c>
      <c r="X954" s="79">
        <v>27.112300000000001</v>
      </c>
      <c r="Y954" s="79">
        <v>62.686950000000003</v>
      </c>
      <c r="Z954" s="79">
        <v>123.6897</v>
      </c>
      <c r="AA954" s="79">
        <v>100.2414</v>
      </c>
      <c r="AB954" s="79">
        <v>32.622280000000003</v>
      </c>
      <c r="AC954" s="79">
        <v>82.108710000000002</v>
      </c>
      <c r="AD954" s="79"/>
      <c r="AE954" s="79">
        <v>87.424899999999994</v>
      </c>
      <c r="AF954" s="79">
        <v>87.643829999999994</v>
      </c>
      <c r="AG954" s="79">
        <v>117.0936</v>
      </c>
      <c r="AH954" s="79">
        <v>80.790469999999999</v>
      </c>
      <c r="AI954" s="79">
        <v>43.390590000000003</v>
      </c>
      <c r="AJ954" s="79">
        <v>125.5668</v>
      </c>
      <c r="AK954" s="79">
        <v>39.954770000000003</v>
      </c>
      <c r="AL954" s="79">
        <v>74.209819999999993</v>
      </c>
      <c r="AM954" s="79">
        <v>91.588999999999999</v>
      </c>
      <c r="AN954" s="79"/>
      <c r="AO954" s="79">
        <v>84.232079999999996</v>
      </c>
      <c r="AP954" s="79">
        <v>89.285120000000006</v>
      </c>
      <c r="AQ954" s="79"/>
      <c r="AR954" s="79"/>
      <c r="AS954" s="79"/>
      <c r="AT954" s="79">
        <v>37.983829999999998</v>
      </c>
      <c r="AU954" s="79"/>
      <c r="AV954" s="79">
        <v>52.360889999999998</v>
      </c>
      <c r="AW954" s="79"/>
      <c r="AX954" s="79">
        <v>44.296309999999998</v>
      </c>
      <c r="AY954" s="79">
        <v>81.881860000000003</v>
      </c>
    </row>
    <row r="955" spans="1:51" x14ac:dyDescent="0.2">
      <c r="A955" t="s">
        <v>1500</v>
      </c>
      <c r="B955" s="1">
        <v>35947</v>
      </c>
      <c r="C955" s="78">
        <v>955</v>
      </c>
      <c r="E955" s="1">
        <f t="shared" si="28"/>
        <v>35947</v>
      </c>
      <c r="F955" s="2">
        <f t="shared" si="29"/>
        <v>35947</v>
      </c>
      <c r="G955" s="78">
        <v>953</v>
      </c>
      <c r="H955" s="79"/>
      <c r="I955" s="79"/>
      <c r="J955" s="79">
        <v>71.10548</v>
      </c>
      <c r="K955" s="79">
        <v>84.782859999999999</v>
      </c>
      <c r="L955" s="79"/>
      <c r="M955" s="79">
        <v>61.654119999999999</v>
      </c>
      <c r="N955" s="79">
        <v>74.793769999999995</v>
      </c>
      <c r="O955" s="79">
        <v>110.3819</v>
      </c>
      <c r="P955" s="79">
        <v>115.5801</v>
      </c>
      <c r="Q955" s="79"/>
      <c r="R955" s="79">
        <v>88.4</v>
      </c>
      <c r="S955" s="79">
        <v>102.76090000000001</v>
      </c>
      <c r="T955" s="79">
        <v>107.2504</v>
      </c>
      <c r="U955" s="79">
        <v>135.94409999999999</v>
      </c>
      <c r="V955" s="79">
        <v>45.370370000000001</v>
      </c>
      <c r="W955" s="79">
        <v>32.84984</v>
      </c>
      <c r="X955" s="79">
        <v>27.392980000000001</v>
      </c>
      <c r="Y955" s="79">
        <v>64.508030000000005</v>
      </c>
      <c r="Z955" s="79">
        <v>123.4897</v>
      </c>
      <c r="AA955" s="79">
        <v>100.2414</v>
      </c>
      <c r="AB955" s="79">
        <v>32.160319999999999</v>
      </c>
      <c r="AC955" s="79">
        <v>85.012259999999998</v>
      </c>
      <c r="AD955" s="79"/>
      <c r="AE955" s="79">
        <v>86.671750000000003</v>
      </c>
      <c r="AF955" s="79">
        <v>86.231740000000002</v>
      </c>
      <c r="AG955" s="79">
        <v>120.92019999999999</v>
      </c>
      <c r="AH955" s="79">
        <v>80.372709999999998</v>
      </c>
      <c r="AI955" s="79">
        <v>43.061500000000002</v>
      </c>
      <c r="AJ955" s="79">
        <v>122.291</v>
      </c>
      <c r="AK955" s="79">
        <v>39.328060000000001</v>
      </c>
      <c r="AL955" s="79">
        <v>72.249560000000002</v>
      </c>
      <c r="AM955" s="79">
        <v>93.714259999999996</v>
      </c>
      <c r="AN955" s="79"/>
      <c r="AO955" s="79">
        <v>83.703609999999998</v>
      </c>
      <c r="AP955" s="79">
        <v>88.885189999999994</v>
      </c>
      <c r="AQ955" s="79"/>
      <c r="AR955" s="79"/>
      <c r="AS955" s="79"/>
      <c r="AT955" s="79">
        <v>38.53098</v>
      </c>
      <c r="AU955" s="79"/>
      <c r="AV955" s="79">
        <v>51.200600000000001</v>
      </c>
      <c r="AW955" s="79"/>
      <c r="AX955" s="79">
        <v>42.296469999999999</v>
      </c>
      <c r="AY955" s="79">
        <v>80.714370000000002</v>
      </c>
    </row>
    <row r="956" spans="1:51" x14ac:dyDescent="0.2">
      <c r="A956" t="s">
        <v>1501</v>
      </c>
      <c r="B956" s="1">
        <v>35977</v>
      </c>
      <c r="C956" s="78">
        <v>956</v>
      </c>
      <c r="E956" s="1">
        <f t="shared" si="28"/>
        <v>35977</v>
      </c>
      <c r="F956" s="2">
        <f t="shared" si="29"/>
        <v>35977</v>
      </c>
      <c r="G956" s="78">
        <v>954</v>
      </c>
      <c r="H956" s="79"/>
      <c r="I956" s="79"/>
      <c r="J956" s="79">
        <v>70.694710000000001</v>
      </c>
      <c r="K956" s="79">
        <v>83.459109999999995</v>
      </c>
      <c r="L956" s="79"/>
      <c r="M956" s="79">
        <v>62.169989999999999</v>
      </c>
      <c r="N956" s="79">
        <v>76.393630000000002</v>
      </c>
      <c r="O956" s="79">
        <v>115.0628</v>
      </c>
      <c r="P956" s="79">
        <v>115.4821</v>
      </c>
      <c r="Q956" s="79"/>
      <c r="R956" s="79">
        <v>89.3</v>
      </c>
      <c r="S956" s="79">
        <v>103.3609</v>
      </c>
      <c r="T956" s="79">
        <v>107.6657</v>
      </c>
      <c r="U956" s="79">
        <v>136.92230000000001</v>
      </c>
      <c r="V956" s="79">
        <v>45.546460000000003</v>
      </c>
      <c r="W956" s="79">
        <v>34.0379</v>
      </c>
      <c r="X956" s="79">
        <v>27.630579999999998</v>
      </c>
      <c r="Y956" s="79">
        <v>63.247280000000003</v>
      </c>
      <c r="Z956" s="79">
        <v>123.2897</v>
      </c>
      <c r="AA956" s="79">
        <v>100.0288</v>
      </c>
      <c r="AB956" s="79">
        <v>31.513369999999998</v>
      </c>
      <c r="AC956" s="79">
        <v>70.629140000000007</v>
      </c>
      <c r="AD956" s="79"/>
      <c r="AE956" s="79">
        <v>87.344949999999997</v>
      </c>
      <c r="AF956" s="79">
        <v>87.549689999999998</v>
      </c>
      <c r="AG956" s="79">
        <v>118.40560000000001</v>
      </c>
      <c r="AH956" s="79">
        <v>80.411969999999997</v>
      </c>
      <c r="AI956" s="79">
        <v>42.474820000000001</v>
      </c>
      <c r="AJ956" s="79">
        <v>124.25239999999999</v>
      </c>
      <c r="AK956" s="79">
        <v>39.988030000000002</v>
      </c>
      <c r="AL956" s="79">
        <v>73.089669999999998</v>
      </c>
      <c r="AM956" s="79">
        <v>94.42268</v>
      </c>
      <c r="AN956" s="79"/>
      <c r="AO956" s="79">
        <v>83.412859999999995</v>
      </c>
      <c r="AP956" s="79">
        <v>89.785030000000006</v>
      </c>
      <c r="AQ956" s="79"/>
      <c r="AR956" s="79"/>
      <c r="AS956" s="79"/>
      <c r="AT956" s="79">
        <v>38.318080000000002</v>
      </c>
      <c r="AU956" s="79"/>
      <c r="AV956" s="79">
        <v>49.781289999999998</v>
      </c>
      <c r="AW956" s="79"/>
      <c r="AX956" s="79">
        <v>42.696440000000003</v>
      </c>
      <c r="AY956" s="79">
        <v>81.407839999999993</v>
      </c>
    </row>
    <row r="957" spans="1:51" x14ac:dyDescent="0.2">
      <c r="A957" t="s">
        <v>1502</v>
      </c>
      <c r="B957" s="1">
        <v>36008</v>
      </c>
      <c r="C957" s="78">
        <v>957</v>
      </c>
      <c r="E957" s="1">
        <f t="shared" si="28"/>
        <v>36008</v>
      </c>
      <c r="F957" s="2">
        <f t="shared" si="29"/>
        <v>36008</v>
      </c>
      <c r="G957" s="78">
        <v>955</v>
      </c>
      <c r="H957" s="79"/>
      <c r="I957" s="79"/>
      <c r="J957" s="79">
        <v>69.564049999999995</v>
      </c>
      <c r="K957" s="79">
        <v>85.60257</v>
      </c>
      <c r="L957" s="79"/>
      <c r="M957" s="79">
        <v>60.932569999999998</v>
      </c>
      <c r="N957" s="79">
        <v>74.693780000000004</v>
      </c>
      <c r="O957" s="79">
        <v>109.83759999999999</v>
      </c>
      <c r="P957" s="79">
        <v>115.4081</v>
      </c>
      <c r="Q957" s="79"/>
      <c r="R957" s="79">
        <v>88.9</v>
      </c>
      <c r="S957" s="79">
        <v>100.71080000000001</v>
      </c>
      <c r="T957" s="79">
        <v>106.9389</v>
      </c>
      <c r="U957" s="79">
        <v>139.9288</v>
      </c>
      <c r="V957" s="79">
        <v>45.839919999999999</v>
      </c>
      <c r="W957" s="79">
        <v>35.641779999999997</v>
      </c>
      <c r="X957" s="79">
        <v>27.678719999999998</v>
      </c>
      <c r="Y957" s="79">
        <v>63.527450000000002</v>
      </c>
      <c r="Z957" s="79">
        <v>121.5899</v>
      </c>
      <c r="AA957" s="79">
        <v>98.221729999999994</v>
      </c>
      <c r="AB957" s="79">
        <v>32.807270000000003</v>
      </c>
      <c r="AC957" s="79">
        <v>77.231020000000001</v>
      </c>
      <c r="AD957" s="79"/>
      <c r="AE957" s="79">
        <v>87.41131</v>
      </c>
      <c r="AF957" s="79">
        <v>86.514160000000004</v>
      </c>
      <c r="AG957" s="79">
        <v>111.1897</v>
      </c>
      <c r="AH957" s="79">
        <v>80.469980000000007</v>
      </c>
      <c r="AI957" s="79">
        <v>43.016649999999998</v>
      </c>
      <c r="AJ957" s="79">
        <v>122.0635</v>
      </c>
      <c r="AK957" s="79">
        <v>39.76688</v>
      </c>
      <c r="AL957" s="79">
        <v>74.116470000000007</v>
      </c>
      <c r="AM957" s="79">
        <v>95.535929999999993</v>
      </c>
      <c r="AN957" s="79"/>
      <c r="AO957" s="79">
        <v>85.124870000000001</v>
      </c>
      <c r="AP957" s="79">
        <v>88.485249999999994</v>
      </c>
      <c r="AQ957" s="79"/>
      <c r="AR957" s="79"/>
      <c r="AS957" s="79"/>
      <c r="AT957" s="79">
        <v>38.499119999999998</v>
      </c>
      <c r="AU957" s="79"/>
      <c r="AV957" s="79">
        <v>49.286110000000001</v>
      </c>
      <c r="AW957" s="79"/>
      <c r="AX957" s="79">
        <v>42.996420000000001</v>
      </c>
      <c r="AY957" s="79">
        <v>80.056020000000004</v>
      </c>
    </row>
    <row r="958" spans="1:51" x14ac:dyDescent="0.2">
      <c r="A958" t="s">
        <v>1503</v>
      </c>
      <c r="B958" s="1">
        <v>36039</v>
      </c>
      <c r="C958" s="78">
        <v>958</v>
      </c>
      <c r="E958" s="1">
        <f t="shared" si="28"/>
        <v>36039</v>
      </c>
      <c r="F958" s="2">
        <f t="shared" si="29"/>
        <v>36039</v>
      </c>
      <c r="G958" s="78">
        <v>956</v>
      </c>
      <c r="H958" s="79"/>
      <c r="I958" s="79"/>
      <c r="J958" s="79">
        <v>69.524039999999999</v>
      </c>
      <c r="K958" s="79">
        <v>85.846019999999996</v>
      </c>
      <c r="L958" s="79"/>
      <c r="M958" s="79">
        <v>60.421379999999999</v>
      </c>
      <c r="N958" s="79">
        <v>74.193820000000002</v>
      </c>
      <c r="O958" s="79">
        <v>108.8579</v>
      </c>
      <c r="P958" s="79">
        <v>115.73009999999999</v>
      </c>
      <c r="Q958" s="79"/>
      <c r="R958" s="79">
        <v>88.4</v>
      </c>
      <c r="S958" s="79">
        <v>102.5309</v>
      </c>
      <c r="T958" s="79">
        <v>106.9389</v>
      </c>
      <c r="U958" s="79">
        <v>135.3964</v>
      </c>
      <c r="V958" s="79">
        <v>45.898620000000001</v>
      </c>
      <c r="W958" s="79">
        <v>35.225960000000001</v>
      </c>
      <c r="X958" s="79">
        <v>27.3017</v>
      </c>
      <c r="Y958" s="79">
        <v>63.317329999999998</v>
      </c>
      <c r="Z958" s="79">
        <v>123.3897</v>
      </c>
      <c r="AA958" s="79">
        <v>99.497330000000005</v>
      </c>
      <c r="AB958" s="79">
        <v>34.655110000000001</v>
      </c>
      <c r="AC958" s="79">
        <v>76.320629999999994</v>
      </c>
      <c r="AD958" s="79"/>
      <c r="AE958" s="79">
        <v>87.296260000000004</v>
      </c>
      <c r="AF958" s="79">
        <v>86.984859999999998</v>
      </c>
      <c r="AG958" s="79">
        <v>119.49890000000001</v>
      </c>
      <c r="AH958" s="79">
        <v>80.810209999999998</v>
      </c>
      <c r="AI958" s="79">
        <v>41.667029999999997</v>
      </c>
      <c r="AJ958" s="79">
        <v>124.6682</v>
      </c>
      <c r="AK958" s="79">
        <v>39.205880000000001</v>
      </c>
      <c r="AL958" s="79">
        <v>73.183009999999996</v>
      </c>
      <c r="AM958" s="79">
        <v>94.220280000000002</v>
      </c>
      <c r="AN958" s="79"/>
      <c r="AO958" s="79">
        <v>84.958510000000004</v>
      </c>
      <c r="AP958" s="79">
        <v>88.885189999999994</v>
      </c>
      <c r="AQ958" s="79"/>
      <c r="AR958" s="79"/>
      <c r="AS958" s="79"/>
      <c r="AT958" s="79">
        <v>38.381889999999999</v>
      </c>
      <c r="AU958" s="79"/>
      <c r="AV958" s="79">
        <v>46.862340000000003</v>
      </c>
      <c r="AW958" s="79"/>
      <c r="AX958" s="79">
        <v>43.496380000000002</v>
      </c>
      <c r="AY958" s="79">
        <v>79.704899999999995</v>
      </c>
    </row>
    <row r="959" spans="1:51" x14ac:dyDescent="0.2">
      <c r="A959" t="s">
        <v>1504</v>
      </c>
      <c r="B959" s="1">
        <v>36069</v>
      </c>
      <c r="C959" s="78">
        <v>959</v>
      </c>
      <c r="E959" s="1">
        <f t="shared" si="28"/>
        <v>36069</v>
      </c>
      <c r="F959" s="2">
        <f t="shared" si="29"/>
        <v>36069</v>
      </c>
      <c r="G959" s="78">
        <v>957</v>
      </c>
      <c r="H959" s="79"/>
      <c r="I959" s="79"/>
      <c r="J959" s="79">
        <v>69.743359999999996</v>
      </c>
      <c r="K959" s="79">
        <v>86.019919999999999</v>
      </c>
      <c r="L959" s="79"/>
      <c r="M959" s="79">
        <v>59.424979999999998</v>
      </c>
      <c r="N959" s="79">
        <v>74.693780000000004</v>
      </c>
      <c r="O959" s="79">
        <v>97.210130000000007</v>
      </c>
      <c r="P959" s="79">
        <v>117.2701</v>
      </c>
      <c r="Q959" s="79"/>
      <c r="R959" s="79">
        <v>89</v>
      </c>
      <c r="S959" s="79">
        <v>102.6409</v>
      </c>
      <c r="T959" s="79">
        <v>107.0427</v>
      </c>
      <c r="U959" s="79">
        <v>139.48759999999999</v>
      </c>
      <c r="V959" s="79">
        <v>45.722540000000002</v>
      </c>
      <c r="W959" s="79">
        <v>35.641779999999997</v>
      </c>
      <c r="X959" s="79">
        <v>26.952629999999999</v>
      </c>
      <c r="Y959" s="79">
        <v>63.597490000000001</v>
      </c>
      <c r="Z959" s="79">
        <v>122.5898</v>
      </c>
      <c r="AA959" s="79">
        <v>98.965829999999997</v>
      </c>
      <c r="AB959" s="79">
        <v>35.48704</v>
      </c>
      <c r="AC959" s="79">
        <v>76.553309999999996</v>
      </c>
      <c r="AD959" s="79"/>
      <c r="AE959" s="79">
        <v>87.004279999999994</v>
      </c>
      <c r="AF959" s="79">
        <v>88.114530000000002</v>
      </c>
      <c r="AG959" s="79">
        <v>117.6403</v>
      </c>
      <c r="AH959" s="79">
        <v>80.98751</v>
      </c>
      <c r="AI959" s="79">
        <v>41.864750000000001</v>
      </c>
      <c r="AJ959" s="79">
        <v>124.7026</v>
      </c>
      <c r="AK959" s="79">
        <v>38.725430000000003</v>
      </c>
      <c r="AL959" s="79">
        <v>72.716290000000001</v>
      </c>
      <c r="AM959" s="79">
        <v>94.220280000000002</v>
      </c>
      <c r="AN959" s="79"/>
      <c r="AO959" s="79">
        <v>85.646420000000006</v>
      </c>
      <c r="AP959" s="79">
        <v>89.085149999999999</v>
      </c>
      <c r="AQ959" s="79"/>
      <c r="AR959" s="79"/>
      <c r="AS959" s="79"/>
      <c r="AT959" s="79">
        <v>37.60727</v>
      </c>
      <c r="AU959" s="79"/>
      <c r="AV959" s="79">
        <v>49.623539999999998</v>
      </c>
      <c r="AW959" s="79"/>
      <c r="AX959" s="79">
        <v>41.996499999999997</v>
      </c>
      <c r="AY959" s="79">
        <v>77.326030000000003</v>
      </c>
    </row>
    <row r="960" spans="1:51" x14ac:dyDescent="0.2">
      <c r="A960" t="s">
        <v>1505</v>
      </c>
      <c r="B960" s="1">
        <v>36100</v>
      </c>
      <c r="C960" s="78">
        <v>960</v>
      </c>
      <c r="E960" s="1">
        <f t="shared" si="28"/>
        <v>36100</v>
      </c>
      <c r="F960" s="2">
        <f t="shared" si="29"/>
        <v>36100</v>
      </c>
      <c r="G960" s="78">
        <v>958</v>
      </c>
      <c r="H960" s="79"/>
      <c r="I960" s="79"/>
      <c r="J960" s="79">
        <v>69.446240000000003</v>
      </c>
      <c r="K960" s="79">
        <v>86.262039999999999</v>
      </c>
      <c r="L960" s="79"/>
      <c r="M960" s="79">
        <v>58.517580000000002</v>
      </c>
      <c r="N960" s="79">
        <v>73.693860000000001</v>
      </c>
      <c r="O960" s="79">
        <v>96.556979999999996</v>
      </c>
      <c r="P960" s="79">
        <v>116.1901</v>
      </c>
      <c r="Q960" s="79"/>
      <c r="R960" s="79">
        <v>88.5</v>
      </c>
      <c r="S960" s="79">
        <v>103.23090000000001</v>
      </c>
      <c r="T960" s="79">
        <v>106.9389</v>
      </c>
      <c r="U960" s="79">
        <v>140.06399999999999</v>
      </c>
      <c r="V960" s="79">
        <v>45.839919999999999</v>
      </c>
      <c r="W960" s="79">
        <v>34.92895</v>
      </c>
      <c r="X960" s="79">
        <v>26.525569999999998</v>
      </c>
      <c r="Y960" s="79">
        <v>63.737580000000001</v>
      </c>
      <c r="Z960" s="79">
        <v>122.18980000000001</v>
      </c>
      <c r="AA960" s="79">
        <v>98.434330000000003</v>
      </c>
      <c r="AB960" s="79">
        <v>36.872929999999997</v>
      </c>
      <c r="AC960" s="79">
        <v>74.937809999999999</v>
      </c>
      <c r="AD960" s="79"/>
      <c r="AE960" s="79">
        <v>87.743170000000006</v>
      </c>
      <c r="AF960" s="79">
        <v>88.773510000000002</v>
      </c>
      <c r="AG960" s="79">
        <v>116.8749</v>
      </c>
      <c r="AH960" s="79">
        <v>80.821569999999994</v>
      </c>
      <c r="AI960" s="79">
        <v>40.802689999999998</v>
      </c>
      <c r="AJ960" s="79">
        <v>122.9089</v>
      </c>
      <c r="AK960" s="79">
        <v>38.523960000000002</v>
      </c>
      <c r="AL960" s="79">
        <v>74.303160000000005</v>
      </c>
      <c r="AM960" s="79">
        <v>94.726299999999995</v>
      </c>
      <c r="AN960" s="79"/>
      <c r="AO960" s="79">
        <v>85.590810000000005</v>
      </c>
      <c r="AP960" s="79">
        <v>88.585239999999999</v>
      </c>
      <c r="AQ960" s="79"/>
      <c r="AR960" s="79"/>
      <c r="AS960" s="79"/>
      <c r="AT960" s="79">
        <v>39.422150000000002</v>
      </c>
      <c r="AU960" s="79"/>
      <c r="AV960" s="79">
        <v>50.41254</v>
      </c>
      <c r="AW960" s="79"/>
      <c r="AX960" s="79">
        <v>41.396549999999998</v>
      </c>
      <c r="AY960" s="79">
        <v>78.001949999999994</v>
      </c>
    </row>
    <row r="961" spans="1:51" x14ac:dyDescent="0.2">
      <c r="A961" t="s">
        <v>1506</v>
      </c>
      <c r="B961" s="1">
        <v>36130</v>
      </c>
      <c r="C961" s="78">
        <v>961</v>
      </c>
      <c r="E961" s="1">
        <f t="shared" si="28"/>
        <v>36130</v>
      </c>
      <c r="F961" s="2">
        <f t="shared" si="29"/>
        <v>36130</v>
      </c>
      <c r="G961" s="78">
        <v>959</v>
      </c>
      <c r="H961" s="79"/>
      <c r="I961" s="79"/>
      <c r="J961" s="79">
        <v>68.979960000000005</v>
      </c>
      <c r="K961" s="79">
        <v>87.628579999999999</v>
      </c>
      <c r="L961" s="79"/>
      <c r="M961" s="79">
        <v>55.244729999999997</v>
      </c>
      <c r="N961" s="79">
        <v>73.993840000000006</v>
      </c>
      <c r="O961" s="79">
        <v>95.577259999999995</v>
      </c>
      <c r="P961" s="79">
        <v>117.15309999999999</v>
      </c>
      <c r="Q961" s="79"/>
      <c r="R961" s="79">
        <v>88.2</v>
      </c>
      <c r="S961" s="79">
        <v>102.4609</v>
      </c>
      <c r="T961" s="79">
        <v>107.14660000000001</v>
      </c>
      <c r="U961" s="79">
        <v>139.7559</v>
      </c>
      <c r="V961" s="79">
        <v>47.072499999999998</v>
      </c>
      <c r="W961" s="79">
        <v>35.166559999999997</v>
      </c>
      <c r="X961" s="79">
        <v>26.389880000000002</v>
      </c>
      <c r="Y961" s="79">
        <v>63.387369999999997</v>
      </c>
      <c r="Z961" s="79">
        <v>119.2901</v>
      </c>
      <c r="AA961" s="79">
        <v>98.328029999999998</v>
      </c>
      <c r="AB961" s="79">
        <v>37.427880000000002</v>
      </c>
      <c r="AC961" s="79">
        <v>73.682519999999997</v>
      </c>
      <c r="AD961" s="79"/>
      <c r="AE961" s="79">
        <v>88.412599999999998</v>
      </c>
      <c r="AF961" s="79">
        <v>84.160679999999999</v>
      </c>
      <c r="AG961" s="79">
        <v>115.45359999999999</v>
      </c>
      <c r="AH961" s="79">
        <v>80.64085</v>
      </c>
      <c r="AI961" s="79">
        <v>41.253059999999998</v>
      </c>
      <c r="AJ961" s="79">
        <v>124.2646</v>
      </c>
      <c r="AK961" s="79">
        <v>38.17353</v>
      </c>
      <c r="AL961" s="79">
        <v>71.596140000000005</v>
      </c>
      <c r="AM961" s="79">
        <v>93.714259999999996</v>
      </c>
      <c r="AN961" s="79"/>
      <c r="AO961" s="79">
        <v>85.908649999999994</v>
      </c>
      <c r="AP961" s="79">
        <v>88.085319999999996</v>
      </c>
      <c r="AQ961" s="79"/>
      <c r="AR961" s="79"/>
      <c r="AS961" s="79"/>
      <c r="AT961" s="79">
        <v>39.002659999999999</v>
      </c>
      <c r="AU961" s="79"/>
      <c r="AV961" s="79">
        <v>51.794060000000002</v>
      </c>
      <c r="AW961" s="79"/>
      <c r="AX961" s="79">
        <v>39.096739999999997</v>
      </c>
      <c r="AY961" s="79">
        <v>75.350970000000004</v>
      </c>
    </row>
    <row r="962" spans="1:51" x14ac:dyDescent="0.2">
      <c r="A962" t="s">
        <v>1507</v>
      </c>
      <c r="B962" s="1">
        <v>36161</v>
      </c>
      <c r="C962" s="78">
        <v>962</v>
      </c>
      <c r="E962" s="1">
        <f t="shared" ref="E962:E1025" si="30">B962</f>
        <v>36161</v>
      </c>
      <c r="F962" s="2">
        <f t="shared" ref="F962:F1025" si="31">B962</f>
        <v>36161</v>
      </c>
      <c r="G962" s="78">
        <v>960</v>
      </c>
      <c r="H962" s="79"/>
      <c r="I962" s="79"/>
      <c r="J962" s="79">
        <v>69.054259999999999</v>
      </c>
      <c r="K962" s="79">
        <v>88.605869999999996</v>
      </c>
      <c r="L962" s="79"/>
      <c r="M962" s="79">
        <v>58.284480000000002</v>
      </c>
      <c r="N962" s="79">
        <v>75.193730000000002</v>
      </c>
      <c r="O962" s="79">
        <v>104.2859</v>
      </c>
      <c r="P962" s="79">
        <v>118.7441</v>
      </c>
      <c r="Q962" s="79"/>
      <c r="R962" s="79">
        <v>89.6</v>
      </c>
      <c r="S962" s="79">
        <v>102.7409</v>
      </c>
      <c r="T962" s="79">
        <v>106.8351</v>
      </c>
      <c r="U962" s="79">
        <v>139.18770000000001</v>
      </c>
      <c r="V962" s="79">
        <v>47.542050000000003</v>
      </c>
      <c r="W962" s="79">
        <v>39.324770000000001</v>
      </c>
      <c r="X962" s="79">
        <v>26.292850000000001</v>
      </c>
      <c r="Y962" s="79">
        <v>61.636330000000001</v>
      </c>
      <c r="Z962" s="79">
        <v>121.5899</v>
      </c>
      <c r="AA962" s="79">
        <v>99.603629999999995</v>
      </c>
      <c r="AB962" s="79">
        <v>37.149900000000002</v>
      </c>
      <c r="AC962" s="79">
        <v>80.365300000000005</v>
      </c>
      <c r="AD962" s="79"/>
      <c r="AE962" s="79">
        <v>88.988630000000001</v>
      </c>
      <c r="AF962" s="79">
        <v>87.643829999999994</v>
      </c>
      <c r="AG962" s="79">
        <v>116.547</v>
      </c>
      <c r="AH962" s="79">
        <v>81.448430000000002</v>
      </c>
      <c r="AI962" s="79">
        <v>41.180570000000003</v>
      </c>
      <c r="AJ962" s="79">
        <v>125.2788</v>
      </c>
      <c r="AK962" s="79">
        <v>38.517629999999997</v>
      </c>
      <c r="AL962" s="79">
        <v>73.463049999999996</v>
      </c>
      <c r="AM962" s="79">
        <v>93.107050000000001</v>
      </c>
      <c r="AN962" s="79"/>
      <c r="AO962" s="79">
        <v>86.310810000000004</v>
      </c>
      <c r="AP962" s="79">
        <v>89.385099999999994</v>
      </c>
      <c r="AQ962" s="79"/>
      <c r="AR962" s="79"/>
      <c r="AS962" s="79"/>
      <c r="AT962" s="79">
        <v>39.7136</v>
      </c>
      <c r="AU962" s="79"/>
      <c r="AV962" s="79">
        <v>52.541440000000001</v>
      </c>
      <c r="AW962" s="79"/>
      <c r="AX962" s="79">
        <v>40.796599999999998</v>
      </c>
      <c r="AY962" s="79">
        <v>77.677160000000001</v>
      </c>
    </row>
    <row r="963" spans="1:51" x14ac:dyDescent="0.2">
      <c r="A963" t="s">
        <v>1508</v>
      </c>
      <c r="B963" s="1">
        <v>36192</v>
      </c>
      <c r="C963" s="78">
        <v>963</v>
      </c>
      <c r="E963" s="1">
        <f t="shared" si="30"/>
        <v>36192</v>
      </c>
      <c r="F963" s="2">
        <f t="shared" si="31"/>
        <v>36192</v>
      </c>
      <c r="G963" s="78">
        <v>961</v>
      </c>
      <c r="H963" s="79"/>
      <c r="I963" s="79"/>
      <c r="J963" s="79">
        <v>68.351709999999997</v>
      </c>
      <c r="K963" s="79">
        <v>88.521870000000007</v>
      </c>
      <c r="L963" s="79"/>
      <c r="M963" s="79">
        <v>58.915489999999998</v>
      </c>
      <c r="N963" s="79">
        <v>73.793850000000006</v>
      </c>
      <c r="O963" s="79">
        <v>102.3265</v>
      </c>
      <c r="P963" s="79">
        <v>116.3051</v>
      </c>
      <c r="Q963" s="79"/>
      <c r="R963" s="79">
        <v>90.1</v>
      </c>
      <c r="S963" s="79">
        <v>102.43089999999999</v>
      </c>
      <c r="T963" s="79">
        <v>106.62739999999999</v>
      </c>
      <c r="U963" s="79">
        <v>137.59780000000001</v>
      </c>
      <c r="V963" s="79">
        <v>45.781230000000001</v>
      </c>
      <c r="W963" s="79">
        <v>36.948650000000001</v>
      </c>
      <c r="X963" s="79">
        <v>26.863869999999999</v>
      </c>
      <c r="Y963" s="79">
        <v>62.827039999999997</v>
      </c>
      <c r="Z963" s="79">
        <v>120.98990000000001</v>
      </c>
      <c r="AA963" s="79">
        <v>99.603629999999995</v>
      </c>
      <c r="AB963" s="79">
        <v>38.628779999999999</v>
      </c>
      <c r="AC963" s="79">
        <v>82.864289999999997</v>
      </c>
      <c r="AD963" s="79"/>
      <c r="AE963" s="79">
        <v>88.407229999999998</v>
      </c>
      <c r="AF963" s="79">
        <v>88.208669999999998</v>
      </c>
      <c r="AG963" s="79">
        <v>116.21899999999999</v>
      </c>
      <c r="AH963" s="79">
        <v>81.408389999999997</v>
      </c>
      <c r="AI963" s="79">
        <v>41.27563</v>
      </c>
      <c r="AJ963" s="79">
        <v>128.23390000000001</v>
      </c>
      <c r="AK963" s="79">
        <v>38.233649999999997</v>
      </c>
      <c r="AL963" s="79">
        <v>71.316100000000006</v>
      </c>
      <c r="AM963" s="79">
        <v>94.523889999999994</v>
      </c>
      <c r="AN963" s="79"/>
      <c r="AO963" s="79">
        <v>86.771090000000001</v>
      </c>
      <c r="AP963" s="79">
        <v>88.385270000000006</v>
      </c>
      <c r="AQ963" s="79"/>
      <c r="AR963" s="79"/>
      <c r="AS963" s="79"/>
      <c r="AT963" s="79">
        <v>39.344540000000002</v>
      </c>
      <c r="AU963" s="79"/>
      <c r="AV963" s="79">
        <v>50.98319</v>
      </c>
      <c r="AW963" s="79"/>
      <c r="AX963" s="79">
        <v>41.096580000000003</v>
      </c>
      <c r="AY963" s="79">
        <v>76.465779999999995</v>
      </c>
    </row>
    <row r="964" spans="1:51" x14ac:dyDescent="0.2">
      <c r="A964" t="s">
        <v>1509</v>
      </c>
      <c r="B964" s="1">
        <v>36220</v>
      </c>
      <c r="C964" s="78">
        <v>964</v>
      </c>
      <c r="E964" s="1">
        <f t="shared" si="30"/>
        <v>36220</v>
      </c>
      <c r="F964" s="2">
        <f t="shared" si="31"/>
        <v>36220</v>
      </c>
      <c r="G964" s="78">
        <v>962</v>
      </c>
      <c r="H964" s="79"/>
      <c r="I964" s="79"/>
      <c r="J964" s="79">
        <v>69.483249999999998</v>
      </c>
      <c r="K964" s="79">
        <v>88.190929999999994</v>
      </c>
      <c r="L964" s="79"/>
      <c r="M964" s="79">
        <v>57.84205</v>
      </c>
      <c r="N964" s="79">
        <v>74.293809999999993</v>
      </c>
      <c r="O964" s="79">
        <v>104.50360000000001</v>
      </c>
      <c r="P964" s="79">
        <v>114.9071</v>
      </c>
      <c r="Q964" s="79"/>
      <c r="R964" s="79">
        <v>90.9</v>
      </c>
      <c r="S964" s="79">
        <v>102.3708</v>
      </c>
      <c r="T964" s="79">
        <v>107.56189999999999</v>
      </c>
      <c r="U964" s="79">
        <v>135.66370000000001</v>
      </c>
      <c r="V964" s="79">
        <v>47.189880000000002</v>
      </c>
      <c r="W964" s="79">
        <v>35.404170000000001</v>
      </c>
      <c r="X964" s="79">
        <v>27.354659999999999</v>
      </c>
      <c r="Y964" s="79">
        <v>61.426209999999998</v>
      </c>
      <c r="Z964" s="79">
        <v>121.3899</v>
      </c>
      <c r="AA964" s="79">
        <v>100.8792</v>
      </c>
      <c r="AB964" s="79">
        <v>39.275730000000003</v>
      </c>
      <c r="AC964" s="79">
        <v>84.228790000000004</v>
      </c>
      <c r="AD964" s="79"/>
      <c r="AE964" s="79">
        <v>88.834220000000002</v>
      </c>
      <c r="AF964" s="79">
        <v>89.150059999999996</v>
      </c>
      <c r="AG964" s="79">
        <v>116.6563</v>
      </c>
      <c r="AH964" s="79">
        <v>81.796459999999996</v>
      </c>
      <c r="AI964" s="79">
        <v>43.159970000000001</v>
      </c>
      <c r="AJ964" s="79">
        <v>125.24379999999999</v>
      </c>
      <c r="AK964" s="79">
        <v>38.576340000000002</v>
      </c>
      <c r="AL964" s="79">
        <v>71.969520000000003</v>
      </c>
      <c r="AM964" s="79">
        <v>95.434719999999999</v>
      </c>
      <c r="AN964" s="79"/>
      <c r="AO964" s="79">
        <v>86.908730000000006</v>
      </c>
      <c r="AP964" s="79">
        <v>88.485249999999994</v>
      </c>
      <c r="AQ964" s="79"/>
      <c r="AR964" s="79"/>
      <c r="AS964" s="79"/>
      <c r="AT964" s="79">
        <v>39.207470000000001</v>
      </c>
      <c r="AU964" s="79"/>
      <c r="AV964" s="79">
        <v>52.209479999999999</v>
      </c>
      <c r="AW964" s="79"/>
      <c r="AX964" s="79">
        <v>41.996499999999997</v>
      </c>
      <c r="AY964" s="79">
        <v>76.571119999999993</v>
      </c>
    </row>
    <row r="965" spans="1:51" x14ac:dyDescent="0.2">
      <c r="A965" t="s">
        <v>1510</v>
      </c>
      <c r="B965" s="1">
        <v>36251</v>
      </c>
      <c r="C965" s="78">
        <v>965</v>
      </c>
      <c r="E965" s="1">
        <f t="shared" si="30"/>
        <v>36251</v>
      </c>
      <c r="F965" s="2">
        <f t="shared" si="31"/>
        <v>36251</v>
      </c>
      <c r="G965" s="78">
        <v>963</v>
      </c>
      <c r="H965" s="79"/>
      <c r="I965" s="79"/>
      <c r="J965" s="79">
        <v>69.599580000000003</v>
      </c>
      <c r="K965" s="79">
        <v>88.729470000000006</v>
      </c>
      <c r="L965" s="79"/>
      <c r="M965" s="79">
        <v>59.33867</v>
      </c>
      <c r="N965" s="79">
        <v>74.793769999999995</v>
      </c>
      <c r="O965" s="79">
        <v>98.189850000000007</v>
      </c>
      <c r="P965" s="79">
        <v>117.6691</v>
      </c>
      <c r="Q965" s="79"/>
      <c r="R965" s="79">
        <v>91.6</v>
      </c>
      <c r="S965" s="79">
        <v>103.1909</v>
      </c>
      <c r="T965" s="79">
        <v>106.62739999999999</v>
      </c>
      <c r="U965" s="79">
        <v>135.5213</v>
      </c>
      <c r="V965" s="79">
        <v>47.483350000000002</v>
      </c>
      <c r="W965" s="79">
        <v>36.29522</v>
      </c>
      <c r="X965" s="79">
        <v>27.940200000000001</v>
      </c>
      <c r="Y965" s="79">
        <v>62.686950000000003</v>
      </c>
      <c r="Z965" s="79">
        <v>120.49</v>
      </c>
      <c r="AA965" s="79">
        <v>99.178430000000006</v>
      </c>
      <c r="AB965" s="79">
        <v>38.905760000000001</v>
      </c>
      <c r="AC965" s="79">
        <v>85.963300000000004</v>
      </c>
      <c r="AD965" s="79"/>
      <c r="AE965" s="79">
        <v>88.831810000000004</v>
      </c>
      <c r="AF965" s="79">
        <v>87.549689999999998</v>
      </c>
      <c r="AG965" s="79">
        <v>113.3764</v>
      </c>
      <c r="AH965" s="79">
        <v>81.704660000000004</v>
      </c>
      <c r="AI965" s="79">
        <v>43.095460000000003</v>
      </c>
      <c r="AJ965" s="79">
        <v>128.0129</v>
      </c>
      <c r="AK965" s="79">
        <v>38.856490000000001</v>
      </c>
      <c r="AL965" s="79">
        <v>70.009259999999998</v>
      </c>
      <c r="AM965" s="79">
        <v>93.815470000000005</v>
      </c>
      <c r="AN965" s="79"/>
      <c r="AO965" s="79">
        <v>87.144530000000003</v>
      </c>
      <c r="AP965" s="79">
        <v>89.085149999999999</v>
      </c>
      <c r="AQ965" s="79"/>
      <c r="AR965" s="79"/>
      <c r="AS965" s="79"/>
      <c r="AT965" s="79">
        <v>39.823630000000001</v>
      </c>
      <c r="AU965" s="79"/>
      <c r="AV965" s="79">
        <v>51.595410000000001</v>
      </c>
      <c r="AW965" s="79"/>
      <c r="AX965" s="79">
        <v>41.396549999999998</v>
      </c>
      <c r="AY965" s="79">
        <v>77.896609999999995</v>
      </c>
    </row>
    <row r="966" spans="1:51" x14ac:dyDescent="0.2">
      <c r="A966" t="s">
        <v>1511</v>
      </c>
      <c r="B966" s="1">
        <v>36281</v>
      </c>
      <c r="C966" s="78">
        <v>966</v>
      </c>
      <c r="E966" s="1">
        <f t="shared" si="30"/>
        <v>36281</v>
      </c>
      <c r="F966" s="2">
        <f t="shared" si="31"/>
        <v>36281</v>
      </c>
      <c r="G966" s="78">
        <v>964</v>
      </c>
      <c r="H966" s="79"/>
      <c r="I966" s="79"/>
      <c r="J966" s="79">
        <v>69.607150000000004</v>
      </c>
      <c r="K966" s="79">
        <v>88.564130000000006</v>
      </c>
      <c r="L966" s="79"/>
      <c r="M966" s="79">
        <v>61.476700000000001</v>
      </c>
      <c r="N966" s="79">
        <v>75.293719999999993</v>
      </c>
      <c r="O966" s="79">
        <v>101.7822</v>
      </c>
      <c r="P966" s="79">
        <v>116.8721</v>
      </c>
      <c r="Q966" s="79"/>
      <c r="R966" s="79">
        <v>91.5</v>
      </c>
      <c r="S966" s="79">
        <v>103.6009</v>
      </c>
      <c r="T966" s="79">
        <v>107.458</v>
      </c>
      <c r="U966" s="79">
        <v>139.12780000000001</v>
      </c>
      <c r="V966" s="79">
        <v>47.072499999999998</v>
      </c>
      <c r="W966" s="79">
        <v>36.711039999999997</v>
      </c>
      <c r="X966" s="79">
        <v>28.180810000000001</v>
      </c>
      <c r="Y966" s="79">
        <v>62.266710000000003</v>
      </c>
      <c r="Z966" s="79">
        <v>119.59</v>
      </c>
      <c r="AA966" s="79">
        <v>100.77290000000001</v>
      </c>
      <c r="AB966" s="79">
        <v>41.031579999999998</v>
      </c>
      <c r="AC966" s="79">
        <v>87.622190000000003</v>
      </c>
      <c r="AD966" s="79"/>
      <c r="AE966" s="79">
        <v>88.615560000000002</v>
      </c>
      <c r="AF966" s="79">
        <v>87.455550000000002</v>
      </c>
      <c r="AG966" s="79">
        <v>116.4376</v>
      </c>
      <c r="AH966" s="79">
        <v>82.40849</v>
      </c>
      <c r="AI966" s="79">
        <v>44.787909999999997</v>
      </c>
      <c r="AJ966" s="79">
        <v>125.52809999999999</v>
      </c>
      <c r="AK966" s="79">
        <v>39.900570000000002</v>
      </c>
      <c r="AL966" s="79">
        <v>72.062870000000004</v>
      </c>
      <c r="AM966" s="79">
        <v>94.827500000000001</v>
      </c>
      <c r="AN966" s="79"/>
      <c r="AO966" s="79">
        <v>87.744470000000007</v>
      </c>
      <c r="AP966" s="79">
        <v>89.185130000000001</v>
      </c>
      <c r="AQ966" s="79"/>
      <c r="AR966" s="79"/>
      <c r="AS966" s="79"/>
      <c r="AT966" s="79">
        <v>40.810920000000003</v>
      </c>
      <c r="AU966" s="79"/>
      <c r="AV966" s="79">
        <v>51.765360000000001</v>
      </c>
      <c r="AW966" s="79"/>
      <c r="AX966" s="79">
        <v>42.796430000000001</v>
      </c>
      <c r="AY966" s="79">
        <v>79.309880000000007</v>
      </c>
    </row>
    <row r="967" spans="1:51" x14ac:dyDescent="0.2">
      <c r="A967" t="s">
        <v>1512</v>
      </c>
      <c r="B967" s="1">
        <v>36312</v>
      </c>
      <c r="C967" s="78">
        <v>967</v>
      </c>
      <c r="E967" s="1">
        <f t="shared" si="30"/>
        <v>36312</v>
      </c>
      <c r="F967" s="2">
        <f t="shared" si="31"/>
        <v>36312</v>
      </c>
      <c r="G967" s="78">
        <v>965</v>
      </c>
      <c r="H967" s="79"/>
      <c r="I967" s="79"/>
      <c r="J967" s="79">
        <v>69.693650000000005</v>
      </c>
      <c r="K967" s="79">
        <v>89.779790000000006</v>
      </c>
      <c r="L967" s="79"/>
      <c r="M967" s="79">
        <v>59.301540000000003</v>
      </c>
      <c r="N967" s="79">
        <v>75.293719999999993</v>
      </c>
      <c r="O967" s="79">
        <v>101.2379</v>
      </c>
      <c r="P967" s="79">
        <v>118.0641</v>
      </c>
      <c r="Q967" s="79"/>
      <c r="R967" s="79">
        <v>92.1</v>
      </c>
      <c r="S967" s="79">
        <v>105.0309</v>
      </c>
      <c r="T967" s="79">
        <v>108.1848</v>
      </c>
      <c r="U967" s="79">
        <v>139.17760000000001</v>
      </c>
      <c r="V967" s="79">
        <v>48.48115</v>
      </c>
      <c r="W967" s="79">
        <v>37.542679999999997</v>
      </c>
      <c r="X967" s="79">
        <v>28.112780000000001</v>
      </c>
      <c r="Y967" s="79">
        <v>63.03716</v>
      </c>
      <c r="Z967" s="79">
        <v>121.48990000000001</v>
      </c>
      <c r="AA967" s="79">
        <v>100.0288</v>
      </c>
      <c r="AB967" s="79">
        <v>41.30856</v>
      </c>
      <c r="AC967" s="79">
        <v>86.75121</v>
      </c>
      <c r="AD967" s="79"/>
      <c r="AE967" s="79">
        <v>88.500140000000002</v>
      </c>
      <c r="AF967" s="79">
        <v>90.279740000000004</v>
      </c>
      <c r="AG967" s="79">
        <v>116.8749</v>
      </c>
      <c r="AH967" s="79">
        <v>82.545109999999994</v>
      </c>
      <c r="AI967" s="79">
        <v>43.113860000000003</v>
      </c>
      <c r="AJ967" s="79">
        <v>129.5061</v>
      </c>
      <c r="AK967" s="79">
        <v>38.49794</v>
      </c>
      <c r="AL967" s="79">
        <v>73.556399999999996</v>
      </c>
      <c r="AM967" s="79">
        <v>95.333519999999993</v>
      </c>
      <c r="AN967" s="79"/>
      <c r="AO967" s="79">
        <v>87.597890000000007</v>
      </c>
      <c r="AP967" s="79">
        <v>89.885019999999997</v>
      </c>
      <c r="AQ967" s="79"/>
      <c r="AR967" s="79"/>
      <c r="AS967" s="79"/>
      <c r="AT967" s="79">
        <v>40.352699999999999</v>
      </c>
      <c r="AU967" s="79"/>
      <c r="AV967" s="79">
        <v>51.406880000000001</v>
      </c>
      <c r="AW967" s="79"/>
      <c r="AX967" s="79">
        <v>42.796430000000001</v>
      </c>
      <c r="AY967" s="79">
        <v>78.748090000000005</v>
      </c>
    </row>
    <row r="968" spans="1:51" x14ac:dyDescent="0.2">
      <c r="A968" t="s">
        <v>1513</v>
      </c>
      <c r="B968" s="1">
        <v>36342</v>
      </c>
      <c r="C968" s="78">
        <v>968</v>
      </c>
      <c r="E968" s="1">
        <f t="shared" si="30"/>
        <v>36342</v>
      </c>
      <c r="F968" s="2">
        <f t="shared" si="31"/>
        <v>36342</v>
      </c>
      <c r="G968" s="78">
        <v>966</v>
      </c>
      <c r="H968" s="79"/>
      <c r="I968" s="79"/>
      <c r="J968" s="79">
        <v>70.649339999999995</v>
      </c>
      <c r="K968" s="79">
        <v>90.29025</v>
      </c>
      <c r="L968" s="79"/>
      <c r="M968" s="79">
        <v>58.994999999999997</v>
      </c>
      <c r="N968" s="79">
        <v>75.893680000000003</v>
      </c>
      <c r="O968" s="79">
        <v>99.713859999999997</v>
      </c>
      <c r="P968" s="79">
        <v>120.11109999999999</v>
      </c>
      <c r="Q968" s="79"/>
      <c r="R968" s="79">
        <v>91.6</v>
      </c>
      <c r="S968" s="79">
        <v>105.2809</v>
      </c>
      <c r="T968" s="79">
        <v>108.6001</v>
      </c>
      <c r="U968" s="79">
        <v>142.54060000000001</v>
      </c>
      <c r="V968" s="79">
        <v>49.068089999999998</v>
      </c>
      <c r="W968" s="79">
        <v>39.918799999999997</v>
      </c>
      <c r="X968" s="79">
        <v>27.502279999999999</v>
      </c>
      <c r="Y968" s="79">
        <v>64.017740000000003</v>
      </c>
      <c r="Z968" s="79">
        <v>122.38979999999999</v>
      </c>
      <c r="AA968" s="79">
        <v>100.5603</v>
      </c>
      <c r="AB968" s="79">
        <v>42.602449999999997</v>
      </c>
      <c r="AC968" s="79">
        <v>87.206019999999995</v>
      </c>
      <c r="AD968" s="79"/>
      <c r="AE968" s="79">
        <v>89.366389999999996</v>
      </c>
      <c r="AF968" s="79">
        <v>90.091459999999998</v>
      </c>
      <c r="AG968" s="79">
        <v>119.1709</v>
      </c>
      <c r="AH968" s="79">
        <v>83.096990000000005</v>
      </c>
      <c r="AI968" s="79">
        <v>44.190959999999997</v>
      </c>
      <c r="AJ968" s="79">
        <v>126.503</v>
      </c>
      <c r="AK968" s="79">
        <v>38.600940000000001</v>
      </c>
      <c r="AL968" s="79">
        <v>72.249560000000002</v>
      </c>
      <c r="AM968" s="79">
        <v>95.029910000000001</v>
      </c>
      <c r="AN968" s="79"/>
      <c r="AO968" s="79">
        <v>88.152299999999997</v>
      </c>
      <c r="AP968" s="79">
        <v>90.584900000000005</v>
      </c>
      <c r="AQ968" s="79"/>
      <c r="AR968" s="79"/>
      <c r="AS968" s="79"/>
      <c r="AT968" s="79">
        <v>40.792439999999999</v>
      </c>
      <c r="AU968" s="79"/>
      <c r="AV968" s="79">
        <v>52.817340000000002</v>
      </c>
      <c r="AW968" s="79"/>
      <c r="AX968" s="79">
        <v>42.096490000000003</v>
      </c>
      <c r="AY968" s="79">
        <v>77.764939999999996</v>
      </c>
    </row>
    <row r="969" spans="1:51" x14ac:dyDescent="0.2">
      <c r="A969" t="s">
        <v>1514</v>
      </c>
      <c r="B969" s="1">
        <v>36373</v>
      </c>
      <c r="C969" s="78">
        <v>969</v>
      </c>
      <c r="E969" s="1">
        <f t="shared" si="30"/>
        <v>36373</v>
      </c>
      <c r="F969" s="2">
        <f t="shared" si="31"/>
        <v>36373</v>
      </c>
      <c r="G969" s="78">
        <v>967</v>
      </c>
      <c r="H969" s="79"/>
      <c r="I969" s="79"/>
      <c r="J969" s="79">
        <v>71.088710000000006</v>
      </c>
      <c r="K969" s="79">
        <v>91.151700000000005</v>
      </c>
      <c r="L969" s="79"/>
      <c r="M969" s="79">
        <v>59.92268</v>
      </c>
      <c r="N969" s="79">
        <v>76.593620000000001</v>
      </c>
      <c r="O969" s="79">
        <v>97.863280000000003</v>
      </c>
      <c r="P969" s="79">
        <v>118.3411</v>
      </c>
      <c r="Q969" s="79"/>
      <c r="R969" s="79">
        <v>90.6</v>
      </c>
      <c r="S969" s="79">
        <v>103.3409</v>
      </c>
      <c r="T969" s="79">
        <v>110.1575</v>
      </c>
      <c r="U969" s="79">
        <v>140.9606</v>
      </c>
      <c r="V969" s="79">
        <v>50.71152</v>
      </c>
      <c r="W969" s="79">
        <v>38.552529999999997</v>
      </c>
      <c r="X969" s="79">
        <v>26.603120000000001</v>
      </c>
      <c r="Y969" s="79">
        <v>64.437989999999999</v>
      </c>
      <c r="Z969" s="79">
        <v>123.1897</v>
      </c>
      <c r="AA969" s="79">
        <v>101.517</v>
      </c>
      <c r="AB969" s="79">
        <v>42.602449999999997</v>
      </c>
      <c r="AC969" s="79">
        <v>93.112009999999998</v>
      </c>
      <c r="AD969" s="79"/>
      <c r="AE969" s="79">
        <v>88.642539999999997</v>
      </c>
      <c r="AF969" s="79">
        <v>89.7149</v>
      </c>
      <c r="AG969" s="79">
        <v>119.3896</v>
      </c>
      <c r="AH969" s="79">
        <v>83.289400000000001</v>
      </c>
      <c r="AI969" s="79">
        <v>44.624200000000002</v>
      </c>
      <c r="AJ969" s="79">
        <v>128.29040000000001</v>
      </c>
      <c r="AK969" s="79">
        <v>39.481850000000001</v>
      </c>
      <c r="AL969" s="79">
        <v>73.183009999999996</v>
      </c>
      <c r="AM969" s="79">
        <v>93.511859999999999</v>
      </c>
      <c r="AN969" s="79"/>
      <c r="AO969" s="79">
        <v>88.523349999999994</v>
      </c>
      <c r="AP969" s="79">
        <v>90.484920000000002</v>
      </c>
      <c r="AQ969" s="79"/>
      <c r="AR969" s="79"/>
      <c r="AS969" s="79"/>
      <c r="AT969" s="79">
        <v>41.113709999999998</v>
      </c>
      <c r="AU969" s="79"/>
      <c r="AV969" s="79">
        <v>52.925139999999999</v>
      </c>
      <c r="AW969" s="79"/>
      <c r="AX969" s="79">
        <v>39.596699999999998</v>
      </c>
      <c r="AY969" s="79">
        <v>79.064089999999993</v>
      </c>
    </row>
    <row r="970" spans="1:51" x14ac:dyDescent="0.2">
      <c r="A970" t="s">
        <v>1515</v>
      </c>
      <c r="B970" s="1">
        <v>36404</v>
      </c>
      <c r="C970" s="78">
        <v>970</v>
      </c>
      <c r="E970" s="1">
        <f t="shared" si="30"/>
        <v>36404</v>
      </c>
      <c r="F970" s="2">
        <f t="shared" si="31"/>
        <v>36404</v>
      </c>
      <c r="G970" s="78">
        <v>968</v>
      </c>
      <c r="H970" s="79"/>
      <c r="I970" s="79"/>
      <c r="J970" s="79">
        <v>71.110730000000004</v>
      </c>
      <c r="K970" s="79">
        <v>92.364680000000007</v>
      </c>
      <c r="L970" s="79"/>
      <c r="M970" s="79">
        <v>59.298349999999999</v>
      </c>
      <c r="N970" s="79">
        <v>76.293639999999996</v>
      </c>
      <c r="O970" s="79">
        <v>103.74160000000001</v>
      </c>
      <c r="P970" s="79">
        <v>119.9371</v>
      </c>
      <c r="Q970" s="79"/>
      <c r="R970" s="79">
        <v>92.8</v>
      </c>
      <c r="S970" s="79">
        <v>106.1409</v>
      </c>
      <c r="T970" s="79">
        <v>110.4689</v>
      </c>
      <c r="U970" s="79">
        <v>141.08799999999999</v>
      </c>
      <c r="V970" s="79">
        <v>51.768009999999997</v>
      </c>
      <c r="W970" s="79">
        <v>41.166260000000001</v>
      </c>
      <c r="X970" s="79">
        <v>27.186430000000001</v>
      </c>
      <c r="Y970" s="79">
        <v>65.628680000000003</v>
      </c>
      <c r="Z970" s="79">
        <v>123.6897</v>
      </c>
      <c r="AA970" s="79">
        <v>102.2611</v>
      </c>
      <c r="AB970" s="79">
        <v>44.728270000000002</v>
      </c>
      <c r="AC970" s="79">
        <v>93.969930000000005</v>
      </c>
      <c r="AD970" s="79"/>
      <c r="AE970" s="79">
        <v>88.992750000000001</v>
      </c>
      <c r="AF970" s="79">
        <v>89.244200000000006</v>
      </c>
      <c r="AG970" s="79">
        <v>117.7496</v>
      </c>
      <c r="AH970" s="79">
        <v>83.787180000000006</v>
      </c>
      <c r="AI970" s="79">
        <v>45.481580000000001</v>
      </c>
      <c r="AJ970" s="79">
        <v>125.71469999999999</v>
      </c>
      <c r="AK970" s="79">
        <v>38.869700000000002</v>
      </c>
      <c r="AL970" s="79">
        <v>74.116470000000007</v>
      </c>
      <c r="AM970" s="79">
        <v>96.750370000000004</v>
      </c>
      <c r="AN970" s="79"/>
      <c r="AO970" s="79">
        <v>88.149799999999999</v>
      </c>
      <c r="AP970" s="79">
        <v>91.284779999999998</v>
      </c>
      <c r="AQ970" s="79"/>
      <c r="AR970" s="79"/>
      <c r="AS970" s="79"/>
      <c r="AT970" s="79">
        <v>41.08699</v>
      </c>
      <c r="AU970" s="79"/>
      <c r="AV970" s="79">
        <v>53.551900000000003</v>
      </c>
      <c r="AW970" s="79"/>
      <c r="AX970" s="79">
        <v>40.69661</v>
      </c>
      <c r="AY970" s="79">
        <v>80.091130000000007</v>
      </c>
    </row>
    <row r="971" spans="1:51" x14ac:dyDescent="0.2">
      <c r="A971" t="s">
        <v>1516</v>
      </c>
      <c r="B971" s="1">
        <v>36434</v>
      </c>
      <c r="C971" s="78">
        <v>971</v>
      </c>
      <c r="E971" s="1">
        <f t="shared" si="30"/>
        <v>36434</v>
      </c>
      <c r="F971" s="2">
        <f t="shared" si="31"/>
        <v>36434</v>
      </c>
      <c r="G971" s="78">
        <v>969</v>
      </c>
      <c r="H971" s="79"/>
      <c r="I971" s="79"/>
      <c r="J971" s="79">
        <v>71.571749999999994</v>
      </c>
      <c r="K971" s="79">
        <v>91.851020000000005</v>
      </c>
      <c r="L971" s="79"/>
      <c r="M971" s="79">
        <v>59.766620000000003</v>
      </c>
      <c r="N971" s="79">
        <v>77.09357</v>
      </c>
      <c r="O971" s="79">
        <v>106.6808</v>
      </c>
      <c r="P971" s="79">
        <v>120.56310000000001</v>
      </c>
      <c r="Q971" s="79"/>
      <c r="R971" s="79">
        <v>91.8</v>
      </c>
      <c r="S971" s="79">
        <v>107.4709</v>
      </c>
      <c r="T971" s="79">
        <v>110.26130000000001</v>
      </c>
      <c r="U971" s="79">
        <v>143.46289999999999</v>
      </c>
      <c r="V971" s="79">
        <v>52.413640000000001</v>
      </c>
      <c r="W971" s="79">
        <v>42.413719999999998</v>
      </c>
      <c r="X971" s="79">
        <v>27.838480000000001</v>
      </c>
      <c r="Y971" s="79">
        <v>65.488609999999994</v>
      </c>
      <c r="Z971" s="79">
        <v>124.8896</v>
      </c>
      <c r="AA971" s="79">
        <v>102.15479999999999</v>
      </c>
      <c r="AB971" s="79">
        <v>44.820270000000001</v>
      </c>
      <c r="AC971" s="79">
        <v>93.063980000000001</v>
      </c>
      <c r="AD971" s="79"/>
      <c r="AE971" s="79">
        <v>89.042310000000001</v>
      </c>
      <c r="AF971" s="79">
        <v>89.809039999999996</v>
      </c>
      <c r="AG971" s="79">
        <v>116.21899999999999</v>
      </c>
      <c r="AH971" s="79">
        <v>84.36994</v>
      </c>
      <c r="AI971" s="79">
        <v>45.883929999999999</v>
      </c>
      <c r="AJ971" s="79">
        <v>127.53830000000001</v>
      </c>
      <c r="AK971" s="79">
        <v>39.167189999999998</v>
      </c>
      <c r="AL971" s="79">
        <v>75.516660000000002</v>
      </c>
      <c r="AM971" s="79">
        <v>96.750370000000004</v>
      </c>
      <c r="AN971" s="79"/>
      <c r="AO971" s="79">
        <v>89.325370000000007</v>
      </c>
      <c r="AP971" s="79">
        <v>92.284620000000004</v>
      </c>
      <c r="AQ971" s="79"/>
      <c r="AR971" s="79"/>
      <c r="AS971" s="79"/>
      <c r="AT971" s="79">
        <v>40.809049999999999</v>
      </c>
      <c r="AU971" s="79"/>
      <c r="AV971" s="79">
        <v>51.898049999999998</v>
      </c>
      <c r="AW971" s="79"/>
      <c r="AX971" s="79">
        <v>40.396630000000002</v>
      </c>
      <c r="AY971" s="79">
        <v>81.390280000000004</v>
      </c>
    </row>
    <row r="972" spans="1:51" x14ac:dyDescent="0.2">
      <c r="A972" t="s">
        <v>1517</v>
      </c>
      <c r="B972" s="1">
        <v>36465</v>
      </c>
      <c r="C972" s="78">
        <v>972</v>
      </c>
      <c r="E972" s="1">
        <f t="shared" si="30"/>
        <v>36465</v>
      </c>
      <c r="F972" s="2">
        <f t="shared" si="31"/>
        <v>36465</v>
      </c>
      <c r="G972" s="78">
        <v>970</v>
      </c>
      <c r="H972" s="79"/>
      <c r="I972" s="79"/>
      <c r="J972" s="79">
        <v>73.557599999999994</v>
      </c>
      <c r="K972" s="79">
        <v>93.028419999999997</v>
      </c>
      <c r="L972" s="79"/>
      <c r="M972" s="79">
        <v>59.154470000000003</v>
      </c>
      <c r="N972" s="79">
        <v>76.993579999999994</v>
      </c>
      <c r="O972" s="79">
        <v>108.4225</v>
      </c>
      <c r="P972" s="79">
        <v>121.0851</v>
      </c>
      <c r="Q972" s="79"/>
      <c r="R972" s="79">
        <v>91.8</v>
      </c>
      <c r="S972" s="79">
        <v>107.5509</v>
      </c>
      <c r="T972" s="79">
        <v>110.88420000000001</v>
      </c>
      <c r="U972" s="79">
        <v>142.62270000000001</v>
      </c>
      <c r="V972" s="79">
        <v>53.176659999999998</v>
      </c>
      <c r="W972" s="79">
        <v>41.106859999999998</v>
      </c>
      <c r="X972" s="79">
        <v>28.85314</v>
      </c>
      <c r="Y972" s="79">
        <v>66.749350000000007</v>
      </c>
      <c r="Z972" s="79">
        <v>125.6895</v>
      </c>
      <c r="AA972" s="79">
        <v>103.2178</v>
      </c>
      <c r="AB972" s="79">
        <v>46.854100000000003</v>
      </c>
      <c r="AC972" s="79">
        <v>91.395930000000007</v>
      </c>
      <c r="AD972" s="79"/>
      <c r="AE972" s="79">
        <v>90.131489999999999</v>
      </c>
      <c r="AF972" s="79">
        <v>91.503550000000004</v>
      </c>
      <c r="AG972" s="79">
        <v>120.37350000000001</v>
      </c>
      <c r="AH972" s="79">
        <v>85.050139999999999</v>
      </c>
      <c r="AI972" s="79">
        <v>46.333860000000001</v>
      </c>
      <c r="AJ972" s="79">
        <v>129.3776</v>
      </c>
      <c r="AK972" s="79">
        <v>39.724710000000002</v>
      </c>
      <c r="AL972" s="79">
        <v>74.583200000000005</v>
      </c>
      <c r="AM972" s="79">
        <v>97.053970000000007</v>
      </c>
      <c r="AN972" s="79"/>
      <c r="AO972" s="79">
        <v>89.747219999999999</v>
      </c>
      <c r="AP972" s="79">
        <v>92.684560000000005</v>
      </c>
      <c r="AQ972" s="79"/>
      <c r="AR972" s="79"/>
      <c r="AS972" s="79"/>
      <c r="AT972" s="79">
        <v>40.776780000000002</v>
      </c>
      <c r="AU972" s="79"/>
      <c r="AV972" s="79">
        <v>53.388629999999999</v>
      </c>
      <c r="AW972" s="79"/>
      <c r="AX972" s="79">
        <v>40.996580000000002</v>
      </c>
      <c r="AY972" s="79">
        <v>80.767039999999994</v>
      </c>
    </row>
    <row r="973" spans="1:51" x14ac:dyDescent="0.2">
      <c r="A973" t="s">
        <v>1518</v>
      </c>
      <c r="B973" s="1">
        <v>36495</v>
      </c>
      <c r="C973" s="78">
        <v>973</v>
      </c>
      <c r="E973" s="1">
        <f t="shared" si="30"/>
        <v>36495</v>
      </c>
      <c r="F973" s="2">
        <f t="shared" si="31"/>
        <v>36495</v>
      </c>
      <c r="G973" s="78">
        <v>971</v>
      </c>
      <c r="H973" s="79"/>
      <c r="I973" s="79"/>
      <c r="J973" s="79">
        <v>72.166079999999994</v>
      </c>
      <c r="K973" s="79">
        <v>94.478710000000007</v>
      </c>
      <c r="L973" s="79"/>
      <c r="M973" s="79">
        <v>59.134430000000002</v>
      </c>
      <c r="N973" s="79">
        <v>77.09357</v>
      </c>
      <c r="O973" s="79">
        <v>110.92619999999999</v>
      </c>
      <c r="P973" s="79">
        <v>122.0681</v>
      </c>
      <c r="Q973" s="79"/>
      <c r="R973" s="79">
        <v>98.9</v>
      </c>
      <c r="S973" s="79">
        <v>106.6109</v>
      </c>
      <c r="T973" s="79">
        <v>109.9498</v>
      </c>
      <c r="U973" s="79">
        <v>145.22059999999999</v>
      </c>
      <c r="V973" s="79">
        <v>51.12238</v>
      </c>
      <c r="W973" s="79">
        <v>41.344470000000001</v>
      </c>
      <c r="X973" s="79">
        <v>30.053239999999999</v>
      </c>
      <c r="Y973" s="79">
        <v>67.379720000000006</v>
      </c>
      <c r="Z973" s="79">
        <v>124.28959999999999</v>
      </c>
      <c r="AA973" s="79">
        <v>103.11150000000001</v>
      </c>
      <c r="AB973" s="79">
        <v>46.669110000000003</v>
      </c>
      <c r="AC973" s="79">
        <v>93.357960000000006</v>
      </c>
      <c r="AD973" s="79"/>
      <c r="AE973" s="79">
        <v>90.412880000000001</v>
      </c>
      <c r="AF973" s="79">
        <v>91.221130000000002</v>
      </c>
      <c r="AG973" s="79">
        <v>122.56019999999999</v>
      </c>
      <c r="AH973" s="79">
        <v>85.324939999999998</v>
      </c>
      <c r="AI973" s="79">
        <v>49.059010000000001</v>
      </c>
      <c r="AJ973" s="79">
        <v>129.29560000000001</v>
      </c>
      <c r="AK973" s="79">
        <v>39.230339999999998</v>
      </c>
      <c r="AL973" s="79">
        <v>75.890050000000002</v>
      </c>
      <c r="AM973" s="79">
        <v>96.649159999999995</v>
      </c>
      <c r="AN973" s="79"/>
      <c r="AO973" s="79">
        <v>90.440899999999999</v>
      </c>
      <c r="AP973" s="79">
        <v>92.284620000000004</v>
      </c>
      <c r="AQ973" s="79"/>
      <c r="AR973" s="79"/>
      <c r="AS973" s="79"/>
      <c r="AT973" s="79">
        <v>42.087719999999997</v>
      </c>
      <c r="AU973" s="79"/>
      <c r="AV973" s="79">
        <v>62.027529999999999</v>
      </c>
      <c r="AW973" s="79"/>
      <c r="AX973" s="79">
        <v>41.196570000000001</v>
      </c>
      <c r="AY973" s="79">
        <v>81.478070000000002</v>
      </c>
    </row>
    <row r="974" spans="1:51" x14ac:dyDescent="0.2">
      <c r="A974" t="s">
        <v>1519</v>
      </c>
      <c r="B974" s="1">
        <v>36526</v>
      </c>
      <c r="C974" s="78">
        <v>974</v>
      </c>
      <c r="E974" s="1">
        <f t="shared" si="30"/>
        <v>36526</v>
      </c>
      <c r="F974" s="2">
        <f t="shared" si="31"/>
        <v>36526</v>
      </c>
      <c r="G974" s="78">
        <v>972</v>
      </c>
      <c r="H974" s="79"/>
      <c r="I974" s="79"/>
      <c r="J974" s="79">
        <v>64.894589999999994</v>
      </c>
      <c r="K974" s="79">
        <v>94.841210000000004</v>
      </c>
      <c r="L974" s="79"/>
      <c r="M974" s="79">
        <v>58.490250000000003</v>
      </c>
      <c r="N974" s="79">
        <v>76.493620000000007</v>
      </c>
      <c r="O974" s="79">
        <v>107</v>
      </c>
      <c r="P974" s="79">
        <v>122.3621</v>
      </c>
      <c r="Q974" s="79"/>
      <c r="R974" s="79">
        <v>96</v>
      </c>
      <c r="S974" s="79">
        <v>107.40089999999999</v>
      </c>
      <c r="T974" s="79">
        <v>109.846</v>
      </c>
      <c r="U974" s="79">
        <v>149.126</v>
      </c>
      <c r="V974" s="79">
        <v>53.804490000000001</v>
      </c>
      <c r="W974" s="79">
        <v>38.790140000000001</v>
      </c>
      <c r="X974" s="79">
        <v>28.94435</v>
      </c>
      <c r="Y974" s="79">
        <v>64.648110000000003</v>
      </c>
      <c r="Z974" s="79">
        <v>124.5896</v>
      </c>
      <c r="AA974" s="79">
        <v>103.0052</v>
      </c>
      <c r="AB974" s="79">
        <v>47.595039999999997</v>
      </c>
      <c r="AC974" s="79">
        <v>86.992750000000001</v>
      </c>
      <c r="AD974" s="79">
        <v>57.4</v>
      </c>
      <c r="AE974" s="79">
        <v>91.589309999999998</v>
      </c>
      <c r="AF974" s="79">
        <v>92.25667</v>
      </c>
      <c r="AG974" s="79">
        <v>120.09310000000001</v>
      </c>
      <c r="AH974" s="79">
        <v>85.236599999999996</v>
      </c>
      <c r="AI974" s="79">
        <v>44.6</v>
      </c>
      <c r="AJ974" s="79">
        <v>127.85469999999999</v>
      </c>
      <c r="AK974" s="79">
        <v>39.906649999999999</v>
      </c>
      <c r="AL974" s="79">
        <v>74.116470000000007</v>
      </c>
      <c r="AM974" s="79">
        <v>92.9</v>
      </c>
      <c r="AN974" s="79"/>
      <c r="AO974" s="79">
        <v>90.456760000000003</v>
      </c>
      <c r="AP974" s="79">
        <v>92.08466</v>
      </c>
      <c r="AQ974" s="79"/>
      <c r="AR974" s="79"/>
      <c r="AS974" s="79"/>
      <c r="AT974" s="79">
        <v>41.653970000000001</v>
      </c>
      <c r="AU974" s="79"/>
      <c r="AV974" s="79">
        <v>58.035089999999997</v>
      </c>
      <c r="AW974" s="79"/>
      <c r="AX974" s="79">
        <v>41.496540000000003</v>
      </c>
      <c r="AY974" s="79">
        <v>80.705600000000004</v>
      </c>
    </row>
    <row r="975" spans="1:51" x14ac:dyDescent="0.2">
      <c r="A975" t="s">
        <v>1520</v>
      </c>
      <c r="B975" s="1">
        <v>36557</v>
      </c>
      <c r="C975" s="78">
        <v>975</v>
      </c>
      <c r="E975" s="1">
        <f t="shared" si="30"/>
        <v>36557</v>
      </c>
      <c r="F975" s="2">
        <f t="shared" si="31"/>
        <v>36557</v>
      </c>
      <c r="G975" s="78">
        <v>973</v>
      </c>
      <c r="H975" s="79"/>
      <c r="I975" s="79"/>
      <c r="J975" s="79">
        <v>67.594369999999998</v>
      </c>
      <c r="K975" s="79">
        <v>94.475489999999994</v>
      </c>
      <c r="L975" s="79"/>
      <c r="M975" s="79">
        <v>60.089979999999997</v>
      </c>
      <c r="N975" s="79">
        <v>78.393469999999994</v>
      </c>
      <c r="O975" s="79">
        <v>107</v>
      </c>
      <c r="P975" s="79">
        <v>122.7141</v>
      </c>
      <c r="Q975" s="79"/>
      <c r="R975" s="79">
        <v>96.2</v>
      </c>
      <c r="S975" s="79">
        <v>107.73090000000001</v>
      </c>
      <c r="T975" s="79">
        <v>110.5728</v>
      </c>
      <c r="U975" s="79">
        <v>149.5256</v>
      </c>
      <c r="V975" s="79">
        <v>54.0045</v>
      </c>
      <c r="W975" s="79">
        <v>38.790140000000001</v>
      </c>
      <c r="X975" s="79">
        <v>28.234290000000001</v>
      </c>
      <c r="Y975" s="79">
        <v>68.010090000000005</v>
      </c>
      <c r="Z975" s="79">
        <v>125.1896</v>
      </c>
      <c r="AA975" s="79">
        <v>102.8989</v>
      </c>
      <c r="AB975" s="79">
        <v>47.840009999999999</v>
      </c>
      <c r="AC975" s="79">
        <v>89.692530000000005</v>
      </c>
      <c r="AD975" s="79">
        <v>57.8</v>
      </c>
      <c r="AE975" s="79">
        <v>92.23048</v>
      </c>
      <c r="AF975" s="79">
        <v>93.103920000000002</v>
      </c>
      <c r="AG975" s="79">
        <v>121.48950000000001</v>
      </c>
      <c r="AH975" s="79">
        <v>85.853009999999998</v>
      </c>
      <c r="AI975" s="79">
        <v>45.9</v>
      </c>
      <c r="AJ975" s="79">
        <v>128.87860000000001</v>
      </c>
      <c r="AK975" s="79">
        <v>40.706780000000002</v>
      </c>
      <c r="AL975" s="79">
        <v>76.356769999999997</v>
      </c>
      <c r="AM975" s="79">
        <v>97.8</v>
      </c>
      <c r="AN975" s="79"/>
      <c r="AO975" s="79">
        <v>90.7256</v>
      </c>
      <c r="AP975" s="79">
        <v>93.184470000000005</v>
      </c>
      <c r="AQ975" s="79"/>
      <c r="AR975" s="79"/>
      <c r="AS975" s="79"/>
      <c r="AT975" s="79">
        <v>41.087609999999998</v>
      </c>
      <c r="AU975" s="79"/>
      <c r="AV975" s="79">
        <v>56.07244</v>
      </c>
      <c r="AW975" s="79"/>
      <c r="AX975" s="79">
        <v>42.996420000000001</v>
      </c>
      <c r="AY975" s="79">
        <v>80.810929999999999</v>
      </c>
    </row>
    <row r="976" spans="1:51" x14ac:dyDescent="0.2">
      <c r="A976" t="s">
        <v>1521</v>
      </c>
      <c r="B976" s="1">
        <v>36586</v>
      </c>
      <c r="C976" s="78">
        <v>976</v>
      </c>
      <c r="E976" s="1">
        <f t="shared" si="30"/>
        <v>36586</v>
      </c>
      <c r="F976" s="2">
        <f t="shared" si="31"/>
        <v>36586</v>
      </c>
      <c r="G976" s="78">
        <v>974</v>
      </c>
      <c r="H976" s="79"/>
      <c r="I976" s="79"/>
      <c r="J976" s="79">
        <v>68.694270000000003</v>
      </c>
      <c r="K976" s="79">
        <v>95.568889999999996</v>
      </c>
      <c r="L976" s="79"/>
      <c r="M976" s="79">
        <v>60.5899</v>
      </c>
      <c r="N976" s="79">
        <v>78.493459999999999</v>
      </c>
      <c r="O976" s="79">
        <v>108.6</v>
      </c>
      <c r="P976" s="79">
        <v>124.1921</v>
      </c>
      <c r="Q976" s="79"/>
      <c r="R976" s="79">
        <v>95.5</v>
      </c>
      <c r="S976" s="79">
        <v>108.4509</v>
      </c>
      <c r="T976" s="79">
        <v>110.4689</v>
      </c>
      <c r="U976" s="79">
        <v>151.8229</v>
      </c>
      <c r="V976" s="79">
        <v>56.404699999999998</v>
      </c>
      <c r="W976" s="79">
        <v>39.978200000000001</v>
      </c>
      <c r="X976" s="79">
        <v>28.276299999999999</v>
      </c>
      <c r="Y976" s="79">
        <v>69.200800000000001</v>
      </c>
      <c r="Z976" s="79">
        <v>126.2895</v>
      </c>
      <c r="AA976" s="79">
        <v>104.38720000000001</v>
      </c>
      <c r="AB976" s="79">
        <v>48.064</v>
      </c>
      <c r="AC976" s="79">
        <v>87.392719999999997</v>
      </c>
      <c r="AD976" s="79">
        <v>57.5</v>
      </c>
      <c r="AE976" s="79">
        <v>92.316599999999994</v>
      </c>
      <c r="AF976" s="79">
        <v>93.386340000000004</v>
      </c>
      <c r="AG976" s="79">
        <v>123.00230000000001</v>
      </c>
      <c r="AH976" s="79">
        <v>86.271540000000002</v>
      </c>
      <c r="AI976" s="79">
        <v>45.6</v>
      </c>
      <c r="AJ976" s="79">
        <v>120.81570000000001</v>
      </c>
      <c r="AK976" s="79">
        <v>40.806800000000003</v>
      </c>
      <c r="AL976" s="79">
        <v>77.383579999999995</v>
      </c>
      <c r="AM976" s="79">
        <v>98.4</v>
      </c>
      <c r="AN976" s="79"/>
      <c r="AO976" s="79">
        <v>91.054379999999995</v>
      </c>
      <c r="AP976" s="79">
        <v>93.584400000000002</v>
      </c>
      <c r="AQ976" s="79"/>
      <c r="AR976" s="79"/>
      <c r="AS976" s="79"/>
      <c r="AT976" s="79">
        <v>42.58943</v>
      </c>
      <c r="AU976" s="79"/>
      <c r="AV976" s="79">
        <v>56.082230000000003</v>
      </c>
      <c r="AW976" s="79"/>
      <c r="AX976" s="79">
        <v>42.196480000000001</v>
      </c>
      <c r="AY976" s="79">
        <v>82.136420000000001</v>
      </c>
    </row>
    <row r="977" spans="1:51" x14ac:dyDescent="0.2">
      <c r="A977" t="s">
        <v>1522</v>
      </c>
      <c r="B977" s="1">
        <v>36617</v>
      </c>
      <c r="C977" s="78">
        <v>977</v>
      </c>
      <c r="E977" s="1">
        <f t="shared" si="30"/>
        <v>36617</v>
      </c>
      <c r="F977" s="2">
        <f t="shared" si="31"/>
        <v>36617</v>
      </c>
      <c r="G977" s="78">
        <v>975</v>
      </c>
      <c r="H977" s="79"/>
      <c r="I977" s="79"/>
      <c r="J977" s="79">
        <v>71.194069999999996</v>
      </c>
      <c r="K977" s="79">
        <v>95.300030000000007</v>
      </c>
      <c r="L977" s="79"/>
      <c r="M977" s="79">
        <v>60.489919999999998</v>
      </c>
      <c r="N977" s="79">
        <v>79.493380000000002</v>
      </c>
      <c r="O977" s="79">
        <v>108.6</v>
      </c>
      <c r="P977" s="79">
        <v>123.60209999999999</v>
      </c>
      <c r="Q977" s="79"/>
      <c r="R977" s="79">
        <v>97</v>
      </c>
      <c r="S977" s="79">
        <v>109.0609</v>
      </c>
      <c r="T977" s="79">
        <v>110.1575</v>
      </c>
      <c r="U977" s="79">
        <v>151.8229</v>
      </c>
      <c r="V977" s="79">
        <v>55.704639999999998</v>
      </c>
      <c r="W977" s="79">
        <v>43.126559999999998</v>
      </c>
      <c r="X977" s="79">
        <v>28.583010000000002</v>
      </c>
      <c r="Y977" s="79">
        <v>69.901210000000006</v>
      </c>
      <c r="Z977" s="79">
        <v>127.2894</v>
      </c>
      <c r="AA977" s="79">
        <v>105.9817</v>
      </c>
      <c r="AB977" s="79">
        <v>47.757019999999997</v>
      </c>
      <c r="AC977" s="79">
        <v>92.692279999999997</v>
      </c>
      <c r="AD977" s="79">
        <v>57.1</v>
      </c>
      <c r="AE977" s="79">
        <v>92.183909999999997</v>
      </c>
      <c r="AF977" s="79">
        <v>93.762889999999999</v>
      </c>
      <c r="AG977" s="79">
        <v>117.88209999999999</v>
      </c>
      <c r="AH977" s="79">
        <v>86.909229999999994</v>
      </c>
      <c r="AI977" s="79">
        <v>46.8</v>
      </c>
      <c r="AJ977" s="79">
        <v>119.66379999999999</v>
      </c>
      <c r="AK977" s="79">
        <v>41.4069</v>
      </c>
      <c r="AL977" s="79">
        <v>77.383579999999995</v>
      </c>
      <c r="AM977" s="79">
        <v>99.3</v>
      </c>
      <c r="AN977" s="79"/>
      <c r="AO977" s="79">
        <v>91.710220000000007</v>
      </c>
      <c r="AP977" s="79">
        <v>94.684219999999996</v>
      </c>
      <c r="AQ977" s="79"/>
      <c r="AR977" s="79"/>
      <c r="AS977" s="79"/>
      <c r="AT977" s="79">
        <v>42.798169999999999</v>
      </c>
      <c r="AU977" s="79"/>
      <c r="AV977" s="79">
        <v>61.552549999999997</v>
      </c>
      <c r="AW977" s="79"/>
      <c r="AX977" s="79">
        <v>43.296390000000002</v>
      </c>
      <c r="AY977" s="79">
        <v>82.900120000000001</v>
      </c>
    </row>
    <row r="978" spans="1:51" x14ac:dyDescent="0.2">
      <c r="A978" t="s">
        <v>1523</v>
      </c>
      <c r="B978" s="1">
        <v>36647</v>
      </c>
      <c r="C978" s="78">
        <v>978</v>
      </c>
      <c r="E978" s="1">
        <f t="shared" si="30"/>
        <v>36647</v>
      </c>
      <c r="F978" s="2">
        <f t="shared" si="31"/>
        <v>36647</v>
      </c>
      <c r="G978" s="78">
        <v>976</v>
      </c>
      <c r="H978" s="79"/>
      <c r="I978" s="79"/>
      <c r="J978" s="79">
        <v>71.894009999999994</v>
      </c>
      <c r="K978" s="79">
        <v>96.747889999999998</v>
      </c>
      <c r="L978" s="79"/>
      <c r="M978" s="79">
        <v>61.389769999999999</v>
      </c>
      <c r="N978" s="79">
        <v>81.393219999999999</v>
      </c>
      <c r="O978" s="79">
        <v>112.8</v>
      </c>
      <c r="P978" s="79">
        <v>124.8291</v>
      </c>
      <c r="Q978" s="79"/>
      <c r="R978" s="79">
        <v>101.2</v>
      </c>
      <c r="S978" s="79">
        <v>110.4209</v>
      </c>
      <c r="T978" s="79">
        <v>110.3651</v>
      </c>
      <c r="U978" s="79">
        <v>148.12719999999999</v>
      </c>
      <c r="V978" s="79">
        <v>57.004750000000001</v>
      </c>
      <c r="W978" s="79">
        <v>43.482979999999998</v>
      </c>
      <c r="X978" s="79">
        <v>29.114999999999998</v>
      </c>
      <c r="Y978" s="79">
        <v>71.442120000000003</v>
      </c>
      <c r="Z978" s="79">
        <v>127.9893</v>
      </c>
      <c r="AA978" s="79">
        <v>105.3439</v>
      </c>
      <c r="AB978" s="79">
        <v>49.756860000000003</v>
      </c>
      <c r="AC978" s="79">
        <v>93.49221</v>
      </c>
      <c r="AD978" s="79">
        <v>58.8</v>
      </c>
      <c r="AE978" s="79">
        <v>93.181719999999999</v>
      </c>
      <c r="AF978" s="79">
        <v>95.080849999999998</v>
      </c>
      <c r="AG978" s="79">
        <v>122.886</v>
      </c>
      <c r="AH978" s="79">
        <v>87.604590000000002</v>
      </c>
      <c r="AI978" s="79">
        <v>47.9</v>
      </c>
      <c r="AJ978" s="79">
        <v>128.62260000000001</v>
      </c>
      <c r="AK978" s="79">
        <v>39.50658</v>
      </c>
      <c r="AL978" s="79">
        <v>79.343829999999997</v>
      </c>
      <c r="AM978" s="79">
        <v>101.2</v>
      </c>
      <c r="AN978" s="79"/>
      <c r="AO978" s="79">
        <v>91.866489999999999</v>
      </c>
      <c r="AP978" s="79">
        <v>95.983999999999995</v>
      </c>
      <c r="AQ978" s="79"/>
      <c r="AR978" s="79"/>
      <c r="AS978" s="79"/>
      <c r="AT978" s="79">
        <v>43.078589999999998</v>
      </c>
      <c r="AU978" s="79"/>
      <c r="AV978" s="79">
        <v>56.740969999999997</v>
      </c>
      <c r="AW978" s="79"/>
      <c r="AX978" s="79">
        <v>43.896340000000002</v>
      </c>
      <c r="AY978" s="79">
        <v>82.6631</v>
      </c>
    </row>
    <row r="979" spans="1:51" x14ac:dyDescent="0.2">
      <c r="A979" t="s">
        <v>1524</v>
      </c>
      <c r="B979" s="1">
        <v>36678</v>
      </c>
      <c r="C979" s="78">
        <v>979</v>
      </c>
      <c r="E979" s="1">
        <f t="shared" si="30"/>
        <v>36678</v>
      </c>
      <c r="F979" s="2">
        <f t="shared" si="31"/>
        <v>36678</v>
      </c>
      <c r="G979" s="78">
        <v>977</v>
      </c>
      <c r="H979" s="79"/>
      <c r="I979" s="79"/>
      <c r="J979" s="79">
        <v>70.99409</v>
      </c>
      <c r="K979" s="79">
        <v>97.074820000000003</v>
      </c>
      <c r="L979" s="79"/>
      <c r="M979" s="79">
        <v>61.28978</v>
      </c>
      <c r="N979" s="79">
        <v>79.593369999999993</v>
      </c>
      <c r="O979" s="79">
        <v>110.3</v>
      </c>
      <c r="P979" s="79">
        <v>123.6011</v>
      </c>
      <c r="Q979" s="79"/>
      <c r="R979" s="79">
        <v>97.1</v>
      </c>
      <c r="S979" s="79">
        <v>108.98090000000001</v>
      </c>
      <c r="T979" s="79">
        <v>110.9881</v>
      </c>
      <c r="U979" s="79">
        <v>150.12479999999999</v>
      </c>
      <c r="V979" s="79">
        <v>58.704889999999999</v>
      </c>
      <c r="W979" s="79">
        <v>43.898800000000001</v>
      </c>
      <c r="X979" s="79">
        <v>29.242760000000001</v>
      </c>
      <c r="Y979" s="79">
        <v>71.442120000000003</v>
      </c>
      <c r="Z979" s="79">
        <v>127.7894</v>
      </c>
      <c r="AA979" s="79">
        <v>106.72580000000001</v>
      </c>
      <c r="AB979" s="79">
        <v>49.35389</v>
      </c>
      <c r="AC979" s="79">
        <v>91.292389999999997</v>
      </c>
      <c r="AD979" s="79">
        <v>58.6</v>
      </c>
      <c r="AE979" s="79">
        <v>93.602909999999994</v>
      </c>
      <c r="AF979" s="79">
        <v>93.951170000000005</v>
      </c>
      <c r="AG979" s="79">
        <v>120.3258</v>
      </c>
      <c r="AH979" s="79">
        <v>87.638570000000001</v>
      </c>
      <c r="AI979" s="79">
        <v>48</v>
      </c>
      <c r="AJ979" s="79">
        <v>127.72669999999999</v>
      </c>
      <c r="AK979" s="79">
        <v>38.20637</v>
      </c>
      <c r="AL979" s="79">
        <v>79.437179999999998</v>
      </c>
      <c r="AM979" s="79">
        <v>104.2</v>
      </c>
      <c r="AN979" s="79"/>
      <c r="AO979" s="79">
        <v>91.954669999999993</v>
      </c>
      <c r="AP979" s="79">
        <v>94.584239999999994</v>
      </c>
      <c r="AQ979" s="79"/>
      <c r="AR979" s="79"/>
      <c r="AS979" s="79"/>
      <c r="AT979" s="79">
        <v>42.739899999999999</v>
      </c>
      <c r="AU979" s="79"/>
      <c r="AV979" s="79">
        <v>57.433579999999999</v>
      </c>
      <c r="AW979" s="79"/>
      <c r="AX979" s="79">
        <v>44.496290000000002</v>
      </c>
      <c r="AY979" s="79">
        <v>84.682060000000007</v>
      </c>
    </row>
    <row r="980" spans="1:51" x14ac:dyDescent="0.2">
      <c r="A980" t="s">
        <v>1525</v>
      </c>
      <c r="B980" s="1">
        <v>36708</v>
      </c>
      <c r="C980" s="78">
        <v>980</v>
      </c>
      <c r="E980" s="1">
        <f t="shared" si="30"/>
        <v>36708</v>
      </c>
      <c r="F980" s="2">
        <f t="shared" si="31"/>
        <v>36708</v>
      </c>
      <c r="G980" s="78">
        <v>978</v>
      </c>
      <c r="H980" s="79"/>
      <c r="I980" s="79"/>
      <c r="J980" s="79">
        <v>70.99409</v>
      </c>
      <c r="K980" s="79">
        <v>97.079639999999998</v>
      </c>
      <c r="L980" s="79"/>
      <c r="M980" s="79">
        <v>61.789700000000003</v>
      </c>
      <c r="N980" s="79">
        <v>80.893259999999998</v>
      </c>
      <c r="O980" s="79">
        <v>107.4</v>
      </c>
      <c r="P980" s="79">
        <v>124.4821</v>
      </c>
      <c r="Q980" s="79"/>
      <c r="R980" s="79">
        <v>100.5</v>
      </c>
      <c r="S980" s="79">
        <v>110.2709</v>
      </c>
      <c r="T980" s="79">
        <v>109.846</v>
      </c>
      <c r="U980" s="79">
        <v>148.0273</v>
      </c>
      <c r="V980" s="79">
        <v>58.904910000000001</v>
      </c>
      <c r="W980" s="79">
        <v>46.037300000000002</v>
      </c>
      <c r="X980" s="79">
        <v>29.735980000000001</v>
      </c>
      <c r="Y980" s="79">
        <v>72.142529999999994</v>
      </c>
      <c r="Z980" s="79">
        <v>126.7894</v>
      </c>
      <c r="AA980" s="79">
        <v>106.5132</v>
      </c>
      <c r="AB980" s="79">
        <v>51.047739999999997</v>
      </c>
      <c r="AC980" s="79">
        <v>93.092240000000004</v>
      </c>
      <c r="AD980" s="79">
        <v>58.4</v>
      </c>
      <c r="AE980" s="79">
        <v>92.774039999999999</v>
      </c>
      <c r="AF980" s="79">
        <v>95.551540000000003</v>
      </c>
      <c r="AG980" s="79">
        <v>124.0497</v>
      </c>
      <c r="AH980" s="79">
        <v>87.853290000000001</v>
      </c>
      <c r="AI980" s="79">
        <v>47.6</v>
      </c>
      <c r="AJ980" s="79">
        <v>125.551</v>
      </c>
      <c r="AK980" s="79">
        <v>40.10669</v>
      </c>
      <c r="AL980" s="79">
        <v>79.157139999999998</v>
      </c>
      <c r="AM980" s="79">
        <v>100.5</v>
      </c>
      <c r="AN980" s="79"/>
      <c r="AO980" s="79">
        <v>91.81568</v>
      </c>
      <c r="AP980" s="79">
        <v>95.784030000000001</v>
      </c>
      <c r="AQ980" s="79"/>
      <c r="AR980" s="79"/>
      <c r="AS980" s="79"/>
      <c r="AT980" s="79">
        <v>42.86542</v>
      </c>
      <c r="AU980" s="79"/>
      <c r="AV980" s="79">
        <v>57.451619999999998</v>
      </c>
      <c r="AW980" s="79"/>
      <c r="AX980" s="79">
        <v>44.696269999999998</v>
      </c>
      <c r="AY980" s="79">
        <v>85.278970000000001</v>
      </c>
    </row>
    <row r="981" spans="1:51" x14ac:dyDescent="0.2">
      <c r="A981" t="s">
        <v>1526</v>
      </c>
      <c r="B981" s="1">
        <v>36739</v>
      </c>
      <c r="C981" s="78">
        <v>981</v>
      </c>
      <c r="E981" s="1">
        <f t="shared" si="30"/>
        <v>36739</v>
      </c>
      <c r="F981" s="2">
        <f t="shared" si="31"/>
        <v>36739</v>
      </c>
      <c r="G981" s="78">
        <v>979</v>
      </c>
      <c r="H981" s="79"/>
      <c r="I981" s="79"/>
      <c r="J981" s="79">
        <v>72.993920000000003</v>
      </c>
      <c r="K981" s="79">
        <v>98.063879999999997</v>
      </c>
      <c r="L981" s="79"/>
      <c r="M981" s="79">
        <v>64.589230000000001</v>
      </c>
      <c r="N981" s="79">
        <v>81.693190000000001</v>
      </c>
      <c r="O981" s="79">
        <v>111.8</v>
      </c>
      <c r="P981" s="79">
        <v>123.7941</v>
      </c>
      <c r="Q981" s="79"/>
      <c r="R981" s="79">
        <v>100.8</v>
      </c>
      <c r="S981" s="79">
        <v>109.29089999999999</v>
      </c>
      <c r="T981" s="79">
        <v>110.9881</v>
      </c>
      <c r="U981" s="79">
        <v>153.52090000000001</v>
      </c>
      <c r="V981" s="79">
        <v>59.504959999999997</v>
      </c>
      <c r="W981" s="79">
        <v>44.671039999999998</v>
      </c>
      <c r="X981" s="79">
        <v>29.99391</v>
      </c>
      <c r="Y981" s="79">
        <v>72.842939999999999</v>
      </c>
      <c r="Z981" s="79">
        <v>127.9893</v>
      </c>
      <c r="AA981" s="79">
        <v>108.0014</v>
      </c>
      <c r="AB981" s="79">
        <v>51.938670000000002</v>
      </c>
      <c r="AC981" s="79">
        <v>94.092160000000007</v>
      </c>
      <c r="AD981" s="79">
        <v>59.7</v>
      </c>
      <c r="AE981" s="79">
        <v>93.56653</v>
      </c>
      <c r="AF981" s="79">
        <v>95.080849999999998</v>
      </c>
      <c r="AG981" s="79">
        <v>121.1404</v>
      </c>
      <c r="AH981" s="79">
        <v>88.408230000000003</v>
      </c>
      <c r="AI981" s="79">
        <v>48.1</v>
      </c>
      <c r="AJ981" s="79">
        <v>131.56620000000001</v>
      </c>
      <c r="AK981" s="79">
        <v>40.606769999999997</v>
      </c>
      <c r="AL981" s="79">
        <v>79.063800000000001</v>
      </c>
      <c r="AM981" s="79">
        <v>102.8</v>
      </c>
      <c r="AN981" s="79"/>
      <c r="AO981" s="79">
        <v>91.547319999999999</v>
      </c>
      <c r="AP981" s="79">
        <v>95.884020000000007</v>
      </c>
      <c r="AQ981" s="79"/>
      <c r="AR981" s="79"/>
      <c r="AS981" s="79"/>
      <c r="AT981" s="79">
        <v>42.913589999999999</v>
      </c>
      <c r="AU981" s="79"/>
      <c r="AV981" s="79">
        <v>57.565719999999999</v>
      </c>
      <c r="AW981" s="79"/>
      <c r="AX981" s="79">
        <v>45.79618</v>
      </c>
      <c r="AY981" s="79">
        <v>85.261409999999998</v>
      </c>
    </row>
    <row r="982" spans="1:51" x14ac:dyDescent="0.2">
      <c r="A982" t="s">
        <v>1527</v>
      </c>
      <c r="B982" s="1">
        <v>36770</v>
      </c>
      <c r="C982" s="78">
        <v>982</v>
      </c>
      <c r="E982" s="1">
        <f t="shared" si="30"/>
        <v>36770</v>
      </c>
      <c r="F982" s="2">
        <f t="shared" si="31"/>
        <v>36770</v>
      </c>
      <c r="G982" s="78">
        <v>980</v>
      </c>
      <c r="H982" s="79"/>
      <c r="I982" s="79"/>
      <c r="J982" s="79">
        <v>74.293809999999993</v>
      </c>
      <c r="K982" s="79">
        <v>98.025090000000006</v>
      </c>
      <c r="L982" s="79"/>
      <c r="M982" s="79">
        <v>64.389269999999996</v>
      </c>
      <c r="N982" s="79">
        <v>81.793180000000007</v>
      </c>
      <c r="O982" s="79">
        <v>108.2</v>
      </c>
      <c r="P982" s="79">
        <v>123.81910000000001</v>
      </c>
      <c r="Q982" s="79"/>
      <c r="R982" s="79">
        <v>102.5</v>
      </c>
      <c r="S982" s="79">
        <v>109.57089999999999</v>
      </c>
      <c r="T982" s="79">
        <v>109.9498</v>
      </c>
      <c r="U982" s="79">
        <v>146.8287</v>
      </c>
      <c r="V982" s="79">
        <v>61.00508</v>
      </c>
      <c r="W982" s="79">
        <v>45.680889999999998</v>
      </c>
      <c r="X982" s="79">
        <v>29.651230000000002</v>
      </c>
      <c r="Y982" s="79">
        <v>71.442120000000003</v>
      </c>
      <c r="Z982" s="79">
        <v>127.88930000000001</v>
      </c>
      <c r="AA982" s="79">
        <v>105.76909999999999</v>
      </c>
      <c r="AB982" s="79">
        <v>51.160739999999997</v>
      </c>
      <c r="AC982" s="79">
        <v>91.892340000000004</v>
      </c>
      <c r="AD982" s="79">
        <v>60.4</v>
      </c>
      <c r="AE982" s="79">
        <v>93.46978</v>
      </c>
      <c r="AF982" s="79">
        <v>94.045320000000004</v>
      </c>
      <c r="AG982" s="79">
        <v>121.48950000000001</v>
      </c>
      <c r="AH982" s="79">
        <v>88.054770000000005</v>
      </c>
      <c r="AI982" s="79">
        <v>48.1</v>
      </c>
      <c r="AJ982" s="79">
        <v>132.46209999999999</v>
      </c>
      <c r="AK982" s="79">
        <v>40.706780000000002</v>
      </c>
      <c r="AL982" s="79">
        <v>79.623869999999997</v>
      </c>
      <c r="AM982" s="79">
        <v>102.9</v>
      </c>
      <c r="AN982" s="79"/>
      <c r="AO982" s="79">
        <v>91.900589999999994</v>
      </c>
      <c r="AP982" s="79">
        <v>95.983999999999995</v>
      </c>
      <c r="AQ982" s="79"/>
      <c r="AR982" s="79"/>
      <c r="AS982" s="79"/>
      <c r="AT982" s="79">
        <v>43.442799999999998</v>
      </c>
      <c r="AU982" s="79"/>
      <c r="AV982" s="79">
        <v>57.403550000000003</v>
      </c>
      <c r="AW982" s="79"/>
      <c r="AX982" s="79">
        <v>43.99633</v>
      </c>
      <c r="AY982" s="79">
        <v>84.243160000000003</v>
      </c>
    </row>
    <row r="983" spans="1:51" x14ac:dyDescent="0.2">
      <c r="A983" t="s">
        <v>1528</v>
      </c>
      <c r="B983" s="1">
        <v>36800</v>
      </c>
      <c r="C983" s="78">
        <v>983</v>
      </c>
      <c r="E983" s="1">
        <f t="shared" si="30"/>
        <v>36800</v>
      </c>
      <c r="F983" s="2">
        <f t="shared" si="31"/>
        <v>36800</v>
      </c>
      <c r="G983" s="78">
        <v>981</v>
      </c>
      <c r="H983" s="79"/>
      <c r="I983" s="79"/>
      <c r="J983" s="79">
        <v>74.393799999999999</v>
      </c>
      <c r="K983" s="79">
        <v>98.242320000000007</v>
      </c>
      <c r="L983" s="79"/>
      <c r="M983" s="79">
        <v>65.389099999999999</v>
      </c>
      <c r="N983" s="79">
        <v>81.493210000000005</v>
      </c>
      <c r="O983" s="79">
        <v>110.9</v>
      </c>
      <c r="P983" s="79">
        <v>121.77509999999999</v>
      </c>
      <c r="Q983" s="79"/>
      <c r="R983" s="79">
        <v>103.5</v>
      </c>
      <c r="S983" s="79">
        <v>110.7809</v>
      </c>
      <c r="T983" s="79">
        <v>110.1575</v>
      </c>
      <c r="U983" s="79">
        <v>149.62540000000001</v>
      </c>
      <c r="V983" s="79">
        <v>60.205019999999998</v>
      </c>
      <c r="W983" s="79">
        <v>48.354019999999998</v>
      </c>
      <c r="X983" s="79">
        <v>29.468419999999998</v>
      </c>
      <c r="Y983" s="79">
        <v>72.142529999999994</v>
      </c>
      <c r="Z983" s="79">
        <v>128.38929999999999</v>
      </c>
      <c r="AA983" s="79">
        <v>107.36360000000001</v>
      </c>
      <c r="AB983" s="79">
        <v>50.412799999999997</v>
      </c>
      <c r="AC983" s="79">
        <v>89.292559999999995</v>
      </c>
      <c r="AD983" s="79">
        <v>61</v>
      </c>
      <c r="AE983" s="79">
        <v>92.518630000000002</v>
      </c>
      <c r="AF983" s="79">
        <v>95.269130000000004</v>
      </c>
      <c r="AG983" s="79">
        <v>123.2351</v>
      </c>
      <c r="AH983" s="79">
        <v>88.170940000000002</v>
      </c>
      <c r="AI983" s="79">
        <v>47.8</v>
      </c>
      <c r="AJ983" s="79">
        <v>130.03039999999999</v>
      </c>
      <c r="AK983" s="79">
        <v>41.206870000000002</v>
      </c>
      <c r="AL983" s="79">
        <v>78.783760000000001</v>
      </c>
      <c r="AM983" s="79">
        <v>103.3</v>
      </c>
      <c r="AN983" s="79"/>
      <c r="AO983" s="79">
        <v>91.629729999999995</v>
      </c>
      <c r="AP983" s="79">
        <v>96.183970000000002</v>
      </c>
      <c r="AQ983" s="79"/>
      <c r="AR983" s="79"/>
      <c r="AS983" s="79"/>
      <c r="AT983" s="79">
        <v>43.326729999999998</v>
      </c>
      <c r="AU983" s="79"/>
      <c r="AV983" s="79">
        <v>57.654359999999997</v>
      </c>
      <c r="AW983" s="79"/>
      <c r="AX983" s="79">
        <v>44.59628</v>
      </c>
      <c r="AY983" s="79">
        <v>86.069000000000003</v>
      </c>
    </row>
    <row r="984" spans="1:51" x14ac:dyDescent="0.2">
      <c r="A984" t="s">
        <v>1529</v>
      </c>
      <c r="B984" s="1">
        <v>36831</v>
      </c>
      <c r="C984" s="78">
        <v>984</v>
      </c>
      <c r="E984" s="1">
        <f t="shared" si="30"/>
        <v>36831</v>
      </c>
      <c r="F984" s="2">
        <f t="shared" si="31"/>
        <v>36831</v>
      </c>
      <c r="G984" s="78">
        <v>982</v>
      </c>
      <c r="H984" s="79"/>
      <c r="I984" s="79"/>
      <c r="J984" s="79">
        <v>75.093739999999997</v>
      </c>
      <c r="K984" s="79">
        <v>98.234830000000002</v>
      </c>
      <c r="L984" s="79"/>
      <c r="M984" s="79">
        <v>64.889179999999996</v>
      </c>
      <c r="N984" s="79">
        <v>82.193150000000003</v>
      </c>
      <c r="O984" s="79">
        <v>110.2</v>
      </c>
      <c r="P984" s="79">
        <v>125.60509999999999</v>
      </c>
      <c r="Q984" s="79"/>
      <c r="R984" s="79">
        <v>103.2</v>
      </c>
      <c r="S984" s="79">
        <v>110.5809</v>
      </c>
      <c r="T984" s="79">
        <v>111.29949999999999</v>
      </c>
      <c r="U984" s="79">
        <v>148.9263</v>
      </c>
      <c r="V984" s="79">
        <v>61.105089999999997</v>
      </c>
      <c r="W984" s="79">
        <v>50.373719999999999</v>
      </c>
      <c r="X984" s="79">
        <v>30.342929999999999</v>
      </c>
      <c r="Y984" s="79">
        <v>70.741699999999994</v>
      </c>
      <c r="Z984" s="79">
        <v>129.98920000000001</v>
      </c>
      <c r="AA984" s="79">
        <v>107.78879999999999</v>
      </c>
      <c r="AB984" s="79">
        <v>49.39188</v>
      </c>
      <c r="AC984" s="79">
        <v>93.892169999999993</v>
      </c>
      <c r="AD984" s="79">
        <v>61.4</v>
      </c>
      <c r="AE984" s="79">
        <v>91.660129999999995</v>
      </c>
      <c r="AF984" s="79">
        <v>94.70429</v>
      </c>
      <c r="AG984" s="79">
        <v>119.97669999999999</v>
      </c>
      <c r="AH984" s="79">
        <v>88.472989999999996</v>
      </c>
      <c r="AI984" s="79">
        <v>47.6</v>
      </c>
      <c r="AJ984" s="79">
        <v>131.43819999999999</v>
      </c>
      <c r="AK984" s="79">
        <v>41.4069</v>
      </c>
      <c r="AL984" s="79">
        <v>80.277289999999994</v>
      </c>
      <c r="AM984" s="79">
        <v>106.7</v>
      </c>
      <c r="AN984" s="79"/>
      <c r="AO984" s="79">
        <v>91.654600000000002</v>
      </c>
      <c r="AP984" s="79">
        <v>97.083820000000003</v>
      </c>
      <c r="AQ984" s="79"/>
      <c r="AR984" s="79"/>
      <c r="AS984" s="79"/>
      <c r="AT984" s="79">
        <v>43.764099999999999</v>
      </c>
      <c r="AU984" s="79"/>
      <c r="AV984" s="79">
        <v>57.654670000000003</v>
      </c>
      <c r="AW984" s="79"/>
      <c r="AX984" s="79">
        <v>45.19623</v>
      </c>
      <c r="AY984" s="79">
        <v>85.349199999999996</v>
      </c>
    </row>
    <row r="985" spans="1:51" x14ac:dyDescent="0.2">
      <c r="A985" t="s">
        <v>1530</v>
      </c>
      <c r="B985" s="1">
        <v>36861</v>
      </c>
      <c r="C985" s="78">
        <v>985</v>
      </c>
      <c r="E985" s="1">
        <f t="shared" si="30"/>
        <v>36861</v>
      </c>
      <c r="F985" s="2">
        <f t="shared" si="31"/>
        <v>36861</v>
      </c>
      <c r="G985" s="78">
        <v>983</v>
      </c>
      <c r="H985" s="79"/>
      <c r="I985" s="79"/>
      <c r="J985" s="79">
        <v>75.293719999999993</v>
      </c>
      <c r="K985" s="79">
        <v>98.332750000000004</v>
      </c>
      <c r="L985" s="79"/>
      <c r="M985" s="79">
        <v>66.28895</v>
      </c>
      <c r="N985" s="79">
        <v>82.693110000000004</v>
      </c>
      <c r="O985" s="79">
        <v>115.2</v>
      </c>
      <c r="P985" s="79">
        <v>126.7861</v>
      </c>
      <c r="Q985" s="79"/>
      <c r="R985" s="79">
        <v>102.6</v>
      </c>
      <c r="S985" s="79">
        <v>111.6009</v>
      </c>
      <c r="T985" s="79">
        <v>110.9881</v>
      </c>
      <c r="U985" s="79">
        <v>150.9239</v>
      </c>
      <c r="V985" s="79">
        <v>61.605130000000003</v>
      </c>
      <c r="W985" s="79">
        <v>49.957900000000002</v>
      </c>
      <c r="X985" s="79">
        <v>31.37744</v>
      </c>
      <c r="Y985" s="79">
        <v>70.741699999999994</v>
      </c>
      <c r="Z985" s="79">
        <v>131.78899999999999</v>
      </c>
      <c r="AA985" s="79">
        <v>108.8518</v>
      </c>
      <c r="AB985" s="79">
        <v>48.926920000000003</v>
      </c>
      <c r="AC985" s="79">
        <v>100.0917</v>
      </c>
      <c r="AD985" s="79">
        <v>63</v>
      </c>
      <c r="AE985" s="79">
        <v>90.625259999999997</v>
      </c>
      <c r="AF985" s="79">
        <v>93.668750000000003</v>
      </c>
      <c r="AG985" s="79">
        <v>120.5586</v>
      </c>
      <c r="AH985" s="79">
        <v>88.613069999999993</v>
      </c>
      <c r="AI985" s="79">
        <v>51.6</v>
      </c>
      <c r="AJ985" s="79">
        <v>131.05430000000001</v>
      </c>
      <c r="AK985" s="79">
        <v>42.607100000000003</v>
      </c>
      <c r="AL985" s="79">
        <v>81.397440000000003</v>
      </c>
      <c r="AM985" s="79">
        <v>101.1</v>
      </c>
      <c r="AN985" s="79"/>
      <c r="AO985" s="79">
        <v>91.39949</v>
      </c>
      <c r="AP985" s="79">
        <v>97.683719999999994</v>
      </c>
      <c r="AQ985" s="79"/>
      <c r="AR985" s="79"/>
      <c r="AS985" s="79"/>
      <c r="AT985" s="79">
        <v>43.702039999999997</v>
      </c>
      <c r="AU985" s="79"/>
      <c r="AV985" s="79">
        <v>58.71763</v>
      </c>
      <c r="AW985" s="79"/>
      <c r="AX985" s="79">
        <v>43.296390000000002</v>
      </c>
      <c r="AY985" s="79">
        <v>89.185209999999998</v>
      </c>
    </row>
    <row r="986" spans="1:51" x14ac:dyDescent="0.2">
      <c r="A986" t="s">
        <v>1531</v>
      </c>
      <c r="B986" s="1">
        <v>36892</v>
      </c>
      <c r="C986" s="78">
        <v>986</v>
      </c>
      <c r="E986" s="1">
        <f t="shared" si="30"/>
        <v>36892</v>
      </c>
      <c r="F986" s="2">
        <f t="shared" si="31"/>
        <v>36892</v>
      </c>
      <c r="G986" s="78">
        <v>984</v>
      </c>
      <c r="H986" s="79"/>
      <c r="I986" s="79"/>
      <c r="J986" s="79">
        <v>76.793599999999998</v>
      </c>
      <c r="K986" s="79">
        <v>95.81635</v>
      </c>
      <c r="L986" s="79"/>
      <c r="M986" s="79">
        <v>66.888850000000005</v>
      </c>
      <c r="N986" s="79">
        <v>82.493129999999994</v>
      </c>
      <c r="O986" s="79">
        <v>110.4</v>
      </c>
      <c r="P986" s="79">
        <v>122.8421</v>
      </c>
      <c r="Q986" s="79"/>
      <c r="R986" s="79">
        <v>103.4</v>
      </c>
      <c r="S986" s="79">
        <v>111.1009</v>
      </c>
      <c r="T986" s="79">
        <v>110.88420000000001</v>
      </c>
      <c r="U986" s="79">
        <v>153.22120000000001</v>
      </c>
      <c r="V986" s="79">
        <v>63.105260000000001</v>
      </c>
      <c r="W986" s="79">
        <v>49.839089999999999</v>
      </c>
      <c r="X986" s="79">
        <v>31.49953</v>
      </c>
      <c r="Y986" s="79">
        <v>71.442120000000003</v>
      </c>
      <c r="Z986" s="79">
        <v>128.1893</v>
      </c>
      <c r="AA986" s="79">
        <v>104.8124</v>
      </c>
      <c r="AB986" s="79">
        <v>48.365969999999997</v>
      </c>
      <c r="AC986" s="79">
        <v>93.692189999999997</v>
      </c>
      <c r="AD986" s="79">
        <v>63.3</v>
      </c>
      <c r="AE986" s="79">
        <v>91.081789999999998</v>
      </c>
      <c r="AF986" s="79">
        <v>92.752170000000007</v>
      </c>
      <c r="AG986" s="79">
        <v>122.886</v>
      </c>
      <c r="AH986" s="79">
        <v>87.443560000000005</v>
      </c>
      <c r="AI986" s="79">
        <v>48.1</v>
      </c>
      <c r="AJ986" s="79">
        <v>129.51849999999999</v>
      </c>
      <c r="AK986" s="79">
        <v>42.607100000000003</v>
      </c>
      <c r="AL986" s="79">
        <v>80.370639999999995</v>
      </c>
      <c r="AM986" s="79">
        <v>102.1</v>
      </c>
      <c r="AN986" s="79"/>
      <c r="AO986" s="79">
        <v>90.811179999999993</v>
      </c>
      <c r="AP986" s="79">
        <v>96.883849999999995</v>
      </c>
      <c r="AQ986" s="79"/>
      <c r="AR986" s="79"/>
      <c r="AS986" s="79"/>
      <c r="AT986" s="79">
        <v>43.228679999999997</v>
      </c>
      <c r="AU986" s="79"/>
      <c r="AV986" s="79">
        <v>57.774320000000003</v>
      </c>
      <c r="AW986" s="79"/>
      <c r="AX986" s="79">
        <v>41.796520000000001</v>
      </c>
      <c r="AY986" s="79">
        <v>87.025810000000007</v>
      </c>
    </row>
    <row r="987" spans="1:51" x14ac:dyDescent="0.2">
      <c r="A987" t="s">
        <v>1532</v>
      </c>
      <c r="B987" s="1">
        <v>36923</v>
      </c>
      <c r="C987" s="78">
        <v>987</v>
      </c>
      <c r="E987" s="1">
        <f t="shared" si="30"/>
        <v>36923</v>
      </c>
      <c r="F987" s="2">
        <f t="shared" si="31"/>
        <v>36923</v>
      </c>
      <c r="G987" s="78">
        <v>985</v>
      </c>
      <c r="H987" s="79"/>
      <c r="I987" s="79"/>
      <c r="J987" s="79">
        <v>76.193650000000005</v>
      </c>
      <c r="K987" s="79">
        <v>95.591089999999994</v>
      </c>
      <c r="L987" s="79"/>
      <c r="M987" s="79">
        <v>65.989000000000004</v>
      </c>
      <c r="N987" s="79">
        <v>83.393050000000002</v>
      </c>
      <c r="O987" s="79">
        <v>115</v>
      </c>
      <c r="P987" s="79">
        <v>123.4541</v>
      </c>
      <c r="Q987" s="79"/>
      <c r="R987" s="79">
        <v>101.8</v>
      </c>
      <c r="S987" s="79">
        <v>111.8409</v>
      </c>
      <c r="T987" s="79">
        <v>110.0536</v>
      </c>
      <c r="U987" s="79">
        <v>150.42449999999999</v>
      </c>
      <c r="V987" s="79">
        <v>62.105179999999997</v>
      </c>
      <c r="W987" s="79">
        <v>53.937899999999999</v>
      </c>
      <c r="X987" s="79">
        <v>32.280700000000003</v>
      </c>
      <c r="Y987" s="79">
        <v>70.741699999999994</v>
      </c>
      <c r="Z987" s="79">
        <v>127.38939999999999</v>
      </c>
      <c r="AA987" s="79">
        <v>105.76909999999999</v>
      </c>
      <c r="AB987" s="79">
        <v>48.38297</v>
      </c>
      <c r="AC987" s="79">
        <v>96.191990000000004</v>
      </c>
      <c r="AD987" s="79">
        <v>64.599999999999994</v>
      </c>
      <c r="AE987" s="79">
        <v>90.479029999999995</v>
      </c>
      <c r="AF987" s="79">
        <v>90.981710000000007</v>
      </c>
      <c r="AG987" s="79">
        <v>118.58029999999999</v>
      </c>
      <c r="AH987" s="79">
        <v>87.366479999999996</v>
      </c>
      <c r="AI987" s="79">
        <v>47.5</v>
      </c>
      <c r="AJ987" s="79">
        <v>130.4144</v>
      </c>
      <c r="AK987" s="79">
        <v>40.606769999999997</v>
      </c>
      <c r="AL987" s="79">
        <v>80.930710000000005</v>
      </c>
      <c r="AM987" s="79">
        <v>101</v>
      </c>
      <c r="AN987" s="79"/>
      <c r="AO987" s="79">
        <v>90.230069999999998</v>
      </c>
      <c r="AP987" s="79">
        <v>97.283779999999993</v>
      </c>
      <c r="AQ987" s="79"/>
      <c r="AR987" s="79"/>
      <c r="AS987" s="79"/>
      <c r="AT987" s="79">
        <v>43.935279999999999</v>
      </c>
      <c r="AU987" s="79"/>
      <c r="AV987" s="79">
        <v>58.479869999999998</v>
      </c>
      <c r="AW987" s="79"/>
      <c r="AX987" s="79">
        <v>42.196480000000001</v>
      </c>
      <c r="AY987" s="79">
        <v>87.921170000000004</v>
      </c>
    </row>
    <row r="988" spans="1:51" x14ac:dyDescent="0.2">
      <c r="A988" t="s">
        <v>1533</v>
      </c>
      <c r="B988" s="1">
        <v>36951</v>
      </c>
      <c r="C988" s="78">
        <v>988</v>
      </c>
      <c r="E988" s="1">
        <f t="shared" si="30"/>
        <v>36951</v>
      </c>
      <c r="F988" s="2">
        <f t="shared" si="31"/>
        <v>36951</v>
      </c>
      <c r="G988" s="78">
        <v>986</v>
      </c>
      <c r="H988" s="79"/>
      <c r="I988" s="79"/>
      <c r="J988" s="79">
        <v>74.493790000000004</v>
      </c>
      <c r="K988" s="79">
        <v>94.867419999999996</v>
      </c>
      <c r="L988" s="79"/>
      <c r="M988" s="79">
        <v>66.488919999999993</v>
      </c>
      <c r="N988" s="79">
        <v>81.993160000000003</v>
      </c>
      <c r="O988" s="79">
        <v>114.3</v>
      </c>
      <c r="P988" s="79">
        <v>122.98009999999999</v>
      </c>
      <c r="Q988" s="79"/>
      <c r="R988" s="79">
        <v>102.6</v>
      </c>
      <c r="S988" s="79">
        <v>112.3009</v>
      </c>
      <c r="T988" s="79">
        <v>109.846</v>
      </c>
      <c r="U988" s="79">
        <v>142.23410000000001</v>
      </c>
      <c r="V988" s="79">
        <v>59.004919999999998</v>
      </c>
      <c r="W988" s="79">
        <v>50.670729999999999</v>
      </c>
      <c r="X988" s="79">
        <v>32.456380000000003</v>
      </c>
      <c r="Y988" s="79">
        <v>69.761120000000005</v>
      </c>
      <c r="Z988" s="79">
        <v>127.38939999999999</v>
      </c>
      <c r="AA988" s="79">
        <v>103.962</v>
      </c>
      <c r="AB988" s="79">
        <v>48.727939999999997</v>
      </c>
      <c r="AC988" s="79">
        <v>98.59178</v>
      </c>
      <c r="AD988" s="79">
        <v>65.3</v>
      </c>
      <c r="AE988" s="79">
        <v>90.653559999999999</v>
      </c>
      <c r="AF988" s="79">
        <v>94.817700000000002</v>
      </c>
      <c r="AG988" s="79">
        <v>120.3258</v>
      </c>
      <c r="AH988" s="79">
        <v>86.880200000000002</v>
      </c>
      <c r="AI988" s="79">
        <v>48.2</v>
      </c>
      <c r="AJ988" s="79">
        <v>133.8699</v>
      </c>
      <c r="AK988" s="79">
        <v>42.207039999999999</v>
      </c>
      <c r="AL988" s="79">
        <v>81.397440000000003</v>
      </c>
      <c r="AM988" s="79">
        <v>101.4</v>
      </c>
      <c r="AN988" s="79"/>
      <c r="AO988" s="79">
        <v>90.019049999999993</v>
      </c>
      <c r="AP988" s="79">
        <v>96.683880000000002</v>
      </c>
      <c r="AQ988" s="79"/>
      <c r="AR988" s="79"/>
      <c r="AS988" s="79"/>
      <c r="AT988" s="79">
        <v>43.800469999999997</v>
      </c>
      <c r="AU988" s="79"/>
      <c r="AV988" s="79">
        <v>58.130240000000001</v>
      </c>
      <c r="AW988" s="79"/>
      <c r="AX988" s="79">
        <v>39.796680000000002</v>
      </c>
      <c r="AY988" s="79">
        <v>86.683459999999997</v>
      </c>
    </row>
    <row r="989" spans="1:51" x14ac:dyDescent="0.2">
      <c r="A989" t="s">
        <v>1534</v>
      </c>
      <c r="B989" s="1">
        <v>36982</v>
      </c>
      <c r="C989" s="78">
        <v>989</v>
      </c>
      <c r="E989" s="1">
        <f t="shared" si="30"/>
        <v>36982</v>
      </c>
      <c r="F989" s="2">
        <f t="shared" si="31"/>
        <v>36982</v>
      </c>
      <c r="G989" s="78">
        <v>987</v>
      </c>
      <c r="H989" s="79"/>
      <c r="I989" s="79"/>
      <c r="J989" s="79">
        <v>73.093909999999994</v>
      </c>
      <c r="K989" s="79">
        <v>95.187929999999994</v>
      </c>
      <c r="L989" s="79"/>
      <c r="M989" s="79">
        <v>66.788870000000003</v>
      </c>
      <c r="N989" s="79">
        <v>80.593279999999993</v>
      </c>
      <c r="O989" s="79">
        <v>113.6</v>
      </c>
      <c r="P989" s="79">
        <v>120.9811</v>
      </c>
      <c r="Q989" s="79"/>
      <c r="R989" s="79">
        <v>98.4</v>
      </c>
      <c r="S989" s="79">
        <v>110.48090000000001</v>
      </c>
      <c r="T989" s="79">
        <v>109.0154</v>
      </c>
      <c r="U989" s="79">
        <v>140.13650000000001</v>
      </c>
      <c r="V989" s="79">
        <v>61.00508</v>
      </c>
      <c r="W989" s="79">
        <v>50.789540000000002</v>
      </c>
      <c r="X989" s="79">
        <v>32.989139999999999</v>
      </c>
      <c r="Y989" s="79">
        <v>68.640460000000004</v>
      </c>
      <c r="Z989" s="79">
        <v>126.2895</v>
      </c>
      <c r="AA989" s="79">
        <v>103.2178</v>
      </c>
      <c r="AB989" s="79">
        <v>49.1539</v>
      </c>
      <c r="AC989" s="79">
        <v>93.392219999999995</v>
      </c>
      <c r="AD989" s="79">
        <v>65</v>
      </c>
      <c r="AE989" s="79">
        <v>88.162620000000004</v>
      </c>
      <c r="AF989" s="79">
        <v>95.702929999999995</v>
      </c>
      <c r="AG989" s="79">
        <v>120.90770000000001</v>
      </c>
      <c r="AH989" s="79">
        <v>86.2286</v>
      </c>
      <c r="AI989" s="79">
        <v>47.6</v>
      </c>
      <c r="AJ989" s="79">
        <v>129.13460000000001</v>
      </c>
      <c r="AK989" s="79">
        <v>41.206870000000002</v>
      </c>
      <c r="AL989" s="79">
        <v>81.117400000000004</v>
      </c>
      <c r="AM989" s="79">
        <v>96.5</v>
      </c>
      <c r="AN989" s="79"/>
      <c r="AO989" s="79">
        <v>89.756640000000004</v>
      </c>
      <c r="AP989" s="79">
        <v>95.884020000000007</v>
      </c>
      <c r="AQ989" s="79"/>
      <c r="AR989" s="79"/>
      <c r="AS989" s="79"/>
      <c r="AT989" s="79">
        <v>43.936010000000003</v>
      </c>
      <c r="AU989" s="79"/>
      <c r="AV989" s="79">
        <v>58.139229999999998</v>
      </c>
      <c r="AW989" s="79"/>
      <c r="AX989" s="79">
        <v>39.49671</v>
      </c>
      <c r="AY989" s="79">
        <v>86.385009999999994</v>
      </c>
    </row>
    <row r="990" spans="1:51" x14ac:dyDescent="0.2">
      <c r="A990" t="s">
        <v>1535</v>
      </c>
      <c r="B990" s="1">
        <v>37012</v>
      </c>
      <c r="C990" s="78">
        <v>990</v>
      </c>
      <c r="E990" s="1">
        <f t="shared" si="30"/>
        <v>37012</v>
      </c>
      <c r="F990" s="2">
        <f t="shared" si="31"/>
        <v>37012</v>
      </c>
      <c r="G990" s="78">
        <v>988</v>
      </c>
      <c r="H990" s="79"/>
      <c r="I990" s="79"/>
      <c r="J990" s="79">
        <v>75.793689999999998</v>
      </c>
      <c r="K990" s="79">
        <v>95.315269999999998</v>
      </c>
      <c r="L990" s="79"/>
      <c r="M990" s="79">
        <v>66.888850000000005</v>
      </c>
      <c r="N990" s="79">
        <v>81.493210000000005</v>
      </c>
      <c r="O990" s="79">
        <v>108.3</v>
      </c>
      <c r="P990" s="79">
        <v>123.59910000000001</v>
      </c>
      <c r="Q990" s="79"/>
      <c r="R990" s="79">
        <v>99</v>
      </c>
      <c r="S990" s="79">
        <v>111.29089999999999</v>
      </c>
      <c r="T990" s="79">
        <v>109.0154</v>
      </c>
      <c r="U990" s="79">
        <v>144.33160000000001</v>
      </c>
      <c r="V990" s="79">
        <v>62.00517</v>
      </c>
      <c r="W990" s="79">
        <v>45.086849999999998</v>
      </c>
      <c r="X990" s="79">
        <v>33.530659999999997</v>
      </c>
      <c r="Y990" s="79">
        <v>67.239639999999994</v>
      </c>
      <c r="Z990" s="79">
        <v>126.0895</v>
      </c>
      <c r="AA990" s="79">
        <v>101.1981</v>
      </c>
      <c r="AB990" s="79">
        <v>49.711860000000001</v>
      </c>
      <c r="AC990" s="79">
        <v>96.391970000000001</v>
      </c>
      <c r="AD990" s="79">
        <v>65.599999999999994</v>
      </c>
      <c r="AE990" s="79">
        <v>89.440939999999998</v>
      </c>
      <c r="AF990" s="79">
        <v>96.489789999999999</v>
      </c>
      <c r="AG990" s="79">
        <v>115.5547</v>
      </c>
      <c r="AH990" s="79">
        <v>86.099440000000001</v>
      </c>
      <c r="AI990" s="79">
        <v>47.9</v>
      </c>
      <c r="AJ990" s="79">
        <v>133.22999999999999</v>
      </c>
      <c r="AK990" s="79">
        <v>42.006999999999998</v>
      </c>
      <c r="AL990" s="79">
        <v>80.930710000000005</v>
      </c>
      <c r="AM990" s="79">
        <v>100.4</v>
      </c>
      <c r="AN990" s="79"/>
      <c r="AO990" s="79">
        <v>89.208280000000002</v>
      </c>
      <c r="AP990" s="79">
        <v>96.083979999999997</v>
      </c>
      <c r="AQ990" s="79"/>
      <c r="AR990" s="79"/>
      <c r="AS990" s="79"/>
      <c r="AT990" s="79">
        <v>43.8127</v>
      </c>
      <c r="AU990" s="79"/>
      <c r="AV990" s="79">
        <v>60.534599999999998</v>
      </c>
      <c r="AW990" s="79"/>
      <c r="AX990" s="79">
        <v>39.396720000000002</v>
      </c>
      <c r="AY990" s="79">
        <v>87.052139999999994</v>
      </c>
    </row>
    <row r="991" spans="1:51" x14ac:dyDescent="0.2">
      <c r="A991" t="s">
        <v>1536</v>
      </c>
      <c r="B991" s="1">
        <v>37043</v>
      </c>
      <c r="C991" s="78">
        <v>991</v>
      </c>
      <c r="E991" s="1">
        <f t="shared" si="30"/>
        <v>37043</v>
      </c>
      <c r="F991" s="2">
        <f t="shared" si="31"/>
        <v>37043</v>
      </c>
      <c r="G991" s="78">
        <v>989</v>
      </c>
      <c r="H991" s="79"/>
      <c r="I991" s="79"/>
      <c r="J991" s="79">
        <v>76.793599999999998</v>
      </c>
      <c r="K991" s="79">
        <v>94.377039999999994</v>
      </c>
      <c r="L991" s="79"/>
      <c r="M991" s="79">
        <v>66.788870000000003</v>
      </c>
      <c r="N991" s="79">
        <v>81.893169999999998</v>
      </c>
      <c r="O991" s="79">
        <v>108.9</v>
      </c>
      <c r="P991" s="79">
        <v>123.6091</v>
      </c>
      <c r="Q991" s="79"/>
      <c r="R991" s="79">
        <v>99</v>
      </c>
      <c r="S991" s="79">
        <v>111.32089999999999</v>
      </c>
      <c r="T991" s="79">
        <v>108.91160000000001</v>
      </c>
      <c r="U991" s="79">
        <v>141.7346</v>
      </c>
      <c r="V991" s="79">
        <v>59.204929999999997</v>
      </c>
      <c r="W991" s="79">
        <v>49.601480000000002</v>
      </c>
      <c r="X991" s="79">
        <v>33.568179999999998</v>
      </c>
      <c r="Y991" s="79">
        <v>65.208439999999996</v>
      </c>
      <c r="Z991" s="79">
        <v>126.3895</v>
      </c>
      <c r="AA991" s="79">
        <v>100.13509999999999</v>
      </c>
      <c r="AB991" s="79">
        <v>49.834850000000003</v>
      </c>
      <c r="AC991" s="79">
        <v>96.491960000000006</v>
      </c>
      <c r="AD991" s="79">
        <v>65.400000000000006</v>
      </c>
      <c r="AE991" s="79">
        <v>90.114040000000003</v>
      </c>
      <c r="AF991" s="79">
        <v>93.834109999999995</v>
      </c>
      <c r="AG991" s="79">
        <v>118.69670000000001</v>
      </c>
      <c r="AH991" s="79">
        <v>85.86018</v>
      </c>
      <c r="AI991" s="79">
        <v>46.9</v>
      </c>
      <c r="AJ991" s="79">
        <v>132.97399999999999</v>
      </c>
      <c r="AK991" s="79">
        <v>43.407229999999998</v>
      </c>
      <c r="AL991" s="79">
        <v>81.024060000000006</v>
      </c>
      <c r="AM991" s="79">
        <v>99.7</v>
      </c>
      <c r="AN991" s="79"/>
      <c r="AO991" s="79">
        <v>88.67501</v>
      </c>
      <c r="AP991" s="79">
        <v>96.183970000000002</v>
      </c>
      <c r="AQ991" s="79"/>
      <c r="AR991" s="79"/>
      <c r="AS991" s="79"/>
      <c r="AT991" s="79">
        <v>44.04466</v>
      </c>
      <c r="AU991" s="79"/>
      <c r="AV991" s="79">
        <v>59.93974</v>
      </c>
      <c r="AW991" s="79"/>
      <c r="AX991" s="79">
        <v>39.696689999999997</v>
      </c>
      <c r="AY991" s="79">
        <v>85.972430000000003</v>
      </c>
    </row>
    <row r="992" spans="1:51" x14ac:dyDescent="0.2">
      <c r="A992" t="s">
        <v>1537</v>
      </c>
      <c r="B992" s="1">
        <v>37073</v>
      </c>
      <c r="C992" s="78">
        <v>992</v>
      </c>
      <c r="E992" s="1">
        <f t="shared" si="30"/>
        <v>37073</v>
      </c>
      <c r="F992" s="2">
        <f t="shared" si="31"/>
        <v>37073</v>
      </c>
      <c r="G992" s="78">
        <v>990</v>
      </c>
      <c r="H992" s="79"/>
      <c r="I992" s="79"/>
      <c r="J992" s="79">
        <v>72.493960000000001</v>
      </c>
      <c r="K992" s="79">
        <v>93.062929999999994</v>
      </c>
      <c r="L992" s="79"/>
      <c r="M992" s="79">
        <v>65.589070000000007</v>
      </c>
      <c r="N992" s="79">
        <v>79.393389999999997</v>
      </c>
      <c r="O992" s="79">
        <v>110.6</v>
      </c>
      <c r="P992" s="79">
        <v>120.92910000000001</v>
      </c>
      <c r="Q992" s="79"/>
      <c r="R992" s="79">
        <v>96.9</v>
      </c>
      <c r="S992" s="79">
        <v>109.79089999999999</v>
      </c>
      <c r="T992" s="79">
        <v>108.081</v>
      </c>
      <c r="U992" s="79">
        <v>141.1353</v>
      </c>
      <c r="V992" s="79">
        <v>59.004919999999998</v>
      </c>
      <c r="W992" s="79">
        <v>46.987749999999998</v>
      </c>
      <c r="X992" s="79">
        <v>35.893430000000002</v>
      </c>
      <c r="Y992" s="79">
        <v>66.749350000000007</v>
      </c>
      <c r="Z992" s="79">
        <v>124.08969999999999</v>
      </c>
      <c r="AA992" s="79">
        <v>98.753230000000002</v>
      </c>
      <c r="AB992" s="79">
        <v>48.959919999999997</v>
      </c>
      <c r="AC992" s="79">
        <v>97.791849999999997</v>
      </c>
      <c r="AD992" s="79">
        <v>66.3</v>
      </c>
      <c r="AE992" s="79">
        <v>91.262110000000007</v>
      </c>
      <c r="AF992" s="79">
        <v>92.948880000000003</v>
      </c>
      <c r="AG992" s="79">
        <v>118.58029999999999</v>
      </c>
      <c r="AH992" s="79">
        <v>84.94708</v>
      </c>
      <c r="AI992" s="79">
        <v>47.2</v>
      </c>
      <c r="AJ992" s="79">
        <v>128.62260000000001</v>
      </c>
      <c r="AK992" s="79">
        <v>42.107019999999999</v>
      </c>
      <c r="AL992" s="79">
        <v>81.770820000000001</v>
      </c>
      <c r="AM992" s="79">
        <v>99.4</v>
      </c>
      <c r="AN992" s="79"/>
      <c r="AO992" s="79">
        <v>88.168340000000001</v>
      </c>
      <c r="AP992" s="79">
        <v>94.484250000000003</v>
      </c>
      <c r="AQ992" s="79"/>
      <c r="AR992" s="79"/>
      <c r="AS992" s="79"/>
      <c r="AT992" s="79">
        <v>43.74736</v>
      </c>
      <c r="AU992" s="79"/>
      <c r="AV992" s="79">
        <v>59.846789999999999</v>
      </c>
      <c r="AW992" s="79"/>
      <c r="AX992" s="79">
        <v>40.196649999999998</v>
      </c>
      <c r="AY992" s="79">
        <v>85.761759999999995</v>
      </c>
    </row>
    <row r="993" spans="1:51" x14ac:dyDescent="0.2">
      <c r="A993" t="s">
        <v>1538</v>
      </c>
      <c r="B993" s="1">
        <v>37104</v>
      </c>
      <c r="C993" s="78">
        <v>993</v>
      </c>
      <c r="E993" s="1">
        <f t="shared" si="30"/>
        <v>37104</v>
      </c>
      <c r="F993" s="2">
        <f t="shared" si="31"/>
        <v>37104</v>
      </c>
      <c r="G993" s="78">
        <v>991</v>
      </c>
      <c r="H993" s="79"/>
      <c r="I993" s="79"/>
      <c r="J993" s="79">
        <v>75.893680000000003</v>
      </c>
      <c r="K993" s="79">
        <v>93.555729999999997</v>
      </c>
      <c r="L993" s="79"/>
      <c r="M993" s="79">
        <v>66.988839999999996</v>
      </c>
      <c r="N993" s="79">
        <v>81.593199999999996</v>
      </c>
      <c r="O993" s="79">
        <v>114.6</v>
      </c>
      <c r="P993" s="79">
        <v>125.5761</v>
      </c>
      <c r="Q993" s="79"/>
      <c r="R993" s="79">
        <v>100.8</v>
      </c>
      <c r="S993" s="79">
        <v>112.51090000000001</v>
      </c>
      <c r="T993" s="79">
        <v>109.9498</v>
      </c>
      <c r="U993" s="79">
        <v>143.2329</v>
      </c>
      <c r="V993" s="79">
        <v>62.105179999999997</v>
      </c>
      <c r="W993" s="79">
        <v>49.601480000000002</v>
      </c>
      <c r="X993" s="79">
        <v>38.08623</v>
      </c>
      <c r="Y993" s="79">
        <v>65.978899999999996</v>
      </c>
      <c r="Z993" s="79">
        <v>126.2895</v>
      </c>
      <c r="AA993" s="79">
        <v>97.371319999999997</v>
      </c>
      <c r="AB993" s="79">
        <v>50.198819999999998</v>
      </c>
      <c r="AC993" s="79">
        <v>96.091999999999999</v>
      </c>
      <c r="AD993" s="79">
        <v>66.099999999999994</v>
      </c>
      <c r="AE993" s="79">
        <v>90.52122</v>
      </c>
      <c r="AF993" s="79">
        <v>96.096360000000004</v>
      </c>
      <c r="AG993" s="79">
        <v>119.744</v>
      </c>
      <c r="AH993" s="79">
        <v>85.658910000000006</v>
      </c>
      <c r="AI993" s="79">
        <v>48.7</v>
      </c>
      <c r="AJ993" s="79">
        <v>131.82220000000001</v>
      </c>
      <c r="AK993" s="79">
        <v>42.207039999999999</v>
      </c>
      <c r="AL993" s="79">
        <v>81.584130000000002</v>
      </c>
      <c r="AM993" s="79">
        <v>101.7</v>
      </c>
      <c r="AN993" s="79"/>
      <c r="AO993" s="79">
        <v>88.059039999999996</v>
      </c>
      <c r="AP993" s="79">
        <v>96.783869999999993</v>
      </c>
      <c r="AQ993" s="79"/>
      <c r="AR993" s="79"/>
      <c r="AS993" s="79"/>
      <c r="AT993" s="79">
        <v>44.136580000000002</v>
      </c>
      <c r="AU993" s="79"/>
      <c r="AV993" s="79">
        <v>59.523850000000003</v>
      </c>
      <c r="AW993" s="79"/>
      <c r="AX993" s="79">
        <v>41.396549999999998</v>
      </c>
      <c r="AY993" s="79">
        <v>85.779319999999998</v>
      </c>
    </row>
    <row r="994" spans="1:51" x14ac:dyDescent="0.2">
      <c r="A994" t="s">
        <v>1539</v>
      </c>
      <c r="B994" s="1">
        <v>37135</v>
      </c>
      <c r="C994" s="78">
        <v>994</v>
      </c>
      <c r="E994" s="1">
        <f t="shared" si="30"/>
        <v>37135</v>
      </c>
      <c r="F994" s="2">
        <f t="shared" si="31"/>
        <v>37135</v>
      </c>
      <c r="G994" s="78">
        <v>992</v>
      </c>
      <c r="H994" s="79"/>
      <c r="I994" s="79"/>
      <c r="J994" s="79">
        <v>74.793769999999995</v>
      </c>
      <c r="K994" s="79">
        <v>92.121489999999994</v>
      </c>
      <c r="L994" s="79"/>
      <c r="M994" s="79">
        <v>66.28895</v>
      </c>
      <c r="N994" s="79">
        <v>80.493290000000002</v>
      </c>
      <c r="O994" s="79">
        <v>112.6</v>
      </c>
      <c r="P994" s="79">
        <v>122.90009999999999</v>
      </c>
      <c r="Q994" s="79"/>
      <c r="R994" s="79">
        <v>100.1</v>
      </c>
      <c r="S994" s="79">
        <v>110.7709</v>
      </c>
      <c r="T994" s="79">
        <v>108.3925</v>
      </c>
      <c r="U994" s="79">
        <v>141.33510000000001</v>
      </c>
      <c r="V994" s="79">
        <v>58.404870000000003</v>
      </c>
      <c r="W994" s="79">
        <v>48.829239999999999</v>
      </c>
      <c r="X994" s="79">
        <v>37.343850000000003</v>
      </c>
      <c r="Y994" s="79">
        <v>66.189019999999999</v>
      </c>
      <c r="Z994" s="79">
        <v>124.28959999999999</v>
      </c>
      <c r="AA994" s="79">
        <v>95.564210000000003</v>
      </c>
      <c r="AB994" s="79">
        <v>50.596780000000003</v>
      </c>
      <c r="AC994" s="79">
        <v>95.892009999999999</v>
      </c>
      <c r="AD994" s="79">
        <v>66.2</v>
      </c>
      <c r="AE994" s="79">
        <v>90.662279999999996</v>
      </c>
      <c r="AF994" s="79">
        <v>94.424260000000004</v>
      </c>
      <c r="AG994" s="79">
        <v>123.2351</v>
      </c>
      <c r="AH994" s="79">
        <v>84.88861</v>
      </c>
      <c r="AI994" s="79">
        <v>47.5</v>
      </c>
      <c r="AJ994" s="79">
        <v>132.46209999999999</v>
      </c>
      <c r="AK994" s="79">
        <v>42.507080000000002</v>
      </c>
      <c r="AL994" s="79">
        <v>80.650670000000005</v>
      </c>
      <c r="AM994" s="79">
        <v>100.4</v>
      </c>
      <c r="AN994" s="79"/>
      <c r="AO994" s="79">
        <v>87.722279999999998</v>
      </c>
      <c r="AP994" s="79">
        <v>95.384100000000004</v>
      </c>
      <c r="AQ994" s="79"/>
      <c r="AR994" s="79"/>
      <c r="AS994" s="79"/>
      <c r="AT994" s="79">
        <v>44.284230000000001</v>
      </c>
      <c r="AU994" s="79"/>
      <c r="AV994" s="79">
        <v>60.209139999999998</v>
      </c>
      <c r="AW994" s="79"/>
      <c r="AX994" s="79">
        <v>41.196570000000001</v>
      </c>
      <c r="AY994" s="79">
        <v>84.137820000000005</v>
      </c>
    </row>
    <row r="995" spans="1:51" x14ac:dyDescent="0.2">
      <c r="A995" t="s">
        <v>1540</v>
      </c>
      <c r="B995" s="1">
        <v>37165</v>
      </c>
      <c r="C995" s="78">
        <v>995</v>
      </c>
      <c r="E995" s="1">
        <f t="shared" si="30"/>
        <v>37165</v>
      </c>
      <c r="F995" s="2">
        <f t="shared" si="31"/>
        <v>37165</v>
      </c>
      <c r="G995" s="78">
        <v>993</v>
      </c>
      <c r="H995" s="79"/>
      <c r="I995" s="79"/>
      <c r="J995" s="79">
        <v>73.193899999999999</v>
      </c>
      <c r="K995" s="79">
        <v>92.395169999999993</v>
      </c>
      <c r="L995" s="79"/>
      <c r="M995" s="79">
        <v>66.688890000000001</v>
      </c>
      <c r="N995" s="79">
        <v>79.093410000000006</v>
      </c>
      <c r="O995" s="79">
        <v>109.5</v>
      </c>
      <c r="P995" s="79">
        <v>121.7861</v>
      </c>
      <c r="Q995" s="79"/>
      <c r="R995" s="79">
        <v>99.2</v>
      </c>
      <c r="S995" s="79">
        <v>109.98090000000001</v>
      </c>
      <c r="T995" s="79">
        <v>107.458</v>
      </c>
      <c r="U995" s="79">
        <v>142.73349999999999</v>
      </c>
      <c r="V995" s="79">
        <v>61.70514</v>
      </c>
      <c r="W995" s="79">
        <v>46.928350000000002</v>
      </c>
      <c r="X995" s="79">
        <v>36.888959999999997</v>
      </c>
      <c r="Y995" s="79">
        <v>65.55865</v>
      </c>
      <c r="Z995" s="79">
        <v>123.58969999999999</v>
      </c>
      <c r="AA995" s="79">
        <v>95.564210000000003</v>
      </c>
      <c r="AB995" s="79">
        <v>50.70778</v>
      </c>
      <c r="AC995" s="79">
        <v>96.091999999999999</v>
      </c>
      <c r="AD995" s="79">
        <v>66.2</v>
      </c>
      <c r="AE995" s="79">
        <v>88.732860000000002</v>
      </c>
      <c r="AF995" s="79">
        <v>90.981710000000007</v>
      </c>
      <c r="AG995" s="79">
        <v>120.90770000000001</v>
      </c>
      <c r="AH995" s="79">
        <v>84.314099999999996</v>
      </c>
      <c r="AI995" s="79">
        <v>47.6</v>
      </c>
      <c r="AJ995" s="79">
        <v>133.22999999999999</v>
      </c>
      <c r="AK995" s="79">
        <v>42.407069999999997</v>
      </c>
      <c r="AL995" s="79">
        <v>82.05086</v>
      </c>
      <c r="AM995" s="79">
        <v>100.7</v>
      </c>
      <c r="AN995" s="79"/>
      <c r="AO995" s="79">
        <v>87.340580000000003</v>
      </c>
      <c r="AP995" s="79">
        <v>94.184299999999993</v>
      </c>
      <c r="AQ995" s="79"/>
      <c r="AR995" s="79"/>
      <c r="AS995" s="79"/>
      <c r="AT995" s="79">
        <v>44.412590000000002</v>
      </c>
      <c r="AU995" s="79"/>
      <c r="AV995" s="79">
        <v>60.786380000000001</v>
      </c>
      <c r="AW995" s="79"/>
      <c r="AX995" s="79">
        <v>38.89676</v>
      </c>
      <c r="AY995" s="79">
        <v>82.206639999999993</v>
      </c>
    </row>
    <row r="996" spans="1:51" x14ac:dyDescent="0.2">
      <c r="A996" t="s">
        <v>1541</v>
      </c>
      <c r="B996" s="1">
        <v>37196</v>
      </c>
      <c r="C996" s="78">
        <v>996</v>
      </c>
      <c r="E996" s="1">
        <f t="shared" si="30"/>
        <v>37196</v>
      </c>
      <c r="F996" s="2">
        <f t="shared" si="31"/>
        <v>37196</v>
      </c>
      <c r="G996" s="78">
        <v>994</v>
      </c>
      <c r="H996" s="79"/>
      <c r="I996" s="79"/>
      <c r="J996" s="79">
        <v>73.093909999999994</v>
      </c>
      <c r="K996" s="79">
        <v>92.478909999999999</v>
      </c>
      <c r="L996" s="79"/>
      <c r="M996" s="79">
        <v>67.188800000000001</v>
      </c>
      <c r="N996" s="79">
        <v>78.093490000000003</v>
      </c>
      <c r="O996" s="79">
        <v>117.8</v>
      </c>
      <c r="P996" s="79">
        <v>119.95310000000001</v>
      </c>
      <c r="Q996" s="79"/>
      <c r="R996" s="79">
        <v>99.1</v>
      </c>
      <c r="S996" s="79">
        <v>108.7809</v>
      </c>
      <c r="T996" s="79">
        <v>107.0427</v>
      </c>
      <c r="U996" s="79">
        <v>144.7311</v>
      </c>
      <c r="V996" s="79">
        <v>59.804989999999997</v>
      </c>
      <c r="W996" s="79">
        <v>47.819389999999999</v>
      </c>
      <c r="X996" s="79">
        <v>36.268819999999998</v>
      </c>
      <c r="Y996" s="79">
        <v>64.928280000000001</v>
      </c>
      <c r="Z996" s="79">
        <v>121.7898</v>
      </c>
      <c r="AA996" s="79">
        <v>94.075999999999993</v>
      </c>
      <c r="AB996" s="79">
        <v>50.665779999999998</v>
      </c>
      <c r="AC996" s="79">
        <v>96.691940000000002</v>
      </c>
      <c r="AD996" s="79">
        <v>65.900000000000006</v>
      </c>
      <c r="AE996" s="79">
        <v>90.667010000000005</v>
      </c>
      <c r="AF996" s="79">
        <v>94.030829999999995</v>
      </c>
      <c r="AG996" s="79">
        <v>122.30410000000001</v>
      </c>
      <c r="AH996" s="79">
        <v>83.91207</v>
      </c>
      <c r="AI996" s="79">
        <v>47</v>
      </c>
      <c r="AJ996" s="79">
        <v>134.76580000000001</v>
      </c>
      <c r="AK996" s="79">
        <v>41.4069</v>
      </c>
      <c r="AL996" s="79">
        <v>81.024060000000006</v>
      </c>
      <c r="AM996" s="79">
        <v>101.3</v>
      </c>
      <c r="AN996" s="79"/>
      <c r="AO996" s="79">
        <v>86.912670000000006</v>
      </c>
      <c r="AP996" s="79">
        <v>93.48442</v>
      </c>
      <c r="AQ996" s="79"/>
      <c r="AR996" s="79"/>
      <c r="AS996" s="79"/>
      <c r="AT996" s="79">
        <v>44.871560000000002</v>
      </c>
      <c r="AU996" s="79"/>
      <c r="AV996" s="79">
        <v>61.368310000000001</v>
      </c>
      <c r="AW996" s="79"/>
      <c r="AX996" s="79">
        <v>39.596699999999998</v>
      </c>
      <c r="AY996" s="79">
        <v>83.163449999999997</v>
      </c>
    </row>
    <row r="997" spans="1:51" x14ac:dyDescent="0.2">
      <c r="A997" t="s">
        <v>1542</v>
      </c>
      <c r="B997" s="1">
        <v>37226</v>
      </c>
      <c r="C997" s="78">
        <v>997</v>
      </c>
      <c r="E997" s="1">
        <f t="shared" si="30"/>
        <v>37226</v>
      </c>
      <c r="F997" s="2">
        <f t="shared" si="31"/>
        <v>37226</v>
      </c>
      <c r="G997" s="78">
        <v>995</v>
      </c>
      <c r="H997" s="79"/>
      <c r="I997" s="79"/>
      <c r="J997" s="79">
        <v>72.293980000000005</v>
      </c>
      <c r="K997" s="79">
        <v>90.677090000000007</v>
      </c>
      <c r="L997" s="79"/>
      <c r="M997" s="79">
        <v>67.288790000000006</v>
      </c>
      <c r="N997" s="79">
        <v>78.593450000000004</v>
      </c>
      <c r="O997" s="79">
        <v>113.7</v>
      </c>
      <c r="P997" s="79">
        <v>119.80410000000001</v>
      </c>
      <c r="Q997" s="79"/>
      <c r="R997" s="79">
        <v>95.5</v>
      </c>
      <c r="S997" s="79">
        <v>109.48090000000001</v>
      </c>
      <c r="T997" s="79">
        <v>107.14660000000001</v>
      </c>
      <c r="U997" s="79">
        <v>132.74510000000001</v>
      </c>
      <c r="V997" s="79">
        <v>59.404949999999999</v>
      </c>
      <c r="W997" s="79">
        <v>52.512230000000002</v>
      </c>
      <c r="X997" s="79">
        <v>35.804760000000002</v>
      </c>
      <c r="Y997" s="79">
        <v>65.138400000000004</v>
      </c>
      <c r="Z997" s="79">
        <v>123.3897</v>
      </c>
      <c r="AA997" s="79">
        <v>95.032709999999994</v>
      </c>
      <c r="AB997" s="79">
        <v>49.648859999999999</v>
      </c>
      <c r="AC997" s="79">
        <v>98.391800000000003</v>
      </c>
      <c r="AD997" s="79">
        <v>66.3</v>
      </c>
      <c r="AE997" s="79">
        <v>90.383359999999996</v>
      </c>
      <c r="AF997" s="79">
        <v>95.801280000000006</v>
      </c>
      <c r="AG997" s="79">
        <v>126.49339999999999</v>
      </c>
      <c r="AH997" s="79">
        <v>84.075890000000001</v>
      </c>
      <c r="AI997" s="79">
        <v>49.1</v>
      </c>
      <c r="AJ997" s="79">
        <v>132.84610000000001</v>
      </c>
      <c r="AK997" s="79">
        <v>41.006839999999997</v>
      </c>
      <c r="AL997" s="79">
        <v>81.864170000000001</v>
      </c>
      <c r="AM997" s="79">
        <v>100.7</v>
      </c>
      <c r="AN997" s="79"/>
      <c r="AO997" s="79">
        <v>86.933120000000002</v>
      </c>
      <c r="AP997" s="79">
        <v>94.184299999999993</v>
      </c>
      <c r="AQ997" s="79"/>
      <c r="AR997" s="79"/>
      <c r="AS997" s="79"/>
      <c r="AT997" s="79">
        <v>44.93439</v>
      </c>
      <c r="AU997" s="79"/>
      <c r="AV997" s="79">
        <v>59.567340000000002</v>
      </c>
      <c r="AW997" s="79"/>
      <c r="AX997" s="79">
        <v>39.49671</v>
      </c>
      <c r="AY997" s="79">
        <v>83.409239999999997</v>
      </c>
    </row>
    <row r="998" spans="1:51" x14ac:dyDescent="0.2">
      <c r="A998" t="s">
        <v>1543</v>
      </c>
      <c r="B998" s="1">
        <v>37257</v>
      </c>
      <c r="C998" s="78">
        <v>998</v>
      </c>
      <c r="E998" s="1">
        <f t="shared" si="30"/>
        <v>37257</v>
      </c>
      <c r="F998" s="2">
        <f t="shared" si="31"/>
        <v>37257</v>
      </c>
      <c r="G998" s="78">
        <v>996</v>
      </c>
      <c r="H998" s="79"/>
      <c r="I998" s="79"/>
      <c r="J998" s="79">
        <v>73.693860000000001</v>
      </c>
      <c r="K998" s="79">
        <v>93.866060000000004</v>
      </c>
      <c r="L998" s="79"/>
      <c r="M998" s="79">
        <v>65.389099999999999</v>
      </c>
      <c r="N998" s="79">
        <v>78.99342</v>
      </c>
      <c r="O998" s="79">
        <v>115.6</v>
      </c>
      <c r="P998" s="79">
        <v>121.45610000000001</v>
      </c>
      <c r="Q998" s="79"/>
      <c r="R998" s="79">
        <v>98.5</v>
      </c>
      <c r="S998" s="79">
        <v>109.4509</v>
      </c>
      <c r="T998" s="79">
        <v>106.8351</v>
      </c>
      <c r="U998" s="79">
        <v>141.1353</v>
      </c>
      <c r="V998" s="79">
        <v>59.704979999999999</v>
      </c>
      <c r="W998" s="79">
        <v>53.225059999999999</v>
      </c>
      <c r="X998" s="79">
        <v>37.217300000000002</v>
      </c>
      <c r="Y998" s="79">
        <v>64.78819</v>
      </c>
      <c r="Z998" s="79">
        <v>122.2898</v>
      </c>
      <c r="AA998" s="79">
        <v>94.50121</v>
      </c>
      <c r="AB998" s="79">
        <v>50.828769999999999</v>
      </c>
      <c r="AC998" s="79">
        <v>97.991839999999996</v>
      </c>
      <c r="AD998" s="79">
        <v>67.7</v>
      </c>
      <c r="AE998" s="79">
        <v>88.718230000000005</v>
      </c>
      <c r="AF998" s="79">
        <v>94.129189999999994</v>
      </c>
      <c r="AG998" s="79">
        <v>122.5368</v>
      </c>
      <c r="AH998" s="79">
        <v>84.310770000000005</v>
      </c>
      <c r="AI998" s="79">
        <v>47.9</v>
      </c>
      <c r="AJ998" s="79">
        <v>130.1584</v>
      </c>
      <c r="AK998" s="79">
        <v>41.506920000000001</v>
      </c>
      <c r="AL998" s="79">
        <v>82.984309999999994</v>
      </c>
      <c r="AM998" s="79">
        <v>99.5</v>
      </c>
      <c r="AN998" s="79"/>
      <c r="AO998" s="79">
        <v>87.482640000000004</v>
      </c>
      <c r="AP998" s="79">
        <v>94.184299999999993</v>
      </c>
      <c r="AQ998" s="79"/>
      <c r="AR998" s="79"/>
      <c r="AS998" s="79"/>
      <c r="AT998" s="79">
        <v>44.815689999999996</v>
      </c>
      <c r="AU998" s="79"/>
      <c r="AV998" s="79">
        <v>60.359180000000002</v>
      </c>
      <c r="AW998" s="79"/>
      <c r="AX998" s="79">
        <v>40.796599999999998</v>
      </c>
      <c r="AY998" s="79">
        <v>85.549130000000005</v>
      </c>
    </row>
    <row r="999" spans="1:51" x14ac:dyDescent="0.2">
      <c r="A999" t="s">
        <v>1544</v>
      </c>
      <c r="B999" s="1">
        <v>37288</v>
      </c>
      <c r="C999" s="78">
        <v>999</v>
      </c>
      <c r="E999" s="1">
        <f t="shared" si="30"/>
        <v>37288</v>
      </c>
      <c r="F999" s="2">
        <f t="shared" si="31"/>
        <v>37288</v>
      </c>
      <c r="G999" s="78">
        <v>997</v>
      </c>
      <c r="H999" s="79"/>
      <c r="I999" s="79"/>
      <c r="J999" s="79">
        <v>73.493870000000001</v>
      </c>
      <c r="K999" s="79">
        <v>95.134690000000006</v>
      </c>
      <c r="L999" s="79"/>
      <c r="M999" s="79">
        <v>66.888850000000005</v>
      </c>
      <c r="N999" s="79">
        <v>79.193399999999997</v>
      </c>
      <c r="O999" s="79">
        <v>113.4</v>
      </c>
      <c r="P999" s="79">
        <v>121.8021</v>
      </c>
      <c r="Q999" s="79"/>
      <c r="R999" s="79">
        <v>97.5</v>
      </c>
      <c r="S999" s="79">
        <v>109.8409</v>
      </c>
      <c r="T999" s="79">
        <v>107.458</v>
      </c>
      <c r="U999" s="79">
        <v>144.93090000000001</v>
      </c>
      <c r="V999" s="79">
        <v>63.30527</v>
      </c>
      <c r="W999" s="79">
        <v>50.789540000000002</v>
      </c>
      <c r="X999" s="79">
        <v>39.444159999999997</v>
      </c>
      <c r="Y999" s="79">
        <v>65.418559999999999</v>
      </c>
      <c r="Z999" s="79">
        <v>123.8897</v>
      </c>
      <c r="AA999" s="79">
        <v>95.670509999999993</v>
      </c>
      <c r="AB999" s="79">
        <v>51.911670000000001</v>
      </c>
      <c r="AC999" s="79">
        <v>99.191730000000007</v>
      </c>
      <c r="AD999" s="79">
        <v>66.599999999999994</v>
      </c>
      <c r="AE999" s="79">
        <v>87.696879999999993</v>
      </c>
      <c r="AF999" s="79">
        <v>90.293199999999999</v>
      </c>
      <c r="AG999" s="79">
        <v>124.6315</v>
      </c>
      <c r="AH999" s="79">
        <v>84.729900000000001</v>
      </c>
      <c r="AI999" s="79">
        <v>47.7</v>
      </c>
      <c r="AJ999" s="79">
        <v>128.11070000000001</v>
      </c>
      <c r="AK999" s="79">
        <v>43.307220000000001</v>
      </c>
      <c r="AL999" s="79">
        <v>82.704279999999997</v>
      </c>
      <c r="AM999" s="79">
        <v>101.7</v>
      </c>
      <c r="AN999" s="79"/>
      <c r="AO999" s="79">
        <v>87.459479999999999</v>
      </c>
      <c r="AP999" s="79">
        <v>94.484250000000003</v>
      </c>
      <c r="AQ999" s="79"/>
      <c r="AR999" s="79"/>
      <c r="AS999" s="79"/>
      <c r="AT999" s="79">
        <v>45.094239999999999</v>
      </c>
      <c r="AU999" s="79"/>
      <c r="AV999" s="79">
        <v>60.367489999999997</v>
      </c>
      <c r="AW999" s="79"/>
      <c r="AX999" s="79">
        <v>43.196399999999997</v>
      </c>
      <c r="AY999" s="79">
        <v>88.301680000000005</v>
      </c>
    </row>
    <row r="1000" spans="1:51" x14ac:dyDescent="0.2">
      <c r="A1000" t="s">
        <v>1545</v>
      </c>
      <c r="B1000" s="1">
        <v>37316</v>
      </c>
      <c r="C1000" s="78">
        <v>1000</v>
      </c>
      <c r="E1000" s="1">
        <f t="shared" si="30"/>
        <v>37316</v>
      </c>
      <c r="F1000" s="2">
        <f t="shared" si="31"/>
        <v>37316</v>
      </c>
      <c r="G1000" s="78">
        <v>998</v>
      </c>
      <c r="H1000" s="79"/>
      <c r="I1000" s="79"/>
      <c r="J1000" s="79">
        <v>75.693700000000007</v>
      </c>
      <c r="K1000" s="79">
        <v>94.980059999999995</v>
      </c>
      <c r="L1000" s="79"/>
      <c r="M1000" s="79">
        <v>66.488919999999993</v>
      </c>
      <c r="N1000" s="79">
        <v>79.393389999999997</v>
      </c>
      <c r="O1000" s="79">
        <v>111.7</v>
      </c>
      <c r="P1000" s="79">
        <v>121.19110000000001</v>
      </c>
      <c r="Q1000" s="79"/>
      <c r="R1000" s="79">
        <v>102.5</v>
      </c>
      <c r="S1000" s="79">
        <v>110.37090000000001</v>
      </c>
      <c r="T1000" s="79">
        <v>109.4307</v>
      </c>
      <c r="U1000" s="79">
        <v>142.53370000000001</v>
      </c>
      <c r="V1000" s="79">
        <v>62.605220000000003</v>
      </c>
      <c r="W1000" s="79">
        <v>55.660580000000003</v>
      </c>
      <c r="X1000" s="79">
        <v>37.826259999999998</v>
      </c>
      <c r="Y1000" s="79">
        <v>66.53922</v>
      </c>
      <c r="Z1000" s="79">
        <v>124.5896</v>
      </c>
      <c r="AA1000" s="79">
        <v>96.095709999999997</v>
      </c>
      <c r="AB1000" s="79">
        <v>52.869590000000002</v>
      </c>
      <c r="AC1000" s="79">
        <v>97.091909999999999</v>
      </c>
      <c r="AD1000" s="79">
        <v>67.5</v>
      </c>
      <c r="AE1000" s="79">
        <v>88.371200000000002</v>
      </c>
      <c r="AF1000" s="79">
        <v>94.030829999999995</v>
      </c>
      <c r="AG1000" s="79">
        <v>112.99460000000001</v>
      </c>
      <c r="AH1000" s="79">
        <v>85.202759999999998</v>
      </c>
      <c r="AI1000" s="79">
        <v>47.8</v>
      </c>
      <c r="AJ1000" s="79">
        <v>132.84610000000001</v>
      </c>
      <c r="AK1000" s="79">
        <v>42.207039999999999</v>
      </c>
      <c r="AL1000" s="79">
        <v>82.330889999999997</v>
      </c>
      <c r="AM1000" s="79">
        <v>102</v>
      </c>
      <c r="AN1000" s="79"/>
      <c r="AO1000" s="79">
        <v>88.172849999999997</v>
      </c>
      <c r="AP1000" s="79">
        <v>95.284120000000001</v>
      </c>
      <c r="AQ1000" s="79"/>
      <c r="AR1000" s="79"/>
      <c r="AS1000" s="79"/>
      <c r="AT1000" s="79">
        <v>45.369979999999998</v>
      </c>
      <c r="AU1000" s="79"/>
      <c r="AV1000" s="79">
        <v>60.335599999999999</v>
      </c>
      <c r="AW1000" s="79"/>
      <c r="AX1000" s="79">
        <v>43.696359999999999</v>
      </c>
      <c r="AY1000" s="79">
        <v>87.861270000000005</v>
      </c>
    </row>
    <row r="1001" spans="1:51" x14ac:dyDescent="0.2">
      <c r="A1001" t="s">
        <v>1546</v>
      </c>
      <c r="B1001" s="1">
        <v>37347</v>
      </c>
      <c r="C1001" s="78">
        <v>1001</v>
      </c>
      <c r="E1001" s="1">
        <f t="shared" si="30"/>
        <v>37347</v>
      </c>
      <c r="F1001" s="2">
        <f t="shared" si="31"/>
        <v>37347</v>
      </c>
      <c r="G1001" s="78">
        <v>999</v>
      </c>
      <c r="H1001" s="79"/>
      <c r="I1001" s="79"/>
      <c r="J1001" s="79">
        <v>75.193730000000002</v>
      </c>
      <c r="K1001" s="79">
        <v>96.335629999999995</v>
      </c>
      <c r="L1001" s="79"/>
      <c r="M1001" s="79">
        <v>67.088819999999998</v>
      </c>
      <c r="N1001" s="79">
        <v>79.493380000000002</v>
      </c>
      <c r="O1001" s="79">
        <v>115.5</v>
      </c>
      <c r="P1001" s="79">
        <v>122.7251</v>
      </c>
      <c r="Q1001" s="79"/>
      <c r="R1001" s="79">
        <v>100.3</v>
      </c>
      <c r="S1001" s="79">
        <v>111.0909</v>
      </c>
      <c r="T1001" s="79">
        <v>107.56189999999999</v>
      </c>
      <c r="U1001" s="79">
        <v>144.7311</v>
      </c>
      <c r="V1001" s="79">
        <v>62.305190000000003</v>
      </c>
      <c r="W1001" s="79">
        <v>52.512230000000002</v>
      </c>
      <c r="X1001" s="79">
        <v>36.931600000000003</v>
      </c>
      <c r="Y1001" s="79">
        <v>66.679310000000001</v>
      </c>
      <c r="Z1001" s="79">
        <v>120.98990000000001</v>
      </c>
      <c r="AA1001" s="79">
        <v>95.989410000000007</v>
      </c>
      <c r="AB1001" s="79">
        <v>53.551540000000003</v>
      </c>
      <c r="AC1001" s="79">
        <v>99.991669999999999</v>
      </c>
      <c r="AD1001" s="79">
        <v>68.7</v>
      </c>
      <c r="AE1001" s="79">
        <v>89.179789999999997</v>
      </c>
      <c r="AF1001" s="79">
        <v>96.293080000000003</v>
      </c>
      <c r="AG1001" s="79">
        <v>126.49339999999999</v>
      </c>
      <c r="AH1001" s="79">
        <v>85.644559999999998</v>
      </c>
      <c r="AI1001" s="79">
        <v>46.6</v>
      </c>
      <c r="AJ1001" s="79">
        <v>135.27770000000001</v>
      </c>
      <c r="AK1001" s="79">
        <v>43.60727</v>
      </c>
      <c r="AL1001" s="79">
        <v>84.197810000000004</v>
      </c>
      <c r="AM1001" s="79">
        <v>100.8</v>
      </c>
      <c r="AN1001" s="79"/>
      <c r="AO1001" s="79">
        <v>88.53698</v>
      </c>
      <c r="AP1001" s="79">
        <v>95.084149999999994</v>
      </c>
      <c r="AQ1001" s="79"/>
      <c r="AR1001" s="79"/>
      <c r="AS1001" s="79"/>
      <c r="AT1001" s="79">
        <v>45.88514</v>
      </c>
      <c r="AU1001" s="79"/>
      <c r="AV1001" s="79">
        <v>60.401620000000001</v>
      </c>
      <c r="AW1001" s="79"/>
      <c r="AX1001" s="79">
        <v>44.496290000000002</v>
      </c>
      <c r="AY1001" s="79">
        <v>87.530969999999996</v>
      </c>
    </row>
    <row r="1002" spans="1:51" x14ac:dyDescent="0.2">
      <c r="A1002" t="s">
        <v>1547</v>
      </c>
      <c r="B1002" s="1">
        <v>37377</v>
      </c>
      <c r="C1002" s="78">
        <v>1002</v>
      </c>
      <c r="E1002" s="1">
        <f t="shared" si="30"/>
        <v>37377</v>
      </c>
      <c r="F1002" s="2">
        <f t="shared" si="31"/>
        <v>37377</v>
      </c>
      <c r="G1002" s="78">
        <v>1000</v>
      </c>
      <c r="H1002" s="79"/>
      <c r="I1002" s="79"/>
      <c r="J1002" s="79">
        <v>75.893680000000003</v>
      </c>
      <c r="K1002" s="79">
        <v>96.27758</v>
      </c>
      <c r="L1002" s="79"/>
      <c r="M1002" s="79">
        <v>67.188800000000001</v>
      </c>
      <c r="N1002" s="79">
        <v>78.693439999999995</v>
      </c>
      <c r="O1002" s="79">
        <v>113.8</v>
      </c>
      <c r="P1002" s="79">
        <v>121.4791</v>
      </c>
      <c r="Q1002" s="79"/>
      <c r="R1002" s="79">
        <v>100.7</v>
      </c>
      <c r="S1002" s="79">
        <v>110.1309</v>
      </c>
      <c r="T1002" s="79">
        <v>108.8078</v>
      </c>
      <c r="U1002" s="79">
        <v>139.1377</v>
      </c>
      <c r="V1002" s="79">
        <v>61.305109999999999</v>
      </c>
      <c r="W1002" s="79">
        <v>55.244759999999999</v>
      </c>
      <c r="X1002" s="79">
        <v>35.968829999999997</v>
      </c>
      <c r="Y1002" s="79">
        <v>66.118979999999993</v>
      </c>
      <c r="Z1002" s="79">
        <v>125.1896</v>
      </c>
      <c r="AA1002" s="79">
        <v>99.816230000000004</v>
      </c>
      <c r="AB1002" s="79">
        <v>53.117570000000001</v>
      </c>
      <c r="AC1002" s="79">
        <v>100.7916</v>
      </c>
      <c r="AD1002" s="79">
        <v>68.400000000000006</v>
      </c>
      <c r="AE1002" s="79">
        <v>89.470860000000002</v>
      </c>
      <c r="AF1002" s="79">
        <v>97.079939999999993</v>
      </c>
      <c r="AG1002" s="79">
        <v>124.166</v>
      </c>
      <c r="AH1002" s="79">
        <v>86.12209</v>
      </c>
      <c r="AI1002" s="79">
        <v>47</v>
      </c>
      <c r="AJ1002" s="79">
        <v>131.9502</v>
      </c>
      <c r="AK1002" s="79">
        <v>44.407400000000003</v>
      </c>
      <c r="AL1002" s="79">
        <v>81.864170000000001</v>
      </c>
      <c r="AM1002" s="79">
        <v>100.9</v>
      </c>
      <c r="AN1002" s="79"/>
      <c r="AO1002" s="79">
        <v>88.911289999999994</v>
      </c>
      <c r="AP1002" s="79">
        <v>95.484089999999995</v>
      </c>
      <c r="AQ1002" s="79"/>
      <c r="AR1002" s="79"/>
      <c r="AS1002" s="79"/>
      <c r="AT1002" s="79">
        <v>45.69567</v>
      </c>
      <c r="AU1002" s="79"/>
      <c r="AV1002" s="79">
        <v>59.867530000000002</v>
      </c>
      <c r="AW1002" s="79"/>
      <c r="AX1002" s="79">
        <v>43.096409999999999</v>
      </c>
      <c r="AY1002" s="79">
        <v>87.090559999999996</v>
      </c>
    </row>
    <row r="1003" spans="1:51" x14ac:dyDescent="0.2">
      <c r="A1003" t="s">
        <v>1548</v>
      </c>
      <c r="B1003" s="1">
        <v>37408</v>
      </c>
      <c r="C1003" s="78">
        <v>1003</v>
      </c>
      <c r="E1003" s="1">
        <f t="shared" si="30"/>
        <v>37408</v>
      </c>
      <c r="F1003" s="2">
        <f t="shared" si="31"/>
        <v>37408</v>
      </c>
      <c r="G1003" s="78">
        <v>1001</v>
      </c>
      <c r="H1003" s="79"/>
      <c r="I1003" s="79"/>
      <c r="J1003" s="79">
        <v>74.593779999999995</v>
      </c>
      <c r="K1003" s="79">
        <v>95.590029999999999</v>
      </c>
      <c r="L1003" s="79"/>
      <c r="M1003" s="79">
        <v>67.188800000000001</v>
      </c>
      <c r="N1003" s="79">
        <v>80.893259999999998</v>
      </c>
      <c r="O1003" s="79">
        <v>112.7</v>
      </c>
      <c r="P1003" s="79">
        <v>121.2251</v>
      </c>
      <c r="Q1003" s="79"/>
      <c r="R1003" s="79">
        <v>102.9</v>
      </c>
      <c r="S1003" s="79">
        <v>109.9409</v>
      </c>
      <c r="T1003" s="79">
        <v>105.1739</v>
      </c>
      <c r="U1003" s="79">
        <v>141.63480000000001</v>
      </c>
      <c r="V1003" s="79">
        <v>62.105179999999997</v>
      </c>
      <c r="W1003" s="79">
        <v>56.61103</v>
      </c>
      <c r="X1003" s="79">
        <v>34.522359999999999</v>
      </c>
      <c r="Y1003" s="79">
        <v>65.978899999999996</v>
      </c>
      <c r="Z1003" s="79">
        <v>123.9897</v>
      </c>
      <c r="AA1003" s="79">
        <v>98.646929999999998</v>
      </c>
      <c r="AB1003" s="79">
        <v>52.490630000000003</v>
      </c>
      <c r="AC1003" s="79">
        <v>101.39149999999999</v>
      </c>
      <c r="AD1003" s="79">
        <v>70.5</v>
      </c>
      <c r="AE1003" s="79">
        <v>89.189809999999994</v>
      </c>
      <c r="AF1003" s="79">
        <v>96.194720000000004</v>
      </c>
      <c r="AG1003" s="79">
        <v>124.166</v>
      </c>
      <c r="AH1003" s="79">
        <v>86.212109999999996</v>
      </c>
      <c r="AI1003" s="79">
        <v>48</v>
      </c>
      <c r="AJ1003" s="79">
        <v>132.46209999999999</v>
      </c>
      <c r="AK1003" s="79">
        <v>45.607599999999998</v>
      </c>
      <c r="AL1003" s="79">
        <v>82.05086</v>
      </c>
      <c r="AM1003" s="79">
        <v>99.4</v>
      </c>
      <c r="AN1003" s="79"/>
      <c r="AO1003" s="79">
        <v>89.757310000000004</v>
      </c>
      <c r="AP1003" s="79">
        <v>95.884020000000007</v>
      </c>
      <c r="AQ1003" s="79"/>
      <c r="AR1003" s="79"/>
      <c r="AS1003" s="79"/>
      <c r="AT1003" s="79">
        <v>46.129930000000002</v>
      </c>
      <c r="AU1003" s="79"/>
      <c r="AV1003" s="79">
        <v>61.176189999999998</v>
      </c>
      <c r="AW1003" s="79"/>
      <c r="AX1003" s="79">
        <v>43.496380000000002</v>
      </c>
      <c r="AY1003" s="79">
        <v>87.420869999999994</v>
      </c>
    </row>
    <row r="1004" spans="1:51" x14ac:dyDescent="0.2">
      <c r="A1004" t="s">
        <v>1549</v>
      </c>
      <c r="B1004" s="1">
        <v>37438</v>
      </c>
      <c r="C1004" s="78">
        <v>1004</v>
      </c>
      <c r="E1004" s="1">
        <f t="shared" si="30"/>
        <v>37438</v>
      </c>
      <c r="F1004" s="2">
        <f t="shared" si="31"/>
        <v>37438</v>
      </c>
      <c r="G1004" s="78">
        <v>1002</v>
      </c>
      <c r="H1004" s="79"/>
      <c r="I1004" s="79"/>
      <c r="J1004" s="79">
        <v>74.093829999999997</v>
      </c>
      <c r="K1004" s="79">
        <v>96.581760000000003</v>
      </c>
      <c r="L1004" s="79"/>
      <c r="M1004" s="79">
        <v>68.688550000000006</v>
      </c>
      <c r="N1004" s="79">
        <v>79.393389999999997</v>
      </c>
      <c r="O1004" s="79">
        <v>114.1</v>
      </c>
      <c r="P1004" s="79">
        <v>122.2231</v>
      </c>
      <c r="Q1004" s="79"/>
      <c r="R1004" s="79">
        <v>101.6</v>
      </c>
      <c r="S1004" s="79">
        <v>108.8109</v>
      </c>
      <c r="T1004" s="79">
        <v>106.316</v>
      </c>
      <c r="U1004" s="79">
        <v>141.7346</v>
      </c>
      <c r="V1004" s="79">
        <v>63.105260000000001</v>
      </c>
      <c r="W1004" s="79">
        <v>53.403269999999999</v>
      </c>
      <c r="X1004" s="79">
        <v>35.151780000000002</v>
      </c>
      <c r="Y1004" s="79">
        <v>65.068359999999998</v>
      </c>
      <c r="Z1004" s="79">
        <v>123.4897</v>
      </c>
      <c r="AA1004" s="79">
        <v>99.391030000000001</v>
      </c>
      <c r="AB1004" s="79">
        <v>54.084490000000002</v>
      </c>
      <c r="AC1004" s="79">
        <v>99.091740000000001</v>
      </c>
      <c r="AD1004" s="79">
        <v>70.400000000000006</v>
      </c>
      <c r="AE1004" s="79">
        <v>89.689670000000007</v>
      </c>
      <c r="AF1004" s="79">
        <v>96.194720000000004</v>
      </c>
      <c r="AG1004" s="79">
        <v>120.3258</v>
      </c>
      <c r="AH1004" s="79">
        <v>86.248750000000001</v>
      </c>
      <c r="AI1004" s="79">
        <v>48.6</v>
      </c>
      <c r="AJ1004" s="79">
        <v>132.97399999999999</v>
      </c>
      <c r="AK1004" s="79">
        <v>45.607599999999998</v>
      </c>
      <c r="AL1004" s="79">
        <v>83.264349999999993</v>
      </c>
      <c r="AM1004" s="79">
        <v>100</v>
      </c>
      <c r="AN1004" s="79"/>
      <c r="AO1004" s="79">
        <v>89.542249999999996</v>
      </c>
      <c r="AP1004" s="79">
        <v>95.184139999999999</v>
      </c>
      <c r="AQ1004" s="79"/>
      <c r="AR1004" s="79"/>
      <c r="AS1004" s="79"/>
      <c r="AT1004" s="79">
        <v>46.647599999999997</v>
      </c>
      <c r="AU1004" s="79"/>
      <c r="AV1004" s="79">
        <v>62.183700000000002</v>
      </c>
      <c r="AW1004" s="79"/>
      <c r="AX1004" s="79">
        <v>43.99633</v>
      </c>
      <c r="AY1004" s="79">
        <v>87.751170000000002</v>
      </c>
    </row>
    <row r="1005" spans="1:51" x14ac:dyDescent="0.2">
      <c r="A1005" t="s">
        <v>1550</v>
      </c>
      <c r="B1005" s="1">
        <v>37469</v>
      </c>
      <c r="C1005" s="78">
        <v>1005</v>
      </c>
      <c r="E1005" s="1">
        <f t="shared" si="30"/>
        <v>37469</v>
      </c>
      <c r="F1005" s="2">
        <f t="shared" si="31"/>
        <v>37469</v>
      </c>
      <c r="G1005" s="78">
        <v>1003</v>
      </c>
      <c r="H1005" s="79"/>
      <c r="I1005" s="79"/>
      <c r="J1005" s="79">
        <v>75.393709999999999</v>
      </c>
      <c r="K1005" s="79">
        <v>96.382450000000006</v>
      </c>
      <c r="L1005" s="79"/>
      <c r="M1005" s="79">
        <v>67.188800000000001</v>
      </c>
      <c r="N1005" s="79">
        <v>81.293229999999994</v>
      </c>
      <c r="O1005" s="79">
        <v>112.9</v>
      </c>
      <c r="P1005" s="79">
        <v>122.7531</v>
      </c>
      <c r="Q1005" s="79"/>
      <c r="R1005" s="79">
        <v>101.2</v>
      </c>
      <c r="S1005" s="79">
        <v>110.8409</v>
      </c>
      <c r="T1005" s="79">
        <v>107.14660000000001</v>
      </c>
      <c r="U1005" s="79">
        <v>139.43729999999999</v>
      </c>
      <c r="V1005" s="79">
        <v>62.105179999999997</v>
      </c>
      <c r="W1005" s="79">
        <v>52.928049999999999</v>
      </c>
      <c r="X1005" s="79">
        <v>35.588790000000003</v>
      </c>
      <c r="Y1005" s="79">
        <v>65.418559999999999</v>
      </c>
      <c r="Z1005" s="79">
        <v>122.0898</v>
      </c>
      <c r="AA1005" s="79">
        <v>99.816230000000004</v>
      </c>
      <c r="AB1005" s="79">
        <v>54.690440000000002</v>
      </c>
      <c r="AC1005" s="79">
        <v>99.591700000000003</v>
      </c>
      <c r="AD1005" s="79">
        <v>72.099999999999994</v>
      </c>
      <c r="AE1005" s="79">
        <v>89.887020000000007</v>
      </c>
      <c r="AF1005" s="79">
        <v>96.588149999999999</v>
      </c>
      <c r="AG1005" s="79">
        <v>120.5586</v>
      </c>
      <c r="AH1005" s="79">
        <v>86.615939999999995</v>
      </c>
      <c r="AI1005" s="79">
        <v>49.3</v>
      </c>
      <c r="AJ1005" s="79">
        <v>129.6465</v>
      </c>
      <c r="AK1005" s="79">
        <v>46.007669999999997</v>
      </c>
      <c r="AL1005" s="79">
        <v>83.171009999999995</v>
      </c>
      <c r="AM1005" s="79">
        <v>99.7</v>
      </c>
      <c r="AN1005" s="79"/>
      <c r="AO1005" s="79">
        <v>89.553970000000007</v>
      </c>
      <c r="AP1005" s="79">
        <v>95.584069999999997</v>
      </c>
      <c r="AQ1005" s="79"/>
      <c r="AR1005" s="79"/>
      <c r="AS1005" s="79"/>
      <c r="AT1005" s="79">
        <v>46.96331</v>
      </c>
      <c r="AU1005" s="79"/>
      <c r="AV1005" s="79">
        <v>62.887929999999997</v>
      </c>
      <c r="AW1005" s="79"/>
      <c r="AX1005" s="79">
        <v>44.096319999999999</v>
      </c>
      <c r="AY1005" s="79">
        <v>86.540049999999994</v>
      </c>
    </row>
    <row r="1006" spans="1:51" x14ac:dyDescent="0.2">
      <c r="A1006" t="s">
        <v>1551</v>
      </c>
      <c r="B1006" s="1">
        <v>37500</v>
      </c>
      <c r="C1006" s="78">
        <v>1006</v>
      </c>
      <c r="E1006" s="1">
        <f t="shared" si="30"/>
        <v>37500</v>
      </c>
      <c r="F1006" s="2">
        <f t="shared" si="31"/>
        <v>37500</v>
      </c>
      <c r="G1006" s="78">
        <v>1004</v>
      </c>
      <c r="H1006" s="79"/>
      <c r="I1006" s="79"/>
      <c r="J1006" s="79">
        <v>75.293719999999993</v>
      </c>
      <c r="K1006" s="79">
        <v>95.504949999999994</v>
      </c>
      <c r="L1006" s="79"/>
      <c r="M1006" s="79">
        <v>68.688550000000006</v>
      </c>
      <c r="N1006" s="79">
        <v>80.193309999999997</v>
      </c>
      <c r="O1006" s="79">
        <v>113.8</v>
      </c>
      <c r="P1006" s="79">
        <v>122.9241</v>
      </c>
      <c r="Q1006" s="79"/>
      <c r="R1006" s="79">
        <v>100.9</v>
      </c>
      <c r="S1006" s="79">
        <v>109.4609</v>
      </c>
      <c r="T1006" s="79">
        <v>108.49630000000001</v>
      </c>
      <c r="U1006" s="79">
        <v>139.43729999999999</v>
      </c>
      <c r="V1006" s="79">
        <v>63.505290000000002</v>
      </c>
      <c r="W1006" s="79">
        <v>54.828940000000003</v>
      </c>
      <c r="X1006" s="79">
        <v>35.978720000000003</v>
      </c>
      <c r="Y1006" s="79">
        <v>65.768770000000004</v>
      </c>
      <c r="Z1006" s="79">
        <v>124.3896</v>
      </c>
      <c r="AA1006" s="79">
        <v>100.45399999999999</v>
      </c>
      <c r="AB1006" s="79">
        <v>54.306469999999997</v>
      </c>
      <c r="AC1006" s="79">
        <v>100.99160000000001</v>
      </c>
      <c r="AD1006" s="79">
        <v>71</v>
      </c>
      <c r="AE1006" s="79">
        <v>89.677980000000005</v>
      </c>
      <c r="AF1006" s="79">
        <v>96.096360000000004</v>
      </c>
      <c r="AG1006" s="79">
        <v>115.6711</v>
      </c>
      <c r="AH1006" s="79">
        <v>86.704179999999994</v>
      </c>
      <c r="AI1006" s="79">
        <v>49.4</v>
      </c>
      <c r="AJ1006" s="79">
        <v>130.54239999999999</v>
      </c>
      <c r="AK1006" s="79">
        <v>45.607599999999998</v>
      </c>
      <c r="AL1006" s="79">
        <v>83.544390000000007</v>
      </c>
      <c r="AM1006" s="79">
        <v>99.7</v>
      </c>
      <c r="AN1006" s="79"/>
      <c r="AO1006" s="79">
        <v>89.678359999999998</v>
      </c>
      <c r="AP1006" s="79">
        <v>95.884020000000007</v>
      </c>
      <c r="AQ1006" s="79"/>
      <c r="AR1006" s="79"/>
      <c r="AS1006" s="79"/>
      <c r="AT1006" s="79">
        <v>46.82911</v>
      </c>
      <c r="AU1006" s="79"/>
      <c r="AV1006" s="79">
        <v>62.465020000000003</v>
      </c>
      <c r="AW1006" s="79"/>
      <c r="AX1006" s="79">
        <v>45.39622</v>
      </c>
      <c r="AY1006" s="79">
        <v>87.641069999999999</v>
      </c>
    </row>
    <row r="1007" spans="1:51" x14ac:dyDescent="0.2">
      <c r="A1007" t="s">
        <v>1552</v>
      </c>
      <c r="B1007" s="1">
        <v>37530</v>
      </c>
      <c r="C1007" s="78">
        <v>1007</v>
      </c>
      <c r="E1007" s="1">
        <f t="shared" si="30"/>
        <v>37530</v>
      </c>
      <c r="F1007" s="2">
        <f t="shared" si="31"/>
        <v>37530</v>
      </c>
      <c r="G1007" s="78">
        <v>1005</v>
      </c>
      <c r="H1007" s="79"/>
      <c r="I1007" s="79"/>
      <c r="J1007" s="79">
        <v>76.393630000000002</v>
      </c>
      <c r="K1007" s="79">
        <v>96.151840000000007</v>
      </c>
      <c r="L1007" s="79"/>
      <c r="M1007" s="79">
        <v>69.78837</v>
      </c>
      <c r="N1007" s="79">
        <v>79.593369999999993</v>
      </c>
      <c r="O1007" s="79">
        <v>117.6</v>
      </c>
      <c r="P1007" s="79">
        <v>124.0261</v>
      </c>
      <c r="Q1007" s="79"/>
      <c r="R1007" s="79">
        <v>102.5</v>
      </c>
      <c r="S1007" s="79">
        <v>108.6009</v>
      </c>
      <c r="T1007" s="79">
        <v>106.7313</v>
      </c>
      <c r="U1007" s="79">
        <v>143.13300000000001</v>
      </c>
      <c r="V1007" s="79">
        <v>61.105089999999997</v>
      </c>
      <c r="W1007" s="79">
        <v>52.809240000000003</v>
      </c>
      <c r="X1007" s="79">
        <v>36.677680000000002</v>
      </c>
      <c r="Y1007" s="79">
        <v>65.208439999999996</v>
      </c>
      <c r="Z1007" s="79">
        <v>122.88979999999999</v>
      </c>
      <c r="AA1007" s="79">
        <v>100.45399999999999</v>
      </c>
      <c r="AB1007" s="79">
        <v>54.714440000000003</v>
      </c>
      <c r="AC1007" s="79">
        <v>107.2911</v>
      </c>
      <c r="AD1007" s="79">
        <v>72.400000000000006</v>
      </c>
      <c r="AE1007" s="79">
        <v>90.322029999999998</v>
      </c>
      <c r="AF1007" s="79">
        <v>97.079939999999993</v>
      </c>
      <c r="AG1007" s="79">
        <v>119.8604</v>
      </c>
      <c r="AH1007" s="79">
        <v>86.574399999999997</v>
      </c>
      <c r="AI1007" s="79">
        <v>49</v>
      </c>
      <c r="AJ1007" s="79">
        <v>132.71809999999999</v>
      </c>
      <c r="AK1007" s="79">
        <v>45.707619999999999</v>
      </c>
      <c r="AL1007" s="79">
        <v>82.517589999999998</v>
      </c>
      <c r="AM1007" s="79">
        <v>100.5</v>
      </c>
      <c r="AN1007" s="79"/>
      <c r="AO1007" s="79">
        <v>89.407489999999996</v>
      </c>
      <c r="AP1007" s="79">
        <v>95.284120000000001</v>
      </c>
      <c r="AQ1007" s="79"/>
      <c r="AR1007" s="79"/>
      <c r="AS1007" s="79"/>
      <c r="AT1007" s="79">
        <v>47.303379999999997</v>
      </c>
      <c r="AU1007" s="79"/>
      <c r="AV1007" s="79">
        <v>62.811599999999999</v>
      </c>
      <c r="AW1007" s="79"/>
      <c r="AX1007" s="79">
        <v>44.296309999999998</v>
      </c>
      <c r="AY1007" s="79">
        <v>88.301680000000005</v>
      </c>
    </row>
    <row r="1008" spans="1:51" x14ac:dyDescent="0.2">
      <c r="A1008" t="s">
        <v>1553</v>
      </c>
      <c r="B1008" s="1">
        <v>37561</v>
      </c>
      <c r="C1008" s="78">
        <v>1008</v>
      </c>
      <c r="E1008" s="1">
        <f t="shared" si="30"/>
        <v>37561</v>
      </c>
      <c r="F1008" s="2">
        <f t="shared" si="31"/>
        <v>37561</v>
      </c>
      <c r="G1008" s="78">
        <v>1006</v>
      </c>
      <c r="H1008" s="79"/>
      <c r="I1008" s="79"/>
      <c r="J1008" s="79">
        <v>77.193569999999994</v>
      </c>
      <c r="K1008" s="79">
        <v>95.546679999999995</v>
      </c>
      <c r="L1008" s="79"/>
      <c r="M1008" s="79">
        <v>70.888180000000006</v>
      </c>
      <c r="N1008" s="79">
        <v>80.993250000000003</v>
      </c>
      <c r="O1008" s="79">
        <v>114.2</v>
      </c>
      <c r="P1008" s="79">
        <v>123.46810000000001</v>
      </c>
      <c r="Q1008" s="79"/>
      <c r="R1008" s="79">
        <v>103.7</v>
      </c>
      <c r="S1008" s="79">
        <v>109.65089999999999</v>
      </c>
      <c r="T1008" s="79">
        <v>106.4198</v>
      </c>
      <c r="U1008" s="79">
        <v>143.33279999999999</v>
      </c>
      <c r="V1008" s="79">
        <v>63.805320000000002</v>
      </c>
      <c r="W1008" s="79">
        <v>53.759689999999999</v>
      </c>
      <c r="X1008" s="79">
        <v>35.985810000000001</v>
      </c>
      <c r="Y1008" s="79">
        <v>64.578069999999997</v>
      </c>
      <c r="Z1008" s="79">
        <v>124.9896</v>
      </c>
      <c r="AA1008" s="79">
        <v>100.3477</v>
      </c>
      <c r="AB1008" s="79">
        <v>55.278390000000002</v>
      </c>
      <c r="AC1008" s="79">
        <v>105.2912</v>
      </c>
      <c r="AD1008" s="79">
        <v>74.5</v>
      </c>
      <c r="AE1008" s="79">
        <v>89.872919999999993</v>
      </c>
      <c r="AF1008" s="79">
        <v>94.424260000000004</v>
      </c>
      <c r="AG1008" s="79">
        <v>118.69670000000001</v>
      </c>
      <c r="AH1008" s="79">
        <v>86.900419999999997</v>
      </c>
      <c r="AI1008" s="79">
        <v>50.7</v>
      </c>
      <c r="AJ1008" s="79">
        <v>128.49459999999999</v>
      </c>
      <c r="AK1008" s="79">
        <v>47.707949999999997</v>
      </c>
      <c r="AL1008" s="79">
        <v>82.424239999999998</v>
      </c>
      <c r="AM1008" s="79">
        <v>101.4</v>
      </c>
      <c r="AN1008" s="79"/>
      <c r="AO1008" s="79">
        <v>89.874210000000005</v>
      </c>
      <c r="AP1008" s="79">
        <v>95.884020000000007</v>
      </c>
      <c r="AQ1008" s="79"/>
      <c r="AR1008" s="79"/>
      <c r="AS1008" s="79"/>
      <c r="AT1008" s="79">
        <v>46.975479999999997</v>
      </c>
      <c r="AU1008" s="79"/>
      <c r="AV1008" s="79">
        <v>62.078919999999997</v>
      </c>
      <c r="AW1008" s="79"/>
      <c r="AX1008" s="79">
        <v>43.396389999999997</v>
      </c>
      <c r="AY1008" s="79">
        <v>88.411779999999993</v>
      </c>
    </row>
    <row r="1009" spans="1:51" x14ac:dyDescent="0.2">
      <c r="A1009" t="s">
        <v>1554</v>
      </c>
      <c r="B1009" s="1">
        <v>37591</v>
      </c>
      <c r="C1009" s="78">
        <v>1009</v>
      </c>
      <c r="E1009" s="1">
        <f t="shared" si="30"/>
        <v>37591</v>
      </c>
      <c r="F1009" s="2">
        <f t="shared" si="31"/>
        <v>37591</v>
      </c>
      <c r="G1009" s="78">
        <v>1007</v>
      </c>
      <c r="H1009" s="79"/>
      <c r="I1009" s="79"/>
      <c r="J1009" s="79">
        <v>73.493870000000001</v>
      </c>
      <c r="K1009" s="79">
        <v>94.479770000000002</v>
      </c>
      <c r="L1009" s="79"/>
      <c r="M1009" s="79">
        <v>70.388270000000006</v>
      </c>
      <c r="N1009" s="79">
        <v>79.593369999999993</v>
      </c>
      <c r="O1009" s="79">
        <v>112.7</v>
      </c>
      <c r="P1009" s="79">
        <v>122.51609999999999</v>
      </c>
      <c r="Q1009" s="79"/>
      <c r="R1009" s="79">
        <v>100.2</v>
      </c>
      <c r="S1009" s="79">
        <v>107.04089999999999</v>
      </c>
      <c r="T1009" s="79">
        <v>106.7313</v>
      </c>
      <c r="U1009" s="79">
        <v>143.13300000000001</v>
      </c>
      <c r="V1009" s="79">
        <v>64.805400000000006</v>
      </c>
      <c r="W1009" s="79">
        <v>48.948050000000002</v>
      </c>
      <c r="X1009" s="79">
        <v>35.536929999999998</v>
      </c>
      <c r="Y1009" s="79">
        <v>65.768770000000004</v>
      </c>
      <c r="Z1009" s="79">
        <v>123.6897</v>
      </c>
      <c r="AA1009" s="79">
        <v>100.2414</v>
      </c>
      <c r="AB1009" s="79">
        <v>56.064329999999998</v>
      </c>
      <c r="AC1009" s="79">
        <v>103.09139999999999</v>
      </c>
      <c r="AD1009" s="79">
        <v>72.400000000000006</v>
      </c>
      <c r="AE1009" s="79">
        <v>90.053799999999995</v>
      </c>
      <c r="AF1009" s="79">
        <v>93.047240000000002</v>
      </c>
      <c r="AG1009" s="79">
        <v>117.4166</v>
      </c>
      <c r="AH1009" s="79">
        <v>86.533410000000003</v>
      </c>
      <c r="AI1009" s="79">
        <v>50.4</v>
      </c>
      <c r="AJ1009" s="79">
        <v>130.4144</v>
      </c>
      <c r="AK1009" s="79">
        <v>47.907989999999998</v>
      </c>
      <c r="AL1009" s="79">
        <v>82.237549999999999</v>
      </c>
      <c r="AM1009" s="79">
        <v>102</v>
      </c>
      <c r="AN1009" s="79"/>
      <c r="AO1009" s="79">
        <v>89.433329999999998</v>
      </c>
      <c r="AP1009" s="79">
        <v>94.384270000000001</v>
      </c>
      <c r="AQ1009" s="79"/>
      <c r="AR1009" s="79"/>
      <c r="AS1009" s="79"/>
      <c r="AT1009" s="79">
        <v>47.51332</v>
      </c>
      <c r="AU1009" s="79"/>
      <c r="AV1009" s="79">
        <v>62.055720000000001</v>
      </c>
      <c r="AW1009" s="79"/>
      <c r="AX1009" s="79">
        <v>45.996169999999999</v>
      </c>
      <c r="AY1009" s="79">
        <v>87.530969999999996</v>
      </c>
    </row>
    <row r="1010" spans="1:51" x14ac:dyDescent="0.2">
      <c r="A1010" t="s">
        <v>1555</v>
      </c>
      <c r="B1010" s="1">
        <v>37622</v>
      </c>
      <c r="C1010" s="78">
        <v>1010</v>
      </c>
      <c r="E1010" s="1">
        <f t="shared" si="30"/>
        <v>37622</v>
      </c>
      <c r="F1010" s="2">
        <f t="shared" si="31"/>
        <v>37622</v>
      </c>
      <c r="G1010" s="78">
        <v>1008</v>
      </c>
      <c r="H1010" s="79"/>
      <c r="I1010" s="79"/>
      <c r="J1010" s="79">
        <v>76.09366</v>
      </c>
      <c r="K1010" s="79">
        <v>95.516189999999995</v>
      </c>
      <c r="L1010" s="79"/>
      <c r="M1010" s="79">
        <v>69.188469999999995</v>
      </c>
      <c r="N1010" s="79">
        <v>80.193309999999997</v>
      </c>
      <c r="O1010" s="79">
        <v>113.7</v>
      </c>
      <c r="P1010" s="79">
        <v>123.81910000000001</v>
      </c>
      <c r="Q1010" s="79"/>
      <c r="R1010" s="79">
        <v>100</v>
      </c>
      <c r="S1010" s="79">
        <v>109.2509</v>
      </c>
      <c r="T1010" s="79">
        <v>106.1083</v>
      </c>
      <c r="U1010" s="79">
        <v>142.13419999999999</v>
      </c>
      <c r="V1010" s="79">
        <v>63.6053</v>
      </c>
      <c r="W1010" s="79">
        <v>53.106250000000003</v>
      </c>
      <c r="X1010" s="79">
        <v>35.65804</v>
      </c>
      <c r="Y1010" s="79">
        <v>65.698729999999998</v>
      </c>
      <c r="Z1010" s="79">
        <v>124.9896</v>
      </c>
      <c r="AA1010" s="79">
        <v>101.6233</v>
      </c>
      <c r="AB1010" s="79">
        <v>54.707439999999998</v>
      </c>
      <c r="AC1010" s="79">
        <v>104.8913</v>
      </c>
      <c r="AD1010" s="79">
        <v>72.8</v>
      </c>
      <c r="AE1010" s="79">
        <v>89.906099999999995</v>
      </c>
      <c r="AF1010" s="79">
        <v>96.784869999999998</v>
      </c>
      <c r="AG1010" s="79">
        <v>119.744</v>
      </c>
      <c r="AH1010" s="79">
        <v>87.188379999999995</v>
      </c>
      <c r="AI1010" s="79">
        <v>49.4</v>
      </c>
      <c r="AJ1010" s="79">
        <v>129.77449999999999</v>
      </c>
      <c r="AK1010" s="79">
        <v>49.508249999999997</v>
      </c>
      <c r="AL1010" s="79">
        <v>81.864170000000001</v>
      </c>
      <c r="AM1010" s="79">
        <v>102.3</v>
      </c>
      <c r="AN1010" s="79"/>
      <c r="AO1010" s="79">
        <v>90.114810000000006</v>
      </c>
      <c r="AP1010" s="79">
        <v>95.983999999999995</v>
      </c>
      <c r="AQ1010" s="79"/>
      <c r="AR1010" s="79"/>
      <c r="AS1010" s="79"/>
      <c r="AT1010" s="79">
        <v>47.765009999999997</v>
      </c>
      <c r="AU1010" s="79"/>
      <c r="AV1010" s="79">
        <v>63.843429999999998</v>
      </c>
      <c r="AW1010" s="79"/>
      <c r="AX1010" s="79">
        <v>47.296059999999997</v>
      </c>
      <c r="AY1010" s="79">
        <v>87.861270000000005</v>
      </c>
    </row>
    <row r="1011" spans="1:51" x14ac:dyDescent="0.2">
      <c r="A1011" t="s">
        <v>1556</v>
      </c>
      <c r="B1011" s="1">
        <v>37653</v>
      </c>
      <c r="C1011" s="78">
        <v>1011</v>
      </c>
      <c r="E1011" s="1">
        <f t="shared" si="30"/>
        <v>37653</v>
      </c>
      <c r="F1011" s="2">
        <f t="shared" si="31"/>
        <v>37653</v>
      </c>
      <c r="G1011" s="78">
        <v>1009</v>
      </c>
      <c r="H1011" s="79"/>
      <c r="I1011" s="79"/>
      <c r="J1011" s="79">
        <v>75.993669999999995</v>
      </c>
      <c r="K1011" s="79">
        <v>95.668679999999995</v>
      </c>
      <c r="L1011" s="79"/>
      <c r="M1011" s="79">
        <v>68.688550000000006</v>
      </c>
      <c r="N1011" s="79">
        <v>80.193309999999997</v>
      </c>
      <c r="O1011" s="79">
        <v>115.9</v>
      </c>
      <c r="P1011" s="79">
        <v>124.1751</v>
      </c>
      <c r="Q1011" s="79"/>
      <c r="R1011" s="79">
        <v>102.5</v>
      </c>
      <c r="S1011" s="79">
        <v>110.23090000000001</v>
      </c>
      <c r="T1011" s="79">
        <v>106.8351</v>
      </c>
      <c r="U1011" s="79">
        <v>139.6371</v>
      </c>
      <c r="V1011" s="79">
        <v>63.405279999999998</v>
      </c>
      <c r="W1011" s="79">
        <v>55.244759999999999</v>
      </c>
      <c r="X1011" s="79">
        <v>36.136760000000002</v>
      </c>
      <c r="Y1011" s="79">
        <v>65.348529999999997</v>
      </c>
      <c r="Z1011" s="79">
        <v>122.4898</v>
      </c>
      <c r="AA1011" s="79">
        <v>101.18859999999999</v>
      </c>
      <c r="AB1011" s="79">
        <v>54.710439999999998</v>
      </c>
      <c r="AC1011" s="79">
        <v>106.0912</v>
      </c>
      <c r="AD1011" s="79">
        <v>72.8</v>
      </c>
      <c r="AE1011" s="79">
        <v>90.918080000000003</v>
      </c>
      <c r="AF1011" s="79">
        <v>97.571740000000005</v>
      </c>
      <c r="AG1011" s="79">
        <v>119.1621</v>
      </c>
      <c r="AH1011" s="79">
        <v>87.192800000000005</v>
      </c>
      <c r="AI1011" s="79">
        <v>49.7</v>
      </c>
      <c r="AJ1011" s="79">
        <v>133.8699</v>
      </c>
      <c r="AK1011" s="79">
        <v>49.708289999999998</v>
      </c>
      <c r="AL1011" s="79">
        <v>83.637730000000005</v>
      </c>
      <c r="AM1011" s="79">
        <v>99.9</v>
      </c>
      <c r="AN1011" s="79"/>
      <c r="AO1011" s="79">
        <v>90.242940000000004</v>
      </c>
      <c r="AP1011" s="79">
        <v>96.183970000000002</v>
      </c>
      <c r="AQ1011" s="79"/>
      <c r="AR1011" s="79"/>
      <c r="AS1011" s="79"/>
      <c r="AT1011" s="79">
        <v>48.398339999999997</v>
      </c>
      <c r="AU1011" s="79"/>
      <c r="AV1011" s="79">
        <v>65.447800000000001</v>
      </c>
      <c r="AW1011" s="79"/>
      <c r="AX1011" s="79">
        <v>45.996169999999999</v>
      </c>
      <c r="AY1011" s="79">
        <v>87.641069999999999</v>
      </c>
    </row>
    <row r="1012" spans="1:51" x14ac:dyDescent="0.2">
      <c r="A1012" t="s">
        <v>1557</v>
      </c>
      <c r="B1012" s="1">
        <v>37681</v>
      </c>
      <c r="C1012" s="78">
        <v>1012</v>
      </c>
      <c r="E1012" s="1">
        <f t="shared" si="30"/>
        <v>37681</v>
      </c>
      <c r="F1012" s="2">
        <f t="shared" si="31"/>
        <v>37681</v>
      </c>
      <c r="G1012" s="78">
        <v>1010</v>
      </c>
      <c r="H1012" s="79"/>
      <c r="I1012" s="79"/>
      <c r="J1012" s="79">
        <v>74.993750000000006</v>
      </c>
      <c r="K1012" s="79">
        <v>95.315269999999998</v>
      </c>
      <c r="L1012" s="79"/>
      <c r="M1012" s="79">
        <v>68.488590000000002</v>
      </c>
      <c r="N1012" s="79">
        <v>79.99333</v>
      </c>
      <c r="O1012" s="79">
        <v>112.6</v>
      </c>
      <c r="P1012" s="79">
        <v>123.4481</v>
      </c>
      <c r="Q1012" s="79"/>
      <c r="R1012" s="79">
        <v>99.1</v>
      </c>
      <c r="S1012" s="79">
        <v>109.37090000000001</v>
      </c>
      <c r="T1012" s="79">
        <v>106.62739999999999</v>
      </c>
      <c r="U1012" s="79">
        <v>140.2364</v>
      </c>
      <c r="V1012" s="79">
        <v>64.905410000000003</v>
      </c>
      <c r="W1012" s="79">
        <v>54.650730000000003</v>
      </c>
      <c r="X1012" s="79">
        <v>35.076549999999997</v>
      </c>
      <c r="Y1012" s="79">
        <v>64.648110000000003</v>
      </c>
      <c r="Z1012" s="79">
        <v>122.5898</v>
      </c>
      <c r="AA1012" s="79">
        <v>101.9494</v>
      </c>
      <c r="AB1012" s="79">
        <v>55.66836</v>
      </c>
      <c r="AC1012" s="79">
        <v>105.5912</v>
      </c>
      <c r="AD1012" s="79">
        <v>73.099999999999994</v>
      </c>
      <c r="AE1012" s="79">
        <v>90.40231</v>
      </c>
      <c r="AF1012" s="79">
        <v>94.325900000000004</v>
      </c>
      <c r="AG1012" s="79">
        <v>119.1621</v>
      </c>
      <c r="AH1012" s="79">
        <v>87.130939999999995</v>
      </c>
      <c r="AI1012" s="79">
        <v>50.4</v>
      </c>
      <c r="AJ1012" s="79">
        <v>127.72669999999999</v>
      </c>
      <c r="AK1012" s="79">
        <v>50.108350000000002</v>
      </c>
      <c r="AL1012" s="79">
        <v>83.077659999999995</v>
      </c>
      <c r="AM1012" s="79">
        <v>100.1</v>
      </c>
      <c r="AN1012" s="79"/>
      <c r="AO1012" s="79">
        <v>90.034130000000005</v>
      </c>
      <c r="AP1012" s="79">
        <v>95.384100000000004</v>
      </c>
      <c r="AQ1012" s="79"/>
      <c r="AR1012" s="79"/>
      <c r="AS1012" s="79"/>
      <c r="AT1012" s="79">
        <v>47.998989999999999</v>
      </c>
      <c r="AU1012" s="79"/>
      <c r="AV1012" s="79">
        <v>66.631360000000001</v>
      </c>
      <c r="AW1012" s="79"/>
      <c r="AX1012" s="79">
        <v>46.696109999999997</v>
      </c>
      <c r="AY1012" s="79">
        <v>87.861270000000005</v>
      </c>
    </row>
    <row r="1013" spans="1:51" x14ac:dyDescent="0.2">
      <c r="A1013" t="s">
        <v>1558</v>
      </c>
      <c r="B1013" s="1">
        <v>37712</v>
      </c>
      <c r="C1013" s="78">
        <v>1013</v>
      </c>
      <c r="E1013" s="1">
        <f t="shared" si="30"/>
        <v>37712</v>
      </c>
      <c r="F1013" s="2">
        <f t="shared" si="31"/>
        <v>37712</v>
      </c>
      <c r="G1013" s="78">
        <v>1011</v>
      </c>
      <c r="H1013" s="79"/>
      <c r="I1013" s="79"/>
      <c r="J1013" s="79">
        <v>76.993579999999994</v>
      </c>
      <c r="K1013" s="79">
        <v>94.971760000000003</v>
      </c>
      <c r="L1013" s="79"/>
      <c r="M1013" s="79">
        <v>70.188299999999998</v>
      </c>
      <c r="N1013" s="79">
        <v>79.793350000000004</v>
      </c>
      <c r="O1013" s="79">
        <v>114.6</v>
      </c>
      <c r="P1013" s="79">
        <v>124.1251</v>
      </c>
      <c r="Q1013" s="79"/>
      <c r="R1013" s="79">
        <v>102.9</v>
      </c>
      <c r="S1013" s="79">
        <v>109.3909</v>
      </c>
      <c r="T1013" s="79">
        <v>106.1083</v>
      </c>
      <c r="U1013" s="79">
        <v>142.43379999999999</v>
      </c>
      <c r="V1013" s="79">
        <v>64.305359999999993</v>
      </c>
      <c r="W1013" s="79">
        <v>54.353720000000003</v>
      </c>
      <c r="X1013" s="79">
        <v>34.499400000000001</v>
      </c>
      <c r="Y1013" s="79">
        <v>65.208439999999996</v>
      </c>
      <c r="Z1013" s="79">
        <v>124.3896</v>
      </c>
      <c r="AA1013" s="79">
        <v>100.5365</v>
      </c>
      <c r="AB1013" s="79">
        <v>54.89743</v>
      </c>
      <c r="AC1013" s="79">
        <v>107.791</v>
      </c>
      <c r="AD1013" s="79">
        <v>73.8</v>
      </c>
      <c r="AE1013" s="79">
        <v>90.15361</v>
      </c>
      <c r="AF1013" s="79">
        <v>93.539029999999997</v>
      </c>
      <c r="AG1013" s="79">
        <v>116.48560000000001</v>
      </c>
      <c r="AH1013" s="79">
        <v>86.742689999999996</v>
      </c>
      <c r="AI1013" s="79">
        <v>50.5</v>
      </c>
      <c r="AJ1013" s="79">
        <v>131.31030000000001</v>
      </c>
      <c r="AK1013" s="79">
        <v>50.608440000000002</v>
      </c>
      <c r="AL1013" s="79">
        <v>82.330889999999997</v>
      </c>
      <c r="AM1013" s="79">
        <v>103.6</v>
      </c>
      <c r="AN1013" s="79"/>
      <c r="AO1013" s="79">
        <v>89.390500000000003</v>
      </c>
      <c r="AP1013" s="79">
        <v>95.784030000000001</v>
      </c>
      <c r="AQ1013" s="79"/>
      <c r="AR1013" s="79"/>
      <c r="AS1013" s="79"/>
      <c r="AT1013" s="79">
        <v>48.075040000000001</v>
      </c>
      <c r="AU1013" s="79"/>
      <c r="AV1013" s="79">
        <v>66.913060000000002</v>
      </c>
      <c r="AW1013" s="79"/>
      <c r="AX1013" s="79">
        <v>45.296230000000001</v>
      </c>
      <c r="AY1013" s="79">
        <v>87.530969999999996</v>
      </c>
    </row>
    <row r="1014" spans="1:51" x14ac:dyDescent="0.2">
      <c r="A1014" t="s">
        <v>1559</v>
      </c>
      <c r="B1014" s="1">
        <v>37742</v>
      </c>
      <c r="C1014" s="78">
        <v>1014</v>
      </c>
      <c r="E1014" s="1">
        <f t="shared" si="30"/>
        <v>37742</v>
      </c>
      <c r="F1014" s="2">
        <f t="shared" si="31"/>
        <v>37742</v>
      </c>
      <c r="G1014" s="78">
        <v>1012</v>
      </c>
      <c r="H1014" s="79"/>
      <c r="I1014" s="79"/>
      <c r="J1014" s="79">
        <v>74.293809999999993</v>
      </c>
      <c r="K1014" s="79">
        <v>95.032489999999996</v>
      </c>
      <c r="L1014" s="79"/>
      <c r="M1014" s="79">
        <v>68.688550000000006</v>
      </c>
      <c r="N1014" s="79">
        <v>79.093410000000006</v>
      </c>
      <c r="O1014" s="79">
        <v>112.8</v>
      </c>
      <c r="P1014" s="79">
        <v>122.8471</v>
      </c>
      <c r="Q1014" s="79"/>
      <c r="R1014" s="79">
        <v>99.4</v>
      </c>
      <c r="S1014" s="79">
        <v>106.76090000000001</v>
      </c>
      <c r="T1014" s="79">
        <v>105.79689999999999</v>
      </c>
      <c r="U1014" s="79">
        <v>142.83340000000001</v>
      </c>
      <c r="V1014" s="79">
        <v>63.905329999999999</v>
      </c>
      <c r="W1014" s="79">
        <v>54.947749999999999</v>
      </c>
      <c r="X1014" s="79">
        <v>34.694159999999997</v>
      </c>
      <c r="Y1014" s="79">
        <v>65.138400000000004</v>
      </c>
      <c r="Z1014" s="79">
        <v>120.29</v>
      </c>
      <c r="AA1014" s="79">
        <v>101.8407</v>
      </c>
      <c r="AB1014" s="79">
        <v>54.689439999999998</v>
      </c>
      <c r="AC1014" s="79">
        <v>105.19119999999999</v>
      </c>
      <c r="AD1014" s="79">
        <v>75.099999999999994</v>
      </c>
      <c r="AE1014" s="79">
        <v>90.284000000000006</v>
      </c>
      <c r="AF1014" s="79">
        <v>92.752170000000007</v>
      </c>
      <c r="AG1014" s="79">
        <v>116.0202</v>
      </c>
      <c r="AH1014" s="79">
        <v>86.491159999999994</v>
      </c>
      <c r="AI1014" s="79">
        <v>51.4</v>
      </c>
      <c r="AJ1014" s="79">
        <v>130.79830000000001</v>
      </c>
      <c r="AK1014" s="79">
        <v>50.4084</v>
      </c>
      <c r="AL1014" s="79">
        <v>83.077659999999995</v>
      </c>
      <c r="AM1014" s="79">
        <v>101.5</v>
      </c>
      <c r="AN1014" s="79"/>
      <c r="AO1014" s="79">
        <v>89.415559999999999</v>
      </c>
      <c r="AP1014" s="79">
        <v>94.184299999999993</v>
      </c>
      <c r="AQ1014" s="79"/>
      <c r="AR1014" s="79"/>
      <c r="AS1014" s="79"/>
      <c r="AT1014" s="79">
        <v>48.799340000000001</v>
      </c>
      <c r="AU1014" s="79"/>
      <c r="AV1014" s="79">
        <v>66.788899999999998</v>
      </c>
      <c r="AW1014" s="79"/>
      <c r="AX1014" s="79">
        <v>45.39622</v>
      </c>
      <c r="AY1014" s="79">
        <v>85.659229999999994</v>
      </c>
    </row>
    <row r="1015" spans="1:51" x14ac:dyDescent="0.2">
      <c r="A1015" t="s">
        <v>1560</v>
      </c>
      <c r="B1015" s="1">
        <v>37773</v>
      </c>
      <c r="C1015" s="78">
        <v>1015</v>
      </c>
      <c r="E1015" s="1">
        <f t="shared" si="30"/>
        <v>37773</v>
      </c>
      <c r="F1015" s="2">
        <f t="shared" si="31"/>
        <v>37773</v>
      </c>
      <c r="G1015" s="78">
        <v>1013</v>
      </c>
      <c r="H1015" s="79"/>
      <c r="I1015" s="79"/>
      <c r="J1015" s="79">
        <v>75.593699999999998</v>
      </c>
      <c r="K1015" s="79">
        <v>94.585719999999995</v>
      </c>
      <c r="L1015" s="79"/>
      <c r="M1015" s="79">
        <v>69.488420000000005</v>
      </c>
      <c r="N1015" s="79">
        <v>78.693439999999995</v>
      </c>
      <c r="O1015" s="79">
        <v>113.5</v>
      </c>
      <c r="P1015" s="79">
        <v>123.2011</v>
      </c>
      <c r="Q1015" s="79"/>
      <c r="R1015" s="79">
        <v>100.3</v>
      </c>
      <c r="S1015" s="79">
        <v>106.5009</v>
      </c>
      <c r="T1015" s="79">
        <v>106.5236</v>
      </c>
      <c r="U1015" s="79">
        <v>143.8322</v>
      </c>
      <c r="V1015" s="79">
        <v>66.005499999999998</v>
      </c>
      <c r="W1015" s="79">
        <v>55.125959999999999</v>
      </c>
      <c r="X1015" s="79">
        <v>34.480220000000003</v>
      </c>
      <c r="Y1015" s="79">
        <v>64.578069999999997</v>
      </c>
      <c r="Z1015" s="79">
        <v>121.7898</v>
      </c>
      <c r="AA1015" s="79">
        <v>100.9712</v>
      </c>
      <c r="AB1015" s="79">
        <v>56.371299999999998</v>
      </c>
      <c r="AC1015" s="79">
        <v>101.6915</v>
      </c>
      <c r="AD1015" s="79">
        <v>75.099999999999994</v>
      </c>
      <c r="AE1015" s="79">
        <v>90.766000000000005</v>
      </c>
      <c r="AF1015" s="79">
        <v>91.080070000000006</v>
      </c>
      <c r="AG1015" s="79">
        <v>116.2529</v>
      </c>
      <c r="AH1015" s="79">
        <v>86.626419999999996</v>
      </c>
      <c r="AI1015" s="79">
        <v>51.8</v>
      </c>
      <c r="AJ1015" s="79">
        <v>129.26249999999999</v>
      </c>
      <c r="AK1015" s="79">
        <v>52.10868</v>
      </c>
      <c r="AL1015" s="79">
        <v>82.424239999999998</v>
      </c>
      <c r="AM1015" s="79">
        <v>102.1</v>
      </c>
      <c r="AN1015" s="79"/>
      <c r="AO1015" s="79">
        <v>89.565209999999993</v>
      </c>
      <c r="AP1015" s="79">
        <v>94.184299999999993</v>
      </c>
      <c r="AQ1015" s="79"/>
      <c r="AR1015" s="79"/>
      <c r="AS1015" s="79"/>
      <c r="AT1015" s="79">
        <v>48.968049999999998</v>
      </c>
      <c r="AU1015" s="79"/>
      <c r="AV1015" s="79">
        <v>66.742679999999993</v>
      </c>
      <c r="AW1015" s="79"/>
      <c r="AX1015" s="79">
        <v>47.196069999999999</v>
      </c>
      <c r="AY1015" s="79">
        <v>86.099639999999994</v>
      </c>
    </row>
    <row r="1016" spans="1:51" x14ac:dyDescent="0.2">
      <c r="A1016" t="s">
        <v>1561</v>
      </c>
      <c r="B1016" s="1">
        <v>37803</v>
      </c>
      <c r="C1016" s="78">
        <v>1016</v>
      </c>
      <c r="E1016" s="1">
        <f t="shared" si="30"/>
        <v>37803</v>
      </c>
      <c r="F1016" s="2">
        <f t="shared" si="31"/>
        <v>37803</v>
      </c>
      <c r="G1016" s="78">
        <v>1014</v>
      </c>
      <c r="H1016" s="79"/>
      <c r="I1016" s="79"/>
      <c r="J1016" s="79">
        <v>77.793520000000001</v>
      </c>
      <c r="K1016" s="79">
        <v>95.62079</v>
      </c>
      <c r="L1016" s="79"/>
      <c r="M1016" s="79">
        <v>69.588399999999993</v>
      </c>
      <c r="N1016" s="79">
        <v>80.593279999999993</v>
      </c>
      <c r="O1016" s="79">
        <v>113.5</v>
      </c>
      <c r="P1016" s="79">
        <v>124.0621</v>
      </c>
      <c r="Q1016" s="79"/>
      <c r="R1016" s="79">
        <v>101.7</v>
      </c>
      <c r="S1016" s="79">
        <v>108.4109</v>
      </c>
      <c r="T1016" s="79">
        <v>107.2504</v>
      </c>
      <c r="U1016" s="79">
        <v>143.63239999999999</v>
      </c>
      <c r="V1016" s="79">
        <v>66.205520000000007</v>
      </c>
      <c r="W1016" s="79">
        <v>56.61103</v>
      </c>
      <c r="X1016" s="79">
        <v>34.7057</v>
      </c>
      <c r="Y1016" s="79">
        <v>65.348529999999997</v>
      </c>
      <c r="Z1016" s="79">
        <v>123.4897</v>
      </c>
      <c r="AA1016" s="79">
        <v>101.40600000000001</v>
      </c>
      <c r="AB1016" s="79">
        <v>54.016500000000001</v>
      </c>
      <c r="AC1016" s="79">
        <v>103.8913</v>
      </c>
      <c r="AD1016" s="79">
        <v>77</v>
      </c>
      <c r="AE1016" s="79">
        <v>90.752070000000003</v>
      </c>
      <c r="AF1016" s="79">
        <v>92.358729999999994</v>
      </c>
      <c r="AG1016" s="79">
        <v>118.1148</v>
      </c>
      <c r="AH1016" s="79">
        <v>87.340149999999994</v>
      </c>
      <c r="AI1016" s="79">
        <v>53.7</v>
      </c>
      <c r="AJ1016" s="79">
        <v>131.6942</v>
      </c>
      <c r="AK1016" s="79">
        <v>52.70879</v>
      </c>
      <c r="AL1016" s="79">
        <v>83.171009999999995</v>
      </c>
      <c r="AM1016" s="79">
        <v>103.4</v>
      </c>
      <c r="AN1016" s="79"/>
      <c r="AO1016" s="79">
        <v>89.959590000000006</v>
      </c>
      <c r="AP1016" s="79">
        <v>95.784030000000001</v>
      </c>
      <c r="AQ1016" s="79"/>
      <c r="AR1016" s="79"/>
      <c r="AS1016" s="79"/>
      <c r="AT1016" s="79">
        <v>49.594290000000001</v>
      </c>
      <c r="AU1016" s="79"/>
      <c r="AV1016" s="79">
        <v>67.396929999999998</v>
      </c>
      <c r="AW1016" s="79"/>
      <c r="AX1016" s="79">
        <v>48.295969999999997</v>
      </c>
      <c r="AY1016" s="79">
        <v>85.218829999999997</v>
      </c>
    </row>
    <row r="1017" spans="1:51" x14ac:dyDescent="0.2">
      <c r="A1017" t="s">
        <v>1562</v>
      </c>
      <c r="B1017" s="1">
        <v>37834</v>
      </c>
      <c r="C1017" s="78">
        <v>1017</v>
      </c>
      <c r="E1017" s="1">
        <f t="shared" si="30"/>
        <v>37834</v>
      </c>
      <c r="F1017" s="2">
        <f t="shared" si="31"/>
        <v>37834</v>
      </c>
      <c r="G1017" s="78">
        <v>1015</v>
      </c>
      <c r="H1017" s="79"/>
      <c r="I1017" s="79"/>
      <c r="J1017" s="79">
        <v>75.693700000000007</v>
      </c>
      <c r="K1017" s="79">
        <v>94.336110000000005</v>
      </c>
      <c r="L1017" s="79"/>
      <c r="M1017" s="79">
        <v>71.088149999999999</v>
      </c>
      <c r="N1017" s="79">
        <v>78.593450000000004</v>
      </c>
      <c r="O1017" s="79">
        <v>115.4</v>
      </c>
      <c r="P1017" s="79">
        <v>123.7941</v>
      </c>
      <c r="Q1017" s="79"/>
      <c r="R1017" s="79">
        <v>101.2</v>
      </c>
      <c r="S1017" s="79">
        <v>107.9409</v>
      </c>
      <c r="T1017" s="79">
        <v>107.14660000000001</v>
      </c>
      <c r="U1017" s="79">
        <v>137.23990000000001</v>
      </c>
      <c r="V1017" s="79">
        <v>68.605720000000005</v>
      </c>
      <c r="W1017" s="79">
        <v>59.224760000000003</v>
      </c>
      <c r="X1017" s="79">
        <v>34.92492</v>
      </c>
      <c r="Y1017" s="79">
        <v>64.508030000000005</v>
      </c>
      <c r="Z1017" s="79">
        <v>120.98990000000001</v>
      </c>
      <c r="AA1017" s="79">
        <v>100.4278</v>
      </c>
      <c r="AB1017" s="79">
        <v>56.733269999999997</v>
      </c>
      <c r="AC1017" s="79">
        <v>108.491</v>
      </c>
      <c r="AD1017" s="79">
        <v>76.5</v>
      </c>
      <c r="AE1017" s="79">
        <v>90.538700000000006</v>
      </c>
      <c r="AF1017" s="79">
        <v>93.342320000000001</v>
      </c>
      <c r="AG1017" s="79">
        <v>116.8348</v>
      </c>
      <c r="AH1017" s="79">
        <v>87.060900000000004</v>
      </c>
      <c r="AI1017" s="79">
        <v>53.8</v>
      </c>
      <c r="AJ1017" s="79">
        <v>129.9025</v>
      </c>
      <c r="AK1017" s="79">
        <v>52.508749999999999</v>
      </c>
      <c r="AL1017" s="79">
        <v>83.264349999999993</v>
      </c>
      <c r="AM1017" s="79">
        <v>102.3</v>
      </c>
      <c r="AN1017" s="79"/>
      <c r="AO1017" s="79">
        <v>89.831270000000004</v>
      </c>
      <c r="AP1017" s="79">
        <v>94.784199999999998</v>
      </c>
      <c r="AQ1017" s="79"/>
      <c r="AR1017" s="79"/>
      <c r="AS1017" s="79"/>
      <c r="AT1017" s="79">
        <v>49.869230000000002</v>
      </c>
      <c r="AU1017" s="79"/>
      <c r="AV1017" s="79">
        <v>67.257230000000007</v>
      </c>
      <c r="AW1017" s="79"/>
      <c r="AX1017" s="79">
        <v>49.49588</v>
      </c>
      <c r="AY1017" s="79">
        <v>86.540049999999994</v>
      </c>
    </row>
    <row r="1018" spans="1:51" x14ac:dyDescent="0.2">
      <c r="A1018" t="s">
        <v>1563</v>
      </c>
      <c r="B1018" s="1">
        <v>37865</v>
      </c>
      <c r="C1018" s="78">
        <v>1018</v>
      </c>
      <c r="E1018" s="1">
        <f t="shared" si="30"/>
        <v>37865</v>
      </c>
      <c r="F1018" s="2">
        <f t="shared" si="31"/>
        <v>37865</v>
      </c>
      <c r="G1018" s="78">
        <v>1016</v>
      </c>
      <c r="H1018" s="79"/>
      <c r="I1018" s="79"/>
      <c r="J1018" s="79">
        <v>75.893680000000003</v>
      </c>
      <c r="K1018" s="79">
        <v>96.213639999999998</v>
      </c>
      <c r="L1018" s="79"/>
      <c r="M1018" s="79">
        <v>71.388099999999994</v>
      </c>
      <c r="N1018" s="79">
        <v>78.393469999999994</v>
      </c>
      <c r="O1018" s="79">
        <v>117</v>
      </c>
      <c r="P1018" s="79">
        <v>122.8621</v>
      </c>
      <c r="Q1018" s="79"/>
      <c r="R1018" s="79">
        <v>101.6</v>
      </c>
      <c r="S1018" s="79">
        <v>107.5609</v>
      </c>
      <c r="T1018" s="79">
        <v>107.14660000000001</v>
      </c>
      <c r="U1018" s="79">
        <v>145.72999999999999</v>
      </c>
      <c r="V1018" s="79">
        <v>67.405619999999999</v>
      </c>
      <c r="W1018" s="79">
        <v>53.759689999999999</v>
      </c>
      <c r="X1018" s="79">
        <v>35.297870000000003</v>
      </c>
      <c r="Y1018" s="79">
        <v>64.718149999999994</v>
      </c>
      <c r="Z1018" s="79">
        <v>121.3899</v>
      </c>
      <c r="AA1018" s="79">
        <v>103.471</v>
      </c>
      <c r="AB1018" s="79">
        <v>58.312139999999999</v>
      </c>
      <c r="AC1018" s="79">
        <v>109.1909</v>
      </c>
      <c r="AD1018" s="79">
        <v>78.099999999999994</v>
      </c>
      <c r="AE1018" s="79">
        <v>90.584479999999999</v>
      </c>
      <c r="AF1018" s="79">
        <v>93.342320000000001</v>
      </c>
      <c r="AG1018" s="79">
        <v>118.4639</v>
      </c>
      <c r="AH1018" s="79">
        <v>87.751850000000005</v>
      </c>
      <c r="AI1018" s="79">
        <v>53.7</v>
      </c>
      <c r="AJ1018" s="79">
        <v>134.1259</v>
      </c>
      <c r="AK1018" s="79">
        <v>52.10868</v>
      </c>
      <c r="AL1018" s="79">
        <v>83.731080000000006</v>
      </c>
      <c r="AM1018" s="79">
        <v>103</v>
      </c>
      <c r="AN1018" s="79"/>
      <c r="AO1018" s="79">
        <v>90.360029999999995</v>
      </c>
      <c r="AP1018" s="79">
        <v>94.484250000000003</v>
      </c>
      <c r="AQ1018" s="79"/>
      <c r="AR1018" s="79"/>
      <c r="AS1018" s="79"/>
      <c r="AT1018" s="79">
        <v>50.172989999999999</v>
      </c>
      <c r="AU1018" s="79"/>
      <c r="AV1018" s="79">
        <v>68.535219999999995</v>
      </c>
      <c r="AW1018" s="79"/>
      <c r="AX1018" s="79">
        <v>49.49588</v>
      </c>
      <c r="AY1018" s="79">
        <v>89.402690000000007</v>
      </c>
    </row>
    <row r="1019" spans="1:51" x14ac:dyDescent="0.2">
      <c r="A1019" t="s">
        <v>1564</v>
      </c>
      <c r="B1019" s="1">
        <v>37895</v>
      </c>
      <c r="C1019" s="78">
        <v>1019</v>
      </c>
      <c r="E1019" s="1">
        <f t="shared" si="30"/>
        <v>37895</v>
      </c>
      <c r="F1019" s="2">
        <f t="shared" si="31"/>
        <v>37895</v>
      </c>
      <c r="G1019" s="78">
        <v>1017</v>
      </c>
      <c r="H1019" s="79"/>
      <c r="I1019" s="79"/>
      <c r="J1019" s="79">
        <v>76.393630000000002</v>
      </c>
      <c r="K1019" s="79">
        <v>96.756200000000007</v>
      </c>
      <c r="L1019" s="79"/>
      <c r="M1019" s="79">
        <v>71.788030000000006</v>
      </c>
      <c r="N1019" s="79">
        <v>80.793270000000007</v>
      </c>
      <c r="O1019" s="79">
        <v>114.8</v>
      </c>
      <c r="P1019" s="79">
        <v>125.50409999999999</v>
      </c>
      <c r="Q1019" s="79"/>
      <c r="R1019" s="79">
        <v>101.4</v>
      </c>
      <c r="S1019" s="79">
        <v>110.1609</v>
      </c>
      <c r="T1019" s="79">
        <v>107.9772</v>
      </c>
      <c r="U1019" s="79">
        <v>144.7311</v>
      </c>
      <c r="V1019" s="79">
        <v>67.905659999999997</v>
      </c>
      <c r="W1019" s="79">
        <v>61.422669999999997</v>
      </c>
      <c r="X1019" s="79">
        <v>35.97672</v>
      </c>
      <c r="Y1019" s="79">
        <v>68.150180000000006</v>
      </c>
      <c r="Z1019" s="79">
        <v>122.68980000000001</v>
      </c>
      <c r="AA1019" s="79">
        <v>104.6666</v>
      </c>
      <c r="AB1019" s="79">
        <v>59.151069999999997</v>
      </c>
      <c r="AC1019" s="79">
        <v>108.59099999999999</v>
      </c>
      <c r="AD1019" s="79">
        <v>78.599999999999994</v>
      </c>
      <c r="AE1019" s="79">
        <v>91.041629999999998</v>
      </c>
      <c r="AF1019" s="79">
        <v>96.883219999999994</v>
      </c>
      <c r="AG1019" s="79">
        <v>121.024</v>
      </c>
      <c r="AH1019" s="79">
        <v>88.64573</v>
      </c>
      <c r="AI1019" s="79">
        <v>55</v>
      </c>
      <c r="AJ1019" s="79">
        <v>131.05430000000001</v>
      </c>
      <c r="AK1019" s="79">
        <v>52.808799999999998</v>
      </c>
      <c r="AL1019" s="79">
        <v>85.597989999999996</v>
      </c>
      <c r="AM1019" s="79">
        <v>102.6</v>
      </c>
      <c r="AN1019" s="79"/>
      <c r="AO1019" s="79">
        <v>90.487589999999997</v>
      </c>
      <c r="AP1019" s="79">
        <v>96.883849999999995</v>
      </c>
      <c r="AQ1019" s="79"/>
      <c r="AR1019" s="79"/>
      <c r="AS1019" s="79"/>
      <c r="AT1019" s="79">
        <v>49.970359999999999</v>
      </c>
      <c r="AU1019" s="79"/>
      <c r="AV1019" s="79">
        <v>68.335449999999994</v>
      </c>
      <c r="AW1019" s="79"/>
      <c r="AX1019" s="79">
        <v>48.995919999999998</v>
      </c>
      <c r="AY1019" s="79">
        <v>89.843100000000007</v>
      </c>
    </row>
    <row r="1020" spans="1:51" x14ac:dyDescent="0.2">
      <c r="A1020" t="s">
        <v>1565</v>
      </c>
      <c r="B1020" s="1">
        <v>37926</v>
      </c>
      <c r="C1020" s="78">
        <v>1020</v>
      </c>
      <c r="E1020" s="1">
        <f t="shared" si="30"/>
        <v>37926</v>
      </c>
      <c r="F1020" s="2">
        <f t="shared" si="31"/>
        <v>37926</v>
      </c>
      <c r="G1020" s="78">
        <v>1018</v>
      </c>
      <c r="H1020" s="79"/>
      <c r="I1020" s="79"/>
      <c r="J1020" s="79">
        <v>75.793689999999998</v>
      </c>
      <c r="K1020" s="79">
        <v>96.836179999999999</v>
      </c>
      <c r="L1020" s="79"/>
      <c r="M1020" s="79">
        <v>72.787869999999998</v>
      </c>
      <c r="N1020" s="79">
        <v>81.593199999999996</v>
      </c>
      <c r="O1020" s="79">
        <v>112.8</v>
      </c>
      <c r="P1020" s="79">
        <v>124.3961</v>
      </c>
      <c r="Q1020" s="79"/>
      <c r="R1020" s="79">
        <v>102.8</v>
      </c>
      <c r="S1020" s="79">
        <v>108.01090000000001</v>
      </c>
      <c r="T1020" s="79">
        <v>107.56189999999999</v>
      </c>
      <c r="U1020" s="79">
        <v>141.83449999999999</v>
      </c>
      <c r="V1020" s="79">
        <v>69.005750000000006</v>
      </c>
      <c r="W1020" s="79">
        <v>61.422669999999997</v>
      </c>
      <c r="X1020" s="79">
        <v>35.445790000000002</v>
      </c>
      <c r="Y1020" s="79">
        <v>64.648110000000003</v>
      </c>
      <c r="Z1020" s="79">
        <v>124.08969999999999</v>
      </c>
      <c r="AA1020" s="79">
        <v>104.884</v>
      </c>
      <c r="AB1020" s="79">
        <v>58.995080000000002</v>
      </c>
      <c r="AC1020" s="79">
        <v>107.491</v>
      </c>
      <c r="AD1020" s="79">
        <v>78.3</v>
      </c>
      <c r="AE1020" s="79">
        <v>91.345470000000006</v>
      </c>
      <c r="AF1020" s="79">
        <v>94.325900000000004</v>
      </c>
      <c r="AG1020" s="79">
        <v>119.0458</v>
      </c>
      <c r="AH1020" s="79">
        <v>88.867580000000004</v>
      </c>
      <c r="AI1020" s="79">
        <v>55.4</v>
      </c>
      <c r="AJ1020" s="79">
        <v>131.82220000000001</v>
      </c>
      <c r="AK1020" s="79">
        <v>54.309049999999999</v>
      </c>
      <c r="AL1020" s="79">
        <v>85.971369999999993</v>
      </c>
      <c r="AM1020" s="79">
        <v>102.3</v>
      </c>
      <c r="AN1020" s="79"/>
      <c r="AO1020" s="79">
        <v>91.184820000000002</v>
      </c>
      <c r="AP1020" s="79">
        <v>96.483919999999998</v>
      </c>
      <c r="AQ1020" s="79"/>
      <c r="AR1020" s="79"/>
      <c r="AS1020" s="79"/>
      <c r="AT1020" s="79">
        <v>51.17662</v>
      </c>
      <c r="AU1020" s="79"/>
      <c r="AV1020" s="79">
        <v>68.351309999999998</v>
      </c>
      <c r="AW1020" s="79"/>
      <c r="AX1020" s="79">
        <v>48.795929999999998</v>
      </c>
      <c r="AY1020" s="79">
        <v>90.944119999999998</v>
      </c>
    </row>
    <row r="1021" spans="1:51" x14ac:dyDescent="0.2">
      <c r="A1021" t="s">
        <v>1566</v>
      </c>
      <c r="B1021" s="1">
        <v>37956</v>
      </c>
      <c r="C1021" s="78">
        <v>1021</v>
      </c>
      <c r="E1021" s="1">
        <f t="shared" si="30"/>
        <v>37956</v>
      </c>
      <c r="F1021" s="2">
        <f t="shared" si="31"/>
        <v>37956</v>
      </c>
      <c r="G1021" s="78">
        <v>1019</v>
      </c>
      <c r="H1021" s="79"/>
      <c r="I1021" s="79"/>
      <c r="J1021" s="79">
        <v>78.493459999999999</v>
      </c>
      <c r="K1021" s="79">
        <v>97.030680000000004</v>
      </c>
      <c r="L1021" s="79"/>
      <c r="M1021" s="79">
        <v>74.487589999999997</v>
      </c>
      <c r="N1021" s="79">
        <v>81.993160000000003</v>
      </c>
      <c r="O1021" s="79">
        <v>111.2</v>
      </c>
      <c r="P1021" s="79">
        <v>123.71510000000001</v>
      </c>
      <c r="Q1021" s="79"/>
      <c r="R1021" s="79">
        <v>101.3</v>
      </c>
      <c r="S1021" s="79">
        <v>108.6409</v>
      </c>
      <c r="T1021" s="79">
        <v>108.2886</v>
      </c>
      <c r="U1021" s="79">
        <v>146.8287</v>
      </c>
      <c r="V1021" s="79">
        <v>72.206019999999995</v>
      </c>
      <c r="W1021" s="79">
        <v>58.214910000000003</v>
      </c>
      <c r="X1021" s="79">
        <v>35.231619999999999</v>
      </c>
      <c r="Y1021" s="79">
        <v>66.259060000000005</v>
      </c>
      <c r="Z1021" s="79">
        <v>124.1897</v>
      </c>
      <c r="AA1021" s="79">
        <v>104.5579</v>
      </c>
      <c r="AB1021" s="79">
        <v>60.473959999999998</v>
      </c>
      <c r="AC1021" s="79">
        <v>105.0912</v>
      </c>
      <c r="AD1021" s="79">
        <v>79.900000000000006</v>
      </c>
      <c r="AE1021" s="79">
        <v>92.66046</v>
      </c>
      <c r="AF1021" s="79">
        <v>92.260379999999998</v>
      </c>
      <c r="AG1021" s="79">
        <v>120.09310000000001</v>
      </c>
      <c r="AH1021" s="79">
        <v>89.203010000000006</v>
      </c>
      <c r="AI1021" s="79">
        <v>56.6</v>
      </c>
      <c r="AJ1021" s="79">
        <v>133.48599999999999</v>
      </c>
      <c r="AK1021" s="79">
        <v>55.8093</v>
      </c>
      <c r="AL1021" s="79">
        <v>84.75788</v>
      </c>
      <c r="AM1021" s="79">
        <v>104.9</v>
      </c>
      <c r="AN1021" s="79"/>
      <c r="AO1021" s="79">
        <v>91.119889999999998</v>
      </c>
      <c r="AP1021" s="79">
        <v>96.783869999999993</v>
      </c>
      <c r="AQ1021" s="79"/>
      <c r="AR1021" s="79"/>
      <c r="AS1021" s="79"/>
      <c r="AT1021" s="79">
        <v>50.908850000000001</v>
      </c>
      <c r="AU1021" s="79"/>
      <c r="AV1021" s="79">
        <v>69.997690000000006</v>
      </c>
      <c r="AW1021" s="79"/>
      <c r="AX1021" s="79">
        <v>49.695860000000003</v>
      </c>
      <c r="AY1021" s="79">
        <v>89.512799999999999</v>
      </c>
    </row>
    <row r="1022" spans="1:51" x14ac:dyDescent="0.2">
      <c r="A1022" t="s">
        <v>1567</v>
      </c>
      <c r="B1022" s="1">
        <v>37987</v>
      </c>
      <c r="C1022" s="78">
        <v>1022</v>
      </c>
      <c r="E1022" s="1">
        <f t="shared" si="30"/>
        <v>37987</v>
      </c>
      <c r="F1022" s="2">
        <f t="shared" si="31"/>
        <v>37987</v>
      </c>
      <c r="G1022" s="78">
        <v>1020</v>
      </c>
      <c r="H1022" s="79"/>
      <c r="I1022" s="79"/>
      <c r="J1022" s="79">
        <v>76.893590000000003</v>
      </c>
      <c r="K1022" s="79">
        <v>96.629649999999998</v>
      </c>
      <c r="L1022" s="79"/>
      <c r="M1022" s="79">
        <v>74.387600000000006</v>
      </c>
      <c r="N1022" s="79">
        <v>81.293229999999994</v>
      </c>
      <c r="O1022" s="79">
        <v>111.3</v>
      </c>
      <c r="P1022" s="79">
        <v>123.7901</v>
      </c>
      <c r="Q1022" s="79"/>
      <c r="R1022" s="79">
        <v>101.9</v>
      </c>
      <c r="S1022" s="79">
        <v>109.3609</v>
      </c>
      <c r="T1022" s="79">
        <v>107.6657</v>
      </c>
      <c r="U1022" s="79">
        <v>140.8357</v>
      </c>
      <c r="V1022" s="79">
        <v>69.905820000000006</v>
      </c>
      <c r="W1022" s="79">
        <v>55.719990000000003</v>
      </c>
      <c r="X1022" s="79">
        <v>35.873130000000003</v>
      </c>
      <c r="Y1022" s="79">
        <v>69.695549999999997</v>
      </c>
      <c r="Z1022" s="79">
        <v>124.08969999999999</v>
      </c>
      <c r="AA1022" s="79">
        <v>106.40560000000001</v>
      </c>
      <c r="AB1022" s="79">
        <v>60.220979999999997</v>
      </c>
      <c r="AC1022" s="79">
        <v>108.8909</v>
      </c>
      <c r="AD1022" s="79">
        <v>79.8</v>
      </c>
      <c r="AE1022" s="79">
        <v>93.231219999999993</v>
      </c>
      <c r="AF1022" s="79">
        <v>97.571740000000005</v>
      </c>
      <c r="AG1022" s="79">
        <v>118.4639</v>
      </c>
      <c r="AH1022" s="79">
        <v>89.486199999999997</v>
      </c>
      <c r="AI1022" s="79">
        <v>57.8</v>
      </c>
      <c r="AJ1022" s="79">
        <v>129.84299999999999</v>
      </c>
      <c r="AK1022" s="79">
        <v>51.308549999999997</v>
      </c>
      <c r="AL1022" s="79">
        <v>85.784679999999994</v>
      </c>
      <c r="AM1022" s="79">
        <v>106</v>
      </c>
      <c r="AN1022" s="79"/>
      <c r="AO1022" s="79">
        <v>91.352620000000002</v>
      </c>
      <c r="AP1022" s="79">
        <v>96.683880000000002</v>
      </c>
      <c r="AQ1022" s="79"/>
      <c r="AR1022" s="79"/>
      <c r="AS1022" s="79"/>
      <c r="AT1022" s="79">
        <v>51.665669999999999</v>
      </c>
      <c r="AU1022" s="79"/>
      <c r="AV1022" s="79">
        <v>70.112700000000004</v>
      </c>
      <c r="AW1022" s="79"/>
      <c r="AX1022" s="79">
        <v>50.49579</v>
      </c>
      <c r="AY1022" s="79">
        <v>91.054220000000001</v>
      </c>
    </row>
    <row r="1023" spans="1:51" x14ac:dyDescent="0.2">
      <c r="A1023" t="s">
        <v>1568</v>
      </c>
      <c r="B1023" s="1">
        <v>38018</v>
      </c>
      <c r="C1023" s="78">
        <v>1023</v>
      </c>
      <c r="E1023" s="1">
        <f t="shared" si="30"/>
        <v>38018</v>
      </c>
      <c r="F1023" s="2">
        <f t="shared" si="31"/>
        <v>38018</v>
      </c>
      <c r="G1023" s="78">
        <v>1021</v>
      </c>
      <c r="H1023" s="79"/>
      <c r="I1023" s="79"/>
      <c r="J1023" s="79">
        <v>77.993499999999997</v>
      </c>
      <c r="K1023" s="79">
        <v>96.296840000000003</v>
      </c>
      <c r="L1023" s="79"/>
      <c r="M1023" s="79">
        <v>76.687219999999996</v>
      </c>
      <c r="N1023" s="79">
        <v>81.693190000000001</v>
      </c>
      <c r="O1023" s="79">
        <v>111.7</v>
      </c>
      <c r="P1023" s="79">
        <v>124.4391</v>
      </c>
      <c r="Q1023" s="79"/>
      <c r="R1023" s="79">
        <v>103.5</v>
      </c>
      <c r="S1023" s="79">
        <v>110.4709</v>
      </c>
      <c r="T1023" s="79">
        <v>107.35420000000001</v>
      </c>
      <c r="U1023" s="79">
        <v>143.43270000000001</v>
      </c>
      <c r="V1023" s="79">
        <v>70.705889999999997</v>
      </c>
      <c r="W1023" s="79">
        <v>56.373420000000003</v>
      </c>
      <c r="X1023" s="79">
        <v>36.686729999999997</v>
      </c>
      <c r="Y1023" s="79">
        <v>68.758780000000002</v>
      </c>
      <c r="Z1023" s="79">
        <v>123.6897</v>
      </c>
      <c r="AA1023" s="79">
        <v>106.0796</v>
      </c>
      <c r="AB1023" s="79">
        <v>62.57978</v>
      </c>
      <c r="AC1023" s="79">
        <v>109.4909</v>
      </c>
      <c r="AD1023" s="79">
        <v>80.599999999999994</v>
      </c>
      <c r="AE1023" s="79">
        <v>93.439980000000006</v>
      </c>
      <c r="AF1023" s="79">
        <v>97.965170000000001</v>
      </c>
      <c r="AG1023" s="79">
        <v>117.88209999999999</v>
      </c>
      <c r="AH1023" s="79">
        <v>89.950180000000003</v>
      </c>
      <c r="AI1023" s="79">
        <v>58.1</v>
      </c>
      <c r="AJ1023" s="79">
        <v>126.8695</v>
      </c>
      <c r="AK1023" s="79">
        <v>54.909149999999997</v>
      </c>
      <c r="AL1023" s="79">
        <v>85.691339999999997</v>
      </c>
      <c r="AM1023" s="79">
        <v>106.3</v>
      </c>
      <c r="AN1023" s="79"/>
      <c r="AO1023" s="79">
        <v>91.90607</v>
      </c>
      <c r="AP1023" s="79">
        <v>97.083820000000003</v>
      </c>
      <c r="AQ1023" s="79"/>
      <c r="AR1023" s="79"/>
      <c r="AS1023" s="79"/>
      <c r="AT1023" s="79">
        <v>50.875979999999998</v>
      </c>
      <c r="AU1023" s="79"/>
      <c r="AV1023" s="79">
        <v>70.518780000000007</v>
      </c>
      <c r="AW1023" s="79"/>
      <c r="AX1023" s="79">
        <v>50.895760000000003</v>
      </c>
      <c r="AY1023" s="79">
        <v>92.485550000000003</v>
      </c>
    </row>
    <row r="1024" spans="1:51" x14ac:dyDescent="0.2">
      <c r="A1024" t="s">
        <v>1569</v>
      </c>
      <c r="B1024" s="1">
        <v>38047</v>
      </c>
      <c r="C1024" s="78">
        <v>1024</v>
      </c>
      <c r="E1024" s="1">
        <f t="shared" si="30"/>
        <v>38047</v>
      </c>
      <c r="F1024" s="2">
        <f t="shared" si="31"/>
        <v>38047</v>
      </c>
      <c r="G1024" s="78">
        <v>1022</v>
      </c>
      <c r="H1024" s="79"/>
      <c r="I1024" s="79"/>
      <c r="J1024" s="79">
        <v>78.593450000000004</v>
      </c>
      <c r="K1024" s="79">
        <v>97.473979999999997</v>
      </c>
      <c r="L1024" s="79"/>
      <c r="M1024" s="79">
        <v>76.087320000000005</v>
      </c>
      <c r="N1024" s="79">
        <v>81.193240000000003</v>
      </c>
      <c r="O1024" s="79">
        <v>112.9</v>
      </c>
      <c r="P1024" s="79">
        <v>126.1631</v>
      </c>
      <c r="Q1024" s="79"/>
      <c r="R1024" s="79">
        <v>103.7</v>
      </c>
      <c r="S1024" s="79">
        <v>110.1009</v>
      </c>
      <c r="T1024" s="79">
        <v>109.53449999999999</v>
      </c>
      <c r="U1024" s="79">
        <v>146.8287</v>
      </c>
      <c r="V1024" s="79">
        <v>70.505870000000002</v>
      </c>
      <c r="W1024" s="79">
        <v>57.917900000000003</v>
      </c>
      <c r="X1024" s="79">
        <v>38.090069999999997</v>
      </c>
      <c r="Y1024" s="79">
        <v>70.163929999999993</v>
      </c>
      <c r="Z1024" s="79">
        <v>121.5899</v>
      </c>
      <c r="AA1024" s="79">
        <v>105.5361</v>
      </c>
      <c r="AB1024" s="79">
        <v>61.652859999999997</v>
      </c>
      <c r="AC1024" s="79">
        <v>113.09059999999999</v>
      </c>
      <c r="AD1024" s="79">
        <v>81.5</v>
      </c>
      <c r="AE1024" s="79">
        <v>95.001300000000001</v>
      </c>
      <c r="AF1024" s="79">
        <v>97.571740000000005</v>
      </c>
      <c r="AG1024" s="79">
        <v>119.6276</v>
      </c>
      <c r="AH1024" s="79">
        <v>89.889960000000002</v>
      </c>
      <c r="AI1024" s="79">
        <v>59.4</v>
      </c>
      <c r="AJ1024" s="79">
        <v>132.81649999999999</v>
      </c>
      <c r="AK1024" s="79">
        <v>53.008830000000003</v>
      </c>
      <c r="AL1024" s="79">
        <v>86.904830000000004</v>
      </c>
      <c r="AM1024" s="79">
        <v>104.7</v>
      </c>
      <c r="AN1024" s="79"/>
      <c r="AO1024" s="79">
        <v>91.44896</v>
      </c>
      <c r="AP1024" s="79">
        <v>96.883849999999995</v>
      </c>
      <c r="AQ1024" s="79"/>
      <c r="AR1024" s="79"/>
      <c r="AS1024" s="79"/>
      <c r="AT1024" s="79">
        <v>51.481990000000003</v>
      </c>
      <c r="AU1024" s="79"/>
      <c r="AV1024" s="79">
        <v>71.034260000000003</v>
      </c>
      <c r="AW1024" s="79"/>
      <c r="AX1024" s="79">
        <v>51.195729999999998</v>
      </c>
      <c r="AY1024" s="79">
        <v>93.036060000000006</v>
      </c>
    </row>
    <row r="1025" spans="1:51" x14ac:dyDescent="0.2">
      <c r="A1025" t="s">
        <v>1570</v>
      </c>
      <c r="B1025" s="1">
        <v>38078</v>
      </c>
      <c r="C1025" s="78">
        <v>1025</v>
      </c>
      <c r="E1025" s="1">
        <f t="shared" si="30"/>
        <v>38078</v>
      </c>
      <c r="F1025" s="2">
        <f t="shared" si="31"/>
        <v>38078</v>
      </c>
      <c r="G1025" s="78">
        <v>1023</v>
      </c>
      <c r="H1025" s="79"/>
      <c r="I1025" s="79"/>
      <c r="J1025" s="79">
        <v>80.493290000000002</v>
      </c>
      <c r="K1025" s="79">
        <v>97.29607</v>
      </c>
      <c r="L1025" s="79"/>
      <c r="M1025" s="79">
        <v>77.187129999999996</v>
      </c>
      <c r="N1025" s="79">
        <v>82.393140000000002</v>
      </c>
      <c r="O1025" s="79">
        <v>114.3</v>
      </c>
      <c r="P1025" s="79">
        <v>125.45910000000001</v>
      </c>
      <c r="Q1025" s="79"/>
      <c r="R1025" s="79">
        <v>104.5</v>
      </c>
      <c r="S1025" s="79">
        <v>110.1309</v>
      </c>
      <c r="T1025" s="79">
        <v>108.91160000000001</v>
      </c>
      <c r="U1025" s="79">
        <v>147.428</v>
      </c>
      <c r="V1025" s="79">
        <v>70.805899999999994</v>
      </c>
      <c r="W1025" s="79">
        <v>58.749540000000003</v>
      </c>
      <c r="X1025" s="79">
        <v>39.334009999999999</v>
      </c>
      <c r="Y1025" s="79">
        <v>69.039810000000003</v>
      </c>
      <c r="Z1025" s="79">
        <v>123.7897</v>
      </c>
      <c r="AA1025" s="79">
        <v>107.38379999999999</v>
      </c>
      <c r="AB1025" s="79">
        <v>62.315809999999999</v>
      </c>
      <c r="AC1025" s="79">
        <v>109.8908</v>
      </c>
      <c r="AD1025" s="79">
        <v>82.5</v>
      </c>
      <c r="AE1025" s="79">
        <v>94.408330000000007</v>
      </c>
      <c r="AF1025" s="79">
        <v>96.883219999999994</v>
      </c>
      <c r="AG1025" s="79">
        <v>117.4166</v>
      </c>
      <c r="AH1025" s="79">
        <v>90.523939999999996</v>
      </c>
      <c r="AI1025" s="79">
        <v>61.5</v>
      </c>
      <c r="AJ1025" s="79">
        <v>131.94919999999999</v>
      </c>
      <c r="AK1025" s="79">
        <v>52.508749999999999</v>
      </c>
      <c r="AL1025" s="79">
        <v>87.558250000000001</v>
      </c>
      <c r="AM1025" s="79">
        <v>108</v>
      </c>
      <c r="AN1025" s="79"/>
      <c r="AO1025" s="79">
        <v>91.861689999999996</v>
      </c>
      <c r="AP1025" s="79">
        <v>97.783699999999996</v>
      </c>
      <c r="AQ1025" s="79"/>
      <c r="AR1025" s="79"/>
      <c r="AS1025" s="79"/>
      <c r="AT1025" s="79">
        <v>53.980229999999999</v>
      </c>
      <c r="AU1025" s="79"/>
      <c r="AV1025" s="79">
        <v>71.75385</v>
      </c>
      <c r="AW1025" s="79"/>
      <c r="AX1025" s="79">
        <v>52.095660000000002</v>
      </c>
      <c r="AY1025" s="79">
        <v>93.696669999999997</v>
      </c>
    </row>
    <row r="1026" spans="1:51" x14ac:dyDescent="0.2">
      <c r="A1026" t="s">
        <v>1571</v>
      </c>
      <c r="B1026" s="1">
        <v>38108</v>
      </c>
      <c r="C1026" s="78">
        <v>1026</v>
      </c>
      <c r="E1026" s="1">
        <f t="shared" ref="E1026:E1089" si="32">B1026</f>
        <v>38108</v>
      </c>
      <c r="F1026" s="2">
        <f t="shared" ref="F1026:F1089" si="33">B1026</f>
        <v>38108</v>
      </c>
      <c r="G1026" s="78">
        <v>1024</v>
      </c>
      <c r="H1026" s="79"/>
      <c r="I1026" s="79"/>
      <c r="J1026" s="79">
        <v>79.193399999999997</v>
      </c>
      <c r="K1026" s="79">
        <v>96.879260000000002</v>
      </c>
      <c r="L1026" s="79"/>
      <c r="M1026" s="79">
        <v>76.687219999999996</v>
      </c>
      <c r="N1026" s="79">
        <v>83.293059999999997</v>
      </c>
      <c r="O1026" s="79">
        <v>114.1</v>
      </c>
      <c r="P1026" s="79">
        <v>126.1161</v>
      </c>
      <c r="Q1026" s="79"/>
      <c r="R1026" s="79">
        <v>107</v>
      </c>
      <c r="S1026" s="79">
        <v>109.54089999999999</v>
      </c>
      <c r="T1026" s="79">
        <v>108.3925</v>
      </c>
      <c r="U1026" s="79">
        <v>146.8287</v>
      </c>
      <c r="V1026" s="79">
        <v>70.605879999999999</v>
      </c>
      <c r="W1026" s="79">
        <v>55.779389999999999</v>
      </c>
      <c r="X1026" s="79">
        <v>39.059359999999998</v>
      </c>
      <c r="Y1026" s="79">
        <v>69.039810000000003</v>
      </c>
      <c r="Z1026" s="79">
        <v>123.58969999999999</v>
      </c>
      <c r="AA1026" s="79">
        <v>107.49250000000001</v>
      </c>
      <c r="AB1026" s="79">
        <v>63.282730000000001</v>
      </c>
      <c r="AC1026" s="79">
        <v>108.491</v>
      </c>
      <c r="AD1026" s="79">
        <v>80.7</v>
      </c>
      <c r="AE1026" s="79">
        <v>94.129199999999997</v>
      </c>
      <c r="AF1026" s="79">
        <v>97.965170000000001</v>
      </c>
      <c r="AG1026" s="79">
        <v>118.4639</v>
      </c>
      <c r="AH1026" s="79">
        <v>90.818860000000001</v>
      </c>
      <c r="AI1026" s="79">
        <v>59.2</v>
      </c>
      <c r="AJ1026" s="79">
        <v>130.33860000000001</v>
      </c>
      <c r="AK1026" s="79">
        <v>54.50909</v>
      </c>
      <c r="AL1026" s="79">
        <v>85.317959999999999</v>
      </c>
      <c r="AM1026" s="79">
        <v>106.8</v>
      </c>
      <c r="AN1026" s="79"/>
      <c r="AO1026" s="79">
        <v>92.589849999999998</v>
      </c>
      <c r="AP1026" s="79">
        <v>97.883679999999998</v>
      </c>
      <c r="AQ1026" s="79"/>
      <c r="AR1026" s="79"/>
      <c r="AS1026" s="79"/>
      <c r="AT1026" s="79">
        <v>53.637920000000001</v>
      </c>
      <c r="AU1026" s="79"/>
      <c r="AV1026" s="79">
        <v>72.191059999999993</v>
      </c>
      <c r="AW1026" s="79"/>
      <c r="AX1026" s="79">
        <v>53.59554</v>
      </c>
      <c r="AY1026" s="79">
        <v>94.577479999999994</v>
      </c>
    </row>
    <row r="1027" spans="1:51" x14ac:dyDescent="0.2">
      <c r="A1027" t="s">
        <v>1572</v>
      </c>
      <c r="B1027" s="1">
        <v>38139</v>
      </c>
      <c r="C1027" s="78">
        <v>1027</v>
      </c>
      <c r="E1027" s="1">
        <f t="shared" si="32"/>
        <v>38139</v>
      </c>
      <c r="F1027" s="2">
        <f t="shared" si="33"/>
        <v>38139</v>
      </c>
      <c r="G1027" s="78">
        <v>1025</v>
      </c>
      <c r="H1027" s="79"/>
      <c r="I1027" s="79"/>
      <c r="J1027" s="79">
        <v>80.693280000000001</v>
      </c>
      <c r="K1027" s="79">
        <v>98.295299999999997</v>
      </c>
      <c r="L1027" s="79"/>
      <c r="M1027" s="79">
        <v>76.487250000000003</v>
      </c>
      <c r="N1027" s="79">
        <v>82.693110000000004</v>
      </c>
      <c r="O1027" s="79">
        <v>114.3</v>
      </c>
      <c r="P1027" s="79">
        <v>126.74809999999999</v>
      </c>
      <c r="Q1027" s="79"/>
      <c r="R1027" s="79">
        <v>108.4</v>
      </c>
      <c r="S1027" s="79">
        <v>110.5909</v>
      </c>
      <c r="T1027" s="79">
        <v>108.6001</v>
      </c>
      <c r="U1027" s="79">
        <v>144.23169999999999</v>
      </c>
      <c r="V1027" s="79">
        <v>71.205929999999995</v>
      </c>
      <c r="W1027" s="79">
        <v>57.205060000000003</v>
      </c>
      <c r="X1027" s="79">
        <v>38.527500000000003</v>
      </c>
      <c r="Y1027" s="79">
        <v>70.25761</v>
      </c>
      <c r="Z1027" s="79">
        <v>122.88979999999999</v>
      </c>
      <c r="AA1027" s="79">
        <v>107.8186</v>
      </c>
      <c r="AB1027" s="79">
        <v>61.748860000000001</v>
      </c>
      <c r="AC1027" s="79">
        <v>115.8903</v>
      </c>
      <c r="AD1027" s="79">
        <v>80</v>
      </c>
      <c r="AE1027" s="79">
        <v>94.239519999999999</v>
      </c>
      <c r="AF1027" s="79">
        <v>98.06353</v>
      </c>
      <c r="AG1027" s="79">
        <v>125.6788</v>
      </c>
      <c r="AH1027" s="79">
        <v>90.637460000000004</v>
      </c>
      <c r="AI1027" s="79">
        <v>58.6</v>
      </c>
      <c r="AJ1027" s="79">
        <v>129.96690000000001</v>
      </c>
      <c r="AK1027" s="79">
        <v>53.008830000000003</v>
      </c>
      <c r="AL1027" s="79">
        <v>86.344759999999994</v>
      </c>
      <c r="AM1027" s="79">
        <v>106.5</v>
      </c>
      <c r="AN1027" s="79"/>
      <c r="AO1027" s="79">
        <v>91.826539999999994</v>
      </c>
      <c r="AP1027" s="79">
        <v>97.883679999999998</v>
      </c>
      <c r="AQ1027" s="79"/>
      <c r="AR1027" s="79"/>
      <c r="AS1027" s="79"/>
      <c r="AT1027" s="79">
        <v>53.721649999999997</v>
      </c>
      <c r="AU1027" s="79"/>
      <c r="AV1027" s="79">
        <v>72.782550000000001</v>
      </c>
      <c r="AW1027" s="79"/>
      <c r="AX1027" s="79">
        <v>53.095579999999998</v>
      </c>
      <c r="AY1027" s="79">
        <v>94.797690000000003</v>
      </c>
    </row>
    <row r="1028" spans="1:51" x14ac:dyDescent="0.2">
      <c r="A1028" t="s">
        <v>1573</v>
      </c>
      <c r="B1028" s="1">
        <v>38169</v>
      </c>
      <c r="C1028" s="78">
        <v>1028</v>
      </c>
      <c r="E1028" s="1">
        <f t="shared" si="32"/>
        <v>38169</v>
      </c>
      <c r="F1028" s="2">
        <f t="shared" si="33"/>
        <v>38169</v>
      </c>
      <c r="G1028" s="78">
        <v>1026</v>
      </c>
      <c r="H1028" s="79"/>
      <c r="I1028" s="79"/>
      <c r="J1028" s="79">
        <v>82.593119999999999</v>
      </c>
      <c r="K1028" s="79">
        <v>97.630480000000006</v>
      </c>
      <c r="L1028" s="79"/>
      <c r="M1028" s="79">
        <v>77.687049999999999</v>
      </c>
      <c r="N1028" s="79">
        <v>83.693020000000004</v>
      </c>
      <c r="O1028" s="79">
        <v>111.9</v>
      </c>
      <c r="P1028" s="79">
        <v>126.7381</v>
      </c>
      <c r="Q1028" s="79"/>
      <c r="R1028" s="79">
        <v>105.1</v>
      </c>
      <c r="S1028" s="79">
        <v>111.04089999999999</v>
      </c>
      <c r="T1028" s="79">
        <v>106.8351</v>
      </c>
      <c r="U1028" s="79">
        <v>146.62889999999999</v>
      </c>
      <c r="V1028" s="79">
        <v>71.005920000000003</v>
      </c>
      <c r="W1028" s="79">
        <v>63.620579999999997</v>
      </c>
      <c r="X1028" s="79">
        <v>37.909010000000002</v>
      </c>
      <c r="Y1028" s="79">
        <v>69.227170000000001</v>
      </c>
      <c r="Z1028" s="79">
        <v>123.08969999999999</v>
      </c>
      <c r="AA1028" s="79">
        <v>109.3402</v>
      </c>
      <c r="AB1028" s="79">
        <v>61.074910000000003</v>
      </c>
      <c r="AC1028" s="79">
        <v>112.2906</v>
      </c>
      <c r="AD1028" s="79">
        <v>80.8</v>
      </c>
      <c r="AE1028" s="79">
        <v>94.05959</v>
      </c>
      <c r="AF1028" s="79">
        <v>100.4241</v>
      </c>
      <c r="AG1028" s="79">
        <v>115.4383</v>
      </c>
      <c r="AH1028" s="79">
        <v>91.079139999999995</v>
      </c>
      <c r="AI1028" s="79">
        <v>58.5</v>
      </c>
      <c r="AJ1028" s="79">
        <v>129.59520000000001</v>
      </c>
      <c r="AK1028" s="79">
        <v>52.808799999999998</v>
      </c>
      <c r="AL1028" s="79">
        <v>86.811490000000006</v>
      </c>
      <c r="AM1028" s="79">
        <v>105.1</v>
      </c>
      <c r="AN1028" s="79"/>
      <c r="AO1028" s="79">
        <v>92.534049999999993</v>
      </c>
      <c r="AP1028" s="79">
        <v>98.68356</v>
      </c>
      <c r="AQ1028" s="79"/>
      <c r="AR1028" s="79"/>
      <c r="AS1028" s="79"/>
      <c r="AT1028" s="79">
        <v>55.462980000000002</v>
      </c>
      <c r="AU1028" s="79"/>
      <c r="AV1028" s="79">
        <v>72.610020000000006</v>
      </c>
      <c r="AW1028" s="79"/>
      <c r="AX1028" s="79">
        <v>53.895510000000002</v>
      </c>
      <c r="AY1028" s="79">
        <v>95.458299999999994</v>
      </c>
    </row>
    <row r="1029" spans="1:51" x14ac:dyDescent="0.2">
      <c r="A1029" t="s">
        <v>1574</v>
      </c>
      <c r="B1029" s="1">
        <v>38200</v>
      </c>
      <c r="C1029" s="78">
        <v>1029</v>
      </c>
      <c r="E1029" s="1">
        <f t="shared" si="32"/>
        <v>38200</v>
      </c>
      <c r="F1029" s="2">
        <f t="shared" si="33"/>
        <v>38200</v>
      </c>
      <c r="G1029" s="78">
        <v>1027</v>
      </c>
      <c r="H1029" s="79"/>
      <c r="I1029" s="79"/>
      <c r="J1029" s="79">
        <v>80.493290000000002</v>
      </c>
      <c r="K1029" s="79">
        <v>98.156720000000007</v>
      </c>
      <c r="L1029" s="79"/>
      <c r="M1029" s="79">
        <v>77.787030000000001</v>
      </c>
      <c r="N1029" s="79">
        <v>82.893090000000001</v>
      </c>
      <c r="O1029" s="79">
        <v>111.5</v>
      </c>
      <c r="P1029" s="79">
        <v>124.8621</v>
      </c>
      <c r="Q1029" s="79"/>
      <c r="R1029" s="79">
        <v>108.1</v>
      </c>
      <c r="S1029" s="79">
        <v>107.1109</v>
      </c>
      <c r="T1029" s="79">
        <v>106.62739999999999</v>
      </c>
      <c r="U1029" s="79">
        <v>135.64179999999999</v>
      </c>
      <c r="V1029" s="79">
        <v>70.805899999999994</v>
      </c>
      <c r="W1029" s="79">
        <v>50.967750000000002</v>
      </c>
      <c r="X1029" s="79">
        <v>37.476390000000002</v>
      </c>
      <c r="Y1029" s="79">
        <v>70.725999999999999</v>
      </c>
      <c r="Z1029" s="79">
        <v>120.59</v>
      </c>
      <c r="AA1029" s="79">
        <v>107.8186</v>
      </c>
      <c r="AB1029" s="79">
        <v>61.90784</v>
      </c>
      <c r="AC1029" s="79">
        <v>111.0907</v>
      </c>
      <c r="AD1029" s="79">
        <v>79.7</v>
      </c>
      <c r="AE1029" s="79">
        <v>93.929820000000007</v>
      </c>
      <c r="AF1029" s="79">
        <v>96.784869999999998</v>
      </c>
      <c r="AG1029" s="79">
        <v>106.0124</v>
      </c>
      <c r="AH1029" s="79">
        <v>90.353139999999996</v>
      </c>
      <c r="AI1029" s="79">
        <v>58.8</v>
      </c>
      <c r="AJ1029" s="79">
        <v>124.01990000000001</v>
      </c>
      <c r="AK1029" s="79">
        <v>53.408900000000003</v>
      </c>
      <c r="AL1029" s="79">
        <v>87.651600000000002</v>
      </c>
      <c r="AM1029" s="79">
        <v>108.1</v>
      </c>
      <c r="AN1029" s="79"/>
      <c r="AO1029" s="79">
        <v>92.602239999999995</v>
      </c>
      <c r="AP1029" s="79">
        <v>96.683880000000002</v>
      </c>
      <c r="AQ1029" s="79"/>
      <c r="AR1029" s="79"/>
      <c r="AS1029" s="79"/>
      <c r="AT1029" s="79">
        <v>55.809229999999999</v>
      </c>
      <c r="AU1029" s="79"/>
      <c r="AV1029" s="79">
        <v>74.135940000000005</v>
      </c>
      <c r="AW1029" s="79"/>
      <c r="AX1029" s="79">
        <v>53.495539999999998</v>
      </c>
      <c r="AY1029" s="79">
        <v>96.449219999999997</v>
      </c>
    </row>
    <row r="1030" spans="1:51" x14ac:dyDescent="0.2">
      <c r="A1030" t="s">
        <v>1575</v>
      </c>
      <c r="B1030" s="1">
        <v>38231</v>
      </c>
      <c r="C1030" s="78">
        <v>1030</v>
      </c>
      <c r="E1030" s="1">
        <f t="shared" si="32"/>
        <v>38231</v>
      </c>
      <c r="F1030" s="2">
        <f t="shared" si="33"/>
        <v>38231</v>
      </c>
      <c r="G1030" s="78">
        <v>1028</v>
      </c>
      <c r="H1030" s="79"/>
      <c r="I1030" s="79"/>
      <c r="J1030" s="79">
        <v>82.293139999999994</v>
      </c>
      <c r="K1030" s="79">
        <v>98.651920000000004</v>
      </c>
      <c r="L1030" s="79"/>
      <c r="M1030" s="79">
        <v>77.487080000000006</v>
      </c>
      <c r="N1030" s="79">
        <v>82.693110000000004</v>
      </c>
      <c r="O1030" s="79">
        <v>112.1</v>
      </c>
      <c r="P1030" s="79">
        <v>127.0911</v>
      </c>
      <c r="Q1030" s="79"/>
      <c r="R1030" s="79">
        <v>107.7</v>
      </c>
      <c r="S1030" s="79">
        <v>110.8609</v>
      </c>
      <c r="T1030" s="79">
        <v>107.14660000000001</v>
      </c>
      <c r="U1030" s="79">
        <v>144.7311</v>
      </c>
      <c r="V1030" s="79">
        <v>71.205929999999995</v>
      </c>
      <c r="W1030" s="79">
        <v>57.08625</v>
      </c>
      <c r="X1030" s="79">
        <v>38.079810000000002</v>
      </c>
      <c r="Y1030" s="79">
        <v>70.25761</v>
      </c>
      <c r="Z1030" s="79">
        <v>122.2898</v>
      </c>
      <c r="AA1030" s="79">
        <v>108.1446</v>
      </c>
      <c r="AB1030" s="79">
        <v>63.40972</v>
      </c>
      <c r="AC1030" s="79">
        <v>112.2906</v>
      </c>
      <c r="AD1030" s="79">
        <v>81.400000000000006</v>
      </c>
      <c r="AE1030" s="79">
        <v>94.47748</v>
      </c>
      <c r="AF1030" s="79">
        <v>99.047120000000007</v>
      </c>
      <c r="AG1030" s="79">
        <v>114.8565</v>
      </c>
      <c r="AH1030" s="79">
        <v>90.96996</v>
      </c>
      <c r="AI1030" s="79">
        <v>59</v>
      </c>
      <c r="AJ1030" s="79">
        <v>123.2765</v>
      </c>
      <c r="AK1030" s="79">
        <v>53.608939999999997</v>
      </c>
      <c r="AL1030" s="79">
        <v>87.74494</v>
      </c>
      <c r="AM1030" s="79">
        <v>108.6</v>
      </c>
      <c r="AN1030" s="79"/>
      <c r="AO1030" s="79">
        <v>92.680239999999998</v>
      </c>
      <c r="AP1030" s="79">
        <v>98.083659999999995</v>
      </c>
      <c r="AQ1030" s="79"/>
      <c r="AR1030" s="79"/>
      <c r="AS1030" s="79"/>
      <c r="AT1030" s="79">
        <v>56.725070000000002</v>
      </c>
      <c r="AU1030" s="79"/>
      <c r="AV1030" s="79">
        <v>72.382549999999995</v>
      </c>
      <c r="AW1030" s="79"/>
      <c r="AX1030" s="79">
        <v>52.395629999999997</v>
      </c>
      <c r="AY1030" s="79">
        <v>97.109830000000002</v>
      </c>
    </row>
    <row r="1031" spans="1:51" x14ac:dyDescent="0.2">
      <c r="A1031" t="s">
        <v>1576</v>
      </c>
      <c r="B1031" s="1">
        <v>38261</v>
      </c>
      <c r="C1031" s="78">
        <v>1031</v>
      </c>
      <c r="E1031" s="1">
        <f t="shared" si="32"/>
        <v>38261</v>
      </c>
      <c r="F1031" s="2">
        <f t="shared" si="33"/>
        <v>38261</v>
      </c>
      <c r="G1031" s="78">
        <v>1029</v>
      </c>
      <c r="H1031" s="79"/>
      <c r="I1031" s="79"/>
      <c r="J1031" s="79">
        <v>84.392970000000005</v>
      </c>
      <c r="K1031" s="79">
        <v>98.557739999999995</v>
      </c>
      <c r="L1031" s="79"/>
      <c r="M1031" s="79">
        <v>78.286950000000004</v>
      </c>
      <c r="N1031" s="79">
        <v>83.693020000000004</v>
      </c>
      <c r="O1031" s="79">
        <v>110.3</v>
      </c>
      <c r="P1031" s="79">
        <v>125.9111</v>
      </c>
      <c r="Q1031" s="79"/>
      <c r="R1031" s="79">
        <v>108</v>
      </c>
      <c r="S1031" s="79">
        <v>111.68089999999999</v>
      </c>
      <c r="T1031" s="79">
        <v>107.56189999999999</v>
      </c>
      <c r="U1031" s="79">
        <v>138.5384</v>
      </c>
      <c r="V1031" s="79">
        <v>72.806070000000005</v>
      </c>
      <c r="W1031" s="79">
        <v>57.561480000000003</v>
      </c>
      <c r="X1031" s="79">
        <v>38.9861</v>
      </c>
      <c r="Y1031" s="79">
        <v>73.817329999999998</v>
      </c>
      <c r="Z1031" s="79">
        <v>123.1897</v>
      </c>
      <c r="AA1031" s="79">
        <v>106.0796</v>
      </c>
      <c r="AB1031" s="79">
        <v>62.744770000000003</v>
      </c>
      <c r="AC1031" s="79">
        <v>110.7908</v>
      </c>
      <c r="AD1031" s="79">
        <v>80.8</v>
      </c>
      <c r="AE1031" s="79">
        <v>95.15325</v>
      </c>
      <c r="AF1031" s="79">
        <v>98.260249999999999</v>
      </c>
      <c r="AG1031" s="79">
        <v>119.8604</v>
      </c>
      <c r="AH1031" s="79">
        <v>91.178669999999997</v>
      </c>
      <c r="AI1031" s="79">
        <v>59.7</v>
      </c>
      <c r="AJ1031" s="79">
        <v>125.7544</v>
      </c>
      <c r="AK1031" s="79">
        <v>54.309049999999999</v>
      </c>
      <c r="AL1031" s="79">
        <v>87.371560000000002</v>
      </c>
      <c r="AM1031" s="79">
        <v>108.3</v>
      </c>
      <c r="AN1031" s="79"/>
      <c r="AO1031" s="79">
        <v>93.562659999999994</v>
      </c>
      <c r="AP1031" s="79">
        <v>98.583569999999995</v>
      </c>
      <c r="AQ1031" s="79"/>
      <c r="AR1031" s="79"/>
      <c r="AS1031" s="79"/>
      <c r="AT1031" s="79">
        <v>56.892699999999998</v>
      </c>
      <c r="AU1031" s="79"/>
      <c r="AV1031" s="79">
        <v>72.744119999999995</v>
      </c>
      <c r="AW1031" s="79"/>
      <c r="AX1031" s="79">
        <v>50.595779999999998</v>
      </c>
      <c r="AY1031" s="79">
        <v>96.449219999999997</v>
      </c>
    </row>
    <row r="1032" spans="1:51" x14ac:dyDescent="0.2">
      <c r="A1032" t="s">
        <v>1577</v>
      </c>
      <c r="B1032" s="1">
        <v>38292</v>
      </c>
      <c r="C1032" s="78">
        <v>1032</v>
      </c>
      <c r="E1032" s="1">
        <f t="shared" si="32"/>
        <v>38292</v>
      </c>
      <c r="F1032" s="2">
        <f t="shared" si="33"/>
        <v>38292</v>
      </c>
      <c r="G1032" s="78">
        <v>1030</v>
      </c>
      <c r="H1032" s="79"/>
      <c r="I1032" s="79"/>
      <c r="J1032" s="79">
        <v>83.593029999999999</v>
      </c>
      <c r="K1032" s="79">
        <v>98.568439999999995</v>
      </c>
      <c r="L1032" s="79"/>
      <c r="M1032" s="79">
        <v>78.386930000000007</v>
      </c>
      <c r="N1032" s="79">
        <v>82.293139999999994</v>
      </c>
      <c r="O1032" s="79">
        <v>112.8</v>
      </c>
      <c r="P1032" s="79">
        <v>126.9421</v>
      </c>
      <c r="Q1032" s="79"/>
      <c r="R1032" s="79">
        <v>106.6</v>
      </c>
      <c r="S1032" s="79">
        <v>109.82089999999999</v>
      </c>
      <c r="T1032" s="79">
        <v>108.081</v>
      </c>
      <c r="U1032" s="79">
        <v>143.63239999999999</v>
      </c>
      <c r="V1032" s="79">
        <v>73.206100000000006</v>
      </c>
      <c r="W1032" s="79">
        <v>56.908050000000003</v>
      </c>
      <c r="X1032" s="79">
        <v>39.352550000000001</v>
      </c>
      <c r="Y1032" s="79">
        <v>71.100700000000003</v>
      </c>
      <c r="Z1032" s="79">
        <v>121.2899</v>
      </c>
      <c r="AA1032" s="79">
        <v>107.38379999999999</v>
      </c>
      <c r="AB1032" s="79">
        <v>63.627699999999997</v>
      </c>
      <c r="AC1032" s="79">
        <v>111.9907</v>
      </c>
      <c r="AD1032" s="79">
        <v>81.3</v>
      </c>
      <c r="AE1032" s="79">
        <v>95.271900000000002</v>
      </c>
      <c r="AF1032" s="79">
        <v>97.866810000000001</v>
      </c>
      <c r="AG1032" s="79">
        <v>116.7184</v>
      </c>
      <c r="AH1032" s="79">
        <v>91.249219999999994</v>
      </c>
      <c r="AI1032" s="79">
        <v>60.2</v>
      </c>
      <c r="AJ1032" s="79">
        <v>127.86069999999999</v>
      </c>
      <c r="AK1032" s="79">
        <v>52.2087</v>
      </c>
      <c r="AL1032" s="79">
        <v>87.091520000000003</v>
      </c>
      <c r="AM1032" s="79">
        <v>108.9</v>
      </c>
      <c r="AN1032" s="79"/>
      <c r="AO1032" s="79">
        <v>93.758889999999994</v>
      </c>
      <c r="AP1032" s="79">
        <v>97.483750000000001</v>
      </c>
      <c r="AQ1032" s="79"/>
      <c r="AR1032" s="79"/>
      <c r="AS1032" s="79"/>
      <c r="AT1032" s="79">
        <v>56.81532</v>
      </c>
      <c r="AU1032" s="79"/>
      <c r="AV1032" s="79">
        <v>74.049499999999995</v>
      </c>
      <c r="AW1032" s="79"/>
      <c r="AX1032" s="79">
        <v>50.895760000000003</v>
      </c>
      <c r="AY1032" s="79">
        <v>96.229010000000002</v>
      </c>
    </row>
    <row r="1033" spans="1:51" x14ac:dyDescent="0.2">
      <c r="A1033" t="s">
        <v>1578</v>
      </c>
      <c r="B1033" s="1">
        <v>38322</v>
      </c>
      <c r="C1033" s="78">
        <v>1033</v>
      </c>
      <c r="E1033" s="1">
        <f t="shared" si="32"/>
        <v>38322</v>
      </c>
      <c r="F1033" s="2">
        <f t="shared" si="33"/>
        <v>38322</v>
      </c>
      <c r="G1033" s="78">
        <v>1031</v>
      </c>
      <c r="H1033" s="79"/>
      <c r="I1033" s="79"/>
      <c r="J1033" s="79">
        <v>83.793009999999995</v>
      </c>
      <c r="K1033" s="79">
        <v>98.622749999999996</v>
      </c>
      <c r="L1033" s="79"/>
      <c r="M1033" s="79">
        <v>77.587069999999997</v>
      </c>
      <c r="N1033" s="79">
        <v>81.893169999999998</v>
      </c>
      <c r="O1033" s="79">
        <v>111.3</v>
      </c>
      <c r="P1033" s="79">
        <v>124.36409999999999</v>
      </c>
      <c r="Q1033" s="79"/>
      <c r="R1033" s="79">
        <v>111.6</v>
      </c>
      <c r="S1033" s="79">
        <v>110.0509</v>
      </c>
      <c r="T1033" s="79">
        <v>108.081</v>
      </c>
      <c r="U1033" s="79">
        <v>141.93440000000001</v>
      </c>
      <c r="V1033" s="79">
        <v>71.105930000000001</v>
      </c>
      <c r="W1033" s="79">
        <v>58.927750000000003</v>
      </c>
      <c r="X1033" s="79">
        <v>40.112079999999999</v>
      </c>
      <c r="Y1033" s="79">
        <v>69.601879999999994</v>
      </c>
      <c r="Z1033" s="79">
        <v>120.39</v>
      </c>
      <c r="AA1033" s="79">
        <v>105.9709</v>
      </c>
      <c r="AB1033" s="79">
        <v>63.021749999999997</v>
      </c>
      <c r="AC1033" s="79">
        <v>110.0908</v>
      </c>
      <c r="AD1033" s="79">
        <v>81.5</v>
      </c>
      <c r="AE1033" s="79">
        <v>94.803979999999996</v>
      </c>
      <c r="AF1033" s="79">
        <v>97.768460000000005</v>
      </c>
      <c r="AG1033" s="79">
        <v>113.1109</v>
      </c>
      <c r="AH1033" s="79">
        <v>91.019689999999997</v>
      </c>
      <c r="AI1033" s="79">
        <v>57.8</v>
      </c>
      <c r="AJ1033" s="79">
        <v>126.37390000000001</v>
      </c>
      <c r="AK1033" s="79">
        <v>59.609940000000002</v>
      </c>
      <c r="AL1033" s="79">
        <v>86.344759999999994</v>
      </c>
      <c r="AM1033" s="79">
        <v>105.2</v>
      </c>
      <c r="AN1033" s="79"/>
      <c r="AO1033" s="79">
        <v>94.448629999999994</v>
      </c>
      <c r="AP1033" s="79">
        <v>97.483750000000001</v>
      </c>
      <c r="AQ1033" s="79"/>
      <c r="AR1033" s="79"/>
      <c r="AS1033" s="79"/>
      <c r="AT1033" s="79">
        <v>57.227200000000003</v>
      </c>
      <c r="AU1033" s="79"/>
      <c r="AV1033" s="79">
        <v>74.530820000000006</v>
      </c>
      <c r="AW1033" s="79"/>
      <c r="AX1033" s="79">
        <v>51.795679999999997</v>
      </c>
      <c r="AY1033" s="79">
        <v>97.219920000000002</v>
      </c>
    </row>
    <row r="1034" spans="1:51" x14ac:dyDescent="0.2">
      <c r="A1034" t="s">
        <v>1579</v>
      </c>
      <c r="B1034" s="1">
        <v>38353</v>
      </c>
      <c r="C1034" s="78">
        <v>1034</v>
      </c>
      <c r="E1034" s="1">
        <f t="shared" si="32"/>
        <v>38353</v>
      </c>
      <c r="F1034" s="2">
        <f t="shared" si="33"/>
        <v>38353</v>
      </c>
      <c r="G1034" s="78">
        <v>1032</v>
      </c>
      <c r="H1034" s="79"/>
      <c r="I1034" s="79"/>
      <c r="J1034" s="79">
        <v>85.392880000000005</v>
      </c>
      <c r="K1034" s="79">
        <v>99.89058</v>
      </c>
      <c r="L1034" s="79"/>
      <c r="M1034" s="79">
        <v>77.287120000000002</v>
      </c>
      <c r="N1034" s="79">
        <v>84.392970000000005</v>
      </c>
      <c r="O1034" s="79">
        <v>113.7</v>
      </c>
      <c r="P1034" s="79">
        <v>124.8571</v>
      </c>
      <c r="Q1034" s="79"/>
      <c r="R1034" s="79">
        <v>105.9</v>
      </c>
      <c r="S1034" s="79">
        <v>111.87090000000001</v>
      </c>
      <c r="T1034" s="79">
        <v>107.458</v>
      </c>
      <c r="U1034" s="79">
        <v>143.13300000000001</v>
      </c>
      <c r="V1034" s="79">
        <v>72.706059999999994</v>
      </c>
      <c r="W1034" s="79">
        <v>57.502079999999999</v>
      </c>
      <c r="X1034" s="79">
        <v>39.812069999999999</v>
      </c>
      <c r="Y1034" s="79">
        <v>73.255269999999996</v>
      </c>
      <c r="Z1034" s="79">
        <v>120.39</v>
      </c>
      <c r="AA1034" s="79">
        <v>108.47069999999999</v>
      </c>
      <c r="AB1034" s="79">
        <v>64.589609999999993</v>
      </c>
      <c r="AC1034" s="79">
        <v>112.59059999999999</v>
      </c>
      <c r="AD1034" s="79">
        <v>81.900000000000006</v>
      </c>
      <c r="AE1034" s="79">
        <v>95.985820000000004</v>
      </c>
      <c r="AF1034" s="79">
        <v>96.391970000000001</v>
      </c>
      <c r="AG1034" s="79">
        <v>112.76179999999999</v>
      </c>
      <c r="AH1034" s="79">
        <v>92.234350000000006</v>
      </c>
      <c r="AI1034" s="79">
        <v>60.4</v>
      </c>
      <c r="AJ1034" s="79">
        <v>125.6905</v>
      </c>
      <c r="AK1034" s="79">
        <v>52.308720000000001</v>
      </c>
      <c r="AL1034" s="79">
        <v>88.007329999999996</v>
      </c>
      <c r="AM1034" s="79">
        <v>105.3</v>
      </c>
      <c r="AN1034" s="79"/>
      <c r="AO1034" s="79">
        <v>94.883449999999996</v>
      </c>
      <c r="AP1034" s="79">
        <v>98.283619999999999</v>
      </c>
      <c r="AQ1034" s="79"/>
      <c r="AR1034" s="79"/>
      <c r="AS1034" s="79"/>
      <c r="AT1034" s="79">
        <v>57.191929999999999</v>
      </c>
      <c r="AU1034" s="79"/>
      <c r="AV1034" s="79">
        <v>73.560519999999997</v>
      </c>
      <c r="AW1034" s="79"/>
      <c r="AX1034" s="79">
        <v>60.194980000000001</v>
      </c>
      <c r="AY1034" s="79">
        <v>97.660340000000005</v>
      </c>
    </row>
    <row r="1035" spans="1:51" x14ac:dyDescent="0.2">
      <c r="A1035" t="s">
        <v>1580</v>
      </c>
      <c r="B1035" s="1">
        <v>38384</v>
      </c>
      <c r="C1035" s="78">
        <v>1035</v>
      </c>
      <c r="E1035" s="1">
        <f t="shared" si="32"/>
        <v>38384</v>
      </c>
      <c r="F1035" s="2">
        <f t="shared" si="33"/>
        <v>38384</v>
      </c>
      <c r="G1035" s="78">
        <v>1033</v>
      </c>
      <c r="H1035" s="79"/>
      <c r="I1035" s="79"/>
      <c r="J1035" s="79">
        <v>82.993080000000006</v>
      </c>
      <c r="K1035" s="79">
        <v>98.882260000000002</v>
      </c>
      <c r="L1035" s="79"/>
      <c r="M1035" s="79">
        <v>77.287120000000002</v>
      </c>
      <c r="N1035" s="79">
        <v>83.09308</v>
      </c>
      <c r="O1035" s="79">
        <v>113</v>
      </c>
      <c r="P1035" s="79">
        <v>125.58110000000001</v>
      </c>
      <c r="Q1035" s="79"/>
      <c r="R1035" s="79">
        <v>104.9</v>
      </c>
      <c r="S1035" s="79">
        <v>110.57089999999999</v>
      </c>
      <c r="T1035" s="79">
        <v>107.6657</v>
      </c>
      <c r="U1035" s="79">
        <v>142.73349999999999</v>
      </c>
      <c r="V1035" s="79">
        <v>72.006</v>
      </c>
      <c r="W1035" s="79">
        <v>59.28416</v>
      </c>
      <c r="X1035" s="79">
        <v>39.068869999999997</v>
      </c>
      <c r="Y1035" s="79">
        <v>73.067920000000001</v>
      </c>
      <c r="Z1035" s="79">
        <v>120.98990000000001</v>
      </c>
      <c r="AA1035" s="79">
        <v>108.47069999999999</v>
      </c>
      <c r="AB1035" s="79">
        <v>63.33372</v>
      </c>
      <c r="AC1035" s="79">
        <v>106.5911</v>
      </c>
      <c r="AD1035" s="79">
        <v>82.8</v>
      </c>
      <c r="AE1035" s="79">
        <v>95.721350000000001</v>
      </c>
      <c r="AF1035" s="79">
        <v>98.091830000000002</v>
      </c>
      <c r="AG1035" s="79">
        <v>115.5547</v>
      </c>
      <c r="AH1035" s="79">
        <v>92.145539999999997</v>
      </c>
      <c r="AI1035" s="79">
        <v>60.2</v>
      </c>
      <c r="AJ1035" s="79">
        <v>128.4623</v>
      </c>
      <c r="AK1035" s="79">
        <v>51.808639999999997</v>
      </c>
      <c r="AL1035" s="79">
        <v>86.307190000000006</v>
      </c>
      <c r="AM1035" s="79">
        <v>110.2</v>
      </c>
      <c r="AN1035" s="79"/>
      <c r="AO1035" s="79">
        <v>95.536029999999997</v>
      </c>
      <c r="AP1035" s="79">
        <v>98.083659999999995</v>
      </c>
      <c r="AQ1035" s="79"/>
      <c r="AR1035" s="79"/>
      <c r="AS1035" s="79"/>
      <c r="AT1035" s="79">
        <v>57.888359999999999</v>
      </c>
      <c r="AU1035" s="79"/>
      <c r="AV1035" s="79">
        <v>77.666820000000001</v>
      </c>
      <c r="AW1035" s="79"/>
      <c r="AX1035" s="79">
        <v>57.695189999999997</v>
      </c>
      <c r="AY1035" s="79">
        <v>96.229010000000002</v>
      </c>
    </row>
    <row r="1036" spans="1:51" x14ac:dyDescent="0.2">
      <c r="A1036" t="s">
        <v>1581</v>
      </c>
      <c r="B1036" s="1">
        <v>38412</v>
      </c>
      <c r="C1036" s="78">
        <v>1036</v>
      </c>
      <c r="E1036" s="1">
        <f t="shared" si="32"/>
        <v>38412</v>
      </c>
      <c r="F1036" s="2">
        <f t="shared" si="33"/>
        <v>38412</v>
      </c>
      <c r="G1036" s="78">
        <v>1034</v>
      </c>
      <c r="H1036" s="79"/>
      <c r="I1036" s="79"/>
      <c r="J1036" s="79">
        <v>83.293059999999997</v>
      </c>
      <c r="K1036" s="79">
        <v>97.85333</v>
      </c>
      <c r="L1036" s="79"/>
      <c r="M1036" s="79">
        <v>77.387100000000004</v>
      </c>
      <c r="N1036" s="79">
        <v>84.192989999999995</v>
      </c>
      <c r="O1036" s="79">
        <v>117</v>
      </c>
      <c r="P1036" s="79">
        <v>126.2231</v>
      </c>
      <c r="Q1036" s="79"/>
      <c r="R1036" s="79">
        <v>105.9</v>
      </c>
      <c r="S1036" s="79">
        <v>108.1909</v>
      </c>
      <c r="T1036" s="79">
        <v>105.79689999999999</v>
      </c>
      <c r="U1036" s="79">
        <v>138.4385</v>
      </c>
      <c r="V1036" s="79">
        <v>73.706140000000005</v>
      </c>
      <c r="W1036" s="79">
        <v>56.967449999999999</v>
      </c>
      <c r="X1036" s="79">
        <v>39.536720000000003</v>
      </c>
      <c r="Y1036" s="79">
        <v>72.224819999999994</v>
      </c>
      <c r="Z1036" s="79">
        <v>121.0899</v>
      </c>
      <c r="AA1036" s="79">
        <v>108.7968</v>
      </c>
      <c r="AB1036" s="79">
        <v>65.165570000000002</v>
      </c>
      <c r="AC1036" s="79">
        <v>108.79089999999999</v>
      </c>
      <c r="AD1036" s="79">
        <v>83.4</v>
      </c>
      <c r="AE1036" s="79">
        <v>95.843029999999999</v>
      </c>
      <c r="AF1036" s="79">
        <v>97.59187</v>
      </c>
      <c r="AG1036" s="79">
        <v>114.0419</v>
      </c>
      <c r="AH1036" s="79">
        <v>92.087919999999997</v>
      </c>
      <c r="AI1036" s="79">
        <v>58.7</v>
      </c>
      <c r="AJ1036" s="79">
        <v>125.0338</v>
      </c>
      <c r="AK1036" s="79">
        <v>51.308549999999997</v>
      </c>
      <c r="AL1036" s="79">
        <v>88.207350000000005</v>
      </c>
      <c r="AM1036" s="79">
        <v>109.9</v>
      </c>
      <c r="AN1036" s="79"/>
      <c r="AO1036" s="79">
        <v>95.384450000000001</v>
      </c>
      <c r="AP1036" s="79">
        <v>97.983670000000004</v>
      </c>
      <c r="AQ1036" s="79"/>
      <c r="AR1036" s="79"/>
      <c r="AS1036" s="79"/>
      <c r="AT1036" s="79">
        <v>58.822029999999998</v>
      </c>
      <c r="AU1036" s="79"/>
      <c r="AV1036" s="79">
        <v>74.918279999999996</v>
      </c>
      <c r="AW1036" s="79"/>
      <c r="AX1036" s="79">
        <v>57.095239999999997</v>
      </c>
      <c r="AY1036" s="79">
        <v>97.109830000000002</v>
      </c>
    </row>
    <row r="1037" spans="1:51" x14ac:dyDescent="0.2">
      <c r="A1037" t="s">
        <v>1582</v>
      </c>
      <c r="B1037" s="1">
        <v>38443</v>
      </c>
      <c r="C1037" s="78">
        <v>1037</v>
      </c>
      <c r="E1037" s="1">
        <f t="shared" si="32"/>
        <v>38443</v>
      </c>
      <c r="F1037" s="2">
        <f t="shared" si="33"/>
        <v>38443</v>
      </c>
      <c r="G1037" s="78">
        <v>1035</v>
      </c>
      <c r="H1037" s="79"/>
      <c r="I1037" s="79"/>
      <c r="J1037" s="79">
        <v>83.893010000000004</v>
      </c>
      <c r="K1037" s="79">
        <v>99.092269999999999</v>
      </c>
      <c r="L1037" s="79"/>
      <c r="M1037" s="79">
        <v>78.986840000000001</v>
      </c>
      <c r="N1037" s="79">
        <v>84.792929999999998</v>
      </c>
      <c r="O1037" s="79">
        <v>119.8</v>
      </c>
      <c r="P1037" s="79">
        <v>127.5711</v>
      </c>
      <c r="Q1037" s="79"/>
      <c r="R1037" s="79">
        <v>107.4</v>
      </c>
      <c r="S1037" s="79">
        <v>110.9609</v>
      </c>
      <c r="T1037" s="79">
        <v>107.6657</v>
      </c>
      <c r="U1037" s="79">
        <v>138.5384</v>
      </c>
      <c r="V1037" s="79">
        <v>76.406360000000006</v>
      </c>
      <c r="W1037" s="79">
        <v>59.52178</v>
      </c>
      <c r="X1037" s="79">
        <v>39.731769999999997</v>
      </c>
      <c r="Y1037" s="79">
        <v>74.004679999999993</v>
      </c>
      <c r="Z1037" s="79">
        <v>123.4897</v>
      </c>
      <c r="AA1037" s="79">
        <v>109.2315</v>
      </c>
      <c r="AB1037" s="79">
        <v>64.475620000000006</v>
      </c>
      <c r="AC1037" s="79">
        <v>110.3908</v>
      </c>
      <c r="AD1037" s="79">
        <v>85.5</v>
      </c>
      <c r="AE1037" s="79">
        <v>96.139750000000006</v>
      </c>
      <c r="AF1037" s="79">
        <v>99.891679999999994</v>
      </c>
      <c r="AG1037" s="79">
        <v>122.5368</v>
      </c>
      <c r="AH1037" s="79">
        <v>92.967849999999999</v>
      </c>
      <c r="AI1037" s="79">
        <v>60.7</v>
      </c>
      <c r="AJ1037" s="79">
        <v>127.6602</v>
      </c>
      <c r="AK1037" s="79">
        <v>53.108849999999997</v>
      </c>
      <c r="AL1037" s="79">
        <v>88.707390000000004</v>
      </c>
      <c r="AM1037" s="79">
        <v>107</v>
      </c>
      <c r="AN1037" s="79"/>
      <c r="AO1037" s="79">
        <v>95.545150000000007</v>
      </c>
      <c r="AP1037" s="79">
        <v>99.383439999999993</v>
      </c>
      <c r="AQ1037" s="79"/>
      <c r="AR1037" s="79"/>
      <c r="AS1037" s="79"/>
      <c r="AT1037" s="79">
        <v>56.346600000000002</v>
      </c>
      <c r="AU1037" s="79"/>
      <c r="AV1037" s="79">
        <v>75.875860000000003</v>
      </c>
      <c r="AW1037" s="79"/>
      <c r="AX1037" s="79">
        <v>57.695189999999997</v>
      </c>
      <c r="AY1037" s="79">
        <v>97.219920000000002</v>
      </c>
    </row>
    <row r="1038" spans="1:51" x14ac:dyDescent="0.2">
      <c r="A1038" t="s">
        <v>1583</v>
      </c>
      <c r="B1038" s="1">
        <v>38473</v>
      </c>
      <c r="C1038" s="78">
        <v>1038</v>
      </c>
      <c r="E1038" s="1">
        <f t="shared" si="32"/>
        <v>38473</v>
      </c>
      <c r="F1038" s="2">
        <f t="shared" si="33"/>
        <v>38473</v>
      </c>
      <c r="G1038" s="78">
        <v>1036</v>
      </c>
      <c r="H1038" s="79"/>
      <c r="I1038" s="79"/>
      <c r="J1038" s="79">
        <v>81.393219999999999</v>
      </c>
      <c r="K1038" s="79">
        <v>99.931510000000003</v>
      </c>
      <c r="L1038" s="79"/>
      <c r="M1038" s="79">
        <v>77.986999999999995</v>
      </c>
      <c r="N1038" s="79">
        <v>83.693020000000004</v>
      </c>
      <c r="O1038" s="79">
        <v>117.6</v>
      </c>
      <c r="P1038" s="79">
        <v>126.3151</v>
      </c>
      <c r="Q1038" s="79"/>
      <c r="R1038" s="79">
        <v>100.3</v>
      </c>
      <c r="S1038" s="79">
        <v>109.73090000000001</v>
      </c>
      <c r="T1038" s="79">
        <v>107.9772</v>
      </c>
      <c r="U1038" s="79">
        <v>141.53489999999999</v>
      </c>
      <c r="V1038" s="79">
        <v>77.306439999999995</v>
      </c>
      <c r="W1038" s="79">
        <v>59.34357</v>
      </c>
      <c r="X1038" s="79">
        <v>40.677799999999998</v>
      </c>
      <c r="Y1038" s="79">
        <v>73.536299999999997</v>
      </c>
      <c r="Z1038" s="79">
        <v>120.7899</v>
      </c>
      <c r="AA1038" s="79">
        <v>108.36199999999999</v>
      </c>
      <c r="AB1038" s="79">
        <v>64.474620000000002</v>
      </c>
      <c r="AC1038" s="79">
        <v>111.5907</v>
      </c>
      <c r="AD1038" s="79">
        <v>86.3</v>
      </c>
      <c r="AE1038" s="79">
        <v>97.795360000000002</v>
      </c>
      <c r="AF1038" s="79">
        <v>98.491789999999995</v>
      </c>
      <c r="AG1038" s="79">
        <v>119.6276</v>
      </c>
      <c r="AH1038" s="79">
        <v>92.507159999999999</v>
      </c>
      <c r="AI1038" s="79">
        <v>59.8</v>
      </c>
      <c r="AJ1038" s="79">
        <v>121.3617</v>
      </c>
      <c r="AK1038" s="79">
        <v>52.70879</v>
      </c>
      <c r="AL1038" s="79">
        <v>90.407529999999994</v>
      </c>
      <c r="AM1038" s="79">
        <v>107.5</v>
      </c>
      <c r="AN1038" s="79"/>
      <c r="AO1038" s="79">
        <v>95.669920000000005</v>
      </c>
      <c r="AP1038" s="79">
        <v>98.083659999999995</v>
      </c>
      <c r="AQ1038" s="79"/>
      <c r="AR1038" s="79"/>
      <c r="AS1038" s="79"/>
      <c r="AT1038" s="79">
        <v>56.704279999999997</v>
      </c>
      <c r="AU1038" s="79"/>
      <c r="AV1038" s="79">
        <v>74.175539999999998</v>
      </c>
      <c r="AW1038" s="79"/>
      <c r="AX1038" s="79">
        <v>58.195149999999998</v>
      </c>
      <c r="AY1038" s="79">
        <v>100.523</v>
      </c>
    </row>
    <row r="1039" spans="1:51" x14ac:dyDescent="0.2">
      <c r="A1039" t="s">
        <v>1584</v>
      </c>
      <c r="B1039" s="1">
        <v>38504</v>
      </c>
      <c r="C1039" s="78">
        <v>1039</v>
      </c>
      <c r="E1039" s="1">
        <f t="shared" si="32"/>
        <v>38504</v>
      </c>
      <c r="F1039" s="2">
        <f t="shared" si="33"/>
        <v>38504</v>
      </c>
      <c r="G1039" s="78">
        <v>1037</v>
      </c>
      <c r="H1039" s="79"/>
      <c r="I1039" s="79"/>
      <c r="J1039" s="79">
        <v>83.09308</v>
      </c>
      <c r="K1039" s="79">
        <v>99.271249999999995</v>
      </c>
      <c r="L1039" s="79"/>
      <c r="M1039" s="79">
        <v>79.286789999999996</v>
      </c>
      <c r="N1039" s="79">
        <v>85.492869999999996</v>
      </c>
      <c r="O1039" s="79">
        <v>116.8</v>
      </c>
      <c r="P1039" s="79">
        <v>126.8871</v>
      </c>
      <c r="Q1039" s="79"/>
      <c r="R1039" s="79">
        <v>97.7</v>
      </c>
      <c r="S1039" s="79">
        <v>109.6709</v>
      </c>
      <c r="T1039" s="79">
        <v>108.081</v>
      </c>
      <c r="U1039" s="79">
        <v>137.9391</v>
      </c>
      <c r="V1039" s="79">
        <v>75.606300000000005</v>
      </c>
      <c r="W1039" s="79">
        <v>59.937600000000003</v>
      </c>
      <c r="X1039" s="79">
        <v>41.484279999999998</v>
      </c>
      <c r="Y1039" s="79">
        <v>73.067920000000001</v>
      </c>
      <c r="Z1039" s="79">
        <v>120.7899</v>
      </c>
      <c r="AA1039" s="79">
        <v>108.7968</v>
      </c>
      <c r="AB1039" s="79">
        <v>65.316559999999996</v>
      </c>
      <c r="AC1039" s="79">
        <v>113.3905</v>
      </c>
      <c r="AD1039" s="79">
        <v>87.6</v>
      </c>
      <c r="AE1039" s="79">
        <v>95.975710000000007</v>
      </c>
      <c r="AF1039" s="79">
        <v>100.69159999999999</v>
      </c>
      <c r="AG1039" s="79">
        <v>113.9255</v>
      </c>
      <c r="AH1039" s="79">
        <v>92.910240000000002</v>
      </c>
      <c r="AI1039" s="79">
        <v>61.1</v>
      </c>
      <c r="AJ1039" s="79">
        <v>126.25020000000001</v>
      </c>
      <c r="AK1039" s="79">
        <v>52.808799999999998</v>
      </c>
      <c r="AL1039" s="79">
        <v>91.407619999999994</v>
      </c>
      <c r="AM1039" s="79">
        <v>111.2</v>
      </c>
      <c r="AN1039" s="79"/>
      <c r="AO1039" s="79">
        <v>96.036829999999995</v>
      </c>
      <c r="AP1039" s="79">
        <v>98.983509999999995</v>
      </c>
      <c r="AQ1039" s="79"/>
      <c r="AR1039" s="79"/>
      <c r="AS1039" s="79"/>
      <c r="AT1039" s="79">
        <v>57.679029999999997</v>
      </c>
      <c r="AU1039" s="79"/>
      <c r="AV1039" s="79">
        <v>76.734089999999995</v>
      </c>
      <c r="AW1039" s="79"/>
      <c r="AX1039" s="79">
        <v>57.995170000000002</v>
      </c>
      <c r="AY1039" s="79">
        <v>98.541150000000002</v>
      </c>
    </row>
    <row r="1040" spans="1:51" x14ac:dyDescent="0.2">
      <c r="A1040" t="s">
        <v>1585</v>
      </c>
      <c r="B1040" s="1">
        <v>38534</v>
      </c>
      <c r="C1040" s="78">
        <v>1040</v>
      </c>
      <c r="E1040" s="1">
        <f t="shared" si="32"/>
        <v>38534</v>
      </c>
      <c r="F1040" s="2">
        <f t="shared" si="33"/>
        <v>38534</v>
      </c>
      <c r="G1040" s="78">
        <v>1038</v>
      </c>
      <c r="H1040" s="79"/>
      <c r="I1040" s="79"/>
      <c r="J1040" s="79">
        <v>82.193150000000003</v>
      </c>
      <c r="K1040" s="79">
        <v>99.558570000000003</v>
      </c>
      <c r="L1040" s="79"/>
      <c r="M1040" s="79">
        <v>79.386769999999999</v>
      </c>
      <c r="N1040" s="79">
        <v>86.792770000000004</v>
      </c>
      <c r="O1040" s="79">
        <v>110.5</v>
      </c>
      <c r="P1040" s="79">
        <v>127.1131</v>
      </c>
      <c r="Q1040" s="79"/>
      <c r="R1040" s="79">
        <v>105.4</v>
      </c>
      <c r="S1040" s="79">
        <v>109.32089999999999</v>
      </c>
      <c r="T1040" s="79">
        <v>107.56189999999999</v>
      </c>
      <c r="U1040" s="79">
        <v>138.5384</v>
      </c>
      <c r="V1040" s="79">
        <v>76.306359999999998</v>
      </c>
      <c r="W1040" s="79">
        <v>57.79909</v>
      </c>
      <c r="X1040" s="79">
        <v>41.973529999999997</v>
      </c>
      <c r="Y1040" s="79">
        <v>73.161590000000004</v>
      </c>
      <c r="Z1040" s="79">
        <v>122.4898</v>
      </c>
      <c r="AA1040" s="79">
        <v>108.1446</v>
      </c>
      <c r="AB1040" s="79">
        <v>65.771519999999995</v>
      </c>
      <c r="AC1040" s="79">
        <v>123.08969999999999</v>
      </c>
      <c r="AD1040" s="79">
        <v>88.3</v>
      </c>
      <c r="AE1040" s="79">
        <v>94.361919999999998</v>
      </c>
      <c r="AF1040" s="79">
        <v>98.991749999999996</v>
      </c>
      <c r="AG1040" s="79">
        <v>113.9255</v>
      </c>
      <c r="AH1040" s="79">
        <v>92.877250000000004</v>
      </c>
      <c r="AI1040" s="79">
        <v>61.5</v>
      </c>
      <c r="AJ1040" s="79">
        <v>123.1249</v>
      </c>
      <c r="AK1040" s="79">
        <v>54.109020000000001</v>
      </c>
      <c r="AL1040" s="79">
        <v>94.307860000000005</v>
      </c>
      <c r="AM1040" s="79">
        <v>111.9</v>
      </c>
      <c r="AN1040" s="79"/>
      <c r="AO1040" s="79">
        <v>95.733220000000003</v>
      </c>
      <c r="AP1040" s="79">
        <v>99.483419999999995</v>
      </c>
      <c r="AQ1040" s="79"/>
      <c r="AR1040" s="79"/>
      <c r="AS1040" s="79"/>
      <c r="AT1040" s="79">
        <v>56.627090000000003</v>
      </c>
      <c r="AU1040" s="79"/>
      <c r="AV1040" s="79">
        <v>76.531490000000005</v>
      </c>
      <c r="AW1040" s="79"/>
      <c r="AX1040" s="79">
        <v>59.295059999999999</v>
      </c>
      <c r="AY1040" s="79">
        <v>97.880539999999996</v>
      </c>
    </row>
    <row r="1041" spans="1:51" x14ac:dyDescent="0.2">
      <c r="A1041" t="s">
        <v>1586</v>
      </c>
      <c r="B1041" s="1">
        <v>38565</v>
      </c>
      <c r="C1041" s="78">
        <v>1041</v>
      </c>
      <c r="E1041" s="1">
        <f t="shared" si="32"/>
        <v>38565</v>
      </c>
      <c r="F1041" s="2">
        <f t="shared" si="33"/>
        <v>38565</v>
      </c>
      <c r="G1041" s="78">
        <v>1039</v>
      </c>
      <c r="H1041" s="79"/>
      <c r="I1041" s="79"/>
      <c r="J1041" s="79">
        <v>81.693190000000001</v>
      </c>
      <c r="K1041" s="79">
        <v>100.4174</v>
      </c>
      <c r="L1041" s="79"/>
      <c r="M1041" s="79">
        <v>80.186639999999997</v>
      </c>
      <c r="N1041" s="79">
        <v>84.29298</v>
      </c>
      <c r="O1041" s="79">
        <v>116.6</v>
      </c>
      <c r="P1041" s="79">
        <v>128.3921</v>
      </c>
      <c r="Q1041" s="79"/>
      <c r="R1041" s="79">
        <v>106.3</v>
      </c>
      <c r="S1041" s="79">
        <v>108.7109</v>
      </c>
      <c r="T1041" s="79">
        <v>106.7313</v>
      </c>
      <c r="U1041" s="79">
        <v>140.536</v>
      </c>
      <c r="V1041" s="79">
        <v>75.706310000000002</v>
      </c>
      <c r="W1041" s="79">
        <v>59.81879</v>
      </c>
      <c r="X1041" s="79">
        <v>43.065730000000002</v>
      </c>
      <c r="Y1041" s="79">
        <v>73.442620000000005</v>
      </c>
      <c r="Z1041" s="79">
        <v>121.5899</v>
      </c>
      <c r="AA1041" s="79">
        <v>108.1446</v>
      </c>
      <c r="AB1041" s="79">
        <v>65.835509999999999</v>
      </c>
      <c r="AC1041" s="79">
        <v>117.1902</v>
      </c>
      <c r="AD1041" s="79">
        <v>87.1</v>
      </c>
      <c r="AE1041" s="79">
        <v>97.052199999999999</v>
      </c>
      <c r="AF1041" s="79">
        <v>97.39188</v>
      </c>
      <c r="AG1041" s="79">
        <v>117.7657</v>
      </c>
      <c r="AH1041" s="79">
        <v>92.932850000000002</v>
      </c>
      <c r="AI1041" s="79">
        <v>62</v>
      </c>
      <c r="AJ1041" s="79">
        <v>116.4388</v>
      </c>
      <c r="AK1041" s="79">
        <v>52.808799999999998</v>
      </c>
      <c r="AL1041" s="79">
        <v>88.007329999999996</v>
      </c>
      <c r="AM1041" s="79">
        <v>107.2</v>
      </c>
      <c r="AN1041" s="79"/>
      <c r="AO1041" s="79">
        <v>95.996679999999998</v>
      </c>
      <c r="AP1041" s="79">
        <v>98.383610000000004</v>
      </c>
      <c r="AQ1041" s="79"/>
      <c r="AR1041" s="79"/>
      <c r="AS1041" s="79"/>
      <c r="AT1041" s="79">
        <v>58.05697</v>
      </c>
      <c r="AU1041" s="79"/>
      <c r="AV1041" s="79">
        <v>76.544650000000004</v>
      </c>
      <c r="AW1041" s="79"/>
      <c r="AX1041" s="79">
        <v>60.294980000000002</v>
      </c>
      <c r="AY1041" s="79">
        <v>98.100750000000005</v>
      </c>
    </row>
    <row r="1042" spans="1:51" x14ac:dyDescent="0.2">
      <c r="A1042" t="s">
        <v>1587</v>
      </c>
      <c r="B1042" s="1">
        <v>38596</v>
      </c>
      <c r="C1042" s="78">
        <v>1042</v>
      </c>
      <c r="E1042" s="1">
        <f t="shared" si="32"/>
        <v>38596</v>
      </c>
      <c r="F1042" s="2">
        <f t="shared" si="33"/>
        <v>38596</v>
      </c>
      <c r="G1042" s="78">
        <v>1040</v>
      </c>
      <c r="H1042" s="79"/>
      <c r="I1042" s="79"/>
      <c r="J1042" s="79">
        <v>83.893010000000004</v>
      </c>
      <c r="K1042" s="79">
        <v>100.5942</v>
      </c>
      <c r="L1042" s="79"/>
      <c r="M1042" s="79">
        <v>80.386600000000001</v>
      </c>
      <c r="N1042" s="79">
        <v>86.692769999999996</v>
      </c>
      <c r="O1042" s="79">
        <v>119.5</v>
      </c>
      <c r="P1042" s="79">
        <v>127.6831</v>
      </c>
      <c r="Q1042" s="79"/>
      <c r="R1042" s="79">
        <v>107</v>
      </c>
      <c r="S1042" s="79">
        <v>111.4909</v>
      </c>
      <c r="T1042" s="79">
        <v>106.2122</v>
      </c>
      <c r="U1042" s="79">
        <v>143.13300000000001</v>
      </c>
      <c r="V1042" s="79">
        <v>77.506460000000004</v>
      </c>
      <c r="W1042" s="79">
        <v>59.046550000000003</v>
      </c>
      <c r="X1042" s="79">
        <v>44.074860000000001</v>
      </c>
      <c r="Y1042" s="79">
        <v>73.911010000000005</v>
      </c>
      <c r="Z1042" s="79">
        <v>122.0898</v>
      </c>
      <c r="AA1042" s="79">
        <v>109.0141</v>
      </c>
      <c r="AB1042" s="79">
        <v>66.741439999999997</v>
      </c>
      <c r="AC1042" s="79">
        <v>118.9901</v>
      </c>
      <c r="AD1042" s="79">
        <v>88.5</v>
      </c>
      <c r="AE1042" s="79">
        <v>97.035539999999997</v>
      </c>
      <c r="AF1042" s="79">
        <v>97.39188</v>
      </c>
      <c r="AG1042" s="79">
        <v>120.20950000000001</v>
      </c>
      <c r="AH1042" s="79">
        <v>93.029399999999995</v>
      </c>
      <c r="AI1042" s="79">
        <v>62.6</v>
      </c>
      <c r="AJ1042" s="79">
        <v>122.7792</v>
      </c>
      <c r="AK1042" s="79">
        <v>53.008830000000003</v>
      </c>
      <c r="AL1042" s="79">
        <v>91.307609999999997</v>
      </c>
      <c r="AM1042" s="79">
        <v>111</v>
      </c>
      <c r="AN1042" s="79"/>
      <c r="AO1042" s="79">
        <v>94.204759999999993</v>
      </c>
      <c r="AP1042" s="79">
        <v>99.683390000000003</v>
      </c>
      <c r="AQ1042" s="79"/>
      <c r="AR1042" s="79"/>
      <c r="AS1042" s="79"/>
      <c r="AT1042" s="79">
        <v>57.789859999999997</v>
      </c>
      <c r="AU1042" s="79"/>
      <c r="AV1042" s="79">
        <v>77.262739999999994</v>
      </c>
      <c r="AW1042" s="79"/>
      <c r="AX1042" s="79">
        <v>60.99492</v>
      </c>
      <c r="AY1042" s="79">
        <v>97.109830000000002</v>
      </c>
    </row>
    <row r="1043" spans="1:51" x14ac:dyDescent="0.2">
      <c r="A1043" t="s">
        <v>1588</v>
      </c>
      <c r="B1043" s="1">
        <v>38626</v>
      </c>
      <c r="C1043" s="78">
        <v>1043</v>
      </c>
      <c r="E1043" s="1">
        <f t="shared" si="32"/>
        <v>38626</v>
      </c>
      <c r="F1043" s="2">
        <f t="shared" si="33"/>
        <v>38626</v>
      </c>
      <c r="G1043" s="78">
        <v>1041</v>
      </c>
      <c r="H1043" s="79"/>
      <c r="I1043" s="79"/>
      <c r="J1043" s="79">
        <v>82.793099999999995</v>
      </c>
      <c r="K1043" s="79">
        <v>100.67740000000001</v>
      </c>
      <c r="L1043" s="79"/>
      <c r="M1043" s="79">
        <v>81.18647</v>
      </c>
      <c r="N1043" s="79">
        <v>88.392629999999997</v>
      </c>
      <c r="O1043" s="79">
        <v>113.8</v>
      </c>
      <c r="P1043" s="79">
        <v>126.68210000000001</v>
      </c>
      <c r="Q1043" s="79"/>
      <c r="R1043" s="79">
        <v>110.7</v>
      </c>
      <c r="S1043" s="79">
        <v>108.2109</v>
      </c>
      <c r="T1043" s="79">
        <v>106.1083</v>
      </c>
      <c r="U1043" s="79">
        <v>141.435</v>
      </c>
      <c r="V1043" s="79">
        <v>78.906580000000005</v>
      </c>
      <c r="W1043" s="79">
        <v>60.056399999999996</v>
      </c>
      <c r="X1043" s="79">
        <v>45.345829999999999</v>
      </c>
      <c r="Y1043" s="79">
        <v>74.004679999999993</v>
      </c>
      <c r="Z1043" s="79">
        <v>122.2898</v>
      </c>
      <c r="AA1043" s="79">
        <v>108.0359</v>
      </c>
      <c r="AB1043" s="79">
        <v>67.382390000000001</v>
      </c>
      <c r="AC1043" s="79">
        <v>116.7903</v>
      </c>
      <c r="AD1043" s="79">
        <v>89.5</v>
      </c>
      <c r="AE1043" s="79">
        <v>96.901560000000003</v>
      </c>
      <c r="AF1043" s="79">
        <v>95.492040000000003</v>
      </c>
      <c r="AG1043" s="79">
        <v>116.1365</v>
      </c>
      <c r="AH1043" s="79">
        <v>93.438109999999995</v>
      </c>
      <c r="AI1043" s="79">
        <v>64.3</v>
      </c>
      <c r="AJ1043" s="79">
        <v>121.4611</v>
      </c>
      <c r="AK1043" s="79">
        <v>54.209029999999998</v>
      </c>
      <c r="AL1043" s="79">
        <v>93.007750000000001</v>
      </c>
      <c r="AM1043" s="79">
        <v>111.8</v>
      </c>
      <c r="AN1043" s="79"/>
      <c r="AO1043" s="79">
        <v>95.392910000000001</v>
      </c>
      <c r="AP1043" s="79">
        <v>99.883349999999993</v>
      </c>
      <c r="AQ1043" s="79"/>
      <c r="AR1043" s="79"/>
      <c r="AS1043" s="79"/>
      <c r="AT1043" s="79">
        <v>59.032139999999998</v>
      </c>
      <c r="AU1043" s="79"/>
      <c r="AV1043" s="79">
        <v>77.115359999999995</v>
      </c>
      <c r="AW1043" s="79"/>
      <c r="AX1043" s="79">
        <v>61.99483</v>
      </c>
      <c r="AY1043" s="79">
        <v>96.55932</v>
      </c>
    </row>
    <row r="1044" spans="1:51" x14ac:dyDescent="0.2">
      <c r="A1044" t="s">
        <v>1589</v>
      </c>
      <c r="B1044" s="1">
        <v>38657</v>
      </c>
      <c r="C1044" s="78">
        <v>1044</v>
      </c>
      <c r="E1044" s="1">
        <f t="shared" si="32"/>
        <v>38657</v>
      </c>
      <c r="F1044" s="2">
        <f t="shared" si="33"/>
        <v>38657</v>
      </c>
      <c r="G1044" s="78">
        <v>1042</v>
      </c>
      <c r="H1044" s="79"/>
      <c r="I1044" s="79"/>
      <c r="J1044" s="79">
        <v>87.792689999999993</v>
      </c>
      <c r="K1044" s="79">
        <v>101.4479</v>
      </c>
      <c r="L1044" s="79"/>
      <c r="M1044" s="79">
        <v>82.386269999999996</v>
      </c>
      <c r="N1044" s="79">
        <v>87.392719999999997</v>
      </c>
      <c r="O1044" s="79">
        <v>112.9</v>
      </c>
      <c r="P1044" s="79">
        <v>128.56909999999999</v>
      </c>
      <c r="Q1044" s="79"/>
      <c r="R1044" s="79">
        <v>108.2</v>
      </c>
      <c r="S1044" s="79">
        <v>112.5509</v>
      </c>
      <c r="T1044" s="79">
        <v>107.35420000000001</v>
      </c>
      <c r="U1044" s="79">
        <v>141.7346</v>
      </c>
      <c r="V1044" s="79">
        <v>78.606549999999999</v>
      </c>
      <c r="W1044" s="79">
        <v>68.254009999999994</v>
      </c>
      <c r="X1044" s="79">
        <v>48.716990000000003</v>
      </c>
      <c r="Y1044" s="79">
        <v>75.690860000000001</v>
      </c>
      <c r="Z1044" s="79">
        <v>123.58969999999999</v>
      </c>
      <c r="AA1044" s="79">
        <v>110.2097</v>
      </c>
      <c r="AB1044" s="79">
        <v>70.301140000000004</v>
      </c>
      <c r="AC1044" s="79">
        <v>115.49039999999999</v>
      </c>
      <c r="AD1044" s="79">
        <v>90.1</v>
      </c>
      <c r="AE1044" s="79">
        <v>98.745940000000004</v>
      </c>
      <c r="AF1044" s="79">
        <v>99.891679999999994</v>
      </c>
      <c r="AG1044" s="79">
        <v>117.4166</v>
      </c>
      <c r="AH1044" s="79">
        <v>94.720500000000001</v>
      </c>
      <c r="AI1044" s="79">
        <v>65.7</v>
      </c>
      <c r="AJ1044" s="79">
        <v>125.32089999999999</v>
      </c>
      <c r="AK1044" s="79">
        <v>54.909149999999997</v>
      </c>
      <c r="AL1044" s="79">
        <v>93.607799999999997</v>
      </c>
      <c r="AM1044" s="79">
        <v>109.7</v>
      </c>
      <c r="AN1044" s="79"/>
      <c r="AO1044" s="79">
        <v>96.359859999999998</v>
      </c>
      <c r="AP1044" s="79">
        <v>101.5831</v>
      </c>
      <c r="AQ1044" s="79"/>
      <c r="AR1044" s="79"/>
      <c r="AS1044" s="79"/>
      <c r="AT1044" s="79">
        <v>58.13843</v>
      </c>
      <c r="AU1044" s="79"/>
      <c r="AV1044" s="79">
        <v>78.267290000000003</v>
      </c>
      <c r="AW1044" s="79"/>
      <c r="AX1044" s="79">
        <v>62.19482</v>
      </c>
      <c r="AY1044" s="79">
        <v>97.550229999999999</v>
      </c>
    </row>
    <row r="1045" spans="1:51" x14ac:dyDescent="0.2">
      <c r="A1045" t="s">
        <v>1590</v>
      </c>
      <c r="B1045" s="1">
        <v>38687</v>
      </c>
      <c r="C1045" s="78">
        <v>1045</v>
      </c>
      <c r="E1045" s="1">
        <f t="shared" si="32"/>
        <v>38687</v>
      </c>
      <c r="F1045" s="2">
        <f t="shared" si="33"/>
        <v>38687</v>
      </c>
      <c r="G1045" s="78">
        <v>1043</v>
      </c>
      <c r="H1045" s="79"/>
      <c r="I1045" s="79"/>
      <c r="J1045" s="79">
        <v>90.39246</v>
      </c>
      <c r="K1045" s="79">
        <v>102.1277</v>
      </c>
      <c r="L1045" s="79"/>
      <c r="M1045" s="79">
        <v>82.286289999999994</v>
      </c>
      <c r="N1045" s="79">
        <v>87.192729999999997</v>
      </c>
      <c r="O1045" s="79">
        <v>117</v>
      </c>
      <c r="P1045" s="79">
        <v>129.9161</v>
      </c>
      <c r="Q1045" s="79"/>
      <c r="R1045" s="79">
        <v>111</v>
      </c>
      <c r="S1045" s="79">
        <v>111.23090000000001</v>
      </c>
      <c r="T1045" s="79">
        <v>108.2886</v>
      </c>
      <c r="U1045" s="79">
        <v>139.0378</v>
      </c>
      <c r="V1045" s="79">
        <v>78.706559999999996</v>
      </c>
      <c r="W1045" s="79">
        <v>56.0764</v>
      </c>
      <c r="X1045" s="79">
        <v>52.267699999999998</v>
      </c>
      <c r="Y1045" s="79">
        <v>75.409840000000003</v>
      </c>
      <c r="Z1045" s="79">
        <v>121.7898</v>
      </c>
      <c r="AA1045" s="79">
        <v>110.6444</v>
      </c>
      <c r="AB1045" s="79">
        <v>68.777270000000001</v>
      </c>
      <c r="AC1045" s="79">
        <v>115.79040000000001</v>
      </c>
      <c r="AD1045" s="79">
        <v>90.2</v>
      </c>
      <c r="AE1045" s="79">
        <v>99.842259999999996</v>
      </c>
      <c r="AF1045" s="79">
        <v>100.0917</v>
      </c>
      <c r="AG1045" s="79">
        <v>116.602</v>
      </c>
      <c r="AH1045" s="79">
        <v>94.835530000000006</v>
      </c>
      <c r="AI1045" s="79">
        <v>66.900000000000006</v>
      </c>
      <c r="AJ1045" s="79">
        <v>122.9208</v>
      </c>
      <c r="AK1045" s="79">
        <v>58.209699999999998</v>
      </c>
      <c r="AL1045" s="79">
        <v>95.40795</v>
      </c>
      <c r="AM1045" s="79">
        <v>109.4</v>
      </c>
      <c r="AN1045" s="79"/>
      <c r="AO1045" s="79">
        <v>96.957380000000001</v>
      </c>
      <c r="AP1045" s="79">
        <v>100.4833</v>
      </c>
      <c r="AQ1045" s="79"/>
      <c r="AR1045" s="79"/>
      <c r="AS1045" s="79"/>
      <c r="AT1045" s="79">
        <v>60.267200000000003</v>
      </c>
      <c r="AU1045" s="79"/>
      <c r="AV1045" s="79">
        <v>78.776660000000007</v>
      </c>
      <c r="AW1045" s="79"/>
      <c r="AX1045" s="79">
        <v>61.59487</v>
      </c>
      <c r="AY1045" s="79">
        <v>99.532070000000004</v>
      </c>
    </row>
    <row r="1046" spans="1:51" x14ac:dyDescent="0.2">
      <c r="A1046" t="s">
        <v>1591</v>
      </c>
      <c r="B1046" s="1">
        <v>38718</v>
      </c>
      <c r="C1046" s="78">
        <v>1046</v>
      </c>
      <c r="E1046" s="1">
        <f t="shared" si="32"/>
        <v>38718</v>
      </c>
      <c r="F1046" s="2">
        <f t="shared" si="33"/>
        <v>38718</v>
      </c>
      <c r="G1046" s="78">
        <v>1044</v>
      </c>
      <c r="H1046" s="79"/>
      <c r="I1046" s="79"/>
      <c r="J1046" s="79">
        <v>86.192819999999998</v>
      </c>
      <c r="K1046" s="79">
        <v>101.69750000000001</v>
      </c>
      <c r="L1046" s="79"/>
      <c r="M1046" s="79">
        <v>83.886020000000002</v>
      </c>
      <c r="N1046" s="79">
        <v>87.692700000000002</v>
      </c>
      <c r="O1046" s="79">
        <v>118.8</v>
      </c>
      <c r="P1046" s="79">
        <v>130.46010000000001</v>
      </c>
      <c r="Q1046" s="79"/>
      <c r="R1046" s="79">
        <v>119.7</v>
      </c>
      <c r="S1046" s="79">
        <v>110.5209</v>
      </c>
      <c r="T1046" s="79">
        <v>108.7039</v>
      </c>
      <c r="U1046" s="79">
        <v>137.63939999999999</v>
      </c>
      <c r="V1046" s="79">
        <v>79.206599999999995</v>
      </c>
      <c r="W1046" s="79">
        <v>62.967149999999997</v>
      </c>
      <c r="X1046" s="79">
        <v>48.141480000000001</v>
      </c>
      <c r="Y1046" s="79">
        <v>75.222480000000004</v>
      </c>
      <c r="Z1046" s="79">
        <v>122.2898</v>
      </c>
      <c r="AA1046" s="79">
        <v>110.9705</v>
      </c>
      <c r="AB1046" s="79">
        <v>71.16507</v>
      </c>
      <c r="AC1046" s="79">
        <v>116.7903</v>
      </c>
      <c r="AD1046" s="79">
        <v>90.3</v>
      </c>
      <c r="AE1046" s="79">
        <v>99.994479999999996</v>
      </c>
      <c r="AF1046" s="79">
        <v>99.691699999999997</v>
      </c>
      <c r="AG1046" s="79">
        <v>115.9038</v>
      </c>
      <c r="AH1046" s="79">
        <v>95.151979999999995</v>
      </c>
      <c r="AI1046" s="79">
        <v>65.099999999999994</v>
      </c>
      <c r="AJ1046" s="79">
        <v>119.6206</v>
      </c>
      <c r="AK1046" s="79">
        <v>57.709620000000001</v>
      </c>
      <c r="AL1046" s="79">
        <v>93.907830000000004</v>
      </c>
      <c r="AM1046" s="79">
        <v>112.7</v>
      </c>
      <c r="AN1046" s="79"/>
      <c r="AO1046" s="79">
        <v>97.071690000000004</v>
      </c>
      <c r="AP1046" s="79">
        <v>101.2831</v>
      </c>
      <c r="AQ1046" s="79"/>
      <c r="AR1046" s="79"/>
      <c r="AS1046" s="79"/>
      <c r="AT1046" s="79">
        <v>61.259639999999997</v>
      </c>
      <c r="AU1046" s="79"/>
      <c r="AV1046" s="79">
        <v>78.2</v>
      </c>
      <c r="AW1046" s="79"/>
      <c r="AX1046" s="79">
        <v>62.094830000000002</v>
      </c>
      <c r="AY1046" s="79">
        <v>99.972470000000001</v>
      </c>
    </row>
    <row r="1047" spans="1:51" x14ac:dyDescent="0.2">
      <c r="A1047" t="s">
        <v>1592</v>
      </c>
      <c r="B1047" s="1">
        <v>38749</v>
      </c>
      <c r="C1047" s="78">
        <v>1047</v>
      </c>
      <c r="E1047" s="1">
        <f t="shared" si="32"/>
        <v>38749</v>
      </c>
      <c r="F1047" s="2">
        <f t="shared" si="33"/>
        <v>38749</v>
      </c>
      <c r="G1047" s="78">
        <v>1045</v>
      </c>
      <c r="H1047" s="79"/>
      <c r="I1047" s="79"/>
      <c r="J1047" s="79">
        <v>88.092659999999995</v>
      </c>
      <c r="K1047" s="79">
        <v>101.4588</v>
      </c>
      <c r="L1047" s="79"/>
      <c r="M1047" s="79">
        <v>82.486249999999998</v>
      </c>
      <c r="N1047" s="79">
        <v>88.19265</v>
      </c>
      <c r="O1047" s="79">
        <v>120.7</v>
      </c>
      <c r="P1047" s="79">
        <v>130.4701</v>
      </c>
      <c r="Q1047" s="79"/>
      <c r="R1047" s="79">
        <v>117.4</v>
      </c>
      <c r="S1047" s="79">
        <v>109.76090000000001</v>
      </c>
      <c r="T1047" s="79">
        <v>108.081</v>
      </c>
      <c r="U1047" s="79">
        <v>141.63480000000001</v>
      </c>
      <c r="V1047" s="79">
        <v>79.906660000000002</v>
      </c>
      <c r="W1047" s="79">
        <v>53.937899999999999</v>
      </c>
      <c r="X1047" s="79">
        <v>41.925379999999997</v>
      </c>
      <c r="Y1047" s="79">
        <v>76.627629999999996</v>
      </c>
      <c r="Z1047" s="79">
        <v>124.5896</v>
      </c>
      <c r="AA1047" s="79">
        <v>110.7531</v>
      </c>
      <c r="AB1047" s="79">
        <v>70.099159999999998</v>
      </c>
      <c r="AC1047" s="79">
        <v>113.9905</v>
      </c>
      <c r="AD1047" s="79">
        <v>91.7</v>
      </c>
      <c r="AE1047" s="79">
        <v>99.095569999999995</v>
      </c>
      <c r="AF1047" s="79">
        <v>101.0916</v>
      </c>
      <c r="AG1047" s="79">
        <v>115.4383</v>
      </c>
      <c r="AH1047" s="79">
        <v>95.072879999999998</v>
      </c>
      <c r="AI1047" s="79">
        <v>66.2</v>
      </c>
      <c r="AJ1047" s="79">
        <v>118.8112</v>
      </c>
      <c r="AK1047" s="79">
        <v>56.309379999999997</v>
      </c>
      <c r="AL1047" s="79">
        <v>92.907749999999993</v>
      </c>
      <c r="AM1047" s="79">
        <v>110.6</v>
      </c>
      <c r="AN1047" s="79"/>
      <c r="AO1047" s="79">
        <v>97.075720000000004</v>
      </c>
      <c r="AP1047" s="79">
        <v>101.2831</v>
      </c>
      <c r="AQ1047" s="79"/>
      <c r="AR1047" s="79"/>
      <c r="AS1047" s="79"/>
      <c r="AT1047" s="79">
        <v>61.559539999999998</v>
      </c>
      <c r="AU1047" s="79"/>
      <c r="AV1047" s="79">
        <v>78.900000000000006</v>
      </c>
      <c r="AW1047" s="79"/>
      <c r="AX1047" s="79">
        <v>62.494790000000002</v>
      </c>
      <c r="AY1047" s="79">
        <v>100.6331</v>
      </c>
    </row>
    <row r="1048" spans="1:51" x14ac:dyDescent="0.2">
      <c r="A1048" t="s">
        <v>1593</v>
      </c>
      <c r="B1048" s="1">
        <v>38777</v>
      </c>
      <c r="C1048" s="78">
        <v>1048</v>
      </c>
      <c r="E1048" s="1">
        <f t="shared" si="32"/>
        <v>38777</v>
      </c>
      <c r="F1048" s="2">
        <f t="shared" si="33"/>
        <v>38777</v>
      </c>
      <c r="G1048" s="78">
        <v>1046</v>
      </c>
      <c r="H1048" s="79"/>
      <c r="I1048" s="79"/>
      <c r="J1048" s="79">
        <v>87.592699999999994</v>
      </c>
      <c r="K1048" s="79">
        <v>101.6113</v>
      </c>
      <c r="L1048" s="79"/>
      <c r="M1048" s="79">
        <v>83.986000000000004</v>
      </c>
      <c r="N1048" s="79">
        <v>87.392719999999997</v>
      </c>
      <c r="O1048" s="79">
        <v>118.6</v>
      </c>
      <c r="P1048" s="79">
        <v>131.15010000000001</v>
      </c>
      <c r="Q1048" s="79"/>
      <c r="R1048" s="79">
        <v>115.4</v>
      </c>
      <c r="S1048" s="79">
        <v>111.79089999999999</v>
      </c>
      <c r="T1048" s="79">
        <v>108.49630000000001</v>
      </c>
      <c r="U1048" s="79">
        <v>145.13069999999999</v>
      </c>
      <c r="V1048" s="79">
        <v>82.806899999999999</v>
      </c>
      <c r="W1048" s="79">
        <v>59.81879</v>
      </c>
      <c r="X1048" s="79">
        <v>45.91892</v>
      </c>
      <c r="Y1048" s="79">
        <v>76.065569999999994</v>
      </c>
      <c r="Z1048" s="79">
        <v>125.1896</v>
      </c>
      <c r="AA1048" s="79">
        <v>111.514</v>
      </c>
      <c r="AB1048" s="79">
        <v>70.923090000000002</v>
      </c>
      <c r="AC1048" s="79">
        <v>114.1905</v>
      </c>
      <c r="AD1048" s="79">
        <v>91.6</v>
      </c>
      <c r="AE1048" s="79">
        <v>100.5759</v>
      </c>
      <c r="AF1048" s="79">
        <v>104.0913</v>
      </c>
      <c r="AG1048" s="79">
        <v>115.5547</v>
      </c>
      <c r="AH1048" s="79">
        <v>95.632019999999997</v>
      </c>
      <c r="AI1048" s="79">
        <v>66.7</v>
      </c>
      <c r="AJ1048" s="79">
        <v>123.9926</v>
      </c>
      <c r="AK1048" s="79">
        <v>59.4099</v>
      </c>
      <c r="AL1048" s="79">
        <v>91.407619999999994</v>
      </c>
      <c r="AM1048" s="79">
        <v>111.3</v>
      </c>
      <c r="AN1048" s="79"/>
      <c r="AO1048" s="79">
        <v>97.275700000000001</v>
      </c>
      <c r="AP1048" s="79">
        <v>101.983</v>
      </c>
      <c r="AQ1048" s="79"/>
      <c r="AR1048" s="79"/>
      <c r="AS1048" s="79"/>
      <c r="AT1048" s="79">
        <v>62.688659999999999</v>
      </c>
      <c r="AU1048" s="79"/>
      <c r="AV1048" s="79">
        <v>80.099999999999994</v>
      </c>
      <c r="AW1048" s="79"/>
      <c r="AX1048" s="79">
        <v>64.094660000000005</v>
      </c>
      <c r="AY1048" s="79">
        <v>99.862369999999999</v>
      </c>
    </row>
    <row r="1049" spans="1:51" x14ac:dyDescent="0.2">
      <c r="A1049" t="s">
        <v>1594</v>
      </c>
      <c r="B1049" s="1">
        <v>38808</v>
      </c>
      <c r="C1049" s="78">
        <v>1049</v>
      </c>
      <c r="E1049" s="1">
        <f t="shared" si="32"/>
        <v>38808</v>
      </c>
      <c r="F1049" s="2">
        <f t="shared" si="33"/>
        <v>38808</v>
      </c>
      <c r="G1049" s="78">
        <v>1047</v>
      </c>
      <c r="H1049" s="79"/>
      <c r="I1049" s="79"/>
      <c r="J1049" s="79">
        <v>88.392629999999997</v>
      </c>
      <c r="K1049" s="79">
        <v>100.9594</v>
      </c>
      <c r="L1049" s="79"/>
      <c r="M1049" s="79">
        <v>82.886179999999996</v>
      </c>
      <c r="N1049" s="79">
        <v>89.39255</v>
      </c>
      <c r="O1049" s="79">
        <v>118</v>
      </c>
      <c r="P1049" s="79">
        <v>129.96109999999999</v>
      </c>
      <c r="Q1049" s="79"/>
      <c r="R1049" s="79">
        <v>116.9</v>
      </c>
      <c r="S1049" s="79">
        <v>111.2209</v>
      </c>
      <c r="T1049" s="79">
        <v>107.9772</v>
      </c>
      <c r="U1049" s="79">
        <v>142.43379999999999</v>
      </c>
      <c r="V1049" s="79">
        <v>82.706890000000001</v>
      </c>
      <c r="W1049" s="79">
        <v>62.076099999999997</v>
      </c>
      <c r="X1049" s="79">
        <v>48.68441</v>
      </c>
      <c r="Y1049" s="79">
        <v>75.971890000000002</v>
      </c>
      <c r="Z1049" s="79">
        <v>124.08969999999999</v>
      </c>
      <c r="AA1049" s="79">
        <v>113.57899999999999</v>
      </c>
      <c r="AB1049" s="79">
        <v>70.69211</v>
      </c>
      <c r="AC1049" s="79">
        <v>112.7906</v>
      </c>
      <c r="AD1049" s="79">
        <v>91.7</v>
      </c>
      <c r="AE1049" s="79">
        <v>100.7448</v>
      </c>
      <c r="AF1049" s="79">
        <v>102.7914</v>
      </c>
      <c r="AG1049" s="79">
        <v>113.8092</v>
      </c>
      <c r="AH1049" s="79">
        <v>96.054140000000004</v>
      </c>
      <c r="AI1049" s="79">
        <v>67.7</v>
      </c>
      <c r="AJ1049" s="79">
        <v>116.8616</v>
      </c>
      <c r="AK1049" s="79">
        <v>58.909820000000003</v>
      </c>
      <c r="AL1049" s="79">
        <v>93.407780000000002</v>
      </c>
      <c r="AM1049" s="79">
        <v>112</v>
      </c>
      <c r="AN1049" s="79"/>
      <c r="AO1049" s="79">
        <v>97.665859999999995</v>
      </c>
      <c r="AP1049" s="79">
        <v>102.283</v>
      </c>
      <c r="AQ1049" s="79"/>
      <c r="AR1049" s="79"/>
      <c r="AS1049" s="79"/>
      <c r="AT1049" s="79">
        <v>62.049460000000003</v>
      </c>
      <c r="AU1049" s="79"/>
      <c r="AV1049" s="79">
        <v>80.3</v>
      </c>
      <c r="AW1049" s="79"/>
      <c r="AX1049" s="79">
        <v>63.594700000000003</v>
      </c>
      <c r="AY1049" s="79">
        <v>100.6331</v>
      </c>
    </row>
    <row r="1050" spans="1:51" x14ac:dyDescent="0.2">
      <c r="A1050" t="s">
        <v>1595</v>
      </c>
      <c r="B1050" s="1">
        <v>38838</v>
      </c>
      <c r="C1050" s="78">
        <v>1050</v>
      </c>
      <c r="E1050" s="1">
        <f t="shared" si="32"/>
        <v>38838</v>
      </c>
      <c r="F1050" s="2">
        <f t="shared" si="33"/>
        <v>38838</v>
      </c>
      <c r="G1050" s="78">
        <v>1048</v>
      </c>
      <c r="H1050" s="79"/>
      <c r="I1050" s="79"/>
      <c r="J1050" s="79">
        <v>89.59254</v>
      </c>
      <c r="K1050" s="79">
        <v>100.6126</v>
      </c>
      <c r="L1050" s="79"/>
      <c r="M1050" s="79">
        <v>86.385599999999997</v>
      </c>
      <c r="N1050" s="79">
        <v>90.692440000000005</v>
      </c>
      <c r="O1050" s="79">
        <v>122</v>
      </c>
      <c r="P1050" s="79">
        <v>131.8201</v>
      </c>
      <c r="Q1050" s="79"/>
      <c r="R1050" s="79">
        <v>114.5</v>
      </c>
      <c r="S1050" s="79">
        <v>113.01090000000001</v>
      </c>
      <c r="T1050" s="79">
        <v>107.9772</v>
      </c>
      <c r="U1050" s="79">
        <v>144.53139999999999</v>
      </c>
      <c r="V1050" s="79">
        <v>83.20693</v>
      </c>
      <c r="W1050" s="79">
        <v>65.937290000000004</v>
      </c>
      <c r="X1050" s="79">
        <v>50.937280000000001</v>
      </c>
      <c r="Y1050" s="79">
        <v>77.751750000000001</v>
      </c>
      <c r="Z1050" s="79">
        <v>126.9894</v>
      </c>
      <c r="AA1050" s="79">
        <v>111.84</v>
      </c>
      <c r="AB1050" s="79">
        <v>71.852010000000007</v>
      </c>
      <c r="AC1050" s="79">
        <v>118.0902</v>
      </c>
      <c r="AD1050" s="79">
        <v>91.1</v>
      </c>
      <c r="AE1050" s="79">
        <v>101.78449999999999</v>
      </c>
      <c r="AF1050" s="79">
        <v>99.691699999999997</v>
      </c>
      <c r="AG1050" s="79">
        <v>115.4383</v>
      </c>
      <c r="AH1050" s="79">
        <v>96.481870000000001</v>
      </c>
      <c r="AI1050" s="79">
        <v>69.599999999999994</v>
      </c>
      <c r="AJ1050" s="79">
        <v>124.34059999999999</v>
      </c>
      <c r="AK1050" s="79">
        <v>60.210030000000003</v>
      </c>
      <c r="AL1050" s="79">
        <v>97.408119999999997</v>
      </c>
      <c r="AM1050" s="79">
        <v>114.2</v>
      </c>
      <c r="AN1050" s="79"/>
      <c r="AO1050" s="79">
        <v>97.567599999999999</v>
      </c>
      <c r="AP1050" s="79">
        <v>103.78270000000001</v>
      </c>
      <c r="AQ1050" s="79"/>
      <c r="AR1050" s="79"/>
      <c r="AS1050" s="79"/>
      <c r="AT1050" s="79">
        <v>62.77037</v>
      </c>
      <c r="AU1050" s="79"/>
      <c r="AV1050" s="79">
        <v>80.8</v>
      </c>
      <c r="AW1050" s="79"/>
      <c r="AX1050" s="79">
        <v>64.094660000000005</v>
      </c>
      <c r="AY1050" s="79">
        <v>101.51390000000001</v>
      </c>
    </row>
    <row r="1051" spans="1:51" x14ac:dyDescent="0.2">
      <c r="A1051" t="s">
        <v>1596</v>
      </c>
      <c r="B1051" s="1">
        <v>38869</v>
      </c>
      <c r="C1051" s="78">
        <v>1051</v>
      </c>
      <c r="E1051" s="1">
        <f t="shared" si="32"/>
        <v>38869</v>
      </c>
      <c r="F1051" s="2">
        <f t="shared" si="33"/>
        <v>38869</v>
      </c>
      <c r="G1051" s="78">
        <v>1049</v>
      </c>
      <c r="H1051" s="79"/>
      <c r="I1051" s="79"/>
      <c r="J1051" s="79">
        <v>89.692530000000005</v>
      </c>
      <c r="K1051" s="79">
        <v>100.07680000000001</v>
      </c>
      <c r="L1051" s="79"/>
      <c r="M1051" s="79">
        <v>86.085660000000004</v>
      </c>
      <c r="N1051" s="79">
        <v>90.192480000000003</v>
      </c>
      <c r="O1051" s="79">
        <v>121.3</v>
      </c>
      <c r="P1051" s="79">
        <v>132.49209999999999</v>
      </c>
      <c r="Q1051" s="79"/>
      <c r="R1051" s="79">
        <v>120.4</v>
      </c>
      <c r="S1051" s="79">
        <v>112.82089999999999</v>
      </c>
      <c r="T1051" s="79">
        <v>108.8078</v>
      </c>
      <c r="U1051" s="79">
        <v>142.9332</v>
      </c>
      <c r="V1051" s="79">
        <v>85.007090000000005</v>
      </c>
      <c r="W1051" s="79">
        <v>62.49192</v>
      </c>
      <c r="X1051" s="79">
        <v>53.169699999999999</v>
      </c>
      <c r="Y1051" s="79">
        <v>79.625290000000007</v>
      </c>
      <c r="Z1051" s="79">
        <v>127.38939999999999</v>
      </c>
      <c r="AA1051" s="79">
        <v>113.3616</v>
      </c>
      <c r="AB1051" s="79">
        <v>71.199070000000006</v>
      </c>
      <c r="AC1051" s="79">
        <v>115.49039999999999</v>
      </c>
      <c r="AD1051" s="79">
        <v>92.5</v>
      </c>
      <c r="AE1051" s="79">
        <v>101.6048</v>
      </c>
      <c r="AF1051" s="79">
        <v>102.0915</v>
      </c>
      <c r="AG1051" s="79">
        <v>116.2529</v>
      </c>
      <c r="AH1051" s="79">
        <v>96.765280000000004</v>
      </c>
      <c r="AI1051" s="79">
        <v>70.099999999999994</v>
      </c>
      <c r="AJ1051" s="79">
        <v>123.9045</v>
      </c>
      <c r="AK1051" s="79">
        <v>61.810299999999998</v>
      </c>
      <c r="AL1051" s="79">
        <v>93.607799999999997</v>
      </c>
      <c r="AM1051" s="79">
        <v>112</v>
      </c>
      <c r="AN1051" s="79"/>
      <c r="AO1051" s="79">
        <v>97.942480000000003</v>
      </c>
      <c r="AP1051" s="79">
        <v>103.6827</v>
      </c>
      <c r="AQ1051" s="79"/>
      <c r="AR1051" s="79"/>
      <c r="AS1051" s="79"/>
      <c r="AT1051" s="79">
        <v>62.887549999999997</v>
      </c>
      <c r="AU1051" s="79"/>
      <c r="AV1051" s="79">
        <v>80.900000000000006</v>
      </c>
      <c r="AW1051" s="79"/>
      <c r="AX1051" s="79">
        <v>64.494630000000001</v>
      </c>
      <c r="AY1051" s="79">
        <v>99.752269999999996</v>
      </c>
    </row>
    <row r="1052" spans="1:51" x14ac:dyDescent="0.2">
      <c r="A1052" t="s">
        <v>1597</v>
      </c>
      <c r="B1052" s="1">
        <v>38899</v>
      </c>
      <c r="C1052" s="78">
        <v>1052</v>
      </c>
      <c r="E1052" s="1">
        <f t="shared" si="32"/>
        <v>38899</v>
      </c>
      <c r="F1052" s="2">
        <f t="shared" si="33"/>
        <v>38899</v>
      </c>
      <c r="G1052" s="78">
        <v>1050</v>
      </c>
      <c r="H1052" s="79"/>
      <c r="I1052" s="79"/>
      <c r="J1052" s="79">
        <v>88.092659999999995</v>
      </c>
      <c r="K1052" s="79">
        <v>100.11660000000001</v>
      </c>
      <c r="L1052" s="79"/>
      <c r="M1052" s="79">
        <v>85.985669999999999</v>
      </c>
      <c r="N1052" s="79">
        <v>91.792349999999999</v>
      </c>
      <c r="O1052" s="79">
        <v>118.6</v>
      </c>
      <c r="P1052" s="79">
        <v>131.68809999999999</v>
      </c>
      <c r="Q1052" s="79"/>
      <c r="R1052" s="79">
        <v>119</v>
      </c>
      <c r="S1052" s="79">
        <v>111.26090000000001</v>
      </c>
      <c r="T1052" s="79">
        <v>107.8733</v>
      </c>
      <c r="U1052" s="79">
        <v>138.83799999999999</v>
      </c>
      <c r="V1052" s="79">
        <v>85.507130000000004</v>
      </c>
      <c r="W1052" s="79">
        <v>61.83849</v>
      </c>
      <c r="X1052" s="79">
        <v>55.206650000000003</v>
      </c>
      <c r="Y1052" s="79">
        <v>78.313820000000007</v>
      </c>
      <c r="Z1052" s="79">
        <v>125.5895</v>
      </c>
      <c r="AA1052" s="79">
        <v>113.79640000000001</v>
      </c>
      <c r="AB1052" s="79">
        <v>67.575370000000007</v>
      </c>
      <c r="AC1052" s="79">
        <v>118.4901</v>
      </c>
      <c r="AD1052" s="79">
        <v>92.1</v>
      </c>
      <c r="AE1052" s="79">
        <v>101.2221</v>
      </c>
      <c r="AF1052" s="79">
        <v>99.491709999999998</v>
      </c>
      <c r="AG1052" s="79">
        <v>114.27460000000001</v>
      </c>
      <c r="AH1052" s="79">
        <v>96.605909999999994</v>
      </c>
      <c r="AI1052" s="79">
        <v>70.7</v>
      </c>
      <c r="AJ1052" s="79">
        <v>125.2501</v>
      </c>
      <c r="AK1052" s="79">
        <v>63.110520000000001</v>
      </c>
      <c r="AL1052" s="79">
        <v>98.908240000000006</v>
      </c>
      <c r="AM1052" s="79">
        <v>109.5</v>
      </c>
      <c r="AN1052" s="79"/>
      <c r="AO1052" s="79">
        <v>97.906559999999999</v>
      </c>
      <c r="AP1052" s="79">
        <v>103.48269999999999</v>
      </c>
      <c r="AQ1052" s="79"/>
      <c r="AR1052" s="79"/>
      <c r="AS1052" s="79"/>
      <c r="AT1052" s="79">
        <v>65.039190000000005</v>
      </c>
      <c r="AU1052" s="79"/>
      <c r="AV1052" s="79">
        <v>81.400000000000006</v>
      </c>
      <c r="AW1052" s="79"/>
      <c r="AX1052" s="79">
        <v>64.394630000000006</v>
      </c>
      <c r="AY1052" s="79">
        <v>100.8533</v>
      </c>
    </row>
    <row r="1053" spans="1:51" x14ac:dyDescent="0.2">
      <c r="A1053" t="s">
        <v>1598</v>
      </c>
      <c r="B1053" s="1">
        <v>38930</v>
      </c>
      <c r="C1053" s="78">
        <v>1053</v>
      </c>
      <c r="E1053" s="1">
        <f t="shared" si="32"/>
        <v>38930</v>
      </c>
      <c r="F1053" s="2">
        <f t="shared" si="33"/>
        <v>38930</v>
      </c>
      <c r="G1053" s="78">
        <v>1051</v>
      </c>
      <c r="H1053" s="79"/>
      <c r="I1053" s="79"/>
      <c r="J1053" s="79">
        <v>87.492710000000002</v>
      </c>
      <c r="K1053" s="79">
        <v>99.405010000000004</v>
      </c>
      <c r="L1053" s="79"/>
      <c r="M1053" s="79">
        <v>85.685720000000003</v>
      </c>
      <c r="N1053" s="79">
        <v>92.392300000000006</v>
      </c>
      <c r="O1053" s="79">
        <v>119.6</v>
      </c>
      <c r="P1053" s="79">
        <v>131.6611</v>
      </c>
      <c r="Q1053" s="79"/>
      <c r="R1053" s="79">
        <v>116</v>
      </c>
      <c r="S1053" s="79">
        <v>110.51090000000001</v>
      </c>
      <c r="T1053" s="79">
        <v>108.7039</v>
      </c>
      <c r="U1053" s="79">
        <v>142.53370000000001</v>
      </c>
      <c r="V1053" s="79">
        <v>82.006839999999997</v>
      </c>
      <c r="W1053" s="79">
        <v>61.66028</v>
      </c>
      <c r="X1053" s="79">
        <v>58.298789999999997</v>
      </c>
      <c r="Y1053" s="79">
        <v>80.562060000000002</v>
      </c>
      <c r="Z1053" s="79">
        <v>127.18940000000001</v>
      </c>
      <c r="AA1053" s="79">
        <v>114.1225</v>
      </c>
      <c r="AB1053" s="79">
        <v>72.414959999999994</v>
      </c>
      <c r="AC1053" s="79">
        <v>116.69029999999999</v>
      </c>
      <c r="AD1053" s="79">
        <v>93.7</v>
      </c>
      <c r="AE1053" s="79">
        <v>102.05110000000001</v>
      </c>
      <c r="AF1053" s="79">
        <v>99.091740000000001</v>
      </c>
      <c r="AG1053" s="79">
        <v>113.8092</v>
      </c>
      <c r="AH1053" s="79">
        <v>97.19014</v>
      </c>
      <c r="AI1053" s="79">
        <v>70.3</v>
      </c>
      <c r="AJ1053" s="79">
        <v>125.2076</v>
      </c>
      <c r="AK1053" s="79">
        <v>64.610770000000002</v>
      </c>
      <c r="AL1053" s="79">
        <v>96.208020000000005</v>
      </c>
      <c r="AM1053" s="79">
        <v>111.7</v>
      </c>
      <c r="AN1053" s="79"/>
      <c r="AO1053" s="79">
        <v>98.291529999999995</v>
      </c>
      <c r="AP1053" s="79">
        <v>103.78270000000001</v>
      </c>
      <c r="AQ1053" s="79"/>
      <c r="AR1053" s="79"/>
      <c r="AS1053" s="79"/>
      <c r="AT1053" s="79">
        <v>63.901000000000003</v>
      </c>
      <c r="AU1053" s="79"/>
      <c r="AV1053" s="79">
        <v>82.8</v>
      </c>
      <c r="AW1053" s="79"/>
      <c r="AX1053" s="79">
        <v>64.194649999999996</v>
      </c>
      <c r="AY1053" s="79">
        <v>100.6331</v>
      </c>
    </row>
    <row r="1054" spans="1:51" x14ac:dyDescent="0.2">
      <c r="A1054" t="s">
        <v>1599</v>
      </c>
      <c r="B1054" s="1">
        <v>38961</v>
      </c>
      <c r="C1054" s="78">
        <v>1054</v>
      </c>
      <c r="E1054" s="1">
        <f t="shared" si="32"/>
        <v>38961</v>
      </c>
      <c r="F1054" s="2">
        <f t="shared" si="33"/>
        <v>38961</v>
      </c>
      <c r="G1054" s="78">
        <v>1052</v>
      </c>
      <c r="H1054" s="79"/>
      <c r="I1054" s="79"/>
      <c r="J1054" s="79">
        <v>89.692530000000005</v>
      </c>
      <c r="K1054" s="79">
        <v>97.774410000000003</v>
      </c>
      <c r="L1054" s="79"/>
      <c r="M1054" s="79">
        <v>87.585400000000007</v>
      </c>
      <c r="N1054" s="79">
        <v>92.292310000000001</v>
      </c>
      <c r="O1054" s="79">
        <v>115</v>
      </c>
      <c r="P1054" s="79">
        <v>132.83009999999999</v>
      </c>
      <c r="Q1054" s="79"/>
      <c r="R1054" s="79">
        <v>116.1</v>
      </c>
      <c r="S1054" s="79">
        <v>112.2109</v>
      </c>
      <c r="T1054" s="79">
        <v>108.91160000000001</v>
      </c>
      <c r="U1054" s="79">
        <v>139.53720000000001</v>
      </c>
      <c r="V1054" s="79">
        <v>85.307109999999994</v>
      </c>
      <c r="W1054" s="79">
        <v>62.0167</v>
      </c>
      <c r="X1054" s="79">
        <v>53.310690000000001</v>
      </c>
      <c r="Y1054" s="79">
        <v>80.936769999999996</v>
      </c>
      <c r="Z1054" s="79">
        <v>126.9894</v>
      </c>
      <c r="AA1054" s="79">
        <v>114.0138</v>
      </c>
      <c r="AB1054" s="79">
        <v>73.881839999999997</v>
      </c>
      <c r="AC1054" s="79">
        <v>120.8899</v>
      </c>
      <c r="AD1054" s="79">
        <v>93.9</v>
      </c>
      <c r="AE1054" s="79">
        <v>101.8977</v>
      </c>
      <c r="AF1054" s="79">
        <v>97.091909999999999</v>
      </c>
      <c r="AG1054" s="79">
        <v>112.99460000000001</v>
      </c>
      <c r="AH1054" s="79">
        <v>97.295069999999996</v>
      </c>
      <c r="AI1054" s="79">
        <v>71.400000000000006</v>
      </c>
      <c r="AJ1054" s="79">
        <v>124.35</v>
      </c>
      <c r="AK1054" s="79">
        <v>64.110690000000005</v>
      </c>
      <c r="AL1054" s="79">
        <v>97.508129999999994</v>
      </c>
      <c r="AM1054" s="79">
        <v>113.9</v>
      </c>
      <c r="AN1054" s="79"/>
      <c r="AO1054" s="79">
        <v>98.092230000000001</v>
      </c>
      <c r="AP1054" s="79">
        <v>103.8827</v>
      </c>
      <c r="AQ1054" s="79"/>
      <c r="AR1054" s="79"/>
      <c r="AS1054" s="79"/>
      <c r="AT1054" s="79">
        <v>65.578209999999999</v>
      </c>
      <c r="AU1054" s="79"/>
      <c r="AV1054" s="79">
        <v>83.1</v>
      </c>
      <c r="AW1054" s="79"/>
      <c r="AX1054" s="79">
        <v>64.194649999999996</v>
      </c>
      <c r="AY1054" s="79">
        <v>99.421970000000002</v>
      </c>
    </row>
    <row r="1055" spans="1:51" x14ac:dyDescent="0.2">
      <c r="A1055" t="s">
        <v>1600</v>
      </c>
      <c r="B1055" s="1">
        <v>38991</v>
      </c>
      <c r="C1055" s="78">
        <v>1055</v>
      </c>
      <c r="E1055" s="1">
        <f t="shared" si="32"/>
        <v>38991</v>
      </c>
      <c r="F1055" s="2">
        <f t="shared" si="33"/>
        <v>38991</v>
      </c>
      <c r="G1055" s="78">
        <v>1053</v>
      </c>
      <c r="H1055" s="79"/>
      <c r="I1055" s="79"/>
      <c r="J1055" s="79">
        <v>91.592370000000003</v>
      </c>
      <c r="K1055" s="79">
        <v>97.581249999999997</v>
      </c>
      <c r="L1055" s="79"/>
      <c r="M1055" s="79">
        <v>87.185469999999995</v>
      </c>
      <c r="N1055" s="79">
        <v>92.092320000000001</v>
      </c>
      <c r="O1055" s="79">
        <v>121</v>
      </c>
      <c r="P1055" s="79">
        <v>131.81710000000001</v>
      </c>
      <c r="Q1055" s="79"/>
      <c r="R1055" s="79">
        <v>115.3</v>
      </c>
      <c r="S1055" s="79">
        <v>111.3109</v>
      </c>
      <c r="T1055" s="79">
        <v>108.49630000000001</v>
      </c>
      <c r="U1055" s="79">
        <v>142.23410000000001</v>
      </c>
      <c r="V1055" s="79">
        <v>87.407290000000003</v>
      </c>
      <c r="W1055" s="79">
        <v>59.878189999999996</v>
      </c>
      <c r="X1055" s="79">
        <v>48.924909999999997</v>
      </c>
      <c r="Y1055" s="79">
        <v>81.873540000000006</v>
      </c>
      <c r="Z1055" s="79">
        <v>127.18940000000001</v>
      </c>
      <c r="AA1055" s="79">
        <v>114.4485</v>
      </c>
      <c r="AB1055" s="79">
        <v>76.318640000000002</v>
      </c>
      <c r="AC1055" s="79">
        <v>117.6902</v>
      </c>
      <c r="AD1055" s="79">
        <v>93.2</v>
      </c>
      <c r="AE1055" s="79">
        <v>101.15989999999999</v>
      </c>
      <c r="AF1055" s="79">
        <v>97.091909999999999</v>
      </c>
      <c r="AG1055" s="79">
        <v>110.8999</v>
      </c>
      <c r="AH1055" s="79">
        <v>97.518360000000001</v>
      </c>
      <c r="AI1055" s="79">
        <v>71.7</v>
      </c>
      <c r="AJ1055" s="79">
        <v>123.9894</v>
      </c>
      <c r="AK1055" s="79">
        <v>64.110690000000005</v>
      </c>
      <c r="AL1055" s="79">
        <v>98.808239999999998</v>
      </c>
      <c r="AM1055" s="79">
        <v>114.9</v>
      </c>
      <c r="AN1055" s="79"/>
      <c r="AO1055" s="79">
        <v>98.03613</v>
      </c>
      <c r="AP1055" s="79">
        <v>103.5827</v>
      </c>
      <c r="AQ1055" s="79"/>
      <c r="AR1055" s="79"/>
      <c r="AS1055" s="79"/>
      <c r="AT1055" s="79">
        <v>64.425939999999997</v>
      </c>
      <c r="AU1055" s="79"/>
      <c r="AV1055" s="79">
        <v>83.8</v>
      </c>
      <c r="AW1055" s="79"/>
      <c r="AX1055" s="79">
        <v>64.594620000000006</v>
      </c>
      <c r="AY1055" s="79">
        <v>99.972470000000001</v>
      </c>
    </row>
    <row r="1056" spans="1:51" x14ac:dyDescent="0.2">
      <c r="A1056" t="s">
        <v>1601</v>
      </c>
      <c r="B1056" s="1">
        <v>39022</v>
      </c>
      <c r="C1056" s="78">
        <v>1056</v>
      </c>
      <c r="E1056" s="1">
        <f t="shared" si="32"/>
        <v>39022</v>
      </c>
      <c r="F1056" s="2">
        <f t="shared" si="33"/>
        <v>39022</v>
      </c>
      <c r="G1056" s="78">
        <v>1054</v>
      </c>
      <c r="H1056" s="79"/>
      <c r="I1056" s="79"/>
      <c r="J1056" s="79">
        <v>90.892430000000004</v>
      </c>
      <c r="K1056" s="79">
        <v>97.50367</v>
      </c>
      <c r="L1056" s="79"/>
      <c r="M1056" s="79">
        <v>88.985169999999997</v>
      </c>
      <c r="N1056" s="79">
        <v>93.692189999999997</v>
      </c>
      <c r="O1056" s="79">
        <v>120</v>
      </c>
      <c r="P1056" s="79">
        <v>133.6241</v>
      </c>
      <c r="Q1056" s="79"/>
      <c r="R1056" s="79">
        <v>116.3</v>
      </c>
      <c r="S1056" s="79">
        <v>110.68089999999999</v>
      </c>
      <c r="T1056" s="79">
        <v>108.91160000000001</v>
      </c>
      <c r="U1056" s="79">
        <v>137.73929999999999</v>
      </c>
      <c r="V1056" s="79">
        <v>87.707310000000007</v>
      </c>
      <c r="W1056" s="79">
        <v>59.81879</v>
      </c>
      <c r="X1056" s="79">
        <v>49.06241</v>
      </c>
      <c r="Y1056" s="79">
        <v>84.402810000000002</v>
      </c>
      <c r="Z1056" s="79">
        <v>127.38939999999999</v>
      </c>
      <c r="AA1056" s="79">
        <v>115.5354</v>
      </c>
      <c r="AB1056" s="79">
        <v>75.366720000000001</v>
      </c>
      <c r="AC1056" s="79">
        <v>120.7899</v>
      </c>
      <c r="AD1056" s="79">
        <v>92.2</v>
      </c>
      <c r="AE1056" s="79">
        <v>101.1641</v>
      </c>
      <c r="AF1056" s="79">
        <v>100.8916</v>
      </c>
      <c r="AG1056" s="79">
        <v>110.66719999999999</v>
      </c>
      <c r="AH1056" s="79">
        <v>97.835759999999993</v>
      </c>
      <c r="AI1056" s="79">
        <v>71.599999999999994</v>
      </c>
      <c r="AJ1056" s="79">
        <v>125.98690000000001</v>
      </c>
      <c r="AK1056" s="79">
        <v>65.110860000000002</v>
      </c>
      <c r="AL1056" s="79">
        <v>100.80840000000001</v>
      </c>
      <c r="AM1056" s="79">
        <v>115.3</v>
      </c>
      <c r="AN1056" s="79"/>
      <c r="AO1056" s="79">
        <v>97.941999999999993</v>
      </c>
      <c r="AP1056" s="79">
        <v>104.5826</v>
      </c>
      <c r="AQ1056" s="79"/>
      <c r="AR1056" s="79"/>
      <c r="AS1056" s="79"/>
      <c r="AT1056" s="79">
        <v>70.022549999999995</v>
      </c>
      <c r="AU1056" s="79"/>
      <c r="AV1056" s="79">
        <v>83.4</v>
      </c>
      <c r="AW1056" s="79"/>
      <c r="AX1056" s="79">
        <v>64.294640000000001</v>
      </c>
      <c r="AY1056" s="79">
        <v>101.4038</v>
      </c>
    </row>
    <row r="1057" spans="1:51" x14ac:dyDescent="0.2">
      <c r="A1057" t="s">
        <v>1602</v>
      </c>
      <c r="B1057" s="1">
        <v>39052</v>
      </c>
      <c r="C1057" s="78">
        <v>1057</v>
      </c>
      <c r="E1057" s="1">
        <f t="shared" si="32"/>
        <v>39052</v>
      </c>
      <c r="F1057" s="2">
        <f t="shared" si="33"/>
        <v>39052</v>
      </c>
      <c r="G1057" s="78">
        <v>1055</v>
      </c>
      <c r="H1057" s="79"/>
      <c r="I1057" s="79"/>
      <c r="J1057" s="79">
        <v>94.892089999999996</v>
      </c>
      <c r="K1057" s="79">
        <v>98.504769999999994</v>
      </c>
      <c r="L1057" s="79"/>
      <c r="M1057" s="79">
        <v>90.084980000000002</v>
      </c>
      <c r="N1057" s="79">
        <v>94.592119999999994</v>
      </c>
      <c r="O1057" s="79">
        <v>122.1</v>
      </c>
      <c r="P1057" s="79">
        <v>136.3391</v>
      </c>
      <c r="Q1057" s="79"/>
      <c r="R1057" s="79">
        <v>113.9</v>
      </c>
      <c r="S1057" s="79">
        <v>112.5309</v>
      </c>
      <c r="T1057" s="79">
        <v>108.1848</v>
      </c>
      <c r="U1057" s="79">
        <v>142.3339</v>
      </c>
      <c r="V1057" s="79">
        <v>90.107510000000005</v>
      </c>
      <c r="W1057" s="79">
        <v>63.679989999999997</v>
      </c>
      <c r="X1057" s="79">
        <v>49.145569999999999</v>
      </c>
      <c r="Y1057" s="79">
        <v>82.997659999999996</v>
      </c>
      <c r="Z1057" s="79">
        <v>129.38919999999999</v>
      </c>
      <c r="AA1057" s="79">
        <v>115.64409999999999</v>
      </c>
      <c r="AB1057" s="79">
        <v>72.633949999999999</v>
      </c>
      <c r="AC1057" s="79">
        <v>118.1901</v>
      </c>
      <c r="AD1057" s="79">
        <v>95.6</v>
      </c>
      <c r="AE1057" s="79">
        <v>100.7298</v>
      </c>
      <c r="AF1057" s="79">
        <v>101.5915</v>
      </c>
      <c r="AG1057" s="79">
        <v>114.6237</v>
      </c>
      <c r="AH1057" s="79">
        <v>98.58614</v>
      </c>
      <c r="AI1057" s="79">
        <v>75</v>
      </c>
      <c r="AJ1057" s="79">
        <v>130.0419</v>
      </c>
      <c r="AK1057" s="79">
        <v>65.910989999999998</v>
      </c>
      <c r="AL1057" s="79">
        <v>103.7086</v>
      </c>
      <c r="AM1057" s="79">
        <v>119.4</v>
      </c>
      <c r="AN1057" s="79"/>
      <c r="AO1057" s="79">
        <v>98.960530000000006</v>
      </c>
      <c r="AP1057" s="79">
        <v>106.0823</v>
      </c>
      <c r="AQ1057" s="79"/>
      <c r="AR1057" s="79"/>
      <c r="AS1057" s="79"/>
      <c r="AT1057" s="79">
        <v>68.873990000000006</v>
      </c>
      <c r="AU1057" s="79"/>
      <c r="AV1057" s="79">
        <v>84</v>
      </c>
      <c r="AW1057" s="79"/>
      <c r="AX1057" s="79">
        <v>66.69444</v>
      </c>
      <c r="AY1057" s="79">
        <v>102.72499999999999</v>
      </c>
    </row>
    <row r="1058" spans="1:51" x14ac:dyDescent="0.2">
      <c r="A1058" t="s">
        <v>1603</v>
      </c>
      <c r="B1058" s="1">
        <v>39083</v>
      </c>
      <c r="C1058" s="78">
        <v>1058</v>
      </c>
      <c r="E1058" s="1">
        <f t="shared" si="32"/>
        <v>39083</v>
      </c>
      <c r="F1058" s="2">
        <f t="shared" si="33"/>
        <v>39083</v>
      </c>
      <c r="G1058" s="78">
        <v>1056</v>
      </c>
      <c r="H1058" s="79"/>
      <c r="I1058" s="79"/>
      <c r="J1058" s="79">
        <v>93.992159999999998</v>
      </c>
      <c r="K1058" s="79">
        <v>98.077520000000007</v>
      </c>
      <c r="L1058" s="79"/>
      <c r="M1058" s="79">
        <v>93.984340000000003</v>
      </c>
      <c r="N1058" s="79">
        <v>95.092079999999996</v>
      </c>
      <c r="O1058" s="79">
        <v>116.5</v>
      </c>
      <c r="P1058" s="79">
        <v>134.5641</v>
      </c>
      <c r="Q1058" s="79"/>
      <c r="R1058" s="79">
        <v>119.7</v>
      </c>
      <c r="S1058" s="79">
        <v>111.3009</v>
      </c>
      <c r="T1058" s="79">
        <v>109.7422</v>
      </c>
      <c r="U1058" s="79">
        <v>149.62540000000001</v>
      </c>
      <c r="V1058" s="79">
        <v>88.007329999999996</v>
      </c>
      <c r="W1058" s="79">
        <v>63.501779999999997</v>
      </c>
      <c r="X1058" s="79">
        <v>52.028269999999999</v>
      </c>
      <c r="Y1058" s="79">
        <v>82.435599999999994</v>
      </c>
      <c r="Z1058" s="79">
        <v>128.1893</v>
      </c>
      <c r="AA1058" s="79">
        <v>114.4485</v>
      </c>
      <c r="AB1058" s="79">
        <v>73.129909999999995</v>
      </c>
      <c r="AC1058" s="79">
        <v>120.98990000000001</v>
      </c>
      <c r="AD1058" s="79">
        <v>94.3</v>
      </c>
      <c r="AE1058" s="79">
        <v>101.0669</v>
      </c>
      <c r="AF1058" s="79">
        <v>101.2916</v>
      </c>
      <c r="AG1058" s="79">
        <v>112.87820000000001</v>
      </c>
      <c r="AH1058" s="79">
        <v>98.350200000000001</v>
      </c>
      <c r="AI1058" s="79">
        <v>74.400000000000006</v>
      </c>
      <c r="AJ1058" s="79">
        <v>126.0536</v>
      </c>
      <c r="AK1058" s="79">
        <v>68.911479999999997</v>
      </c>
      <c r="AL1058" s="79">
        <v>102.4085</v>
      </c>
      <c r="AM1058" s="79">
        <v>116.5</v>
      </c>
      <c r="AN1058" s="79"/>
      <c r="AO1058" s="79">
        <v>98.445790000000002</v>
      </c>
      <c r="AP1058" s="79">
        <v>105.6824</v>
      </c>
      <c r="AQ1058" s="79"/>
      <c r="AR1058" s="79"/>
      <c r="AS1058" s="79"/>
      <c r="AT1058" s="79">
        <v>69.788139999999999</v>
      </c>
      <c r="AU1058" s="79"/>
      <c r="AV1058" s="79">
        <v>85.6</v>
      </c>
      <c r="AW1058" s="79"/>
      <c r="AX1058" s="79">
        <v>69.394220000000004</v>
      </c>
      <c r="AY1058" s="79">
        <v>102.06440000000001</v>
      </c>
    </row>
    <row r="1059" spans="1:51" x14ac:dyDescent="0.2">
      <c r="A1059" t="s">
        <v>1604</v>
      </c>
      <c r="B1059" s="1">
        <v>39114</v>
      </c>
      <c r="C1059" s="78">
        <v>1059</v>
      </c>
      <c r="E1059" s="1">
        <f t="shared" si="32"/>
        <v>39114</v>
      </c>
      <c r="F1059" s="2">
        <f t="shared" si="33"/>
        <v>39114</v>
      </c>
      <c r="G1059" s="78">
        <v>1057</v>
      </c>
      <c r="H1059" s="79"/>
      <c r="I1059" s="79"/>
      <c r="J1059" s="79">
        <v>93.792180000000002</v>
      </c>
      <c r="K1059" s="79">
        <v>99.131320000000002</v>
      </c>
      <c r="L1059" s="79"/>
      <c r="M1059" s="79">
        <v>93.584400000000002</v>
      </c>
      <c r="N1059" s="79">
        <v>95.492040000000003</v>
      </c>
      <c r="O1059" s="79">
        <v>118.6</v>
      </c>
      <c r="P1059" s="79">
        <v>134.29810000000001</v>
      </c>
      <c r="Q1059" s="79"/>
      <c r="R1059" s="79">
        <v>121.1</v>
      </c>
      <c r="S1059" s="79">
        <v>112.3109</v>
      </c>
      <c r="T1059" s="79">
        <v>108.91160000000001</v>
      </c>
      <c r="U1059" s="79">
        <v>148.22710000000001</v>
      </c>
      <c r="V1059" s="79">
        <v>88.507379999999998</v>
      </c>
      <c r="W1059" s="79">
        <v>64.868039999999993</v>
      </c>
      <c r="X1059" s="79">
        <v>53.79016</v>
      </c>
      <c r="Y1059" s="79">
        <v>82.903980000000004</v>
      </c>
      <c r="Z1059" s="79">
        <v>128.98929999999999</v>
      </c>
      <c r="AA1059" s="79">
        <v>115.1007</v>
      </c>
      <c r="AB1059" s="79">
        <v>74.311809999999994</v>
      </c>
      <c r="AC1059" s="79">
        <v>120.29</v>
      </c>
      <c r="AD1059" s="79">
        <v>94.4</v>
      </c>
      <c r="AE1059" s="79">
        <v>101.6069</v>
      </c>
      <c r="AF1059" s="79">
        <v>102.5915</v>
      </c>
      <c r="AG1059" s="79">
        <v>112.29640000000001</v>
      </c>
      <c r="AH1059" s="79">
        <v>98.920079999999999</v>
      </c>
      <c r="AI1059" s="79">
        <v>74.2</v>
      </c>
      <c r="AJ1059" s="79">
        <v>122.14449999999999</v>
      </c>
      <c r="AK1059" s="79">
        <v>67.711290000000005</v>
      </c>
      <c r="AL1059" s="79">
        <v>101.2084</v>
      </c>
      <c r="AM1059" s="79">
        <v>117.7</v>
      </c>
      <c r="AN1059" s="79"/>
      <c r="AO1059" s="79">
        <v>99.438100000000006</v>
      </c>
      <c r="AP1059" s="79">
        <v>106.28230000000001</v>
      </c>
      <c r="AQ1059" s="79"/>
      <c r="AR1059" s="79"/>
      <c r="AS1059" s="79"/>
      <c r="AT1059" s="79">
        <v>70.209050000000005</v>
      </c>
      <c r="AU1059" s="79"/>
      <c r="AV1059" s="79">
        <v>85</v>
      </c>
      <c r="AW1059" s="79"/>
      <c r="AX1059" s="79">
        <v>67.794349999999994</v>
      </c>
      <c r="AY1059" s="79">
        <v>103.3856</v>
      </c>
    </row>
    <row r="1060" spans="1:51" x14ac:dyDescent="0.2">
      <c r="A1060" t="s">
        <v>1605</v>
      </c>
      <c r="B1060" s="1">
        <v>39142</v>
      </c>
      <c r="C1060" s="78">
        <v>1060</v>
      </c>
      <c r="E1060" s="1">
        <f t="shared" si="32"/>
        <v>39142</v>
      </c>
      <c r="F1060" s="2">
        <f t="shared" si="33"/>
        <v>39142</v>
      </c>
      <c r="G1060" s="78">
        <v>1058</v>
      </c>
      <c r="H1060" s="79"/>
      <c r="I1060" s="79"/>
      <c r="J1060" s="79">
        <v>94.192149999999998</v>
      </c>
      <c r="K1060" s="79">
        <v>99.314859999999996</v>
      </c>
      <c r="L1060" s="79"/>
      <c r="M1060" s="79">
        <v>94.584239999999994</v>
      </c>
      <c r="N1060" s="79">
        <v>95.992000000000004</v>
      </c>
      <c r="O1060" s="79">
        <v>114.6</v>
      </c>
      <c r="P1060" s="79">
        <v>136.3381</v>
      </c>
      <c r="Q1060" s="79"/>
      <c r="R1060" s="79">
        <v>122.3</v>
      </c>
      <c r="S1060" s="79">
        <v>113.15089999999999</v>
      </c>
      <c r="T1060" s="79">
        <v>108.91160000000001</v>
      </c>
      <c r="U1060" s="79">
        <v>141.7346</v>
      </c>
      <c r="V1060" s="79">
        <v>88.207350000000005</v>
      </c>
      <c r="W1060" s="79">
        <v>64.689830000000001</v>
      </c>
      <c r="X1060" s="79">
        <v>53.366669999999999</v>
      </c>
      <c r="Y1060" s="79">
        <v>84.683840000000004</v>
      </c>
      <c r="Z1060" s="79">
        <v>129.78919999999999</v>
      </c>
      <c r="AA1060" s="79">
        <v>115.1007</v>
      </c>
      <c r="AB1060" s="79">
        <v>73.50188</v>
      </c>
      <c r="AC1060" s="79">
        <v>119.09010000000001</v>
      </c>
      <c r="AD1060" s="79">
        <v>97.1</v>
      </c>
      <c r="AE1060" s="79">
        <v>103.0061</v>
      </c>
      <c r="AF1060" s="79">
        <v>102.6914</v>
      </c>
      <c r="AG1060" s="79">
        <v>111.1327</v>
      </c>
      <c r="AH1060" s="79">
        <v>99.266779999999997</v>
      </c>
      <c r="AI1060" s="79">
        <v>75.599999999999994</v>
      </c>
      <c r="AJ1060" s="79">
        <v>124.0149</v>
      </c>
      <c r="AK1060" s="79">
        <v>70.411739999999995</v>
      </c>
      <c r="AL1060" s="79">
        <v>100.7084</v>
      </c>
      <c r="AM1060" s="79">
        <v>119.1</v>
      </c>
      <c r="AN1060" s="79"/>
      <c r="AO1060" s="79">
        <v>99.654880000000006</v>
      </c>
      <c r="AP1060" s="79">
        <v>106.7822</v>
      </c>
      <c r="AQ1060" s="79"/>
      <c r="AR1060" s="79"/>
      <c r="AS1060" s="79"/>
      <c r="AT1060" s="79">
        <v>71.697789999999998</v>
      </c>
      <c r="AU1060" s="79"/>
      <c r="AV1060" s="79">
        <v>86.2</v>
      </c>
      <c r="AW1060" s="79"/>
      <c r="AX1060" s="79">
        <v>68.894260000000003</v>
      </c>
      <c r="AY1060" s="79">
        <v>104.4866</v>
      </c>
    </row>
    <row r="1061" spans="1:51" x14ac:dyDescent="0.2">
      <c r="A1061" t="s">
        <v>1606</v>
      </c>
      <c r="B1061" s="1">
        <v>39173</v>
      </c>
      <c r="C1061" s="78">
        <v>1061</v>
      </c>
      <c r="E1061" s="1">
        <f t="shared" si="32"/>
        <v>39173</v>
      </c>
      <c r="F1061" s="2">
        <f t="shared" si="33"/>
        <v>39173</v>
      </c>
      <c r="G1061" s="78">
        <v>1059</v>
      </c>
      <c r="H1061" s="79"/>
      <c r="I1061" s="79"/>
      <c r="J1061" s="79">
        <v>93.792180000000002</v>
      </c>
      <c r="K1061" s="79">
        <v>98.874759999999995</v>
      </c>
      <c r="L1061" s="79"/>
      <c r="M1061" s="79">
        <v>93.284450000000007</v>
      </c>
      <c r="N1061" s="79">
        <v>95.092079999999996</v>
      </c>
      <c r="O1061" s="79">
        <v>113.9</v>
      </c>
      <c r="P1061" s="79">
        <v>132.6131</v>
      </c>
      <c r="Q1061" s="79"/>
      <c r="R1061" s="79">
        <v>119.1</v>
      </c>
      <c r="S1061" s="79">
        <v>111.2709</v>
      </c>
      <c r="T1061" s="79">
        <v>108.6001</v>
      </c>
      <c r="U1061" s="79">
        <v>142.53370000000001</v>
      </c>
      <c r="V1061" s="79">
        <v>89.507459999999995</v>
      </c>
      <c r="W1061" s="79">
        <v>64.095799999999997</v>
      </c>
      <c r="X1061" s="79">
        <v>52.143259999999998</v>
      </c>
      <c r="Y1061" s="79">
        <v>83.278689999999997</v>
      </c>
      <c r="Z1061" s="79">
        <v>127.4894</v>
      </c>
      <c r="AA1061" s="79">
        <v>114.77460000000001</v>
      </c>
      <c r="AB1061" s="79">
        <v>75.177729999999997</v>
      </c>
      <c r="AC1061" s="79">
        <v>115.79040000000001</v>
      </c>
      <c r="AD1061" s="79">
        <v>91.7</v>
      </c>
      <c r="AE1061" s="79">
        <v>102.5505</v>
      </c>
      <c r="AF1061" s="79">
        <v>101.0916</v>
      </c>
      <c r="AG1061" s="79">
        <v>117.99850000000001</v>
      </c>
      <c r="AH1061" s="79">
        <v>99.164959999999994</v>
      </c>
      <c r="AI1061" s="79">
        <v>74.5</v>
      </c>
      <c r="AJ1061" s="79">
        <v>119.7231</v>
      </c>
      <c r="AK1061" s="79">
        <v>68.81147</v>
      </c>
      <c r="AL1061" s="79">
        <v>102.8086</v>
      </c>
      <c r="AM1061" s="79">
        <v>117.6</v>
      </c>
      <c r="AN1061" s="79"/>
      <c r="AO1061" s="79">
        <v>100.3554</v>
      </c>
      <c r="AP1061" s="79">
        <v>105.4824</v>
      </c>
      <c r="AQ1061" s="79"/>
      <c r="AR1061" s="79"/>
      <c r="AS1061" s="79"/>
      <c r="AT1061" s="79">
        <v>72.577259999999995</v>
      </c>
      <c r="AU1061" s="79"/>
      <c r="AV1061" s="79">
        <v>85.8</v>
      </c>
      <c r="AW1061" s="79"/>
      <c r="AX1061" s="79">
        <v>69.294229999999999</v>
      </c>
      <c r="AY1061" s="79">
        <v>105.6978</v>
      </c>
    </row>
    <row r="1062" spans="1:51" x14ac:dyDescent="0.2">
      <c r="A1062" t="s">
        <v>1607</v>
      </c>
      <c r="B1062" s="1">
        <v>39203</v>
      </c>
      <c r="C1062" s="78">
        <v>1062</v>
      </c>
      <c r="E1062" s="1">
        <f t="shared" si="32"/>
        <v>39203</v>
      </c>
      <c r="F1062" s="2">
        <f t="shared" si="33"/>
        <v>39203</v>
      </c>
      <c r="G1062" s="78">
        <v>1060</v>
      </c>
      <c r="H1062" s="79"/>
      <c r="I1062" s="79"/>
      <c r="J1062" s="79">
        <v>96.191990000000004</v>
      </c>
      <c r="K1062" s="79">
        <v>99.095209999999994</v>
      </c>
      <c r="L1062" s="79"/>
      <c r="M1062" s="79">
        <v>93.784369999999996</v>
      </c>
      <c r="N1062" s="79">
        <v>96.791929999999994</v>
      </c>
      <c r="O1062" s="79">
        <v>112.7</v>
      </c>
      <c r="P1062" s="79">
        <v>136.46010000000001</v>
      </c>
      <c r="Q1062" s="79"/>
      <c r="R1062" s="79">
        <v>119.1</v>
      </c>
      <c r="S1062" s="79">
        <v>113.9409</v>
      </c>
      <c r="T1062" s="79">
        <v>110.3651</v>
      </c>
      <c r="U1062" s="79">
        <v>146.5291</v>
      </c>
      <c r="V1062" s="79">
        <v>88.307360000000003</v>
      </c>
      <c r="W1062" s="79">
        <v>61.066249999999997</v>
      </c>
      <c r="X1062" s="79">
        <v>51.360790000000001</v>
      </c>
      <c r="Y1062" s="79">
        <v>85.245900000000006</v>
      </c>
      <c r="Z1062" s="79">
        <v>130.1891</v>
      </c>
      <c r="AA1062" s="79">
        <v>116.0788</v>
      </c>
      <c r="AB1062" s="79">
        <v>75.905680000000004</v>
      </c>
      <c r="AC1062" s="79">
        <v>115.6904</v>
      </c>
      <c r="AD1062" s="79">
        <v>94.6</v>
      </c>
      <c r="AE1062" s="79">
        <v>102.3682</v>
      </c>
      <c r="AF1062" s="79">
        <v>101.6915</v>
      </c>
      <c r="AG1062" s="79">
        <v>111.5981</v>
      </c>
      <c r="AH1062" s="79">
        <v>99.929119999999998</v>
      </c>
      <c r="AI1062" s="79">
        <v>75.3</v>
      </c>
      <c r="AJ1062" s="79">
        <v>123.2256</v>
      </c>
      <c r="AK1062" s="79">
        <v>72.712119999999999</v>
      </c>
      <c r="AL1062" s="79">
        <v>101.4084</v>
      </c>
      <c r="AM1062" s="79">
        <v>117.9</v>
      </c>
      <c r="AN1062" s="79"/>
      <c r="AO1062" s="79">
        <v>100.4042</v>
      </c>
      <c r="AP1062" s="79">
        <v>107.38209999999999</v>
      </c>
      <c r="AQ1062" s="79"/>
      <c r="AR1062" s="79"/>
      <c r="AS1062" s="79"/>
      <c r="AT1062" s="79">
        <v>74.674530000000004</v>
      </c>
      <c r="AU1062" s="79"/>
      <c r="AV1062" s="79">
        <v>86.3</v>
      </c>
      <c r="AW1062" s="79"/>
      <c r="AX1062" s="79">
        <v>70.394130000000004</v>
      </c>
      <c r="AY1062" s="79">
        <v>106.02809999999999</v>
      </c>
    </row>
    <row r="1063" spans="1:51" x14ac:dyDescent="0.2">
      <c r="A1063" t="s">
        <v>1608</v>
      </c>
      <c r="B1063" s="1">
        <v>39234</v>
      </c>
      <c r="C1063" s="78">
        <v>1063</v>
      </c>
      <c r="E1063" s="1">
        <f t="shared" si="32"/>
        <v>39234</v>
      </c>
      <c r="F1063" s="2">
        <f t="shared" si="33"/>
        <v>39234</v>
      </c>
      <c r="G1063" s="78">
        <v>1061</v>
      </c>
      <c r="H1063" s="79"/>
      <c r="I1063" s="79"/>
      <c r="J1063" s="79">
        <v>96.391970000000001</v>
      </c>
      <c r="K1063" s="79">
        <v>99.368899999999996</v>
      </c>
      <c r="L1063" s="79"/>
      <c r="M1063" s="79">
        <v>93.784369999999996</v>
      </c>
      <c r="N1063" s="79">
        <v>96.691940000000002</v>
      </c>
      <c r="O1063" s="79">
        <v>115.4</v>
      </c>
      <c r="P1063" s="79">
        <v>136.74709999999999</v>
      </c>
      <c r="Q1063" s="79"/>
      <c r="R1063" s="79">
        <v>124</v>
      </c>
      <c r="S1063" s="79">
        <v>113.51090000000001</v>
      </c>
      <c r="T1063" s="79">
        <v>109.223</v>
      </c>
      <c r="U1063" s="79">
        <v>145.0308</v>
      </c>
      <c r="V1063" s="79">
        <v>90.507549999999995</v>
      </c>
      <c r="W1063" s="79">
        <v>60.947450000000003</v>
      </c>
      <c r="X1063" s="79">
        <v>50.637619999999998</v>
      </c>
      <c r="Y1063" s="79">
        <v>82.903980000000004</v>
      </c>
      <c r="Z1063" s="79">
        <v>129.38919999999999</v>
      </c>
      <c r="AA1063" s="79">
        <v>116.0788</v>
      </c>
      <c r="AB1063" s="79">
        <v>75.712689999999995</v>
      </c>
      <c r="AC1063" s="79">
        <v>119.49</v>
      </c>
      <c r="AD1063" s="79">
        <v>92.7</v>
      </c>
      <c r="AE1063" s="79">
        <v>102.5936</v>
      </c>
      <c r="AF1063" s="79">
        <v>103.8913</v>
      </c>
      <c r="AG1063" s="79">
        <v>107.2925</v>
      </c>
      <c r="AH1063" s="79">
        <v>99.870379999999997</v>
      </c>
      <c r="AI1063" s="79">
        <v>75.7</v>
      </c>
      <c r="AJ1063" s="79">
        <v>122.2186</v>
      </c>
      <c r="AK1063" s="79">
        <v>71.311880000000002</v>
      </c>
      <c r="AL1063" s="79">
        <v>104.5087</v>
      </c>
      <c r="AM1063" s="79">
        <v>117.7</v>
      </c>
      <c r="AN1063" s="79"/>
      <c r="AO1063" s="79">
        <v>100.4325</v>
      </c>
      <c r="AP1063" s="79">
        <v>107.38209999999999</v>
      </c>
      <c r="AQ1063" s="79"/>
      <c r="AR1063" s="79"/>
      <c r="AS1063" s="79"/>
      <c r="AT1063" s="79">
        <v>75.170969999999997</v>
      </c>
      <c r="AU1063" s="79"/>
      <c r="AV1063" s="79">
        <v>87.3</v>
      </c>
      <c r="AW1063" s="79"/>
      <c r="AX1063" s="79">
        <v>68.894260000000003</v>
      </c>
      <c r="AY1063" s="79">
        <v>106.7988</v>
      </c>
    </row>
    <row r="1064" spans="1:51" x14ac:dyDescent="0.2">
      <c r="A1064" t="s">
        <v>1609</v>
      </c>
      <c r="B1064" s="1">
        <v>39264</v>
      </c>
      <c r="C1064" s="78">
        <v>1064</v>
      </c>
      <c r="E1064" s="1">
        <f t="shared" si="32"/>
        <v>39264</v>
      </c>
      <c r="F1064" s="2">
        <f t="shared" si="33"/>
        <v>39264</v>
      </c>
      <c r="G1064" s="78">
        <v>1062</v>
      </c>
      <c r="H1064" s="79"/>
      <c r="I1064" s="79"/>
      <c r="J1064" s="79">
        <v>95.092079999999996</v>
      </c>
      <c r="K1064" s="79">
        <v>98.323650000000001</v>
      </c>
      <c r="L1064" s="79"/>
      <c r="M1064" s="79">
        <v>95.084149999999994</v>
      </c>
      <c r="N1064" s="79">
        <v>97.39188</v>
      </c>
      <c r="O1064" s="79">
        <v>114</v>
      </c>
      <c r="P1064" s="79">
        <v>133.20509999999999</v>
      </c>
      <c r="Q1064" s="79"/>
      <c r="R1064" s="79">
        <v>122.4</v>
      </c>
      <c r="S1064" s="79">
        <v>113.6609</v>
      </c>
      <c r="T1064" s="79">
        <v>108.91160000000001</v>
      </c>
      <c r="U1064" s="79">
        <v>145.43029999999999</v>
      </c>
      <c r="V1064" s="79">
        <v>93.007750000000001</v>
      </c>
      <c r="W1064" s="79">
        <v>67.541179999999997</v>
      </c>
      <c r="X1064" s="79">
        <v>49.782899999999998</v>
      </c>
      <c r="Y1064" s="79">
        <v>85.15222</v>
      </c>
      <c r="Z1064" s="79">
        <v>128.58930000000001</v>
      </c>
      <c r="AA1064" s="79">
        <v>116.1875</v>
      </c>
      <c r="AB1064" s="79">
        <v>76.391630000000006</v>
      </c>
      <c r="AC1064" s="79">
        <v>115.9903</v>
      </c>
      <c r="AD1064" s="79">
        <v>92.4</v>
      </c>
      <c r="AE1064" s="79">
        <v>103.13760000000001</v>
      </c>
      <c r="AF1064" s="79">
        <v>104.1913</v>
      </c>
      <c r="AG1064" s="79">
        <v>114.1583</v>
      </c>
      <c r="AH1064" s="79">
        <v>100.0521</v>
      </c>
      <c r="AI1064" s="79">
        <v>76.400000000000006</v>
      </c>
      <c r="AJ1064" s="79">
        <v>118.18259999999999</v>
      </c>
      <c r="AK1064" s="79">
        <v>72.212040000000002</v>
      </c>
      <c r="AL1064" s="79">
        <v>106.1088</v>
      </c>
      <c r="AM1064" s="79">
        <v>115.9</v>
      </c>
      <c r="AN1064" s="79"/>
      <c r="AO1064" s="79">
        <v>100.3951</v>
      </c>
      <c r="AP1064" s="79">
        <v>107.5821</v>
      </c>
      <c r="AQ1064" s="79"/>
      <c r="AR1064" s="79"/>
      <c r="AS1064" s="79"/>
      <c r="AT1064" s="79">
        <v>75.286709999999999</v>
      </c>
      <c r="AU1064" s="79"/>
      <c r="AV1064" s="79">
        <v>88.4</v>
      </c>
      <c r="AW1064" s="79"/>
      <c r="AX1064" s="79">
        <v>68.594279999999998</v>
      </c>
      <c r="AY1064" s="79">
        <v>106.2483</v>
      </c>
    </row>
    <row r="1065" spans="1:51" x14ac:dyDescent="0.2">
      <c r="A1065" t="s">
        <v>1610</v>
      </c>
      <c r="B1065" s="1">
        <v>39295</v>
      </c>
      <c r="C1065" s="78">
        <v>1065</v>
      </c>
      <c r="E1065" s="1">
        <f t="shared" si="32"/>
        <v>39295</v>
      </c>
      <c r="F1065" s="2">
        <f t="shared" si="33"/>
        <v>39295</v>
      </c>
      <c r="G1065" s="78">
        <v>1063</v>
      </c>
      <c r="H1065" s="79"/>
      <c r="I1065" s="79"/>
      <c r="J1065" s="79">
        <v>96.391970000000001</v>
      </c>
      <c r="K1065" s="79">
        <v>98.93817</v>
      </c>
      <c r="L1065" s="79"/>
      <c r="M1065" s="79">
        <v>93.584400000000002</v>
      </c>
      <c r="N1065" s="79">
        <v>97.691860000000005</v>
      </c>
      <c r="O1065" s="79">
        <v>115.7</v>
      </c>
      <c r="P1065" s="79">
        <v>133.7551</v>
      </c>
      <c r="Q1065" s="79"/>
      <c r="R1065" s="79">
        <v>120.7</v>
      </c>
      <c r="S1065" s="79">
        <v>114.351</v>
      </c>
      <c r="T1065" s="79">
        <v>109.7422</v>
      </c>
      <c r="U1065" s="79">
        <v>143.03309999999999</v>
      </c>
      <c r="V1065" s="79">
        <v>92.707729999999998</v>
      </c>
      <c r="W1065" s="79">
        <v>63.264159999999997</v>
      </c>
      <c r="X1065" s="79">
        <v>49.742820000000002</v>
      </c>
      <c r="Y1065" s="79">
        <v>84.402810000000002</v>
      </c>
      <c r="Z1065" s="79">
        <v>133.28890000000001</v>
      </c>
      <c r="AA1065" s="79">
        <v>119.1221</v>
      </c>
      <c r="AB1065" s="79">
        <v>78.884429999999995</v>
      </c>
      <c r="AC1065" s="79">
        <v>113.2906</v>
      </c>
      <c r="AD1065" s="79">
        <v>94</v>
      </c>
      <c r="AE1065" s="79">
        <v>101.9953</v>
      </c>
      <c r="AF1065" s="79">
        <v>104.3913</v>
      </c>
      <c r="AG1065" s="79">
        <v>113.57640000000001</v>
      </c>
      <c r="AH1065" s="79">
        <v>100.85429999999999</v>
      </c>
      <c r="AI1065" s="79">
        <v>76.599999999999994</v>
      </c>
      <c r="AJ1065" s="79">
        <v>116.7393</v>
      </c>
      <c r="AK1065" s="79">
        <v>70.711780000000005</v>
      </c>
      <c r="AL1065" s="79">
        <v>105.80880000000001</v>
      </c>
      <c r="AM1065" s="79">
        <v>117.4</v>
      </c>
      <c r="AN1065" s="79"/>
      <c r="AO1065" s="79">
        <v>100.61879999999999</v>
      </c>
      <c r="AP1065" s="79">
        <v>108.282</v>
      </c>
      <c r="AQ1065" s="79"/>
      <c r="AR1065" s="79"/>
      <c r="AS1065" s="79"/>
      <c r="AT1065" s="79">
        <v>75.474919999999997</v>
      </c>
      <c r="AU1065" s="79"/>
      <c r="AV1065" s="79">
        <v>88.1</v>
      </c>
      <c r="AW1065" s="79"/>
      <c r="AX1065" s="79">
        <v>69.694190000000006</v>
      </c>
      <c r="AY1065" s="79">
        <v>107.7897</v>
      </c>
    </row>
    <row r="1066" spans="1:51" x14ac:dyDescent="0.2">
      <c r="A1066" t="s">
        <v>1611</v>
      </c>
      <c r="B1066" s="1">
        <v>39326</v>
      </c>
      <c r="C1066" s="78">
        <v>1066</v>
      </c>
      <c r="E1066" s="1">
        <f t="shared" si="32"/>
        <v>39326</v>
      </c>
      <c r="F1066" s="2">
        <f t="shared" si="33"/>
        <v>39326</v>
      </c>
      <c r="G1066" s="78">
        <v>1064</v>
      </c>
      <c r="H1066" s="79"/>
      <c r="I1066" s="79"/>
      <c r="J1066" s="79">
        <v>96.991919999999993</v>
      </c>
      <c r="K1066" s="79">
        <v>98.408199999999994</v>
      </c>
      <c r="L1066" s="79"/>
      <c r="M1066" s="79">
        <v>93.884349999999998</v>
      </c>
      <c r="N1066" s="79">
        <v>98.691770000000005</v>
      </c>
      <c r="O1066" s="79">
        <v>113.1</v>
      </c>
      <c r="P1066" s="79">
        <v>134.3931</v>
      </c>
      <c r="Q1066" s="79"/>
      <c r="R1066" s="79">
        <v>121.9</v>
      </c>
      <c r="S1066" s="79">
        <v>111.7209</v>
      </c>
      <c r="T1066" s="79">
        <v>108.6001</v>
      </c>
      <c r="U1066" s="79">
        <v>143.33279999999999</v>
      </c>
      <c r="V1066" s="79">
        <v>92.907749999999993</v>
      </c>
      <c r="W1066" s="79">
        <v>62.610729999999997</v>
      </c>
      <c r="X1066" s="79">
        <v>49.308810000000001</v>
      </c>
      <c r="Y1066" s="79">
        <v>86.651049999999998</v>
      </c>
      <c r="Z1066" s="79">
        <v>129.78919999999999</v>
      </c>
      <c r="AA1066" s="79">
        <v>117.3831</v>
      </c>
      <c r="AB1066" s="79">
        <v>78.42747</v>
      </c>
      <c r="AC1066" s="79">
        <v>112.2906</v>
      </c>
      <c r="AD1066" s="79">
        <v>92.2</v>
      </c>
      <c r="AE1066" s="79">
        <v>103.0958</v>
      </c>
      <c r="AF1066" s="79">
        <v>106.19119999999999</v>
      </c>
      <c r="AG1066" s="79">
        <v>115.08920000000001</v>
      </c>
      <c r="AH1066" s="79">
        <v>100.6902</v>
      </c>
      <c r="AI1066" s="79">
        <v>77</v>
      </c>
      <c r="AJ1066" s="79">
        <v>117.8954</v>
      </c>
      <c r="AK1066" s="79">
        <v>73.812299999999993</v>
      </c>
      <c r="AL1066" s="79">
        <v>103.8086</v>
      </c>
      <c r="AM1066" s="79">
        <v>115.2</v>
      </c>
      <c r="AN1066" s="79"/>
      <c r="AO1066" s="79">
        <v>101.0082</v>
      </c>
      <c r="AP1066" s="79">
        <v>107.782</v>
      </c>
      <c r="AQ1066" s="79"/>
      <c r="AR1066" s="79"/>
      <c r="AS1066" s="79"/>
      <c r="AT1066" s="79">
        <v>74.497410000000002</v>
      </c>
      <c r="AU1066" s="79"/>
      <c r="AV1066" s="79">
        <v>87.6</v>
      </c>
      <c r="AW1066" s="79"/>
      <c r="AX1066" s="79">
        <v>70.194149999999993</v>
      </c>
      <c r="AY1066" s="79">
        <v>106.9089</v>
      </c>
    </row>
    <row r="1067" spans="1:51" x14ac:dyDescent="0.2">
      <c r="A1067" t="s">
        <v>1612</v>
      </c>
      <c r="B1067" s="1">
        <v>39356</v>
      </c>
      <c r="C1067" s="78">
        <v>1067</v>
      </c>
      <c r="E1067" s="1">
        <f t="shared" si="32"/>
        <v>39356</v>
      </c>
      <c r="F1067" s="2">
        <f t="shared" si="33"/>
        <v>39356</v>
      </c>
      <c r="G1067" s="78">
        <v>1065</v>
      </c>
      <c r="H1067" s="79"/>
      <c r="I1067" s="79"/>
      <c r="J1067" s="79">
        <v>100.5916</v>
      </c>
      <c r="K1067" s="79">
        <v>97.716089999999994</v>
      </c>
      <c r="L1067" s="79"/>
      <c r="M1067" s="79">
        <v>95.084149999999994</v>
      </c>
      <c r="N1067" s="79">
        <v>98.79177</v>
      </c>
      <c r="O1067" s="79">
        <v>118.8</v>
      </c>
      <c r="P1067" s="79">
        <v>134.09010000000001</v>
      </c>
      <c r="Q1067" s="79"/>
      <c r="R1067" s="79">
        <v>120.8</v>
      </c>
      <c r="S1067" s="79">
        <v>114.251</v>
      </c>
      <c r="T1067" s="79">
        <v>109.0154</v>
      </c>
      <c r="U1067" s="79">
        <v>142.53370000000001</v>
      </c>
      <c r="V1067" s="79">
        <v>92.507710000000003</v>
      </c>
      <c r="W1067" s="79">
        <v>67.956999999999994</v>
      </c>
      <c r="X1067" s="79">
        <v>49.229790000000001</v>
      </c>
      <c r="Y1067" s="79">
        <v>86.182670000000002</v>
      </c>
      <c r="Z1067" s="79">
        <v>128.48929999999999</v>
      </c>
      <c r="AA1067" s="79">
        <v>118.90470000000001</v>
      </c>
      <c r="AB1067" s="79">
        <v>81.230230000000006</v>
      </c>
      <c r="AC1067" s="79">
        <v>114.79040000000001</v>
      </c>
      <c r="AD1067" s="79">
        <v>91.8</v>
      </c>
      <c r="AE1067" s="79">
        <v>102.6829</v>
      </c>
      <c r="AF1067" s="79">
        <v>106.7911</v>
      </c>
      <c r="AG1067" s="79">
        <v>114.39100000000001</v>
      </c>
      <c r="AH1067" s="79">
        <v>101.09829999999999</v>
      </c>
      <c r="AI1067" s="79">
        <v>77.8</v>
      </c>
      <c r="AJ1067" s="79">
        <v>124.4817</v>
      </c>
      <c r="AK1067" s="79">
        <v>73.712289999999996</v>
      </c>
      <c r="AL1067" s="79">
        <v>106.30889999999999</v>
      </c>
      <c r="AM1067" s="79">
        <v>116.7</v>
      </c>
      <c r="AN1067" s="79"/>
      <c r="AO1067" s="79">
        <v>100.5818</v>
      </c>
      <c r="AP1067" s="79">
        <v>108.6819</v>
      </c>
      <c r="AQ1067" s="79"/>
      <c r="AR1067" s="79"/>
      <c r="AS1067" s="79"/>
      <c r="AT1067" s="79">
        <v>76.679050000000004</v>
      </c>
      <c r="AU1067" s="79"/>
      <c r="AV1067" s="79">
        <v>88.2</v>
      </c>
      <c r="AW1067" s="79"/>
      <c r="AX1067" s="79">
        <v>69.694190000000006</v>
      </c>
      <c r="AY1067" s="79">
        <v>109.6614</v>
      </c>
    </row>
    <row r="1068" spans="1:51" x14ac:dyDescent="0.2">
      <c r="A1068" t="s">
        <v>1613</v>
      </c>
      <c r="B1068" s="1">
        <v>39387</v>
      </c>
      <c r="C1068" s="78">
        <v>1068</v>
      </c>
      <c r="E1068" s="1">
        <f t="shared" si="32"/>
        <v>39387</v>
      </c>
      <c r="F1068" s="2">
        <f t="shared" si="33"/>
        <v>39387</v>
      </c>
      <c r="G1068" s="78">
        <v>1066</v>
      </c>
      <c r="H1068" s="79"/>
      <c r="I1068" s="79"/>
      <c r="J1068" s="79">
        <v>97.491870000000006</v>
      </c>
      <c r="K1068" s="79">
        <v>97.381410000000002</v>
      </c>
      <c r="L1068" s="79"/>
      <c r="M1068" s="79">
        <v>95.684049999999999</v>
      </c>
      <c r="N1068" s="79">
        <v>98.59178</v>
      </c>
      <c r="O1068" s="79">
        <v>117.4</v>
      </c>
      <c r="P1068" s="79">
        <v>132.7321</v>
      </c>
      <c r="Q1068" s="79"/>
      <c r="R1068" s="79">
        <v>128.30000000000001</v>
      </c>
      <c r="S1068" s="79">
        <v>112.2709</v>
      </c>
      <c r="T1068" s="79">
        <v>109.53449999999999</v>
      </c>
      <c r="U1068" s="79">
        <v>143.8322</v>
      </c>
      <c r="V1068" s="79">
        <v>92.507710000000003</v>
      </c>
      <c r="W1068" s="79">
        <v>67.244159999999994</v>
      </c>
      <c r="X1068" s="79">
        <v>49.12283</v>
      </c>
      <c r="Y1068" s="79">
        <v>87.400469999999999</v>
      </c>
      <c r="Z1068" s="79">
        <v>127.18940000000001</v>
      </c>
      <c r="AA1068" s="79">
        <v>117.7092</v>
      </c>
      <c r="AB1068" s="79">
        <v>81.320220000000006</v>
      </c>
      <c r="AC1068" s="79">
        <v>116.5903</v>
      </c>
      <c r="AD1068" s="79">
        <v>94.7</v>
      </c>
      <c r="AE1068" s="79">
        <v>101.5239</v>
      </c>
      <c r="AF1068" s="79">
        <v>109.3909</v>
      </c>
      <c r="AG1068" s="79">
        <v>112.18</v>
      </c>
      <c r="AH1068" s="79">
        <v>100.9756</v>
      </c>
      <c r="AI1068" s="79">
        <v>77.8</v>
      </c>
      <c r="AJ1068" s="79">
        <v>120.5788</v>
      </c>
      <c r="AK1068" s="79">
        <v>78.713120000000004</v>
      </c>
      <c r="AL1068" s="79">
        <v>104.4087</v>
      </c>
      <c r="AM1068" s="79">
        <v>119.9</v>
      </c>
      <c r="AN1068" s="79"/>
      <c r="AO1068" s="79">
        <v>101.1741</v>
      </c>
      <c r="AP1068" s="79">
        <v>107.982</v>
      </c>
      <c r="AQ1068" s="79"/>
      <c r="AR1068" s="79"/>
      <c r="AS1068" s="79"/>
      <c r="AT1068" s="79">
        <v>77.259659999999997</v>
      </c>
      <c r="AU1068" s="79"/>
      <c r="AV1068" s="79">
        <v>88.4</v>
      </c>
      <c r="AW1068" s="79"/>
      <c r="AX1068" s="79">
        <v>69.894170000000003</v>
      </c>
      <c r="AY1068" s="79">
        <v>108.4503</v>
      </c>
    </row>
    <row r="1069" spans="1:51" x14ac:dyDescent="0.2">
      <c r="A1069" t="s">
        <v>1614</v>
      </c>
      <c r="B1069" s="1">
        <v>39417</v>
      </c>
      <c r="C1069" s="78">
        <v>1069</v>
      </c>
      <c r="E1069" s="1">
        <f t="shared" si="32"/>
        <v>39417</v>
      </c>
      <c r="F1069" s="2">
        <f t="shared" si="33"/>
        <v>39417</v>
      </c>
      <c r="G1069" s="78">
        <v>1067</v>
      </c>
      <c r="H1069" s="79"/>
      <c r="I1069" s="79"/>
      <c r="J1069" s="79">
        <v>99.991669999999999</v>
      </c>
      <c r="K1069" s="79">
        <v>95.617850000000004</v>
      </c>
      <c r="L1069" s="79"/>
      <c r="M1069" s="79">
        <v>97.183800000000005</v>
      </c>
      <c r="N1069" s="79">
        <v>99.591700000000003</v>
      </c>
      <c r="O1069" s="79">
        <v>114.5</v>
      </c>
      <c r="P1069" s="79">
        <v>133.66210000000001</v>
      </c>
      <c r="Q1069" s="79"/>
      <c r="R1069" s="79">
        <v>121.8</v>
      </c>
      <c r="S1069" s="79">
        <v>112.4509</v>
      </c>
      <c r="T1069" s="79">
        <v>109.32689999999999</v>
      </c>
      <c r="U1069" s="79">
        <v>143.43270000000001</v>
      </c>
      <c r="V1069" s="79">
        <v>97.008089999999996</v>
      </c>
      <c r="W1069" s="79">
        <v>67.481769999999997</v>
      </c>
      <c r="X1069" s="79">
        <v>48.633130000000001</v>
      </c>
      <c r="Y1069" s="79">
        <v>87.587819999999994</v>
      </c>
      <c r="Z1069" s="79">
        <v>128.08930000000001</v>
      </c>
      <c r="AA1069" s="79">
        <v>118.3613</v>
      </c>
      <c r="AB1069" s="79">
        <v>80.824259999999995</v>
      </c>
      <c r="AC1069" s="79">
        <v>115.29040000000001</v>
      </c>
      <c r="AD1069" s="79">
        <v>94.1</v>
      </c>
      <c r="AE1069" s="79">
        <v>103.2743</v>
      </c>
      <c r="AF1069" s="79">
        <v>108.8909</v>
      </c>
      <c r="AG1069" s="79">
        <v>110.3181</v>
      </c>
      <c r="AH1069" s="79">
        <v>101.31399999999999</v>
      </c>
      <c r="AI1069" s="79">
        <v>79.900000000000006</v>
      </c>
      <c r="AJ1069" s="79">
        <v>119.2072</v>
      </c>
      <c r="AK1069" s="79">
        <v>75.012500000000003</v>
      </c>
      <c r="AL1069" s="79">
        <v>104.1087</v>
      </c>
      <c r="AM1069" s="79">
        <v>120.4</v>
      </c>
      <c r="AN1069" s="79"/>
      <c r="AO1069" s="79">
        <v>101.1855</v>
      </c>
      <c r="AP1069" s="79">
        <v>108.5819</v>
      </c>
      <c r="AQ1069" s="79"/>
      <c r="AR1069" s="79"/>
      <c r="AS1069" s="79"/>
      <c r="AT1069" s="79">
        <v>78.431430000000006</v>
      </c>
      <c r="AU1069" s="79"/>
      <c r="AV1069" s="79">
        <v>88.4</v>
      </c>
      <c r="AW1069" s="79"/>
      <c r="AX1069" s="79">
        <v>71.79401</v>
      </c>
      <c r="AY1069" s="79">
        <v>108.8907</v>
      </c>
    </row>
    <row r="1070" spans="1:51" x14ac:dyDescent="0.2">
      <c r="A1070" t="s">
        <v>1615</v>
      </c>
      <c r="B1070" s="1">
        <v>39448</v>
      </c>
      <c r="C1070" s="78">
        <v>1070</v>
      </c>
      <c r="E1070" s="1">
        <f t="shared" si="32"/>
        <v>39448</v>
      </c>
      <c r="F1070" s="2">
        <f t="shared" si="33"/>
        <v>39448</v>
      </c>
      <c r="G1070" s="78">
        <v>1068</v>
      </c>
      <c r="H1070" s="79"/>
      <c r="I1070" s="79"/>
      <c r="J1070" s="79">
        <v>102.5915</v>
      </c>
      <c r="K1070" s="79">
        <v>95.380009999999999</v>
      </c>
      <c r="L1070" s="79"/>
      <c r="M1070" s="79">
        <v>97.183800000000005</v>
      </c>
      <c r="N1070" s="79">
        <v>101.0916</v>
      </c>
      <c r="O1070" s="79">
        <v>117.4</v>
      </c>
      <c r="P1070" s="79">
        <v>134.70509999999999</v>
      </c>
      <c r="Q1070" s="79"/>
      <c r="R1070" s="79">
        <v>128.1</v>
      </c>
      <c r="S1070" s="79">
        <v>113.4209</v>
      </c>
      <c r="T1070" s="79">
        <v>109.7422</v>
      </c>
      <c r="U1070" s="79">
        <v>147.62780000000001</v>
      </c>
      <c r="V1070" s="79">
        <v>94.307860000000005</v>
      </c>
      <c r="W1070" s="79">
        <v>63.38297</v>
      </c>
      <c r="X1070" s="79">
        <v>54.08878</v>
      </c>
      <c r="Y1070" s="79">
        <v>89.836070000000007</v>
      </c>
      <c r="Z1070" s="79">
        <v>130.6891</v>
      </c>
      <c r="AA1070" s="79">
        <v>119.1653</v>
      </c>
      <c r="AB1070" s="79">
        <v>82.239140000000006</v>
      </c>
      <c r="AC1070" s="79">
        <v>115.1904</v>
      </c>
      <c r="AD1070" s="79">
        <v>97.4</v>
      </c>
      <c r="AE1070" s="79">
        <v>103.202</v>
      </c>
      <c r="AF1070" s="79">
        <v>104.79130000000001</v>
      </c>
      <c r="AG1070" s="79">
        <v>112.4127</v>
      </c>
      <c r="AH1070" s="79">
        <v>101.7942</v>
      </c>
      <c r="AI1070" s="79">
        <v>82.3</v>
      </c>
      <c r="AJ1070" s="79">
        <v>123.1759</v>
      </c>
      <c r="AK1070" s="79">
        <v>91.115189999999998</v>
      </c>
      <c r="AL1070" s="79">
        <v>107.60899999999999</v>
      </c>
      <c r="AM1070" s="79">
        <v>120.3</v>
      </c>
      <c r="AN1070" s="79"/>
      <c r="AO1070" s="79">
        <v>100.913</v>
      </c>
      <c r="AP1070" s="79">
        <v>109.48180000000001</v>
      </c>
      <c r="AQ1070" s="79"/>
      <c r="AR1070" s="79"/>
      <c r="AS1070" s="79"/>
      <c r="AT1070" s="79">
        <v>79.2517</v>
      </c>
      <c r="AU1070" s="79"/>
      <c r="AV1070" s="79">
        <v>91.4</v>
      </c>
      <c r="AW1070" s="79"/>
      <c r="AX1070" s="79">
        <v>70.7941</v>
      </c>
      <c r="AY1070" s="79">
        <v>110.7625</v>
      </c>
    </row>
    <row r="1071" spans="1:51" x14ac:dyDescent="0.2">
      <c r="A1071" t="s">
        <v>1616</v>
      </c>
      <c r="B1071" s="1">
        <v>39479</v>
      </c>
      <c r="C1071" s="78">
        <v>1071</v>
      </c>
      <c r="E1071" s="1">
        <f t="shared" si="32"/>
        <v>39479</v>
      </c>
      <c r="F1071" s="2">
        <f t="shared" si="33"/>
        <v>39479</v>
      </c>
      <c r="G1071" s="78">
        <v>1069</v>
      </c>
      <c r="H1071" s="79"/>
      <c r="I1071" s="79"/>
      <c r="J1071" s="79">
        <v>101.4915</v>
      </c>
      <c r="K1071" s="79">
        <v>95.532240000000002</v>
      </c>
      <c r="L1071" s="79"/>
      <c r="M1071" s="79">
        <v>98.383610000000004</v>
      </c>
      <c r="N1071" s="79">
        <v>100.7916</v>
      </c>
      <c r="O1071" s="79">
        <v>114.2</v>
      </c>
      <c r="P1071" s="79">
        <v>133.7561</v>
      </c>
      <c r="Q1071" s="79"/>
      <c r="R1071" s="79">
        <v>124.9</v>
      </c>
      <c r="S1071" s="79">
        <v>114.45099999999999</v>
      </c>
      <c r="T1071" s="79">
        <v>109.4307</v>
      </c>
      <c r="U1071" s="79">
        <v>139.0378</v>
      </c>
      <c r="V1071" s="79">
        <v>96.808070000000001</v>
      </c>
      <c r="W1071" s="79">
        <v>63.620579999999997</v>
      </c>
      <c r="X1071" s="79">
        <v>58.731499999999997</v>
      </c>
      <c r="Y1071" s="79">
        <v>89.74239</v>
      </c>
      <c r="Z1071" s="79">
        <v>129.6892</v>
      </c>
      <c r="AA1071" s="79">
        <v>119.47320000000001</v>
      </c>
      <c r="AB1071" s="79">
        <v>82.356139999999996</v>
      </c>
      <c r="AC1071" s="79">
        <v>117.0902</v>
      </c>
      <c r="AD1071" s="79">
        <v>99.7</v>
      </c>
      <c r="AE1071" s="79">
        <v>103.7359</v>
      </c>
      <c r="AF1071" s="79">
        <v>106.5911</v>
      </c>
      <c r="AG1071" s="79">
        <v>110.5508</v>
      </c>
      <c r="AH1071" s="79">
        <v>101.7645</v>
      </c>
      <c r="AI1071" s="79">
        <v>82.1</v>
      </c>
      <c r="AJ1071" s="79">
        <v>123.08710000000001</v>
      </c>
      <c r="AK1071" s="79">
        <v>91.615269999999995</v>
      </c>
      <c r="AL1071" s="79">
        <v>109.1091</v>
      </c>
      <c r="AM1071" s="79">
        <v>119.7</v>
      </c>
      <c r="AN1071" s="79"/>
      <c r="AO1071" s="79">
        <v>100.5744</v>
      </c>
      <c r="AP1071" s="79">
        <v>109.2818</v>
      </c>
      <c r="AQ1071" s="79"/>
      <c r="AR1071" s="79"/>
      <c r="AS1071" s="79"/>
      <c r="AT1071" s="79">
        <v>79.260120000000001</v>
      </c>
      <c r="AU1071" s="79"/>
      <c r="AV1071" s="79">
        <v>89.6</v>
      </c>
      <c r="AW1071" s="79"/>
      <c r="AX1071" s="79">
        <v>72.193979999999996</v>
      </c>
      <c r="AY1071" s="79">
        <v>110.322</v>
      </c>
    </row>
    <row r="1072" spans="1:51" x14ac:dyDescent="0.2">
      <c r="A1072" t="s">
        <v>1617</v>
      </c>
      <c r="B1072" s="1">
        <v>39508</v>
      </c>
      <c r="C1072" s="78">
        <v>1072</v>
      </c>
      <c r="E1072" s="1">
        <f t="shared" si="32"/>
        <v>39508</v>
      </c>
      <c r="F1072" s="2">
        <f t="shared" si="33"/>
        <v>39508</v>
      </c>
      <c r="G1072" s="78">
        <v>1070</v>
      </c>
      <c r="H1072" s="79"/>
      <c r="I1072" s="79"/>
      <c r="J1072" s="79">
        <v>101.39149999999999</v>
      </c>
      <c r="K1072" s="79">
        <v>94.667580000000001</v>
      </c>
      <c r="L1072" s="79"/>
      <c r="M1072" s="79">
        <v>94.684219999999996</v>
      </c>
      <c r="N1072" s="79">
        <v>100.0917</v>
      </c>
      <c r="O1072" s="79">
        <v>116.2</v>
      </c>
      <c r="P1072" s="79">
        <v>130.86709999999999</v>
      </c>
      <c r="Q1072" s="79"/>
      <c r="R1072" s="79">
        <v>123.5</v>
      </c>
      <c r="S1072" s="79">
        <v>113.12090000000001</v>
      </c>
      <c r="T1072" s="79">
        <v>107.9772</v>
      </c>
      <c r="U1072" s="79">
        <v>136.7405</v>
      </c>
      <c r="V1072" s="79">
        <v>94.307860000000005</v>
      </c>
      <c r="W1072" s="79">
        <v>63.20476</v>
      </c>
      <c r="X1072" s="79">
        <v>63.432099999999998</v>
      </c>
      <c r="Y1072" s="79">
        <v>93.208430000000007</v>
      </c>
      <c r="Z1072" s="79">
        <v>130.48910000000001</v>
      </c>
      <c r="AA1072" s="79">
        <v>118.2415</v>
      </c>
      <c r="AB1072" s="79">
        <v>82.724109999999996</v>
      </c>
      <c r="AC1072" s="79">
        <v>117.1902</v>
      </c>
      <c r="AD1072" s="79">
        <v>96.8</v>
      </c>
      <c r="AE1072" s="79">
        <v>103.0056</v>
      </c>
      <c r="AF1072" s="79">
        <v>107.39109999999999</v>
      </c>
      <c r="AG1072" s="79">
        <v>112.6455</v>
      </c>
      <c r="AH1072" s="79">
        <v>101.09229999999999</v>
      </c>
      <c r="AI1072" s="79">
        <v>79.599999999999994</v>
      </c>
      <c r="AJ1072" s="79">
        <v>114.64830000000001</v>
      </c>
      <c r="AK1072" s="79">
        <v>88.014669999999995</v>
      </c>
      <c r="AL1072" s="79">
        <v>108.009</v>
      </c>
      <c r="AM1072" s="79">
        <v>118.9</v>
      </c>
      <c r="AN1072" s="79"/>
      <c r="AO1072" s="79">
        <v>100.3364</v>
      </c>
      <c r="AP1072" s="79">
        <v>108.78189999999999</v>
      </c>
      <c r="AQ1072" s="79"/>
      <c r="AR1072" s="79"/>
      <c r="AS1072" s="79"/>
      <c r="AT1072" s="79">
        <v>80.183329999999998</v>
      </c>
      <c r="AU1072" s="79"/>
      <c r="AV1072" s="79">
        <v>89.5</v>
      </c>
      <c r="AW1072" s="79"/>
      <c r="AX1072" s="79">
        <v>72.193979999999996</v>
      </c>
      <c r="AY1072" s="79">
        <v>110.6524</v>
      </c>
    </row>
    <row r="1073" spans="1:51" x14ac:dyDescent="0.2">
      <c r="A1073" t="s">
        <v>1618</v>
      </c>
      <c r="B1073" s="1">
        <v>39539</v>
      </c>
      <c r="C1073" s="78">
        <v>1073</v>
      </c>
      <c r="E1073" s="1">
        <f t="shared" si="32"/>
        <v>39539</v>
      </c>
      <c r="F1073" s="2">
        <f t="shared" si="33"/>
        <v>39539</v>
      </c>
      <c r="G1073" s="78">
        <v>1071</v>
      </c>
      <c r="H1073" s="79"/>
      <c r="I1073" s="79"/>
      <c r="J1073" s="79">
        <v>102.5915</v>
      </c>
      <c r="K1073" s="79">
        <v>95.672160000000005</v>
      </c>
      <c r="L1073" s="79"/>
      <c r="M1073" s="79">
        <v>96.683880000000002</v>
      </c>
      <c r="N1073" s="79">
        <v>100.2916</v>
      </c>
      <c r="O1073" s="79">
        <v>115</v>
      </c>
      <c r="P1073" s="79">
        <v>132.9521</v>
      </c>
      <c r="Q1073" s="79"/>
      <c r="R1073" s="79">
        <v>127.5</v>
      </c>
      <c r="S1073" s="79">
        <v>115.571</v>
      </c>
      <c r="T1073" s="79">
        <v>109.223</v>
      </c>
      <c r="U1073" s="79">
        <v>144.23169999999999</v>
      </c>
      <c r="V1073" s="79">
        <v>95.107929999999996</v>
      </c>
      <c r="W1073" s="79">
        <v>60.82864</v>
      </c>
      <c r="X1073" s="79">
        <v>66.300899999999999</v>
      </c>
      <c r="Y1073" s="79">
        <v>92.740039999999993</v>
      </c>
      <c r="Z1073" s="79">
        <v>131.78899999999999</v>
      </c>
      <c r="AA1073" s="79">
        <v>117.7283</v>
      </c>
      <c r="AB1073" s="79">
        <v>83.546040000000005</v>
      </c>
      <c r="AC1073" s="79">
        <v>120.09</v>
      </c>
      <c r="AD1073" s="79">
        <v>95</v>
      </c>
      <c r="AE1073" s="79">
        <v>102.3618</v>
      </c>
      <c r="AF1073" s="79">
        <v>113.1906</v>
      </c>
      <c r="AG1073" s="79">
        <v>114.27460000000001</v>
      </c>
      <c r="AH1073" s="79">
        <v>101.4179</v>
      </c>
      <c r="AI1073" s="79">
        <v>81.3</v>
      </c>
      <c r="AJ1073" s="79">
        <v>121.3822</v>
      </c>
      <c r="AK1073" s="79">
        <v>87.914649999999995</v>
      </c>
      <c r="AL1073" s="79">
        <v>108.509</v>
      </c>
      <c r="AM1073" s="79">
        <v>118.7</v>
      </c>
      <c r="AN1073" s="79"/>
      <c r="AO1073" s="79">
        <v>99.576409999999996</v>
      </c>
      <c r="AP1073" s="79">
        <v>110.08159999999999</v>
      </c>
      <c r="AQ1073" s="79"/>
      <c r="AR1073" s="79"/>
      <c r="AS1073" s="79"/>
      <c r="AT1073" s="79">
        <v>79.926460000000006</v>
      </c>
      <c r="AU1073" s="79"/>
      <c r="AV1073" s="79">
        <v>90.3</v>
      </c>
      <c r="AW1073" s="79"/>
      <c r="AX1073" s="79">
        <v>71.294060000000002</v>
      </c>
      <c r="AY1073" s="79">
        <v>110.5423</v>
      </c>
    </row>
    <row r="1074" spans="1:51" x14ac:dyDescent="0.2">
      <c r="A1074" t="s">
        <v>1619</v>
      </c>
      <c r="B1074" s="1">
        <v>39569</v>
      </c>
      <c r="C1074" s="78">
        <v>1074</v>
      </c>
      <c r="E1074" s="1">
        <f t="shared" si="32"/>
        <v>39569</v>
      </c>
      <c r="F1074" s="2">
        <f t="shared" si="33"/>
        <v>39569</v>
      </c>
      <c r="G1074" s="78">
        <v>1072</v>
      </c>
      <c r="H1074" s="79"/>
      <c r="I1074" s="79"/>
      <c r="J1074" s="79">
        <v>100.1917</v>
      </c>
      <c r="K1074" s="79">
        <v>95.395799999999994</v>
      </c>
      <c r="L1074" s="79"/>
      <c r="M1074" s="79">
        <v>95.484089999999995</v>
      </c>
      <c r="N1074" s="79">
        <v>98.291809999999998</v>
      </c>
      <c r="O1074" s="79">
        <v>114.6</v>
      </c>
      <c r="P1074" s="79">
        <v>128.71109999999999</v>
      </c>
      <c r="Q1074" s="79"/>
      <c r="R1074" s="79">
        <v>126.8</v>
      </c>
      <c r="S1074" s="79">
        <v>110.12090000000001</v>
      </c>
      <c r="T1074" s="79">
        <v>108.081</v>
      </c>
      <c r="U1074" s="79">
        <v>136.54069999999999</v>
      </c>
      <c r="V1074" s="79">
        <v>93.50779</v>
      </c>
      <c r="W1074" s="79">
        <v>64.452219999999997</v>
      </c>
      <c r="X1074" s="79">
        <v>66.366860000000003</v>
      </c>
      <c r="Y1074" s="79">
        <v>88.99297</v>
      </c>
      <c r="Z1074" s="79">
        <v>127.18940000000001</v>
      </c>
      <c r="AA1074" s="79">
        <v>118.3442</v>
      </c>
      <c r="AB1074" s="79">
        <v>82.842089999999999</v>
      </c>
      <c r="AC1074" s="79">
        <v>114.1905</v>
      </c>
      <c r="AD1074" s="79">
        <v>93.6</v>
      </c>
      <c r="AE1074" s="79">
        <v>102.63420000000001</v>
      </c>
      <c r="AF1074" s="79">
        <v>103.7914</v>
      </c>
      <c r="AG1074" s="79">
        <v>114.97280000000001</v>
      </c>
      <c r="AH1074" s="79">
        <v>100.1962</v>
      </c>
      <c r="AI1074" s="79">
        <v>77.900000000000006</v>
      </c>
      <c r="AJ1074" s="79">
        <v>114.63200000000001</v>
      </c>
      <c r="AK1074" s="79">
        <v>88.214699999999993</v>
      </c>
      <c r="AL1074" s="79">
        <v>107.40900000000001</v>
      </c>
      <c r="AM1074" s="79">
        <v>117.6</v>
      </c>
      <c r="AN1074" s="79"/>
      <c r="AO1074" s="79">
        <v>99.015370000000004</v>
      </c>
      <c r="AP1074" s="79">
        <v>106.8822</v>
      </c>
      <c r="AQ1074" s="79"/>
      <c r="AR1074" s="79"/>
      <c r="AS1074" s="79"/>
      <c r="AT1074" s="79">
        <v>80.186260000000004</v>
      </c>
      <c r="AU1074" s="79"/>
      <c r="AV1074" s="79">
        <v>90.9</v>
      </c>
      <c r="AW1074" s="79"/>
      <c r="AX1074" s="79">
        <v>71.094080000000005</v>
      </c>
      <c r="AY1074" s="79">
        <v>111.313</v>
      </c>
    </row>
    <row r="1075" spans="1:51" x14ac:dyDescent="0.2">
      <c r="A1075" t="s">
        <v>1620</v>
      </c>
      <c r="B1075" s="1">
        <v>39600</v>
      </c>
      <c r="C1075" s="78">
        <v>1075</v>
      </c>
      <c r="E1075" s="1">
        <f t="shared" si="32"/>
        <v>39600</v>
      </c>
      <c r="F1075" s="2">
        <f t="shared" si="33"/>
        <v>39600</v>
      </c>
      <c r="G1075" s="78">
        <v>1073</v>
      </c>
      <c r="H1075" s="79"/>
      <c r="I1075" s="79"/>
      <c r="J1075" s="79">
        <v>100.2916</v>
      </c>
      <c r="K1075" s="79">
        <v>96.07987</v>
      </c>
      <c r="L1075" s="79"/>
      <c r="M1075" s="79">
        <v>94.484250000000003</v>
      </c>
      <c r="N1075" s="79">
        <v>99.391720000000007</v>
      </c>
      <c r="O1075" s="79">
        <v>113.1</v>
      </c>
      <c r="P1075" s="79">
        <v>123.94110000000001</v>
      </c>
      <c r="Q1075" s="79"/>
      <c r="R1075" s="79">
        <v>123.4</v>
      </c>
      <c r="S1075" s="79">
        <v>109.8009</v>
      </c>
      <c r="T1075" s="79">
        <v>107.14660000000001</v>
      </c>
      <c r="U1075" s="79">
        <v>143.73230000000001</v>
      </c>
      <c r="V1075" s="79">
        <v>91.807649999999995</v>
      </c>
      <c r="W1075" s="79">
        <v>62.076099999999997</v>
      </c>
      <c r="X1075" s="79">
        <v>66.754360000000005</v>
      </c>
      <c r="Y1075" s="79">
        <v>92.646370000000005</v>
      </c>
      <c r="Z1075" s="79">
        <v>128.58930000000001</v>
      </c>
      <c r="AA1075" s="79">
        <v>115.1623</v>
      </c>
      <c r="AB1075" s="79">
        <v>82.214150000000004</v>
      </c>
      <c r="AC1075" s="79">
        <v>111.69070000000001</v>
      </c>
      <c r="AD1075" s="79">
        <v>91.6</v>
      </c>
      <c r="AE1075" s="79">
        <v>103.0176</v>
      </c>
      <c r="AF1075" s="79">
        <v>105.2912</v>
      </c>
      <c r="AG1075" s="79">
        <v>114.5074</v>
      </c>
      <c r="AH1075" s="79">
        <v>99.769540000000006</v>
      </c>
      <c r="AI1075" s="79">
        <v>78.400000000000006</v>
      </c>
      <c r="AJ1075" s="79">
        <v>115.2668</v>
      </c>
      <c r="AK1075" s="79">
        <v>86.014340000000004</v>
      </c>
      <c r="AL1075" s="79">
        <v>111.7093</v>
      </c>
      <c r="AM1075" s="79">
        <v>116.3</v>
      </c>
      <c r="AN1075" s="79"/>
      <c r="AO1075" s="79">
        <v>98.783119999999997</v>
      </c>
      <c r="AP1075" s="79">
        <v>107.0822</v>
      </c>
      <c r="AQ1075" s="79"/>
      <c r="AR1075" s="79"/>
      <c r="AS1075" s="79"/>
      <c r="AT1075" s="79">
        <v>81.284899999999993</v>
      </c>
      <c r="AU1075" s="79"/>
      <c r="AV1075" s="79">
        <v>89.7</v>
      </c>
      <c r="AW1075" s="79"/>
      <c r="AX1075" s="79">
        <v>71.394049999999993</v>
      </c>
      <c r="AY1075" s="79">
        <v>113.2948</v>
      </c>
    </row>
    <row r="1076" spans="1:51" x14ac:dyDescent="0.2">
      <c r="A1076" t="s">
        <v>1621</v>
      </c>
      <c r="B1076" s="1">
        <v>39630</v>
      </c>
      <c r="C1076" s="78">
        <v>1076</v>
      </c>
      <c r="E1076" s="1">
        <f t="shared" si="32"/>
        <v>39630</v>
      </c>
      <c r="F1076" s="2">
        <f t="shared" si="33"/>
        <v>39630</v>
      </c>
      <c r="G1076" s="78">
        <v>1074</v>
      </c>
      <c r="H1076" s="79"/>
      <c r="I1076" s="79"/>
      <c r="J1076" s="79">
        <v>103.1914</v>
      </c>
      <c r="K1076" s="79">
        <v>97.601849999999999</v>
      </c>
      <c r="L1076" s="79"/>
      <c r="M1076" s="79">
        <v>91.784710000000004</v>
      </c>
      <c r="N1076" s="79">
        <v>97.691860000000005</v>
      </c>
      <c r="O1076" s="79">
        <v>112.8</v>
      </c>
      <c r="P1076" s="79">
        <v>127.21510000000001</v>
      </c>
      <c r="Q1076" s="79"/>
      <c r="R1076" s="79">
        <v>126.4</v>
      </c>
      <c r="S1076" s="79">
        <v>110.6609</v>
      </c>
      <c r="T1076" s="79">
        <v>106.8351</v>
      </c>
      <c r="U1076" s="79">
        <v>140.2364</v>
      </c>
      <c r="V1076" s="79">
        <v>91.507630000000006</v>
      </c>
      <c r="W1076" s="79">
        <v>61.36327</v>
      </c>
      <c r="X1076" s="79">
        <v>68.657049999999998</v>
      </c>
      <c r="Y1076" s="79">
        <v>92.084310000000002</v>
      </c>
      <c r="Z1076" s="79">
        <v>124.5896</v>
      </c>
      <c r="AA1076" s="79">
        <v>115.1623</v>
      </c>
      <c r="AB1076" s="79">
        <v>81.723190000000002</v>
      </c>
      <c r="AC1076" s="79">
        <v>116.9902</v>
      </c>
      <c r="AD1076" s="79">
        <v>90.1</v>
      </c>
      <c r="AE1076" s="79">
        <v>102.3946</v>
      </c>
      <c r="AF1076" s="79">
        <v>105.2912</v>
      </c>
      <c r="AG1076" s="79">
        <v>115.5547</v>
      </c>
      <c r="AH1076" s="79">
        <v>99.368790000000004</v>
      </c>
      <c r="AI1076" s="79">
        <v>78</v>
      </c>
      <c r="AJ1076" s="79">
        <v>114.75490000000001</v>
      </c>
      <c r="AK1076" s="79">
        <v>85.414240000000007</v>
      </c>
      <c r="AL1076" s="79">
        <v>105.2088</v>
      </c>
      <c r="AM1076" s="79">
        <v>116.1</v>
      </c>
      <c r="AN1076" s="79"/>
      <c r="AO1076" s="79">
        <v>98.260310000000004</v>
      </c>
      <c r="AP1076" s="79">
        <v>105.9823</v>
      </c>
      <c r="AQ1076" s="79"/>
      <c r="AR1076" s="79"/>
      <c r="AS1076" s="79"/>
      <c r="AT1076" s="79">
        <v>79.19014</v>
      </c>
      <c r="AU1076" s="79"/>
      <c r="AV1076" s="79">
        <v>89.5</v>
      </c>
      <c r="AW1076" s="79"/>
      <c r="AX1076" s="79">
        <v>69.894170000000003</v>
      </c>
      <c r="AY1076" s="79">
        <v>113.6251</v>
      </c>
    </row>
    <row r="1077" spans="1:51" x14ac:dyDescent="0.2">
      <c r="A1077" t="s">
        <v>1622</v>
      </c>
      <c r="B1077" s="1">
        <v>39661</v>
      </c>
      <c r="C1077" s="78">
        <v>1077</v>
      </c>
      <c r="E1077" s="1">
        <f t="shared" si="32"/>
        <v>39661</v>
      </c>
      <c r="F1077" s="2">
        <f t="shared" si="33"/>
        <v>39661</v>
      </c>
      <c r="G1077" s="78">
        <v>1075</v>
      </c>
      <c r="H1077" s="79"/>
      <c r="I1077" s="79"/>
      <c r="J1077" s="79">
        <v>100.49160000000001</v>
      </c>
      <c r="K1077" s="79">
        <v>96.461370000000002</v>
      </c>
      <c r="L1077" s="79"/>
      <c r="M1077" s="79">
        <v>89.785030000000006</v>
      </c>
      <c r="N1077" s="79">
        <v>99.691699999999997</v>
      </c>
      <c r="O1077" s="79">
        <v>112.5</v>
      </c>
      <c r="P1077" s="79">
        <v>122.6981</v>
      </c>
      <c r="Q1077" s="79"/>
      <c r="R1077" s="79">
        <v>122.1</v>
      </c>
      <c r="S1077" s="79">
        <v>109.1009</v>
      </c>
      <c r="T1077" s="79">
        <v>107.6657</v>
      </c>
      <c r="U1077" s="79">
        <v>136.54069999999999</v>
      </c>
      <c r="V1077" s="79">
        <v>92.307689999999994</v>
      </c>
      <c r="W1077" s="79">
        <v>65.402670000000001</v>
      </c>
      <c r="X1077" s="79">
        <v>71.789420000000007</v>
      </c>
      <c r="Y1077" s="79">
        <v>92.927400000000006</v>
      </c>
      <c r="Z1077" s="79">
        <v>121.18989999999999</v>
      </c>
      <c r="AA1077" s="79">
        <v>110.9541</v>
      </c>
      <c r="AB1077" s="79">
        <v>81.850179999999995</v>
      </c>
      <c r="AC1077" s="79">
        <v>115.5904</v>
      </c>
      <c r="AD1077" s="79">
        <v>86.8</v>
      </c>
      <c r="AE1077" s="79">
        <v>102.1986</v>
      </c>
      <c r="AF1077" s="79">
        <v>103.7914</v>
      </c>
      <c r="AG1077" s="79">
        <v>107.75790000000001</v>
      </c>
      <c r="AH1077" s="79">
        <v>98.069220000000001</v>
      </c>
      <c r="AI1077" s="79">
        <v>76.7</v>
      </c>
      <c r="AJ1077" s="79">
        <v>111.9679</v>
      </c>
      <c r="AK1077" s="79">
        <v>82.313720000000004</v>
      </c>
      <c r="AL1077" s="79">
        <v>108.40900000000001</v>
      </c>
      <c r="AM1077" s="79">
        <v>116.2</v>
      </c>
      <c r="AN1077" s="79"/>
      <c r="AO1077" s="79">
        <v>96.757220000000004</v>
      </c>
      <c r="AP1077" s="79">
        <v>105.58240000000001</v>
      </c>
      <c r="AQ1077" s="79"/>
      <c r="AR1077" s="79"/>
      <c r="AS1077" s="79"/>
      <c r="AT1077" s="79">
        <v>80.172650000000004</v>
      </c>
      <c r="AU1077" s="79"/>
      <c r="AV1077" s="79">
        <v>90</v>
      </c>
      <c r="AW1077" s="79"/>
      <c r="AX1077" s="79">
        <v>68.994249999999994</v>
      </c>
      <c r="AY1077" s="79">
        <v>112.1938</v>
      </c>
    </row>
    <row r="1078" spans="1:51" x14ac:dyDescent="0.2">
      <c r="A1078" t="s">
        <v>1623</v>
      </c>
      <c r="B1078" s="1">
        <v>39692</v>
      </c>
      <c r="C1078" s="78">
        <v>1078</v>
      </c>
      <c r="E1078" s="1">
        <f t="shared" si="32"/>
        <v>39692</v>
      </c>
      <c r="F1078" s="2">
        <f t="shared" si="33"/>
        <v>39692</v>
      </c>
      <c r="G1078" s="78">
        <v>1076</v>
      </c>
      <c r="H1078" s="79"/>
      <c r="I1078" s="79"/>
      <c r="J1078" s="79">
        <v>100.8916</v>
      </c>
      <c r="K1078" s="79">
        <v>95.505750000000006</v>
      </c>
      <c r="L1078" s="79"/>
      <c r="M1078" s="79">
        <v>90.484920000000002</v>
      </c>
      <c r="N1078" s="79">
        <v>97.39188</v>
      </c>
      <c r="O1078" s="79">
        <v>111.1</v>
      </c>
      <c r="P1078" s="79">
        <v>121.83110000000001</v>
      </c>
      <c r="Q1078" s="79"/>
      <c r="R1078" s="79">
        <v>125.3</v>
      </c>
      <c r="S1078" s="79">
        <v>108.6309</v>
      </c>
      <c r="T1078" s="79">
        <v>106.1083</v>
      </c>
      <c r="U1078" s="79">
        <v>136.4408</v>
      </c>
      <c r="V1078" s="79">
        <v>89.30744</v>
      </c>
      <c r="W1078" s="79">
        <v>63.501779999999997</v>
      </c>
      <c r="X1078" s="79">
        <v>74.645799999999994</v>
      </c>
      <c r="Y1078" s="79">
        <v>87.119439999999997</v>
      </c>
      <c r="Z1078" s="79">
        <v>120.39</v>
      </c>
      <c r="AA1078" s="79">
        <v>112.39100000000001</v>
      </c>
      <c r="AB1078" s="79">
        <v>81.20823</v>
      </c>
      <c r="AC1078" s="79">
        <v>115.6904</v>
      </c>
      <c r="AD1078" s="79">
        <v>87.9</v>
      </c>
      <c r="AE1078" s="79">
        <v>100.7514</v>
      </c>
      <c r="AF1078" s="79">
        <v>106.69110000000001</v>
      </c>
      <c r="AG1078" s="79">
        <v>111.249</v>
      </c>
      <c r="AH1078" s="79">
        <v>96.53707</v>
      </c>
      <c r="AI1078" s="79">
        <v>77.2</v>
      </c>
      <c r="AJ1078" s="79">
        <v>111.8455</v>
      </c>
      <c r="AK1078" s="79">
        <v>81.413570000000007</v>
      </c>
      <c r="AL1078" s="79">
        <v>107.509</v>
      </c>
      <c r="AM1078" s="79">
        <v>113</v>
      </c>
      <c r="AN1078" s="79"/>
      <c r="AO1078" s="79">
        <v>92.561040000000006</v>
      </c>
      <c r="AP1078" s="79">
        <v>104.7825</v>
      </c>
      <c r="AQ1078" s="79"/>
      <c r="AR1078" s="79"/>
      <c r="AS1078" s="79"/>
      <c r="AT1078" s="79">
        <v>82.172449999999998</v>
      </c>
      <c r="AU1078" s="79"/>
      <c r="AV1078" s="79">
        <v>89.1</v>
      </c>
      <c r="AW1078" s="79"/>
      <c r="AX1078" s="79">
        <v>68.794269999999997</v>
      </c>
      <c r="AY1078" s="79">
        <v>113.73520000000001</v>
      </c>
    </row>
    <row r="1079" spans="1:51" x14ac:dyDescent="0.2">
      <c r="A1079" t="s">
        <v>1624</v>
      </c>
      <c r="B1079" s="1">
        <v>39722</v>
      </c>
      <c r="C1079" s="78">
        <v>1079</v>
      </c>
      <c r="E1079" s="1">
        <f t="shared" si="32"/>
        <v>39722</v>
      </c>
      <c r="F1079" s="2">
        <f t="shared" si="33"/>
        <v>39722</v>
      </c>
      <c r="G1079" s="78">
        <v>1077</v>
      </c>
      <c r="H1079" s="79"/>
      <c r="I1079" s="79"/>
      <c r="J1079" s="79">
        <v>98.79177</v>
      </c>
      <c r="K1079" s="79">
        <v>95.12773</v>
      </c>
      <c r="L1079" s="79"/>
      <c r="M1079" s="79">
        <v>88.085319999999996</v>
      </c>
      <c r="N1079" s="79">
        <v>95.292060000000006</v>
      </c>
      <c r="O1079" s="79">
        <v>110.3</v>
      </c>
      <c r="P1079" s="79">
        <v>114.6391</v>
      </c>
      <c r="Q1079" s="79"/>
      <c r="R1079" s="79">
        <v>124</v>
      </c>
      <c r="S1079" s="79">
        <v>106.6009</v>
      </c>
      <c r="T1079" s="79">
        <v>105.1739</v>
      </c>
      <c r="U1079" s="79">
        <v>135.04239999999999</v>
      </c>
      <c r="V1079" s="79">
        <v>87.507289999999998</v>
      </c>
      <c r="W1079" s="79">
        <v>61.244459999999997</v>
      </c>
      <c r="X1079" s="79">
        <v>77.902439999999999</v>
      </c>
      <c r="Y1079" s="79">
        <v>89.74239</v>
      </c>
      <c r="Z1079" s="79">
        <v>117.89019999999999</v>
      </c>
      <c r="AA1079" s="79">
        <v>109.9277</v>
      </c>
      <c r="AB1079" s="79">
        <v>80.055329999999998</v>
      </c>
      <c r="AC1079" s="79">
        <v>102.6914</v>
      </c>
      <c r="AD1079" s="79">
        <v>86</v>
      </c>
      <c r="AE1079" s="79">
        <v>100.76949999999999</v>
      </c>
      <c r="AF1079" s="79">
        <v>106.89109999999999</v>
      </c>
      <c r="AG1079" s="79">
        <v>114.0419</v>
      </c>
      <c r="AH1079" s="79">
        <v>95.461489999999998</v>
      </c>
      <c r="AI1079" s="79">
        <v>76</v>
      </c>
      <c r="AJ1079" s="79">
        <v>111.4002</v>
      </c>
      <c r="AK1079" s="79">
        <v>79.11318</v>
      </c>
      <c r="AL1079" s="79">
        <v>107.30889999999999</v>
      </c>
      <c r="AM1079" s="79">
        <v>110.1</v>
      </c>
      <c r="AN1079" s="79"/>
      <c r="AO1079" s="79">
        <v>93.44144</v>
      </c>
      <c r="AP1079" s="79">
        <v>102.083</v>
      </c>
      <c r="AQ1079" s="79"/>
      <c r="AR1079" s="79"/>
      <c r="AS1079" s="79"/>
      <c r="AT1079" s="79">
        <v>79.667209999999997</v>
      </c>
      <c r="AU1079" s="79"/>
      <c r="AV1079" s="79">
        <v>86.7</v>
      </c>
      <c r="AW1079" s="79"/>
      <c r="AX1079" s="79">
        <v>65.394549999999995</v>
      </c>
      <c r="AY1079" s="79">
        <v>110.43219999999999</v>
      </c>
    </row>
    <row r="1080" spans="1:51" x14ac:dyDescent="0.2">
      <c r="A1080" t="s">
        <v>1625</v>
      </c>
      <c r="B1080" s="1">
        <v>39753</v>
      </c>
      <c r="C1080" s="78">
        <v>1080</v>
      </c>
      <c r="E1080" s="1">
        <f t="shared" si="32"/>
        <v>39753</v>
      </c>
      <c r="F1080" s="2">
        <f t="shared" si="33"/>
        <v>39753</v>
      </c>
      <c r="G1080" s="78">
        <v>1078</v>
      </c>
      <c r="H1080" s="79"/>
      <c r="I1080" s="79"/>
      <c r="J1080" s="79">
        <v>93.792180000000002</v>
      </c>
      <c r="K1080" s="79">
        <v>93.352670000000003</v>
      </c>
      <c r="L1080" s="79"/>
      <c r="M1080" s="79">
        <v>84.985830000000007</v>
      </c>
      <c r="N1080" s="79">
        <v>91.092410000000001</v>
      </c>
      <c r="O1080" s="79">
        <v>108</v>
      </c>
      <c r="P1080" s="79">
        <v>110.9341</v>
      </c>
      <c r="Q1080" s="79"/>
      <c r="R1080" s="79">
        <v>119.5</v>
      </c>
      <c r="S1080" s="79">
        <v>101.2508</v>
      </c>
      <c r="T1080" s="79">
        <v>101.8515</v>
      </c>
      <c r="U1080" s="79">
        <v>130.24799999999999</v>
      </c>
      <c r="V1080" s="79">
        <v>84.907070000000004</v>
      </c>
      <c r="W1080" s="79">
        <v>67.541179999999997</v>
      </c>
      <c r="X1080" s="79">
        <v>77.231409999999997</v>
      </c>
      <c r="Y1080" s="79">
        <v>88.618260000000006</v>
      </c>
      <c r="Z1080" s="79">
        <v>113.8905</v>
      </c>
      <c r="AA1080" s="79">
        <v>102.8455</v>
      </c>
      <c r="AB1080" s="79">
        <v>71.61103</v>
      </c>
      <c r="AC1080" s="79">
        <v>95.392049999999998</v>
      </c>
      <c r="AD1080" s="79">
        <v>82</v>
      </c>
      <c r="AE1080" s="79">
        <v>99.332570000000004</v>
      </c>
      <c r="AF1080" s="79">
        <v>101.5915</v>
      </c>
      <c r="AG1080" s="79">
        <v>113.2273</v>
      </c>
      <c r="AH1080" s="79">
        <v>92.298259999999999</v>
      </c>
      <c r="AI1080" s="79">
        <v>72.8</v>
      </c>
      <c r="AJ1080" s="79">
        <v>108.41119999999999</v>
      </c>
      <c r="AK1080" s="79">
        <v>76.812809999999999</v>
      </c>
      <c r="AL1080" s="79">
        <v>94.407870000000003</v>
      </c>
      <c r="AM1080" s="79">
        <v>105.8</v>
      </c>
      <c r="AN1080" s="79"/>
      <c r="AO1080" s="79">
        <v>92.267030000000005</v>
      </c>
      <c r="AP1080" s="79">
        <v>98.383610000000004</v>
      </c>
      <c r="AQ1080" s="79"/>
      <c r="AR1080" s="79"/>
      <c r="AS1080" s="79"/>
      <c r="AT1080" s="79">
        <v>78.980320000000006</v>
      </c>
      <c r="AU1080" s="79"/>
      <c r="AV1080" s="79">
        <v>78.3</v>
      </c>
      <c r="AW1080" s="79"/>
      <c r="AX1080" s="79">
        <v>62.894759999999998</v>
      </c>
      <c r="AY1080" s="79">
        <v>103.9361</v>
      </c>
    </row>
    <row r="1081" spans="1:51" x14ac:dyDescent="0.2">
      <c r="A1081" t="s">
        <v>1626</v>
      </c>
      <c r="B1081" s="1">
        <v>39783</v>
      </c>
      <c r="C1081" s="78">
        <v>1081</v>
      </c>
      <c r="E1081" s="1">
        <f t="shared" si="32"/>
        <v>39783</v>
      </c>
      <c r="F1081" s="2">
        <f t="shared" si="33"/>
        <v>39783</v>
      </c>
      <c r="G1081" s="78">
        <v>1079</v>
      </c>
      <c r="H1081" s="79"/>
      <c r="I1081" s="79"/>
      <c r="J1081" s="79">
        <v>93.192229999999995</v>
      </c>
      <c r="K1081" s="79">
        <v>90.390839999999997</v>
      </c>
      <c r="L1081" s="79"/>
      <c r="M1081" s="79">
        <v>82.686220000000006</v>
      </c>
      <c r="N1081" s="79">
        <v>87.692700000000002</v>
      </c>
      <c r="O1081" s="79">
        <v>108</v>
      </c>
      <c r="P1081" s="79">
        <v>107.19110000000001</v>
      </c>
      <c r="Q1081" s="79"/>
      <c r="R1081" s="79">
        <v>104</v>
      </c>
      <c r="S1081" s="79">
        <v>99.850830000000002</v>
      </c>
      <c r="T1081" s="79">
        <v>100.5018</v>
      </c>
      <c r="U1081" s="79">
        <v>129.34909999999999</v>
      </c>
      <c r="V1081" s="79">
        <v>74.606219999999993</v>
      </c>
      <c r="W1081" s="79">
        <v>60.35342</v>
      </c>
      <c r="X1081" s="79">
        <v>75.752589999999998</v>
      </c>
      <c r="Y1081" s="79">
        <v>89.367679999999993</v>
      </c>
      <c r="Z1081" s="79">
        <v>109.29089999999999</v>
      </c>
      <c r="AA1081" s="79">
        <v>94.531649999999999</v>
      </c>
      <c r="AB1081" s="79">
        <v>64.09966</v>
      </c>
      <c r="AC1081" s="79">
        <v>86.192819999999998</v>
      </c>
      <c r="AD1081" s="79">
        <v>81</v>
      </c>
      <c r="AE1081" s="79">
        <v>98.202060000000003</v>
      </c>
      <c r="AF1081" s="79">
        <v>97.59187</v>
      </c>
      <c r="AG1081" s="79">
        <v>113.69280000000001</v>
      </c>
      <c r="AH1081" s="79">
        <v>88.828699999999998</v>
      </c>
      <c r="AI1081" s="79">
        <v>72.400000000000006</v>
      </c>
      <c r="AJ1081" s="79">
        <v>104.7744</v>
      </c>
      <c r="AK1081" s="79">
        <v>74.212370000000007</v>
      </c>
      <c r="AL1081" s="79">
        <v>85.307109999999994</v>
      </c>
      <c r="AM1081" s="79">
        <v>99.3</v>
      </c>
      <c r="AN1081" s="79"/>
      <c r="AO1081" s="79">
        <v>89.56953</v>
      </c>
      <c r="AP1081" s="79">
        <v>94.984170000000006</v>
      </c>
      <c r="AQ1081" s="79"/>
      <c r="AR1081" s="79"/>
      <c r="AS1081" s="79"/>
      <c r="AT1081" s="79">
        <v>76.862179999999995</v>
      </c>
      <c r="AU1081" s="79"/>
      <c r="AV1081" s="79">
        <v>76</v>
      </c>
      <c r="AW1081" s="79"/>
      <c r="AX1081" s="79">
        <v>61.094909999999999</v>
      </c>
      <c r="AY1081" s="79">
        <v>92.265339999999995</v>
      </c>
    </row>
    <row r="1082" spans="1:51" x14ac:dyDescent="0.2">
      <c r="A1082" t="s">
        <v>1627</v>
      </c>
      <c r="B1082" s="1">
        <v>39814</v>
      </c>
      <c r="C1082" s="78">
        <v>1082</v>
      </c>
      <c r="E1082" s="1">
        <f t="shared" si="32"/>
        <v>39814</v>
      </c>
      <c r="F1082" s="2">
        <f t="shared" si="33"/>
        <v>39814</v>
      </c>
      <c r="G1082" s="78">
        <v>1080</v>
      </c>
      <c r="H1082" s="79"/>
      <c r="I1082" s="79"/>
      <c r="J1082" s="79">
        <v>88.092659999999995</v>
      </c>
      <c r="K1082" s="79">
        <v>88.645740000000004</v>
      </c>
      <c r="L1082" s="79"/>
      <c r="M1082" s="79">
        <v>78.286950000000004</v>
      </c>
      <c r="N1082" s="79">
        <v>80.693280000000001</v>
      </c>
      <c r="O1082" s="79">
        <v>104.7</v>
      </c>
      <c r="P1082" s="79">
        <v>106.6271</v>
      </c>
      <c r="Q1082" s="79"/>
      <c r="R1082" s="79">
        <v>99.8</v>
      </c>
      <c r="S1082" s="79">
        <v>96.180800000000005</v>
      </c>
      <c r="T1082" s="79">
        <v>98.01003</v>
      </c>
      <c r="U1082" s="79">
        <v>123.6557</v>
      </c>
      <c r="V1082" s="79">
        <v>74.206180000000003</v>
      </c>
      <c r="W1082" s="79">
        <v>62.788939999999997</v>
      </c>
      <c r="X1082" s="79">
        <v>70.574200000000005</v>
      </c>
      <c r="Y1082" s="79">
        <v>86.088989999999995</v>
      </c>
      <c r="Z1082" s="79">
        <v>104.99120000000001</v>
      </c>
      <c r="AA1082" s="79">
        <v>86.936269999999993</v>
      </c>
      <c r="AB1082" s="79">
        <v>65.432550000000006</v>
      </c>
      <c r="AC1082" s="79">
        <v>90.092489999999998</v>
      </c>
      <c r="AD1082" s="79">
        <v>75.900000000000006</v>
      </c>
      <c r="AE1082" s="79">
        <v>95.415790000000001</v>
      </c>
      <c r="AF1082" s="79">
        <v>100.49160000000001</v>
      </c>
      <c r="AG1082" s="79">
        <v>111.48180000000001</v>
      </c>
      <c r="AH1082" s="79">
        <v>85.716269999999994</v>
      </c>
      <c r="AI1082" s="79">
        <v>71.400000000000006</v>
      </c>
      <c r="AJ1082" s="79">
        <v>100.77719999999999</v>
      </c>
      <c r="AK1082" s="79">
        <v>69.911649999999995</v>
      </c>
      <c r="AL1082" s="79">
        <v>91.107590000000002</v>
      </c>
      <c r="AM1082" s="79">
        <v>95.8</v>
      </c>
      <c r="AN1082" s="79"/>
      <c r="AO1082" s="79">
        <v>87.442189999999997</v>
      </c>
      <c r="AP1082" s="79">
        <v>91.084819999999993</v>
      </c>
      <c r="AQ1082" s="79"/>
      <c r="AR1082" s="79"/>
      <c r="AS1082" s="79"/>
      <c r="AT1082" s="79">
        <v>75.370249999999999</v>
      </c>
      <c r="AU1082" s="79"/>
      <c r="AV1082" s="79">
        <v>75.400000000000006</v>
      </c>
      <c r="AW1082" s="79"/>
      <c r="AX1082" s="79">
        <v>56.995249999999999</v>
      </c>
      <c r="AY1082" s="79">
        <v>94.24718</v>
      </c>
    </row>
    <row r="1083" spans="1:51" x14ac:dyDescent="0.2">
      <c r="A1083" t="s">
        <v>1628</v>
      </c>
      <c r="B1083" s="1">
        <v>39845</v>
      </c>
      <c r="C1083" s="78">
        <v>1083</v>
      </c>
      <c r="E1083" s="1">
        <f t="shared" si="32"/>
        <v>39845</v>
      </c>
      <c r="F1083" s="2">
        <f t="shared" si="33"/>
        <v>39845</v>
      </c>
      <c r="G1083" s="78">
        <v>1081</v>
      </c>
      <c r="H1083" s="79"/>
      <c r="I1083" s="79"/>
      <c r="J1083" s="79">
        <v>87.592699999999994</v>
      </c>
      <c r="K1083" s="79">
        <v>87.567049999999995</v>
      </c>
      <c r="L1083" s="79"/>
      <c r="M1083" s="79">
        <v>78.5869</v>
      </c>
      <c r="N1083" s="79">
        <v>78.193479999999994</v>
      </c>
      <c r="O1083" s="79">
        <v>101.8</v>
      </c>
      <c r="P1083" s="79">
        <v>105.9551</v>
      </c>
      <c r="Q1083" s="79"/>
      <c r="R1083" s="79">
        <v>104.1</v>
      </c>
      <c r="S1083" s="79">
        <v>94.840789999999998</v>
      </c>
      <c r="T1083" s="79">
        <v>98.01003</v>
      </c>
      <c r="U1083" s="79">
        <v>129.14930000000001</v>
      </c>
      <c r="V1083" s="79">
        <v>71.705979999999997</v>
      </c>
      <c r="W1083" s="79">
        <v>61.957299999999996</v>
      </c>
      <c r="X1083" s="79">
        <v>61.896360000000001</v>
      </c>
      <c r="Y1083" s="79">
        <v>85.807959999999994</v>
      </c>
      <c r="Z1083" s="79">
        <v>101.2916</v>
      </c>
      <c r="AA1083" s="79">
        <v>79.648809999999997</v>
      </c>
      <c r="AB1083" s="79">
        <v>70.186149999999998</v>
      </c>
      <c r="AC1083" s="79">
        <v>87.092740000000006</v>
      </c>
      <c r="AD1083" s="79">
        <v>75.900000000000006</v>
      </c>
      <c r="AE1083" s="79">
        <v>95.869240000000005</v>
      </c>
      <c r="AF1083" s="79">
        <v>96.691940000000002</v>
      </c>
      <c r="AG1083" s="79">
        <v>114.5074</v>
      </c>
      <c r="AH1083" s="79">
        <v>84.503820000000005</v>
      </c>
      <c r="AI1083" s="79">
        <v>72.599999999999994</v>
      </c>
      <c r="AJ1083" s="79">
        <v>100.7105</v>
      </c>
      <c r="AK1083" s="79">
        <v>72.41207</v>
      </c>
      <c r="AL1083" s="79">
        <v>87.007249999999999</v>
      </c>
      <c r="AM1083" s="79">
        <v>96.3</v>
      </c>
      <c r="AN1083" s="79"/>
      <c r="AO1083" s="79">
        <v>86.878280000000004</v>
      </c>
      <c r="AP1083" s="79">
        <v>88.985169999999997</v>
      </c>
      <c r="AQ1083" s="79"/>
      <c r="AR1083" s="79"/>
      <c r="AS1083" s="79"/>
      <c r="AT1083" s="79">
        <v>76.240260000000006</v>
      </c>
      <c r="AU1083" s="79"/>
      <c r="AV1083" s="79">
        <v>76.5</v>
      </c>
      <c r="AW1083" s="79"/>
      <c r="AX1083" s="79">
        <v>58.195149999999998</v>
      </c>
      <c r="AY1083" s="79">
        <v>96.449219999999997</v>
      </c>
    </row>
    <row r="1084" spans="1:51" x14ac:dyDescent="0.2">
      <c r="A1084" t="s">
        <v>1629</v>
      </c>
      <c r="B1084" s="1">
        <v>39873</v>
      </c>
      <c r="C1084" s="78">
        <v>1084</v>
      </c>
      <c r="E1084" s="1">
        <f t="shared" si="32"/>
        <v>39873</v>
      </c>
      <c r="F1084" s="2">
        <f t="shared" si="33"/>
        <v>39873</v>
      </c>
      <c r="G1084" s="78">
        <v>1082</v>
      </c>
      <c r="H1084" s="79"/>
      <c r="I1084" s="79"/>
      <c r="J1084" s="79">
        <v>85.792850000000001</v>
      </c>
      <c r="K1084" s="79">
        <v>85.791719999999998</v>
      </c>
      <c r="L1084" s="79"/>
      <c r="M1084" s="79">
        <v>79.986670000000004</v>
      </c>
      <c r="N1084" s="79">
        <v>78.493459999999999</v>
      </c>
      <c r="O1084" s="79">
        <v>98.3</v>
      </c>
      <c r="P1084" s="79">
        <v>102.8391</v>
      </c>
      <c r="Q1084" s="79"/>
      <c r="R1084" s="79">
        <v>102.2</v>
      </c>
      <c r="S1084" s="79">
        <v>93.10078</v>
      </c>
      <c r="T1084" s="79">
        <v>97.698560000000001</v>
      </c>
      <c r="U1084" s="79">
        <v>125.05410000000001</v>
      </c>
      <c r="V1084" s="79">
        <v>75.106260000000006</v>
      </c>
      <c r="W1084" s="79">
        <v>63.501779999999997</v>
      </c>
      <c r="X1084" s="79">
        <v>63.971159999999998</v>
      </c>
      <c r="Y1084" s="79">
        <v>81.405150000000006</v>
      </c>
      <c r="Z1084" s="79">
        <v>97.291889999999995</v>
      </c>
      <c r="AA1084" s="79">
        <v>80.367289999999997</v>
      </c>
      <c r="AB1084" s="79">
        <v>73.253900000000002</v>
      </c>
      <c r="AC1084" s="79">
        <v>82.393140000000002</v>
      </c>
      <c r="AD1084" s="79">
        <v>73.099999999999994</v>
      </c>
      <c r="AE1084" s="79">
        <v>94.953460000000007</v>
      </c>
      <c r="AF1084" s="79">
        <v>94.792100000000005</v>
      </c>
      <c r="AG1084" s="79">
        <v>110.8999</v>
      </c>
      <c r="AH1084" s="79">
        <v>83.901470000000003</v>
      </c>
      <c r="AI1084" s="79">
        <v>74.400000000000006</v>
      </c>
      <c r="AJ1084" s="79">
        <v>101.3188</v>
      </c>
      <c r="AK1084" s="79">
        <v>71.711950000000002</v>
      </c>
      <c r="AL1084" s="79">
        <v>86.007159999999999</v>
      </c>
      <c r="AM1084" s="79">
        <v>93.7</v>
      </c>
      <c r="AN1084" s="79"/>
      <c r="AO1084" s="79">
        <v>85.500720000000001</v>
      </c>
      <c r="AP1084" s="79">
        <v>87.885350000000003</v>
      </c>
      <c r="AQ1084" s="79"/>
      <c r="AR1084" s="79"/>
      <c r="AS1084" s="79"/>
      <c r="AT1084" s="79">
        <v>75.681889999999996</v>
      </c>
      <c r="AU1084" s="79"/>
      <c r="AV1084" s="79">
        <v>76.400000000000006</v>
      </c>
      <c r="AW1084" s="79"/>
      <c r="AX1084" s="79">
        <v>57.595199999999998</v>
      </c>
      <c r="AY1084" s="79">
        <v>96.889629999999997</v>
      </c>
    </row>
    <row r="1085" spans="1:51" x14ac:dyDescent="0.2">
      <c r="A1085" t="s">
        <v>1630</v>
      </c>
      <c r="B1085" s="1">
        <v>39904</v>
      </c>
      <c r="C1085" s="78">
        <v>1085</v>
      </c>
      <c r="E1085" s="1">
        <f t="shared" si="32"/>
        <v>39904</v>
      </c>
      <c r="F1085" s="2">
        <f t="shared" si="33"/>
        <v>39904</v>
      </c>
      <c r="G1085" s="78">
        <v>1083</v>
      </c>
      <c r="H1085" s="79"/>
      <c r="I1085" s="79"/>
      <c r="J1085" s="79">
        <v>85.792850000000001</v>
      </c>
      <c r="K1085" s="79">
        <v>84.177170000000004</v>
      </c>
      <c r="L1085" s="79"/>
      <c r="M1085" s="79">
        <v>78.386930000000007</v>
      </c>
      <c r="N1085" s="79">
        <v>76.193650000000005</v>
      </c>
      <c r="O1085" s="79">
        <v>96.5</v>
      </c>
      <c r="P1085" s="79">
        <v>103.9871</v>
      </c>
      <c r="Q1085" s="79"/>
      <c r="R1085" s="79">
        <v>99.2</v>
      </c>
      <c r="S1085" s="79">
        <v>93.060779999999994</v>
      </c>
      <c r="T1085" s="79">
        <v>99.255930000000006</v>
      </c>
      <c r="U1085" s="79">
        <v>123.456</v>
      </c>
      <c r="V1085" s="79">
        <v>71.705979999999997</v>
      </c>
      <c r="W1085" s="79">
        <v>62.90775</v>
      </c>
      <c r="X1085" s="79">
        <v>65.096040000000002</v>
      </c>
      <c r="Y1085" s="79">
        <v>82.341920000000002</v>
      </c>
      <c r="Z1085" s="79">
        <v>97.791849999999997</v>
      </c>
      <c r="AA1085" s="79">
        <v>83.857060000000004</v>
      </c>
      <c r="AB1085" s="79">
        <v>76.18965</v>
      </c>
      <c r="AC1085" s="79">
        <v>88.492620000000002</v>
      </c>
      <c r="AD1085" s="79">
        <v>75</v>
      </c>
      <c r="AE1085" s="79">
        <v>95.012829999999994</v>
      </c>
      <c r="AF1085" s="79">
        <v>91.392390000000006</v>
      </c>
      <c r="AG1085" s="79">
        <v>109.7362</v>
      </c>
      <c r="AH1085" s="79">
        <v>83.997910000000005</v>
      </c>
      <c r="AI1085" s="79">
        <v>73.099999999999994</v>
      </c>
      <c r="AJ1085" s="79">
        <v>102.58240000000001</v>
      </c>
      <c r="AK1085" s="79">
        <v>69.911649999999995</v>
      </c>
      <c r="AL1085" s="79">
        <v>81.206760000000003</v>
      </c>
      <c r="AM1085" s="79">
        <v>93.3</v>
      </c>
      <c r="AN1085" s="79"/>
      <c r="AO1085" s="79">
        <v>84.818370000000002</v>
      </c>
      <c r="AP1085" s="79">
        <v>86.685550000000006</v>
      </c>
      <c r="AQ1085" s="79"/>
      <c r="AR1085" s="79"/>
      <c r="AS1085" s="79"/>
      <c r="AT1085" s="79">
        <v>78.040490000000005</v>
      </c>
      <c r="AU1085" s="79"/>
      <c r="AV1085" s="79">
        <v>76.900000000000006</v>
      </c>
      <c r="AW1085" s="79"/>
      <c r="AX1085" s="79">
        <v>58.49512</v>
      </c>
      <c r="AY1085" s="79">
        <v>98.100750000000005</v>
      </c>
    </row>
    <row r="1086" spans="1:51" x14ac:dyDescent="0.2">
      <c r="A1086" t="s">
        <v>1631</v>
      </c>
      <c r="B1086" s="1">
        <v>39934</v>
      </c>
      <c r="C1086" s="78">
        <v>1086</v>
      </c>
      <c r="E1086" s="1">
        <f t="shared" si="32"/>
        <v>39934</v>
      </c>
      <c r="F1086" s="2">
        <f t="shared" si="33"/>
        <v>39934</v>
      </c>
      <c r="G1086" s="78">
        <v>1084</v>
      </c>
      <c r="H1086" s="79"/>
      <c r="I1086" s="79"/>
      <c r="J1086" s="79">
        <v>95.792019999999994</v>
      </c>
      <c r="K1086" s="79">
        <v>83.430760000000006</v>
      </c>
      <c r="L1086" s="79"/>
      <c r="M1086" s="79">
        <v>78.286950000000004</v>
      </c>
      <c r="N1086" s="79">
        <v>79.693359999999998</v>
      </c>
      <c r="O1086" s="79">
        <v>94.5</v>
      </c>
      <c r="P1086" s="79">
        <v>103.0791</v>
      </c>
      <c r="Q1086" s="79"/>
      <c r="R1086" s="79">
        <v>97.4</v>
      </c>
      <c r="S1086" s="79">
        <v>94.160780000000003</v>
      </c>
      <c r="T1086" s="79">
        <v>97.698560000000001</v>
      </c>
      <c r="U1086" s="79">
        <v>124.255</v>
      </c>
      <c r="V1086" s="79">
        <v>72.506039999999999</v>
      </c>
      <c r="W1086" s="79">
        <v>60.53163</v>
      </c>
      <c r="X1086" s="79">
        <v>66.518259999999998</v>
      </c>
      <c r="Y1086" s="79">
        <v>81.967219999999998</v>
      </c>
      <c r="Z1086" s="79">
        <v>99.491709999999998</v>
      </c>
      <c r="AA1086" s="79">
        <v>86.936269999999993</v>
      </c>
      <c r="AB1086" s="79">
        <v>77.141570000000002</v>
      </c>
      <c r="AC1086" s="79">
        <v>89.59254</v>
      </c>
      <c r="AD1086" s="79">
        <v>73.400000000000006</v>
      </c>
      <c r="AE1086" s="79">
        <v>94.501940000000005</v>
      </c>
      <c r="AF1086" s="79">
        <v>96.091999999999999</v>
      </c>
      <c r="AG1086" s="79">
        <v>105.3142</v>
      </c>
      <c r="AH1086" s="79">
        <v>84.636780000000002</v>
      </c>
      <c r="AI1086" s="79">
        <v>73.7</v>
      </c>
      <c r="AJ1086" s="79">
        <v>100.15179999999999</v>
      </c>
      <c r="AK1086" s="79">
        <v>69.811639999999997</v>
      </c>
      <c r="AL1086" s="79">
        <v>84.307019999999994</v>
      </c>
      <c r="AM1086" s="79">
        <v>90.5</v>
      </c>
      <c r="AN1086" s="79"/>
      <c r="AO1086" s="79">
        <v>83.963419999999999</v>
      </c>
      <c r="AP1086" s="79">
        <v>88.685220000000001</v>
      </c>
      <c r="AQ1086" s="79"/>
      <c r="AR1086" s="79"/>
      <c r="AS1086" s="79"/>
      <c r="AT1086" s="79">
        <v>79.007660000000001</v>
      </c>
      <c r="AU1086" s="79"/>
      <c r="AV1086" s="79">
        <v>76.8</v>
      </c>
      <c r="AW1086" s="79"/>
      <c r="AX1086" s="79">
        <v>60.394970000000001</v>
      </c>
      <c r="AY1086" s="79">
        <v>99.421970000000002</v>
      </c>
    </row>
    <row r="1087" spans="1:51" x14ac:dyDescent="0.2">
      <c r="A1087" t="s">
        <v>1632</v>
      </c>
      <c r="B1087" s="1">
        <v>39965</v>
      </c>
      <c r="C1087" s="78">
        <v>1087</v>
      </c>
      <c r="E1087" s="1">
        <f t="shared" si="32"/>
        <v>39965</v>
      </c>
      <c r="F1087" s="2">
        <f t="shared" si="33"/>
        <v>39965</v>
      </c>
      <c r="G1087" s="78">
        <v>1085</v>
      </c>
      <c r="H1087" s="79"/>
      <c r="I1087" s="79"/>
      <c r="J1087" s="79">
        <v>86.992750000000001</v>
      </c>
      <c r="K1087" s="79">
        <v>83.068790000000007</v>
      </c>
      <c r="L1087" s="79"/>
      <c r="M1087" s="79">
        <v>80.686549999999997</v>
      </c>
      <c r="N1087" s="79">
        <v>80.293310000000005</v>
      </c>
      <c r="O1087" s="79">
        <v>97.3</v>
      </c>
      <c r="P1087" s="79">
        <v>103.8681</v>
      </c>
      <c r="Q1087" s="79"/>
      <c r="R1087" s="79">
        <v>100</v>
      </c>
      <c r="S1087" s="79">
        <v>95.390789999999996</v>
      </c>
      <c r="T1087" s="79">
        <v>98.217680000000001</v>
      </c>
      <c r="U1087" s="79">
        <v>123.3561</v>
      </c>
      <c r="V1087" s="79">
        <v>74.306190000000001</v>
      </c>
      <c r="W1087" s="79">
        <v>61.48207</v>
      </c>
      <c r="X1087" s="79">
        <v>68.643020000000007</v>
      </c>
      <c r="Y1087" s="79">
        <v>84.121780000000001</v>
      </c>
      <c r="Z1087" s="79">
        <v>98.79177</v>
      </c>
      <c r="AA1087" s="79">
        <v>88.373239999999996</v>
      </c>
      <c r="AB1087" s="79">
        <v>80.249309999999994</v>
      </c>
      <c r="AC1087" s="79">
        <v>91.392390000000006</v>
      </c>
      <c r="AD1087" s="79">
        <v>74.3</v>
      </c>
      <c r="AE1087" s="79">
        <v>94.604370000000003</v>
      </c>
      <c r="AF1087" s="79">
        <v>97.091909999999999</v>
      </c>
      <c r="AG1087" s="79">
        <v>106.7106</v>
      </c>
      <c r="AH1087" s="79">
        <v>85.171040000000005</v>
      </c>
      <c r="AI1087" s="79">
        <v>74.7</v>
      </c>
      <c r="AJ1087" s="79">
        <v>100.3541</v>
      </c>
      <c r="AK1087" s="79">
        <v>70.811809999999994</v>
      </c>
      <c r="AL1087" s="79">
        <v>84.807069999999996</v>
      </c>
      <c r="AM1087" s="79">
        <v>92.7</v>
      </c>
      <c r="AN1087" s="79"/>
      <c r="AO1087" s="79">
        <v>83.635599999999997</v>
      </c>
      <c r="AP1087" s="79">
        <v>89.285120000000006</v>
      </c>
      <c r="AQ1087" s="79"/>
      <c r="AR1087" s="79"/>
      <c r="AS1087" s="79"/>
      <c r="AT1087" s="79">
        <v>79.569940000000003</v>
      </c>
      <c r="AU1087" s="79"/>
      <c r="AV1087" s="79">
        <v>77.8</v>
      </c>
      <c r="AW1087" s="79"/>
      <c r="AX1087" s="79">
        <v>62.094830000000002</v>
      </c>
      <c r="AY1087" s="79">
        <v>100.7432</v>
      </c>
    </row>
    <row r="1088" spans="1:51" x14ac:dyDescent="0.2">
      <c r="A1088" t="s">
        <v>1633</v>
      </c>
      <c r="B1088" s="1">
        <v>39995</v>
      </c>
      <c r="C1088" s="78">
        <v>1088</v>
      </c>
      <c r="E1088" s="1">
        <f t="shared" si="32"/>
        <v>39995</v>
      </c>
      <c r="F1088" s="2">
        <f t="shared" si="33"/>
        <v>39995</v>
      </c>
      <c r="G1088" s="78">
        <v>1086</v>
      </c>
      <c r="H1088" s="79"/>
      <c r="I1088" s="79"/>
      <c r="J1088" s="79">
        <v>86.492789999999999</v>
      </c>
      <c r="K1088" s="79">
        <v>83.160550000000001</v>
      </c>
      <c r="L1088" s="79"/>
      <c r="M1088" s="79">
        <v>78.786869999999993</v>
      </c>
      <c r="N1088" s="79">
        <v>79.493380000000002</v>
      </c>
      <c r="O1088" s="79">
        <v>96.4</v>
      </c>
      <c r="P1088" s="79">
        <v>104.7851</v>
      </c>
      <c r="Q1088" s="79"/>
      <c r="R1088" s="79">
        <v>101.1</v>
      </c>
      <c r="S1088" s="79">
        <v>95.01079</v>
      </c>
      <c r="T1088" s="79">
        <v>99.463579999999993</v>
      </c>
      <c r="U1088" s="79">
        <v>124.45480000000001</v>
      </c>
      <c r="V1088" s="79">
        <v>74.006159999999994</v>
      </c>
      <c r="W1088" s="79">
        <v>60.88805</v>
      </c>
      <c r="X1088" s="79">
        <v>72.107159999999993</v>
      </c>
      <c r="Y1088" s="79">
        <v>79.625290000000007</v>
      </c>
      <c r="Z1088" s="79">
        <v>100.8916</v>
      </c>
      <c r="AA1088" s="79">
        <v>89.399640000000005</v>
      </c>
      <c r="AB1088" s="79">
        <v>82.152150000000006</v>
      </c>
      <c r="AC1088" s="79">
        <v>92.492289999999997</v>
      </c>
      <c r="AD1088" s="79">
        <v>72.400000000000006</v>
      </c>
      <c r="AE1088" s="79">
        <v>95.863929999999996</v>
      </c>
      <c r="AF1088" s="79">
        <v>99.191730000000007</v>
      </c>
      <c r="AG1088" s="79">
        <v>107.4088</v>
      </c>
      <c r="AH1088" s="79">
        <v>85.953119999999998</v>
      </c>
      <c r="AI1088" s="79">
        <v>74.599999999999994</v>
      </c>
      <c r="AJ1088" s="79">
        <v>104.3655</v>
      </c>
      <c r="AK1088" s="79">
        <v>72.212040000000002</v>
      </c>
      <c r="AL1088" s="79">
        <v>84.007000000000005</v>
      </c>
      <c r="AM1088" s="79">
        <v>92.3</v>
      </c>
      <c r="AN1088" s="79"/>
      <c r="AO1088" s="79">
        <v>84.555859999999996</v>
      </c>
      <c r="AP1088" s="79">
        <v>89.385099999999994</v>
      </c>
      <c r="AQ1088" s="79"/>
      <c r="AR1088" s="79"/>
      <c r="AS1088" s="79"/>
      <c r="AT1088" s="79">
        <v>80.432429999999997</v>
      </c>
      <c r="AU1088" s="79"/>
      <c r="AV1088" s="79">
        <v>79</v>
      </c>
      <c r="AW1088" s="79"/>
      <c r="AX1088" s="79">
        <v>63.19473</v>
      </c>
      <c r="AY1088" s="79">
        <v>101.9543</v>
      </c>
    </row>
    <row r="1089" spans="1:51" x14ac:dyDescent="0.2">
      <c r="A1089" t="s">
        <v>1634</v>
      </c>
      <c r="B1089" s="1">
        <v>40026</v>
      </c>
      <c r="C1089" s="78">
        <v>1089</v>
      </c>
      <c r="E1089" s="1">
        <f t="shared" si="32"/>
        <v>40026</v>
      </c>
      <c r="F1089" s="2">
        <f t="shared" si="33"/>
        <v>40026</v>
      </c>
      <c r="G1089" s="78">
        <v>1087</v>
      </c>
      <c r="H1089" s="79"/>
      <c r="I1089" s="79"/>
      <c r="J1089" s="79">
        <v>90.692440000000005</v>
      </c>
      <c r="K1089" s="79">
        <v>82.912019999999998</v>
      </c>
      <c r="L1089" s="79"/>
      <c r="M1089" s="79">
        <v>81.386439999999993</v>
      </c>
      <c r="N1089" s="79">
        <v>80.493290000000002</v>
      </c>
      <c r="O1089" s="79">
        <v>97</v>
      </c>
      <c r="P1089" s="79">
        <v>104.9461</v>
      </c>
      <c r="Q1089" s="79"/>
      <c r="R1089" s="79">
        <v>101.7</v>
      </c>
      <c r="S1089" s="79">
        <v>96.600809999999996</v>
      </c>
      <c r="T1089" s="79">
        <v>96.971789999999999</v>
      </c>
      <c r="U1089" s="79">
        <v>119.0611</v>
      </c>
      <c r="V1089" s="79">
        <v>73.706140000000005</v>
      </c>
      <c r="W1089" s="79">
        <v>54.353720000000003</v>
      </c>
      <c r="X1089" s="79">
        <v>76.869789999999995</v>
      </c>
      <c r="Y1089" s="79">
        <v>85.714290000000005</v>
      </c>
      <c r="Z1089" s="79">
        <v>98.59178</v>
      </c>
      <c r="AA1089" s="79">
        <v>90.733959999999996</v>
      </c>
      <c r="AB1089" s="79">
        <v>83.020079999999993</v>
      </c>
      <c r="AC1089" s="79">
        <v>95.092079999999996</v>
      </c>
      <c r="AD1089" s="79">
        <v>73.400000000000006</v>
      </c>
      <c r="AE1089" s="79">
        <v>94.913970000000006</v>
      </c>
      <c r="AF1089" s="79">
        <v>98.291809999999998</v>
      </c>
      <c r="AG1089" s="79">
        <v>107.6416</v>
      </c>
      <c r="AH1089" s="79">
        <v>86.46669</v>
      </c>
      <c r="AI1089" s="79">
        <v>75.099999999999994</v>
      </c>
      <c r="AJ1089" s="79">
        <v>102.0861</v>
      </c>
      <c r="AK1089" s="79">
        <v>76.712779999999995</v>
      </c>
      <c r="AL1089" s="79">
        <v>87.407290000000003</v>
      </c>
      <c r="AM1089" s="79">
        <v>93.6</v>
      </c>
      <c r="AN1089" s="79"/>
      <c r="AO1089" s="79">
        <v>85.503600000000006</v>
      </c>
      <c r="AP1089" s="79">
        <v>89.385099999999994</v>
      </c>
      <c r="AQ1089" s="79"/>
      <c r="AR1089" s="79"/>
      <c r="AS1089" s="79"/>
      <c r="AT1089" s="79">
        <v>84.564170000000004</v>
      </c>
      <c r="AU1089" s="79"/>
      <c r="AV1089" s="79">
        <v>78.5</v>
      </c>
      <c r="AW1089" s="79"/>
      <c r="AX1089" s="79">
        <v>62.394799999999996</v>
      </c>
      <c r="AY1089" s="79">
        <v>103.4957</v>
      </c>
    </row>
    <row r="1090" spans="1:51" x14ac:dyDescent="0.2">
      <c r="A1090" t="s">
        <v>1635</v>
      </c>
      <c r="B1090" s="1">
        <v>40057</v>
      </c>
      <c r="C1090" s="78">
        <v>1090</v>
      </c>
      <c r="E1090" s="1">
        <f t="shared" ref="E1090:E1153" si="34">B1090</f>
        <v>40057</v>
      </c>
      <c r="F1090" s="2">
        <f t="shared" ref="F1090:F1153" si="35">B1090</f>
        <v>40057</v>
      </c>
      <c r="G1090" s="78">
        <v>1088</v>
      </c>
      <c r="H1090" s="79"/>
      <c r="I1090" s="79"/>
      <c r="J1090" s="79">
        <v>89.092579999999998</v>
      </c>
      <c r="K1090" s="79">
        <v>84.33475</v>
      </c>
      <c r="L1090" s="79"/>
      <c r="M1090" s="79">
        <v>81.486419999999995</v>
      </c>
      <c r="N1090" s="79">
        <v>84.09299</v>
      </c>
      <c r="O1090" s="79">
        <v>93.7</v>
      </c>
      <c r="P1090" s="79">
        <v>106.01609999999999</v>
      </c>
      <c r="Q1090" s="79"/>
      <c r="R1090" s="79">
        <v>99.9</v>
      </c>
      <c r="S1090" s="79">
        <v>97.090810000000005</v>
      </c>
      <c r="T1090" s="79">
        <v>98.113860000000003</v>
      </c>
      <c r="U1090" s="79">
        <v>123.25620000000001</v>
      </c>
      <c r="V1090" s="79">
        <v>75.706310000000002</v>
      </c>
      <c r="W1090" s="79">
        <v>59.52178</v>
      </c>
      <c r="X1090" s="79">
        <v>76.005390000000006</v>
      </c>
      <c r="Y1090" s="79">
        <v>86.276340000000005</v>
      </c>
      <c r="Z1090" s="79">
        <v>101.5915</v>
      </c>
      <c r="AA1090" s="79">
        <v>93.505250000000004</v>
      </c>
      <c r="AB1090" s="79">
        <v>86.106830000000002</v>
      </c>
      <c r="AC1090" s="79">
        <v>105.3912</v>
      </c>
      <c r="AD1090" s="79">
        <v>72.5</v>
      </c>
      <c r="AE1090" s="79">
        <v>95.214370000000002</v>
      </c>
      <c r="AF1090" s="79">
        <v>97.691860000000005</v>
      </c>
      <c r="AG1090" s="79">
        <v>110.2017</v>
      </c>
      <c r="AH1090" s="79">
        <v>87.893069999999994</v>
      </c>
      <c r="AI1090" s="79">
        <v>76</v>
      </c>
      <c r="AJ1090" s="79">
        <v>105.5098</v>
      </c>
      <c r="AK1090" s="79">
        <v>75.912649999999999</v>
      </c>
      <c r="AL1090" s="79">
        <v>89.607470000000006</v>
      </c>
      <c r="AM1090" s="79">
        <v>95</v>
      </c>
      <c r="AN1090" s="79"/>
      <c r="AO1090" s="79">
        <v>86.150599999999997</v>
      </c>
      <c r="AP1090" s="79">
        <v>91.584739999999996</v>
      </c>
      <c r="AQ1090" s="79"/>
      <c r="AR1090" s="79"/>
      <c r="AS1090" s="79"/>
      <c r="AT1090" s="79">
        <v>83.592089999999999</v>
      </c>
      <c r="AU1090" s="79"/>
      <c r="AV1090" s="79">
        <v>79.599999999999994</v>
      </c>
      <c r="AW1090" s="79"/>
      <c r="AX1090" s="79">
        <v>63.094740000000002</v>
      </c>
      <c r="AY1090" s="79">
        <v>105.2574</v>
      </c>
    </row>
    <row r="1091" spans="1:51" x14ac:dyDescent="0.2">
      <c r="A1091" t="s">
        <v>1636</v>
      </c>
      <c r="B1091" s="1">
        <v>40087</v>
      </c>
      <c r="C1091" s="78">
        <v>1091</v>
      </c>
      <c r="E1091" s="1">
        <f t="shared" si="34"/>
        <v>40087</v>
      </c>
      <c r="F1091" s="2">
        <f t="shared" si="35"/>
        <v>40087</v>
      </c>
      <c r="G1091" s="78">
        <v>1089</v>
      </c>
      <c r="H1091" s="79"/>
      <c r="I1091" s="79"/>
      <c r="J1091" s="79">
        <v>89.892510000000001</v>
      </c>
      <c r="K1091" s="79">
        <v>84.338489999999993</v>
      </c>
      <c r="L1091" s="79"/>
      <c r="M1091" s="79">
        <v>82.386269999999996</v>
      </c>
      <c r="N1091" s="79">
        <v>82.293139999999994</v>
      </c>
      <c r="O1091" s="79">
        <v>93.6</v>
      </c>
      <c r="P1091" s="79">
        <v>105.1631</v>
      </c>
      <c r="Q1091" s="79"/>
      <c r="R1091" s="79">
        <v>101.2</v>
      </c>
      <c r="S1091" s="79">
        <v>96.440799999999996</v>
      </c>
      <c r="T1091" s="79">
        <v>98.529160000000005</v>
      </c>
      <c r="U1091" s="79">
        <v>120.45950000000001</v>
      </c>
      <c r="V1091" s="79">
        <v>77.806479999999993</v>
      </c>
      <c r="W1091" s="79">
        <v>59.64058</v>
      </c>
      <c r="X1091" s="79">
        <v>75.880600000000001</v>
      </c>
      <c r="Y1091" s="79">
        <v>88.43092</v>
      </c>
      <c r="Z1091" s="79">
        <v>103.1914</v>
      </c>
      <c r="AA1091" s="79">
        <v>96.071250000000006</v>
      </c>
      <c r="AB1091" s="79">
        <v>84.604950000000002</v>
      </c>
      <c r="AC1091" s="79">
        <v>97.791849999999997</v>
      </c>
      <c r="AD1091" s="79">
        <v>73.7</v>
      </c>
      <c r="AE1091" s="79">
        <v>96.10172</v>
      </c>
      <c r="AF1091" s="79">
        <v>99.691699999999997</v>
      </c>
      <c r="AG1091" s="79">
        <v>107.87430000000001</v>
      </c>
      <c r="AH1091" s="79">
        <v>88.326440000000005</v>
      </c>
      <c r="AI1091" s="79">
        <v>76.8</v>
      </c>
      <c r="AJ1091" s="79">
        <v>105.89019999999999</v>
      </c>
      <c r="AK1091" s="79">
        <v>74.512420000000006</v>
      </c>
      <c r="AL1091" s="79">
        <v>86.807239999999993</v>
      </c>
      <c r="AM1091" s="79">
        <v>94.6</v>
      </c>
      <c r="AN1091" s="79"/>
      <c r="AO1091" s="79">
        <v>86.426360000000003</v>
      </c>
      <c r="AP1091" s="79">
        <v>91.184799999999996</v>
      </c>
      <c r="AQ1091" s="79"/>
      <c r="AR1091" s="79"/>
      <c r="AS1091" s="79"/>
      <c r="AT1091" s="79">
        <v>81.670289999999994</v>
      </c>
      <c r="AU1091" s="79"/>
      <c r="AV1091" s="79">
        <v>80.3</v>
      </c>
      <c r="AW1091" s="79"/>
      <c r="AX1091" s="79">
        <v>64.294640000000001</v>
      </c>
      <c r="AY1091" s="79">
        <v>107.2392</v>
      </c>
    </row>
    <row r="1092" spans="1:51" x14ac:dyDescent="0.2">
      <c r="A1092" t="s">
        <v>1637</v>
      </c>
      <c r="B1092" s="1">
        <v>40118</v>
      </c>
      <c r="C1092" s="78">
        <v>1092</v>
      </c>
      <c r="E1092" s="1">
        <f t="shared" si="34"/>
        <v>40118</v>
      </c>
      <c r="F1092" s="2">
        <f t="shared" si="35"/>
        <v>40118</v>
      </c>
      <c r="G1092" s="78">
        <v>1090</v>
      </c>
      <c r="H1092" s="79"/>
      <c r="I1092" s="79"/>
      <c r="J1092" s="79">
        <v>91.492379999999997</v>
      </c>
      <c r="K1092" s="79">
        <v>85.646450000000002</v>
      </c>
      <c r="L1092" s="79"/>
      <c r="M1092" s="79">
        <v>81.086489999999998</v>
      </c>
      <c r="N1092" s="79">
        <v>83.293059999999997</v>
      </c>
      <c r="O1092" s="79">
        <v>95.2</v>
      </c>
      <c r="P1092" s="79">
        <v>104.6491</v>
      </c>
      <c r="Q1092" s="79"/>
      <c r="R1092" s="79">
        <v>101</v>
      </c>
      <c r="S1092" s="79">
        <v>97.380809999999997</v>
      </c>
      <c r="T1092" s="79">
        <v>99.255930000000006</v>
      </c>
      <c r="U1092" s="79">
        <v>122.7568</v>
      </c>
      <c r="V1092" s="79">
        <v>76.506379999999993</v>
      </c>
      <c r="W1092" s="79">
        <v>56.789239999999999</v>
      </c>
      <c r="X1092" s="79">
        <v>77.701139999999995</v>
      </c>
      <c r="Y1092" s="79">
        <v>87.962530000000001</v>
      </c>
      <c r="Z1092" s="79">
        <v>103.4914</v>
      </c>
      <c r="AA1092" s="79">
        <v>98.021420000000006</v>
      </c>
      <c r="AB1092" s="79">
        <v>85.085909999999998</v>
      </c>
      <c r="AC1092" s="79">
        <v>97.191900000000004</v>
      </c>
      <c r="AD1092" s="79">
        <v>76.7</v>
      </c>
      <c r="AE1092" s="79">
        <v>97.700490000000002</v>
      </c>
      <c r="AF1092" s="79">
        <v>99.291730000000001</v>
      </c>
      <c r="AG1092" s="79">
        <v>107.87430000000001</v>
      </c>
      <c r="AH1092" s="79">
        <v>89.070400000000006</v>
      </c>
      <c r="AI1092" s="79">
        <v>77.900000000000006</v>
      </c>
      <c r="AJ1092" s="79">
        <v>102.85680000000001</v>
      </c>
      <c r="AK1092" s="79">
        <v>77.012829999999994</v>
      </c>
      <c r="AL1092" s="79">
        <v>89.907489999999996</v>
      </c>
      <c r="AM1092" s="79">
        <v>93.6</v>
      </c>
      <c r="AN1092" s="79"/>
      <c r="AO1092" s="79">
        <v>86.770030000000006</v>
      </c>
      <c r="AP1092" s="79">
        <v>91.384770000000003</v>
      </c>
      <c r="AQ1092" s="79"/>
      <c r="AR1092" s="79"/>
      <c r="AS1092" s="79"/>
      <c r="AT1092" s="79">
        <v>84.060040000000001</v>
      </c>
      <c r="AU1092" s="79"/>
      <c r="AV1092" s="79">
        <v>80.3</v>
      </c>
      <c r="AW1092" s="79"/>
      <c r="AX1092" s="79">
        <v>66.994420000000005</v>
      </c>
      <c r="AY1092" s="79">
        <v>108.8907</v>
      </c>
    </row>
    <row r="1093" spans="1:51" x14ac:dyDescent="0.2">
      <c r="A1093" t="s">
        <v>1638</v>
      </c>
      <c r="B1093" s="1">
        <v>40148</v>
      </c>
      <c r="C1093" s="78">
        <v>1093</v>
      </c>
      <c r="E1093" s="1">
        <f t="shared" si="34"/>
        <v>40148</v>
      </c>
      <c r="F1093" s="2">
        <f t="shared" si="35"/>
        <v>40148</v>
      </c>
      <c r="G1093" s="78">
        <v>1091</v>
      </c>
      <c r="H1093" s="79"/>
      <c r="I1093" s="79"/>
      <c r="J1093" s="79">
        <v>90.39246</v>
      </c>
      <c r="K1093" s="79">
        <v>85.146159999999995</v>
      </c>
      <c r="L1093" s="79"/>
      <c r="M1093" s="79">
        <v>82.686220000000006</v>
      </c>
      <c r="N1093" s="79">
        <v>83.293059999999997</v>
      </c>
      <c r="O1093" s="79">
        <v>89.8</v>
      </c>
      <c r="P1093" s="79">
        <v>105.6591</v>
      </c>
      <c r="Q1093" s="79"/>
      <c r="R1093" s="79">
        <v>102.8</v>
      </c>
      <c r="S1093" s="79">
        <v>97.08081</v>
      </c>
      <c r="T1093" s="79">
        <v>99.048280000000005</v>
      </c>
      <c r="U1093" s="79">
        <v>119.96</v>
      </c>
      <c r="V1093" s="79">
        <v>75.306269999999998</v>
      </c>
      <c r="W1093" s="79">
        <v>57.858490000000003</v>
      </c>
      <c r="X1093" s="79">
        <v>78.442480000000003</v>
      </c>
      <c r="Y1093" s="79">
        <v>85.15222</v>
      </c>
      <c r="Z1093" s="79">
        <v>102.0915</v>
      </c>
      <c r="AA1093" s="79">
        <v>98.84254</v>
      </c>
      <c r="AB1093" s="79">
        <v>86.376800000000003</v>
      </c>
      <c r="AC1093" s="79">
        <v>97.891850000000005</v>
      </c>
      <c r="AD1093" s="79">
        <v>75.8</v>
      </c>
      <c r="AE1093" s="79">
        <v>97.335470000000001</v>
      </c>
      <c r="AF1093" s="79">
        <v>100.49160000000001</v>
      </c>
      <c r="AG1093" s="79">
        <v>107.05970000000001</v>
      </c>
      <c r="AH1093" s="79">
        <v>89.146320000000003</v>
      </c>
      <c r="AI1093" s="79">
        <v>76.2</v>
      </c>
      <c r="AJ1093" s="79">
        <v>105.5476</v>
      </c>
      <c r="AK1093" s="79">
        <v>81.113519999999994</v>
      </c>
      <c r="AL1093" s="79">
        <v>87.707310000000007</v>
      </c>
      <c r="AM1093" s="79">
        <v>94.4</v>
      </c>
      <c r="AN1093" s="79"/>
      <c r="AO1093" s="79">
        <v>87.034840000000003</v>
      </c>
      <c r="AP1093" s="79">
        <v>91.484750000000005</v>
      </c>
      <c r="AQ1093" s="79"/>
      <c r="AR1093" s="79"/>
      <c r="AS1093" s="79"/>
      <c r="AT1093" s="79">
        <v>84.242949999999993</v>
      </c>
      <c r="AU1093" s="79"/>
      <c r="AV1093" s="79">
        <v>81</v>
      </c>
      <c r="AW1093" s="79"/>
      <c r="AX1093" s="79">
        <v>64.194649999999996</v>
      </c>
      <c r="AY1093" s="79">
        <v>109.1109</v>
      </c>
    </row>
    <row r="1094" spans="1:51" x14ac:dyDescent="0.2">
      <c r="A1094" t="s">
        <v>1639</v>
      </c>
      <c r="B1094" s="1">
        <v>40179</v>
      </c>
      <c r="C1094" s="78">
        <v>1094</v>
      </c>
      <c r="E1094" s="1">
        <f t="shared" si="34"/>
        <v>40179</v>
      </c>
      <c r="F1094" s="2">
        <f t="shared" si="35"/>
        <v>40179</v>
      </c>
      <c r="G1094" s="78">
        <v>1092</v>
      </c>
      <c r="H1094" s="79"/>
      <c r="I1094" s="79"/>
      <c r="J1094" s="79">
        <v>93.592200000000005</v>
      </c>
      <c r="K1094" s="79">
        <v>86.08466</v>
      </c>
      <c r="L1094" s="79"/>
      <c r="M1094" s="79">
        <v>81.986339999999998</v>
      </c>
      <c r="N1094" s="79">
        <v>84.09299</v>
      </c>
      <c r="O1094" s="79">
        <v>95.3</v>
      </c>
      <c r="P1094" s="79">
        <v>104.3121</v>
      </c>
      <c r="Q1094" s="79"/>
      <c r="R1094" s="79">
        <v>102.4</v>
      </c>
      <c r="S1094" s="79">
        <v>98.120819999999995</v>
      </c>
      <c r="T1094" s="79">
        <v>99.463579999999993</v>
      </c>
      <c r="U1094" s="79">
        <v>115.96469999999999</v>
      </c>
      <c r="V1094" s="79">
        <v>78.706559999999996</v>
      </c>
      <c r="W1094" s="79">
        <v>63.265389999999996</v>
      </c>
      <c r="X1094" s="79">
        <v>80.405379999999994</v>
      </c>
      <c r="Y1094" s="79">
        <v>90.398120000000006</v>
      </c>
      <c r="Z1094" s="79">
        <v>105.69119999999999</v>
      </c>
      <c r="AA1094" s="79">
        <v>101.1006</v>
      </c>
      <c r="AB1094" s="79">
        <v>86.60378</v>
      </c>
      <c r="AC1094" s="79">
        <v>98.191820000000007</v>
      </c>
      <c r="AD1094" s="79">
        <v>80.400000000000006</v>
      </c>
      <c r="AE1094" s="79">
        <v>97.950940000000003</v>
      </c>
      <c r="AF1094" s="79">
        <v>104.5913</v>
      </c>
      <c r="AG1094" s="79">
        <v>107.17610000000001</v>
      </c>
      <c r="AH1094" s="79">
        <v>90.211100000000002</v>
      </c>
      <c r="AI1094" s="79">
        <v>79.400000000000006</v>
      </c>
      <c r="AJ1094" s="79">
        <v>103.16930000000001</v>
      </c>
      <c r="AK1094" s="79">
        <v>80.213369999999998</v>
      </c>
      <c r="AL1094" s="79">
        <v>86.307190000000006</v>
      </c>
      <c r="AM1094" s="79">
        <v>96.7</v>
      </c>
      <c r="AN1094" s="79"/>
      <c r="AO1094" s="79">
        <v>88.044330000000002</v>
      </c>
      <c r="AP1094" s="79">
        <v>93.084490000000002</v>
      </c>
      <c r="AQ1094" s="79"/>
      <c r="AR1094" s="79"/>
      <c r="AS1094" s="79"/>
      <c r="AT1094" s="79">
        <v>85.825360000000003</v>
      </c>
      <c r="AU1094" s="79"/>
      <c r="AV1094" s="79">
        <v>82</v>
      </c>
      <c r="AW1094" s="79"/>
      <c r="AX1094" s="79">
        <v>63.594700000000003</v>
      </c>
      <c r="AY1094" s="79">
        <v>110.87260000000001</v>
      </c>
    </row>
    <row r="1095" spans="1:51" x14ac:dyDescent="0.2">
      <c r="A1095" t="s">
        <v>1640</v>
      </c>
      <c r="B1095" s="1">
        <v>40210</v>
      </c>
      <c r="C1095" s="78">
        <v>1095</v>
      </c>
      <c r="E1095" s="1">
        <f t="shared" si="34"/>
        <v>40210</v>
      </c>
      <c r="F1095" s="2">
        <f t="shared" si="35"/>
        <v>40210</v>
      </c>
      <c r="G1095" s="78">
        <v>1093</v>
      </c>
      <c r="H1095" s="79"/>
      <c r="I1095" s="79"/>
      <c r="J1095" s="79">
        <v>94.992080000000001</v>
      </c>
      <c r="K1095" s="79">
        <v>87.217650000000006</v>
      </c>
      <c r="L1095" s="79"/>
      <c r="M1095" s="79">
        <v>81.886349999999993</v>
      </c>
      <c r="N1095" s="79">
        <v>83.293059999999997</v>
      </c>
      <c r="O1095" s="79">
        <v>96.4</v>
      </c>
      <c r="P1095" s="79">
        <v>104.1621</v>
      </c>
      <c r="Q1095" s="79"/>
      <c r="R1095" s="79">
        <v>102</v>
      </c>
      <c r="S1095" s="79">
        <v>97.500810000000001</v>
      </c>
      <c r="T1095" s="79">
        <v>100.6056</v>
      </c>
      <c r="U1095" s="79">
        <v>115.8648</v>
      </c>
      <c r="V1095" s="79">
        <v>77.506460000000004</v>
      </c>
      <c r="W1095" s="79">
        <v>63.580460000000002</v>
      </c>
      <c r="X1095" s="79">
        <v>78.943640000000002</v>
      </c>
      <c r="Y1095" s="79">
        <v>90.117099999999994</v>
      </c>
      <c r="Z1095" s="79">
        <v>104.6913</v>
      </c>
      <c r="AA1095" s="79">
        <v>101.4085</v>
      </c>
      <c r="AB1095" s="79">
        <v>88.852590000000006</v>
      </c>
      <c r="AC1095" s="79">
        <v>96.791929999999994</v>
      </c>
      <c r="AD1095" s="79">
        <v>79.3</v>
      </c>
      <c r="AE1095" s="79">
        <v>98.169740000000004</v>
      </c>
      <c r="AF1095" s="79">
        <v>103.1914</v>
      </c>
      <c r="AG1095" s="79">
        <v>106.827</v>
      </c>
      <c r="AH1095" s="79">
        <v>90.485470000000007</v>
      </c>
      <c r="AI1095" s="79">
        <v>79.400000000000006</v>
      </c>
      <c r="AJ1095" s="79">
        <v>102.8657</v>
      </c>
      <c r="AK1095" s="79">
        <v>77.412899999999993</v>
      </c>
      <c r="AL1095" s="79">
        <v>89.107420000000005</v>
      </c>
      <c r="AM1095" s="79">
        <v>95.4</v>
      </c>
      <c r="AN1095" s="79"/>
      <c r="AO1095" s="79">
        <v>88.361109999999996</v>
      </c>
      <c r="AP1095" s="79">
        <v>92.584569999999999</v>
      </c>
      <c r="AQ1095" s="79"/>
      <c r="AR1095" s="79"/>
      <c r="AS1095" s="79"/>
      <c r="AT1095" s="79">
        <v>86.701700000000002</v>
      </c>
      <c r="AU1095" s="79"/>
      <c r="AV1095" s="79">
        <v>82.2</v>
      </c>
      <c r="AW1095" s="79"/>
      <c r="AX1095" s="79">
        <v>65.094570000000004</v>
      </c>
      <c r="AY1095" s="79">
        <v>110.6524</v>
      </c>
    </row>
    <row r="1096" spans="1:51" x14ac:dyDescent="0.2">
      <c r="A1096" t="s">
        <v>1641</v>
      </c>
      <c r="B1096" s="1">
        <v>40238</v>
      </c>
      <c r="C1096" s="78">
        <v>1096</v>
      </c>
      <c r="E1096" s="1">
        <f t="shared" si="34"/>
        <v>40238</v>
      </c>
      <c r="F1096" s="2">
        <f t="shared" si="35"/>
        <v>40238</v>
      </c>
      <c r="G1096" s="78">
        <v>1094</v>
      </c>
      <c r="H1096" s="79"/>
      <c r="I1096" s="79"/>
      <c r="J1096" s="79">
        <v>94.892089999999996</v>
      </c>
      <c r="K1096" s="79">
        <v>88.335400000000007</v>
      </c>
      <c r="L1096" s="79"/>
      <c r="M1096" s="79">
        <v>84.785870000000003</v>
      </c>
      <c r="N1096" s="79">
        <v>86.092830000000006</v>
      </c>
      <c r="O1096" s="79">
        <v>98.2</v>
      </c>
      <c r="P1096" s="79">
        <v>106.89109999999999</v>
      </c>
      <c r="Q1096" s="79"/>
      <c r="R1096" s="79">
        <v>103.2</v>
      </c>
      <c r="S1096" s="79">
        <v>99.420829999999995</v>
      </c>
      <c r="T1096" s="79">
        <v>102.163</v>
      </c>
      <c r="U1096" s="79">
        <v>117.8625</v>
      </c>
      <c r="V1096" s="79">
        <v>77.906490000000005</v>
      </c>
      <c r="W1096" s="79">
        <v>65.533869999999993</v>
      </c>
      <c r="X1096" s="79">
        <v>81.315880000000007</v>
      </c>
      <c r="Y1096" s="79">
        <v>91.990629999999996</v>
      </c>
      <c r="Z1096" s="79">
        <v>105.2912</v>
      </c>
      <c r="AA1096" s="79">
        <v>101.7165</v>
      </c>
      <c r="AB1096" s="79">
        <v>89.853520000000003</v>
      </c>
      <c r="AC1096" s="79">
        <v>102.39149999999999</v>
      </c>
      <c r="AD1096" s="79">
        <v>80</v>
      </c>
      <c r="AE1096" s="79">
        <v>98.983980000000003</v>
      </c>
      <c r="AF1096" s="79">
        <v>104.8913</v>
      </c>
      <c r="AG1096" s="79">
        <v>105.66330000000001</v>
      </c>
      <c r="AH1096" s="79">
        <v>91.488889999999998</v>
      </c>
      <c r="AI1096" s="79">
        <v>81.8</v>
      </c>
      <c r="AJ1096" s="79">
        <v>105.16549999999999</v>
      </c>
      <c r="AK1096" s="79">
        <v>81.513589999999994</v>
      </c>
      <c r="AL1096" s="79">
        <v>90.707560000000001</v>
      </c>
      <c r="AM1096" s="79">
        <v>98.4</v>
      </c>
      <c r="AN1096" s="79"/>
      <c r="AO1096" s="79">
        <v>88.942509999999999</v>
      </c>
      <c r="AP1096" s="79">
        <v>94.284289999999999</v>
      </c>
      <c r="AQ1096" s="79"/>
      <c r="AR1096" s="79"/>
      <c r="AS1096" s="79"/>
      <c r="AT1096" s="79">
        <v>86.599090000000004</v>
      </c>
      <c r="AU1096" s="79"/>
      <c r="AV1096" s="79">
        <v>83.3</v>
      </c>
      <c r="AW1096" s="79"/>
      <c r="AX1096" s="79">
        <v>66.294470000000004</v>
      </c>
      <c r="AY1096" s="79">
        <v>113.4049</v>
      </c>
    </row>
    <row r="1097" spans="1:51" x14ac:dyDescent="0.2">
      <c r="A1097" t="s">
        <v>1642</v>
      </c>
      <c r="B1097" s="1">
        <v>40269</v>
      </c>
      <c r="C1097" s="78">
        <v>1097</v>
      </c>
      <c r="E1097" s="1">
        <f t="shared" si="34"/>
        <v>40269</v>
      </c>
      <c r="F1097" s="2">
        <f t="shared" si="35"/>
        <v>40269</v>
      </c>
      <c r="G1097" s="78">
        <v>1095</v>
      </c>
      <c r="H1097" s="79"/>
      <c r="I1097" s="79"/>
      <c r="J1097" s="79">
        <v>94.392139999999998</v>
      </c>
      <c r="K1097" s="79">
        <v>88.162040000000005</v>
      </c>
      <c r="L1097" s="79"/>
      <c r="M1097" s="79">
        <v>85.785709999999995</v>
      </c>
      <c r="N1097" s="79">
        <v>87.692700000000002</v>
      </c>
      <c r="O1097" s="79">
        <v>100</v>
      </c>
      <c r="P1097" s="79">
        <v>106.8481</v>
      </c>
      <c r="Q1097" s="79"/>
      <c r="R1097" s="79">
        <v>102.3</v>
      </c>
      <c r="S1097" s="79">
        <v>99.040819999999997</v>
      </c>
      <c r="T1097" s="79">
        <v>102.163</v>
      </c>
      <c r="U1097" s="79">
        <v>114.36660000000001</v>
      </c>
      <c r="V1097" s="79">
        <v>79.306610000000006</v>
      </c>
      <c r="W1097" s="79">
        <v>61.059930000000001</v>
      </c>
      <c r="X1097" s="79">
        <v>83.649450000000002</v>
      </c>
      <c r="Y1097" s="79">
        <v>94.800929999999994</v>
      </c>
      <c r="Z1097" s="79">
        <v>106.0912</v>
      </c>
      <c r="AA1097" s="79">
        <v>102.9481</v>
      </c>
      <c r="AB1097" s="79">
        <v>91.528369999999995</v>
      </c>
      <c r="AC1097" s="79">
        <v>101.89149999999999</v>
      </c>
      <c r="AD1097" s="79">
        <v>82.4</v>
      </c>
      <c r="AE1097" s="79">
        <v>99.789569999999998</v>
      </c>
      <c r="AF1097" s="79">
        <v>104.8913</v>
      </c>
      <c r="AG1097" s="79">
        <v>104.84869999999999</v>
      </c>
      <c r="AH1097" s="79">
        <v>92.024299999999997</v>
      </c>
      <c r="AI1097" s="79">
        <v>80.3</v>
      </c>
      <c r="AJ1097" s="79">
        <v>102.9721</v>
      </c>
      <c r="AK1097" s="79">
        <v>82.213700000000003</v>
      </c>
      <c r="AL1097" s="79">
        <v>90.007499999999993</v>
      </c>
      <c r="AM1097" s="79">
        <v>99.9</v>
      </c>
      <c r="AN1097" s="79"/>
      <c r="AO1097" s="79">
        <v>89.273219999999995</v>
      </c>
      <c r="AP1097" s="79">
        <v>94.784199999999998</v>
      </c>
      <c r="AQ1097" s="79"/>
      <c r="AR1097" s="79"/>
      <c r="AS1097" s="79"/>
      <c r="AT1097" s="79">
        <v>88.010339999999999</v>
      </c>
      <c r="AU1097" s="79"/>
      <c r="AV1097" s="79">
        <v>82.6</v>
      </c>
      <c r="AW1097" s="79"/>
      <c r="AX1097" s="79">
        <v>66.994420000000005</v>
      </c>
      <c r="AY1097" s="79">
        <v>113.515</v>
      </c>
    </row>
    <row r="1098" spans="1:51" x14ac:dyDescent="0.2">
      <c r="A1098" t="s">
        <v>1643</v>
      </c>
      <c r="B1098" s="1">
        <v>40299</v>
      </c>
      <c r="C1098" s="78">
        <v>1098</v>
      </c>
      <c r="E1098" s="1">
        <f t="shared" si="34"/>
        <v>40299</v>
      </c>
      <c r="F1098" s="2">
        <f t="shared" si="35"/>
        <v>40299</v>
      </c>
      <c r="G1098" s="78">
        <v>1096</v>
      </c>
      <c r="H1098" s="79"/>
      <c r="I1098" s="79"/>
      <c r="J1098" s="79">
        <v>96.591949999999997</v>
      </c>
      <c r="K1098" s="79">
        <v>90.347229999999996</v>
      </c>
      <c r="L1098" s="79"/>
      <c r="M1098" s="79">
        <v>84.785870000000003</v>
      </c>
      <c r="N1098" s="79">
        <v>90.39246</v>
      </c>
      <c r="O1098" s="79">
        <v>99.8</v>
      </c>
      <c r="P1098" s="79">
        <v>106.02809999999999</v>
      </c>
      <c r="Q1098" s="79"/>
      <c r="R1098" s="79">
        <v>105.9</v>
      </c>
      <c r="S1098" s="79">
        <v>99.84084</v>
      </c>
      <c r="T1098" s="79">
        <v>102.0592</v>
      </c>
      <c r="U1098" s="79">
        <v>116.1645</v>
      </c>
      <c r="V1098" s="79">
        <v>83.506960000000007</v>
      </c>
      <c r="W1098" s="79">
        <v>62.06814</v>
      </c>
      <c r="X1098" s="79">
        <v>82.260679999999994</v>
      </c>
      <c r="Y1098" s="79">
        <v>95.644030000000001</v>
      </c>
      <c r="Z1098" s="79">
        <v>106.5911</v>
      </c>
      <c r="AA1098" s="79">
        <v>102.5376</v>
      </c>
      <c r="AB1098" s="79">
        <v>92.638279999999995</v>
      </c>
      <c r="AC1098" s="79">
        <v>102.4915</v>
      </c>
      <c r="AD1098" s="79">
        <v>82.3</v>
      </c>
      <c r="AE1098" s="79">
        <v>99.704149999999998</v>
      </c>
      <c r="AF1098" s="79">
        <v>109.7908</v>
      </c>
      <c r="AG1098" s="79">
        <v>104.84869999999999</v>
      </c>
      <c r="AH1098" s="79">
        <v>93.081180000000003</v>
      </c>
      <c r="AI1098" s="79">
        <v>83.5</v>
      </c>
      <c r="AJ1098" s="79">
        <v>103.6229</v>
      </c>
      <c r="AK1098" s="79">
        <v>81.913650000000004</v>
      </c>
      <c r="AL1098" s="79">
        <v>93.107759999999999</v>
      </c>
      <c r="AM1098" s="79">
        <v>102.4</v>
      </c>
      <c r="AN1098" s="79"/>
      <c r="AO1098" s="79">
        <v>90.575760000000002</v>
      </c>
      <c r="AP1098" s="79">
        <v>96.483919999999998</v>
      </c>
      <c r="AQ1098" s="79"/>
      <c r="AR1098" s="79"/>
      <c r="AS1098" s="79"/>
      <c r="AT1098" s="79">
        <v>85.624089999999995</v>
      </c>
      <c r="AU1098" s="79"/>
      <c r="AV1098" s="79">
        <v>82.7</v>
      </c>
      <c r="AW1098" s="79"/>
      <c r="AX1098" s="79">
        <v>68.894260000000003</v>
      </c>
      <c r="AY1098" s="79">
        <v>113.4049</v>
      </c>
    </row>
    <row r="1099" spans="1:51" x14ac:dyDescent="0.2">
      <c r="A1099" t="s">
        <v>1644</v>
      </c>
      <c r="B1099" s="1">
        <v>40330</v>
      </c>
      <c r="C1099" s="78">
        <v>1099</v>
      </c>
      <c r="E1099" s="1">
        <f t="shared" si="34"/>
        <v>40330</v>
      </c>
      <c r="F1099" s="2">
        <f t="shared" si="35"/>
        <v>40330</v>
      </c>
      <c r="G1099" s="78">
        <v>1097</v>
      </c>
      <c r="H1099" s="79"/>
      <c r="I1099" s="79"/>
      <c r="J1099" s="79">
        <v>97.59187</v>
      </c>
      <c r="K1099" s="79">
        <v>90.928309999999996</v>
      </c>
      <c r="L1099" s="79"/>
      <c r="M1099" s="79">
        <v>86.685550000000006</v>
      </c>
      <c r="N1099" s="79">
        <v>90.092489999999998</v>
      </c>
      <c r="O1099" s="79">
        <v>99.5</v>
      </c>
      <c r="P1099" s="79">
        <v>106.51909999999999</v>
      </c>
      <c r="Q1099" s="79"/>
      <c r="R1099" s="79">
        <v>114.5</v>
      </c>
      <c r="S1099" s="79">
        <v>99.420829999999995</v>
      </c>
      <c r="T1099" s="79">
        <v>101.0209</v>
      </c>
      <c r="U1099" s="79">
        <v>116.1645</v>
      </c>
      <c r="V1099" s="79">
        <v>83.406949999999995</v>
      </c>
      <c r="W1099" s="79">
        <v>64.084559999999996</v>
      </c>
      <c r="X1099" s="79">
        <v>82.466430000000003</v>
      </c>
      <c r="Y1099" s="79">
        <v>96.018739999999994</v>
      </c>
      <c r="Z1099" s="79">
        <v>109.0909</v>
      </c>
      <c r="AA1099" s="79">
        <v>101.9217</v>
      </c>
      <c r="AB1099" s="79">
        <v>92.994249999999994</v>
      </c>
      <c r="AC1099" s="79">
        <v>104.29130000000001</v>
      </c>
      <c r="AD1099" s="79">
        <v>83.3</v>
      </c>
      <c r="AE1099" s="79">
        <v>99.73921</v>
      </c>
      <c r="AF1099" s="79">
        <v>103.3914</v>
      </c>
      <c r="AG1099" s="79">
        <v>102.05589999999999</v>
      </c>
      <c r="AH1099" s="79">
        <v>93.247200000000007</v>
      </c>
      <c r="AI1099" s="79">
        <v>85.3</v>
      </c>
      <c r="AJ1099" s="79">
        <v>104.0528</v>
      </c>
      <c r="AK1099" s="79">
        <v>81.613600000000005</v>
      </c>
      <c r="AL1099" s="79">
        <v>93.007750000000001</v>
      </c>
      <c r="AM1099" s="79">
        <v>104.6</v>
      </c>
      <c r="AN1099" s="79"/>
      <c r="AO1099" s="79">
        <v>90.710239999999999</v>
      </c>
      <c r="AP1099" s="79">
        <v>96.5839</v>
      </c>
      <c r="AQ1099" s="79"/>
      <c r="AR1099" s="79"/>
      <c r="AS1099" s="79"/>
      <c r="AT1099" s="79">
        <v>85.456180000000003</v>
      </c>
      <c r="AU1099" s="79"/>
      <c r="AV1099" s="79">
        <v>83.1</v>
      </c>
      <c r="AW1099" s="79"/>
      <c r="AX1099" s="79">
        <v>69.294229999999999</v>
      </c>
      <c r="AY1099" s="79">
        <v>112.7443</v>
      </c>
    </row>
    <row r="1100" spans="1:51" x14ac:dyDescent="0.2">
      <c r="A1100" t="s">
        <v>1645</v>
      </c>
      <c r="B1100" s="1">
        <v>40360</v>
      </c>
      <c r="C1100" s="78">
        <v>1100</v>
      </c>
      <c r="E1100" s="1">
        <f t="shared" si="34"/>
        <v>40360</v>
      </c>
      <c r="F1100" s="2">
        <f t="shared" si="35"/>
        <v>40360</v>
      </c>
      <c r="G1100" s="78">
        <v>1098</v>
      </c>
      <c r="H1100" s="79"/>
      <c r="I1100" s="79"/>
      <c r="J1100" s="79">
        <v>97.991839999999996</v>
      </c>
      <c r="K1100" s="79">
        <v>90.958269999999999</v>
      </c>
      <c r="L1100" s="79"/>
      <c r="M1100" s="79">
        <v>87.085489999999993</v>
      </c>
      <c r="N1100" s="79">
        <v>89.492549999999994</v>
      </c>
      <c r="O1100" s="79">
        <v>99.6</v>
      </c>
      <c r="P1100" s="79">
        <v>105.1951</v>
      </c>
      <c r="Q1100" s="79"/>
      <c r="R1100" s="79">
        <v>103.9</v>
      </c>
      <c r="S1100" s="79">
        <v>100.10080000000001</v>
      </c>
      <c r="T1100" s="79">
        <v>101.2286</v>
      </c>
      <c r="U1100" s="79">
        <v>109.1726</v>
      </c>
      <c r="V1100" s="79">
        <v>83.106930000000006</v>
      </c>
      <c r="W1100" s="79">
        <v>63.391419999999997</v>
      </c>
      <c r="X1100" s="79">
        <v>79.296379999999999</v>
      </c>
      <c r="Y1100" s="79">
        <v>96.955510000000004</v>
      </c>
      <c r="Z1100" s="79">
        <v>108.79089999999999</v>
      </c>
      <c r="AA1100" s="79">
        <v>103.1534</v>
      </c>
      <c r="AB1100" s="79">
        <v>93.502200000000002</v>
      </c>
      <c r="AC1100" s="79">
        <v>97.791849999999997</v>
      </c>
      <c r="AD1100" s="79">
        <v>86.6</v>
      </c>
      <c r="AE1100" s="79">
        <v>100.089</v>
      </c>
      <c r="AF1100" s="79">
        <v>101.89149999999999</v>
      </c>
      <c r="AG1100" s="79">
        <v>100.5431</v>
      </c>
      <c r="AH1100" s="79">
        <v>93.417929999999998</v>
      </c>
      <c r="AI1100" s="79">
        <v>84.4</v>
      </c>
      <c r="AJ1100" s="79">
        <v>102.73009999999999</v>
      </c>
      <c r="AK1100" s="79">
        <v>82.71378</v>
      </c>
      <c r="AL1100" s="79">
        <v>92.107669999999999</v>
      </c>
      <c r="AM1100" s="79">
        <v>104.7</v>
      </c>
      <c r="AN1100" s="79"/>
      <c r="AO1100" s="79">
        <v>91.107789999999994</v>
      </c>
      <c r="AP1100" s="79">
        <v>96.183970000000002</v>
      </c>
      <c r="AQ1100" s="79"/>
      <c r="AR1100" s="79"/>
      <c r="AS1100" s="79"/>
      <c r="AT1100" s="79">
        <v>88.688320000000004</v>
      </c>
      <c r="AU1100" s="79"/>
      <c r="AV1100" s="79">
        <v>83.2</v>
      </c>
      <c r="AW1100" s="79"/>
      <c r="AX1100" s="79">
        <v>69.794179999999997</v>
      </c>
      <c r="AY1100" s="79">
        <v>112.08369999999999</v>
      </c>
    </row>
    <row r="1101" spans="1:51" x14ac:dyDescent="0.2">
      <c r="A1101" t="s">
        <v>1646</v>
      </c>
      <c r="B1101" s="1">
        <v>40391</v>
      </c>
      <c r="C1101" s="78">
        <v>1101</v>
      </c>
      <c r="E1101" s="1">
        <f t="shared" si="34"/>
        <v>40391</v>
      </c>
      <c r="F1101" s="2">
        <f t="shared" si="35"/>
        <v>40391</v>
      </c>
      <c r="G1101" s="78">
        <v>1099</v>
      </c>
      <c r="H1101" s="79"/>
      <c r="I1101" s="79"/>
      <c r="J1101" s="79">
        <v>95.992000000000004</v>
      </c>
      <c r="K1101" s="79">
        <v>90.982349999999997</v>
      </c>
      <c r="L1101" s="79"/>
      <c r="M1101" s="79">
        <v>89.085149999999999</v>
      </c>
      <c r="N1101" s="79">
        <v>90.992419999999996</v>
      </c>
      <c r="O1101" s="79">
        <v>93.5</v>
      </c>
      <c r="P1101" s="79">
        <v>104.2471</v>
      </c>
      <c r="Q1101" s="79"/>
      <c r="R1101" s="79">
        <v>107.3</v>
      </c>
      <c r="S1101" s="79">
        <v>99.080830000000006</v>
      </c>
      <c r="T1101" s="79">
        <v>101.9554</v>
      </c>
      <c r="U1101" s="79">
        <v>116.9635</v>
      </c>
      <c r="V1101" s="79">
        <v>85.407120000000006</v>
      </c>
      <c r="W1101" s="79">
        <v>58.854460000000003</v>
      </c>
      <c r="X1101" s="79">
        <v>77.0154</v>
      </c>
      <c r="Y1101" s="79">
        <v>90.960189999999997</v>
      </c>
      <c r="Z1101" s="79">
        <v>112.39060000000001</v>
      </c>
      <c r="AA1101" s="79">
        <v>103.6666</v>
      </c>
      <c r="AB1101" s="79">
        <v>93.295230000000004</v>
      </c>
      <c r="AC1101" s="79">
        <v>99.791690000000003</v>
      </c>
      <c r="AD1101" s="79">
        <v>87.7</v>
      </c>
      <c r="AE1101" s="79">
        <v>101.44499999999999</v>
      </c>
      <c r="AF1101" s="79">
        <v>104.1913</v>
      </c>
      <c r="AG1101" s="79">
        <v>93.677269999999993</v>
      </c>
      <c r="AH1101" s="79">
        <v>93.863439999999997</v>
      </c>
      <c r="AI1101" s="79">
        <v>83.4</v>
      </c>
      <c r="AJ1101" s="79">
        <v>103.2163</v>
      </c>
      <c r="AK1101" s="79">
        <v>83.113849999999999</v>
      </c>
      <c r="AL1101" s="79">
        <v>95.007919999999999</v>
      </c>
      <c r="AM1101" s="79">
        <v>103.2</v>
      </c>
      <c r="AN1101" s="79"/>
      <c r="AO1101" s="79">
        <v>91.38749</v>
      </c>
      <c r="AP1101" s="79">
        <v>96.983829999999998</v>
      </c>
      <c r="AQ1101" s="79"/>
      <c r="AR1101" s="79"/>
      <c r="AS1101" s="79"/>
      <c r="AT1101" s="79">
        <v>88.045869999999994</v>
      </c>
      <c r="AU1101" s="79"/>
      <c r="AV1101" s="79">
        <v>83.7</v>
      </c>
      <c r="AW1101" s="79"/>
      <c r="AX1101" s="79">
        <v>71.494039999999998</v>
      </c>
      <c r="AY1101" s="79">
        <v>111.6433</v>
      </c>
    </row>
    <row r="1102" spans="1:51" x14ac:dyDescent="0.2">
      <c r="A1102" t="s">
        <v>1647</v>
      </c>
      <c r="B1102" s="1">
        <v>40422</v>
      </c>
      <c r="C1102" s="78">
        <v>1102</v>
      </c>
      <c r="E1102" s="1">
        <f t="shared" si="34"/>
        <v>40422</v>
      </c>
      <c r="F1102" s="2">
        <f t="shared" si="35"/>
        <v>40422</v>
      </c>
      <c r="G1102" s="78">
        <v>1100</v>
      </c>
      <c r="H1102" s="79"/>
      <c r="I1102" s="79"/>
      <c r="J1102" s="79">
        <v>97.691860000000005</v>
      </c>
      <c r="K1102" s="79">
        <v>90.546539999999993</v>
      </c>
      <c r="L1102" s="79"/>
      <c r="M1102" s="79">
        <v>90.784869999999998</v>
      </c>
      <c r="N1102" s="79">
        <v>92.392300000000006</v>
      </c>
      <c r="O1102" s="79">
        <v>102.4</v>
      </c>
      <c r="P1102" s="79">
        <v>104.6011</v>
      </c>
      <c r="Q1102" s="79"/>
      <c r="R1102" s="79">
        <v>108.3</v>
      </c>
      <c r="S1102" s="79">
        <v>100.2908</v>
      </c>
      <c r="T1102" s="79">
        <v>102.163</v>
      </c>
      <c r="U1102" s="79">
        <v>108.1738</v>
      </c>
      <c r="V1102" s="79">
        <v>84.307019999999994</v>
      </c>
      <c r="W1102" s="79">
        <v>64.462649999999996</v>
      </c>
      <c r="X1102" s="79">
        <v>76.498109999999997</v>
      </c>
      <c r="Y1102" s="79">
        <v>88.149879999999996</v>
      </c>
      <c r="Z1102" s="79">
        <v>108.09099999999999</v>
      </c>
      <c r="AA1102" s="79">
        <v>105.001</v>
      </c>
      <c r="AB1102" s="79">
        <v>94.082160000000002</v>
      </c>
      <c r="AC1102" s="79">
        <v>101.7915</v>
      </c>
      <c r="AD1102" s="79">
        <v>87.3</v>
      </c>
      <c r="AE1102" s="79">
        <v>101.0119</v>
      </c>
      <c r="AF1102" s="79">
        <v>102.9914</v>
      </c>
      <c r="AG1102" s="79">
        <v>97.51746</v>
      </c>
      <c r="AH1102" s="79">
        <v>94.215329999999994</v>
      </c>
      <c r="AI1102" s="79">
        <v>84.9</v>
      </c>
      <c r="AJ1102" s="79">
        <v>103.4301</v>
      </c>
      <c r="AK1102" s="79">
        <v>82.913820000000001</v>
      </c>
      <c r="AL1102" s="79">
        <v>94.107839999999996</v>
      </c>
      <c r="AM1102" s="79">
        <v>103.6</v>
      </c>
      <c r="AN1102" s="79"/>
      <c r="AO1102" s="79">
        <v>91.597740000000002</v>
      </c>
      <c r="AP1102" s="79">
        <v>97.183800000000005</v>
      </c>
      <c r="AQ1102" s="79"/>
      <c r="AR1102" s="79"/>
      <c r="AS1102" s="79"/>
      <c r="AT1102" s="79">
        <v>88.790930000000003</v>
      </c>
      <c r="AU1102" s="79"/>
      <c r="AV1102" s="79">
        <v>84.5</v>
      </c>
      <c r="AW1102" s="79"/>
      <c r="AX1102" s="79">
        <v>71.594030000000004</v>
      </c>
      <c r="AY1102" s="79">
        <v>111.8635</v>
      </c>
    </row>
    <row r="1103" spans="1:51" x14ac:dyDescent="0.2">
      <c r="A1103" t="s">
        <v>1648</v>
      </c>
      <c r="B1103" s="1">
        <v>40452</v>
      </c>
      <c r="C1103" s="78">
        <v>1103</v>
      </c>
      <c r="E1103" s="1">
        <f t="shared" si="34"/>
        <v>40452</v>
      </c>
      <c r="F1103" s="2">
        <f t="shared" si="35"/>
        <v>40452</v>
      </c>
      <c r="G1103" s="78">
        <v>1101</v>
      </c>
      <c r="H1103" s="79"/>
      <c r="I1103" s="79"/>
      <c r="J1103" s="79">
        <v>100.3916</v>
      </c>
      <c r="K1103" s="79">
        <v>91.310069999999996</v>
      </c>
      <c r="L1103" s="79"/>
      <c r="M1103" s="79">
        <v>90.784869999999998</v>
      </c>
      <c r="N1103" s="79">
        <v>94.392139999999998</v>
      </c>
      <c r="O1103" s="79">
        <v>100.7</v>
      </c>
      <c r="P1103" s="79">
        <v>105.1641</v>
      </c>
      <c r="Q1103" s="79"/>
      <c r="R1103" s="79">
        <v>108.9</v>
      </c>
      <c r="S1103" s="79">
        <v>100.1408</v>
      </c>
      <c r="T1103" s="79">
        <v>102.7859</v>
      </c>
      <c r="U1103" s="79">
        <v>115.4653</v>
      </c>
      <c r="V1103" s="79">
        <v>85.207099999999997</v>
      </c>
      <c r="W1103" s="79">
        <v>59.736640000000001</v>
      </c>
      <c r="X1103" s="79">
        <v>76.909869999999998</v>
      </c>
      <c r="Y1103" s="79">
        <v>89.367679999999993</v>
      </c>
      <c r="Z1103" s="79">
        <v>108.491</v>
      </c>
      <c r="AA1103" s="79">
        <v>102.0244</v>
      </c>
      <c r="AB1103" s="79">
        <v>93.259230000000002</v>
      </c>
      <c r="AC1103" s="79">
        <v>102.39149999999999</v>
      </c>
      <c r="AD1103" s="79">
        <v>89.8</v>
      </c>
      <c r="AE1103" s="79">
        <v>100.7467</v>
      </c>
      <c r="AF1103" s="79">
        <v>105.69119999999999</v>
      </c>
      <c r="AG1103" s="79">
        <v>104.96510000000001</v>
      </c>
      <c r="AH1103" s="79">
        <v>94.186610000000002</v>
      </c>
      <c r="AI1103" s="79">
        <v>85</v>
      </c>
      <c r="AJ1103" s="79">
        <v>101.91119999999999</v>
      </c>
      <c r="AK1103" s="79">
        <v>84.114019999999996</v>
      </c>
      <c r="AL1103" s="79">
        <v>94.307860000000005</v>
      </c>
      <c r="AM1103" s="79">
        <v>103.1</v>
      </c>
      <c r="AN1103" s="79"/>
      <c r="AO1103" s="79">
        <v>91.354929999999996</v>
      </c>
      <c r="AP1103" s="79">
        <v>97.983670000000004</v>
      </c>
      <c r="AQ1103" s="79"/>
      <c r="AR1103" s="79"/>
      <c r="AS1103" s="79"/>
      <c r="AT1103" s="79">
        <v>91.220920000000007</v>
      </c>
      <c r="AU1103" s="79"/>
      <c r="AV1103" s="79">
        <v>86.1</v>
      </c>
      <c r="AW1103" s="79"/>
      <c r="AX1103" s="79">
        <v>72.293980000000005</v>
      </c>
      <c r="AY1103" s="79">
        <v>111.53319999999999</v>
      </c>
    </row>
    <row r="1104" spans="1:51" x14ac:dyDescent="0.2">
      <c r="A1104" t="s">
        <v>1649</v>
      </c>
      <c r="B1104" s="1">
        <v>40483</v>
      </c>
      <c r="C1104" s="78">
        <v>1104</v>
      </c>
      <c r="E1104" s="1">
        <f t="shared" si="34"/>
        <v>40483</v>
      </c>
      <c r="F1104" s="2">
        <f t="shared" si="35"/>
        <v>40483</v>
      </c>
      <c r="G1104" s="78">
        <v>1102</v>
      </c>
      <c r="H1104" s="79"/>
      <c r="I1104" s="79"/>
      <c r="J1104" s="79">
        <v>101.39149999999999</v>
      </c>
      <c r="K1104" s="79">
        <v>91.338160000000002</v>
      </c>
      <c r="L1104" s="79"/>
      <c r="M1104" s="79">
        <v>90.284949999999995</v>
      </c>
      <c r="N1104" s="79">
        <v>93.892169999999993</v>
      </c>
      <c r="O1104" s="79">
        <v>99.4</v>
      </c>
      <c r="P1104" s="79">
        <v>108.1271</v>
      </c>
      <c r="Q1104" s="79"/>
      <c r="R1104" s="79">
        <v>108.9</v>
      </c>
      <c r="S1104" s="79">
        <v>101.41079999999999</v>
      </c>
      <c r="T1104" s="79">
        <v>102.9936</v>
      </c>
      <c r="U1104" s="79">
        <v>113.967</v>
      </c>
      <c r="V1104" s="79">
        <v>87.407290000000003</v>
      </c>
      <c r="W1104" s="79">
        <v>65.722920000000002</v>
      </c>
      <c r="X1104" s="79">
        <v>81.41695</v>
      </c>
      <c r="Y1104" s="79">
        <v>88.99297</v>
      </c>
      <c r="Z1104" s="79">
        <v>109.0909</v>
      </c>
      <c r="AA1104" s="79">
        <v>103.7693</v>
      </c>
      <c r="AB1104" s="79">
        <v>94.179150000000007</v>
      </c>
      <c r="AC1104" s="79">
        <v>102.6914</v>
      </c>
      <c r="AD1104" s="79">
        <v>87.7</v>
      </c>
      <c r="AE1104" s="79">
        <v>100.79089999999999</v>
      </c>
      <c r="AF1104" s="79">
        <v>106.89109999999999</v>
      </c>
      <c r="AG1104" s="79">
        <v>102.5213</v>
      </c>
      <c r="AH1104" s="79">
        <v>94.756339999999994</v>
      </c>
      <c r="AI1104" s="79">
        <v>85.4</v>
      </c>
      <c r="AJ1104" s="79">
        <v>104.19199999999999</v>
      </c>
      <c r="AK1104" s="79">
        <v>84.914150000000006</v>
      </c>
      <c r="AL1104" s="79">
        <v>95.107929999999996</v>
      </c>
      <c r="AM1104" s="79">
        <v>106.9</v>
      </c>
      <c r="AN1104" s="79"/>
      <c r="AO1104" s="79">
        <v>91.381240000000005</v>
      </c>
      <c r="AP1104" s="79">
        <v>98.883520000000004</v>
      </c>
      <c r="AQ1104" s="79"/>
      <c r="AR1104" s="79"/>
      <c r="AS1104" s="79"/>
      <c r="AT1104" s="79">
        <v>89.505139999999997</v>
      </c>
      <c r="AU1104" s="79"/>
      <c r="AV1104" s="79">
        <v>85.7</v>
      </c>
      <c r="AW1104" s="79"/>
      <c r="AX1104" s="79">
        <v>74.593779999999995</v>
      </c>
      <c r="AY1104" s="79">
        <v>112.414</v>
      </c>
    </row>
    <row r="1105" spans="1:51" x14ac:dyDescent="0.2">
      <c r="A1105" t="s">
        <v>1650</v>
      </c>
      <c r="B1105" s="1">
        <v>40513</v>
      </c>
      <c r="C1105" s="78">
        <v>1105</v>
      </c>
      <c r="E1105" s="1">
        <f t="shared" si="34"/>
        <v>40513</v>
      </c>
      <c r="F1105" s="2">
        <f t="shared" si="35"/>
        <v>40513</v>
      </c>
      <c r="G1105" s="78">
        <v>1103</v>
      </c>
      <c r="H1105" s="79"/>
      <c r="I1105" s="79"/>
      <c r="J1105" s="79">
        <v>98.691770000000005</v>
      </c>
      <c r="K1105" s="79">
        <v>93.066410000000005</v>
      </c>
      <c r="L1105" s="79"/>
      <c r="M1105" s="79">
        <v>89.085149999999999</v>
      </c>
      <c r="N1105" s="79">
        <v>95.392049999999998</v>
      </c>
      <c r="O1105" s="79">
        <v>99.1</v>
      </c>
      <c r="P1105" s="79">
        <v>105.18210000000001</v>
      </c>
      <c r="Q1105" s="79"/>
      <c r="R1105" s="79">
        <v>110</v>
      </c>
      <c r="S1105" s="79">
        <v>102.7409</v>
      </c>
      <c r="T1105" s="79">
        <v>103.3051</v>
      </c>
      <c r="U1105" s="79">
        <v>114.16679999999999</v>
      </c>
      <c r="V1105" s="79">
        <v>79.906660000000002</v>
      </c>
      <c r="W1105" s="79">
        <v>65.155789999999996</v>
      </c>
      <c r="X1105" s="79">
        <v>85.028559999999999</v>
      </c>
      <c r="Y1105" s="79">
        <v>90.023420000000002</v>
      </c>
      <c r="Z1105" s="79">
        <v>109.99079999999999</v>
      </c>
      <c r="AA1105" s="79">
        <v>104.0772</v>
      </c>
      <c r="AB1105" s="79">
        <v>95.826009999999997</v>
      </c>
      <c r="AC1105" s="79">
        <v>100.8916</v>
      </c>
      <c r="AD1105" s="79">
        <v>89.3</v>
      </c>
      <c r="AE1105" s="79">
        <v>101.5192</v>
      </c>
      <c r="AF1105" s="79">
        <v>107.2911</v>
      </c>
      <c r="AG1105" s="79">
        <v>103.56870000000001</v>
      </c>
      <c r="AH1105" s="79">
        <v>95.283450000000002</v>
      </c>
      <c r="AI1105" s="79">
        <v>83.1</v>
      </c>
      <c r="AJ1105" s="79">
        <v>106.4027</v>
      </c>
      <c r="AK1105" s="79">
        <v>83.713949999999997</v>
      </c>
      <c r="AL1105" s="79">
        <v>97.308109999999999</v>
      </c>
      <c r="AM1105" s="79">
        <v>105.6</v>
      </c>
      <c r="AN1105" s="79"/>
      <c r="AO1105" s="79">
        <v>92.266450000000006</v>
      </c>
      <c r="AP1105" s="79">
        <v>99.683390000000003</v>
      </c>
      <c r="AQ1105" s="79"/>
      <c r="AR1105" s="79"/>
      <c r="AS1105" s="79"/>
      <c r="AT1105" s="79">
        <v>91.140540000000001</v>
      </c>
      <c r="AU1105" s="79"/>
      <c r="AV1105" s="79">
        <v>86.1</v>
      </c>
      <c r="AW1105" s="79"/>
      <c r="AX1105" s="79">
        <v>75.793689999999998</v>
      </c>
      <c r="AY1105" s="79">
        <v>113.0746</v>
      </c>
    </row>
    <row r="1106" spans="1:51" x14ac:dyDescent="0.2">
      <c r="A1106" t="s">
        <v>1651</v>
      </c>
      <c r="B1106" s="1">
        <v>40544</v>
      </c>
      <c r="C1106" s="78">
        <v>1106</v>
      </c>
      <c r="E1106" s="1">
        <f t="shared" si="34"/>
        <v>40544</v>
      </c>
      <c r="F1106" s="2">
        <f t="shared" si="35"/>
        <v>40544</v>
      </c>
      <c r="G1106" s="78">
        <v>1104</v>
      </c>
      <c r="H1106" s="79"/>
      <c r="I1106" s="79"/>
      <c r="J1106" s="79">
        <v>100.7916</v>
      </c>
      <c r="K1106" s="79">
        <v>92.851590000000002</v>
      </c>
      <c r="L1106" s="79"/>
      <c r="M1106" s="79">
        <v>92.184640000000002</v>
      </c>
      <c r="N1106" s="79">
        <v>95.192070000000001</v>
      </c>
      <c r="O1106" s="79">
        <v>100.3</v>
      </c>
      <c r="P1106" s="79">
        <v>105.75409999999999</v>
      </c>
      <c r="Q1106" s="79"/>
      <c r="R1106" s="79">
        <v>111.7</v>
      </c>
      <c r="S1106" s="79">
        <v>103.9709</v>
      </c>
      <c r="T1106" s="79">
        <v>103.6165</v>
      </c>
      <c r="U1106" s="79">
        <v>111.66970000000001</v>
      </c>
      <c r="V1106" s="79">
        <v>87.607299999999995</v>
      </c>
      <c r="W1106" s="79">
        <v>62.572249999999997</v>
      </c>
      <c r="X1106" s="79">
        <v>85.852819999999994</v>
      </c>
      <c r="Y1106" s="79">
        <v>97.611239999999995</v>
      </c>
      <c r="Z1106" s="79">
        <v>107.991</v>
      </c>
      <c r="AA1106" s="79">
        <v>104.7957</v>
      </c>
      <c r="AB1106" s="79">
        <v>97.848849999999999</v>
      </c>
      <c r="AC1106" s="79">
        <v>103.6914</v>
      </c>
      <c r="AD1106" s="79">
        <v>87.7</v>
      </c>
      <c r="AE1106" s="79">
        <v>101.7577</v>
      </c>
      <c r="AF1106" s="79">
        <v>105.7912</v>
      </c>
      <c r="AG1106" s="79">
        <v>99.961209999999994</v>
      </c>
      <c r="AH1106" s="79">
        <v>95.723920000000007</v>
      </c>
      <c r="AI1106" s="79">
        <v>85.7</v>
      </c>
      <c r="AJ1106" s="79">
        <v>102.88500000000001</v>
      </c>
      <c r="AK1106" s="79">
        <v>87.914649999999995</v>
      </c>
      <c r="AL1106" s="79">
        <v>94.407870000000003</v>
      </c>
      <c r="AM1106" s="79">
        <v>106.2</v>
      </c>
      <c r="AN1106" s="79"/>
      <c r="AO1106" s="79">
        <v>92.147829999999999</v>
      </c>
      <c r="AP1106" s="79">
        <v>99.18347</v>
      </c>
      <c r="AQ1106" s="79"/>
      <c r="AR1106" s="79"/>
      <c r="AS1106" s="79"/>
      <c r="AT1106" s="79">
        <v>92.263120000000001</v>
      </c>
      <c r="AU1106" s="79"/>
      <c r="AV1106" s="79">
        <v>86.8</v>
      </c>
      <c r="AW1106" s="79"/>
      <c r="AX1106" s="79">
        <v>78.99342</v>
      </c>
      <c r="AY1106" s="79">
        <v>113.18470000000001</v>
      </c>
    </row>
    <row r="1107" spans="1:51" x14ac:dyDescent="0.2">
      <c r="A1107" t="s">
        <v>1652</v>
      </c>
      <c r="B1107" s="1">
        <v>40575</v>
      </c>
      <c r="C1107" s="78">
        <v>1107</v>
      </c>
      <c r="E1107" s="1">
        <f t="shared" si="34"/>
        <v>40575</v>
      </c>
      <c r="F1107" s="2">
        <f t="shared" si="35"/>
        <v>40575</v>
      </c>
      <c r="G1107" s="78">
        <v>1105</v>
      </c>
      <c r="H1107" s="79"/>
      <c r="I1107" s="79"/>
      <c r="J1107" s="79">
        <v>102.5915</v>
      </c>
      <c r="K1107" s="79">
        <v>92.475700000000003</v>
      </c>
      <c r="L1107" s="79"/>
      <c r="M1107" s="79">
        <v>90.984830000000002</v>
      </c>
      <c r="N1107" s="79">
        <v>96.291979999999995</v>
      </c>
      <c r="O1107" s="79">
        <v>97.9</v>
      </c>
      <c r="P1107" s="79">
        <v>106.8121</v>
      </c>
      <c r="Q1107" s="79"/>
      <c r="R1107" s="79">
        <v>109.3</v>
      </c>
      <c r="S1107" s="79">
        <v>104.3009</v>
      </c>
      <c r="T1107" s="79">
        <v>102.2668</v>
      </c>
      <c r="U1107" s="79">
        <v>110.9705</v>
      </c>
      <c r="V1107" s="79">
        <v>88.907409999999999</v>
      </c>
      <c r="W1107" s="79">
        <v>63.013339999999999</v>
      </c>
      <c r="X1107" s="79">
        <v>85.628960000000006</v>
      </c>
      <c r="Y1107" s="79">
        <v>94.238879999999995</v>
      </c>
      <c r="Z1107" s="79">
        <v>110.6908</v>
      </c>
      <c r="AA1107" s="79">
        <v>105.2062</v>
      </c>
      <c r="AB1107" s="79">
        <v>95.279060000000001</v>
      </c>
      <c r="AC1107" s="79">
        <v>106.9911</v>
      </c>
      <c r="AD1107" s="79">
        <v>89.1</v>
      </c>
      <c r="AE1107" s="79">
        <v>101.9216</v>
      </c>
      <c r="AF1107" s="79">
        <v>106.7911</v>
      </c>
      <c r="AG1107" s="79">
        <v>100.1939</v>
      </c>
      <c r="AH1107" s="79">
        <v>95.628330000000005</v>
      </c>
      <c r="AI1107" s="79">
        <v>87.8</v>
      </c>
      <c r="AJ1107" s="79">
        <v>104.18519999999999</v>
      </c>
      <c r="AK1107" s="79">
        <v>87.114519999999999</v>
      </c>
      <c r="AL1107" s="79">
        <v>93.50779</v>
      </c>
      <c r="AM1107" s="79">
        <v>107.5</v>
      </c>
      <c r="AN1107" s="79"/>
      <c r="AO1107" s="79">
        <v>91.743449999999996</v>
      </c>
      <c r="AP1107" s="79">
        <v>100.08329999999999</v>
      </c>
      <c r="AQ1107" s="79"/>
      <c r="AR1107" s="79"/>
      <c r="AS1107" s="79"/>
      <c r="AT1107" s="79">
        <v>92.421750000000003</v>
      </c>
      <c r="AU1107" s="79"/>
      <c r="AV1107" s="79">
        <v>86.6</v>
      </c>
      <c r="AW1107" s="79"/>
      <c r="AX1107" s="79">
        <v>77.793520000000001</v>
      </c>
      <c r="AY1107" s="79">
        <v>114.616</v>
      </c>
    </row>
    <row r="1108" spans="1:51" x14ac:dyDescent="0.2">
      <c r="A1108" t="s">
        <v>1653</v>
      </c>
      <c r="B1108" s="1">
        <v>40603</v>
      </c>
      <c r="C1108" s="78">
        <v>1108</v>
      </c>
      <c r="E1108" s="1">
        <f t="shared" si="34"/>
        <v>40603</v>
      </c>
      <c r="F1108" s="2">
        <f t="shared" si="35"/>
        <v>40603</v>
      </c>
      <c r="G1108" s="78">
        <v>1106</v>
      </c>
      <c r="H1108" s="79"/>
      <c r="I1108" s="79"/>
      <c r="J1108" s="79">
        <v>105.3912</v>
      </c>
      <c r="K1108" s="79">
        <v>93.528170000000003</v>
      </c>
      <c r="L1108" s="79"/>
      <c r="M1108" s="79">
        <v>90.584900000000005</v>
      </c>
      <c r="N1108" s="79">
        <v>96.891919999999999</v>
      </c>
      <c r="O1108" s="79">
        <v>100.3</v>
      </c>
      <c r="P1108" s="79">
        <v>105.50409999999999</v>
      </c>
      <c r="Q1108" s="79"/>
      <c r="R1108" s="79">
        <v>108.3</v>
      </c>
      <c r="S1108" s="79">
        <v>102.9909</v>
      </c>
      <c r="T1108" s="79">
        <v>102.2668</v>
      </c>
      <c r="U1108" s="79">
        <v>110.9705</v>
      </c>
      <c r="V1108" s="79">
        <v>85.807149999999993</v>
      </c>
      <c r="W1108" s="79">
        <v>62.446219999999997</v>
      </c>
      <c r="X1108" s="79">
        <v>84.7834</v>
      </c>
      <c r="Y1108" s="79">
        <v>95.175640000000001</v>
      </c>
      <c r="Z1108" s="79">
        <v>110.8908</v>
      </c>
      <c r="AA1108" s="79">
        <v>88.578509999999994</v>
      </c>
      <c r="AB1108" s="79">
        <v>97.629869999999997</v>
      </c>
      <c r="AC1108" s="79">
        <v>106.19119999999999</v>
      </c>
      <c r="AD1108" s="79">
        <v>90.4</v>
      </c>
      <c r="AE1108" s="79">
        <v>102.56740000000001</v>
      </c>
      <c r="AF1108" s="79">
        <v>106.19119999999999</v>
      </c>
      <c r="AG1108" s="79">
        <v>99.262990000000002</v>
      </c>
      <c r="AH1108" s="79">
        <v>94.169309999999996</v>
      </c>
      <c r="AI1108" s="79">
        <v>87</v>
      </c>
      <c r="AJ1108" s="79">
        <v>108.11539999999999</v>
      </c>
      <c r="AK1108" s="79">
        <v>85.314220000000006</v>
      </c>
      <c r="AL1108" s="79">
        <v>95.307950000000005</v>
      </c>
      <c r="AM1108" s="79">
        <v>106.2</v>
      </c>
      <c r="AN1108" s="79"/>
      <c r="AO1108" s="79">
        <v>92.654880000000006</v>
      </c>
      <c r="AP1108" s="79">
        <v>100.1833</v>
      </c>
      <c r="AQ1108" s="79"/>
      <c r="AR1108" s="79"/>
      <c r="AS1108" s="79"/>
      <c r="AT1108" s="79">
        <v>94.647890000000004</v>
      </c>
      <c r="AU1108" s="79"/>
      <c r="AV1108" s="79">
        <v>86.5</v>
      </c>
      <c r="AW1108" s="79"/>
      <c r="AX1108" s="79">
        <v>77.493549999999999</v>
      </c>
      <c r="AY1108" s="79">
        <v>115.49679999999999</v>
      </c>
    </row>
    <row r="1109" spans="1:51" x14ac:dyDescent="0.2">
      <c r="A1109" t="s">
        <v>1654</v>
      </c>
      <c r="B1109" s="1">
        <v>40634</v>
      </c>
      <c r="C1109" s="78">
        <v>1109</v>
      </c>
      <c r="E1109" s="1">
        <f t="shared" si="34"/>
        <v>40634</v>
      </c>
      <c r="F1109" s="2">
        <f t="shared" si="35"/>
        <v>40634</v>
      </c>
      <c r="G1109" s="78">
        <v>1107</v>
      </c>
      <c r="H1109" s="79"/>
      <c r="I1109" s="79"/>
      <c r="J1109" s="79">
        <v>102.7914</v>
      </c>
      <c r="K1109" s="79">
        <v>93.891469999999998</v>
      </c>
      <c r="L1109" s="79"/>
      <c r="M1109" s="79">
        <v>90.984830000000002</v>
      </c>
      <c r="N1109" s="79">
        <v>97.491870000000006</v>
      </c>
      <c r="O1109" s="79">
        <v>100.8</v>
      </c>
      <c r="P1109" s="79">
        <v>104.96210000000001</v>
      </c>
      <c r="Q1109" s="79"/>
      <c r="R1109" s="79">
        <v>109.3</v>
      </c>
      <c r="S1109" s="79">
        <v>101.2508</v>
      </c>
      <c r="T1109" s="79">
        <v>101.12479999999999</v>
      </c>
      <c r="U1109" s="79">
        <v>107.3747</v>
      </c>
      <c r="V1109" s="79">
        <v>86.307190000000006</v>
      </c>
      <c r="W1109" s="79">
        <v>63.391419999999997</v>
      </c>
      <c r="X1109" s="79">
        <v>85.595489999999998</v>
      </c>
      <c r="Y1109" s="79">
        <v>95.737700000000004</v>
      </c>
      <c r="Z1109" s="79">
        <v>111.8907</v>
      </c>
      <c r="AA1109" s="79">
        <v>90.220759999999999</v>
      </c>
      <c r="AB1109" s="79">
        <v>96.654949999999999</v>
      </c>
      <c r="AC1109" s="79">
        <v>106.2911</v>
      </c>
      <c r="AD1109" s="79">
        <v>92.3</v>
      </c>
      <c r="AE1109" s="79">
        <v>102.5753</v>
      </c>
      <c r="AF1109" s="79">
        <v>102.7914</v>
      </c>
      <c r="AG1109" s="79">
        <v>96.121030000000005</v>
      </c>
      <c r="AH1109" s="79">
        <v>94.116519999999994</v>
      </c>
      <c r="AI1109" s="79">
        <v>87.8</v>
      </c>
      <c r="AJ1109" s="79">
        <v>105.1914</v>
      </c>
      <c r="AK1109" s="79">
        <v>86.714449999999999</v>
      </c>
      <c r="AL1109" s="79">
        <v>94.007840000000002</v>
      </c>
      <c r="AM1109" s="79">
        <v>105.4</v>
      </c>
      <c r="AN1109" s="79"/>
      <c r="AO1109" s="79">
        <v>92.322929999999999</v>
      </c>
      <c r="AP1109" s="79">
        <v>99.783370000000005</v>
      </c>
      <c r="AQ1109" s="79"/>
      <c r="AR1109" s="79"/>
      <c r="AS1109" s="79"/>
      <c r="AT1109" s="79">
        <v>92.858999999999995</v>
      </c>
      <c r="AU1109" s="79"/>
      <c r="AV1109" s="79">
        <v>87.5</v>
      </c>
      <c r="AW1109" s="79"/>
      <c r="AX1109" s="79">
        <v>77.393550000000005</v>
      </c>
      <c r="AY1109" s="79">
        <v>112.414</v>
      </c>
    </row>
    <row r="1110" spans="1:51" x14ac:dyDescent="0.2">
      <c r="A1110" t="s">
        <v>1655</v>
      </c>
      <c r="B1110" s="1">
        <v>40664</v>
      </c>
      <c r="C1110" s="78">
        <v>1110</v>
      </c>
      <c r="E1110" s="1">
        <f t="shared" si="34"/>
        <v>40664</v>
      </c>
      <c r="F1110" s="2">
        <f t="shared" si="35"/>
        <v>40664</v>
      </c>
      <c r="G1110" s="78">
        <v>1108</v>
      </c>
      <c r="H1110" s="79"/>
      <c r="I1110" s="79"/>
      <c r="J1110" s="79">
        <v>102.39149999999999</v>
      </c>
      <c r="K1110" s="79">
        <v>92.247230000000002</v>
      </c>
      <c r="L1110" s="79"/>
      <c r="M1110" s="79">
        <v>92.884519999999995</v>
      </c>
      <c r="N1110" s="79">
        <v>98.691770000000005</v>
      </c>
      <c r="O1110" s="79">
        <v>105.7</v>
      </c>
      <c r="P1110" s="79">
        <v>104.1491</v>
      </c>
      <c r="Q1110" s="79"/>
      <c r="R1110" s="79">
        <v>110.2</v>
      </c>
      <c r="S1110" s="79">
        <v>104.5609</v>
      </c>
      <c r="T1110" s="79">
        <v>102.0592</v>
      </c>
      <c r="U1110" s="79">
        <v>108.4734</v>
      </c>
      <c r="V1110" s="79">
        <v>84.707059999999998</v>
      </c>
      <c r="W1110" s="79">
        <v>63.391419999999997</v>
      </c>
      <c r="X1110" s="79">
        <v>89.990009999999998</v>
      </c>
      <c r="Y1110" s="79">
        <v>96.112409999999997</v>
      </c>
      <c r="Z1110" s="79">
        <v>109.7908</v>
      </c>
      <c r="AA1110" s="79">
        <v>96.17389</v>
      </c>
      <c r="AB1110" s="79">
        <v>97.856840000000005</v>
      </c>
      <c r="AC1110" s="79">
        <v>105.49120000000001</v>
      </c>
      <c r="AD1110" s="79">
        <v>92</v>
      </c>
      <c r="AE1110" s="79">
        <v>103.4123</v>
      </c>
      <c r="AF1110" s="79">
        <v>104.1913</v>
      </c>
      <c r="AG1110" s="79">
        <v>91.815359999999998</v>
      </c>
      <c r="AH1110" s="79">
        <v>95.13937</v>
      </c>
      <c r="AI1110" s="79">
        <v>87.9</v>
      </c>
      <c r="AJ1110" s="79">
        <v>103.5183</v>
      </c>
      <c r="AK1110" s="79">
        <v>85.714290000000005</v>
      </c>
      <c r="AL1110" s="79">
        <v>96.308030000000002</v>
      </c>
      <c r="AM1110" s="79">
        <v>106.1</v>
      </c>
      <c r="AN1110" s="79"/>
      <c r="AO1110" s="79">
        <v>92.533280000000005</v>
      </c>
      <c r="AP1110" s="79">
        <v>100.38330000000001</v>
      </c>
      <c r="AQ1110" s="79"/>
      <c r="AR1110" s="79"/>
      <c r="AS1110" s="79"/>
      <c r="AT1110" s="79">
        <v>90.515439999999998</v>
      </c>
      <c r="AU1110" s="79"/>
      <c r="AV1110" s="79">
        <v>87.6</v>
      </c>
      <c r="AW1110" s="79"/>
      <c r="AX1110" s="79">
        <v>78.193479999999994</v>
      </c>
      <c r="AY1110" s="79">
        <v>115.717</v>
      </c>
    </row>
    <row r="1111" spans="1:51" x14ac:dyDescent="0.2">
      <c r="A1111" t="s">
        <v>1656</v>
      </c>
      <c r="B1111" s="1">
        <v>40695</v>
      </c>
      <c r="C1111" s="78">
        <v>1111</v>
      </c>
      <c r="E1111" s="1">
        <f t="shared" si="34"/>
        <v>40695</v>
      </c>
      <c r="F1111" s="2">
        <f t="shared" si="35"/>
        <v>40695</v>
      </c>
      <c r="G1111" s="78">
        <v>1109</v>
      </c>
      <c r="H1111" s="79"/>
      <c r="I1111" s="79"/>
      <c r="J1111" s="79">
        <v>100.3916</v>
      </c>
      <c r="K1111" s="79">
        <v>92.821079999999995</v>
      </c>
      <c r="L1111" s="79"/>
      <c r="M1111" s="79">
        <v>92.184640000000002</v>
      </c>
      <c r="N1111" s="79">
        <v>97.091909999999999</v>
      </c>
      <c r="O1111" s="79">
        <v>102.1</v>
      </c>
      <c r="P1111" s="79">
        <v>104.4151</v>
      </c>
      <c r="Q1111" s="79"/>
      <c r="R1111" s="79">
        <v>107.2</v>
      </c>
      <c r="S1111" s="79">
        <v>101.6908</v>
      </c>
      <c r="T1111" s="79">
        <v>102.0592</v>
      </c>
      <c r="U1111" s="79">
        <v>103.9787</v>
      </c>
      <c r="V1111" s="79">
        <v>85.007090000000005</v>
      </c>
      <c r="W1111" s="79">
        <v>62.131149999999998</v>
      </c>
      <c r="X1111" s="79">
        <v>96.350999999999999</v>
      </c>
      <c r="Y1111" s="79">
        <v>93.864170000000001</v>
      </c>
      <c r="Z1111" s="79">
        <v>108.8909</v>
      </c>
      <c r="AA1111" s="79">
        <v>100.0742</v>
      </c>
      <c r="AB1111" s="79">
        <v>98.51379</v>
      </c>
      <c r="AC1111" s="79">
        <v>100.99160000000001</v>
      </c>
      <c r="AD1111" s="79">
        <v>93.5</v>
      </c>
      <c r="AE1111" s="79">
        <v>103.0284</v>
      </c>
      <c r="AF1111" s="79">
        <v>103.3914</v>
      </c>
      <c r="AG1111" s="79">
        <v>97.284710000000004</v>
      </c>
      <c r="AH1111" s="79">
        <v>95.384200000000007</v>
      </c>
      <c r="AI1111" s="79">
        <v>87.4</v>
      </c>
      <c r="AJ1111" s="79">
        <v>100.8257</v>
      </c>
      <c r="AK1111" s="79">
        <v>88.314719999999994</v>
      </c>
      <c r="AL1111" s="79">
        <v>92.707729999999998</v>
      </c>
      <c r="AM1111" s="79">
        <v>102.7</v>
      </c>
      <c r="AN1111" s="79"/>
      <c r="AO1111" s="79">
        <v>92.80001</v>
      </c>
      <c r="AP1111" s="79">
        <v>98.983509999999995</v>
      </c>
      <c r="AQ1111" s="79"/>
      <c r="AR1111" s="79"/>
      <c r="AS1111" s="79"/>
      <c r="AT1111" s="79">
        <v>93.72784</v>
      </c>
      <c r="AU1111" s="79"/>
      <c r="AV1111" s="79">
        <v>88.4</v>
      </c>
      <c r="AW1111" s="79"/>
      <c r="AX1111" s="79">
        <v>79.693359999999998</v>
      </c>
      <c r="AY1111" s="79">
        <v>113.18470000000001</v>
      </c>
    </row>
    <row r="1112" spans="1:51" x14ac:dyDescent="0.2">
      <c r="A1112" t="s">
        <v>1657</v>
      </c>
      <c r="B1112" s="1">
        <v>40725</v>
      </c>
      <c r="C1112" s="78">
        <v>1112</v>
      </c>
      <c r="E1112" s="1">
        <f t="shared" si="34"/>
        <v>40725</v>
      </c>
      <c r="F1112" s="2">
        <f t="shared" si="35"/>
        <v>40725</v>
      </c>
      <c r="G1112" s="78">
        <v>1110</v>
      </c>
      <c r="H1112" s="79"/>
      <c r="I1112" s="79"/>
      <c r="J1112" s="79">
        <v>101.19159999999999</v>
      </c>
      <c r="K1112" s="79">
        <v>94.466399999999993</v>
      </c>
      <c r="L1112" s="79"/>
      <c r="M1112" s="79">
        <v>90.784869999999998</v>
      </c>
      <c r="N1112" s="79">
        <v>100.0917</v>
      </c>
      <c r="O1112" s="79">
        <v>97.1</v>
      </c>
      <c r="P1112" s="79">
        <v>104.55110000000001</v>
      </c>
      <c r="Q1112" s="79"/>
      <c r="R1112" s="79">
        <v>104.7</v>
      </c>
      <c r="S1112" s="79">
        <v>102.8409</v>
      </c>
      <c r="T1112" s="79">
        <v>101.8515</v>
      </c>
      <c r="U1112" s="79">
        <v>110.8707</v>
      </c>
      <c r="V1112" s="79">
        <v>86.307190000000006</v>
      </c>
      <c r="W1112" s="79">
        <v>58.413359999999997</v>
      </c>
      <c r="X1112" s="79">
        <v>94.363749999999996</v>
      </c>
      <c r="Y1112" s="79">
        <v>94.800929999999994</v>
      </c>
      <c r="Z1112" s="79">
        <v>108.491</v>
      </c>
      <c r="AA1112" s="79">
        <v>100.998</v>
      </c>
      <c r="AB1112" s="79">
        <v>98.330799999999996</v>
      </c>
      <c r="AC1112" s="79">
        <v>102.4915</v>
      </c>
      <c r="AD1112" s="79">
        <v>93.1</v>
      </c>
      <c r="AE1112" s="79">
        <v>103.3698</v>
      </c>
      <c r="AF1112" s="79">
        <v>105.99120000000001</v>
      </c>
      <c r="AG1112" s="79">
        <v>96.819239999999994</v>
      </c>
      <c r="AH1112" s="79">
        <v>96.091449999999995</v>
      </c>
      <c r="AI1112" s="79">
        <v>87.9</v>
      </c>
      <c r="AJ1112" s="79">
        <v>100.86669999999999</v>
      </c>
      <c r="AK1112" s="79">
        <v>87.21454</v>
      </c>
      <c r="AL1112" s="79">
        <v>93.707809999999995</v>
      </c>
      <c r="AM1112" s="79">
        <v>104.3</v>
      </c>
      <c r="AN1112" s="79"/>
      <c r="AO1112" s="79">
        <v>93.293530000000004</v>
      </c>
      <c r="AP1112" s="79">
        <v>99.983339999999998</v>
      </c>
      <c r="AQ1112" s="79"/>
      <c r="AR1112" s="79"/>
      <c r="AS1112" s="79"/>
      <c r="AT1112" s="79">
        <v>92.125</v>
      </c>
      <c r="AU1112" s="79"/>
      <c r="AV1112" s="79">
        <v>88.5</v>
      </c>
      <c r="AW1112" s="79"/>
      <c r="AX1112" s="79">
        <v>81.193240000000003</v>
      </c>
      <c r="AY1112" s="79">
        <v>113.515</v>
      </c>
    </row>
    <row r="1113" spans="1:51" x14ac:dyDescent="0.2">
      <c r="A1113" t="s">
        <v>1658</v>
      </c>
      <c r="B1113" s="1">
        <v>40756</v>
      </c>
      <c r="C1113" s="78">
        <v>1113</v>
      </c>
      <c r="E1113" s="1">
        <f t="shared" si="34"/>
        <v>40756</v>
      </c>
      <c r="F1113" s="2">
        <f t="shared" si="35"/>
        <v>40756</v>
      </c>
      <c r="G1113" s="78">
        <v>1111</v>
      </c>
      <c r="H1113" s="79"/>
      <c r="I1113" s="79"/>
      <c r="J1113" s="79">
        <v>104.6913</v>
      </c>
      <c r="K1113" s="79">
        <v>95.465350000000001</v>
      </c>
      <c r="L1113" s="79"/>
      <c r="M1113" s="79">
        <v>91.484750000000005</v>
      </c>
      <c r="N1113" s="79">
        <v>99.291730000000001</v>
      </c>
      <c r="O1113" s="79">
        <v>99</v>
      </c>
      <c r="P1113" s="79">
        <v>104.52209999999999</v>
      </c>
      <c r="Q1113" s="79"/>
      <c r="R1113" s="79">
        <v>107.1</v>
      </c>
      <c r="S1113" s="79">
        <v>101.98090000000001</v>
      </c>
      <c r="T1113" s="79">
        <v>101.4362</v>
      </c>
      <c r="U1113" s="79">
        <v>105.7766</v>
      </c>
      <c r="V1113" s="79">
        <v>85.707149999999999</v>
      </c>
      <c r="W1113" s="79">
        <v>63.958539999999999</v>
      </c>
      <c r="X1113" s="79">
        <v>93.485659999999996</v>
      </c>
      <c r="Y1113" s="79">
        <v>91.709599999999995</v>
      </c>
      <c r="Z1113" s="79">
        <v>107.89100000000001</v>
      </c>
      <c r="AA1113" s="79">
        <v>102.5376</v>
      </c>
      <c r="AB1113" s="79">
        <v>98.316810000000004</v>
      </c>
      <c r="AC1113" s="79">
        <v>105.19119999999999</v>
      </c>
      <c r="AD1113" s="79">
        <v>92.7</v>
      </c>
      <c r="AE1113" s="79">
        <v>103.53400000000001</v>
      </c>
      <c r="AF1113" s="79">
        <v>106.2911</v>
      </c>
      <c r="AG1113" s="79">
        <v>100.0776</v>
      </c>
      <c r="AH1113" s="79">
        <v>96.686300000000003</v>
      </c>
      <c r="AI1113" s="79">
        <v>89.9</v>
      </c>
      <c r="AJ1113" s="79">
        <v>103.56</v>
      </c>
      <c r="AK1113" s="79">
        <v>86.014340000000004</v>
      </c>
      <c r="AL1113" s="79">
        <v>92.60772</v>
      </c>
      <c r="AM1113" s="79">
        <v>102.7</v>
      </c>
      <c r="AN1113" s="79"/>
      <c r="AO1113" s="79">
        <v>93.815939999999998</v>
      </c>
      <c r="AP1113" s="79">
        <v>100.08329999999999</v>
      </c>
      <c r="AQ1113" s="79"/>
      <c r="AR1113" s="79"/>
      <c r="AS1113" s="79"/>
      <c r="AT1113" s="79">
        <v>90.626099999999994</v>
      </c>
      <c r="AU1113" s="79"/>
      <c r="AV1113" s="79">
        <v>88.4</v>
      </c>
      <c r="AW1113" s="79"/>
      <c r="AX1113" s="79">
        <v>83.593029999999999</v>
      </c>
      <c r="AY1113" s="79">
        <v>112.414</v>
      </c>
    </row>
    <row r="1114" spans="1:51" x14ac:dyDescent="0.2">
      <c r="A1114" t="s">
        <v>1659</v>
      </c>
      <c r="B1114" s="1">
        <v>40787</v>
      </c>
      <c r="C1114" s="78">
        <v>1114</v>
      </c>
      <c r="E1114" s="1">
        <f t="shared" si="34"/>
        <v>40787</v>
      </c>
      <c r="F1114" s="2">
        <f t="shared" si="35"/>
        <v>40787</v>
      </c>
      <c r="G1114" s="78">
        <v>1112</v>
      </c>
      <c r="H1114" s="79"/>
      <c r="I1114" s="79"/>
      <c r="J1114" s="79">
        <v>102.0915</v>
      </c>
      <c r="K1114" s="79">
        <v>96.107699999999994</v>
      </c>
      <c r="L1114" s="79"/>
      <c r="M1114" s="79">
        <v>91.284779999999998</v>
      </c>
      <c r="N1114" s="79">
        <v>97.791849999999997</v>
      </c>
      <c r="O1114" s="79">
        <v>98.7</v>
      </c>
      <c r="P1114" s="79">
        <v>103.2771</v>
      </c>
      <c r="Q1114" s="79"/>
      <c r="R1114" s="79">
        <v>107.2</v>
      </c>
      <c r="S1114" s="79">
        <v>101.21080000000001</v>
      </c>
      <c r="T1114" s="79">
        <v>101.12479999999999</v>
      </c>
      <c r="U1114" s="79">
        <v>111.47</v>
      </c>
      <c r="V1114" s="79">
        <v>86.907240000000002</v>
      </c>
      <c r="W1114" s="79">
        <v>65.659899999999993</v>
      </c>
      <c r="X1114" s="79">
        <v>91.755070000000003</v>
      </c>
      <c r="Y1114" s="79">
        <v>93.864170000000001</v>
      </c>
      <c r="Z1114" s="79">
        <v>107.39109999999999</v>
      </c>
      <c r="AA1114" s="79">
        <v>101.9217</v>
      </c>
      <c r="AB1114" s="79">
        <v>99.309719999999999</v>
      </c>
      <c r="AC1114" s="79">
        <v>99.991669999999999</v>
      </c>
      <c r="AD1114" s="79">
        <v>95.1</v>
      </c>
      <c r="AE1114" s="79">
        <v>104.1581</v>
      </c>
      <c r="AF1114" s="79">
        <v>104.1913</v>
      </c>
      <c r="AG1114" s="79">
        <v>101.9395</v>
      </c>
      <c r="AH1114" s="79">
        <v>96.349990000000005</v>
      </c>
      <c r="AI1114" s="79">
        <v>90.8</v>
      </c>
      <c r="AJ1114" s="79">
        <v>101.277</v>
      </c>
      <c r="AK1114" s="79">
        <v>85.814300000000003</v>
      </c>
      <c r="AL1114" s="79">
        <v>95.507959999999997</v>
      </c>
      <c r="AM1114" s="79">
        <v>105.8</v>
      </c>
      <c r="AN1114" s="79"/>
      <c r="AO1114" s="79">
        <v>93.793180000000007</v>
      </c>
      <c r="AP1114" s="79">
        <v>99.083489999999998</v>
      </c>
      <c r="AQ1114" s="79"/>
      <c r="AR1114" s="79"/>
      <c r="AS1114" s="79"/>
      <c r="AT1114" s="79">
        <v>91.016850000000005</v>
      </c>
      <c r="AU1114" s="79"/>
      <c r="AV1114" s="79">
        <v>88.6</v>
      </c>
      <c r="AW1114" s="79"/>
      <c r="AX1114" s="79">
        <v>79.193399999999997</v>
      </c>
      <c r="AY1114" s="79">
        <v>110.2119</v>
      </c>
    </row>
    <row r="1115" spans="1:51" x14ac:dyDescent="0.2">
      <c r="A1115" t="s">
        <v>1660</v>
      </c>
      <c r="B1115" s="1">
        <v>40817</v>
      </c>
      <c r="C1115" s="78">
        <v>1115</v>
      </c>
      <c r="E1115" s="1">
        <f t="shared" si="34"/>
        <v>40817</v>
      </c>
      <c r="F1115" s="2">
        <f t="shared" si="35"/>
        <v>40817</v>
      </c>
      <c r="G1115" s="78">
        <v>1113</v>
      </c>
      <c r="H1115" s="79"/>
      <c r="I1115" s="79"/>
      <c r="J1115" s="79">
        <v>99.791690000000003</v>
      </c>
      <c r="K1115" s="79">
        <v>95.470979999999997</v>
      </c>
      <c r="L1115" s="79"/>
      <c r="M1115" s="79">
        <v>91.884690000000006</v>
      </c>
      <c r="N1115" s="79">
        <v>98.891760000000005</v>
      </c>
      <c r="O1115" s="79">
        <v>98.7</v>
      </c>
      <c r="P1115" s="79">
        <v>101.29510000000001</v>
      </c>
      <c r="Q1115" s="79"/>
      <c r="R1115" s="79">
        <v>106.9</v>
      </c>
      <c r="S1115" s="79">
        <v>101.4508</v>
      </c>
      <c r="T1115" s="79">
        <v>101.12479999999999</v>
      </c>
      <c r="U1115" s="79">
        <v>101.98099999999999</v>
      </c>
      <c r="V1115" s="79">
        <v>87.607299999999995</v>
      </c>
      <c r="W1115" s="79">
        <v>64.588669999999993</v>
      </c>
      <c r="X1115" s="79">
        <v>91.468860000000006</v>
      </c>
      <c r="Y1115" s="79">
        <v>93.114750000000001</v>
      </c>
      <c r="Z1115" s="79">
        <v>106.0912</v>
      </c>
      <c r="AA1115" s="79">
        <v>103.56399999999999</v>
      </c>
      <c r="AB1115" s="79">
        <v>99.021749999999997</v>
      </c>
      <c r="AC1115" s="79">
        <v>97.39188</v>
      </c>
      <c r="AD1115" s="79">
        <v>94.2</v>
      </c>
      <c r="AE1115" s="79">
        <v>104.7774</v>
      </c>
      <c r="AF1115" s="79">
        <v>102.2915</v>
      </c>
      <c r="AG1115" s="79">
        <v>98.448409999999996</v>
      </c>
      <c r="AH1115" s="79">
        <v>96.833110000000005</v>
      </c>
      <c r="AI1115" s="79">
        <v>90.4</v>
      </c>
      <c r="AJ1115" s="79">
        <v>99.065290000000005</v>
      </c>
      <c r="AK1115" s="79">
        <v>88.314719999999994</v>
      </c>
      <c r="AL1115" s="79">
        <v>94.807900000000004</v>
      </c>
      <c r="AM1115" s="79">
        <v>105.2</v>
      </c>
      <c r="AN1115" s="79"/>
      <c r="AO1115" s="79">
        <v>94.439409999999995</v>
      </c>
      <c r="AP1115" s="79">
        <v>98.783540000000002</v>
      </c>
      <c r="AQ1115" s="79"/>
      <c r="AR1115" s="79"/>
      <c r="AS1115" s="79"/>
      <c r="AT1115" s="79">
        <v>86.634410000000003</v>
      </c>
      <c r="AU1115" s="79"/>
      <c r="AV1115" s="79">
        <v>89.1</v>
      </c>
      <c r="AW1115" s="79"/>
      <c r="AX1115" s="79">
        <v>83.693020000000004</v>
      </c>
      <c r="AY1115" s="79">
        <v>109.33110000000001</v>
      </c>
    </row>
    <row r="1116" spans="1:51" x14ac:dyDescent="0.2">
      <c r="A1116" t="s">
        <v>1661</v>
      </c>
      <c r="B1116" s="1">
        <v>40848</v>
      </c>
      <c r="C1116" s="78">
        <v>1116</v>
      </c>
      <c r="E1116" s="1">
        <f t="shared" si="34"/>
        <v>40848</v>
      </c>
      <c r="F1116" s="2">
        <f t="shared" si="35"/>
        <v>40848</v>
      </c>
      <c r="G1116" s="78">
        <v>1114</v>
      </c>
      <c r="H1116" s="79"/>
      <c r="I1116" s="79"/>
      <c r="J1116" s="79">
        <v>99.691699999999997</v>
      </c>
      <c r="K1116" s="79">
        <v>95.225650000000002</v>
      </c>
      <c r="L1116" s="79"/>
      <c r="M1116" s="79">
        <v>94.484250000000003</v>
      </c>
      <c r="N1116" s="79">
        <v>98.191820000000007</v>
      </c>
      <c r="O1116" s="79">
        <v>98.9</v>
      </c>
      <c r="P1116" s="79">
        <v>100.87909999999999</v>
      </c>
      <c r="Q1116" s="79"/>
      <c r="R1116" s="79">
        <v>109.6</v>
      </c>
      <c r="S1116" s="79">
        <v>103.62090000000001</v>
      </c>
      <c r="T1116" s="79">
        <v>100.8133</v>
      </c>
      <c r="U1116" s="79">
        <v>105.3771</v>
      </c>
      <c r="V1116" s="79">
        <v>90.30753</v>
      </c>
      <c r="W1116" s="79">
        <v>62.005130000000001</v>
      </c>
      <c r="X1116" s="79">
        <v>91.328990000000005</v>
      </c>
      <c r="Y1116" s="79">
        <v>91.896960000000007</v>
      </c>
      <c r="Z1116" s="79">
        <v>106.89109999999999</v>
      </c>
      <c r="AA1116" s="79">
        <v>101.5112</v>
      </c>
      <c r="AB1116" s="79">
        <v>97.658860000000004</v>
      </c>
      <c r="AC1116" s="79">
        <v>101.9915</v>
      </c>
      <c r="AD1116" s="79">
        <v>95.1</v>
      </c>
      <c r="AE1116" s="79">
        <v>104.9192</v>
      </c>
      <c r="AF1116" s="79">
        <v>102.5915</v>
      </c>
      <c r="AG1116" s="79">
        <v>101.2413</v>
      </c>
      <c r="AH1116" s="79">
        <v>96.589389999999995</v>
      </c>
      <c r="AI1116" s="79">
        <v>92</v>
      </c>
      <c r="AJ1116" s="79">
        <v>99.159019999999998</v>
      </c>
      <c r="AK1116" s="79">
        <v>87.714619999999996</v>
      </c>
      <c r="AL1116" s="79">
        <v>95.807980000000001</v>
      </c>
      <c r="AM1116" s="79">
        <v>102.1</v>
      </c>
      <c r="AN1116" s="79"/>
      <c r="AO1116" s="79">
        <v>94.363619999999997</v>
      </c>
      <c r="AP1116" s="79">
        <v>99.083489999999998</v>
      </c>
      <c r="AQ1116" s="79"/>
      <c r="AR1116" s="79"/>
      <c r="AS1116" s="79"/>
      <c r="AT1116" s="79">
        <v>95.108890000000002</v>
      </c>
      <c r="AU1116" s="79"/>
      <c r="AV1116" s="79">
        <v>89.1</v>
      </c>
      <c r="AW1116" s="79"/>
      <c r="AX1116" s="79">
        <v>82.893090000000001</v>
      </c>
      <c r="AY1116" s="79">
        <v>109.99169999999999</v>
      </c>
    </row>
    <row r="1117" spans="1:51" x14ac:dyDescent="0.2">
      <c r="A1117" t="s">
        <v>1662</v>
      </c>
      <c r="B1117" s="1">
        <v>40878</v>
      </c>
      <c r="C1117" s="78">
        <v>1117</v>
      </c>
      <c r="E1117" s="1">
        <f t="shared" si="34"/>
        <v>40878</v>
      </c>
      <c r="F1117" s="2">
        <f t="shared" si="35"/>
        <v>40878</v>
      </c>
      <c r="G1117" s="78">
        <v>1115</v>
      </c>
      <c r="H1117" s="79"/>
      <c r="I1117" s="79"/>
      <c r="J1117" s="79">
        <v>99.391720000000007</v>
      </c>
      <c r="K1117" s="79">
        <v>96.138729999999995</v>
      </c>
      <c r="L1117" s="79"/>
      <c r="M1117" s="79">
        <v>93.284450000000007</v>
      </c>
      <c r="N1117" s="79">
        <v>96.791929999999994</v>
      </c>
      <c r="O1117" s="79">
        <v>97.6</v>
      </c>
      <c r="P1117" s="79">
        <v>102.6071</v>
      </c>
      <c r="Q1117" s="79"/>
      <c r="R1117" s="79">
        <v>111.2</v>
      </c>
      <c r="S1117" s="79">
        <v>101.4408</v>
      </c>
      <c r="T1117" s="79">
        <v>100.70950000000001</v>
      </c>
      <c r="U1117" s="79">
        <v>99.683700000000002</v>
      </c>
      <c r="V1117" s="79">
        <v>85.907160000000005</v>
      </c>
      <c r="W1117" s="79">
        <v>62.06814</v>
      </c>
      <c r="X1117" s="79">
        <v>90.473200000000006</v>
      </c>
      <c r="Y1117" s="79">
        <v>92.927400000000006</v>
      </c>
      <c r="Z1117" s="79">
        <v>107.691</v>
      </c>
      <c r="AA1117" s="79">
        <v>103.56399999999999</v>
      </c>
      <c r="AB1117" s="79">
        <v>96.178989999999999</v>
      </c>
      <c r="AC1117" s="79">
        <v>95.492040000000003</v>
      </c>
      <c r="AD1117" s="79">
        <v>92.4</v>
      </c>
      <c r="AE1117" s="79">
        <v>105.44159999999999</v>
      </c>
      <c r="AF1117" s="79">
        <v>102.4915</v>
      </c>
      <c r="AG1117" s="79">
        <v>98.215670000000003</v>
      </c>
      <c r="AH1117" s="79">
        <v>96.800449999999998</v>
      </c>
      <c r="AI1117" s="79">
        <v>93.9</v>
      </c>
      <c r="AJ1117" s="79">
        <v>97.621269999999996</v>
      </c>
      <c r="AK1117" s="79">
        <v>89.914990000000003</v>
      </c>
      <c r="AL1117" s="79">
        <v>93.607799999999997</v>
      </c>
      <c r="AM1117" s="79">
        <v>101.5</v>
      </c>
      <c r="AN1117" s="79"/>
      <c r="AO1117" s="79">
        <v>94.886430000000004</v>
      </c>
      <c r="AP1117" s="79">
        <v>98.483590000000007</v>
      </c>
      <c r="AQ1117" s="79"/>
      <c r="AR1117" s="79"/>
      <c r="AS1117" s="79"/>
      <c r="AT1117" s="79">
        <v>93.926540000000003</v>
      </c>
      <c r="AU1117" s="79"/>
      <c r="AV1117" s="79">
        <v>89.6</v>
      </c>
      <c r="AW1117" s="79"/>
      <c r="AX1117" s="79">
        <v>82.893090000000001</v>
      </c>
      <c r="AY1117" s="79">
        <v>112.7443</v>
      </c>
    </row>
    <row r="1118" spans="1:51" x14ac:dyDescent="0.2">
      <c r="A1118" t="s">
        <v>1663</v>
      </c>
      <c r="B1118" s="1">
        <v>40909</v>
      </c>
      <c r="C1118" s="78">
        <v>1118</v>
      </c>
      <c r="E1118" s="1">
        <f t="shared" si="34"/>
        <v>40909</v>
      </c>
      <c r="F1118" s="2">
        <f t="shared" si="35"/>
        <v>40909</v>
      </c>
      <c r="G1118" s="78">
        <v>1116</v>
      </c>
      <c r="H1118" s="79"/>
      <c r="I1118" s="79"/>
      <c r="J1118" s="79">
        <v>100.5916</v>
      </c>
      <c r="K1118" s="79">
        <v>96.149699999999996</v>
      </c>
      <c r="L1118" s="79"/>
      <c r="M1118" s="79">
        <v>92.184640000000002</v>
      </c>
      <c r="N1118" s="79">
        <v>97.291889999999995</v>
      </c>
      <c r="O1118" s="79">
        <v>98.1</v>
      </c>
      <c r="P1118" s="79">
        <v>100.6901</v>
      </c>
      <c r="Q1118" s="79"/>
      <c r="R1118" s="79">
        <v>106.4</v>
      </c>
      <c r="S1118" s="79">
        <v>100.85080000000001</v>
      </c>
      <c r="T1118" s="79">
        <v>100.8133</v>
      </c>
      <c r="U1118" s="79">
        <v>103.77889999999999</v>
      </c>
      <c r="V1118" s="79">
        <v>86.10718</v>
      </c>
      <c r="W1118" s="79">
        <v>62.383209999999998</v>
      </c>
      <c r="X1118" s="79">
        <v>94.242140000000006</v>
      </c>
      <c r="Y1118" s="79">
        <v>94.894620000000003</v>
      </c>
      <c r="Z1118" s="79">
        <v>103.6914</v>
      </c>
      <c r="AA1118" s="79">
        <v>103.8719</v>
      </c>
      <c r="AB1118" s="79">
        <v>98.50179</v>
      </c>
      <c r="AC1118" s="79">
        <v>98.391800000000003</v>
      </c>
      <c r="AD1118" s="79">
        <v>96.6</v>
      </c>
      <c r="AE1118" s="79">
        <v>105.4678</v>
      </c>
      <c r="AF1118" s="79">
        <v>102.8914</v>
      </c>
      <c r="AG1118" s="79">
        <v>102.9868</v>
      </c>
      <c r="AH1118" s="79">
        <v>96.913799999999995</v>
      </c>
      <c r="AI1118" s="79">
        <v>90.8</v>
      </c>
      <c r="AJ1118" s="79">
        <v>97.042640000000006</v>
      </c>
      <c r="AK1118" s="79">
        <v>89.614940000000004</v>
      </c>
      <c r="AL1118" s="79">
        <v>94.507869999999997</v>
      </c>
      <c r="AM1118" s="79">
        <v>107.5</v>
      </c>
      <c r="AN1118" s="79"/>
      <c r="AO1118" s="79">
        <v>95.467449999999999</v>
      </c>
      <c r="AP1118" s="79">
        <v>97.783699999999996</v>
      </c>
      <c r="AQ1118" s="79"/>
      <c r="AR1118" s="79"/>
      <c r="AS1118" s="79"/>
      <c r="AT1118" s="79">
        <v>92.943259999999995</v>
      </c>
      <c r="AU1118" s="79"/>
      <c r="AV1118" s="79">
        <v>89.8</v>
      </c>
      <c r="AW1118" s="79"/>
      <c r="AX1118" s="79">
        <v>81.993160000000003</v>
      </c>
      <c r="AY1118" s="79">
        <v>107.8998</v>
      </c>
    </row>
    <row r="1119" spans="1:51" x14ac:dyDescent="0.2">
      <c r="A1119" t="s">
        <v>1664</v>
      </c>
      <c r="B1119" s="1">
        <v>40940</v>
      </c>
      <c r="C1119" s="78">
        <v>1119</v>
      </c>
      <c r="E1119" s="1">
        <f t="shared" si="34"/>
        <v>40940</v>
      </c>
      <c r="F1119" s="2">
        <f t="shared" si="35"/>
        <v>40940</v>
      </c>
      <c r="G1119" s="78">
        <v>1117</v>
      </c>
      <c r="H1119" s="79"/>
      <c r="I1119" s="79"/>
      <c r="J1119" s="79">
        <v>102.39149999999999</v>
      </c>
      <c r="K1119" s="79">
        <v>94.061089999999993</v>
      </c>
      <c r="L1119" s="79"/>
      <c r="M1119" s="79">
        <v>93.284450000000007</v>
      </c>
      <c r="N1119" s="79">
        <v>97.191900000000004</v>
      </c>
      <c r="O1119" s="79">
        <v>100.5</v>
      </c>
      <c r="P1119" s="79">
        <v>99.318079999999995</v>
      </c>
      <c r="Q1119" s="79"/>
      <c r="R1119" s="79">
        <v>106.4</v>
      </c>
      <c r="S1119" s="79">
        <v>101.8109</v>
      </c>
      <c r="T1119" s="79">
        <v>100.5018</v>
      </c>
      <c r="U1119" s="79">
        <v>102.2807</v>
      </c>
      <c r="V1119" s="79">
        <v>86.307190000000006</v>
      </c>
      <c r="W1119" s="79">
        <v>62.320189999999997</v>
      </c>
      <c r="X1119" s="79">
        <v>98.195400000000006</v>
      </c>
      <c r="Y1119" s="79">
        <v>92.927400000000006</v>
      </c>
      <c r="Z1119" s="79">
        <v>103.8913</v>
      </c>
      <c r="AA1119" s="79">
        <v>103.6666</v>
      </c>
      <c r="AB1119" s="79">
        <v>100.69159999999999</v>
      </c>
      <c r="AC1119" s="79">
        <v>95.792019999999994</v>
      </c>
      <c r="AD1119" s="79">
        <v>98.4</v>
      </c>
      <c r="AE1119" s="79">
        <v>105.7319</v>
      </c>
      <c r="AF1119" s="79">
        <v>106.89109999999999</v>
      </c>
      <c r="AG1119" s="79">
        <v>103.45229999999999</v>
      </c>
      <c r="AH1119" s="79">
        <v>96.950550000000007</v>
      </c>
      <c r="AI1119" s="79">
        <v>88.6</v>
      </c>
      <c r="AJ1119" s="79">
        <v>97.237889999999993</v>
      </c>
      <c r="AK1119" s="79">
        <v>90.015000000000001</v>
      </c>
      <c r="AL1119" s="79">
        <v>95.307950000000005</v>
      </c>
      <c r="AM1119" s="79">
        <v>101.4</v>
      </c>
      <c r="AN1119" s="79"/>
      <c r="AO1119" s="79">
        <v>95.686250000000001</v>
      </c>
      <c r="AP1119" s="79">
        <v>98.383610000000004</v>
      </c>
      <c r="AQ1119" s="79"/>
      <c r="AR1119" s="79"/>
      <c r="AS1119" s="79"/>
      <c r="AT1119" s="79">
        <v>93.044399999999996</v>
      </c>
      <c r="AU1119" s="79"/>
      <c r="AV1119" s="79">
        <v>90.4</v>
      </c>
      <c r="AW1119" s="79"/>
      <c r="AX1119" s="79">
        <v>80.893259999999998</v>
      </c>
      <c r="AY1119" s="79">
        <v>109.1109</v>
      </c>
    </row>
    <row r="1120" spans="1:51" x14ac:dyDescent="0.2">
      <c r="A1120" t="s">
        <v>1665</v>
      </c>
      <c r="B1120" s="1">
        <v>40969</v>
      </c>
      <c r="C1120" s="78">
        <v>1120</v>
      </c>
      <c r="E1120" s="1">
        <f t="shared" si="34"/>
        <v>40969</v>
      </c>
      <c r="F1120" s="2">
        <f t="shared" si="35"/>
        <v>40969</v>
      </c>
      <c r="G1120" s="78">
        <v>1118</v>
      </c>
      <c r="H1120" s="79"/>
      <c r="I1120" s="79"/>
      <c r="J1120" s="79">
        <v>103.09139999999999</v>
      </c>
      <c r="K1120" s="79">
        <v>94.225880000000004</v>
      </c>
      <c r="L1120" s="79"/>
      <c r="M1120" s="79">
        <v>92.384609999999995</v>
      </c>
      <c r="N1120" s="79">
        <v>98.391800000000003</v>
      </c>
      <c r="O1120" s="79">
        <v>98.4</v>
      </c>
      <c r="P1120" s="79">
        <v>98.030079999999998</v>
      </c>
      <c r="Q1120" s="79"/>
      <c r="R1120" s="79">
        <v>107</v>
      </c>
      <c r="S1120" s="79">
        <v>101.0008</v>
      </c>
      <c r="T1120" s="79">
        <v>99.567400000000006</v>
      </c>
      <c r="U1120" s="79">
        <v>101.8811</v>
      </c>
      <c r="V1120" s="79">
        <v>86.207179999999994</v>
      </c>
      <c r="W1120" s="79">
        <v>63.076349999999998</v>
      </c>
      <c r="X1120" s="79">
        <v>99.938469999999995</v>
      </c>
      <c r="Y1120" s="79">
        <v>96.861819999999994</v>
      </c>
      <c r="Z1120" s="79">
        <v>104.3913</v>
      </c>
      <c r="AA1120" s="79">
        <v>103.46129999999999</v>
      </c>
      <c r="AB1120" s="79">
        <v>98.505790000000005</v>
      </c>
      <c r="AC1120" s="79">
        <v>98.691770000000005</v>
      </c>
      <c r="AD1120" s="79">
        <v>98.2</v>
      </c>
      <c r="AE1120" s="79">
        <v>105.8926</v>
      </c>
      <c r="AF1120" s="79">
        <v>103.7914</v>
      </c>
      <c r="AG1120" s="79">
        <v>102.05589999999999</v>
      </c>
      <c r="AH1120" s="79">
        <v>96.816879999999998</v>
      </c>
      <c r="AI1120" s="79">
        <v>89.9</v>
      </c>
      <c r="AJ1120" s="79">
        <v>97.510170000000002</v>
      </c>
      <c r="AK1120" s="79">
        <v>90.815129999999996</v>
      </c>
      <c r="AL1120" s="79">
        <v>94.607889999999998</v>
      </c>
      <c r="AM1120" s="79">
        <v>101.8</v>
      </c>
      <c r="AN1120" s="79"/>
      <c r="AO1120" s="79">
        <v>95.239419999999996</v>
      </c>
      <c r="AP1120" s="79">
        <v>98.283619999999999</v>
      </c>
      <c r="AQ1120" s="79"/>
      <c r="AR1120" s="79"/>
      <c r="AS1120" s="79"/>
      <c r="AT1120" s="79">
        <v>92.242130000000003</v>
      </c>
      <c r="AU1120" s="79"/>
      <c r="AV1120" s="79">
        <v>89.9</v>
      </c>
      <c r="AW1120" s="79"/>
      <c r="AX1120" s="79">
        <v>82.693110000000004</v>
      </c>
      <c r="AY1120" s="79">
        <v>108.12</v>
      </c>
    </row>
    <row r="1121" spans="1:51" x14ac:dyDescent="0.2">
      <c r="A1121" t="s">
        <v>1666</v>
      </c>
      <c r="B1121" s="1">
        <v>41000</v>
      </c>
      <c r="C1121" s="78">
        <v>1121</v>
      </c>
      <c r="E1121" s="1">
        <f t="shared" si="34"/>
        <v>41000</v>
      </c>
      <c r="F1121" s="2">
        <f t="shared" si="35"/>
        <v>41000</v>
      </c>
      <c r="G1121" s="78">
        <v>1119</v>
      </c>
      <c r="H1121" s="79"/>
      <c r="I1121" s="79"/>
      <c r="J1121" s="79">
        <v>99.191730000000007</v>
      </c>
      <c r="K1121" s="79">
        <v>95.07208</v>
      </c>
      <c r="L1121" s="79"/>
      <c r="M1121" s="79">
        <v>92.284620000000004</v>
      </c>
      <c r="N1121" s="79">
        <v>96.591949999999997</v>
      </c>
      <c r="O1121" s="79">
        <v>97</v>
      </c>
      <c r="P1121" s="79">
        <v>97.113079999999997</v>
      </c>
      <c r="Q1121" s="79"/>
      <c r="R1121" s="79">
        <v>107.9</v>
      </c>
      <c r="S1121" s="79">
        <v>101.2308</v>
      </c>
      <c r="T1121" s="79">
        <v>99.775049999999993</v>
      </c>
      <c r="U1121" s="79">
        <v>102.6802</v>
      </c>
      <c r="V1121" s="79">
        <v>84.007000000000005</v>
      </c>
      <c r="W1121" s="79">
        <v>61.059930000000001</v>
      </c>
      <c r="X1121" s="79">
        <v>104.2717</v>
      </c>
      <c r="Y1121" s="79">
        <v>98.641689999999997</v>
      </c>
      <c r="Z1121" s="79">
        <v>102.8914</v>
      </c>
      <c r="AA1121" s="79">
        <v>102.9481</v>
      </c>
      <c r="AB1121" s="79">
        <v>99.767679999999999</v>
      </c>
      <c r="AC1121" s="79">
        <v>98.291809999999998</v>
      </c>
      <c r="AD1121" s="79">
        <v>96.4</v>
      </c>
      <c r="AE1121" s="79">
        <v>106.4709</v>
      </c>
      <c r="AF1121" s="79">
        <v>106.7911</v>
      </c>
      <c r="AG1121" s="79">
        <v>103.1032</v>
      </c>
      <c r="AH1121" s="79">
        <v>96.789959999999994</v>
      </c>
      <c r="AI1121" s="79">
        <v>90.1</v>
      </c>
      <c r="AJ1121" s="79">
        <v>92.759630000000001</v>
      </c>
      <c r="AK1121" s="79">
        <v>91.215199999999996</v>
      </c>
      <c r="AL1121" s="79">
        <v>96.108009999999993</v>
      </c>
      <c r="AM1121" s="79">
        <v>102.1</v>
      </c>
      <c r="AN1121" s="79"/>
      <c r="AO1121" s="79">
        <v>95.955470000000005</v>
      </c>
      <c r="AP1121" s="79">
        <v>97.483750000000001</v>
      </c>
      <c r="AQ1121" s="79"/>
      <c r="AR1121" s="79"/>
      <c r="AS1121" s="79"/>
      <c r="AT1121" s="79">
        <v>90.617519999999999</v>
      </c>
      <c r="AU1121" s="79"/>
      <c r="AV1121" s="79">
        <v>89.9</v>
      </c>
      <c r="AW1121" s="79"/>
      <c r="AX1121" s="79">
        <v>83.693020000000004</v>
      </c>
      <c r="AY1121" s="79">
        <v>108.4503</v>
      </c>
    </row>
    <row r="1122" spans="1:51" x14ac:dyDescent="0.2">
      <c r="A1122" t="s">
        <v>1667</v>
      </c>
      <c r="B1122" s="1">
        <v>41030</v>
      </c>
      <c r="C1122" s="78">
        <v>1122</v>
      </c>
      <c r="E1122" s="1">
        <f t="shared" si="34"/>
        <v>41030</v>
      </c>
      <c r="F1122" s="2">
        <f t="shared" si="35"/>
        <v>41030</v>
      </c>
      <c r="G1122" s="78">
        <v>1120</v>
      </c>
      <c r="H1122" s="79"/>
      <c r="I1122" s="79"/>
      <c r="J1122" s="79">
        <v>100.5916</v>
      </c>
      <c r="K1122" s="79">
        <v>95.018039999999999</v>
      </c>
      <c r="L1122" s="79"/>
      <c r="M1122" s="79">
        <v>92.484589999999997</v>
      </c>
      <c r="N1122" s="79">
        <v>98.491789999999995</v>
      </c>
      <c r="O1122" s="79">
        <v>100</v>
      </c>
      <c r="P1122" s="79">
        <v>98.014080000000007</v>
      </c>
      <c r="Q1122" s="79"/>
      <c r="R1122" s="79">
        <v>107</v>
      </c>
      <c r="S1122" s="79">
        <v>99.780829999999995</v>
      </c>
      <c r="T1122" s="79">
        <v>100.2942</v>
      </c>
      <c r="U1122" s="79">
        <v>105.3771</v>
      </c>
      <c r="V1122" s="79">
        <v>87.007249999999999</v>
      </c>
      <c r="W1122" s="79">
        <v>63.706490000000002</v>
      </c>
      <c r="X1122" s="79">
        <v>97.548969999999997</v>
      </c>
      <c r="Y1122" s="79">
        <v>99.578450000000004</v>
      </c>
      <c r="Z1122" s="79">
        <v>104.29130000000001</v>
      </c>
      <c r="AA1122" s="79">
        <v>101.1006</v>
      </c>
      <c r="AB1122" s="79">
        <v>101.29859999999999</v>
      </c>
      <c r="AC1122" s="79">
        <v>96.891919999999999</v>
      </c>
      <c r="AD1122" s="79">
        <v>97.2</v>
      </c>
      <c r="AE1122" s="79">
        <v>106.57559999999999</v>
      </c>
      <c r="AF1122" s="79">
        <v>105.3912</v>
      </c>
      <c r="AG1122" s="79">
        <v>103.9178</v>
      </c>
      <c r="AH1122" s="79">
        <v>97.1477</v>
      </c>
      <c r="AI1122" s="79">
        <v>91.6</v>
      </c>
      <c r="AJ1122" s="79">
        <v>96.506159999999994</v>
      </c>
      <c r="AK1122" s="79">
        <v>90.915149999999997</v>
      </c>
      <c r="AL1122" s="79">
        <v>93.307779999999994</v>
      </c>
      <c r="AM1122" s="79">
        <v>106.8</v>
      </c>
      <c r="AN1122" s="79"/>
      <c r="AO1122" s="79">
        <v>96.139700000000005</v>
      </c>
      <c r="AP1122" s="79">
        <v>98.183639999999997</v>
      </c>
      <c r="AQ1122" s="79"/>
      <c r="AR1122" s="79"/>
      <c r="AS1122" s="79"/>
      <c r="AT1122" s="79">
        <v>92.728020000000001</v>
      </c>
      <c r="AU1122" s="79"/>
      <c r="AV1122" s="79">
        <v>90.6</v>
      </c>
      <c r="AW1122" s="79"/>
      <c r="AX1122" s="79">
        <v>83.992999999999995</v>
      </c>
      <c r="AY1122" s="79">
        <v>108.78060000000001</v>
      </c>
    </row>
    <row r="1123" spans="1:51" x14ac:dyDescent="0.2">
      <c r="A1123" t="s">
        <v>1668</v>
      </c>
      <c r="B1123" s="1">
        <v>41061</v>
      </c>
      <c r="C1123" s="78">
        <v>1123</v>
      </c>
      <c r="E1123" s="1">
        <f t="shared" si="34"/>
        <v>41061</v>
      </c>
      <c r="F1123" s="2">
        <f t="shared" si="35"/>
        <v>41061</v>
      </c>
      <c r="G1123" s="78">
        <v>1121</v>
      </c>
      <c r="H1123" s="79"/>
      <c r="I1123" s="79"/>
      <c r="J1123" s="79">
        <v>99.991669999999999</v>
      </c>
      <c r="K1123" s="79">
        <v>94.47175</v>
      </c>
      <c r="L1123" s="79"/>
      <c r="M1123" s="79">
        <v>92.284620000000004</v>
      </c>
      <c r="N1123" s="79">
        <v>97.291889999999995</v>
      </c>
      <c r="O1123" s="79">
        <v>98.5</v>
      </c>
      <c r="P1123" s="79">
        <v>97.527079999999998</v>
      </c>
      <c r="Q1123" s="79"/>
      <c r="R1123" s="79">
        <v>108.3</v>
      </c>
      <c r="S1123" s="79">
        <v>99.180819999999997</v>
      </c>
      <c r="T1123" s="79">
        <v>98.217680000000001</v>
      </c>
      <c r="U1123" s="79">
        <v>103.77889999999999</v>
      </c>
      <c r="V1123" s="79">
        <v>84.607050000000001</v>
      </c>
      <c r="W1123" s="79">
        <v>62.635260000000002</v>
      </c>
      <c r="X1123" s="79">
        <v>93.304950000000005</v>
      </c>
      <c r="Y1123" s="79">
        <v>97.704920000000001</v>
      </c>
      <c r="Z1123" s="79">
        <v>102.1915</v>
      </c>
      <c r="AA1123" s="79">
        <v>100.38209999999999</v>
      </c>
      <c r="AB1123" s="79">
        <v>99.26173</v>
      </c>
      <c r="AC1123" s="79">
        <v>101.39149999999999</v>
      </c>
      <c r="AD1123" s="79">
        <v>98.3</v>
      </c>
      <c r="AE1123" s="79">
        <v>107.1992</v>
      </c>
      <c r="AF1123" s="79">
        <v>105.3912</v>
      </c>
      <c r="AG1123" s="79">
        <v>103.45229999999999</v>
      </c>
      <c r="AH1123" s="79">
        <v>96.611369999999994</v>
      </c>
      <c r="AI1123" s="79">
        <v>90.4</v>
      </c>
      <c r="AJ1123" s="79">
        <v>96.437129999999996</v>
      </c>
      <c r="AK1123" s="79">
        <v>88.914820000000006</v>
      </c>
      <c r="AL1123" s="79">
        <v>95.207930000000005</v>
      </c>
      <c r="AM1123" s="79">
        <v>104.7</v>
      </c>
      <c r="AN1123" s="79"/>
      <c r="AO1123" s="79">
        <v>96.12088</v>
      </c>
      <c r="AP1123" s="79">
        <v>97.383769999999998</v>
      </c>
      <c r="AQ1123" s="79"/>
      <c r="AR1123" s="79"/>
      <c r="AS1123" s="79"/>
      <c r="AT1123" s="79">
        <v>91.565209999999993</v>
      </c>
      <c r="AU1123" s="79"/>
      <c r="AV1123" s="79">
        <v>90.8</v>
      </c>
      <c r="AW1123" s="79"/>
      <c r="AX1123" s="79">
        <v>83.393050000000002</v>
      </c>
      <c r="AY1123" s="79">
        <v>109.0008</v>
      </c>
    </row>
    <row r="1124" spans="1:51" x14ac:dyDescent="0.2">
      <c r="A1124" t="s">
        <v>1669</v>
      </c>
      <c r="B1124" s="1">
        <v>41091</v>
      </c>
      <c r="C1124" s="78">
        <v>1124</v>
      </c>
      <c r="E1124" s="1">
        <f t="shared" si="34"/>
        <v>41091</v>
      </c>
      <c r="F1124" s="2">
        <f t="shared" si="35"/>
        <v>41091</v>
      </c>
      <c r="G1124" s="78">
        <v>1122</v>
      </c>
      <c r="H1124" s="79"/>
      <c r="I1124" s="79"/>
      <c r="J1124" s="79">
        <v>99.891679999999994</v>
      </c>
      <c r="K1124" s="79">
        <v>94.114859999999993</v>
      </c>
      <c r="L1124" s="79"/>
      <c r="M1124" s="79">
        <v>92.384609999999995</v>
      </c>
      <c r="N1124" s="79">
        <v>98.391800000000003</v>
      </c>
      <c r="O1124" s="79">
        <v>101.6</v>
      </c>
      <c r="P1124" s="79">
        <v>96.731080000000006</v>
      </c>
      <c r="Q1124" s="79"/>
      <c r="R1124" s="79">
        <v>107.4</v>
      </c>
      <c r="S1124" s="79">
        <v>99.750829999999993</v>
      </c>
      <c r="T1124" s="79">
        <v>101.0209</v>
      </c>
      <c r="U1124" s="79">
        <v>106.3759</v>
      </c>
      <c r="V1124" s="79">
        <v>85.007090000000005</v>
      </c>
      <c r="W1124" s="79">
        <v>61.753070000000001</v>
      </c>
      <c r="X1124" s="79">
        <v>91.755290000000002</v>
      </c>
      <c r="Y1124" s="79">
        <v>100.51519999999999</v>
      </c>
      <c r="Z1124" s="79">
        <v>103.1914</v>
      </c>
      <c r="AA1124" s="79">
        <v>99.868939999999995</v>
      </c>
      <c r="AB1124" s="79">
        <v>98.345799999999997</v>
      </c>
      <c r="AC1124" s="79">
        <v>100.7916</v>
      </c>
      <c r="AD1124" s="79">
        <v>97.3</v>
      </c>
      <c r="AE1124" s="79">
        <v>106.82389999999999</v>
      </c>
      <c r="AF1124" s="79">
        <v>101.6915</v>
      </c>
      <c r="AG1124" s="79">
        <v>99.961209999999994</v>
      </c>
      <c r="AH1124" s="79">
        <v>96.822599999999994</v>
      </c>
      <c r="AI1124" s="79">
        <v>90.4</v>
      </c>
      <c r="AJ1124" s="79">
        <v>97.800610000000006</v>
      </c>
      <c r="AK1124" s="79">
        <v>92.215369999999993</v>
      </c>
      <c r="AL1124" s="79">
        <v>93.907830000000004</v>
      </c>
      <c r="AM1124" s="79">
        <v>104.3</v>
      </c>
      <c r="AN1124" s="79"/>
      <c r="AO1124" s="79">
        <v>96.373109999999997</v>
      </c>
      <c r="AP1124" s="79">
        <v>97.683719999999994</v>
      </c>
      <c r="AQ1124" s="79"/>
      <c r="AR1124" s="79"/>
      <c r="AS1124" s="79"/>
      <c r="AT1124" s="79">
        <v>90.961439999999996</v>
      </c>
      <c r="AU1124" s="79"/>
      <c r="AV1124" s="79">
        <v>91.4</v>
      </c>
      <c r="AW1124" s="79"/>
      <c r="AX1124" s="79">
        <v>84.192989999999995</v>
      </c>
      <c r="AY1124" s="79">
        <v>110.6524</v>
      </c>
    </row>
    <row r="1125" spans="1:51" x14ac:dyDescent="0.2">
      <c r="A1125" t="s">
        <v>1670</v>
      </c>
      <c r="B1125" s="1">
        <v>41122</v>
      </c>
      <c r="C1125" s="78">
        <v>1125</v>
      </c>
      <c r="E1125" s="1">
        <f t="shared" si="34"/>
        <v>41122</v>
      </c>
      <c r="F1125" s="2">
        <f t="shared" si="35"/>
        <v>41122</v>
      </c>
      <c r="G1125" s="78">
        <v>1123</v>
      </c>
      <c r="H1125" s="79"/>
      <c r="I1125" s="79"/>
      <c r="J1125" s="79">
        <v>100.8916</v>
      </c>
      <c r="K1125" s="79">
        <v>93.168329999999997</v>
      </c>
      <c r="L1125" s="79"/>
      <c r="M1125" s="79">
        <v>89.685050000000004</v>
      </c>
      <c r="N1125" s="79">
        <v>98.391800000000003</v>
      </c>
      <c r="O1125" s="79">
        <v>99.2</v>
      </c>
      <c r="P1125" s="79">
        <v>98.984089999999995</v>
      </c>
      <c r="Q1125" s="79"/>
      <c r="R1125" s="79">
        <v>105.3</v>
      </c>
      <c r="S1125" s="79">
        <v>101.74079999999999</v>
      </c>
      <c r="T1125" s="79">
        <v>100.398</v>
      </c>
      <c r="U1125" s="79">
        <v>106.3759</v>
      </c>
      <c r="V1125" s="79">
        <v>87.807320000000004</v>
      </c>
      <c r="W1125" s="79">
        <v>64.966750000000005</v>
      </c>
      <c r="X1125" s="79">
        <v>91.20411</v>
      </c>
      <c r="Y1125" s="79">
        <v>102.6698</v>
      </c>
      <c r="Z1125" s="79">
        <v>102.6914</v>
      </c>
      <c r="AA1125" s="79">
        <v>98.637259999999998</v>
      </c>
      <c r="AB1125" s="79">
        <v>97.085909999999998</v>
      </c>
      <c r="AC1125" s="79">
        <v>97.791849999999997</v>
      </c>
      <c r="AD1125" s="79">
        <v>100.4</v>
      </c>
      <c r="AE1125" s="79">
        <v>105.992</v>
      </c>
      <c r="AF1125" s="79">
        <v>103.2914</v>
      </c>
      <c r="AG1125" s="79">
        <v>101.2413</v>
      </c>
      <c r="AH1125" s="79">
        <v>96.566680000000005</v>
      </c>
      <c r="AI1125" s="79">
        <v>90.2</v>
      </c>
      <c r="AJ1125" s="79">
        <v>99.973730000000003</v>
      </c>
      <c r="AK1125" s="79">
        <v>88.514759999999995</v>
      </c>
      <c r="AL1125" s="79">
        <v>96.007999999999996</v>
      </c>
      <c r="AM1125" s="79">
        <v>106.5</v>
      </c>
      <c r="AN1125" s="79"/>
      <c r="AO1125" s="79">
        <v>95.912639999999996</v>
      </c>
      <c r="AP1125" s="79">
        <v>98.383610000000004</v>
      </c>
      <c r="AQ1125" s="79"/>
      <c r="AR1125" s="79"/>
      <c r="AS1125" s="79"/>
      <c r="AT1125" s="79">
        <v>91.173770000000005</v>
      </c>
      <c r="AU1125" s="79"/>
      <c r="AV1125" s="79">
        <v>92.5</v>
      </c>
      <c r="AW1125" s="79"/>
      <c r="AX1125" s="79">
        <v>82.993080000000006</v>
      </c>
      <c r="AY1125" s="79">
        <v>112.9645</v>
      </c>
    </row>
    <row r="1126" spans="1:51" x14ac:dyDescent="0.2">
      <c r="A1126" t="s">
        <v>1671</v>
      </c>
      <c r="B1126" s="1">
        <v>41153</v>
      </c>
      <c r="C1126" s="78">
        <v>1126</v>
      </c>
      <c r="E1126" s="1">
        <f t="shared" si="34"/>
        <v>41153</v>
      </c>
      <c r="F1126" s="2">
        <f t="shared" si="35"/>
        <v>41153</v>
      </c>
      <c r="G1126" s="78">
        <v>1124</v>
      </c>
      <c r="H1126" s="79"/>
      <c r="I1126" s="79"/>
      <c r="J1126" s="79">
        <v>101.19159999999999</v>
      </c>
      <c r="K1126" s="79">
        <v>92.855059999999995</v>
      </c>
      <c r="L1126" s="79"/>
      <c r="M1126" s="79">
        <v>90.184970000000007</v>
      </c>
      <c r="N1126" s="79">
        <v>97.091909999999999</v>
      </c>
      <c r="O1126" s="79">
        <v>100.2</v>
      </c>
      <c r="P1126" s="79">
        <v>95.504080000000002</v>
      </c>
      <c r="Q1126" s="79"/>
      <c r="R1126" s="79">
        <v>105.5</v>
      </c>
      <c r="S1126" s="79">
        <v>99.960830000000001</v>
      </c>
      <c r="T1126" s="79">
        <v>97.17944</v>
      </c>
      <c r="U1126" s="79">
        <v>103.8788</v>
      </c>
      <c r="V1126" s="79">
        <v>87.207269999999994</v>
      </c>
      <c r="W1126" s="79">
        <v>56.522959999999998</v>
      </c>
      <c r="X1126" s="79">
        <v>93.771969999999996</v>
      </c>
      <c r="Y1126" s="79">
        <v>101.63930000000001</v>
      </c>
      <c r="Z1126" s="79">
        <v>102.39149999999999</v>
      </c>
      <c r="AA1126" s="79">
        <v>96.481809999999996</v>
      </c>
      <c r="AB1126" s="79">
        <v>98.241810000000001</v>
      </c>
      <c r="AC1126" s="79">
        <v>100.2916</v>
      </c>
      <c r="AD1126" s="79">
        <v>97.5</v>
      </c>
      <c r="AE1126" s="79">
        <v>107.2761</v>
      </c>
      <c r="AF1126" s="79">
        <v>102.4915</v>
      </c>
      <c r="AG1126" s="79">
        <v>95.539180000000002</v>
      </c>
      <c r="AH1126" s="79">
        <v>95.95241</v>
      </c>
      <c r="AI1126" s="79">
        <v>90.7</v>
      </c>
      <c r="AJ1126" s="79">
        <v>96.130300000000005</v>
      </c>
      <c r="AK1126" s="79">
        <v>89.414900000000003</v>
      </c>
      <c r="AL1126" s="79">
        <v>94.407870000000003</v>
      </c>
      <c r="AM1126" s="79">
        <v>101.2</v>
      </c>
      <c r="AN1126" s="79"/>
      <c r="AO1126" s="79">
        <v>95.959609999999998</v>
      </c>
      <c r="AP1126" s="79">
        <v>96.483919999999998</v>
      </c>
      <c r="AQ1126" s="79"/>
      <c r="AR1126" s="79"/>
      <c r="AS1126" s="79"/>
      <c r="AT1126" s="79">
        <v>89.874179999999996</v>
      </c>
      <c r="AU1126" s="79"/>
      <c r="AV1126" s="79">
        <v>91.6</v>
      </c>
      <c r="AW1126" s="79"/>
      <c r="AX1126" s="79">
        <v>84.892930000000007</v>
      </c>
      <c r="AY1126" s="79">
        <v>110.7625</v>
      </c>
    </row>
    <row r="1127" spans="1:51" x14ac:dyDescent="0.2">
      <c r="A1127" t="s">
        <v>1672</v>
      </c>
      <c r="B1127" s="1">
        <v>41183</v>
      </c>
      <c r="C1127" s="78">
        <v>1127</v>
      </c>
      <c r="E1127" s="1">
        <f t="shared" si="34"/>
        <v>41183</v>
      </c>
      <c r="F1127" s="2">
        <f t="shared" si="35"/>
        <v>41183</v>
      </c>
      <c r="G1127" s="78">
        <v>1125</v>
      </c>
      <c r="H1127" s="79"/>
      <c r="I1127" s="79"/>
      <c r="J1127" s="79">
        <v>96.891919999999999</v>
      </c>
      <c r="K1127" s="79">
        <v>92.831789999999998</v>
      </c>
      <c r="L1127" s="79"/>
      <c r="M1127" s="79">
        <v>88.785200000000003</v>
      </c>
      <c r="N1127" s="79">
        <v>95.792019999999994</v>
      </c>
      <c r="O1127" s="79">
        <v>99.6</v>
      </c>
      <c r="P1127" s="79">
        <v>96.34308</v>
      </c>
      <c r="Q1127" s="79"/>
      <c r="R1127" s="79">
        <v>104.6</v>
      </c>
      <c r="S1127" s="79">
        <v>98.190820000000002</v>
      </c>
      <c r="T1127" s="79">
        <v>97.075609999999998</v>
      </c>
      <c r="U1127" s="79">
        <v>105.27719999999999</v>
      </c>
      <c r="V1127" s="79">
        <v>84.507040000000003</v>
      </c>
      <c r="W1127" s="79">
        <v>61.501019999999997</v>
      </c>
      <c r="X1127" s="79">
        <v>97.524850000000001</v>
      </c>
      <c r="Y1127" s="79">
        <v>100.7026</v>
      </c>
      <c r="Z1127" s="79">
        <v>100.5916</v>
      </c>
      <c r="AA1127" s="79">
        <v>96.789730000000006</v>
      </c>
      <c r="AB1127" s="79">
        <v>99.648700000000005</v>
      </c>
      <c r="AC1127" s="79">
        <v>98.491789999999995</v>
      </c>
      <c r="AD1127" s="79">
        <v>97.2</v>
      </c>
      <c r="AE1127" s="79">
        <v>105.5472</v>
      </c>
      <c r="AF1127" s="79">
        <v>102.39149999999999</v>
      </c>
      <c r="AG1127" s="79">
        <v>100.5431</v>
      </c>
      <c r="AH1127" s="79">
        <v>95.853859999999997</v>
      </c>
      <c r="AI1127" s="79">
        <v>90.3</v>
      </c>
      <c r="AJ1127" s="79">
        <v>94.773439999999994</v>
      </c>
      <c r="AK1127" s="79">
        <v>89.114850000000004</v>
      </c>
      <c r="AL1127" s="79">
        <v>93.707809999999995</v>
      </c>
      <c r="AM1127" s="79">
        <v>102.5</v>
      </c>
      <c r="AN1127" s="79"/>
      <c r="AO1127" s="79">
        <v>96.163049999999998</v>
      </c>
      <c r="AP1127" s="79">
        <v>95.784030000000001</v>
      </c>
      <c r="AQ1127" s="79"/>
      <c r="AR1127" s="79"/>
      <c r="AS1127" s="79"/>
      <c r="AT1127" s="79">
        <v>92.221760000000003</v>
      </c>
      <c r="AU1127" s="79"/>
      <c r="AV1127" s="79">
        <v>91.3</v>
      </c>
      <c r="AW1127" s="79"/>
      <c r="AX1127" s="79">
        <v>84.992919999999998</v>
      </c>
      <c r="AY1127" s="79">
        <v>112.414</v>
      </c>
    </row>
    <row r="1128" spans="1:51" x14ac:dyDescent="0.2">
      <c r="A1128" t="s">
        <v>1673</v>
      </c>
      <c r="B1128" s="1">
        <v>41214</v>
      </c>
      <c r="C1128" s="78">
        <v>1128</v>
      </c>
      <c r="E1128" s="1">
        <f t="shared" si="34"/>
        <v>41214</v>
      </c>
      <c r="F1128" s="2">
        <f t="shared" si="35"/>
        <v>41214</v>
      </c>
      <c r="G1128" s="78">
        <v>1126</v>
      </c>
      <c r="H1128" s="79"/>
      <c r="I1128" s="79"/>
      <c r="J1128" s="79">
        <v>96.191990000000004</v>
      </c>
      <c r="K1128" s="79">
        <v>93.780180000000001</v>
      </c>
      <c r="L1128" s="79"/>
      <c r="M1128" s="79">
        <v>88.085319999999996</v>
      </c>
      <c r="N1128" s="79">
        <v>95.092079999999996</v>
      </c>
      <c r="O1128" s="79">
        <v>101.8</v>
      </c>
      <c r="P1128" s="79">
        <v>93.982079999999996</v>
      </c>
      <c r="Q1128" s="79"/>
      <c r="R1128" s="79">
        <v>103.7</v>
      </c>
      <c r="S1128" s="79">
        <v>98.180819999999997</v>
      </c>
      <c r="T1128" s="79">
        <v>97.698560000000001</v>
      </c>
      <c r="U1128" s="79">
        <v>102.0809</v>
      </c>
      <c r="V1128" s="79">
        <v>84.20702</v>
      </c>
      <c r="W1128" s="79">
        <v>60.114719999999998</v>
      </c>
      <c r="X1128" s="79">
        <v>89.149410000000003</v>
      </c>
      <c r="Y1128" s="79">
        <v>98.173299999999998</v>
      </c>
      <c r="Z1128" s="79">
        <v>99.191730000000007</v>
      </c>
      <c r="AA1128" s="79">
        <v>96.071250000000006</v>
      </c>
      <c r="AB1128" s="79">
        <v>100.5166</v>
      </c>
      <c r="AC1128" s="79">
        <v>89.992500000000007</v>
      </c>
      <c r="AD1128" s="79">
        <v>98.2</v>
      </c>
      <c r="AE1128" s="79">
        <v>107.16800000000001</v>
      </c>
      <c r="AF1128" s="79">
        <v>103.6914</v>
      </c>
      <c r="AG1128" s="79">
        <v>98.099299999999999</v>
      </c>
      <c r="AH1128" s="79">
        <v>95.699070000000006</v>
      </c>
      <c r="AI1128" s="79">
        <v>89.2</v>
      </c>
      <c r="AJ1128" s="79">
        <v>94.796099999999996</v>
      </c>
      <c r="AK1128" s="79">
        <v>86.514420000000001</v>
      </c>
      <c r="AL1128" s="79">
        <v>91.607640000000004</v>
      </c>
      <c r="AM1128" s="79">
        <v>100.4</v>
      </c>
      <c r="AN1128" s="79"/>
      <c r="AO1128" s="79">
        <v>96.626400000000004</v>
      </c>
      <c r="AP1128" s="79">
        <v>95.084149999999994</v>
      </c>
      <c r="AQ1128" s="79"/>
      <c r="AR1128" s="79"/>
      <c r="AS1128" s="79"/>
      <c r="AT1128" s="79">
        <v>91.104960000000005</v>
      </c>
      <c r="AU1128" s="79"/>
      <c r="AV1128" s="79">
        <v>91.5</v>
      </c>
      <c r="AW1128" s="79"/>
      <c r="AX1128" s="79">
        <v>83.793009999999995</v>
      </c>
      <c r="AY1128" s="79">
        <v>110.6524</v>
      </c>
    </row>
    <row r="1129" spans="1:51" x14ac:dyDescent="0.2">
      <c r="A1129" t="s">
        <v>1674</v>
      </c>
      <c r="B1129" s="1">
        <v>41244</v>
      </c>
      <c r="C1129" s="78">
        <v>1129</v>
      </c>
      <c r="E1129" s="1">
        <f t="shared" si="34"/>
        <v>41244</v>
      </c>
      <c r="F1129" s="2">
        <f t="shared" si="35"/>
        <v>41244</v>
      </c>
      <c r="G1129" s="78">
        <v>1127</v>
      </c>
      <c r="H1129" s="79"/>
      <c r="I1129" s="79"/>
      <c r="J1129" s="79">
        <v>97.791849999999997</v>
      </c>
      <c r="K1129" s="79">
        <v>93.372730000000004</v>
      </c>
      <c r="L1129" s="79"/>
      <c r="M1129" s="79">
        <v>89.185130000000001</v>
      </c>
      <c r="N1129" s="79">
        <v>95.892009999999999</v>
      </c>
      <c r="O1129" s="79">
        <v>99.8</v>
      </c>
      <c r="P1129" s="79">
        <v>94.354079999999996</v>
      </c>
      <c r="Q1129" s="79"/>
      <c r="R1129" s="79">
        <v>104.4</v>
      </c>
      <c r="S1129" s="79">
        <v>99.490830000000003</v>
      </c>
      <c r="T1129" s="79">
        <v>98.425330000000002</v>
      </c>
      <c r="U1129" s="79">
        <v>100.5827</v>
      </c>
      <c r="V1129" s="79">
        <v>84.907070000000004</v>
      </c>
      <c r="W1129" s="79">
        <v>61.438000000000002</v>
      </c>
      <c r="X1129" s="79">
        <v>80.456289999999996</v>
      </c>
      <c r="Y1129" s="79">
        <v>95.550349999999995</v>
      </c>
      <c r="Z1129" s="79">
        <v>99.891679999999994</v>
      </c>
      <c r="AA1129" s="79">
        <v>97.405569999999997</v>
      </c>
      <c r="AB1129" s="79">
        <v>100.45059999999999</v>
      </c>
      <c r="AC1129" s="79">
        <v>94.192149999999998</v>
      </c>
      <c r="AD1129" s="79">
        <v>101.2</v>
      </c>
      <c r="AE1129" s="79">
        <v>105.8489</v>
      </c>
      <c r="AF1129" s="79">
        <v>102.5915</v>
      </c>
      <c r="AG1129" s="79">
        <v>99.262990000000002</v>
      </c>
      <c r="AH1129" s="79">
        <v>96.13</v>
      </c>
      <c r="AI1129" s="79">
        <v>88.9</v>
      </c>
      <c r="AJ1129" s="79">
        <v>93.975539999999995</v>
      </c>
      <c r="AK1129" s="79">
        <v>88.214699999999993</v>
      </c>
      <c r="AL1129" s="79">
        <v>91.907660000000007</v>
      </c>
      <c r="AM1129" s="79">
        <v>102.1</v>
      </c>
      <c r="AN1129" s="79"/>
      <c r="AO1129" s="79">
        <v>96.967470000000006</v>
      </c>
      <c r="AP1129" s="79">
        <v>95.584069999999997</v>
      </c>
      <c r="AQ1129" s="79"/>
      <c r="AR1129" s="79"/>
      <c r="AS1129" s="79"/>
      <c r="AT1129" s="79">
        <v>91.402730000000005</v>
      </c>
      <c r="AU1129" s="79"/>
      <c r="AV1129" s="79">
        <v>91.7</v>
      </c>
      <c r="AW1129" s="79"/>
      <c r="AX1129" s="79">
        <v>84.992919999999998</v>
      </c>
      <c r="AY1129" s="79">
        <v>111.53319999999999</v>
      </c>
    </row>
    <row r="1130" spans="1:51" x14ac:dyDescent="0.2">
      <c r="A1130" t="s">
        <v>1675</v>
      </c>
      <c r="B1130" s="1">
        <v>41275</v>
      </c>
      <c r="C1130" s="78">
        <v>1130</v>
      </c>
      <c r="E1130" s="1">
        <f t="shared" si="34"/>
        <v>41275</v>
      </c>
      <c r="F1130" s="2">
        <f t="shared" si="35"/>
        <v>41275</v>
      </c>
      <c r="G1130" s="78">
        <v>1128</v>
      </c>
      <c r="H1130" s="79"/>
      <c r="I1130" s="79"/>
      <c r="J1130" s="79">
        <v>96.391970000000001</v>
      </c>
      <c r="K1130" s="79">
        <v>94.095600000000005</v>
      </c>
      <c r="L1130" s="79"/>
      <c r="M1130" s="79">
        <v>88.685220000000001</v>
      </c>
      <c r="N1130" s="79">
        <v>94.69211</v>
      </c>
      <c r="O1130" s="79">
        <v>101.2</v>
      </c>
      <c r="P1130" s="79">
        <v>95.382080000000002</v>
      </c>
      <c r="Q1130" s="79"/>
      <c r="R1130" s="79">
        <v>104.5</v>
      </c>
      <c r="S1130" s="79">
        <v>98.560820000000007</v>
      </c>
      <c r="T1130" s="79">
        <v>97.49091</v>
      </c>
      <c r="U1130" s="79">
        <v>100.5827</v>
      </c>
      <c r="V1130" s="79">
        <v>84.807069999999996</v>
      </c>
      <c r="W1130" s="79">
        <v>59.610619999999997</v>
      </c>
      <c r="X1130" s="79">
        <v>90.147090000000006</v>
      </c>
      <c r="Y1130" s="79">
        <v>96.487120000000004</v>
      </c>
      <c r="Z1130" s="79">
        <v>99.991669999999999</v>
      </c>
      <c r="AA1130" s="79">
        <v>95.392049999999998</v>
      </c>
      <c r="AB1130" s="79">
        <v>100.6006</v>
      </c>
      <c r="AC1130" s="79">
        <v>91.892340000000004</v>
      </c>
      <c r="AD1130" s="79">
        <v>99.5</v>
      </c>
      <c r="AE1130" s="79">
        <v>105.333</v>
      </c>
      <c r="AF1130" s="79">
        <v>104.29130000000001</v>
      </c>
      <c r="AG1130" s="79">
        <v>95.306439999999995</v>
      </c>
      <c r="AH1130" s="79">
        <v>95.701440000000005</v>
      </c>
      <c r="AI1130" s="79">
        <v>88.9</v>
      </c>
      <c r="AJ1130" s="79">
        <v>96.073620000000005</v>
      </c>
      <c r="AK1130" s="79">
        <v>88.314719999999994</v>
      </c>
      <c r="AL1130" s="79">
        <v>93.50779</v>
      </c>
      <c r="AM1130" s="79">
        <v>99.9</v>
      </c>
      <c r="AN1130" s="79"/>
      <c r="AO1130" s="79">
        <v>96.83896</v>
      </c>
      <c r="AP1130" s="79">
        <v>95.184139999999999</v>
      </c>
      <c r="AQ1130" s="79"/>
      <c r="AR1130" s="79"/>
      <c r="AS1130" s="79"/>
      <c r="AT1130" s="79">
        <v>91.323750000000004</v>
      </c>
      <c r="AU1130" s="79"/>
      <c r="AV1130" s="79">
        <v>89.3</v>
      </c>
      <c r="AW1130" s="79"/>
      <c r="AX1130" s="79">
        <v>85.392880000000005</v>
      </c>
      <c r="AY1130" s="79">
        <v>112.414</v>
      </c>
    </row>
    <row r="1131" spans="1:51" x14ac:dyDescent="0.2">
      <c r="A1131" t="s">
        <v>1676</v>
      </c>
      <c r="B1131" s="1">
        <v>41306</v>
      </c>
      <c r="C1131" s="78">
        <v>1131</v>
      </c>
      <c r="E1131" s="1">
        <f t="shared" si="34"/>
        <v>41306</v>
      </c>
      <c r="F1131" s="2">
        <f t="shared" si="35"/>
        <v>41306</v>
      </c>
      <c r="G1131" s="78">
        <v>1129</v>
      </c>
      <c r="H1131" s="79"/>
      <c r="I1131" s="79"/>
      <c r="J1131" s="79">
        <v>96.191990000000004</v>
      </c>
      <c r="K1131" s="79">
        <v>95.097499999999997</v>
      </c>
      <c r="L1131" s="79"/>
      <c r="M1131" s="79">
        <v>88.985169999999997</v>
      </c>
      <c r="N1131" s="79">
        <v>95.492040000000003</v>
      </c>
      <c r="O1131" s="79">
        <v>98.7</v>
      </c>
      <c r="P1131" s="79">
        <v>94.619079999999997</v>
      </c>
      <c r="Q1131" s="79"/>
      <c r="R1131" s="79">
        <v>103.8</v>
      </c>
      <c r="S1131" s="79">
        <v>99.68083</v>
      </c>
      <c r="T1131" s="79">
        <v>97.387090000000001</v>
      </c>
      <c r="U1131" s="79">
        <v>99.084400000000002</v>
      </c>
      <c r="V1131" s="79">
        <v>84.707059999999998</v>
      </c>
      <c r="W1131" s="79">
        <v>59.295549999999999</v>
      </c>
      <c r="X1131" s="79">
        <v>101.72620000000001</v>
      </c>
      <c r="Y1131" s="79">
        <v>98.829040000000006</v>
      </c>
      <c r="Z1131" s="79">
        <v>99.391720000000007</v>
      </c>
      <c r="AA1131" s="79">
        <v>96.991919999999993</v>
      </c>
      <c r="AB1131" s="79">
        <v>100.0757</v>
      </c>
      <c r="AC1131" s="79">
        <v>93.192229999999995</v>
      </c>
      <c r="AD1131" s="79">
        <v>96.8</v>
      </c>
      <c r="AE1131" s="79">
        <v>105.8798</v>
      </c>
      <c r="AF1131" s="79">
        <v>105.2912</v>
      </c>
      <c r="AG1131" s="79">
        <v>93.211789999999993</v>
      </c>
      <c r="AH1131" s="79">
        <v>96.147440000000003</v>
      </c>
      <c r="AI1131" s="79">
        <v>89.9</v>
      </c>
      <c r="AJ1131" s="79">
        <v>95.309579999999997</v>
      </c>
      <c r="AK1131" s="79">
        <v>88.314719999999994</v>
      </c>
      <c r="AL1131" s="79">
        <v>95.107929999999996</v>
      </c>
      <c r="AM1131" s="79">
        <v>99.1</v>
      </c>
      <c r="AN1131" s="79"/>
      <c r="AO1131" s="79">
        <v>97.395189999999999</v>
      </c>
      <c r="AP1131" s="79">
        <v>95.384100000000004</v>
      </c>
      <c r="AQ1131" s="79"/>
      <c r="AR1131" s="79"/>
      <c r="AS1131" s="79"/>
      <c r="AT1131" s="79">
        <v>91.142629999999997</v>
      </c>
      <c r="AU1131" s="79"/>
      <c r="AV1131" s="79">
        <v>90</v>
      </c>
      <c r="AW1131" s="79"/>
      <c r="AX1131" s="79">
        <v>87.292720000000003</v>
      </c>
      <c r="AY1131" s="79">
        <v>109.7715</v>
      </c>
    </row>
    <row r="1132" spans="1:51" x14ac:dyDescent="0.2">
      <c r="A1132" t="s">
        <v>1677</v>
      </c>
      <c r="B1132" s="1">
        <v>41334</v>
      </c>
      <c r="C1132" s="78">
        <v>1132</v>
      </c>
      <c r="E1132" s="1">
        <f t="shared" si="34"/>
        <v>41334</v>
      </c>
      <c r="F1132" s="2">
        <f t="shared" si="35"/>
        <v>41334</v>
      </c>
      <c r="G1132" s="78">
        <v>1130</v>
      </c>
      <c r="H1132" s="79"/>
      <c r="I1132" s="79"/>
      <c r="J1132" s="79">
        <v>98.991749999999996</v>
      </c>
      <c r="K1132" s="79">
        <v>95.688209999999998</v>
      </c>
      <c r="L1132" s="79"/>
      <c r="M1132" s="79">
        <v>88.585239999999999</v>
      </c>
      <c r="N1132" s="79">
        <v>96.791929999999994</v>
      </c>
      <c r="O1132" s="79">
        <v>98.3</v>
      </c>
      <c r="P1132" s="79">
        <v>95.573080000000004</v>
      </c>
      <c r="Q1132" s="79"/>
      <c r="R1132" s="79">
        <v>105.4</v>
      </c>
      <c r="S1132" s="79">
        <v>99.810829999999996</v>
      </c>
      <c r="T1132" s="79">
        <v>97.906210000000002</v>
      </c>
      <c r="U1132" s="79">
        <v>101.3817</v>
      </c>
      <c r="V1132" s="79">
        <v>85.007090000000005</v>
      </c>
      <c r="W1132" s="79">
        <v>60.429789999999997</v>
      </c>
      <c r="X1132" s="79">
        <v>93.602909999999994</v>
      </c>
      <c r="Y1132" s="79">
        <v>97.517560000000003</v>
      </c>
      <c r="Z1132" s="79">
        <v>98.891760000000005</v>
      </c>
      <c r="AA1132" s="79">
        <v>97.891850000000005</v>
      </c>
      <c r="AB1132" s="79">
        <v>98.284809999999993</v>
      </c>
      <c r="AC1132" s="79">
        <v>91.792349999999999</v>
      </c>
      <c r="AD1132" s="79">
        <v>96</v>
      </c>
      <c r="AE1132" s="79">
        <v>106.3103</v>
      </c>
      <c r="AF1132" s="79">
        <v>107.19110000000001</v>
      </c>
      <c r="AG1132" s="79">
        <v>93.211789999999993</v>
      </c>
      <c r="AH1132" s="79">
        <v>96.468379999999996</v>
      </c>
      <c r="AI1132" s="79">
        <v>89.4</v>
      </c>
      <c r="AJ1132" s="79">
        <v>98.242869999999996</v>
      </c>
      <c r="AK1132" s="79">
        <v>90.115020000000001</v>
      </c>
      <c r="AL1132" s="79">
        <v>91.307609999999997</v>
      </c>
      <c r="AM1132" s="79">
        <v>100.9</v>
      </c>
      <c r="AN1132" s="79"/>
      <c r="AO1132" s="79">
        <v>97.790819999999997</v>
      </c>
      <c r="AP1132" s="79">
        <v>96.383930000000007</v>
      </c>
      <c r="AQ1132" s="79"/>
      <c r="AR1132" s="79"/>
      <c r="AS1132" s="79"/>
      <c r="AT1132" s="79">
        <v>92.908379999999994</v>
      </c>
      <c r="AU1132" s="79"/>
      <c r="AV1132" s="79">
        <v>92.9</v>
      </c>
      <c r="AW1132" s="79"/>
      <c r="AX1132" s="79">
        <v>86.992750000000001</v>
      </c>
      <c r="AY1132" s="79">
        <v>111.42310000000001</v>
      </c>
    </row>
    <row r="1133" spans="1:51" x14ac:dyDescent="0.2">
      <c r="A1133" t="s">
        <v>1678</v>
      </c>
      <c r="B1133" s="1">
        <v>41365</v>
      </c>
      <c r="C1133" s="78">
        <v>1133</v>
      </c>
      <c r="E1133" s="1">
        <f t="shared" si="34"/>
        <v>41365</v>
      </c>
      <c r="F1133" s="2">
        <f t="shared" si="35"/>
        <v>41365</v>
      </c>
      <c r="G1133" s="78">
        <v>1131</v>
      </c>
      <c r="H1133" s="79"/>
      <c r="I1133" s="79"/>
      <c r="J1133" s="79">
        <v>99.591700000000003</v>
      </c>
      <c r="K1133" s="79">
        <v>95.024469999999994</v>
      </c>
      <c r="L1133" s="79"/>
      <c r="M1133" s="79">
        <v>89.685050000000004</v>
      </c>
      <c r="N1133" s="79">
        <v>97.091909999999999</v>
      </c>
      <c r="O1133" s="79">
        <v>100.2</v>
      </c>
      <c r="P1133" s="79">
        <v>94.347080000000005</v>
      </c>
      <c r="Q1133" s="79"/>
      <c r="R1133" s="79">
        <v>101.3</v>
      </c>
      <c r="S1133" s="79">
        <v>101.4008</v>
      </c>
      <c r="T1133" s="79">
        <v>97.17944</v>
      </c>
      <c r="U1133" s="79">
        <v>102.9799</v>
      </c>
      <c r="V1133" s="79">
        <v>85.307109999999994</v>
      </c>
      <c r="W1133" s="79">
        <v>61.12294</v>
      </c>
      <c r="X1133" s="79">
        <v>89.327420000000004</v>
      </c>
      <c r="Y1133" s="79">
        <v>97.798590000000004</v>
      </c>
      <c r="Z1133" s="79">
        <v>98.091830000000002</v>
      </c>
      <c r="AA1133" s="79">
        <v>98.091830000000002</v>
      </c>
      <c r="AB1133" s="79">
        <v>99.432720000000003</v>
      </c>
      <c r="AC1133" s="79">
        <v>91.692359999999994</v>
      </c>
      <c r="AD1133" s="79">
        <v>95.8</v>
      </c>
      <c r="AE1133" s="79">
        <v>105.1999</v>
      </c>
      <c r="AF1133" s="79">
        <v>107.2911</v>
      </c>
      <c r="AG1133" s="79">
        <v>96.702870000000004</v>
      </c>
      <c r="AH1133" s="79">
        <v>96.645240000000001</v>
      </c>
      <c r="AI1133" s="79">
        <v>90.5</v>
      </c>
      <c r="AJ1133" s="79">
        <v>96.879189999999994</v>
      </c>
      <c r="AK1133" s="79">
        <v>89.914990000000003</v>
      </c>
      <c r="AL1133" s="79">
        <v>93.107759999999999</v>
      </c>
      <c r="AM1133" s="79">
        <v>98.3</v>
      </c>
      <c r="AN1133" s="79"/>
      <c r="AO1133" s="79">
        <v>97.622730000000004</v>
      </c>
      <c r="AP1133" s="79">
        <v>96.5839</v>
      </c>
      <c r="AQ1133" s="79"/>
      <c r="AR1133" s="79"/>
      <c r="AS1133" s="79"/>
      <c r="AT1133" s="79">
        <v>93.605350000000001</v>
      </c>
      <c r="AU1133" s="79"/>
      <c r="AV1133" s="79">
        <v>92.2</v>
      </c>
      <c r="AW1133" s="79"/>
      <c r="AX1133" s="79">
        <v>87.692700000000002</v>
      </c>
      <c r="AY1133" s="79">
        <v>113.2948</v>
      </c>
    </row>
    <row r="1134" spans="1:51" x14ac:dyDescent="0.2">
      <c r="A1134" t="s">
        <v>1679</v>
      </c>
      <c r="B1134" s="1">
        <v>41395</v>
      </c>
      <c r="C1134" s="78">
        <v>1134</v>
      </c>
      <c r="E1134" s="1">
        <f t="shared" si="34"/>
        <v>41395</v>
      </c>
      <c r="F1134" s="2">
        <f t="shared" si="35"/>
        <v>41395</v>
      </c>
      <c r="G1134" s="78">
        <v>1132</v>
      </c>
      <c r="H1134" s="79"/>
      <c r="I1134" s="79"/>
      <c r="J1134" s="79">
        <v>100.5916</v>
      </c>
      <c r="K1134" s="79">
        <v>94.824619999999996</v>
      </c>
      <c r="L1134" s="79"/>
      <c r="M1134" s="79">
        <v>90.584900000000005</v>
      </c>
      <c r="N1134" s="79">
        <v>96.491960000000006</v>
      </c>
      <c r="O1134" s="79">
        <v>98.2</v>
      </c>
      <c r="P1134" s="79">
        <v>94.94708</v>
      </c>
      <c r="Q1134" s="79"/>
      <c r="R1134" s="79">
        <v>102.5</v>
      </c>
      <c r="S1134" s="79">
        <v>101.0608</v>
      </c>
      <c r="T1134" s="79">
        <v>97.802390000000003</v>
      </c>
      <c r="U1134" s="79">
        <v>101.0821</v>
      </c>
      <c r="V1134" s="79">
        <v>84.807069999999996</v>
      </c>
      <c r="W1134" s="79">
        <v>63.454430000000002</v>
      </c>
      <c r="X1134" s="79">
        <v>87.603629999999995</v>
      </c>
      <c r="Y1134" s="79">
        <v>95.925060000000002</v>
      </c>
      <c r="Z1134" s="79">
        <v>99.891679999999994</v>
      </c>
      <c r="AA1134" s="79">
        <v>99.591700000000003</v>
      </c>
      <c r="AB1134" s="79">
        <v>99.828680000000006</v>
      </c>
      <c r="AC1134" s="79">
        <v>93.792180000000002</v>
      </c>
      <c r="AD1134" s="79">
        <v>97.6</v>
      </c>
      <c r="AE1134" s="79">
        <v>105.27160000000001</v>
      </c>
      <c r="AF1134" s="79">
        <v>107.0911</v>
      </c>
      <c r="AG1134" s="79">
        <v>99.030259999999998</v>
      </c>
      <c r="AH1134" s="79">
        <v>96.889309999999995</v>
      </c>
      <c r="AI1134" s="79">
        <v>92</v>
      </c>
      <c r="AJ1134" s="79">
        <v>96.656300000000002</v>
      </c>
      <c r="AK1134" s="79">
        <v>90.515079999999998</v>
      </c>
      <c r="AL1134" s="79">
        <v>91.107590000000002</v>
      </c>
      <c r="AM1134" s="79">
        <v>96.8</v>
      </c>
      <c r="AN1134" s="79"/>
      <c r="AO1134" s="79">
        <v>97.72954</v>
      </c>
      <c r="AP1134" s="79">
        <v>96.783869999999993</v>
      </c>
      <c r="AQ1134" s="79"/>
      <c r="AR1134" s="79"/>
      <c r="AS1134" s="79"/>
      <c r="AT1134" s="79">
        <v>93.138080000000002</v>
      </c>
      <c r="AU1134" s="79"/>
      <c r="AV1134" s="79">
        <v>93.9</v>
      </c>
      <c r="AW1134" s="79"/>
      <c r="AX1134" s="79">
        <v>87.892679999999999</v>
      </c>
      <c r="AY1134" s="79">
        <v>112.8544</v>
      </c>
    </row>
    <row r="1135" spans="1:51" x14ac:dyDescent="0.2">
      <c r="A1135" t="s">
        <v>1680</v>
      </c>
      <c r="B1135" s="1">
        <v>41426</v>
      </c>
      <c r="C1135" s="78">
        <v>1135</v>
      </c>
      <c r="E1135" s="1">
        <f t="shared" si="34"/>
        <v>41426</v>
      </c>
      <c r="F1135" s="2">
        <f t="shared" si="35"/>
        <v>41426</v>
      </c>
      <c r="G1135" s="78">
        <v>1133</v>
      </c>
      <c r="H1135" s="79"/>
      <c r="I1135" s="79"/>
      <c r="J1135" s="79">
        <v>100.69159999999999</v>
      </c>
      <c r="K1135" s="79">
        <v>94.534080000000003</v>
      </c>
      <c r="L1135" s="79"/>
      <c r="M1135" s="79">
        <v>90.584900000000005</v>
      </c>
      <c r="N1135" s="79">
        <v>98.191820000000007</v>
      </c>
      <c r="O1135" s="79">
        <v>98</v>
      </c>
      <c r="P1135" s="79">
        <v>95.918080000000003</v>
      </c>
      <c r="Q1135" s="79"/>
      <c r="R1135" s="79">
        <v>103.4</v>
      </c>
      <c r="S1135" s="79">
        <v>99.860830000000007</v>
      </c>
      <c r="T1135" s="79">
        <v>98.321510000000004</v>
      </c>
      <c r="U1135" s="79">
        <v>106.17610000000001</v>
      </c>
      <c r="V1135" s="79">
        <v>85.407120000000006</v>
      </c>
      <c r="W1135" s="79">
        <v>61.12294</v>
      </c>
      <c r="X1135" s="79">
        <v>87.680639999999997</v>
      </c>
      <c r="Y1135" s="79">
        <v>97.236530000000002</v>
      </c>
      <c r="Z1135" s="79">
        <v>99.691699999999997</v>
      </c>
      <c r="AA1135" s="79">
        <v>98.59178</v>
      </c>
      <c r="AB1135" s="79">
        <v>99.581699999999998</v>
      </c>
      <c r="AC1135" s="79">
        <v>91.092410000000001</v>
      </c>
      <c r="AD1135" s="79">
        <v>97.8</v>
      </c>
      <c r="AE1135" s="79">
        <v>105.5548</v>
      </c>
      <c r="AF1135" s="79">
        <v>103.1914</v>
      </c>
      <c r="AG1135" s="79">
        <v>97.401079999999993</v>
      </c>
      <c r="AH1135" s="79">
        <v>97.084239999999994</v>
      </c>
      <c r="AI1135" s="79">
        <v>92.9</v>
      </c>
      <c r="AJ1135" s="79">
        <v>95.185320000000004</v>
      </c>
      <c r="AK1135" s="79">
        <v>89.714950000000002</v>
      </c>
      <c r="AL1135" s="79">
        <v>93.007750000000001</v>
      </c>
      <c r="AM1135" s="79">
        <v>97.5</v>
      </c>
      <c r="AN1135" s="79"/>
      <c r="AO1135" s="79">
        <v>97.928650000000005</v>
      </c>
      <c r="AP1135" s="79">
        <v>96.783869999999993</v>
      </c>
      <c r="AQ1135" s="79"/>
      <c r="AR1135" s="79"/>
      <c r="AS1135" s="79"/>
      <c r="AT1135" s="79">
        <v>90.948769999999996</v>
      </c>
      <c r="AU1135" s="79"/>
      <c r="AV1135" s="79">
        <v>92.4</v>
      </c>
      <c r="AW1135" s="79"/>
      <c r="AX1135" s="79">
        <v>90.592449999999999</v>
      </c>
      <c r="AY1135" s="79">
        <v>113.6251</v>
      </c>
    </row>
    <row r="1136" spans="1:51" x14ac:dyDescent="0.2">
      <c r="A1136" t="s">
        <v>1681</v>
      </c>
      <c r="B1136" s="1">
        <v>41456</v>
      </c>
      <c r="C1136" s="78">
        <v>1136</v>
      </c>
      <c r="E1136" s="1">
        <f t="shared" si="34"/>
        <v>41456</v>
      </c>
      <c r="F1136" s="2">
        <f t="shared" si="35"/>
        <v>41456</v>
      </c>
      <c r="G1136" s="78">
        <v>1134</v>
      </c>
      <c r="H1136" s="79"/>
      <c r="I1136" s="79"/>
      <c r="J1136" s="79">
        <v>102.0915</v>
      </c>
      <c r="K1136" s="79">
        <v>94.917720000000003</v>
      </c>
      <c r="L1136" s="79"/>
      <c r="M1136" s="79">
        <v>92.184640000000002</v>
      </c>
      <c r="N1136" s="79">
        <v>96.491960000000006</v>
      </c>
      <c r="O1136" s="79">
        <v>100.1</v>
      </c>
      <c r="P1136" s="79">
        <v>95.660079999999994</v>
      </c>
      <c r="Q1136" s="79"/>
      <c r="R1136" s="79">
        <v>102.8</v>
      </c>
      <c r="S1136" s="79">
        <v>99.090829999999997</v>
      </c>
      <c r="T1136" s="79">
        <v>98.529160000000005</v>
      </c>
      <c r="U1136" s="79">
        <v>98.684870000000004</v>
      </c>
      <c r="V1136" s="79">
        <v>86.707220000000007</v>
      </c>
      <c r="W1136" s="79">
        <v>60.05171</v>
      </c>
      <c r="X1136" s="79">
        <v>87.912009999999995</v>
      </c>
      <c r="Y1136" s="79">
        <v>97.798590000000004</v>
      </c>
      <c r="Z1136" s="79">
        <v>99.491709999999998</v>
      </c>
      <c r="AA1136" s="79">
        <v>100.0917</v>
      </c>
      <c r="AB1136" s="79">
        <v>98.693780000000004</v>
      </c>
      <c r="AC1136" s="79">
        <v>95.592029999999994</v>
      </c>
      <c r="AD1136" s="79">
        <v>98.9</v>
      </c>
      <c r="AE1136" s="79">
        <v>105.78360000000001</v>
      </c>
      <c r="AF1136" s="79">
        <v>100.69159999999999</v>
      </c>
      <c r="AG1136" s="79">
        <v>100.5431</v>
      </c>
      <c r="AH1136" s="79">
        <v>97.112089999999995</v>
      </c>
      <c r="AI1136" s="79">
        <v>93.9</v>
      </c>
      <c r="AJ1136" s="79">
        <v>93.56147</v>
      </c>
      <c r="AK1136" s="79">
        <v>91.015169999999998</v>
      </c>
      <c r="AL1136" s="79">
        <v>91.607640000000004</v>
      </c>
      <c r="AM1136" s="79">
        <v>100.2</v>
      </c>
      <c r="AN1136" s="79"/>
      <c r="AO1136" s="79">
        <v>97.511309999999995</v>
      </c>
      <c r="AP1136" s="79">
        <v>95.983999999999995</v>
      </c>
      <c r="AQ1136" s="79"/>
      <c r="AR1136" s="79"/>
      <c r="AS1136" s="79"/>
      <c r="AT1136" s="79">
        <v>93.600219999999993</v>
      </c>
      <c r="AU1136" s="79"/>
      <c r="AV1136" s="79">
        <v>92.1</v>
      </c>
      <c r="AW1136" s="79"/>
      <c r="AX1136" s="79">
        <v>90.092489999999998</v>
      </c>
      <c r="AY1136" s="79">
        <v>112.7443</v>
      </c>
    </row>
    <row r="1137" spans="1:51" x14ac:dyDescent="0.2">
      <c r="A1137" t="s">
        <v>1682</v>
      </c>
      <c r="B1137" s="1">
        <v>41487</v>
      </c>
      <c r="C1137" s="78">
        <v>1137</v>
      </c>
      <c r="E1137" s="1">
        <f t="shared" si="34"/>
        <v>41487</v>
      </c>
      <c r="F1137" s="2">
        <f t="shared" si="35"/>
        <v>41487</v>
      </c>
      <c r="G1137" s="78">
        <v>1135</v>
      </c>
      <c r="H1137" s="79"/>
      <c r="I1137" s="79"/>
      <c r="J1137" s="79">
        <v>99.591700000000003</v>
      </c>
      <c r="K1137" s="79">
        <v>95.744659999999996</v>
      </c>
      <c r="L1137" s="79"/>
      <c r="M1137" s="79">
        <v>93.384439999999998</v>
      </c>
      <c r="N1137" s="79">
        <v>98.691770000000005</v>
      </c>
      <c r="O1137" s="79">
        <v>96.2</v>
      </c>
      <c r="P1137" s="79">
        <v>96.636080000000007</v>
      </c>
      <c r="Q1137" s="79"/>
      <c r="R1137" s="79">
        <v>104.3</v>
      </c>
      <c r="S1137" s="79">
        <v>98.580820000000003</v>
      </c>
      <c r="T1137" s="79">
        <v>98.01003</v>
      </c>
      <c r="U1137" s="79">
        <v>100.1831</v>
      </c>
      <c r="V1137" s="79">
        <v>88.607380000000006</v>
      </c>
      <c r="W1137" s="79">
        <v>59.862670000000001</v>
      </c>
      <c r="X1137" s="79">
        <v>89.148480000000006</v>
      </c>
      <c r="Y1137" s="79">
        <v>94.894620000000003</v>
      </c>
      <c r="Z1137" s="79">
        <v>97.991839999999996</v>
      </c>
      <c r="AA1137" s="79">
        <v>100.3916</v>
      </c>
      <c r="AB1137" s="79">
        <v>100.4706</v>
      </c>
      <c r="AC1137" s="79">
        <v>97.691860000000005</v>
      </c>
      <c r="AD1137" s="79">
        <v>97.9</v>
      </c>
      <c r="AE1137" s="79">
        <v>106.06010000000001</v>
      </c>
      <c r="AF1137" s="79">
        <v>103.09139999999999</v>
      </c>
      <c r="AG1137" s="79">
        <v>96.935609999999997</v>
      </c>
      <c r="AH1137" s="79">
        <v>97.480059999999995</v>
      </c>
      <c r="AI1137" s="79">
        <v>94.6</v>
      </c>
      <c r="AJ1137" s="79">
        <v>96.012050000000002</v>
      </c>
      <c r="AK1137" s="79">
        <v>91.715289999999996</v>
      </c>
      <c r="AL1137" s="79">
        <v>92.907749999999993</v>
      </c>
      <c r="AM1137" s="79">
        <v>97.6</v>
      </c>
      <c r="AN1137" s="79"/>
      <c r="AO1137" s="79">
        <v>98.155140000000003</v>
      </c>
      <c r="AP1137" s="79">
        <v>96.483919999999998</v>
      </c>
      <c r="AQ1137" s="79"/>
      <c r="AR1137" s="79"/>
      <c r="AS1137" s="79"/>
      <c r="AT1137" s="79">
        <v>95.000950000000003</v>
      </c>
      <c r="AU1137" s="79"/>
      <c r="AV1137" s="79">
        <v>91.6</v>
      </c>
      <c r="AW1137" s="79"/>
      <c r="AX1137" s="79">
        <v>87.592699999999994</v>
      </c>
      <c r="AY1137" s="79">
        <v>113.2948</v>
      </c>
    </row>
    <row r="1138" spans="1:51" x14ac:dyDescent="0.2">
      <c r="A1138" t="s">
        <v>1683</v>
      </c>
      <c r="B1138" s="1">
        <v>41518</v>
      </c>
      <c r="C1138" s="78">
        <v>1138</v>
      </c>
      <c r="E1138" s="1">
        <f t="shared" si="34"/>
        <v>41518</v>
      </c>
      <c r="F1138" s="2">
        <f t="shared" si="35"/>
        <v>41518</v>
      </c>
      <c r="G1138" s="78">
        <v>1136</v>
      </c>
      <c r="H1138" s="79"/>
      <c r="I1138" s="79"/>
      <c r="J1138" s="79">
        <v>98.59178</v>
      </c>
      <c r="K1138" s="79">
        <v>96.533339999999995</v>
      </c>
      <c r="L1138" s="79"/>
      <c r="M1138" s="79">
        <v>91.284779999999998</v>
      </c>
      <c r="N1138" s="79">
        <v>98.191820000000007</v>
      </c>
      <c r="O1138" s="79">
        <v>95.8</v>
      </c>
      <c r="P1138" s="79">
        <v>96.376080000000002</v>
      </c>
      <c r="Q1138" s="79"/>
      <c r="R1138" s="79">
        <v>101.7</v>
      </c>
      <c r="S1138" s="79">
        <v>98.900829999999999</v>
      </c>
      <c r="T1138" s="79">
        <v>99.152100000000004</v>
      </c>
      <c r="U1138" s="79">
        <v>101.0821</v>
      </c>
      <c r="V1138" s="79">
        <v>89.607470000000006</v>
      </c>
      <c r="W1138" s="79">
        <v>60.933900000000001</v>
      </c>
      <c r="X1138" s="79">
        <v>89.223529999999997</v>
      </c>
      <c r="Y1138" s="79">
        <v>95.550349999999995</v>
      </c>
      <c r="Z1138" s="79">
        <v>99.691699999999997</v>
      </c>
      <c r="AA1138" s="79">
        <v>101.19159999999999</v>
      </c>
      <c r="AB1138" s="79">
        <v>99.043750000000003</v>
      </c>
      <c r="AC1138" s="79">
        <v>96.591949999999997</v>
      </c>
      <c r="AD1138" s="79">
        <v>97.8</v>
      </c>
      <c r="AE1138" s="79">
        <v>105.7868</v>
      </c>
      <c r="AF1138" s="79">
        <v>104.79130000000001</v>
      </c>
      <c r="AG1138" s="79">
        <v>95.306439999999995</v>
      </c>
      <c r="AH1138" s="79">
        <v>97.908730000000006</v>
      </c>
      <c r="AI1138" s="79">
        <v>94.2</v>
      </c>
      <c r="AJ1138" s="79">
        <v>97.385509999999996</v>
      </c>
      <c r="AK1138" s="79">
        <v>92.515420000000006</v>
      </c>
      <c r="AL1138" s="79">
        <v>92.707729999999998</v>
      </c>
      <c r="AM1138" s="79">
        <v>98.7</v>
      </c>
      <c r="AN1138" s="79"/>
      <c r="AO1138" s="79">
        <v>98.660659999999993</v>
      </c>
      <c r="AP1138" s="79">
        <v>96.5839</v>
      </c>
      <c r="AQ1138" s="79"/>
      <c r="AR1138" s="79"/>
      <c r="AS1138" s="79"/>
      <c r="AT1138" s="79">
        <v>95.491230000000002</v>
      </c>
      <c r="AU1138" s="79"/>
      <c r="AV1138" s="79">
        <v>93.1</v>
      </c>
      <c r="AW1138" s="79"/>
      <c r="AX1138" s="79">
        <v>92.692279999999997</v>
      </c>
      <c r="AY1138" s="79">
        <v>113.9554</v>
      </c>
    </row>
    <row r="1139" spans="1:51" x14ac:dyDescent="0.2">
      <c r="A1139" t="s">
        <v>1684</v>
      </c>
      <c r="B1139" s="1">
        <v>41548</v>
      </c>
      <c r="C1139" s="78">
        <v>1139</v>
      </c>
      <c r="E1139" s="1">
        <f t="shared" si="34"/>
        <v>41548</v>
      </c>
      <c r="F1139" s="2">
        <f t="shared" si="35"/>
        <v>41548</v>
      </c>
      <c r="G1139" s="78">
        <v>1137</v>
      </c>
      <c r="H1139" s="79"/>
      <c r="I1139" s="79"/>
      <c r="J1139" s="79">
        <v>100.8916</v>
      </c>
      <c r="K1139" s="79">
        <v>97.877139999999997</v>
      </c>
      <c r="L1139" s="79"/>
      <c r="M1139" s="79">
        <v>93.284450000000007</v>
      </c>
      <c r="N1139" s="79">
        <v>97.491870000000006</v>
      </c>
      <c r="O1139" s="79">
        <v>102.7</v>
      </c>
      <c r="P1139" s="79">
        <v>95.421080000000003</v>
      </c>
      <c r="Q1139" s="79"/>
      <c r="R1139" s="79">
        <v>102.4</v>
      </c>
      <c r="S1139" s="79">
        <v>99.010829999999999</v>
      </c>
      <c r="T1139" s="79">
        <v>98.944450000000003</v>
      </c>
      <c r="U1139" s="79">
        <v>99.683700000000002</v>
      </c>
      <c r="V1139" s="79">
        <v>89.407449999999997</v>
      </c>
      <c r="W1139" s="79">
        <v>56.838030000000003</v>
      </c>
      <c r="X1139" s="79">
        <v>90.760499999999993</v>
      </c>
      <c r="Y1139" s="79">
        <v>96.768150000000006</v>
      </c>
      <c r="Z1139" s="79">
        <v>100.1917</v>
      </c>
      <c r="AA1139" s="79">
        <v>101.4915</v>
      </c>
      <c r="AB1139" s="79">
        <v>100.8746</v>
      </c>
      <c r="AC1139" s="79">
        <v>98.291809999999998</v>
      </c>
      <c r="AD1139" s="79">
        <v>98.1</v>
      </c>
      <c r="AE1139" s="79">
        <v>106.1086</v>
      </c>
      <c r="AF1139" s="79">
        <v>102.2915</v>
      </c>
      <c r="AG1139" s="79">
        <v>92.746319999999997</v>
      </c>
      <c r="AH1139" s="79">
        <v>97.923649999999995</v>
      </c>
      <c r="AI1139" s="79">
        <v>94.4</v>
      </c>
      <c r="AJ1139" s="79">
        <v>97.92062</v>
      </c>
      <c r="AK1139" s="79">
        <v>92.415409999999994</v>
      </c>
      <c r="AL1139" s="79">
        <v>92.707729999999998</v>
      </c>
      <c r="AM1139" s="79">
        <v>95</v>
      </c>
      <c r="AN1139" s="79"/>
      <c r="AO1139" s="79">
        <v>98.487859999999998</v>
      </c>
      <c r="AP1139" s="79">
        <v>96.083979999999997</v>
      </c>
      <c r="AQ1139" s="79"/>
      <c r="AR1139" s="79"/>
      <c r="AS1139" s="79"/>
      <c r="AT1139" s="79">
        <v>94.065169999999995</v>
      </c>
      <c r="AU1139" s="79"/>
      <c r="AV1139" s="79">
        <v>93</v>
      </c>
      <c r="AW1139" s="79"/>
      <c r="AX1139" s="79">
        <v>91.692359999999994</v>
      </c>
      <c r="AY1139" s="79">
        <v>112.7443</v>
      </c>
    </row>
    <row r="1140" spans="1:51" x14ac:dyDescent="0.2">
      <c r="A1140" t="s">
        <v>1685</v>
      </c>
      <c r="B1140" s="1">
        <v>41579</v>
      </c>
      <c r="C1140" s="78">
        <v>1140</v>
      </c>
      <c r="E1140" s="1">
        <f t="shared" si="34"/>
        <v>41579</v>
      </c>
      <c r="F1140" s="2">
        <f t="shared" si="35"/>
        <v>41579</v>
      </c>
      <c r="G1140" s="78">
        <v>1138</v>
      </c>
      <c r="H1140" s="79"/>
      <c r="I1140" s="79"/>
      <c r="J1140" s="79">
        <v>103.4914</v>
      </c>
      <c r="K1140" s="79">
        <v>97.541120000000006</v>
      </c>
      <c r="L1140" s="79"/>
      <c r="M1140" s="79">
        <v>93.284450000000007</v>
      </c>
      <c r="N1140" s="79">
        <v>99.691699999999997</v>
      </c>
      <c r="O1140" s="79">
        <v>100.3</v>
      </c>
      <c r="P1140" s="79">
        <v>96.58108</v>
      </c>
      <c r="Q1140" s="79"/>
      <c r="R1140" s="79">
        <v>103.6</v>
      </c>
      <c r="S1140" s="79">
        <v>100.7908</v>
      </c>
      <c r="T1140" s="79">
        <v>98.944450000000003</v>
      </c>
      <c r="U1140" s="79">
        <v>96.487430000000003</v>
      </c>
      <c r="V1140" s="79">
        <v>89.30744</v>
      </c>
      <c r="W1140" s="79">
        <v>60.240749999999998</v>
      </c>
      <c r="X1140" s="79">
        <v>89.845079999999996</v>
      </c>
      <c r="Y1140" s="79">
        <v>97.517560000000003</v>
      </c>
      <c r="Z1140" s="79">
        <v>99.791690000000003</v>
      </c>
      <c r="AA1140" s="79">
        <v>101.89149999999999</v>
      </c>
      <c r="AB1140" s="79">
        <v>100.0097</v>
      </c>
      <c r="AC1140" s="79">
        <v>94.792100000000005</v>
      </c>
      <c r="AD1140" s="79">
        <v>98.4</v>
      </c>
      <c r="AE1140" s="79">
        <v>106.57940000000001</v>
      </c>
      <c r="AF1140" s="79">
        <v>104.99120000000001</v>
      </c>
      <c r="AG1140" s="79">
        <v>96.470129999999997</v>
      </c>
      <c r="AH1140" s="79">
        <v>98.528919999999999</v>
      </c>
      <c r="AI1140" s="79">
        <v>96.1</v>
      </c>
      <c r="AJ1140" s="79">
        <v>98.162790000000001</v>
      </c>
      <c r="AK1140" s="79">
        <v>94.01567</v>
      </c>
      <c r="AL1140" s="79">
        <v>93.607799999999997</v>
      </c>
      <c r="AM1140" s="79">
        <v>99.9</v>
      </c>
      <c r="AN1140" s="79"/>
      <c r="AO1140" s="79">
        <v>98.776790000000005</v>
      </c>
      <c r="AP1140" s="79">
        <v>97.383769999999998</v>
      </c>
      <c r="AQ1140" s="79"/>
      <c r="AR1140" s="79"/>
      <c r="AS1140" s="79"/>
      <c r="AT1140" s="79">
        <v>94.516620000000003</v>
      </c>
      <c r="AU1140" s="79"/>
      <c r="AV1140" s="79">
        <v>95.6</v>
      </c>
      <c r="AW1140" s="79"/>
      <c r="AX1140" s="79">
        <v>92.292310000000001</v>
      </c>
      <c r="AY1140" s="79">
        <v>113.4049</v>
      </c>
    </row>
    <row r="1141" spans="1:51" x14ac:dyDescent="0.2">
      <c r="A1141" t="s">
        <v>1686</v>
      </c>
      <c r="B1141" s="1">
        <v>41609</v>
      </c>
      <c r="C1141" s="78">
        <v>1141</v>
      </c>
      <c r="E1141" s="1">
        <f t="shared" si="34"/>
        <v>41609</v>
      </c>
      <c r="F1141" s="2">
        <f t="shared" si="35"/>
        <v>41609</v>
      </c>
      <c r="G1141" s="78">
        <v>1139</v>
      </c>
      <c r="H1141" s="79"/>
      <c r="I1141" s="79"/>
      <c r="J1141" s="79">
        <v>101.9915</v>
      </c>
      <c r="K1141" s="79">
        <v>96.697869999999995</v>
      </c>
      <c r="L1141" s="79"/>
      <c r="M1141" s="79">
        <v>94.384270000000001</v>
      </c>
      <c r="N1141" s="79">
        <v>99.791690000000003</v>
      </c>
      <c r="O1141" s="79">
        <v>101.5</v>
      </c>
      <c r="P1141" s="79">
        <v>96.754080000000002</v>
      </c>
      <c r="Q1141" s="79"/>
      <c r="R1141" s="79">
        <v>98.8</v>
      </c>
      <c r="S1141" s="79">
        <v>99.520830000000004</v>
      </c>
      <c r="T1141" s="79">
        <v>98.944450000000003</v>
      </c>
      <c r="U1141" s="79">
        <v>99.483930000000001</v>
      </c>
      <c r="V1141" s="79">
        <v>89.007419999999996</v>
      </c>
      <c r="W1141" s="79">
        <v>62.194159999999997</v>
      </c>
      <c r="X1141" s="79">
        <v>88.845140000000001</v>
      </c>
      <c r="Y1141" s="79">
        <v>97.892269999999996</v>
      </c>
      <c r="Z1141" s="79">
        <v>98.691770000000005</v>
      </c>
      <c r="AA1141" s="79">
        <v>101.89149999999999</v>
      </c>
      <c r="AB1141" s="79">
        <v>101.4545</v>
      </c>
      <c r="AC1141" s="79">
        <v>99.891679999999994</v>
      </c>
      <c r="AD1141" s="79">
        <v>97.2</v>
      </c>
      <c r="AE1141" s="79">
        <v>106.7508</v>
      </c>
      <c r="AF1141" s="79">
        <v>103.6914</v>
      </c>
      <c r="AG1141" s="79">
        <v>96.935609999999997</v>
      </c>
      <c r="AH1141" s="79">
        <v>98.454120000000003</v>
      </c>
      <c r="AI1141" s="79">
        <v>92.6</v>
      </c>
      <c r="AJ1141" s="79">
        <v>98.703220000000002</v>
      </c>
      <c r="AK1141" s="79">
        <v>92.915490000000005</v>
      </c>
      <c r="AL1141" s="79">
        <v>96.208020000000005</v>
      </c>
      <c r="AM1141" s="79">
        <v>99.7</v>
      </c>
      <c r="AN1141" s="79"/>
      <c r="AO1141" s="79">
        <v>99.076939999999993</v>
      </c>
      <c r="AP1141" s="79">
        <v>97.183800000000005</v>
      </c>
      <c r="AQ1141" s="79"/>
      <c r="AR1141" s="79"/>
      <c r="AS1141" s="79"/>
      <c r="AT1141" s="79">
        <v>94.733310000000003</v>
      </c>
      <c r="AU1141" s="79"/>
      <c r="AV1141" s="79">
        <v>96.3</v>
      </c>
      <c r="AW1141" s="79"/>
      <c r="AX1141" s="79">
        <v>91.792349999999999</v>
      </c>
      <c r="AY1141" s="79">
        <v>109.0008</v>
      </c>
    </row>
    <row r="1142" spans="1:51" x14ac:dyDescent="0.2">
      <c r="A1142" t="s">
        <v>1687</v>
      </c>
      <c r="B1142" s="1">
        <v>41640</v>
      </c>
      <c r="C1142" s="78">
        <v>1142</v>
      </c>
      <c r="E1142" s="1">
        <f t="shared" si="34"/>
        <v>41640</v>
      </c>
      <c r="F1142" s="2">
        <f t="shared" si="35"/>
        <v>41640</v>
      </c>
      <c r="G1142" s="78">
        <v>1140</v>
      </c>
      <c r="H1142" s="79"/>
      <c r="I1142" s="79"/>
      <c r="J1142" s="79">
        <v>100.0917</v>
      </c>
      <c r="K1142" s="79">
        <v>97.052350000000004</v>
      </c>
      <c r="L1142" s="79"/>
      <c r="M1142" s="79">
        <v>93.284450000000007</v>
      </c>
      <c r="N1142" s="79">
        <v>99.291730000000001</v>
      </c>
      <c r="O1142" s="79">
        <v>100.7</v>
      </c>
      <c r="P1142" s="79">
        <v>96.532079999999993</v>
      </c>
      <c r="Q1142" s="79"/>
      <c r="R1142" s="79">
        <v>101.2</v>
      </c>
      <c r="S1142" s="79">
        <v>97.920810000000003</v>
      </c>
      <c r="T1142" s="79">
        <v>99.255930000000006</v>
      </c>
      <c r="U1142" s="79">
        <v>97.386380000000003</v>
      </c>
      <c r="V1142" s="79">
        <v>90.107510000000005</v>
      </c>
      <c r="W1142" s="79">
        <v>65.281819999999996</v>
      </c>
      <c r="X1142" s="79">
        <v>87.938199999999995</v>
      </c>
      <c r="Y1142" s="79">
        <v>98.641689999999997</v>
      </c>
      <c r="Z1142" s="79">
        <v>100.3916</v>
      </c>
      <c r="AA1142" s="79">
        <v>103.59139999999999</v>
      </c>
      <c r="AB1142" s="79">
        <v>101.4815</v>
      </c>
      <c r="AC1142" s="79">
        <v>96.191990000000004</v>
      </c>
      <c r="AD1142" s="79">
        <v>97.2</v>
      </c>
      <c r="AE1142" s="79">
        <v>107.2732</v>
      </c>
      <c r="AF1142" s="79">
        <v>101.0916</v>
      </c>
      <c r="AG1142" s="79">
        <v>98.681139999999999</v>
      </c>
      <c r="AH1142" s="79">
        <v>98.731660000000005</v>
      </c>
      <c r="AI1142" s="79">
        <v>94.7</v>
      </c>
      <c r="AJ1142" s="79">
        <v>100.3288</v>
      </c>
      <c r="AK1142" s="79">
        <v>92.315380000000005</v>
      </c>
      <c r="AL1142" s="79">
        <v>93.107759999999999</v>
      </c>
      <c r="AM1142" s="79">
        <v>99.5</v>
      </c>
      <c r="AN1142" s="79"/>
      <c r="AO1142" s="79">
        <v>98.665080000000003</v>
      </c>
      <c r="AP1142" s="79">
        <v>96.883849999999995</v>
      </c>
      <c r="AQ1142" s="79"/>
      <c r="AR1142" s="79"/>
      <c r="AS1142" s="79"/>
      <c r="AT1142" s="79">
        <v>95.926919999999996</v>
      </c>
      <c r="AU1142" s="79"/>
      <c r="AV1142" s="79">
        <v>89.9</v>
      </c>
      <c r="AW1142" s="79"/>
      <c r="AX1142" s="79">
        <v>95.192070000000001</v>
      </c>
      <c r="AY1142" s="79">
        <v>110.7625</v>
      </c>
    </row>
    <row r="1143" spans="1:51" x14ac:dyDescent="0.2">
      <c r="A1143" t="s">
        <v>1688</v>
      </c>
      <c r="B1143" s="1">
        <v>41671</v>
      </c>
      <c r="C1143" s="78">
        <v>1143</v>
      </c>
      <c r="E1143" s="1">
        <f t="shared" si="34"/>
        <v>41671</v>
      </c>
      <c r="F1143" s="2">
        <f t="shared" si="35"/>
        <v>41671</v>
      </c>
      <c r="G1143" s="78">
        <v>1141</v>
      </c>
      <c r="H1143" s="79"/>
      <c r="I1143" s="79"/>
      <c r="J1143" s="79">
        <v>104.6913</v>
      </c>
      <c r="K1143" s="79">
        <v>98.855770000000007</v>
      </c>
      <c r="L1143" s="79"/>
      <c r="M1143" s="79">
        <v>94.384270000000001</v>
      </c>
      <c r="N1143" s="79">
        <v>99.391720000000007</v>
      </c>
      <c r="O1143" s="79">
        <v>102</v>
      </c>
      <c r="P1143" s="79">
        <v>97.236080000000001</v>
      </c>
      <c r="Q1143" s="79"/>
      <c r="R1143" s="79">
        <v>101.8</v>
      </c>
      <c r="S1143" s="79">
        <v>99.450829999999996</v>
      </c>
      <c r="T1143" s="79">
        <v>99.671229999999994</v>
      </c>
      <c r="U1143" s="79">
        <v>99.683700000000002</v>
      </c>
      <c r="V1143" s="79">
        <v>91.407619999999994</v>
      </c>
      <c r="W1143" s="79">
        <v>68.810559999999995</v>
      </c>
      <c r="X1143" s="79">
        <v>87.463170000000005</v>
      </c>
      <c r="Y1143" s="79">
        <v>102.76349999999999</v>
      </c>
      <c r="Z1143" s="79">
        <v>99.591700000000003</v>
      </c>
      <c r="AA1143" s="79">
        <v>102.8914</v>
      </c>
      <c r="AB1143" s="79">
        <v>100.4516</v>
      </c>
      <c r="AC1143" s="79">
        <v>99.591700000000003</v>
      </c>
      <c r="AD1143" s="79">
        <v>97.4</v>
      </c>
      <c r="AE1143" s="79">
        <v>107.40309999999999</v>
      </c>
      <c r="AF1143" s="79">
        <v>100.0917</v>
      </c>
      <c r="AG1143" s="79">
        <v>98.797520000000006</v>
      </c>
      <c r="AH1143" s="79">
        <v>99.078739999999996</v>
      </c>
      <c r="AI1143" s="79">
        <v>94.4</v>
      </c>
      <c r="AJ1143" s="79">
        <v>99.946269999999998</v>
      </c>
      <c r="AK1143" s="79">
        <v>93.015500000000003</v>
      </c>
      <c r="AL1143" s="79">
        <v>91.307609999999997</v>
      </c>
      <c r="AM1143" s="79">
        <v>99.9</v>
      </c>
      <c r="AN1143" s="79"/>
      <c r="AO1143" s="79">
        <v>99.500820000000004</v>
      </c>
      <c r="AP1143" s="79">
        <v>97.583730000000003</v>
      </c>
      <c r="AQ1143" s="79"/>
      <c r="AR1143" s="79"/>
      <c r="AS1143" s="79"/>
      <c r="AT1143" s="79">
        <v>96.023309999999995</v>
      </c>
      <c r="AU1143" s="79"/>
      <c r="AV1143" s="79">
        <v>92.6</v>
      </c>
      <c r="AW1143" s="79"/>
      <c r="AX1143" s="79">
        <v>94.292140000000003</v>
      </c>
      <c r="AY1143" s="79">
        <v>111.53319999999999</v>
      </c>
    </row>
    <row r="1144" spans="1:51" x14ac:dyDescent="0.2">
      <c r="A1144" t="s">
        <v>1689</v>
      </c>
      <c r="B1144" s="1">
        <v>41699</v>
      </c>
      <c r="C1144" s="78">
        <v>1144</v>
      </c>
      <c r="E1144" s="1">
        <f t="shared" si="34"/>
        <v>41699</v>
      </c>
      <c r="F1144" s="2">
        <f t="shared" si="35"/>
        <v>41699</v>
      </c>
      <c r="G1144" s="78">
        <v>1142</v>
      </c>
      <c r="H1144" s="79"/>
      <c r="I1144" s="79"/>
      <c r="J1144" s="79">
        <v>101.0916</v>
      </c>
      <c r="K1144" s="79">
        <v>99.169589999999999</v>
      </c>
      <c r="L1144" s="79"/>
      <c r="M1144" s="79">
        <v>95.384100000000004</v>
      </c>
      <c r="N1144" s="79">
        <v>99.791690000000003</v>
      </c>
      <c r="O1144" s="79">
        <v>98.9</v>
      </c>
      <c r="P1144" s="79">
        <v>96.286079999999998</v>
      </c>
      <c r="Q1144" s="79"/>
      <c r="R1144" s="79">
        <v>101</v>
      </c>
      <c r="S1144" s="79">
        <v>98.720830000000007</v>
      </c>
      <c r="T1144" s="79">
        <v>99.359750000000005</v>
      </c>
      <c r="U1144" s="79">
        <v>97.586150000000004</v>
      </c>
      <c r="V1144" s="79">
        <v>92.207689999999999</v>
      </c>
      <c r="W1144" s="79">
        <v>70.322879999999998</v>
      </c>
      <c r="X1144" s="79">
        <v>84.499920000000003</v>
      </c>
      <c r="Y1144" s="79">
        <v>95.175640000000001</v>
      </c>
      <c r="Z1144" s="79">
        <v>98.491789999999995</v>
      </c>
      <c r="AA1144" s="79">
        <v>104.29130000000001</v>
      </c>
      <c r="AB1144" s="79">
        <v>101.4375</v>
      </c>
      <c r="AC1144" s="79">
        <v>96.691940000000002</v>
      </c>
      <c r="AD1144" s="79">
        <v>94.6</v>
      </c>
      <c r="AE1144" s="79">
        <v>107.77160000000001</v>
      </c>
      <c r="AF1144" s="79">
        <v>98.79177</v>
      </c>
      <c r="AG1144" s="79">
        <v>100.0776</v>
      </c>
      <c r="AH1144" s="79">
        <v>99.392700000000005</v>
      </c>
      <c r="AI1144" s="79">
        <v>94.2</v>
      </c>
      <c r="AJ1144" s="79">
        <v>96.224029999999999</v>
      </c>
      <c r="AK1144" s="79">
        <v>92.315380000000005</v>
      </c>
      <c r="AL1144" s="79">
        <v>94.207849999999993</v>
      </c>
      <c r="AM1144" s="79">
        <v>97.2</v>
      </c>
      <c r="AN1144" s="79"/>
      <c r="AO1144" s="79">
        <v>100.4586</v>
      </c>
      <c r="AP1144" s="79">
        <v>96.983829999999998</v>
      </c>
      <c r="AQ1144" s="79"/>
      <c r="AR1144" s="79"/>
      <c r="AS1144" s="79"/>
      <c r="AT1144" s="79">
        <v>95.886099999999999</v>
      </c>
      <c r="AU1144" s="79"/>
      <c r="AV1144" s="79">
        <v>91.8</v>
      </c>
      <c r="AW1144" s="79"/>
      <c r="AX1144" s="79">
        <v>94.492130000000003</v>
      </c>
      <c r="AY1144" s="79">
        <v>111.313</v>
      </c>
    </row>
    <row r="1145" spans="1:51" x14ac:dyDescent="0.2">
      <c r="A1145" t="s">
        <v>1690</v>
      </c>
      <c r="B1145" s="1">
        <v>41730</v>
      </c>
      <c r="C1145" s="78">
        <v>1145</v>
      </c>
      <c r="E1145" s="1">
        <f t="shared" si="34"/>
        <v>41730</v>
      </c>
      <c r="F1145" s="2">
        <f t="shared" si="35"/>
        <v>41730</v>
      </c>
      <c r="G1145" s="78">
        <v>1143</v>
      </c>
      <c r="H1145" s="79"/>
      <c r="I1145" s="79"/>
      <c r="J1145" s="79">
        <v>104.1913</v>
      </c>
      <c r="K1145" s="79">
        <v>100.4639</v>
      </c>
      <c r="L1145" s="79"/>
      <c r="M1145" s="79">
        <v>95.284120000000001</v>
      </c>
      <c r="N1145" s="79">
        <v>99.391720000000007</v>
      </c>
      <c r="O1145" s="79">
        <v>99.6</v>
      </c>
      <c r="P1145" s="79">
        <v>97.585080000000005</v>
      </c>
      <c r="Q1145" s="79"/>
      <c r="R1145" s="79">
        <v>102.6</v>
      </c>
      <c r="S1145" s="79">
        <v>99.070819999999998</v>
      </c>
      <c r="T1145" s="79">
        <v>99.775049999999993</v>
      </c>
      <c r="U1145" s="79">
        <v>99.983350000000002</v>
      </c>
      <c r="V1145" s="79">
        <v>92.907749999999993</v>
      </c>
      <c r="W1145" s="79">
        <v>81.854320000000001</v>
      </c>
      <c r="X1145" s="79">
        <v>84.131870000000006</v>
      </c>
      <c r="Y1145" s="79">
        <v>93.114750000000001</v>
      </c>
      <c r="Z1145" s="79">
        <v>99.491709999999998</v>
      </c>
      <c r="AA1145" s="79">
        <v>99.791690000000003</v>
      </c>
      <c r="AB1145" s="79">
        <v>102.2015</v>
      </c>
      <c r="AC1145" s="79">
        <v>98.691770000000005</v>
      </c>
      <c r="AD1145" s="79">
        <v>96.4</v>
      </c>
      <c r="AE1145" s="79">
        <v>108.50879999999999</v>
      </c>
      <c r="AF1145" s="79">
        <v>104.0913</v>
      </c>
      <c r="AG1145" s="79">
        <v>99.146619999999999</v>
      </c>
      <c r="AH1145" s="79">
        <v>99.354799999999997</v>
      </c>
      <c r="AI1145" s="79">
        <v>95.5</v>
      </c>
      <c r="AJ1145" s="79">
        <v>98.737949999999998</v>
      </c>
      <c r="AK1145" s="79">
        <v>93.815640000000002</v>
      </c>
      <c r="AL1145" s="79">
        <v>93.50779</v>
      </c>
      <c r="AM1145" s="79">
        <v>97.7</v>
      </c>
      <c r="AN1145" s="79"/>
      <c r="AO1145" s="79">
        <v>100.50490000000001</v>
      </c>
      <c r="AP1145" s="79">
        <v>98.583569999999995</v>
      </c>
      <c r="AQ1145" s="79"/>
      <c r="AR1145" s="79"/>
      <c r="AS1145" s="79"/>
      <c r="AT1145" s="79">
        <v>97.370339999999999</v>
      </c>
      <c r="AU1145" s="79"/>
      <c r="AV1145" s="79">
        <v>94.2</v>
      </c>
      <c r="AW1145" s="79"/>
      <c r="AX1145" s="79">
        <v>93.592200000000005</v>
      </c>
      <c r="AY1145" s="79">
        <v>110.322</v>
      </c>
    </row>
    <row r="1146" spans="1:51" x14ac:dyDescent="0.2">
      <c r="A1146" t="s">
        <v>1691</v>
      </c>
      <c r="B1146" s="1">
        <v>41760</v>
      </c>
      <c r="C1146" s="78">
        <v>1146</v>
      </c>
      <c r="E1146" s="1">
        <f t="shared" si="34"/>
        <v>41760</v>
      </c>
      <c r="F1146" s="2">
        <f t="shared" si="35"/>
        <v>41760</v>
      </c>
      <c r="G1146" s="78">
        <v>1144</v>
      </c>
      <c r="H1146" s="79"/>
      <c r="I1146" s="79"/>
      <c r="J1146" s="79">
        <v>101.2916</v>
      </c>
      <c r="K1146" s="79">
        <v>100.72929999999999</v>
      </c>
      <c r="L1146" s="79"/>
      <c r="M1146" s="79">
        <v>95.184139999999999</v>
      </c>
      <c r="N1146" s="79">
        <v>98.691770000000005</v>
      </c>
      <c r="O1146" s="79">
        <v>98.2</v>
      </c>
      <c r="P1146" s="79">
        <v>97.230080000000001</v>
      </c>
      <c r="Q1146" s="79"/>
      <c r="R1146" s="79">
        <v>101.9</v>
      </c>
      <c r="S1146" s="79">
        <v>96.860810000000001</v>
      </c>
      <c r="T1146" s="79">
        <v>99.463579999999993</v>
      </c>
      <c r="U1146" s="79">
        <v>105.3771</v>
      </c>
      <c r="V1146" s="79">
        <v>92.307689999999994</v>
      </c>
      <c r="W1146" s="79">
        <v>84.185820000000007</v>
      </c>
      <c r="X1146" s="79">
        <v>84.741169999999997</v>
      </c>
      <c r="Y1146" s="79">
        <v>96.299769999999995</v>
      </c>
      <c r="Z1146" s="79">
        <v>97.991839999999996</v>
      </c>
      <c r="AA1146" s="79">
        <v>101.89149999999999</v>
      </c>
      <c r="AB1146" s="79">
        <v>99.561710000000005</v>
      </c>
      <c r="AC1146" s="79">
        <v>97.691860000000005</v>
      </c>
      <c r="AD1146" s="79">
        <v>96.6</v>
      </c>
      <c r="AE1146" s="79">
        <v>108.9781</v>
      </c>
      <c r="AF1146" s="79">
        <v>103.6914</v>
      </c>
      <c r="AG1146" s="79">
        <v>94.608220000000003</v>
      </c>
      <c r="AH1146" s="79">
        <v>99.228359999999995</v>
      </c>
      <c r="AI1146" s="79">
        <v>93.9</v>
      </c>
      <c r="AJ1146" s="79">
        <v>97.369709999999998</v>
      </c>
      <c r="AK1146" s="79">
        <v>93.915649999999999</v>
      </c>
      <c r="AL1146" s="79">
        <v>93.407780000000002</v>
      </c>
      <c r="AM1146" s="79">
        <v>95</v>
      </c>
      <c r="AN1146" s="79"/>
      <c r="AO1146" s="79">
        <v>100.8681</v>
      </c>
      <c r="AP1146" s="79">
        <v>97.783699999999996</v>
      </c>
      <c r="AQ1146" s="79"/>
      <c r="AR1146" s="79"/>
      <c r="AS1146" s="79"/>
      <c r="AT1146" s="79">
        <v>97.262069999999994</v>
      </c>
      <c r="AU1146" s="79"/>
      <c r="AV1146" s="79">
        <v>93.7</v>
      </c>
      <c r="AW1146" s="79"/>
      <c r="AX1146" s="79">
        <v>92.392300000000006</v>
      </c>
      <c r="AY1146" s="79">
        <v>108.78060000000001</v>
      </c>
    </row>
    <row r="1147" spans="1:51" x14ac:dyDescent="0.2">
      <c r="A1147" t="s">
        <v>1692</v>
      </c>
      <c r="B1147" s="1">
        <v>41791</v>
      </c>
      <c r="C1147" s="78">
        <v>1147</v>
      </c>
      <c r="E1147" s="1">
        <f t="shared" si="34"/>
        <v>41791</v>
      </c>
      <c r="F1147" s="2">
        <f t="shared" si="35"/>
        <v>41791</v>
      </c>
      <c r="G1147" s="78">
        <v>1145</v>
      </c>
      <c r="H1147" s="79"/>
      <c r="I1147" s="79"/>
      <c r="J1147" s="79">
        <v>103.09139999999999</v>
      </c>
      <c r="K1147" s="79">
        <v>101.5771</v>
      </c>
      <c r="L1147" s="79"/>
      <c r="M1147" s="79">
        <v>95.284120000000001</v>
      </c>
      <c r="N1147" s="79">
        <v>98.79177</v>
      </c>
      <c r="O1147" s="79">
        <v>97.4</v>
      </c>
      <c r="P1147" s="79">
        <v>96.517080000000007</v>
      </c>
      <c r="Q1147" s="79"/>
      <c r="R1147" s="79">
        <v>99.8</v>
      </c>
      <c r="S1147" s="79">
        <v>99.100819999999999</v>
      </c>
      <c r="T1147" s="79">
        <v>99.671229999999994</v>
      </c>
      <c r="U1147" s="79">
        <v>98.185450000000003</v>
      </c>
      <c r="V1147" s="79">
        <v>95.707980000000006</v>
      </c>
      <c r="W1147" s="79">
        <v>63.958539999999999</v>
      </c>
      <c r="X1147" s="79">
        <v>86.402209999999997</v>
      </c>
      <c r="Y1147" s="79">
        <v>95.175640000000001</v>
      </c>
      <c r="Z1147" s="79">
        <v>99.891679999999994</v>
      </c>
      <c r="AA1147" s="79">
        <v>100.5916</v>
      </c>
      <c r="AB1147" s="79">
        <v>101.9665</v>
      </c>
      <c r="AC1147" s="79">
        <v>98.091830000000002</v>
      </c>
      <c r="AD1147" s="79">
        <v>95.9</v>
      </c>
      <c r="AE1147" s="79">
        <v>108.7625</v>
      </c>
      <c r="AF1147" s="79">
        <v>101.9915</v>
      </c>
      <c r="AG1147" s="79">
        <v>99.262990000000002</v>
      </c>
      <c r="AH1147" s="79">
        <v>99.37961</v>
      </c>
      <c r="AI1147" s="79">
        <v>94.6</v>
      </c>
      <c r="AJ1147" s="79">
        <v>96.848500000000001</v>
      </c>
      <c r="AK1147" s="79">
        <v>95.815969999999993</v>
      </c>
      <c r="AL1147" s="79">
        <v>95.807980000000001</v>
      </c>
      <c r="AM1147" s="79">
        <v>96.8</v>
      </c>
      <c r="AN1147" s="79"/>
      <c r="AO1147" s="79">
        <v>101.24550000000001</v>
      </c>
      <c r="AP1147" s="79">
        <v>97.283779999999993</v>
      </c>
      <c r="AQ1147" s="79"/>
      <c r="AR1147" s="79"/>
      <c r="AS1147" s="79"/>
      <c r="AT1147" s="79">
        <v>98.321690000000004</v>
      </c>
      <c r="AU1147" s="79"/>
      <c r="AV1147" s="79">
        <v>94.9</v>
      </c>
      <c r="AW1147" s="79"/>
      <c r="AX1147" s="79">
        <v>94.192149999999998</v>
      </c>
      <c r="AY1147" s="79">
        <v>105.8079</v>
      </c>
    </row>
    <row r="1148" spans="1:51" x14ac:dyDescent="0.2">
      <c r="A1148" t="s">
        <v>1693</v>
      </c>
      <c r="B1148" s="1">
        <v>41821</v>
      </c>
      <c r="C1148" s="78">
        <v>1148</v>
      </c>
      <c r="E1148" s="1">
        <f t="shared" si="34"/>
        <v>41821</v>
      </c>
      <c r="F1148" s="2">
        <f t="shared" si="35"/>
        <v>41821</v>
      </c>
      <c r="G1148" s="78">
        <v>1146</v>
      </c>
      <c r="H1148" s="79"/>
      <c r="I1148" s="79"/>
      <c r="J1148" s="79">
        <v>101.19159999999999</v>
      </c>
      <c r="K1148" s="79">
        <v>100.9872</v>
      </c>
      <c r="L1148" s="79"/>
      <c r="M1148" s="79">
        <v>95.484089999999995</v>
      </c>
      <c r="N1148" s="79">
        <v>100.8916</v>
      </c>
      <c r="O1148" s="79">
        <v>97.5</v>
      </c>
      <c r="P1148" s="79">
        <v>96.515079999999998</v>
      </c>
      <c r="Q1148" s="79"/>
      <c r="R1148" s="79">
        <v>101.3</v>
      </c>
      <c r="S1148" s="79">
        <v>100.3308</v>
      </c>
      <c r="T1148" s="79">
        <v>100.19029999999999</v>
      </c>
      <c r="U1148" s="79">
        <v>97.785920000000004</v>
      </c>
      <c r="V1148" s="79">
        <v>97.608130000000003</v>
      </c>
      <c r="W1148" s="79">
        <v>71.205070000000006</v>
      </c>
      <c r="X1148" s="79">
        <v>89.438130000000001</v>
      </c>
      <c r="Y1148" s="79">
        <v>97.892269999999996</v>
      </c>
      <c r="Z1148" s="79">
        <v>98.491789999999995</v>
      </c>
      <c r="AA1148" s="79">
        <v>100.3916</v>
      </c>
      <c r="AB1148" s="79">
        <v>102.82640000000001</v>
      </c>
      <c r="AC1148" s="79">
        <v>100.1917</v>
      </c>
      <c r="AD1148" s="79">
        <v>96.6</v>
      </c>
      <c r="AE1148" s="79">
        <v>108.9113</v>
      </c>
      <c r="AF1148" s="79">
        <v>102.6914</v>
      </c>
      <c r="AG1148" s="79">
        <v>97.866560000000007</v>
      </c>
      <c r="AH1148" s="79">
        <v>99.969859999999997</v>
      </c>
      <c r="AI1148" s="79">
        <v>96.3</v>
      </c>
      <c r="AJ1148" s="79">
        <v>98.437759999999997</v>
      </c>
      <c r="AK1148" s="79">
        <v>92.815470000000005</v>
      </c>
      <c r="AL1148" s="79">
        <v>96.608050000000006</v>
      </c>
      <c r="AM1148" s="79">
        <v>96</v>
      </c>
      <c r="AN1148" s="79"/>
      <c r="AO1148" s="79">
        <v>101.4449</v>
      </c>
      <c r="AP1148" s="79">
        <v>98.083659999999995</v>
      </c>
      <c r="AQ1148" s="79"/>
      <c r="AR1148" s="79"/>
      <c r="AS1148" s="79"/>
      <c r="AT1148" s="79">
        <v>98.775390000000002</v>
      </c>
      <c r="AU1148" s="79"/>
      <c r="AV1148" s="79">
        <v>94.7</v>
      </c>
      <c r="AW1148" s="79"/>
      <c r="AX1148" s="79">
        <v>96.491960000000006</v>
      </c>
      <c r="AY1148" s="79">
        <v>108.23009999999999</v>
      </c>
    </row>
    <row r="1149" spans="1:51" x14ac:dyDescent="0.2">
      <c r="A1149" t="s">
        <v>1694</v>
      </c>
      <c r="B1149" s="1">
        <v>41852</v>
      </c>
      <c r="C1149" s="78">
        <v>1149</v>
      </c>
      <c r="E1149" s="1">
        <f t="shared" si="34"/>
        <v>41852</v>
      </c>
      <c r="F1149" s="2">
        <f t="shared" si="35"/>
        <v>41852</v>
      </c>
      <c r="G1149" s="78">
        <v>1147</v>
      </c>
      <c r="H1149" s="79"/>
      <c r="I1149" s="79"/>
      <c r="J1149" s="79">
        <v>97.991839999999996</v>
      </c>
      <c r="K1149" s="79">
        <v>99.307900000000004</v>
      </c>
      <c r="L1149" s="79"/>
      <c r="M1149" s="79">
        <v>95.884020000000007</v>
      </c>
      <c r="N1149" s="79">
        <v>96.691940000000002</v>
      </c>
      <c r="O1149" s="79">
        <v>102.8</v>
      </c>
      <c r="P1149" s="79">
        <v>97.013080000000002</v>
      </c>
      <c r="Q1149" s="79"/>
      <c r="R1149" s="79">
        <v>101.9</v>
      </c>
      <c r="S1149" s="79">
        <v>98.360820000000004</v>
      </c>
      <c r="T1149" s="79">
        <v>99.463579999999993</v>
      </c>
      <c r="U1149" s="79">
        <v>96.087900000000005</v>
      </c>
      <c r="V1149" s="79">
        <v>91.907660000000007</v>
      </c>
      <c r="W1149" s="79">
        <v>74.92286</v>
      </c>
      <c r="X1149" s="79">
        <v>93.646690000000007</v>
      </c>
      <c r="Y1149" s="79">
        <v>98.079629999999995</v>
      </c>
      <c r="Z1149" s="79">
        <v>97.39188</v>
      </c>
      <c r="AA1149" s="79">
        <v>99.491709999999998</v>
      </c>
      <c r="AB1149" s="79">
        <v>99.190730000000002</v>
      </c>
      <c r="AC1149" s="79">
        <v>98.491789999999995</v>
      </c>
      <c r="AD1149" s="79">
        <v>97</v>
      </c>
      <c r="AE1149" s="79">
        <v>109.0474</v>
      </c>
      <c r="AF1149" s="79">
        <v>102.9914</v>
      </c>
      <c r="AG1149" s="79">
        <v>98.681139999999999</v>
      </c>
      <c r="AH1149" s="79">
        <v>98.821730000000002</v>
      </c>
      <c r="AI1149" s="79">
        <v>95.2</v>
      </c>
      <c r="AJ1149" s="79">
        <v>96.917919999999995</v>
      </c>
      <c r="AK1149" s="79">
        <v>94.515749999999997</v>
      </c>
      <c r="AL1149" s="79">
        <v>95.007919999999999</v>
      </c>
      <c r="AM1149" s="79">
        <v>96.7</v>
      </c>
      <c r="AN1149" s="79"/>
      <c r="AO1149" s="79">
        <v>101.33240000000001</v>
      </c>
      <c r="AP1149" s="79">
        <v>96.383930000000007</v>
      </c>
      <c r="AQ1149" s="79"/>
      <c r="AR1149" s="79"/>
      <c r="AS1149" s="79"/>
      <c r="AT1149" s="79">
        <v>98.1233</v>
      </c>
      <c r="AU1149" s="79"/>
      <c r="AV1149" s="79">
        <v>94.8</v>
      </c>
      <c r="AW1149" s="79"/>
      <c r="AX1149" s="79">
        <v>91.792349999999999</v>
      </c>
      <c r="AY1149" s="79">
        <v>109.221</v>
      </c>
    </row>
    <row r="1150" spans="1:51" x14ac:dyDescent="0.2">
      <c r="A1150" t="s">
        <v>1695</v>
      </c>
      <c r="B1150" s="1">
        <v>41883</v>
      </c>
      <c r="C1150" s="78">
        <v>1150</v>
      </c>
      <c r="E1150" s="1">
        <f t="shared" si="34"/>
        <v>41883</v>
      </c>
      <c r="F1150" s="2">
        <f t="shared" si="35"/>
        <v>41883</v>
      </c>
      <c r="G1150" s="78">
        <v>1148</v>
      </c>
      <c r="H1150" s="79"/>
      <c r="I1150" s="79"/>
      <c r="J1150" s="79">
        <v>102.6914</v>
      </c>
      <c r="K1150" s="79">
        <v>101.21299999999999</v>
      </c>
      <c r="L1150" s="79"/>
      <c r="M1150" s="79">
        <v>97.383769999999998</v>
      </c>
      <c r="N1150" s="79">
        <v>99.091740000000001</v>
      </c>
      <c r="O1150" s="79">
        <v>101.3</v>
      </c>
      <c r="P1150" s="79">
        <v>97.34008</v>
      </c>
      <c r="Q1150" s="79"/>
      <c r="R1150" s="79">
        <v>100</v>
      </c>
      <c r="S1150" s="79">
        <v>99.120829999999998</v>
      </c>
      <c r="T1150" s="79">
        <v>99.982699999999994</v>
      </c>
      <c r="U1150" s="79">
        <v>97.186610000000002</v>
      </c>
      <c r="V1150" s="79">
        <v>94.107839999999996</v>
      </c>
      <c r="W1150" s="79">
        <v>73.410539999999997</v>
      </c>
      <c r="X1150" s="79">
        <v>96.768320000000003</v>
      </c>
      <c r="Y1150" s="79">
        <v>99.953159999999997</v>
      </c>
      <c r="Z1150" s="79">
        <v>97.991839999999996</v>
      </c>
      <c r="AA1150" s="79">
        <v>100.5916</v>
      </c>
      <c r="AB1150" s="79">
        <v>99.344719999999995</v>
      </c>
      <c r="AC1150" s="79">
        <v>99.891679999999994</v>
      </c>
      <c r="AD1150" s="79">
        <v>98.4</v>
      </c>
      <c r="AE1150" s="79">
        <v>109.2971</v>
      </c>
      <c r="AF1150" s="79">
        <v>101.2916</v>
      </c>
      <c r="AG1150" s="79">
        <v>102.5213</v>
      </c>
      <c r="AH1150" s="79">
        <v>99.681280000000001</v>
      </c>
      <c r="AI1150" s="79">
        <v>96.1</v>
      </c>
      <c r="AJ1150" s="79">
        <v>96.959879999999998</v>
      </c>
      <c r="AK1150" s="79">
        <v>93.615600000000001</v>
      </c>
      <c r="AL1150" s="79">
        <v>94.007840000000002</v>
      </c>
      <c r="AM1150" s="79">
        <v>95.1</v>
      </c>
      <c r="AN1150" s="79"/>
      <c r="AO1150" s="79">
        <v>101.6352</v>
      </c>
      <c r="AP1150" s="79">
        <v>97.383769999999998</v>
      </c>
      <c r="AQ1150" s="79"/>
      <c r="AR1150" s="79"/>
      <c r="AS1150" s="79"/>
      <c r="AT1150" s="79">
        <v>98.887439999999998</v>
      </c>
      <c r="AU1150" s="79"/>
      <c r="AV1150" s="79">
        <v>96.4</v>
      </c>
      <c r="AW1150" s="79"/>
      <c r="AX1150" s="79">
        <v>96.091999999999999</v>
      </c>
      <c r="AY1150" s="79">
        <v>109.33110000000001</v>
      </c>
    </row>
    <row r="1151" spans="1:51" x14ac:dyDescent="0.2">
      <c r="A1151" t="s">
        <v>1696</v>
      </c>
      <c r="B1151" s="1">
        <v>41913</v>
      </c>
      <c r="C1151" s="78">
        <v>1151</v>
      </c>
      <c r="E1151" s="1">
        <f t="shared" si="34"/>
        <v>41913</v>
      </c>
      <c r="F1151" s="2">
        <f t="shared" si="35"/>
        <v>41913</v>
      </c>
      <c r="G1151" s="78">
        <v>1149</v>
      </c>
      <c r="H1151" s="79"/>
      <c r="I1151" s="79"/>
      <c r="J1151" s="79">
        <v>99.791690000000003</v>
      </c>
      <c r="K1151" s="79">
        <v>102.0271</v>
      </c>
      <c r="L1151" s="79"/>
      <c r="M1151" s="79">
        <v>96.5839</v>
      </c>
      <c r="N1151" s="79">
        <v>99.291730000000001</v>
      </c>
      <c r="O1151" s="79">
        <v>100.4</v>
      </c>
      <c r="P1151" s="79">
        <v>96.845079999999996</v>
      </c>
      <c r="Q1151" s="79"/>
      <c r="R1151" s="79">
        <v>101.3</v>
      </c>
      <c r="S1151" s="79">
        <v>97.590810000000005</v>
      </c>
      <c r="T1151" s="79">
        <v>99.567400000000006</v>
      </c>
      <c r="U1151" s="79">
        <v>99.783580000000001</v>
      </c>
      <c r="V1151" s="79">
        <v>91.107590000000002</v>
      </c>
      <c r="W1151" s="79">
        <v>76.498189999999994</v>
      </c>
      <c r="X1151" s="79">
        <v>101.1724</v>
      </c>
      <c r="Y1151" s="79">
        <v>101.3583</v>
      </c>
      <c r="Z1151" s="79">
        <v>97.791849999999997</v>
      </c>
      <c r="AA1151" s="79">
        <v>100.5916</v>
      </c>
      <c r="AB1151" s="79">
        <v>97.960840000000005</v>
      </c>
      <c r="AC1151" s="79">
        <v>100.0917</v>
      </c>
      <c r="AD1151" s="79">
        <v>98.5</v>
      </c>
      <c r="AE1151" s="79">
        <v>109.3604</v>
      </c>
      <c r="AF1151" s="79">
        <v>100.1917</v>
      </c>
      <c r="AG1151" s="79">
        <v>103.1032</v>
      </c>
      <c r="AH1151" s="79">
        <v>99.54598</v>
      </c>
      <c r="AI1151" s="79">
        <v>96.2</v>
      </c>
      <c r="AJ1151" s="79">
        <v>98.861919999999998</v>
      </c>
      <c r="AK1151" s="79">
        <v>94.115679999999998</v>
      </c>
      <c r="AL1151" s="79">
        <v>95.807980000000001</v>
      </c>
      <c r="AM1151" s="79">
        <v>95.8</v>
      </c>
      <c r="AN1151" s="79"/>
      <c r="AO1151" s="79">
        <v>101.6562</v>
      </c>
      <c r="AP1151" s="79">
        <v>97.083820000000003</v>
      </c>
      <c r="AQ1151" s="79"/>
      <c r="AR1151" s="79"/>
      <c r="AS1151" s="79"/>
      <c r="AT1151" s="79">
        <v>94.64855</v>
      </c>
      <c r="AU1151" s="79"/>
      <c r="AV1151" s="79">
        <v>97.6</v>
      </c>
      <c r="AW1151" s="79"/>
      <c r="AX1151" s="79">
        <v>94.892089999999996</v>
      </c>
      <c r="AY1151" s="79">
        <v>109.7715</v>
      </c>
    </row>
    <row r="1152" spans="1:51" x14ac:dyDescent="0.2">
      <c r="A1152" t="s">
        <v>1697</v>
      </c>
      <c r="B1152" s="1">
        <v>41944</v>
      </c>
      <c r="C1152" s="78">
        <v>1152</v>
      </c>
      <c r="E1152" s="1">
        <f t="shared" si="34"/>
        <v>41944</v>
      </c>
      <c r="F1152" s="2">
        <f t="shared" si="35"/>
        <v>41944</v>
      </c>
      <c r="G1152" s="78">
        <v>1150</v>
      </c>
      <c r="H1152" s="79"/>
      <c r="I1152" s="79"/>
      <c r="J1152" s="79">
        <v>98.991749999999996</v>
      </c>
      <c r="K1152" s="79">
        <v>101.65819999999999</v>
      </c>
      <c r="L1152" s="79"/>
      <c r="M1152" s="79">
        <v>97.683719999999994</v>
      </c>
      <c r="N1152" s="79">
        <v>99.391720000000007</v>
      </c>
      <c r="O1152" s="79">
        <v>100.1</v>
      </c>
      <c r="P1152" s="79">
        <v>96.495080000000002</v>
      </c>
      <c r="Q1152" s="79"/>
      <c r="R1152" s="79">
        <v>100.5</v>
      </c>
      <c r="S1152" s="79">
        <v>96.670810000000003</v>
      </c>
      <c r="T1152" s="79">
        <v>99.671229999999994</v>
      </c>
      <c r="U1152" s="79">
        <v>99.384050000000002</v>
      </c>
      <c r="V1152" s="79">
        <v>95.40795</v>
      </c>
      <c r="W1152" s="79">
        <v>75.99409</v>
      </c>
      <c r="X1152" s="79">
        <v>99.588359999999994</v>
      </c>
      <c r="Y1152" s="79">
        <v>100.9836</v>
      </c>
      <c r="Z1152" s="79">
        <v>97.791849999999997</v>
      </c>
      <c r="AA1152" s="79">
        <v>100.5916</v>
      </c>
      <c r="AB1152" s="79">
        <v>98.296809999999994</v>
      </c>
      <c r="AC1152" s="79">
        <v>99.791690000000003</v>
      </c>
      <c r="AD1152" s="79">
        <v>96.3</v>
      </c>
      <c r="AE1152" s="79">
        <v>109.55719999999999</v>
      </c>
      <c r="AF1152" s="79">
        <v>100.69159999999999</v>
      </c>
      <c r="AG1152" s="79">
        <v>100.65940000000001</v>
      </c>
      <c r="AH1152" s="79">
        <v>99.772949999999994</v>
      </c>
      <c r="AI1152" s="79">
        <v>96.3</v>
      </c>
      <c r="AJ1152" s="79">
        <v>97.751339999999999</v>
      </c>
      <c r="AK1152" s="79">
        <v>94.215710000000001</v>
      </c>
      <c r="AL1152" s="79">
        <v>96.007999999999996</v>
      </c>
      <c r="AM1152" s="79">
        <v>95.3</v>
      </c>
      <c r="AN1152" s="79"/>
      <c r="AO1152" s="79">
        <v>102.4512</v>
      </c>
      <c r="AP1152" s="79">
        <v>96.783869999999993</v>
      </c>
      <c r="AQ1152" s="79"/>
      <c r="AR1152" s="79"/>
      <c r="AS1152" s="79"/>
      <c r="AT1152" s="79">
        <v>101.4331</v>
      </c>
      <c r="AU1152" s="79"/>
      <c r="AV1152" s="79">
        <v>97.7</v>
      </c>
      <c r="AW1152" s="79"/>
      <c r="AX1152" s="79">
        <v>95.692019999999999</v>
      </c>
      <c r="AY1152" s="79">
        <v>108.5604</v>
      </c>
    </row>
    <row r="1153" spans="1:51" x14ac:dyDescent="0.2">
      <c r="A1153" t="s">
        <v>1698</v>
      </c>
      <c r="B1153" s="1">
        <v>41974</v>
      </c>
      <c r="C1153" s="78">
        <v>1153</v>
      </c>
      <c r="E1153" s="1">
        <f t="shared" si="34"/>
        <v>41974</v>
      </c>
      <c r="F1153" s="2">
        <f t="shared" si="35"/>
        <v>41974</v>
      </c>
      <c r="G1153" s="78">
        <v>1151</v>
      </c>
      <c r="H1153" s="79"/>
      <c r="I1153" s="79"/>
      <c r="J1153" s="79">
        <v>99.391720000000007</v>
      </c>
      <c r="K1153" s="79">
        <v>102.06959999999999</v>
      </c>
      <c r="L1153" s="79"/>
      <c r="M1153" s="79">
        <v>99.083489999999998</v>
      </c>
      <c r="N1153" s="79">
        <v>101.0916</v>
      </c>
      <c r="O1153" s="79">
        <v>100.2</v>
      </c>
      <c r="P1153" s="79">
        <v>96.832080000000005</v>
      </c>
      <c r="Q1153" s="79"/>
      <c r="R1153" s="79">
        <v>98.6</v>
      </c>
      <c r="S1153" s="79">
        <v>99.350830000000002</v>
      </c>
      <c r="T1153" s="79">
        <v>99.878870000000006</v>
      </c>
      <c r="U1153" s="79">
        <v>96.687190000000001</v>
      </c>
      <c r="V1153" s="79">
        <v>93.307779999999994</v>
      </c>
      <c r="W1153" s="79">
        <v>70.133840000000006</v>
      </c>
      <c r="X1153" s="79">
        <v>98.477590000000006</v>
      </c>
      <c r="Y1153" s="79">
        <v>99.016400000000004</v>
      </c>
      <c r="Z1153" s="79">
        <v>98.79177</v>
      </c>
      <c r="AA1153" s="79">
        <v>100.1917</v>
      </c>
      <c r="AB1153" s="79">
        <v>101.2256</v>
      </c>
      <c r="AC1153" s="79">
        <v>100.8916</v>
      </c>
      <c r="AD1153" s="79">
        <v>97.2</v>
      </c>
      <c r="AE1153" s="79">
        <v>109.5996</v>
      </c>
      <c r="AF1153" s="79">
        <v>100.7916</v>
      </c>
      <c r="AG1153" s="79">
        <v>101.35760000000001</v>
      </c>
      <c r="AH1153" s="79">
        <v>100.2133</v>
      </c>
      <c r="AI1153" s="79">
        <v>97.8</v>
      </c>
      <c r="AJ1153" s="79">
        <v>97.356710000000007</v>
      </c>
      <c r="AK1153" s="79">
        <v>96.516080000000002</v>
      </c>
      <c r="AL1153" s="79">
        <v>96.508039999999994</v>
      </c>
      <c r="AM1153" s="79">
        <v>98.7</v>
      </c>
      <c r="AN1153" s="79"/>
      <c r="AO1153" s="79">
        <v>102.30240000000001</v>
      </c>
      <c r="AP1153" s="79">
        <v>98.083659999999995</v>
      </c>
      <c r="AQ1153" s="79"/>
      <c r="AR1153" s="79"/>
      <c r="AS1153" s="79"/>
      <c r="AT1153" s="79">
        <v>98.653229999999994</v>
      </c>
      <c r="AU1153" s="79"/>
      <c r="AV1153" s="79">
        <v>100.6</v>
      </c>
      <c r="AW1153" s="79"/>
      <c r="AX1153" s="79">
        <v>95.592029999999994</v>
      </c>
      <c r="AY1153" s="79">
        <v>105.0372</v>
      </c>
    </row>
    <row r="1154" spans="1:51" x14ac:dyDescent="0.2">
      <c r="A1154" t="s">
        <v>1699</v>
      </c>
      <c r="B1154" s="1">
        <v>42005</v>
      </c>
      <c r="C1154" s="78">
        <v>1154</v>
      </c>
      <c r="E1154" s="1">
        <f t="shared" ref="E1154:E1217" si="36">B1154</f>
        <v>42005</v>
      </c>
      <c r="F1154" s="2">
        <f t="shared" ref="F1154:F1217" si="37">B1154</f>
        <v>42005</v>
      </c>
      <c r="G1154" s="78">
        <v>1152</v>
      </c>
      <c r="H1154" s="79"/>
      <c r="I1154" s="79"/>
      <c r="J1154" s="79">
        <v>101.2916</v>
      </c>
      <c r="K1154" s="79">
        <v>101.38630000000001</v>
      </c>
      <c r="L1154" s="79"/>
      <c r="M1154" s="79">
        <v>98.283619999999999</v>
      </c>
      <c r="N1154" s="79">
        <v>98.891760000000005</v>
      </c>
      <c r="O1154" s="79">
        <v>97.3</v>
      </c>
      <c r="P1154" s="79">
        <v>96.851079999999996</v>
      </c>
      <c r="Q1154" s="79"/>
      <c r="R1154" s="79">
        <v>97.4</v>
      </c>
      <c r="S1154" s="79">
        <v>99.510829999999999</v>
      </c>
      <c r="T1154" s="79">
        <v>99.359750000000005</v>
      </c>
      <c r="U1154" s="79">
        <v>97.985680000000002</v>
      </c>
      <c r="V1154" s="79">
        <v>97.608130000000003</v>
      </c>
      <c r="W1154" s="79">
        <v>78.206519999999998</v>
      </c>
      <c r="X1154" s="79">
        <v>99.280559999999994</v>
      </c>
      <c r="Y1154" s="79">
        <v>98.641689999999997</v>
      </c>
      <c r="Z1154" s="79">
        <v>98.291809999999998</v>
      </c>
      <c r="AA1154" s="79">
        <v>102.6914</v>
      </c>
      <c r="AB1154" s="79">
        <v>97.491870000000006</v>
      </c>
      <c r="AC1154" s="79">
        <v>100.0917</v>
      </c>
      <c r="AD1154" s="79">
        <v>96.6</v>
      </c>
      <c r="AE1154" s="79">
        <v>109.2765</v>
      </c>
      <c r="AF1154" s="79">
        <v>102.8914</v>
      </c>
      <c r="AG1154" s="79">
        <v>98.448409999999996</v>
      </c>
      <c r="AH1154" s="79">
        <v>99.887230000000002</v>
      </c>
      <c r="AI1154" s="79">
        <v>98.6</v>
      </c>
      <c r="AJ1154" s="79">
        <v>95.879199999999997</v>
      </c>
      <c r="AK1154" s="79">
        <v>97.916319999999999</v>
      </c>
      <c r="AL1154" s="79">
        <v>98.408199999999994</v>
      </c>
      <c r="AM1154" s="79">
        <v>94.7</v>
      </c>
      <c r="AN1154" s="79"/>
      <c r="AO1154" s="79">
        <v>101.7954</v>
      </c>
      <c r="AP1154" s="79">
        <v>97.783699999999996</v>
      </c>
      <c r="AQ1154" s="79"/>
      <c r="AR1154" s="79"/>
      <c r="AS1154" s="79"/>
      <c r="AT1154" s="79">
        <v>98.102779999999996</v>
      </c>
      <c r="AU1154" s="79"/>
      <c r="AV1154" s="79">
        <v>100.7</v>
      </c>
      <c r="AW1154" s="79"/>
      <c r="AX1154" s="79">
        <v>95.192070000000001</v>
      </c>
      <c r="AY1154" s="79">
        <v>105.6978</v>
      </c>
    </row>
    <row r="1155" spans="1:51" x14ac:dyDescent="0.2">
      <c r="A1155" t="s">
        <v>1700</v>
      </c>
      <c r="B1155" s="1">
        <v>42036</v>
      </c>
      <c r="C1155" s="78">
        <v>1155</v>
      </c>
      <c r="E1155" s="1">
        <f t="shared" si="36"/>
        <v>42036</v>
      </c>
      <c r="F1155" s="2">
        <f t="shared" si="37"/>
        <v>42036</v>
      </c>
      <c r="G1155" s="78">
        <v>1153</v>
      </c>
      <c r="H1155" s="79"/>
      <c r="I1155" s="79"/>
      <c r="J1155" s="79">
        <v>97.091909999999999</v>
      </c>
      <c r="K1155" s="79">
        <v>100.7461</v>
      </c>
      <c r="L1155" s="79"/>
      <c r="M1155" s="79">
        <v>98.883520000000004</v>
      </c>
      <c r="N1155" s="79">
        <v>99.391720000000007</v>
      </c>
      <c r="O1155" s="79">
        <v>98.5</v>
      </c>
      <c r="P1155" s="79">
        <v>98.272080000000003</v>
      </c>
      <c r="Q1155" s="79"/>
      <c r="R1155" s="79">
        <v>98.8</v>
      </c>
      <c r="S1155" s="79">
        <v>100.07080000000001</v>
      </c>
      <c r="T1155" s="79">
        <v>99.982699999999994</v>
      </c>
      <c r="U1155" s="79">
        <v>101.6814</v>
      </c>
      <c r="V1155" s="79">
        <v>96.508039999999994</v>
      </c>
      <c r="W1155" s="79">
        <v>109.1091</v>
      </c>
      <c r="X1155" s="79">
        <v>101.417</v>
      </c>
      <c r="Y1155" s="79">
        <v>100.9836</v>
      </c>
      <c r="Z1155" s="79">
        <v>99.191730000000007</v>
      </c>
      <c r="AA1155" s="79">
        <v>99.791690000000003</v>
      </c>
      <c r="AB1155" s="79">
        <v>100.49160000000001</v>
      </c>
      <c r="AC1155" s="79">
        <v>100.2916</v>
      </c>
      <c r="AD1155" s="79">
        <v>97</v>
      </c>
      <c r="AE1155" s="79">
        <v>109.59050000000001</v>
      </c>
      <c r="AF1155" s="79">
        <v>103.4914</v>
      </c>
      <c r="AG1155" s="79">
        <v>100.7758</v>
      </c>
      <c r="AH1155" s="79">
        <v>100.02379999999999</v>
      </c>
      <c r="AI1155" s="79">
        <v>99.2</v>
      </c>
      <c r="AJ1155" s="79">
        <v>97.799189999999996</v>
      </c>
      <c r="AK1155" s="79">
        <v>95.915989999999994</v>
      </c>
      <c r="AL1155" s="79">
        <v>97.008089999999996</v>
      </c>
      <c r="AM1155" s="79">
        <v>95.8</v>
      </c>
      <c r="AN1155" s="79"/>
      <c r="AO1155" s="79">
        <v>101.27849999999999</v>
      </c>
      <c r="AP1155" s="79">
        <v>100.1833</v>
      </c>
      <c r="AQ1155" s="79"/>
      <c r="AR1155" s="79"/>
      <c r="AS1155" s="79"/>
      <c r="AT1155" s="79">
        <v>98.943579999999997</v>
      </c>
      <c r="AU1155" s="79"/>
      <c r="AV1155" s="79">
        <v>99.8</v>
      </c>
      <c r="AW1155" s="79"/>
      <c r="AX1155" s="79">
        <v>95.192070000000001</v>
      </c>
      <c r="AY1155" s="79">
        <v>105.2574</v>
      </c>
    </row>
    <row r="1156" spans="1:51" x14ac:dyDescent="0.2">
      <c r="A1156" t="s">
        <v>1701</v>
      </c>
      <c r="B1156" s="1">
        <v>42064</v>
      </c>
      <c r="C1156" s="78">
        <v>1156</v>
      </c>
      <c r="E1156" s="1">
        <f t="shared" si="36"/>
        <v>42064</v>
      </c>
      <c r="F1156" s="2">
        <f t="shared" si="37"/>
        <v>42064</v>
      </c>
      <c r="G1156" s="78">
        <v>1154</v>
      </c>
      <c r="H1156" s="79"/>
      <c r="I1156" s="79"/>
      <c r="J1156" s="79">
        <v>100.2916</v>
      </c>
      <c r="K1156" s="79">
        <v>100.1431</v>
      </c>
      <c r="L1156" s="79"/>
      <c r="M1156" s="79">
        <v>99.18347</v>
      </c>
      <c r="N1156" s="79">
        <v>99.391720000000007</v>
      </c>
      <c r="O1156" s="79">
        <v>102.1</v>
      </c>
      <c r="P1156" s="79">
        <v>98.797079999999994</v>
      </c>
      <c r="Q1156" s="79"/>
      <c r="R1156" s="79">
        <v>100.8</v>
      </c>
      <c r="S1156" s="79">
        <v>99.820830000000001</v>
      </c>
      <c r="T1156" s="79">
        <v>100.5018</v>
      </c>
      <c r="U1156" s="79">
        <v>101.58150000000001</v>
      </c>
      <c r="V1156" s="79">
        <v>99.508290000000002</v>
      </c>
      <c r="W1156" s="79">
        <v>114.8096</v>
      </c>
      <c r="X1156" s="79">
        <v>103.5515</v>
      </c>
      <c r="Y1156" s="79">
        <v>99.953159999999997</v>
      </c>
      <c r="Z1156" s="79">
        <v>99.491709999999998</v>
      </c>
      <c r="AA1156" s="79">
        <v>99.291730000000001</v>
      </c>
      <c r="AB1156" s="79">
        <v>98.691770000000005</v>
      </c>
      <c r="AC1156" s="79">
        <v>99.691699999999997</v>
      </c>
      <c r="AD1156" s="79">
        <v>101.1</v>
      </c>
      <c r="AE1156" s="79">
        <v>109.6938</v>
      </c>
      <c r="AF1156" s="79">
        <v>100.7916</v>
      </c>
      <c r="AG1156" s="79">
        <v>102.1722</v>
      </c>
      <c r="AH1156" s="79">
        <v>100.07389999999999</v>
      </c>
      <c r="AI1156" s="79">
        <v>100.3</v>
      </c>
      <c r="AJ1156" s="79">
        <v>98.159180000000006</v>
      </c>
      <c r="AK1156" s="79">
        <v>99.016499999999994</v>
      </c>
      <c r="AL1156" s="79">
        <v>99.408289999999994</v>
      </c>
      <c r="AM1156" s="79">
        <v>96.3</v>
      </c>
      <c r="AN1156" s="79"/>
      <c r="AO1156" s="79">
        <v>100.9941</v>
      </c>
      <c r="AP1156" s="79">
        <v>100.6832</v>
      </c>
      <c r="AQ1156" s="79"/>
      <c r="AR1156" s="79"/>
      <c r="AS1156" s="79"/>
      <c r="AT1156" s="79">
        <v>98.172470000000004</v>
      </c>
      <c r="AU1156" s="79"/>
      <c r="AV1156" s="79">
        <v>99.6</v>
      </c>
      <c r="AW1156" s="79"/>
      <c r="AX1156" s="79">
        <v>99.091740000000001</v>
      </c>
      <c r="AY1156" s="79">
        <v>104.4866</v>
      </c>
    </row>
    <row r="1157" spans="1:51" x14ac:dyDescent="0.2">
      <c r="A1157" t="s">
        <v>1702</v>
      </c>
      <c r="B1157" s="1">
        <v>42095</v>
      </c>
      <c r="C1157" s="78">
        <v>1157</v>
      </c>
      <c r="E1157" s="1">
        <f t="shared" si="36"/>
        <v>42095</v>
      </c>
      <c r="F1157" s="2">
        <f t="shared" si="37"/>
        <v>42095</v>
      </c>
      <c r="G1157" s="78">
        <v>1155</v>
      </c>
      <c r="H1157" s="79"/>
      <c r="I1157" s="79"/>
      <c r="J1157" s="79">
        <v>101.6915</v>
      </c>
      <c r="K1157" s="79">
        <v>99.276060000000001</v>
      </c>
      <c r="L1157" s="79"/>
      <c r="M1157" s="79">
        <v>99.683390000000003</v>
      </c>
      <c r="N1157" s="79">
        <v>99.991669999999999</v>
      </c>
      <c r="O1157" s="79">
        <v>101.1</v>
      </c>
      <c r="P1157" s="79">
        <v>99.716080000000005</v>
      </c>
      <c r="Q1157" s="79"/>
      <c r="R1157" s="79">
        <v>100.2</v>
      </c>
      <c r="S1157" s="79">
        <v>99.360820000000004</v>
      </c>
      <c r="T1157" s="79">
        <v>100.70950000000001</v>
      </c>
      <c r="U1157" s="79">
        <v>100.6825</v>
      </c>
      <c r="V1157" s="79">
        <v>98.808239999999998</v>
      </c>
      <c r="W1157" s="79">
        <v>97.208100000000002</v>
      </c>
      <c r="X1157" s="79">
        <v>107.16630000000001</v>
      </c>
      <c r="Y1157" s="79">
        <v>98.360659999999996</v>
      </c>
      <c r="Z1157" s="79">
        <v>99.691699999999997</v>
      </c>
      <c r="AA1157" s="79">
        <v>99.691699999999997</v>
      </c>
      <c r="AB1157" s="79">
        <v>99.891679999999994</v>
      </c>
      <c r="AC1157" s="79">
        <v>100.1917</v>
      </c>
      <c r="AD1157" s="79">
        <v>102.5</v>
      </c>
      <c r="AE1157" s="79">
        <v>110.4537</v>
      </c>
      <c r="AF1157" s="79">
        <v>98.59178</v>
      </c>
      <c r="AG1157" s="79">
        <v>95.306439999999995</v>
      </c>
      <c r="AH1157" s="79">
        <v>99.832719999999995</v>
      </c>
      <c r="AI1157" s="79">
        <v>97.9</v>
      </c>
      <c r="AJ1157" s="79">
        <v>99.849170000000001</v>
      </c>
      <c r="AK1157" s="79">
        <v>97.916319999999999</v>
      </c>
      <c r="AL1157" s="79">
        <v>98.308189999999996</v>
      </c>
      <c r="AM1157" s="79">
        <v>100.5</v>
      </c>
      <c r="AN1157" s="79"/>
      <c r="AO1157" s="79">
        <v>100.3994</v>
      </c>
      <c r="AP1157" s="79">
        <v>99.783370000000005</v>
      </c>
      <c r="AQ1157" s="79"/>
      <c r="AR1157" s="79"/>
      <c r="AS1157" s="79"/>
      <c r="AT1157" s="79">
        <v>97.994900000000001</v>
      </c>
      <c r="AU1157" s="79"/>
      <c r="AV1157" s="79">
        <v>99.3</v>
      </c>
      <c r="AW1157" s="79"/>
      <c r="AX1157" s="79">
        <v>99.391720000000007</v>
      </c>
      <c r="AY1157" s="79">
        <v>102.3947</v>
      </c>
    </row>
    <row r="1158" spans="1:51" x14ac:dyDescent="0.2">
      <c r="A1158" t="s">
        <v>1703</v>
      </c>
      <c r="B1158" s="1">
        <v>42125</v>
      </c>
      <c r="C1158" s="78">
        <v>1158</v>
      </c>
      <c r="E1158" s="1">
        <f t="shared" si="36"/>
        <v>42125</v>
      </c>
      <c r="F1158" s="2">
        <f t="shared" si="37"/>
        <v>42125</v>
      </c>
      <c r="G1158" s="78">
        <v>1156</v>
      </c>
      <c r="H1158" s="79"/>
      <c r="I1158" s="79"/>
      <c r="J1158" s="79">
        <v>101.7915</v>
      </c>
      <c r="K1158" s="79">
        <v>98.354960000000005</v>
      </c>
      <c r="L1158" s="79"/>
      <c r="M1158" s="79">
        <v>99.883349999999993</v>
      </c>
      <c r="N1158" s="79">
        <v>100.0917</v>
      </c>
      <c r="O1158" s="79">
        <v>100.8</v>
      </c>
      <c r="P1158" s="79">
        <v>100.6871</v>
      </c>
      <c r="Q1158" s="79"/>
      <c r="R1158" s="79">
        <v>99.5</v>
      </c>
      <c r="S1158" s="79">
        <v>100.2808</v>
      </c>
      <c r="T1158" s="79">
        <v>100.6056</v>
      </c>
      <c r="U1158" s="79">
        <v>95.988010000000003</v>
      </c>
      <c r="V1158" s="79">
        <v>98.308189999999996</v>
      </c>
      <c r="W1158" s="79">
        <v>97.108090000000004</v>
      </c>
      <c r="X1158" s="79">
        <v>105.7428</v>
      </c>
      <c r="Y1158" s="79">
        <v>97.704920000000001</v>
      </c>
      <c r="Z1158" s="79">
        <v>100.49160000000001</v>
      </c>
      <c r="AA1158" s="79">
        <v>99.691699999999997</v>
      </c>
      <c r="AB1158" s="79">
        <v>97.991839999999996</v>
      </c>
      <c r="AC1158" s="79">
        <v>100.5916</v>
      </c>
      <c r="AD1158" s="79">
        <v>99.6</v>
      </c>
      <c r="AE1158" s="79">
        <v>108.96810000000001</v>
      </c>
      <c r="AF1158" s="79">
        <v>97.891850000000005</v>
      </c>
      <c r="AG1158" s="79">
        <v>99.030259999999998</v>
      </c>
      <c r="AH1158" s="79">
        <v>99.676699999999997</v>
      </c>
      <c r="AI1158" s="79">
        <v>99.1</v>
      </c>
      <c r="AJ1158" s="79">
        <v>100.08920000000001</v>
      </c>
      <c r="AK1158" s="79">
        <v>99.816640000000007</v>
      </c>
      <c r="AL1158" s="79">
        <v>99.708309999999997</v>
      </c>
      <c r="AM1158" s="79">
        <v>100.9</v>
      </c>
      <c r="AN1158" s="79"/>
      <c r="AO1158" s="79">
        <v>99.964259999999996</v>
      </c>
      <c r="AP1158" s="79">
        <v>99.983339999999998</v>
      </c>
      <c r="AQ1158" s="79"/>
      <c r="AR1158" s="79"/>
      <c r="AS1158" s="79"/>
      <c r="AT1158" s="79">
        <v>98.899090000000001</v>
      </c>
      <c r="AU1158" s="79"/>
      <c r="AV1158" s="79">
        <v>99.7</v>
      </c>
      <c r="AW1158" s="79"/>
      <c r="AX1158" s="79">
        <v>99.491709999999998</v>
      </c>
      <c r="AY1158" s="79">
        <v>101.51390000000001</v>
      </c>
    </row>
    <row r="1159" spans="1:51" x14ac:dyDescent="0.2">
      <c r="A1159" t="s">
        <v>1704</v>
      </c>
      <c r="B1159" s="1">
        <v>42156</v>
      </c>
      <c r="C1159" s="78">
        <v>1159</v>
      </c>
      <c r="E1159" s="1">
        <f t="shared" si="36"/>
        <v>42156</v>
      </c>
      <c r="F1159" s="2">
        <f t="shared" si="37"/>
        <v>42156</v>
      </c>
      <c r="G1159" s="78">
        <v>1157</v>
      </c>
      <c r="H1159" s="79"/>
      <c r="I1159" s="79"/>
      <c r="J1159" s="79">
        <v>98.091830000000002</v>
      </c>
      <c r="K1159" s="79">
        <v>99.156480000000002</v>
      </c>
      <c r="L1159" s="79"/>
      <c r="M1159" s="79">
        <v>99.983339999999998</v>
      </c>
      <c r="N1159" s="79">
        <v>99.991669999999999</v>
      </c>
      <c r="O1159" s="79">
        <v>105.2</v>
      </c>
      <c r="P1159" s="79">
        <v>101.1891</v>
      </c>
      <c r="Q1159" s="79"/>
      <c r="R1159" s="79">
        <v>101.4</v>
      </c>
      <c r="S1159" s="79">
        <v>100.1508</v>
      </c>
      <c r="T1159" s="79">
        <v>100.70950000000001</v>
      </c>
      <c r="U1159" s="79">
        <v>95.089070000000007</v>
      </c>
      <c r="V1159" s="79">
        <v>100.2084</v>
      </c>
      <c r="W1159" s="79">
        <v>101.8085</v>
      </c>
      <c r="X1159" s="79">
        <v>105.0269</v>
      </c>
      <c r="Y1159" s="79">
        <v>99.953159999999997</v>
      </c>
      <c r="Z1159" s="79">
        <v>99.991669999999999</v>
      </c>
      <c r="AA1159" s="79">
        <v>100.49160000000001</v>
      </c>
      <c r="AB1159" s="79">
        <v>99.991669999999999</v>
      </c>
      <c r="AC1159" s="79">
        <v>99.091740000000001</v>
      </c>
      <c r="AD1159" s="79">
        <v>98.9</v>
      </c>
      <c r="AE1159" s="79">
        <v>109.4337</v>
      </c>
      <c r="AF1159" s="79">
        <v>100.69159999999999</v>
      </c>
      <c r="AG1159" s="79">
        <v>102.5213</v>
      </c>
      <c r="AH1159" s="79">
        <v>100.00790000000001</v>
      </c>
      <c r="AI1159" s="79">
        <v>99.6</v>
      </c>
      <c r="AJ1159" s="79">
        <v>100.5992</v>
      </c>
      <c r="AK1159" s="79">
        <v>99.916659999999993</v>
      </c>
      <c r="AL1159" s="79">
        <v>100.4084</v>
      </c>
      <c r="AM1159" s="79">
        <v>100.6</v>
      </c>
      <c r="AN1159" s="79"/>
      <c r="AO1159" s="79">
        <v>99.621549999999999</v>
      </c>
      <c r="AP1159" s="79">
        <v>100.2833</v>
      </c>
      <c r="AQ1159" s="79"/>
      <c r="AR1159" s="79"/>
      <c r="AS1159" s="79"/>
      <c r="AT1159" s="79">
        <v>99.19999</v>
      </c>
      <c r="AU1159" s="79"/>
      <c r="AV1159" s="79">
        <v>99.8</v>
      </c>
      <c r="AW1159" s="79"/>
      <c r="AX1159" s="79">
        <v>100.3916</v>
      </c>
      <c r="AY1159" s="79">
        <v>100.41289999999999</v>
      </c>
    </row>
    <row r="1160" spans="1:51" x14ac:dyDescent="0.2">
      <c r="A1160" t="s">
        <v>1705</v>
      </c>
      <c r="B1160" s="1">
        <v>42186</v>
      </c>
      <c r="C1160" s="78">
        <v>1160</v>
      </c>
      <c r="E1160" s="1">
        <f t="shared" si="36"/>
        <v>42186</v>
      </c>
      <c r="F1160" s="2">
        <f t="shared" si="37"/>
        <v>42186</v>
      </c>
      <c r="G1160" s="78">
        <v>1158</v>
      </c>
      <c r="H1160" s="79"/>
      <c r="I1160" s="79"/>
      <c r="J1160" s="79">
        <v>98.79177</v>
      </c>
      <c r="K1160" s="79">
        <v>100.61750000000001</v>
      </c>
      <c r="L1160" s="79"/>
      <c r="M1160" s="79">
        <v>102.88290000000001</v>
      </c>
      <c r="N1160" s="79">
        <v>101.39149999999999</v>
      </c>
      <c r="O1160" s="79">
        <v>100.1</v>
      </c>
      <c r="P1160" s="79">
        <v>102.3001</v>
      </c>
      <c r="Q1160" s="79"/>
      <c r="R1160" s="79">
        <v>99.3</v>
      </c>
      <c r="S1160" s="79">
        <v>99.140820000000005</v>
      </c>
      <c r="T1160" s="79">
        <v>99.567400000000006</v>
      </c>
      <c r="U1160" s="79">
        <v>97.486270000000005</v>
      </c>
      <c r="V1160" s="79">
        <v>101.30840000000001</v>
      </c>
      <c r="W1160" s="79">
        <v>101.1084</v>
      </c>
      <c r="X1160" s="79">
        <v>100.22629999999999</v>
      </c>
      <c r="Y1160" s="79">
        <v>96.955510000000004</v>
      </c>
      <c r="Z1160" s="79">
        <v>100.99160000000001</v>
      </c>
      <c r="AA1160" s="79">
        <v>100.3916</v>
      </c>
      <c r="AB1160" s="79">
        <v>98.991749999999996</v>
      </c>
      <c r="AC1160" s="79">
        <v>98.691770000000005</v>
      </c>
      <c r="AD1160" s="79">
        <v>101.5</v>
      </c>
      <c r="AE1160" s="79">
        <v>109.8766</v>
      </c>
      <c r="AF1160" s="79">
        <v>100.49160000000001</v>
      </c>
      <c r="AG1160" s="79">
        <v>99.262990000000002</v>
      </c>
      <c r="AH1160" s="79">
        <v>100.3694</v>
      </c>
      <c r="AI1160" s="79">
        <v>100.7</v>
      </c>
      <c r="AJ1160" s="79">
        <v>103.4991</v>
      </c>
      <c r="AK1160" s="79">
        <v>103.71729999999999</v>
      </c>
      <c r="AL1160" s="79">
        <v>99.308269999999993</v>
      </c>
      <c r="AM1160" s="79">
        <v>97.9</v>
      </c>
      <c r="AN1160" s="79"/>
      <c r="AO1160" s="79">
        <v>100.2045</v>
      </c>
      <c r="AP1160" s="79">
        <v>100.8832</v>
      </c>
      <c r="AQ1160" s="79"/>
      <c r="AR1160" s="79"/>
      <c r="AS1160" s="79"/>
      <c r="AT1160" s="79">
        <v>100.0337</v>
      </c>
      <c r="AU1160" s="79"/>
      <c r="AV1160" s="79">
        <v>100.2</v>
      </c>
      <c r="AW1160" s="79"/>
      <c r="AX1160" s="79">
        <v>99.791690000000003</v>
      </c>
      <c r="AY1160" s="79">
        <v>98.541150000000002</v>
      </c>
    </row>
    <row r="1161" spans="1:51" x14ac:dyDescent="0.2">
      <c r="A1161" t="s">
        <v>1706</v>
      </c>
      <c r="B1161" s="1">
        <v>42217</v>
      </c>
      <c r="C1161" s="78">
        <v>1161</v>
      </c>
      <c r="E1161" s="1">
        <f t="shared" si="36"/>
        <v>42217</v>
      </c>
      <c r="F1161" s="2">
        <f t="shared" si="37"/>
        <v>42217</v>
      </c>
      <c r="G1161" s="78">
        <v>1159</v>
      </c>
      <c r="H1161" s="79"/>
      <c r="I1161" s="79"/>
      <c r="J1161" s="79">
        <v>97.991839999999996</v>
      </c>
      <c r="K1161" s="79">
        <v>101.70659999999999</v>
      </c>
      <c r="L1161" s="79"/>
      <c r="M1161" s="79">
        <v>100.6832</v>
      </c>
      <c r="N1161" s="79">
        <v>98.691770000000005</v>
      </c>
      <c r="O1161" s="79">
        <v>103.5</v>
      </c>
      <c r="P1161" s="79">
        <v>99.452079999999995</v>
      </c>
      <c r="Q1161" s="79"/>
      <c r="R1161" s="79">
        <v>100</v>
      </c>
      <c r="S1161" s="79">
        <v>99.960830000000001</v>
      </c>
      <c r="T1161" s="79">
        <v>99.878870000000006</v>
      </c>
      <c r="U1161" s="79">
        <v>100.7824</v>
      </c>
      <c r="V1161" s="79">
        <v>97.608130000000003</v>
      </c>
      <c r="W1161" s="79">
        <v>110.7092</v>
      </c>
      <c r="X1161" s="79">
        <v>96.249369999999999</v>
      </c>
      <c r="Y1161" s="79">
        <v>99.110069999999993</v>
      </c>
      <c r="Z1161" s="79">
        <v>98.891760000000005</v>
      </c>
      <c r="AA1161" s="79">
        <v>98.79177</v>
      </c>
      <c r="AB1161" s="79">
        <v>101.5915</v>
      </c>
      <c r="AC1161" s="79">
        <v>101.39149999999999</v>
      </c>
      <c r="AD1161" s="79">
        <v>101.5</v>
      </c>
      <c r="AE1161" s="79">
        <v>110.3098</v>
      </c>
      <c r="AF1161" s="79">
        <v>96.991919999999993</v>
      </c>
      <c r="AG1161" s="79">
        <v>102.05589999999999</v>
      </c>
      <c r="AH1161" s="79">
        <v>100.0796</v>
      </c>
      <c r="AI1161" s="79">
        <v>98.5</v>
      </c>
      <c r="AJ1161" s="79">
        <v>98.259180000000001</v>
      </c>
      <c r="AK1161" s="79">
        <v>96.716120000000004</v>
      </c>
      <c r="AL1161" s="79">
        <v>99.808319999999995</v>
      </c>
      <c r="AM1161" s="79">
        <v>104</v>
      </c>
      <c r="AN1161" s="79"/>
      <c r="AO1161" s="79">
        <v>100.0487</v>
      </c>
      <c r="AP1161" s="79">
        <v>99.883349999999993</v>
      </c>
      <c r="AQ1161" s="79"/>
      <c r="AR1161" s="79"/>
      <c r="AS1161" s="79"/>
      <c r="AT1161" s="79">
        <v>101.44119999999999</v>
      </c>
      <c r="AU1161" s="79"/>
      <c r="AV1161" s="79">
        <v>100.8</v>
      </c>
      <c r="AW1161" s="79"/>
      <c r="AX1161" s="79">
        <v>102.5915</v>
      </c>
      <c r="AY1161" s="79">
        <v>99.421970000000002</v>
      </c>
    </row>
    <row r="1162" spans="1:51" x14ac:dyDescent="0.2">
      <c r="A1162" t="s">
        <v>1707</v>
      </c>
      <c r="B1162" s="1">
        <v>42248</v>
      </c>
      <c r="C1162" s="78">
        <v>1162</v>
      </c>
      <c r="E1162" s="1">
        <f t="shared" si="36"/>
        <v>42248</v>
      </c>
      <c r="F1162" s="2">
        <f t="shared" si="37"/>
        <v>42248</v>
      </c>
      <c r="G1162" s="78">
        <v>1160</v>
      </c>
      <c r="H1162" s="79"/>
      <c r="I1162" s="79"/>
      <c r="J1162" s="79">
        <v>101.19159999999999</v>
      </c>
      <c r="K1162" s="79">
        <v>99.55001</v>
      </c>
      <c r="L1162" s="79"/>
      <c r="M1162" s="79">
        <v>99.783370000000005</v>
      </c>
      <c r="N1162" s="79">
        <v>99.291730000000001</v>
      </c>
      <c r="O1162" s="79">
        <v>99.8</v>
      </c>
      <c r="P1162" s="79">
        <v>101.2561</v>
      </c>
      <c r="Q1162" s="79"/>
      <c r="R1162" s="79">
        <v>101.6</v>
      </c>
      <c r="S1162" s="79">
        <v>101.1508</v>
      </c>
      <c r="T1162" s="79">
        <v>100.5018</v>
      </c>
      <c r="U1162" s="79">
        <v>100.38290000000001</v>
      </c>
      <c r="V1162" s="79">
        <v>101.5085</v>
      </c>
      <c r="W1162" s="79">
        <v>99.508290000000002</v>
      </c>
      <c r="X1162" s="79">
        <v>93.741079999999997</v>
      </c>
      <c r="Y1162" s="79">
        <v>98.266980000000004</v>
      </c>
      <c r="Z1162" s="79">
        <v>99.891679999999994</v>
      </c>
      <c r="AA1162" s="79">
        <v>100.49160000000001</v>
      </c>
      <c r="AB1162" s="79">
        <v>103.09139999999999</v>
      </c>
      <c r="AC1162" s="79">
        <v>99.191730000000007</v>
      </c>
      <c r="AD1162" s="79">
        <v>100.8</v>
      </c>
      <c r="AE1162" s="79">
        <v>110.8694</v>
      </c>
      <c r="AF1162" s="79">
        <v>98.59178</v>
      </c>
      <c r="AG1162" s="79">
        <v>105.4306</v>
      </c>
      <c r="AH1162" s="79">
        <v>100.50920000000001</v>
      </c>
      <c r="AI1162" s="79">
        <v>100.7</v>
      </c>
      <c r="AJ1162" s="79">
        <v>101.4992</v>
      </c>
      <c r="AK1162" s="79">
        <v>101.917</v>
      </c>
      <c r="AL1162" s="79">
        <v>100.1083</v>
      </c>
      <c r="AM1162" s="79">
        <v>103.1</v>
      </c>
      <c r="AN1162" s="79"/>
      <c r="AO1162" s="79">
        <v>99.678600000000003</v>
      </c>
      <c r="AP1162" s="79">
        <v>100.1833</v>
      </c>
      <c r="AQ1162" s="79"/>
      <c r="AR1162" s="79"/>
      <c r="AS1162" s="79"/>
      <c r="AT1162" s="79">
        <v>100.7634</v>
      </c>
      <c r="AU1162" s="79"/>
      <c r="AV1162" s="79">
        <v>100.1</v>
      </c>
      <c r="AW1162" s="79"/>
      <c r="AX1162" s="79">
        <v>102.6914</v>
      </c>
      <c r="AY1162" s="79">
        <v>97.109830000000002</v>
      </c>
    </row>
    <row r="1163" spans="1:51" x14ac:dyDescent="0.2">
      <c r="A1163" t="s">
        <v>1708</v>
      </c>
      <c r="B1163" s="1">
        <v>42278</v>
      </c>
      <c r="C1163" s="78">
        <v>1163</v>
      </c>
      <c r="E1163" s="1">
        <f t="shared" si="36"/>
        <v>42278</v>
      </c>
      <c r="F1163" s="2">
        <f t="shared" si="37"/>
        <v>42278</v>
      </c>
      <c r="G1163" s="78">
        <v>1161</v>
      </c>
      <c r="H1163" s="79"/>
      <c r="I1163" s="79"/>
      <c r="J1163" s="79">
        <v>101.6915</v>
      </c>
      <c r="K1163" s="79">
        <v>99.326620000000005</v>
      </c>
      <c r="L1163" s="79"/>
      <c r="M1163" s="79">
        <v>102.18300000000001</v>
      </c>
      <c r="N1163" s="79">
        <v>100.1917</v>
      </c>
      <c r="O1163" s="79">
        <v>96.8</v>
      </c>
      <c r="P1163" s="79">
        <v>100.87909999999999</v>
      </c>
      <c r="Q1163" s="79"/>
      <c r="R1163" s="79">
        <v>99.9</v>
      </c>
      <c r="S1163" s="79">
        <v>101.5608</v>
      </c>
      <c r="T1163" s="79">
        <v>100.19029999999999</v>
      </c>
      <c r="U1163" s="79">
        <v>99.583820000000003</v>
      </c>
      <c r="V1163" s="79">
        <v>102.10850000000001</v>
      </c>
      <c r="W1163" s="79">
        <v>93.407780000000002</v>
      </c>
      <c r="X1163" s="79">
        <v>92.875559999999993</v>
      </c>
      <c r="Y1163" s="79">
        <v>98.454329999999999</v>
      </c>
      <c r="Z1163" s="79">
        <v>99.991669999999999</v>
      </c>
      <c r="AA1163" s="79">
        <v>100.5916</v>
      </c>
      <c r="AB1163" s="79">
        <v>101.2916</v>
      </c>
      <c r="AC1163" s="79">
        <v>100.3916</v>
      </c>
      <c r="AD1163" s="79">
        <v>100.7</v>
      </c>
      <c r="AE1163" s="79">
        <v>110.0128</v>
      </c>
      <c r="AF1163" s="79">
        <v>100.8916</v>
      </c>
      <c r="AG1163" s="79">
        <v>100.1939</v>
      </c>
      <c r="AH1163" s="79">
        <v>100.271</v>
      </c>
      <c r="AI1163" s="79">
        <v>101.5</v>
      </c>
      <c r="AJ1163" s="79">
        <v>104.23909999999999</v>
      </c>
      <c r="AK1163" s="79">
        <v>101.6169</v>
      </c>
      <c r="AL1163" s="79">
        <v>99.208269999999999</v>
      </c>
      <c r="AM1163" s="79">
        <v>102.9</v>
      </c>
      <c r="AN1163" s="79"/>
      <c r="AO1163" s="79">
        <v>99.31438</v>
      </c>
      <c r="AP1163" s="79">
        <v>100.2833</v>
      </c>
      <c r="AQ1163" s="79"/>
      <c r="AR1163" s="79"/>
      <c r="AS1163" s="79"/>
      <c r="AT1163" s="79">
        <v>103.6511</v>
      </c>
      <c r="AU1163" s="79"/>
      <c r="AV1163" s="79">
        <v>100.6</v>
      </c>
      <c r="AW1163" s="79"/>
      <c r="AX1163" s="79">
        <v>100.2916</v>
      </c>
      <c r="AY1163" s="79">
        <v>96.889629999999997</v>
      </c>
    </row>
    <row r="1164" spans="1:51" x14ac:dyDescent="0.2">
      <c r="A1164" t="s">
        <v>1709</v>
      </c>
      <c r="B1164" s="1">
        <v>42309</v>
      </c>
      <c r="C1164" s="78">
        <v>1164</v>
      </c>
      <c r="E1164" s="1">
        <f t="shared" si="36"/>
        <v>42309</v>
      </c>
      <c r="F1164" s="2">
        <f t="shared" si="37"/>
        <v>42309</v>
      </c>
      <c r="G1164" s="78">
        <v>1162</v>
      </c>
      <c r="H1164" s="79"/>
      <c r="I1164" s="79"/>
      <c r="J1164" s="79">
        <v>100.7916</v>
      </c>
      <c r="K1164" s="79">
        <v>99.645520000000005</v>
      </c>
      <c r="L1164" s="79"/>
      <c r="M1164" s="79">
        <v>99.883349999999993</v>
      </c>
      <c r="N1164" s="79">
        <v>99.291730000000001</v>
      </c>
      <c r="O1164" s="79">
        <v>95.6</v>
      </c>
      <c r="P1164" s="79">
        <v>100.2771</v>
      </c>
      <c r="Q1164" s="79"/>
      <c r="R1164" s="79">
        <v>98.7</v>
      </c>
      <c r="S1164" s="79">
        <v>99.360820000000004</v>
      </c>
      <c r="T1164" s="79">
        <v>99.255930000000006</v>
      </c>
      <c r="U1164" s="79">
        <v>102.88</v>
      </c>
      <c r="V1164" s="79">
        <v>101.5085</v>
      </c>
      <c r="W1164" s="79">
        <v>95.207930000000005</v>
      </c>
      <c r="X1164" s="79">
        <v>95.571330000000003</v>
      </c>
      <c r="Y1164" s="79">
        <v>105.2927</v>
      </c>
      <c r="Z1164" s="79">
        <v>100.5916</v>
      </c>
      <c r="AA1164" s="79">
        <v>99.991669999999999</v>
      </c>
      <c r="AB1164" s="79">
        <v>100.3916</v>
      </c>
      <c r="AC1164" s="79">
        <v>101.2916</v>
      </c>
      <c r="AD1164" s="79">
        <v>100.4</v>
      </c>
      <c r="AE1164" s="79">
        <v>109.2308</v>
      </c>
      <c r="AF1164" s="79">
        <v>101.0916</v>
      </c>
      <c r="AG1164" s="79">
        <v>99.030259999999998</v>
      </c>
      <c r="AH1164" s="79">
        <v>99.818669999999997</v>
      </c>
      <c r="AI1164" s="79">
        <v>101.9</v>
      </c>
      <c r="AJ1164" s="79">
        <v>99.799170000000004</v>
      </c>
      <c r="AK1164" s="79">
        <v>103.3172</v>
      </c>
      <c r="AL1164" s="79">
        <v>100.30840000000001</v>
      </c>
      <c r="AM1164" s="79">
        <v>102.5</v>
      </c>
      <c r="AN1164" s="79"/>
      <c r="AO1164" s="79">
        <v>98.631450000000001</v>
      </c>
      <c r="AP1164" s="79">
        <v>99.783370000000005</v>
      </c>
      <c r="AQ1164" s="79"/>
      <c r="AR1164" s="79"/>
      <c r="AS1164" s="79"/>
      <c r="AT1164" s="79">
        <v>101.65009999999999</v>
      </c>
      <c r="AU1164" s="79"/>
      <c r="AV1164" s="79">
        <v>100.1</v>
      </c>
      <c r="AW1164" s="79"/>
      <c r="AX1164" s="79">
        <v>102.4915</v>
      </c>
      <c r="AY1164" s="79">
        <v>95.127989999999997</v>
      </c>
    </row>
    <row r="1165" spans="1:51" x14ac:dyDescent="0.2">
      <c r="A1165" t="s">
        <v>1710</v>
      </c>
      <c r="B1165" s="1">
        <v>42339</v>
      </c>
      <c r="C1165" s="78">
        <v>1165</v>
      </c>
      <c r="E1165" s="1">
        <f t="shared" si="36"/>
        <v>42339</v>
      </c>
      <c r="F1165" s="2">
        <f t="shared" si="37"/>
        <v>42339</v>
      </c>
      <c r="G1165" s="78">
        <v>1163</v>
      </c>
      <c r="H1165" s="79"/>
      <c r="I1165" s="79"/>
      <c r="J1165" s="79">
        <v>99.391720000000007</v>
      </c>
      <c r="K1165" s="79">
        <v>100.0907</v>
      </c>
      <c r="L1165" s="79"/>
      <c r="M1165" s="79">
        <v>99.383439999999993</v>
      </c>
      <c r="N1165" s="79">
        <v>100.0917</v>
      </c>
      <c r="O1165" s="79">
        <v>99.2</v>
      </c>
      <c r="P1165" s="79">
        <v>100.32510000000001</v>
      </c>
      <c r="Q1165" s="79"/>
      <c r="R1165" s="79">
        <v>102.4</v>
      </c>
      <c r="S1165" s="79">
        <v>99.650829999999999</v>
      </c>
      <c r="T1165" s="79">
        <v>98.632980000000003</v>
      </c>
      <c r="U1165" s="79">
        <v>105.87649999999999</v>
      </c>
      <c r="V1165" s="79">
        <v>100.7084</v>
      </c>
      <c r="W1165" s="79">
        <v>101.60850000000001</v>
      </c>
      <c r="X1165" s="79">
        <v>99.151250000000005</v>
      </c>
      <c r="Y1165" s="79">
        <v>101.63930000000001</v>
      </c>
      <c r="Z1165" s="79">
        <v>98.691770000000005</v>
      </c>
      <c r="AA1165" s="79">
        <v>98.091830000000002</v>
      </c>
      <c r="AB1165" s="79">
        <v>99.891679999999994</v>
      </c>
      <c r="AC1165" s="79">
        <v>98.891760000000005</v>
      </c>
      <c r="AD1165" s="79">
        <v>99.6</v>
      </c>
      <c r="AE1165" s="79">
        <v>109.74630000000001</v>
      </c>
      <c r="AF1165" s="79">
        <v>98.391800000000003</v>
      </c>
      <c r="AG1165" s="79">
        <v>98.913889999999995</v>
      </c>
      <c r="AH1165" s="79">
        <v>99.449879999999993</v>
      </c>
      <c r="AI1165" s="79">
        <v>102.1</v>
      </c>
      <c r="AJ1165" s="79">
        <v>100.3092</v>
      </c>
      <c r="AK1165" s="79">
        <v>102.117</v>
      </c>
      <c r="AL1165" s="79">
        <v>98.608220000000003</v>
      </c>
      <c r="AM1165" s="79">
        <v>100.8</v>
      </c>
      <c r="AN1165" s="79"/>
      <c r="AO1165" s="79">
        <v>98.069370000000006</v>
      </c>
      <c r="AP1165" s="79">
        <v>99.883349999999993</v>
      </c>
      <c r="AQ1165" s="79"/>
      <c r="AR1165" s="79"/>
      <c r="AS1165" s="79"/>
      <c r="AT1165" s="79">
        <v>102.12860000000001</v>
      </c>
      <c r="AU1165" s="79"/>
      <c r="AV1165" s="79">
        <v>99.7</v>
      </c>
      <c r="AW1165" s="79"/>
      <c r="AX1165" s="79">
        <v>103.2914</v>
      </c>
      <c r="AY1165" s="79">
        <v>93.36636</v>
      </c>
    </row>
    <row r="1166" spans="1:51" x14ac:dyDescent="0.2">
      <c r="A1166" t="s">
        <v>1711</v>
      </c>
      <c r="B1166" s="1">
        <v>42370</v>
      </c>
      <c r="C1166" s="78">
        <v>1166</v>
      </c>
      <c r="E1166" s="1">
        <f t="shared" si="36"/>
        <v>42370</v>
      </c>
      <c r="F1166" s="2">
        <f t="shared" si="37"/>
        <v>42370</v>
      </c>
      <c r="G1166" s="78">
        <v>1164</v>
      </c>
      <c r="H1166" s="79"/>
      <c r="I1166" s="79"/>
      <c r="J1166" s="79">
        <v>104.99120000000001</v>
      </c>
      <c r="K1166" s="79">
        <v>100.69799999999999</v>
      </c>
      <c r="L1166" s="79"/>
      <c r="M1166" s="79">
        <v>102.283</v>
      </c>
      <c r="N1166" s="79">
        <v>101.9915</v>
      </c>
      <c r="O1166" s="79">
        <v>104.6</v>
      </c>
      <c r="P1166" s="79">
        <v>101.9911</v>
      </c>
      <c r="Q1166" s="79"/>
      <c r="R1166" s="79">
        <v>100.4</v>
      </c>
      <c r="S1166" s="79">
        <v>101.71080000000001</v>
      </c>
      <c r="T1166" s="79">
        <v>99.463579999999993</v>
      </c>
      <c r="U1166" s="79">
        <v>102.0809</v>
      </c>
      <c r="V1166" s="79">
        <v>99.808319999999995</v>
      </c>
      <c r="W1166" s="79">
        <v>118.0098</v>
      </c>
      <c r="X1166" s="79">
        <v>94.680149999999998</v>
      </c>
      <c r="Y1166" s="79">
        <v>99.484780000000001</v>
      </c>
      <c r="Z1166" s="79">
        <v>101.6915</v>
      </c>
      <c r="AA1166" s="79">
        <v>100.2916</v>
      </c>
      <c r="AB1166" s="79">
        <v>98.691770000000005</v>
      </c>
      <c r="AC1166" s="79">
        <v>100.0917</v>
      </c>
      <c r="AD1166" s="79">
        <v>102.7</v>
      </c>
      <c r="AE1166" s="79">
        <v>110.083</v>
      </c>
      <c r="AF1166" s="79">
        <v>100.69159999999999</v>
      </c>
      <c r="AG1166" s="79">
        <v>99.495739999999998</v>
      </c>
      <c r="AH1166" s="79">
        <v>100.646</v>
      </c>
      <c r="AI1166" s="79">
        <v>101.9</v>
      </c>
      <c r="AJ1166" s="79">
        <v>100.64919999999999</v>
      </c>
      <c r="AK1166" s="79">
        <v>103.9173</v>
      </c>
      <c r="AL1166" s="79">
        <v>106.2088</v>
      </c>
      <c r="AM1166" s="79">
        <v>101.4</v>
      </c>
      <c r="AN1166" s="79"/>
      <c r="AO1166" s="79">
        <v>98.886859999999999</v>
      </c>
      <c r="AP1166" s="79">
        <v>102.88290000000001</v>
      </c>
      <c r="AQ1166" s="79"/>
      <c r="AR1166" s="79"/>
      <c r="AS1166" s="79"/>
      <c r="AT1166" s="79">
        <v>102.5269</v>
      </c>
      <c r="AU1166" s="79"/>
      <c r="AV1166" s="79">
        <v>99.9</v>
      </c>
      <c r="AW1166" s="79"/>
      <c r="AX1166" s="79">
        <v>102.5915</v>
      </c>
      <c r="AY1166" s="79">
        <v>94.797690000000003</v>
      </c>
    </row>
    <row r="1167" spans="1:51" x14ac:dyDescent="0.2">
      <c r="A1167" t="s">
        <v>1712</v>
      </c>
      <c r="B1167" s="1">
        <v>42401</v>
      </c>
      <c r="C1167" s="78">
        <v>1167</v>
      </c>
      <c r="E1167" s="1">
        <f t="shared" si="36"/>
        <v>42401</v>
      </c>
      <c r="F1167" s="2">
        <f t="shared" si="37"/>
        <v>42401</v>
      </c>
      <c r="G1167" s="78">
        <v>1165</v>
      </c>
      <c r="H1167" s="79"/>
      <c r="I1167" s="79"/>
      <c r="J1167" s="79">
        <v>101.89149999999999</v>
      </c>
      <c r="K1167" s="79">
        <v>99.773399999999995</v>
      </c>
      <c r="L1167" s="79"/>
      <c r="M1167" s="79">
        <v>102.9828</v>
      </c>
      <c r="N1167" s="79">
        <v>101.6915</v>
      </c>
      <c r="O1167" s="79">
        <v>100</v>
      </c>
      <c r="P1167" s="79">
        <v>100.8991</v>
      </c>
      <c r="Q1167" s="79"/>
      <c r="R1167" s="79">
        <v>102.4</v>
      </c>
      <c r="S1167" s="79">
        <v>100.60080000000001</v>
      </c>
      <c r="T1167" s="79">
        <v>98.944450000000003</v>
      </c>
      <c r="U1167" s="79">
        <v>98.385220000000004</v>
      </c>
      <c r="V1167" s="79">
        <v>98.108180000000004</v>
      </c>
      <c r="W1167" s="79">
        <v>94.107839999999996</v>
      </c>
      <c r="X1167" s="79">
        <v>90.758610000000004</v>
      </c>
      <c r="Y1167" s="79">
        <v>98.173299999999998</v>
      </c>
      <c r="Z1167" s="79">
        <v>100.49160000000001</v>
      </c>
      <c r="AA1167" s="79">
        <v>99.491709999999998</v>
      </c>
      <c r="AB1167" s="79">
        <v>101.19159999999999</v>
      </c>
      <c r="AC1167" s="79">
        <v>101.6915</v>
      </c>
      <c r="AD1167" s="79">
        <v>98.7</v>
      </c>
      <c r="AE1167" s="79">
        <v>110.0072</v>
      </c>
      <c r="AF1167" s="79">
        <v>101.4915</v>
      </c>
      <c r="AG1167" s="79">
        <v>99.495739999999998</v>
      </c>
      <c r="AH1167" s="79">
        <v>100.0578</v>
      </c>
      <c r="AI1167" s="79">
        <v>101.6</v>
      </c>
      <c r="AJ1167" s="79">
        <v>102.3092</v>
      </c>
      <c r="AK1167" s="79">
        <v>105.8176</v>
      </c>
      <c r="AL1167" s="79">
        <v>107.40900000000001</v>
      </c>
      <c r="AM1167" s="79">
        <v>101.5</v>
      </c>
      <c r="AN1167" s="79"/>
      <c r="AO1167" s="79">
        <v>98.185680000000005</v>
      </c>
      <c r="AP1167" s="79">
        <v>100.8832</v>
      </c>
      <c r="AQ1167" s="79"/>
      <c r="AR1167" s="79"/>
      <c r="AS1167" s="79"/>
      <c r="AT1167" s="79">
        <v>102.2902</v>
      </c>
      <c r="AU1167" s="79"/>
      <c r="AV1167" s="79">
        <v>99.7</v>
      </c>
      <c r="AW1167" s="79"/>
      <c r="AX1167" s="79">
        <v>103.6914</v>
      </c>
      <c r="AY1167" s="79">
        <v>93.586569999999995</v>
      </c>
    </row>
    <row r="1168" spans="1:51" x14ac:dyDescent="0.2">
      <c r="A1168" t="s">
        <v>1713</v>
      </c>
      <c r="B1168" s="1">
        <v>42430</v>
      </c>
      <c r="C1168" s="78">
        <v>1168</v>
      </c>
      <c r="E1168" s="1">
        <f t="shared" si="36"/>
        <v>42430</v>
      </c>
      <c r="F1168" s="2">
        <f t="shared" si="37"/>
        <v>42430</v>
      </c>
      <c r="G1168" s="78">
        <v>1166</v>
      </c>
      <c r="H1168" s="79"/>
      <c r="I1168" s="79"/>
      <c r="J1168" s="79">
        <v>103.6914</v>
      </c>
      <c r="K1168" s="79">
        <v>98.756780000000006</v>
      </c>
      <c r="L1168" s="79"/>
      <c r="M1168" s="79">
        <v>102.6829</v>
      </c>
      <c r="N1168" s="79">
        <v>100.49160000000001</v>
      </c>
      <c r="O1168" s="79">
        <v>103.6</v>
      </c>
      <c r="P1168" s="79">
        <v>102.2761</v>
      </c>
      <c r="Q1168" s="79"/>
      <c r="R1168" s="79">
        <v>100.3</v>
      </c>
      <c r="S1168" s="79">
        <v>100.1208</v>
      </c>
      <c r="T1168" s="79">
        <v>99.878870000000006</v>
      </c>
      <c r="U1168" s="79">
        <v>99.783580000000001</v>
      </c>
      <c r="V1168" s="79">
        <v>96.708060000000003</v>
      </c>
      <c r="W1168" s="79">
        <v>93.807820000000007</v>
      </c>
      <c r="X1168" s="79">
        <v>88.777770000000004</v>
      </c>
      <c r="Y1168" s="79">
        <v>100.8899</v>
      </c>
      <c r="Z1168" s="79">
        <v>100.5916</v>
      </c>
      <c r="AA1168" s="79">
        <v>99.891679999999994</v>
      </c>
      <c r="AB1168" s="79">
        <v>101.19159999999999</v>
      </c>
      <c r="AC1168" s="79">
        <v>102.39149999999999</v>
      </c>
      <c r="AD1168" s="79">
        <v>103.2</v>
      </c>
      <c r="AE1168" s="79">
        <v>109.59569999999999</v>
      </c>
      <c r="AF1168" s="79">
        <v>102.5915</v>
      </c>
      <c r="AG1168" s="79">
        <v>100.3103</v>
      </c>
      <c r="AH1168" s="79">
        <v>99.669520000000006</v>
      </c>
      <c r="AI1168" s="79">
        <v>100.4</v>
      </c>
      <c r="AJ1168" s="79">
        <v>100.4692</v>
      </c>
      <c r="AK1168" s="79">
        <v>99.916659999999993</v>
      </c>
      <c r="AL1168" s="79">
        <v>103.8086</v>
      </c>
      <c r="AM1168" s="79">
        <v>101.8</v>
      </c>
      <c r="AN1168" s="79"/>
      <c r="AO1168" s="79">
        <v>97.410550000000001</v>
      </c>
      <c r="AP1168" s="79">
        <v>100.4833</v>
      </c>
      <c r="AQ1168" s="79"/>
      <c r="AR1168" s="79"/>
      <c r="AS1168" s="79"/>
      <c r="AT1168" s="79">
        <v>103.06950000000001</v>
      </c>
      <c r="AU1168" s="79"/>
      <c r="AV1168" s="79">
        <v>100.8</v>
      </c>
      <c r="AW1168" s="79"/>
      <c r="AX1168" s="79">
        <v>102.5915</v>
      </c>
      <c r="AY1168" s="79">
        <v>94.137079999999997</v>
      </c>
    </row>
    <row r="1169" spans="1:51" x14ac:dyDescent="0.2">
      <c r="A1169" t="s">
        <v>1714</v>
      </c>
      <c r="B1169" s="1">
        <v>42461</v>
      </c>
      <c r="C1169" s="78">
        <v>1169</v>
      </c>
      <c r="E1169" s="1">
        <f t="shared" si="36"/>
        <v>42461</v>
      </c>
      <c r="F1169" s="2">
        <f t="shared" si="37"/>
        <v>42461</v>
      </c>
      <c r="G1169" s="78">
        <v>1167</v>
      </c>
      <c r="H1169" s="79"/>
      <c r="I1169" s="79"/>
      <c r="J1169" s="79">
        <v>105.49120000000001</v>
      </c>
      <c r="K1169" s="79">
        <v>99.012010000000004</v>
      </c>
      <c r="L1169" s="79"/>
      <c r="M1169" s="79">
        <v>102.6829</v>
      </c>
      <c r="N1169" s="79">
        <v>101.19159999999999</v>
      </c>
      <c r="O1169" s="79">
        <v>102</v>
      </c>
      <c r="P1169" s="79">
        <v>102.8321</v>
      </c>
      <c r="Q1169" s="79"/>
      <c r="R1169" s="79">
        <v>105.2</v>
      </c>
      <c r="S1169" s="79">
        <v>101.1708</v>
      </c>
      <c r="T1169" s="79">
        <v>102.7859</v>
      </c>
      <c r="U1169" s="79">
        <v>103.0797</v>
      </c>
      <c r="V1169" s="79">
        <v>102.10850000000001</v>
      </c>
      <c r="W1169" s="79">
        <v>95.607960000000006</v>
      </c>
      <c r="X1169" s="79">
        <v>87.590320000000006</v>
      </c>
      <c r="Y1169" s="79">
        <v>100.42149999999999</v>
      </c>
      <c r="Z1169" s="79">
        <v>102.1915</v>
      </c>
      <c r="AA1169" s="79">
        <v>99.191730000000007</v>
      </c>
      <c r="AB1169" s="79">
        <v>99.991669999999999</v>
      </c>
      <c r="AC1169" s="79">
        <v>98.59178</v>
      </c>
      <c r="AD1169" s="79">
        <v>102.8</v>
      </c>
      <c r="AE1169" s="79">
        <v>109.27930000000001</v>
      </c>
      <c r="AF1169" s="79">
        <v>102.1915</v>
      </c>
      <c r="AG1169" s="79">
        <v>100.65940000000001</v>
      </c>
      <c r="AH1169" s="79">
        <v>100.0219</v>
      </c>
      <c r="AI1169" s="79">
        <v>103.2</v>
      </c>
      <c r="AJ1169" s="79">
        <v>103.7991</v>
      </c>
      <c r="AK1169" s="79">
        <v>104.8175</v>
      </c>
      <c r="AL1169" s="79">
        <v>104.6087</v>
      </c>
      <c r="AM1169" s="79">
        <v>103.7</v>
      </c>
      <c r="AN1169" s="79"/>
      <c r="AO1169" s="79">
        <v>97.507760000000005</v>
      </c>
      <c r="AP1169" s="79">
        <v>101.5831</v>
      </c>
      <c r="AQ1169" s="79"/>
      <c r="AR1169" s="79"/>
      <c r="AS1169" s="79"/>
      <c r="AT1169" s="79">
        <v>104.10469999999999</v>
      </c>
      <c r="AU1169" s="79"/>
      <c r="AV1169" s="79">
        <v>100</v>
      </c>
      <c r="AW1169" s="79"/>
      <c r="AX1169" s="79">
        <v>102.7914</v>
      </c>
      <c r="AY1169" s="79">
        <v>94.026979999999995</v>
      </c>
    </row>
    <row r="1170" spans="1:51" x14ac:dyDescent="0.2">
      <c r="A1170" t="s">
        <v>1715</v>
      </c>
      <c r="B1170" s="1">
        <v>42491</v>
      </c>
      <c r="C1170" s="78">
        <v>1170</v>
      </c>
      <c r="E1170" s="1">
        <f t="shared" si="36"/>
        <v>42491</v>
      </c>
      <c r="F1170" s="2">
        <f t="shared" si="37"/>
        <v>42491</v>
      </c>
      <c r="G1170" s="78">
        <v>1168</v>
      </c>
      <c r="H1170" s="79"/>
      <c r="I1170" s="79"/>
      <c r="J1170" s="79">
        <v>101.4915</v>
      </c>
      <c r="K1170" s="79">
        <v>95.219229999999996</v>
      </c>
      <c r="L1170" s="79"/>
      <c r="M1170" s="79">
        <v>101.3831</v>
      </c>
      <c r="N1170" s="79">
        <v>99.291730000000001</v>
      </c>
      <c r="O1170" s="79">
        <v>103.3</v>
      </c>
      <c r="P1170" s="79">
        <v>100.19410000000001</v>
      </c>
      <c r="Q1170" s="79"/>
      <c r="R1170" s="79">
        <v>104</v>
      </c>
      <c r="S1170" s="79">
        <v>99.630830000000003</v>
      </c>
      <c r="T1170" s="79">
        <v>101.8515</v>
      </c>
      <c r="U1170" s="79">
        <v>100.7824</v>
      </c>
      <c r="V1170" s="79">
        <v>101.7085</v>
      </c>
      <c r="W1170" s="79">
        <v>98.408199999999994</v>
      </c>
      <c r="X1170" s="79">
        <v>89.613870000000006</v>
      </c>
      <c r="Y1170" s="79">
        <v>100.51519999999999</v>
      </c>
      <c r="Z1170" s="79">
        <v>100.49160000000001</v>
      </c>
      <c r="AA1170" s="79">
        <v>98.691770000000005</v>
      </c>
      <c r="AB1170" s="79">
        <v>103.1914</v>
      </c>
      <c r="AC1170" s="79">
        <v>99.491709999999998</v>
      </c>
      <c r="AD1170" s="79">
        <v>104.3</v>
      </c>
      <c r="AE1170" s="79">
        <v>109.3424</v>
      </c>
      <c r="AF1170" s="79">
        <v>100.3916</v>
      </c>
      <c r="AG1170" s="79">
        <v>100.7758</v>
      </c>
      <c r="AH1170" s="79">
        <v>99.529499999999999</v>
      </c>
      <c r="AI1170" s="79">
        <v>101.8</v>
      </c>
      <c r="AJ1170" s="79">
        <v>100.6092</v>
      </c>
      <c r="AK1170" s="79">
        <v>103.51730000000001</v>
      </c>
      <c r="AL1170" s="79">
        <v>105.4088</v>
      </c>
      <c r="AM1170" s="79">
        <v>99.7</v>
      </c>
      <c r="AN1170" s="79"/>
      <c r="AO1170" s="79">
        <v>97.424289999999999</v>
      </c>
      <c r="AP1170" s="79">
        <v>100.1833</v>
      </c>
      <c r="AQ1170" s="79"/>
      <c r="AR1170" s="79"/>
      <c r="AS1170" s="79"/>
      <c r="AT1170" s="79">
        <v>105.6444</v>
      </c>
      <c r="AU1170" s="79"/>
      <c r="AV1170" s="79">
        <v>100.2</v>
      </c>
      <c r="AW1170" s="79"/>
      <c r="AX1170" s="79">
        <v>104.4913</v>
      </c>
      <c r="AY1170" s="79">
        <v>94.467380000000006</v>
      </c>
    </row>
    <row r="1171" spans="1:51" x14ac:dyDescent="0.2">
      <c r="A1171" t="s">
        <v>1716</v>
      </c>
      <c r="B1171" s="1">
        <v>42522</v>
      </c>
      <c r="C1171" s="78">
        <v>1171</v>
      </c>
      <c r="E1171" s="1">
        <f t="shared" si="36"/>
        <v>42522</v>
      </c>
      <c r="F1171" s="2">
        <f t="shared" si="37"/>
        <v>42522</v>
      </c>
      <c r="G1171" s="78">
        <v>1169</v>
      </c>
      <c r="H1171" s="79"/>
      <c r="I1171" s="79"/>
      <c r="J1171" s="79">
        <v>103.4914</v>
      </c>
      <c r="K1171" s="79">
        <v>97.696299999999994</v>
      </c>
      <c r="L1171" s="79"/>
      <c r="M1171" s="79">
        <v>104.2826</v>
      </c>
      <c r="N1171" s="79">
        <v>101.4915</v>
      </c>
      <c r="O1171" s="79">
        <v>101.9</v>
      </c>
      <c r="P1171" s="79">
        <v>100.7071</v>
      </c>
      <c r="Q1171" s="79"/>
      <c r="R1171" s="79">
        <v>105.2</v>
      </c>
      <c r="S1171" s="79">
        <v>99.270830000000004</v>
      </c>
      <c r="T1171" s="79">
        <v>101.2286</v>
      </c>
      <c r="U1171" s="79">
        <v>101.6814</v>
      </c>
      <c r="V1171" s="79">
        <v>99.908330000000007</v>
      </c>
      <c r="W1171" s="79">
        <v>101.2084</v>
      </c>
      <c r="X1171" s="79">
        <v>91.62724</v>
      </c>
      <c r="Y1171" s="79">
        <v>101.63930000000001</v>
      </c>
      <c r="Z1171" s="79">
        <v>99.391720000000007</v>
      </c>
      <c r="AA1171" s="79">
        <v>99.191730000000007</v>
      </c>
      <c r="AB1171" s="79">
        <v>103.2914</v>
      </c>
      <c r="AC1171" s="79">
        <v>99.791690000000003</v>
      </c>
      <c r="AD1171" s="79">
        <v>105.8</v>
      </c>
      <c r="AE1171" s="79">
        <v>109.53700000000001</v>
      </c>
      <c r="AF1171" s="79">
        <v>101.9915</v>
      </c>
      <c r="AG1171" s="79">
        <v>96.237399999999994</v>
      </c>
      <c r="AH1171" s="79">
        <v>100.0339</v>
      </c>
      <c r="AI1171" s="79">
        <v>102.8</v>
      </c>
      <c r="AJ1171" s="79">
        <v>102.4491</v>
      </c>
      <c r="AK1171" s="79">
        <v>104.31740000000001</v>
      </c>
      <c r="AL1171" s="79">
        <v>106.00879999999999</v>
      </c>
      <c r="AM1171" s="79">
        <v>97.8</v>
      </c>
      <c r="AN1171" s="79"/>
      <c r="AO1171" s="79">
        <v>97.851619999999997</v>
      </c>
      <c r="AP1171" s="79">
        <v>100.9832</v>
      </c>
      <c r="AQ1171" s="79"/>
      <c r="AR1171" s="79"/>
      <c r="AS1171" s="79"/>
      <c r="AT1171" s="79">
        <v>107.2974</v>
      </c>
      <c r="AU1171" s="79"/>
      <c r="AV1171" s="79">
        <v>100.7</v>
      </c>
      <c r="AW1171" s="79"/>
      <c r="AX1171" s="79">
        <v>103.9913</v>
      </c>
      <c r="AY1171" s="79">
        <v>93.36636</v>
      </c>
    </row>
    <row r="1172" spans="1:51" x14ac:dyDescent="0.2">
      <c r="A1172" t="s">
        <v>1717</v>
      </c>
      <c r="B1172" s="1">
        <v>42552</v>
      </c>
      <c r="C1172" s="78">
        <v>1172</v>
      </c>
      <c r="E1172" s="1">
        <f t="shared" si="36"/>
        <v>42552</v>
      </c>
      <c r="F1172" s="2">
        <f t="shared" si="37"/>
        <v>42552</v>
      </c>
      <c r="G1172" s="78">
        <v>1170</v>
      </c>
      <c r="H1172" s="79"/>
      <c r="I1172" s="79"/>
      <c r="J1172" s="79">
        <v>108.09099999999999</v>
      </c>
      <c r="K1172" s="79">
        <v>100.2574</v>
      </c>
      <c r="L1172" s="79"/>
      <c r="M1172" s="79">
        <v>101.48309999999999</v>
      </c>
      <c r="N1172" s="79">
        <v>99.991669999999999</v>
      </c>
      <c r="O1172" s="79">
        <v>107.7</v>
      </c>
      <c r="P1172" s="79">
        <v>101.0791</v>
      </c>
      <c r="Q1172" s="79"/>
      <c r="R1172" s="79">
        <v>106.5</v>
      </c>
      <c r="S1172" s="79">
        <v>99.130830000000003</v>
      </c>
      <c r="T1172" s="79">
        <v>101.0209</v>
      </c>
      <c r="U1172" s="79">
        <v>103.17959999999999</v>
      </c>
      <c r="V1172" s="79">
        <v>101.8085</v>
      </c>
      <c r="W1172" s="79">
        <v>103.8086</v>
      </c>
      <c r="X1172" s="79">
        <v>93.901340000000005</v>
      </c>
      <c r="Y1172" s="79">
        <v>99.765810000000002</v>
      </c>
      <c r="Z1172" s="79">
        <v>101.2916</v>
      </c>
      <c r="AA1172" s="79">
        <v>99.691699999999997</v>
      </c>
      <c r="AB1172" s="79">
        <v>102.2915</v>
      </c>
      <c r="AC1172" s="79">
        <v>100.1917</v>
      </c>
      <c r="AD1172" s="79">
        <v>104.3</v>
      </c>
      <c r="AE1172" s="79">
        <v>109.81359999999999</v>
      </c>
      <c r="AF1172" s="79">
        <v>100.49160000000001</v>
      </c>
      <c r="AG1172" s="79">
        <v>99.379360000000005</v>
      </c>
      <c r="AH1172" s="79">
        <v>99.835229999999996</v>
      </c>
      <c r="AI1172" s="79">
        <v>101.9</v>
      </c>
      <c r="AJ1172" s="79">
        <v>101.8092</v>
      </c>
      <c r="AK1172" s="79">
        <v>100.71680000000001</v>
      </c>
      <c r="AL1172" s="79">
        <v>107.509</v>
      </c>
      <c r="AM1172" s="79">
        <v>101.2</v>
      </c>
      <c r="AN1172" s="79"/>
      <c r="AO1172" s="79">
        <v>98.099239999999995</v>
      </c>
      <c r="AP1172" s="79">
        <v>101.08320000000001</v>
      </c>
      <c r="AQ1172" s="79"/>
      <c r="AR1172" s="79"/>
      <c r="AS1172" s="79"/>
      <c r="AT1172" s="79">
        <v>105.1467</v>
      </c>
      <c r="AU1172" s="79"/>
      <c r="AV1172" s="79">
        <v>101.7</v>
      </c>
      <c r="AW1172" s="79"/>
      <c r="AX1172" s="79">
        <v>97.691860000000005</v>
      </c>
      <c r="AY1172" s="79">
        <v>94.137079999999997</v>
      </c>
    </row>
    <row r="1173" spans="1:51" x14ac:dyDescent="0.2">
      <c r="A1173" t="s">
        <v>1718</v>
      </c>
      <c r="B1173" s="1">
        <v>42583</v>
      </c>
      <c r="C1173" s="78">
        <v>1173</v>
      </c>
      <c r="E1173" s="1">
        <f t="shared" si="36"/>
        <v>42583</v>
      </c>
      <c r="F1173" s="2">
        <f t="shared" si="37"/>
        <v>42583</v>
      </c>
      <c r="G1173" s="78">
        <v>1171</v>
      </c>
      <c r="H1173" s="79"/>
      <c r="I1173" s="79"/>
      <c r="J1173" s="79">
        <v>105.5912</v>
      </c>
      <c r="K1173" s="79">
        <v>100.6643</v>
      </c>
      <c r="L1173" s="79"/>
      <c r="M1173" s="79">
        <v>104.0826</v>
      </c>
      <c r="N1173" s="79">
        <v>101.5915</v>
      </c>
      <c r="O1173" s="79">
        <v>106.8</v>
      </c>
      <c r="P1173" s="79">
        <v>102.43210000000001</v>
      </c>
      <c r="Q1173" s="79"/>
      <c r="R1173" s="79">
        <v>103.7</v>
      </c>
      <c r="S1173" s="79">
        <v>101.0408</v>
      </c>
      <c r="T1173" s="79">
        <v>100.9171</v>
      </c>
      <c r="U1173" s="79">
        <v>103.0797</v>
      </c>
      <c r="V1173" s="79">
        <v>101.00839999999999</v>
      </c>
      <c r="W1173" s="79">
        <v>89.707470000000001</v>
      </c>
      <c r="X1173" s="79">
        <v>97.527280000000005</v>
      </c>
      <c r="Y1173" s="79">
        <v>99.484780000000001</v>
      </c>
      <c r="Z1173" s="79">
        <v>102.1915</v>
      </c>
      <c r="AA1173" s="79">
        <v>100.5916</v>
      </c>
      <c r="AB1173" s="79">
        <v>101.39149999999999</v>
      </c>
      <c r="AC1173" s="79">
        <v>97.691860000000005</v>
      </c>
      <c r="AD1173" s="79">
        <v>101.7</v>
      </c>
      <c r="AE1173" s="79">
        <v>109.4194</v>
      </c>
      <c r="AF1173" s="79">
        <v>99.391720000000007</v>
      </c>
      <c r="AG1173" s="79">
        <v>94.957329999999999</v>
      </c>
      <c r="AH1173" s="79">
        <v>100.4385</v>
      </c>
      <c r="AI1173" s="79">
        <v>103.1</v>
      </c>
      <c r="AJ1173" s="79">
        <v>103.2191</v>
      </c>
      <c r="AK1173" s="79">
        <v>108.4181</v>
      </c>
      <c r="AL1173" s="79">
        <v>107.0089</v>
      </c>
      <c r="AM1173" s="79">
        <v>98.7</v>
      </c>
      <c r="AN1173" s="79"/>
      <c r="AO1173" s="79">
        <v>98.011060000000001</v>
      </c>
      <c r="AP1173" s="79">
        <v>101.2831</v>
      </c>
      <c r="AQ1173" s="79"/>
      <c r="AR1173" s="79"/>
      <c r="AS1173" s="79"/>
      <c r="AT1173" s="79">
        <v>104.7563</v>
      </c>
      <c r="AU1173" s="79"/>
      <c r="AV1173" s="79">
        <v>101.7</v>
      </c>
      <c r="AW1173" s="79"/>
      <c r="AX1173" s="79">
        <v>104.99120000000001</v>
      </c>
      <c r="AY1173" s="79">
        <v>91.824939999999998</v>
      </c>
    </row>
    <row r="1174" spans="1:51" x14ac:dyDescent="0.2">
      <c r="A1174" t="s">
        <v>1719</v>
      </c>
      <c r="B1174" s="1">
        <v>42614</v>
      </c>
      <c r="C1174" s="78">
        <v>1174</v>
      </c>
      <c r="E1174" s="1">
        <f t="shared" si="36"/>
        <v>42614</v>
      </c>
      <c r="F1174" s="2">
        <f t="shared" si="37"/>
        <v>42614</v>
      </c>
      <c r="G1174" s="78">
        <v>1172</v>
      </c>
      <c r="H1174" s="79"/>
      <c r="I1174" s="79"/>
      <c r="J1174" s="79">
        <v>103.1914</v>
      </c>
      <c r="K1174" s="79">
        <v>101.8497</v>
      </c>
      <c r="L1174" s="79"/>
      <c r="M1174" s="79">
        <v>103.08280000000001</v>
      </c>
      <c r="N1174" s="79">
        <v>101.4915</v>
      </c>
      <c r="O1174" s="79">
        <v>93.8</v>
      </c>
      <c r="P1174" s="79">
        <v>101.8631</v>
      </c>
      <c r="Q1174" s="79"/>
      <c r="R1174" s="79">
        <v>105.5</v>
      </c>
      <c r="S1174" s="79">
        <v>100.02079999999999</v>
      </c>
      <c r="T1174" s="79">
        <v>101.4362</v>
      </c>
      <c r="U1174" s="79">
        <v>101.6814</v>
      </c>
      <c r="V1174" s="79">
        <v>99.208269999999999</v>
      </c>
      <c r="W1174" s="79">
        <v>96.808070000000001</v>
      </c>
      <c r="X1174" s="79">
        <v>92.278769999999994</v>
      </c>
      <c r="Y1174" s="79">
        <v>98.079629999999995</v>
      </c>
      <c r="Z1174" s="79">
        <v>101.9915</v>
      </c>
      <c r="AA1174" s="79">
        <v>100.99160000000001</v>
      </c>
      <c r="AB1174" s="79">
        <v>101.9915</v>
      </c>
      <c r="AC1174" s="79">
        <v>97.991839999999996</v>
      </c>
      <c r="AD1174" s="79">
        <v>103.7</v>
      </c>
      <c r="AE1174" s="79">
        <v>109.41679999999999</v>
      </c>
      <c r="AF1174" s="79">
        <v>99.291730000000001</v>
      </c>
      <c r="AG1174" s="79">
        <v>91.582620000000006</v>
      </c>
      <c r="AH1174" s="79">
        <v>100.34699999999999</v>
      </c>
      <c r="AI1174" s="79">
        <v>103.7</v>
      </c>
      <c r="AJ1174" s="79">
        <v>103.3591</v>
      </c>
      <c r="AK1174" s="79">
        <v>105.5176</v>
      </c>
      <c r="AL1174" s="79">
        <v>107.90900000000001</v>
      </c>
      <c r="AM1174" s="79">
        <v>105.5</v>
      </c>
      <c r="AN1174" s="79"/>
      <c r="AO1174" s="79">
        <v>98.017790000000005</v>
      </c>
      <c r="AP1174" s="79">
        <v>101.3831</v>
      </c>
      <c r="AQ1174" s="79"/>
      <c r="AR1174" s="79"/>
      <c r="AS1174" s="79"/>
      <c r="AT1174" s="79">
        <v>105.65900000000001</v>
      </c>
      <c r="AU1174" s="79"/>
      <c r="AV1174" s="79">
        <v>102.4</v>
      </c>
      <c r="AW1174" s="79"/>
      <c r="AX1174" s="79">
        <v>101.9915</v>
      </c>
      <c r="AY1174" s="79">
        <v>92.925960000000003</v>
      </c>
    </row>
    <row r="1175" spans="1:51" x14ac:dyDescent="0.2">
      <c r="A1175" t="s">
        <v>1720</v>
      </c>
      <c r="B1175" s="1">
        <v>42644</v>
      </c>
      <c r="C1175" s="78">
        <v>1175</v>
      </c>
      <c r="E1175" s="1">
        <f t="shared" si="36"/>
        <v>42644</v>
      </c>
      <c r="F1175" s="2">
        <f t="shared" si="37"/>
        <v>42644</v>
      </c>
      <c r="G1175" s="78">
        <v>1173</v>
      </c>
      <c r="H1175" s="79"/>
      <c r="I1175" s="79"/>
      <c r="J1175" s="79">
        <v>103.3914</v>
      </c>
      <c r="K1175" s="79">
        <v>101.3074</v>
      </c>
      <c r="L1175" s="79"/>
      <c r="M1175" s="79">
        <v>104.18259999999999</v>
      </c>
      <c r="N1175" s="79">
        <v>102.1915</v>
      </c>
      <c r="O1175" s="79">
        <v>108.6</v>
      </c>
      <c r="P1175" s="79">
        <v>102.0231</v>
      </c>
      <c r="Q1175" s="79"/>
      <c r="R1175" s="79">
        <v>106.4</v>
      </c>
      <c r="S1175" s="79">
        <v>99.660830000000004</v>
      </c>
      <c r="T1175" s="79">
        <v>100.19029999999999</v>
      </c>
      <c r="U1175" s="79">
        <v>105.57680000000001</v>
      </c>
      <c r="V1175" s="79">
        <v>99.908330000000007</v>
      </c>
      <c r="W1175" s="79">
        <v>110.7092</v>
      </c>
      <c r="X1175" s="79">
        <v>88.628069999999994</v>
      </c>
      <c r="Y1175" s="79">
        <v>96.580799999999996</v>
      </c>
      <c r="Z1175" s="79">
        <v>102.39149999999999</v>
      </c>
      <c r="AA1175" s="79">
        <v>101.0916</v>
      </c>
      <c r="AB1175" s="79">
        <v>100.3916</v>
      </c>
      <c r="AC1175" s="79">
        <v>98.391800000000003</v>
      </c>
      <c r="AD1175" s="79">
        <v>108.2</v>
      </c>
      <c r="AE1175" s="79">
        <v>109.7032</v>
      </c>
      <c r="AF1175" s="79">
        <v>100.3916</v>
      </c>
      <c r="AG1175" s="79">
        <v>101.0085</v>
      </c>
      <c r="AH1175" s="79">
        <v>100.8142</v>
      </c>
      <c r="AI1175" s="79">
        <v>102.3</v>
      </c>
      <c r="AJ1175" s="79">
        <v>101.2792</v>
      </c>
      <c r="AK1175" s="79">
        <v>106.1177</v>
      </c>
      <c r="AL1175" s="79">
        <v>108.009</v>
      </c>
      <c r="AM1175" s="79">
        <v>101.5</v>
      </c>
      <c r="AN1175" s="79"/>
      <c r="AO1175" s="79">
        <v>98.210660000000004</v>
      </c>
      <c r="AP1175" s="79">
        <v>102.4829</v>
      </c>
      <c r="AQ1175" s="79"/>
      <c r="AR1175" s="79"/>
      <c r="AS1175" s="79"/>
      <c r="AT1175" s="79">
        <v>108.5013</v>
      </c>
      <c r="AU1175" s="79"/>
      <c r="AV1175" s="79">
        <v>104</v>
      </c>
      <c r="AW1175" s="79"/>
      <c r="AX1175" s="79">
        <v>106.4911</v>
      </c>
      <c r="AY1175" s="79">
        <v>91.714839999999995</v>
      </c>
    </row>
    <row r="1176" spans="1:51" x14ac:dyDescent="0.2">
      <c r="A1176" t="s">
        <v>1721</v>
      </c>
      <c r="B1176" s="1">
        <v>42675</v>
      </c>
      <c r="C1176" s="78">
        <v>1176</v>
      </c>
      <c r="E1176" s="1">
        <f t="shared" si="36"/>
        <v>42675</v>
      </c>
      <c r="F1176" s="2">
        <f t="shared" si="37"/>
        <v>42675</v>
      </c>
      <c r="G1176" s="78">
        <v>1174</v>
      </c>
      <c r="H1176" s="79"/>
      <c r="I1176" s="79"/>
      <c r="J1176" s="79">
        <v>103.59139999999999</v>
      </c>
      <c r="K1176" s="79">
        <v>102.5795</v>
      </c>
      <c r="L1176" s="79"/>
      <c r="M1176" s="79">
        <v>104.7825</v>
      </c>
      <c r="N1176" s="79">
        <v>101.89149999999999</v>
      </c>
      <c r="O1176" s="79">
        <v>108.7</v>
      </c>
      <c r="P1176" s="79">
        <v>103.2381</v>
      </c>
      <c r="Q1176" s="79"/>
      <c r="R1176" s="79">
        <v>105.8</v>
      </c>
      <c r="S1176" s="79">
        <v>102.2509</v>
      </c>
      <c r="T1176" s="79">
        <v>101.74769999999999</v>
      </c>
      <c r="U1176" s="79">
        <v>105.1773</v>
      </c>
      <c r="V1176" s="79">
        <v>102.3085</v>
      </c>
      <c r="W1176" s="79">
        <v>102.5085</v>
      </c>
      <c r="X1176" s="79">
        <v>88.013210000000001</v>
      </c>
      <c r="Y1176" s="79">
        <v>100.51519999999999</v>
      </c>
      <c r="Z1176" s="79">
        <v>103.2914</v>
      </c>
      <c r="AA1176" s="79">
        <v>102.0915</v>
      </c>
      <c r="AB1176" s="79">
        <v>104.8913</v>
      </c>
      <c r="AC1176" s="79">
        <v>98.191820000000007</v>
      </c>
      <c r="AD1176" s="79">
        <v>110.9</v>
      </c>
      <c r="AE1176" s="79">
        <v>109.7816</v>
      </c>
      <c r="AF1176" s="79">
        <v>103.09139999999999</v>
      </c>
      <c r="AG1176" s="79">
        <v>100.4267</v>
      </c>
      <c r="AH1176" s="79">
        <v>101.4316</v>
      </c>
      <c r="AI1176" s="79">
        <v>104.6</v>
      </c>
      <c r="AJ1176" s="79">
        <v>103.1691</v>
      </c>
      <c r="AK1176" s="79">
        <v>106.7178</v>
      </c>
      <c r="AL1176" s="79">
        <v>108.40900000000001</v>
      </c>
      <c r="AM1176" s="79">
        <v>102.3</v>
      </c>
      <c r="AN1176" s="79"/>
      <c r="AO1176" s="79">
        <v>98.020669999999996</v>
      </c>
      <c r="AP1176" s="79">
        <v>102.7829</v>
      </c>
      <c r="AQ1176" s="79"/>
      <c r="AR1176" s="79"/>
      <c r="AS1176" s="79"/>
      <c r="AT1176" s="79">
        <v>106.20780000000001</v>
      </c>
      <c r="AU1176" s="79"/>
      <c r="AV1176" s="79">
        <v>104.9</v>
      </c>
      <c r="AW1176" s="79"/>
      <c r="AX1176" s="79">
        <v>105.69119999999999</v>
      </c>
      <c r="AY1176" s="79">
        <v>92.485550000000003</v>
      </c>
    </row>
    <row r="1177" spans="1:51" x14ac:dyDescent="0.2">
      <c r="A1177" t="s">
        <v>1722</v>
      </c>
      <c r="B1177" s="1">
        <v>42705</v>
      </c>
      <c r="C1177" s="78">
        <v>1177</v>
      </c>
      <c r="E1177" s="1">
        <f t="shared" si="36"/>
        <v>42705</v>
      </c>
      <c r="F1177" s="2">
        <f t="shared" si="37"/>
        <v>42705</v>
      </c>
      <c r="G1177" s="78">
        <v>1175</v>
      </c>
      <c r="H1177" s="79"/>
      <c r="I1177" s="79"/>
      <c r="J1177" s="79">
        <v>109.4909</v>
      </c>
      <c r="K1177" s="79">
        <v>102.80880000000001</v>
      </c>
      <c r="L1177" s="79"/>
      <c r="M1177" s="79">
        <v>104.18259999999999</v>
      </c>
      <c r="N1177" s="79">
        <v>100.2916</v>
      </c>
      <c r="O1177" s="79">
        <v>109.6</v>
      </c>
      <c r="P1177" s="79">
        <v>103.0231</v>
      </c>
      <c r="Q1177" s="79"/>
      <c r="R1177" s="79">
        <v>104.4</v>
      </c>
      <c r="S1177" s="79">
        <v>100.77079999999999</v>
      </c>
      <c r="T1177" s="79">
        <v>103.3051</v>
      </c>
      <c r="U1177" s="79">
        <v>107.07510000000001</v>
      </c>
      <c r="V1177" s="79">
        <v>102.4085</v>
      </c>
      <c r="W1177" s="79">
        <v>101.2084</v>
      </c>
      <c r="X1177" s="79">
        <v>88.600290000000001</v>
      </c>
      <c r="Y1177" s="79">
        <v>100.7962</v>
      </c>
      <c r="Z1177" s="79">
        <v>104.79130000000001</v>
      </c>
      <c r="AA1177" s="79">
        <v>101.4915</v>
      </c>
      <c r="AB1177" s="79">
        <v>104.1913</v>
      </c>
      <c r="AC1177" s="79">
        <v>101.9915</v>
      </c>
      <c r="AD1177" s="79">
        <v>110</v>
      </c>
      <c r="AE1177" s="79">
        <v>109.6382</v>
      </c>
      <c r="AF1177" s="79">
        <v>103.9913</v>
      </c>
      <c r="AG1177" s="79">
        <v>97.982929999999996</v>
      </c>
      <c r="AH1177" s="79">
        <v>101.5078</v>
      </c>
      <c r="AI1177" s="79">
        <v>106.5</v>
      </c>
      <c r="AJ1177" s="79">
        <v>104.6691</v>
      </c>
      <c r="AK1177" s="79">
        <v>106.21769999999999</v>
      </c>
      <c r="AL1177" s="79">
        <v>110.3092</v>
      </c>
      <c r="AM1177" s="79">
        <v>101.2</v>
      </c>
      <c r="AN1177" s="79"/>
      <c r="AO1177" s="79">
        <v>98.863420000000005</v>
      </c>
      <c r="AP1177" s="79">
        <v>102.38290000000001</v>
      </c>
      <c r="AQ1177" s="79"/>
      <c r="AR1177" s="79"/>
      <c r="AS1177" s="79"/>
      <c r="AT1177" s="79">
        <v>105.0059</v>
      </c>
      <c r="AU1177" s="79"/>
      <c r="AV1177" s="79">
        <v>104.4</v>
      </c>
      <c r="AW1177" s="79"/>
      <c r="AX1177" s="79">
        <v>104.99120000000001</v>
      </c>
      <c r="AY1177" s="79">
        <v>94.24718</v>
      </c>
    </row>
    <row r="1178" spans="1:51" x14ac:dyDescent="0.2">
      <c r="A1178" t="s">
        <v>1723</v>
      </c>
      <c r="B1178" s="1">
        <v>42736</v>
      </c>
      <c r="C1178" s="78">
        <v>1178</v>
      </c>
      <c r="E1178" s="1">
        <f t="shared" si="36"/>
        <v>42736</v>
      </c>
      <c r="F1178" s="2">
        <f t="shared" si="37"/>
        <v>42736</v>
      </c>
      <c r="G1178" s="78">
        <v>1176</v>
      </c>
      <c r="H1178" s="79"/>
      <c r="I1178" s="79"/>
      <c r="J1178" s="79">
        <v>102.9914</v>
      </c>
      <c r="K1178" s="79">
        <v>103.75</v>
      </c>
      <c r="L1178" s="79"/>
      <c r="M1178" s="79">
        <v>107.2821</v>
      </c>
      <c r="N1178" s="79">
        <v>101.7915</v>
      </c>
      <c r="O1178" s="79">
        <v>103.1</v>
      </c>
      <c r="P1178" s="79">
        <v>104.12909999999999</v>
      </c>
      <c r="Q1178" s="79"/>
      <c r="R1178" s="79">
        <v>107.5</v>
      </c>
      <c r="S1178" s="79">
        <v>101.38079999999999</v>
      </c>
      <c r="T1178" s="79">
        <v>103.4089</v>
      </c>
      <c r="U1178" s="79">
        <v>107.07510000000001</v>
      </c>
      <c r="V1178" s="79">
        <v>101.7085</v>
      </c>
      <c r="W1178" s="79">
        <v>98.808239999999998</v>
      </c>
      <c r="X1178" s="79">
        <v>86.844989999999996</v>
      </c>
      <c r="Y1178" s="79">
        <v>99.859480000000005</v>
      </c>
      <c r="Z1178" s="79">
        <v>101.9915</v>
      </c>
      <c r="AA1178" s="79">
        <v>100.69159999999999</v>
      </c>
      <c r="AB1178" s="79">
        <v>106.69110000000001</v>
      </c>
      <c r="AC1178" s="79">
        <v>97.59187</v>
      </c>
      <c r="AD1178" s="79">
        <v>109.5</v>
      </c>
      <c r="AE1178" s="79">
        <v>109.74039999999999</v>
      </c>
      <c r="AF1178" s="79">
        <v>101.19159999999999</v>
      </c>
      <c r="AG1178" s="79">
        <v>100.8922</v>
      </c>
      <c r="AH1178" s="79">
        <v>101.6636</v>
      </c>
      <c r="AI1178" s="79">
        <v>106.3</v>
      </c>
      <c r="AJ1178" s="79">
        <v>104.8091</v>
      </c>
      <c r="AK1178" s="79">
        <v>107.4179</v>
      </c>
      <c r="AL1178" s="79">
        <v>107.90900000000001</v>
      </c>
      <c r="AM1178" s="79">
        <v>103.6</v>
      </c>
      <c r="AN1178" s="79"/>
      <c r="AO1178" s="79">
        <v>98.967640000000003</v>
      </c>
      <c r="AP1178" s="79">
        <v>102.18300000000001</v>
      </c>
      <c r="AQ1178" s="79"/>
      <c r="AR1178" s="79"/>
      <c r="AS1178" s="79"/>
      <c r="AT1178" s="79">
        <v>105.9349</v>
      </c>
      <c r="AU1178" s="79"/>
      <c r="AV1178" s="79">
        <v>105.4</v>
      </c>
      <c r="AW1178" s="79"/>
      <c r="AX1178" s="79">
        <v>105.7912</v>
      </c>
      <c r="AY1178" s="79">
        <v>95.127989999999997</v>
      </c>
    </row>
    <row r="1179" spans="1:51" x14ac:dyDescent="0.2">
      <c r="A1179" t="s">
        <v>1724</v>
      </c>
      <c r="B1179" s="1">
        <v>42767</v>
      </c>
      <c r="C1179" s="78">
        <v>1179</v>
      </c>
      <c r="E1179" s="1">
        <f t="shared" si="36"/>
        <v>42767</v>
      </c>
      <c r="F1179" s="2">
        <f t="shared" si="37"/>
        <v>42767</v>
      </c>
      <c r="G1179" s="78">
        <v>1177</v>
      </c>
      <c r="H1179" s="79"/>
      <c r="I1179" s="79"/>
      <c r="J1179" s="79">
        <v>106.4911</v>
      </c>
      <c r="K1179" s="79">
        <v>103.197</v>
      </c>
      <c r="L1179" s="79"/>
      <c r="M1179" s="79">
        <v>107.88200000000001</v>
      </c>
      <c r="N1179" s="79">
        <v>102.7914</v>
      </c>
      <c r="O1179" s="79">
        <v>106.9</v>
      </c>
      <c r="P1179" s="79">
        <v>103.5271</v>
      </c>
      <c r="Q1179" s="79"/>
      <c r="R1179" s="79">
        <v>106.3</v>
      </c>
      <c r="S1179" s="79">
        <v>100.0908</v>
      </c>
      <c r="T1179" s="79">
        <v>102.163</v>
      </c>
      <c r="U1179" s="79">
        <v>108.67319999999999</v>
      </c>
      <c r="V1179" s="79">
        <v>104.8087</v>
      </c>
      <c r="W1179" s="79">
        <v>100.4084</v>
      </c>
      <c r="X1179" s="79">
        <v>86.163809999999998</v>
      </c>
      <c r="Y1179" s="79">
        <v>97.517560000000003</v>
      </c>
      <c r="Z1179" s="79">
        <v>103.1914</v>
      </c>
      <c r="AA1179" s="79">
        <v>101.39149999999999</v>
      </c>
      <c r="AB1179" s="79">
        <v>104.3913</v>
      </c>
      <c r="AC1179" s="79">
        <v>101.39149999999999</v>
      </c>
      <c r="AD1179" s="79">
        <v>110.8</v>
      </c>
      <c r="AE1179" s="79">
        <v>109.6186</v>
      </c>
      <c r="AF1179" s="79">
        <v>103.8913</v>
      </c>
      <c r="AG1179" s="79">
        <v>101.1249</v>
      </c>
      <c r="AH1179" s="79">
        <v>101.68859999999999</v>
      </c>
      <c r="AI1179" s="79">
        <v>106.4</v>
      </c>
      <c r="AJ1179" s="79">
        <v>103.1191</v>
      </c>
      <c r="AK1179" s="79">
        <v>106.81780000000001</v>
      </c>
      <c r="AL1179" s="79">
        <v>111.6093</v>
      </c>
      <c r="AM1179" s="79">
        <v>104.2</v>
      </c>
      <c r="AN1179" s="79"/>
      <c r="AO1179" s="79">
        <v>98.594279999999998</v>
      </c>
      <c r="AP1179" s="79">
        <v>102.88290000000001</v>
      </c>
      <c r="AQ1179" s="79"/>
      <c r="AR1179" s="79"/>
      <c r="AS1179" s="79"/>
      <c r="AT1179" s="79">
        <v>107.2531</v>
      </c>
      <c r="AU1179" s="79"/>
      <c r="AV1179" s="79">
        <v>104.5</v>
      </c>
      <c r="AW1179" s="79"/>
      <c r="AX1179" s="79">
        <v>107.59099999999999</v>
      </c>
      <c r="AY1179" s="79">
        <v>96.55932</v>
      </c>
    </row>
    <row r="1180" spans="1:51" x14ac:dyDescent="0.2">
      <c r="A1180" t="s">
        <v>1725</v>
      </c>
      <c r="B1180" s="1">
        <v>42795</v>
      </c>
      <c r="C1180" s="78">
        <v>1180</v>
      </c>
      <c r="E1180" s="1">
        <f t="shared" si="36"/>
        <v>42795</v>
      </c>
      <c r="F1180" s="2">
        <f t="shared" si="37"/>
        <v>42795</v>
      </c>
      <c r="G1180" s="78">
        <v>1178</v>
      </c>
      <c r="H1180" s="79"/>
      <c r="I1180" s="79"/>
      <c r="J1180" s="79">
        <v>105.8912</v>
      </c>
      <c r="K1180" s="79">
        <v>103.2794</v>
      </c>
      <c r="L1180" s="79"/>
      <c r="M1180" s="79">
        <v>107.782</v>
      </c>
      <c r="N1180" s="79">
        <v>102.2915</v>
      </c>
      <c r="O1180" s="79">
        <v>108</v>
      </c>
      <c r="P1180" s="79">
        <v>103.0201</v>
      </c>
      <c r="Q1180" s="79"/>
      <c r="R1180" s="79">
        <v>105.2</v>
      </c>
      <c r="S1180" s="79">
        <v>101.2008</v>
      </c>
      <c r="T1180" s="79">
        <v>101.5401</v>
      </c>
      <c r="U1180" s="79">
        <v>107.67440000000001</v>
      </c>
      <c r="V1180" s="79">
        <v>105.2088</v>
      </c>
      <c r="W1180" s="79">
        <v>96.208020000000005</v>
      </c>
      <c r="X1180" s="79">
        <v>87.560649999999995</v>
      </c>
      <c r="Y1180" s="79">
        <v>100.7962</v>
      </c>
      <c r="Z1180" s="79">
        <v>103.9913</v>
      </c>
      <c r="AA1180" s="79">
        <v>101.4915</v>
      </c>
      <c r="AB1180" s="79">
        <v>106.5911</v>
      </c>
      <c r="AC1180" s="79">
        <v>103.3914</v>
      </c>
      <c r="AD1180" s="79">
        <v>113.4</v>
      </c>
      <c r="AE1180" s="79">
        <v>109.73650000000001</v>
      </c>
      <c r="AF1180" s="79">
        <v>102.8914</v>
      </c>
      <c r="AG1180" s="79">
        <v>101.5904</v>
      </c>
      <c r="AH1180" s="79">
        <v>102.0766</v>
      </c>
      <c r="AI1180" s="79">
        <v>108.9</v>
      </c>
      <c r="AJ1180" s="79">
        <v>106.9391</v>
      </c>
      <c r="AK1180" s="79">
        <v>108.018</v>
      </c>
      <c r="AL1180" s="79">
        <v>113.10939999999999</v>
      </c>
      <c r="AM1180" s="79">
        <v>104.9</v>
      </c>
      <c r="AN1180" s="79"/>
      <c r="AO1180" s="79">
        <v>99.261939999999996</v>
      </c>
      <c r="AP1180" s="79">
        <v>102.6829</v>
      </c>
      <c r="AQ1180" s="79"/>
      <c r="AR1180" s="79"/>
      <c r="AS1180" s="79"/>
      <c r="AT1180" s="79">
        <v>107.6147</v>
      </c>
      <c r="AU1180" s="79"/>
      <c r="AV1180" s="79">
        <v>104.6</v>
      </c>
      <c r="AW1180" s="79"/>
      <c r="AX1180" s="79">
        <v>108.8909</v>
      </c>
      <c r="AY1180" s="79">
        <v>94.137079999999997</v>
      </c>
    </row>
    <row r="1181" spans="1:51" x14ac:dyDescent="0.2">
      <c r="A1181" t="s">
        <v>1726</v>
      </c>
      <c r="B1181" s="1">
        <v>42826</v>
      </c>
      <c r="C1181" s="78">
        <v>1181</v>
      </c>
      <c r="E1181" s="1">
        <f t="shared" si="36"/>
        <v>42826</v>
      </c>
      <c r="F1181" s="2">
        <f t="shared" si="37"/>
        <v>42826</v>
      </c>
      <c r="G1181" s="78">
        <v>1179</v>
      </c>
      <c r="H1181" s="79"/>
      <c r="I1181" s="79"/>
      <c r="J1181" s="79">
        <v>108.09099999999999</v>
      </c>
      <c r="K1181" s="79">
        <v>104.0592</v>
      </c>
      <c r="L1181" s="79"/>
      <c r="M1181" s="79">
        <v>110.2816</v>
      </c>
      <c r="N1181" s="79">
        <v>103.59139999999999</v>
      </c>
      <c r="O1181" s="79">
        <v>106.4</v>
      </c>
      <c r="P1181" s="79">
        <v>103.2821</v>
      </c>
      <c r="Q1181" s="79"/>
      <c r="R1181" s="79">
        <v>106</v>
      </c>
      <c r="S1181" s="79">
        <v>101.1408</v>
      </c>
      <c r="T1181" s="79">
        <v>101.6439</v>
      </c>
      <c r="U1181" s="79">
        <v>103.3794</v>
      </c>
      <c r="V1181" s="79">
        <v>105.7088</v>
      </c>
      <c r="W1181" s="79">
        <v>103.9087</v>
      </c>
      <c r="X1181" s="79">
        <v>88.803070000000005</v>
      </c>
      <c r="Y1181" s="79">
        <v>100.7026</v>
      </c>
      <c r="Z1181" s="79">
        <v>103.8913</v>
      </c>
      <c r="AA1181" s="79">
        <v>103.7914</v>
      </c>
      <c r="AB1181" s="79">
        <v>104.3913</v>
      </c>
      <c r="AC1181" s="79">
        <v>103.9913</v>
      </c>
      <c r="AD1181" s="79">
        <v>113.3</v>
      </c>
      <c r="AE1181" s="79">
        <v>109.4971</v>
      </c>
      <c r="AF1181" s="79">
        <v>101.2916</v>
      </c>
      <c r="AG1181" s="79">
        <v>101.8231</v>
      </c>
      <c r="AH1181" s="79">
        <v>102.7861</v>
      </c>
      <c r="AI1181" s="79">
        <v>107.6</v>
      </c>
      <c r="AJ1181" s="79">
        <v>101.8792</v>
      </c>
      <c r="AK1181" s="79">
        <v>106.0177</v>
      </c>
      <c r="AL1181" s="79">
        <v>113.40949999999999</v>
      </c>
      <c r="AM1181" s="79">
        <v>104</v>
      </c>
      <c r="AN1181" s="79"/>
      <c r="AO1181" s="79">
        <v>100.15430000000001</v>
      </c>
      <c r="AP1181" s="79">
        <v>103.5827</v>
      </c>
      <c r="AQ1181" s="79"/>
      <c r="AR1181" s="79"/>
      <c r="AS1181" s="79"/>
      <c r="AT1181" s="79">
        <v>107.7294</v>
      </c>
      <c r="AU1181" s="79"/>
      <c r="AV1181" s="79">
        <v>105.1</v>
      </c>
      <c r="AW1181" s="79"/>
      <c r="AX1181" s="79">
        <v>111.8907</v>
      </c>
      <c r="AY1181" s="79">
        <v>94.467380000000006</v>
      </c>
    </row>
    <row r="1182" spans="1:51" x14ac:dyDescent="0.2">
      <c r="A1182" t="s">
        <v>1727</v>
      </c>
      <c r="B1182" s="1">
        <v>42856</v>
      </c>
      <c r="C1182" s="78">
        <v>1182</v>
      </c>
      <c r="E1182" s="1">
        <f t="shared" si="36"/>
        <v>42856</v>
      </c>
      <c r="F1182" s="2">
        <f t="shared" si="37"/>
        <v>42856</v>
      </c>
      <c r="G1182" s="78">
        <v>1180</v>
      </c>
      <c r="H1182" s="79"/>
      <c r="I1182" s="79"/>
      <c r="J1182" s="79">
        <v>106.69110000000001</v>
      </c>
      <c r="K1182" s="79">
        <v>105.38030000000001</v>
      </c>
      <c r="L1182" s="79"/>
      <c r="M1182" s="79">
        <v>112.4813</v>
      </c>
      <c r="N1182" s="79">
        <v>103.9913</v>
      </c>
      <c r="O1182" s="79">
        <v>108.1</v>
      </c>
      <c r="P1182" s="79">
        <v>104.7131</v>
      </c>
      <c r="Q1182" s="79"/>
      <c r="R1182" s="79">
        <v>107.4</v>
      </c>
      <c r="S1182" s="79">
        <v>103.29089999999999</v>
      </c>
      <c r="T1182" s="79">
        <v>102.163</v>
      </c>
      <c r="U1182" s="79">
        <v>107.07510000000001</v>
      </c>
      <c r="V1182" s="79">
        <v>107.2089</v>
      </c>
      <c r="W1182" s="79">
        <v>94.807900000000004</v>
      </c>
      <c r="X1182" s="79">
        <v>86.68665</v>
      </c>
      <c r="Y1182" s="79">
        <v>102.20140000000001</v>
      </c>
      <c r="Z1182" s="79">
        <v>104.3913</v>
      </c>
      <c r="AA1182" s="79">
        <v>102.1915</v>
      </c>
      <c r="AB1182" s="79">
        <v>105.19119999999999</v>
      </c>
      <c r="AC1182" s="79">
        <v>102.8914</v>
      </c>
      <c r="AD1182" s="79">
        <v>115</v>
      </c>
      <c r="AE1182" s="79">
        <v>109.38809999999999</v>
      </c>
      <c r="AF1182" s="79">
        <v>101.39149999999999</v>
      </c>
      <c r="AG1182" s="79">
        <v>101.0085</v>
      </c>
      <c r="AH1182" s="79">
        <v>102.8822</v>
      </c>
      <c r="AI1182" s="79">
        <v>108.4</v>
      </c>
      <c r="AJ1182" s="79">
        <v>107.09910000000001</v>
      </c>
      <c r="AK1182" s="79">
        <v>106.3177</v>
      </c>
      <c r="AL1182" s="79">
        <v>114.1095</v>
      </c>
      <c r="AM1182" s="79">
        <v>105.7</v>
      </c>
      <c r="AN1182" s="79"/>
      <c r="AO1182" s="79">
        <v>100.28959999999999</v>
      </c>
      <c r="AP1182" s="79">
        <v>103.78270000000001</v>
      </c>
      <c r="AQ1182" s="79"/>
      <c r="AR1182" s="79"/>
      <c r="AS1182" s="79"/>
      <c r="AT1182" s="79">
        <v>108.2175</v>
      </c>
      <c r="AU1182" s="79"/>
      <c r="AV1182" s="79">
        <v>106.4</v>
      </c>
      <c r="AW1182" s="79"/>
      <c r="AX1182" s="79">
        <v>110.49079999999999</v>
      </c>
      <c r="AY1182" s="79">
        <v>94.907790000000006</v>
      </c>
    </row>
    <row r="1183" spans="1:51" x14ac:dyDescent="0.2">
      <c r="A1183" t="s">
        <v>1728</v>
      </c>
      <c r="B1183" s="1">
        <v>42887</v>
      </c>
      <c r="C1183" s="78">
        <v>1183</v>
      </c>
      <c r="E1183" s="1">
        <f t="shared" si="36"/>
        <v>42887</v>
      </c>
      <c r="F1183" s="2">
        <f t="shared" si="37"/>
        <v>42887</v>
      </c>
      <c r="G1183" s="78">
        <v>1181</v>
      </c>
      <c r="H1183" s="79"/>
      <c r="I1183" s="79"/>
      <c r="J1183" s="79">
        <v>108.59099999999999</v>
      </c>
      <c r="K1183" s="79">
        <v>105.56489999999999</v>
      </c>
      <c r="L1183" s="79"/>
      <c r="M1183" s="79">
        <v>108.182</v>
      </c>
      <c r="N1183" s="79">
        <v>103.8913</v>
      </c>
      <c r="O1183" s="79">
        <v>108.4</v>
      </c>
      <c r="P1183" s="79">
        <v>104.8471</v>
      </c>
      <c r="Q1183" s="79"/>
      <c r="R1183" s="79">
        <v>107.7</v>
      </c>
      <c r="S1183" s="79">
        <v>102.1508</v>
      </c>
      <c r="T1183" s="79">
        <v>102.47450000000001</v>
      </c>
      <c r="U1183" s="79">
        <v>106.7754</v>
      </c>
      <c r="V1183" s="79">
        <v>106.30889999999999</v>
      </c>
      <c r="W1183" s="79">
        <v>85.307109999999994</v>
      </c>
      <c r="X1183" s="79">
        <v>84.715609999999998</v>
      </c>
      <c r="Y1183" s="79">
        <v>101.17100000000001</v>
      </c>
      <c r="Z1183" s="79">
        <v>105.69119999999999</v>
      </c>
      <c r="AA1183" s="79">
        <v>102.9914</v>
      </c>
      <c r="AB1183" s="79">
        <v>103.8913</v>
      </c>
      <c r="AC1183" s="79">
        <v>104.0913</v>
      </c>
      <c r="AD1183" s="79">
        <v>113.9</v>
      </c>
      <c r="AE1183" s="79">
        <v>109.4216</v>
      </c>
      <c r="AF1183" s="79">
        <v>102.5915</v>
      </c>
      <c r="AG1183" s="79">
        <v>101.2413</v>
      </c>
      <c r="AH1183" s="79">
        <v>102.9126</v>
      </c>
      <c r="AI1183" s="79">
        <v>109.9</v>
      </c>
      <c r="AJ1183" s="79">
        <v>106.3291</v>
      </c>
      <c r="AK1183" s="79">
        <v>106.81780000000001</v>
      </c>
      <c r="AL1183" s="79">
        <v>113.70950000000001</v>
      </c>
      <c r="AM1183" s="79">
        <v>106.2</v>
      </c>
      <c r="AN1183" s="79"/>
      <c r="AO1183" s="79">
        <v>100.45480000000001</v>
      </c>
      <c r="AP1183" s="79">
        <v>103.3828</v>
      </c>
      <c r="AQ1183" s="79"/>
      <c r="AR1183" s="79"/>
      <c r="AS1183" s="79"/>
      <c r="AT1183" s="79">
        <v>106.97839999999999</v>
      </c>
      <c r="AU1183" s="79"/>
      <c r="AV1183" s="79">
        <v>106.7</v>
      </c>
      <c r="AW1183" s="79"/>
      <c r="AX1183" s="79">
        <v>111.19070000000001</v>
      </c>
      <c r="AY1183" s="79">
        <v>95.6785</v>
      </c>
    </row>
    <row r="1184" spans="1:51" x14ac:dyDescent="0.2">
      <c r="A1184" t="s">
        <v>1729</v>
      </c>
      <c r="B1184" s="1">
        <v>42917</v>
      </c>
      <c r="C1184" s="78">
        <v>1184</v>
      </c>
      <c r="E1184" s="1">
        <f t="shared" si="36"/>
        <v>42917</v>
      </c>
      <c r="F1184" s="2">
        <f t="shared" si="37"/>
        <v>42917</v>
      </c>
      <c r="G1184" s="78">
        <v>1182</v>
      </c>
      <c r="H1184" s="79"/>
      <c r="I1184" s="79"/>
      <c r="J1184" s="79">
        <v>112.0907</v>
      </c>
      <c r="K1184" s="79">
        <v>105.9499</v>
      </c>
      <c r="L1184" s="79"/>
      <c r="M1184" s="79">
        <v>107.782</v>
      </c>
      <c r="N1184" s="79">
        <v>104.6913</v>
      </c>
      <c r="O1184" s="79">
        <v>104.5</v>
      </c>
      <c r="P1184" s="79">
        <v>104.5081</v>
      </c>
      <c r="Q1184" s="79"/>
      <c r="R1184" s="79">
        <v>108.9</v>
      </c>
      <c r="S1184" s="79">
        <v>102.7209</v>
      </c>
      <c r="T1184" s="79">
        <v>102.5783</v>
      </c>
      <c r="U1184" s="79">
        <v>105.57680000000001</v>
      </c>
      <c r="V1184" s="79">
        <v>102.7086</v>
      </c>
      <c r="W1184" s="79">
        <v>102.6086</v>
      </c>
      <c r="X1184" s="79">
        <v>91.538570000000007</v>
      </c>
      <c r="Y1184" s="79">
        <v>100.9836</v>
      </c>
      <c r="Z1184" s="79">
        <v>106.4911</v>
      </c>
      <c r="AA1184" s="79">
        <v>102.4915</v>
      </c>
      <c r="AB1184" s="79">
        <v>104.5913</v>
      </c>
      <c r="AC1184" s="79">
        <v>102.1915</v>
      </c>
      <c r="AD1184" s="79">
        <v>113.7</v>
      </c>
      <c r="AE1184" s="79">
        <v>108.4362</v>
      </c>
      <c r="AF1184" s="79">
        <v>101.7915</v>
      </c>
      <c r="AG1184" s="79">
        <v>101.0085</v>
      </c>
      <c r="AH1184" s="79">
        <v>103.3356</v>
      </c>
      <c r="AI1184" s="79">
        <v>108.5</v>
      </c>
      <c r="AJ1184" s="79">
        <v>108.7591</v>
      </c>
      <c r="AK1184" s="79">
        <v>108.11799999999999</v>
      </c>
      <c r="AL1184" s="79">
        <v>114.8096</v>
      </c>
      <c r="AM1184" s="79">
        <v>106.4</v>
      </c>
      <c r="AN1184" s="79"/>
      <c r="AO1184" s="79">
        <v>100.4143</v>
      </c>
      <c r="AP1184" s="79">
        <v>105.0825</v>
      </c>
      <c r="AQ1184" s="79"/>
      <c r="AR1184" s="79"/>
      <c r="AS1184" s="79"/>
      <c r="AT1184" s="79">
        <v>106.3032</v>
      </c>
      <c r="AU1184" s="79"/>
      <c r="AV1184" s="79">
        <v>106.3</v>
      </c>
      <c r="AW1184" s="79"/>
      <c r="AX1184" s="79">
        <v>110.99079999999999</v>
      </c>
      <c r="AY1184" s="79">
        <v>95.898700000000005</v>
      </c>
    </row>
    <row r="1185" spans="1:51" x14ac:dyDescent="0.2">
      <c r="A1185" t="s">
        <v>1730</v>
      </c>
      <c r="B1185" s="1">
        <v>42948</v>
      </c>
      <c r="C1185" s="78">
        <v>1185</v>
      </c>
      <c r="E1185" s="1">
        <f t="shared" si="36"/>
        <v>42948</v>
      </c>
      <c r="F1185" s="2">
        <f t="shared" si="37"/>
        <v>42948</v>
      </c>
      <c r="G1185" s="78">
        <v>1183</v>
      </c>
      <c r="H1185" s="79"/>
      <c r="I1185" s="79"/>
      <c r="J1185" s="79">
        <v>109.8908</v>
      </c>
      <c r="K1185" s="79">
        <v>104.75960000000001</v>
      </c>
      <c r="L1185" s="79"/>
      <c r="M1185" s="79">
        <v>110.58159999999999</v>
      </c>
      <c r="N1185" s="79">
        <v>106.7911</v>
      </c>
      <c r="O1185" s="79">
        <v>108.2</v>
      </c>
      <c r="P1185" s="79">
        <v>104.9691</v>
      </c>
      <c r="Q1185" s="79"/>
      <c r="R1185" s="79">
        <v>107.5</v>
      </c>
      <c r="S1185" s="79">
        <v>102.9209</v>
      </c>
      <c r="T1185" s="79">
        <v>102.47450000000001</v>
      </c>
      <c r="U1185" s="79">
        <v>108.7731</v>
      </c>
      <c r="V1185" s="79">
        <v>106.80889999999999</v>
      </c>
      <c r="W1185" s="79">
        <v>93.107759999999999</v>
      </c>
      <c r="X1185" s="79">
        <v>100.1429</v>
      </c>
      <c r="Y1185" s="79">
        <v>100.42149999999999</v>
      </c>
      <c r="Z1185" s="79">
        <v>108.291</v>
      </c>
      <c r="AA1185" s="79">
        <v>103.7914</v>
      </c>
      <c r="AB1185" s="79">
        <v>104.99120000000001</v>
      </c>
      <c r="AC1185" s="79">
        <v>104.3913</v>
      </c>
      <c r="AD1185" s="79">
        <v>113</v>
      </c>
      <c r="AE1185" s="79">
        <v>108.7911</v>
      </c>
      <c r="AF1185" s="79">
        <v>101.6915</v>
      </c>
      <c r="AG1185" s="79">
        <v>101.474</v>
      </c>
      <c r="AH1185" s="79">
        <v>103.85939999999999</v>
      </c>
      <c r="AI1185" s="79">
        <v>112.4</v>
      </c>
      <c r="AJ1185" s="79">
        <v>113.6091</v>
      </c>
      <c r="AK1185" s="79">
        <v>108.9182</v>
      </c>
      <c r="AL1185" s="79">
        <v>116.0097</v>
      </c>
      <c r="AM1185" s="79">
        <v>105.7</v>
      </c>
      <c r="AN1185" s="79"/>
      <c r="AO1185" s="79">
        <v>99.938609999999997</v>
      </c>
      <c r="AP1185" s="79">
        <v>105.6824</v>
      </c>
      <c r="AQ1185" s="79"/>
      <c r="AR1185" s="79"/>
      <c r="AS1185" s="79"/>
      <c r="AT1185" s="79">
        <v>109.7957</v>
      </c>
      <c r="AU1185" s="79"/>
      <c r="AV1185" s="79">
        <v>106.7</v>
      </c>
      <c r="AW1185" s="79"/>
      <c r="AX1185" s="79">
        <v>114.3905</v>
      </c>
      <c r="AY1185" s="79">
        <v>95.6785</v>
      </c>
    </row>
    <row r="1186" spans="1:51" x14ac:dyDescent="0.2">
      <c r="A1186" t="s">
        <v>1731</v>
      </c>
      <c r="B1186" s="1">
        <v>42979</v>
      </c>
      <c r="C1186" s="78">
        <v>1186</v>
      </c>
      <c r="E1186" s="1">
        <f t="shared" si="36"/>
        <v>42979</v>
      </c>
      <c r="F1186" s="2">
        <f t="shared" si="37"/>
        <v>42979</v>
      </c>
      <c r="G1186" s="78">
        <v>1184</v>
      </c>
      <c r="H1186" s="79"/>
      <c r="I1186" s="79"/>
      <c r="J1186" s="79">
        <v>108.09099999999999</v>
      </c>
      <c r="K1186" s="79">
        <v>105.2452</v>
      </c>
      <c r="L1186" s="79"/>
      <c r="M1186" s="79">
        <v>111.8814</v>
      </c>
      <c r="N1186" s="79">
        <v>106.0912</v>
      </c>
      <c r="O1186" s="79">
        <v>102.5</v>
      </c>
      <c r="P1186" s="79">
        <v>105.5681</v>
      </c>
      <c r="Q1186" s="79"/>
      <c r="R1186" s="79">
        <v>106.9</v>
      </c>
      <c r="S1186" s="79">
        <v>103.79089999999999</v>
      </c>
      <c r="T1186" s="79">
        <v>104.1357</v>
      </c>
      <c r="U1186" s="79">
        <v>104.1785</v>
      </c>
      <c r="V1186" s="79">
        <v>106.30889999999999</v>
      </c>
      <c r="W1186" s="79">
        <v>98.808239999999998</v>
      </c>
      <c r="X1186" s="79">
        <v>95.640259999999998</v>
      </c>
      <c r="Y1186" s="79">
        <v>103.32550000000001</v>
      </c>
      <c r="Z1186" s="79">
        <v>105.2912</v>
      </c>
      <c r="AA1186" s="79">
        <v>102.5915</v>
      </c>
      <c r="AB1186" s="79">
        <v>105.49120000000001</v>
      </c>
      <c r="AC1186" s="79">
        <v>104.8913</v>
      </c>
      <c r="AD1186" s="79">
        <v>116.2</v>
      </c>
      <c r="AE1186" s="79">
        <v>108.2988</v>
      </c>
      <c r="AF1186" s="79">
        <v>102.4915</v>
      </c>
      <c r="AG1186" s="79">
        <v>102.9868</v>
      </c>
      <c r="AH1186" s="79">
        <v>103.7216</v>
      </c>
      <c r="AI1186" s="79">
        <v>111.1</v>
      </c>
      <c r="AJ1186" s="79">
        <v>106.87909999999999</v>
      </c>
      <c r="AK1186" s="79">
        <v>109.9183</v>
      </c>
      <c r="AL1186" s="79">
        <v>119.91</v>
      </c>
      <c r="AM1186" s="79">
        <v>107.5</v>
      </c>
      <c r="AN1186" s="79"/>
      <c r="AO1186" s="79">
        <v>99.941209999999998</v>
      </c>
      <c r="AP1186" s="79">
        <v>105.2825</v>
      </c>
      <c r="AQ1186" s="79"/>
      <c r="AR1186" s="79"/>
      <c r="AS1186" s="79"/>
      <c r="AT1186" s="79">
        <v>110.3844</v>
      </c>
      <c r="AU1186" s="79"/>
      <c r="AV1186" s="79">
        <v>106.8</v>
      </c>
      <c r="AW1186" s="79"/>
      <c r="AX1186" s="79">
        <v>115.79040000000001</v>
      </c>
      <c r="AY1186" s="79">
        <v>96.11891</v>
      </c>
    </row>
    <row r="1187" spans="1:51" x14ac:dyDescent="0.2">
      <c r="A1187" t="s">
        <v>1732</v>
      </c>
      <c r="B1187" s="1">
        <v>43009</v>
      </c>
      <c r="C1187" s="78">
        <v>1187</v>
      </c>
      <c r="E1187" s="1">
        <f t="shared" si="36"/>
        <v>43009</v>
      </c>
      <c r="F1187" s="2">
        <f t="shared" si="37"/>
        <v>43009</v>
      </c>
      <c r="G1187" s="78">
        <v>1185</v>
      </c>
      <c r="H1187" s="79"/>
      <c r="I1187" s="79"/>
      <c r="J1187" s="79">
        <v>107.0911</v>
      </c>
      <c r="K1187" s="79">
        <v>104.48860000000001</v>
      </c>
      <c r="L1187" s="79"/>
      <c r="M1187" s="79">
        <v>110.1816</v>
      </c>
      <c r="N1187" s="79">
        <v>104.3913</v>
      </c>
      <c r="O1187" s="79">
        <v>105.6</v>
      </c>
      <c r="P1187" s="79">
        <v>105.77809999999999</v>
      </c>
      <c r="Q1187" s="79"/>
      <c r="R1187" s="79">
        <v>108.3</v>
      </c>
      <c r="S1187" s="79">
        <v>104.23090000000001</v>
      </c>
      <c r="T1187" s="79">
        <v>103.928</v>
      </c>
      <c r="U1187" s="79">
        <v>107.7743</v>
      </c>
      <c r="V1187" s="79">
        <v>108.009</v>
      </c>
      <c r="W1187" s="79">
        <v>99.308269999999993</v>
      </c>
      <c r="X1187" s="79">
        <v>92.934799999999996</v>
      </c>
      <c r="Y1187" s="79">
        <v>103.23180000000001</v>
      </c>
      <c r="Z1187" s="79">
        <v>105.5912</v>
      </c>
      <c r="AA1187" s="79">
        <v>103.1914</v>
      </c>
      <c r="AB1187" s="79">
        <v>105.7912</v>
      </c>
      <c r="AC1187" s="79">
        <v>101.9915</v>
      </c>
      <c r="AD1187" s="79">
        <v>115.1</v>
      </c>
      <c r="AE1187" s="79">
        <v>108.8087</v>
      </c>
      <c r="AF1187" s="79">
        <v>104.0913</v>
      </c>
      <c r="AG1187" s="79">
        <v>98.913889999999995</v>
      </c>
      <c r="AH1187" s="79">
        <v>104.1472</v>
      </c>
      <c r="AI1187" s="79">
        <v>112.4</v>
      </c>
      <c r="AJ1187" s="79">
        <v>105.92910000000001</v>
      </c>
      <c r="AK1187" s="79">
        <v>110.2184</v>
      </c>
      <c r="AL1187" s="79">
        <v>118.6099</v>
      </c>
      <c r="AM1187" s="79">
        <v>107.3</v>
      </c>
      <c r="AN1187" s="79"/>
      <c r="AO1187" s="79">
        <v>101.45740000000001</v>
      </c>
      <c r="AP1187" s="79">
        <v>104.9825</v>
      </c>
      <c r="AQ1187" s="79"/>
      <c r="AR1187" s="79"/>
      <c r="AS1187" s="79"/>
      <c r="AT1187" s="79">
        <v>110.2457</v>
      </c>
      <c r="AU1187" s="79"/>
      <c r="AV1187" s="79">
        <v>105.7</v>
      </c>
      <c r="AW1187" s="79"/>
      <c r="AX1187" s="79">
        <v>116.3903</v>
      </c>
      <c r="AY1187" s="79">
        <v>96.779520000000005</v>
      </c>
    </row>
    <row r="1188" spans="1:51" x14ac:dyDescent="0.2">
      <c r="A1188" t="s">
        <v>1733</v>
      </c>
      <c r="B1188" s="1">
        <v>43040</v>
      </c>
      <c r="C1188" s="78">
        <v>1188</v>
      </c>
      <c r="E1188" s="1">
        <f t="shared" si="36"/>
        <v>43040</v>
      </c>
      <c r="F1188" s="2">
        <f t="shared" si="37"/>
        <v>43040</v>
      </c>
      <c r="G1188" s="78">
        <v>1186</v>
      </c>
      <c r="H1188" s="79"/>
      <c r="I1188" s="79"/>
      <c r="J1188" s="79">
        <v>107.791</v>
      </c>
      <c r="K1188" s="79">
        <v>105.88890000000001</v>
      </c>
      <c r="L1188" s="79"/>
      <c r="M1188" s="79">
        <v>112.9812</v>
      </c>
      <c r="N1188" s="79">
        <v>108.59099999999999</v>
      </c>
      <c r="O1188" s="79">
        <v>106.7</v>
      </c>
      <c r="P1188" s="79">
        <v>107.5271</v>
      </c>
      <c r="Q1188" s="79"/>
      <c r="R1188" s="79">
        <v>110</v>
      </c>
      <c r="S1188" s="79">
        <v>104.6609</v>
      </c>
      <c r="T1188" s="79">
        <v>104.1357</v>
      </c>
      <c r="U1188" s="79">
        <v>106.7754</v>
      </c>
      <c r="V1188" s="79">
        <v>106.4089</v>
      </c>
      <c r="W1188" s="79">
        <v>106.5089</v>
      </c>
      <c r="X1188" s="79">
        <v>96.896900000000002</v>
      </c>
      <c r="Y1188" s="79">
        <v>104.637</v>
      </c>
      <c r="Z1188" s="79">
        <v>107.2911</v>
      </c>
      <c r="AA1188" s="79">
        <v>103.9913</v>
      </c>
      <c r="AB1188" s="79">
        <v>105.5912</v>
      </c>
      <c r="AC1188" s="79">
        <v>106.89109999999999</v>
      </c>
      <c r="AD1188" s="79">
        <v>115.6</v>
      </c>
      <c r="AE1188" s="79">
        <v>108.1969</v>
      </c>
      <c r="AF1188" s="79">
        <v>104.4913</v>
      </c>
      <c r="AG1188" s="79">
        <v>98.564779999999999</v>
      </c>
      <c r="AH1188" s="79">
        <v>105.16240000000001</v>
      </c>
      <c r="AI1188" s="79">
        <v>111.7</v>
      </c>
      <c r="AJ1188" s="79">
        <v>106.3591</v>
      </c>
      <c r="AK1188" s="79">
        <v>112.4187</v>
      </c>
      <c r="AL1188" s="79">
        <v>119.61</v>
      </c>
      <c r="AM1188" s="79">
        <v>108.9</v>
      </c>
      <c r="AN1188" s="79"/>
      <c r="AO1188" s="79">
        <v>101.99939999999999</v>
      </c>
      <c r="AP1188" s="79">
        <v>107.4821</v>
      </c>
      <c r="AQ1188" s="79"/>
      <c r="AR1188" s="79"/>
      <c r="AS1188" s="79"/>
      <c r="AT1188" s="79">
        <v>115.01309999999999</v>
      </c>
      <c r="AU1188" s="79"/>
      <c r="AV1188" s="79">
        <v>106</v>
      </c>
      <c r="AW1188" s="79"/>
      <c r="AX1188" s="79">
        <v>116.9902</v>
      </c>
      <c r="AY1188" s="79">
        <v>97.440129999999996</v>
      </c>
    </row>
    <row r="1189" spans="1:51" x14ac:dyDescent="0.2">
      <c r="A1189" t="s">
        <v>1734</v>
      </c>
      <c r="B1189" s="1">
        <v>43070</v>
      </c>
      <c r="C1189" s="78">
        <v>1189</v>
      </c>
      <c r="E1189" s="1">
        <f t="shared" si="36"/>
        <v>43070</v>
      </c>
      <c r="F1189" s="2">
        <f t="shared" si="37"/>
        <v>43070</v>
      </c>
      <c r="G1189" s="78">
        <v>1187</v>
      </c>
      <c r="H1189" s="79"/>
      <c r="I1189" s="79"/>
      <c r="J1189" s="79">
        <v>106.7911</v>
      </c>
      <c r="K1189" s="79">
        <v>106.8175</v>
      </c>
      <c r="L1189" s="79"/>
      <c r="M1189" s="79">
        <v>113.1811</v>
      </c>
      <c r="N1189" s="79">
        <v>108.191</v>
      </c>
      <c r="O1189" s="79">
        <v>106.9</v>
      </c>
      <c r="P1189" s="79">
        <v>109.7471</v>
      </c>
      <c r="Q1189" s="79"/>
      <c r="R1189" s="79">
        <v>111.3</v>
      </c>
      <c r="S1189" s="79">
        <v>105.7009</v>
      </c>
      <c r="T1189" s="79">
        <v>103.7204</v>
      </c>
      <c r="U1189" s="79">
        <v>108.27370000000001</v>
      </c>
      <c r="V1189" s="79">
        <v>108.10899999999999</v>
      </c>
      <c r="W1189" s="79">
        <v>105.00879999999999</v>
      </c>
      <c r="X1189" s="79">
        <v>102.4182</v>
      </c>
      <c r="Y1189" s="79">
        <v>104.2623</v>
      </c>
      <c r="Z1189" s="79">
        <v>110.2908</v>
      </c>
      <c r="AA1189" s="79">
        <v>105.49120000000001</v>
      </c>
      <c r="AB1189" s="79">
        <v>103.6914</v>
      </c>
      <c r="AC1189" s="79">
        <v>107.59099999999999</v>
      </c>
      <c r="AD1189" s="79">
        <v>115.1</v>
      </c>
      <c r="AE1189" s="79">
        <v>109.7265</v>
      </c>
      <c r="AF1189" s="79">
        <v>104.5913</v>
      </c>
      <c r="AG1189" s="79">
        <v>98.913889999999995</v>
      </c>
      <c r="AH1189" s="79">
        <v>105.79470000000001</v>
      </c>
      <c r="AI1189" s="79">
        <v>115.1</v>
      </c>
      <c r="AJ1189" s="79">
        <v>104.45910000000001</v>
      </c>
      <c r="AK1189" s="79">
        <v>110.11839999999999</v>
      </c>
      <c r="AL1189" s="79">
        <v>122.9102</v>
      </c>
      <c r="AM1189" s="79">
        <v>110</v>
      </c>
      <c r="AN1189" s="79"/>
      <c r="AO1189" s="79">
        <v>102.3288</v>
      </c>
      <c r="AP1189" s="79">
        <v>107.88200000000001</v>
      </c>
      <c r="AQ1189" s="79"/>
      <c r="AR1189" s="79"/>
      <c r="AS1189" s="79"/>
      <c r="AT1189" s="79">
        <v>113.10590000000001</v>
      </c>
      <c r="AU1189" s="79"/>
      <c r="AV1189" s="79">
        <v>105.3</v>
      </c>
      <c r="AW1189" s="79"/>
      <c r="AX1189" s="79">
        <v>120.09</v>
      </c>
      <c r="AY1189" s="79">
        <v>100.7432</v>
      </c>
    </row>
    <row r="1190" spans="1:51" x14ac:dyDescent="0.2">
      <c r="A1190" t="s">
        <v>1735</v>
      </c>
      <c r="B1190" s="1">
        <v>43101</v>
      </c>
      <c r="C1190" s="78">
        <v>1190</v>
      </c>
      <c r="E1190" s="1">
        <f t="shared" si="36"/>
        <v>43101</v>
      </c>
      <c r="F1190" s="2">
        <f t="shared" si="37"/>
        <v>43101</v>
      </c>
      <c r="G1190" s="78">
        <v>1188</v>
      </c>
      <c r="H1190" s="79"/>
      <c r="I1190" s="79"/>
      <c r="J1190" s="79">
        <v>108.191</v>
      </c>
      <c r="K1190" s="79">
        <v>106.24679999999999</v>
      </c>
      <c r="L1190" s="79"/>
      <c r="M1190" s="79">
        <v>113.58110000000001</v>
      </c>
      <c r="N1190" s="79">
        <v>107.2911</v>
      </c>
      <c r="O1190" s="79">
        <v>107.8</v>
      </c>
      <c r="P1190" s="79">
        <v>104.2681</v>
      </c>
      <c r="Q1190" s="79"/>
      <c r="R1190" s="79">
        <v>111.4</v>
      </c>
      <c r="S1190" s="79">
        <v>102.0209</v>
      </c>
      <c r="T1190" s="79">
        <v>104.3433</v>
      </c>
      <c r="U1190" s="79">
        <v>107.4746</v>
      </c>
      <c r="V1190" s="79">
        <v>108.8091</v>
      </c>
      <c r="W1190" s="79">
        <v>101.30840000000001</v>
      </c>
      <c r="X1190" s="79">
        <v>99.974500000000006</v>
      </c>
      <c r="Y1190" s="79">
        <v>105.9485</v>
      </c>
      <c r="Z1190" s="79">
        <v>106.19119999999999</v>
      </c>
      <c r="AA1190" s="79">
        <v>101.2916</v>
      </c>
      <c r="AB1190" s="79">
        <v>105.0912</v>
      </c>
      <c r="AC1190" s="79">
        <v>104.6913</v>
      </c>
      <c r="AD1190" s="79">
        <v>116.3</v>
      </c>
      <c r="AE1190" s="79">
        <v>109.2166</v>
      </c>
      <c r="AF1190" s="79">
        <v>105.19119999999999</v>
      </c>
      <c r="AG1190" s="79">
        <v>102.2886</v>
      </c>
      <c r="AH1190" s="79">
        <v>104.6653</v>
      </c>
      <c r="AI1190" s="79">
        <v>112.9</v>
      </c>
      <c r="AJ1190" s="79">
        <v>107.4091</v>
      </c>
      <c r="AK1190" s="79">
        <v>107.4179</v>
      </c>
      <c r="AL1190" s="79">
        <v>123.0103</v>
      </c>
      <c r="AM1190" s="79">
        <v>108.9</v>
      </c>
      <c r="AN1190" s="79"/>
      <c r="AO1190" s="79">
        <v>102.069</v>
      </c>
      <c r="AP1190" s="79">
        <v>105.8824</v>
      </c>
      <c r="AQ1190" s="79"/>
      <c r="AR1190" s="79"/>
      <c r="AS1190" s="79"/>
      <c r="AT1190" s="79">
        <v>113.593</v>
      </c>
      <c r="AU1190" s="79"/>
      <c r="AV1190" s="79">
        <v>108.3</v>
      </c>
      <c r="AW1190" s="79"/>
      <c r="AX1190" s="79">
        <v>118.0902</v>
      </c>
      <c r="AY1190" s="79">
        <v>98.210849999999994</v>
      </c>
    </row>
    <row r="1191" spans="1:51" x14ac:dyDescent="0.2">
      <c r="A1191" t="s">
        <v>1736</v>
      </c>
      <c r="B1191" s="1">
        <v>43132</v>
      </c>
      <c r="C1191" s="78">
        <v>1191</v>
      </c>
      <c r="E1191" s="1">
        <f t="shared" si="36"/>
        <v>43132</v>
      </c>
      <c r="F1191" s="2">
        <f t="shared" si="37"/>
        <v>43132</v>
      </c>
      <c r="G1191" s="78">
        <v>1189</v>
      </c>
      <c r="H1191" s="79"/>
      <c r="I1191" s="79"/>
      <c r="J1191" s="79">
        <v>105.7912</v>
      </c>
      <c r="K1191" s="79">
        <v>107.6217</v>
      </c>
      <c r="L1191" s="79"/>
      <c r="M1191" s="79">
        <v>110.9815</v>
      </c>
      <c r="N1191" s="79">
        <v>105.2912</v>
      </c>
      <c r="O1191" s="79">
        <v>106.9</v>
      </c>
      <c r="P1191" s="79">
        <v>106.1961</v>
      </c>
      <c r="Q1191" s="79"/>
      <c r="R1191" s="79">
        <v>111.5</v>
      </c>
      <c r="S1191" s="79">
        <v>103.15089999999999</v>
      </c>
      <c r="T1191" s="79">
        <v>104.3433</v>
      </c>
      <c r="U1191" s="79">
        <v>107.8741</v>
      </c>
      <c r="V1191" s="79">
        <v>109.0091</v>
      </c>
      <c r="W1191" s="79">
        <v>95.707980000000006</v>
      </c>
      <c r="X1191" s="79">
        <v>98.675190000000001</v>
      </c>
      <c r="Y1191" s="79">
        <v>103.23180000000001</v>
      </c>
      <c r="Z1191" s="79">
        <v>105.7912</v>
      </c>
      <c r="AA1191" s="79">
        <v>103.7914</v>
      </c>
      <c r="AB1191" s="79">
        <v>106.5911</v>
      </c>
      <c r="AC1191" s="79">
        <v>101.4915</v>
      </c>
      <c r="AD1191" s="79">
        <v>119.4</v>
      </c>
      <c r="AE1191" s="79">
        <v>110.33839999999999</v>
      </c>
      <c r="AF1191" s="79">
        <v>104.5913</v>
      </c>
      <c r="AG1191" s="79">
        <v>102.2886</v>
      </c>
      <c r="AH1191" s="79">
        <v>105.0072</v>
      </c>
      <c r="AI1191" s="79">
        <v>114.1</v>
      </c>
      <c r="AJ1191" s="79">
        <v>105.0791</v>
      </c>
      <c r="AK1191" s="79">
        <v>109.4182</v>
      </c>
      <c r="AL1191" s="79">
        <v>119.71</v>
      </c>
      <c r="AM1191" s="79">
        <v>108.9</v>
      </c>
      <c r="AN1191" s="79"/>
      <c r="AO1191" s="79">
        <v>102.4306</v>
      </c>
      <c r="AP1191" s="79">
        <v>105.0825</v>
      </c>
      <c r="AQ1191" s="79"/>
      <c r="AR1191" s="79"/>
      <c r="AS1191" s="79"/>
      <c r="AT1191" s="79">
        <v>114.648</v>
      </c>
      <c r="AU1191" s="79"/>
      <c r="AV1191" s="79">
        <v>107.6</v>
      </c>
      <c r="AW1191" s="79"/>
      <c r="AX1191" s="79">
        <v>117.0902</v>
      </c>
      <c r="AY1191" s="79">
        <v>97.990639999999999</v>
      </c>
    </row>
    <row r="1192" spans="1:51" x14ac:dyDescent="0.2">
      <c r="A1192" t="s">
        <v>1737</v>
      </c>
      <c r="B1192" s="1">
        <v>43160</v>
      </c>
      <c r="C1192" s="78">
        <v>1192</v>
      </c>
      <c r="E1192" s="1">
        <f t="shared" si="36"/>
        <v>43160</v>
      </c>
      <c r="F1192" s="2">
        <f t="shared" si="37"/>
        <v>43160</v>
      </c>
      <c r="G1192" s="78">
        <v>1190</v>
      </c>
      <c r="H1192" s="79"/>
      <c r="I1192" s="79"/>
      <c r="J1192" s="79">
        <v>109.8908</v>
      </c>
      <c r="K1192" s="79">
        <v>108.6889</v>
      </c>
      <c r="L1192" s="79"/>
      <c r="M1192" s="79">
        <v>112.6812</v>
      </c>
      <c r="N1192" s="79">
        <v>106.5911</v>
      </c>
      <c r="O1192" s="79">
        <v>106.6</v>
      </c>
      <c r="P1192" s="79">
        <v>108.0001</v>
      </c>
      <c r="Q1192" s="79"/>
      <c r="R1192" s="79">
        <v>113</v>
      </c>
      <c r="S1192" s="79">
        <v>103.90089999999999</v>
      </c>
      <c r="T1192" s="79">
        <v>104.0318</v>
      </c>
      <c r="U1192" s="79">
        <v>108.67319999999999</v>
      </c>
      <c r="V1192" s="79">
        <v>108.209</v>
      </c>
      <c r="W1192" s="79">
        <v>78.806560000000005</v>
      </c>
      <c r="X1192" s="79"/>
      <c r="Y1192" s="79">
        <v>105.2927</v>
      </c>
      <c r="Z1192" s="79">
        <v>107.2911</v>
      </c>
      <c r="AA1192" s="79">
        <v>104.8913</v>
      </c>
      <c r="AB1192" s="79">
        <v>104.8913</v>
      </c>
      <c r="AC1192" s="79">
        <v>102.5915</v>
      </c>
      <c r="AD1192" s="79">
        <v>114.5</v>
      </c>
      <c r="AE1192" s="79"/>
      <c r="AF1192" s="79">
        <v>105.19119999999999</v>
      </c>
      <c r="AG1192" s="79">
        <v>102.05589999999999</v>
      </c>
      <c r="AH1192" s="79">
        <v>105.35299999999999</v>
      </c>
      <c r="AI1192" s="79">
        <v>113.2</v>
      </c>
      <c r="AJ1192" s="79">
        <v>109.8991</v>
      </c>
      <c r="AK1192" s="79">
        <v>110.2184</v>
      </c>
      <c r="AL1192" s="79">
        <v>120.7101</v>
      </c>
      <c r="AM1192" s="79">
        <v>109.9</v>
      </c>
      <c r="AN1192" s="79"/>
      <c r="AO1192" s="79">
        <v>103.01649999999999</v>
      </c>
      <c r="AP1192" s="79">
        <v>105.1825</v>
      </c>
      <c r="AQ1192" s="79"/>
      <c r="AR1192" s="79"/>
      <c r="AS1192" s="79"/>
      <c r="AT1192" s="79">
        <v>113.6186</v>
      </c>
      <c r="AU1192" s="79"/>
      <c r="AV1192" s="79">
        <v>108.3</v>
      </c>
      <c r="AW1192" s="79"/>
      <c r="AX1192" s="79">
        <v>116.7903</v>
      </c>
      <c r="AY1192" s="79">
        <v>98.431049999999999</v>
      </c>
    </row>
    <row r="1193" spans="1:51" x14ac:dyDescent="0.2">
      <c r="A1193" t="s">
        <v>1738</v>
      </c>
      <c r="B1193" s="1">
        <v>43191</v>
      </c>
      <c r="C1193" s="78">
        <v>1193</v>
      </c>
      <c r="E1193" s="1">
        <f t="shared" si="36"/>
        <v>43191</v>
      </c>
      <c r="F1193" s="2">
        <f t="shared" si="37"/>
        <v>43191</v>
      </c>
      <c r="G1193" s="78">
        <v>1191</v>
      </c>
      <c r="H1193" s="79"/>
      <c r="I1193" s="79"/>
      <c r="J1193" s="79">
        <v>110.49079999999999</v>
      </c>
      <c r="K1193" s="79">
        <v>108.91549999999999</v>
      </c>
      <c r="L1193" s="79"/>
      <c r="M1193" s="79">
        <v>110.38160000000001</v>
      </c>
      <c r="N1193" s="79">
        <v>106.0912</v>
      </c>
      <c r="O1193" s="79">
        <v>107.5</v>
      </c>
      <c r="P1193" s="79">
        <v>105.0941</v>
      </c>
      <c r="Q1193" s="79"/>
      <c r="R1193" s="79">
        <v>107.9</v>
      </c>
      <c r="S1193" s="79">
        <v>102.6409</v>
      </c>
      <c r="T1193" s="79">
        <v>104.3433</v>
      </c>
      <c r="U1193" s="79">
        <v>106.6755</v>
      </c>
      <c r="V1193" s="79">
        <v>108.309</v>
      </c>
      <c r="W1193" s="79">
        <v>93.107759999999999</v>
      </c>
      <c r="X1193" s="79"/>
      <c r="Y1193" s="79">
        <v>104.8244</v>
      </c>
      <c r="Z1193" s="79">
        <v>106.2911</v>
      </c>
      <c r="AA1193" s="79">
        <v>104.29130000000001</v>
      </c>
      <c r="AB1193" s="79">
        <v>107.0911</v>
      </c>
      <c r="AC1193" s="79">
        <v>99.291730000000001</v>
      </c>
      <c r="AD1193" s="79">
        <v>116</v>
      </c>
      <c r="AE1193" s="79"/>
      <c r="AF1193" s="79">
        <v>103.1914</v>
      </c>
      <c r="AG1193" s="79">
        <v>100.4267</v>
      </c>
      <c r="AH1193" s="79">
        <v>105.63800000000001</v>
      </c>
      <c r="AI1193" s="79">
        <v>114.8</v>
      </c>
      <c r="AJ1193" s="79">
        <v>106.7591</v>
      </c>
      <c r="AK1193" s="79">
        <v>109.3182</v>
      </c>
      <c r="AL1193" s="79">
        <v>120.7101</v>
      </c>
      <c r="AM1193" s="79">
        <v>105.3</v>
      </c>
      <c r="AN1193" s="79"/>
      <c r="AO1193" s="79">
        <v>103.9485</v>
      </c>
      <c r="AP1193" s="79">
        <v>105.1825</v>
      </c>
      <c r="AQ1193" s="79"/>
      <c r="AR1193" s="79"/>
      <c r="AS1193" s="79"/>
      <c r="AT1193" s="79">
        <v>112.2715</v>
      </c>
      <c r="AU1193" s="79"/>
      <c r="AV1193" s="79">
        <v>107.9</v>
      </c>
      <c r="AW1193" s="79"/>
      <c r="AX1193" s="79">
        <v>118.0902</v>
      </c>
      <c r="AY1193" s="79">
        <v>98.871449999999996</v>
      </c>
    </row>
    <row r="1194" spans="1:51" x14ac:dyDescent="0.2">
      <c r="A1194" t="s">
        <v>1739</v>
      </c>
      <c r="B1194" s="1">
        <v>43221</v>
      </c>
      <c r="C1194" s="78">
        <v>1194</v>
      </c>
      <c r="E1194" s="1">
        <f t="shared" si="36"/>
        <v>43221</v>
      </c>
      <c r="F1194" s="2">
        <f t="shared" si="37"/>
        <v>43221</v>
      </c>
      <c r="G1194" s="78">
        <v>1192</v>
      </c>
      <c r="H1194" s="79"/>
      <c r="I1194" s="79"/>
      <c r="J1194" s="79">
        <v>110.6908</v>
      </c>
      <c r="K1194" s="79">
        <v>109.1699</v>
      </c>
      <c r="L1194" s="79"/>
      <c r="M1194" s="79">
        <v>113.1811</v>
      </c>
      <c r="N1194" s="79">
        <v>107.791</v>
      </c>
      <c r="O1194" s="79">
        <v>105.1</v>
      </c>
      <c r="P1194" s="79">
        <v>105.7231</v>
      </c>
      <c r="Q1194" s="79"/>
      <c r="R1194" s="79">
        <v>112.2</v>
      </c>
      <c r="S1194" s="79">
        <v>101.7008</v>
      </c>
      <c r="T1194" s="79">
        <v>103.3051</v>
      </c>
      <c r="U1194" s="79">
        <v>108.3736</v>
      </c>
      <c r="V1194" s="79">
        <v>110.50920000000001</v>
      </c>
      <c r="W1194" s="79">
        <v>98.808239999999998</v>
      </c>
      <c r="X1194" s="79"/>
      <c r="Y1194" s="79">
        <v>103.6066</v>
      </c>
      <c r="Z1194" s="79">
        <v>106.4911</v>
      </c>
      <c r="AA1194" s="79">
        <v>104.5913</v>
      </c>
      <c r="AB1194" s="79">
        <v>107.491</v>
      </c>
      <c r="AC1194" s="79">
        <v>101.39149999999999</v>
      </c>
      <c r="AD1194" s="79">
        <v>114.4</v>
      </c>
      <c r="AE1194" s="79"/>
      <c r="AF1194" s="79">
        <v>103.3914</v>
      </c>
      <c r="AG1194" s="79">
        <v>99.146619999999999</v>
      </c>
      <c r="AH1194" s="79">
        <v>105.7542</v>
      </c>
      <c r="AI1194" s="79">
        <v>116.5</v>
      </c>
      <c r="AJ1194" s="79">
        <v>105.2891</v>
      </c>
      <c r="AK1194" s="79">
        <v>112.7188</v>
      </c>
      <c r="AL1194" s="79">
        <v>121.4101</v>
      </c>
      <c r="AM1194" s="79">
        <v>109.9</v>
      </c>
      <c r="AN1194" s="79"/>
      <c r="AO1194" s="79">
        <v>103.124</v>
      </c>
      <c r="AP1194" s="79">
        <v>106.1823</v>
      </c>
      <c r="AQ1194" s="79"/>
      <c r="AR1194" s="79"/>
      <c r="AS1194" s="79"/>
      <c r="AT1194" s="79">
        <v>112.26560000000001</v>
      </c>
      <c r="AU1194" s="79"/>
      <c r="AV1194" s="79">
        <v>110.3</v>
      </c>
      <c r="AW1194" s="79"/>
      <c r="AX1194" s="79">
        <v>116.4903</v>
      </c>
      <c r="AY1194" s="79">
        <v>88.301680000000005</v>
      </c>
    </row>
    <row r="1195" spans="1:51" x14ac:dyDescent="0.2">
      <c r="A1195" t="s">
        <v>1740</v>
      </c>
      <c r="B1195" s="1">
        <v>43252</v>
      </c>
      <c r="C1195" s="78">
        <v>1195</v>
      </c>
      <c r="E1195" s="1">
        <f t="shared" si="36"/>
        <v>43252</v>
      </c>
      <c r="F1195" s="2">
        <f t="shared" si="37"/>
        <v>43252</v>
      </c>
      <c r="G1195" s="78">
        <v>1193</v>
      </c>
      <c r="H1195" s="79"/>
      <c r="I1195" s="79"/>
      <c r="J1195" s="79">
        <v>107.2911</v>
      </c>
      <c r="K1195" s="79">
        <v>110.23139999999999</v>
      </c>
      <c r="L1195" s="79"/>
      <c r="M1195" s="79">
        <v>115.38079999999999</v>
      </c>
      <c r="N1195" s="79">
        <v>107.491</v>
      </c>
      <c r="O1195" s="79">
        <v>106.5</v>
      </c>
      <c r="P1195" s="79">
        <v>105.1831</v>
      </c>
      <c r="Q1195" s="79"/>
      <c r="R1195" s="79">
        <v>111.3</v>
      </c>
      <c r="S1195" s="79">
        <v>103.48090000000001</v>
      </c>
      <c r="T1195" s="79">
        <v>104.0318</v>
      </c>
      <c r="U1195" s="79">
        <v>108.3736</v>
      </c>
      <c r="V1195" s="79">
        <v>109.6091</v>
      </c>
      <c r="W1195" s="79">
        <v>96.708060000000003</v>
      </c>
      <c r="X1195" s="79"/>
      <c r="Y1195" s="79">
        <v>102.9508</v>
      </c>
      <c r="Z1195" s="79">
        <v>106.89109999999999</v>
      </c>
      <c r="AA1195" s="79">
        <v>103.59139999999999</v>
      </c>
      <c r="AB1195" s="79">
        <v>107.691</v>
      </c>
      <c r="AC1195" s="79">
        <v>102.0915</v>
      </c>
      <c r="AD1195" s="79">
        <v>114.1</v>
      </c>
      <c r="AE1195" s="79"/>
      <c r="AF1195" s="79">
        <v>103.2914</v>
      </c>
      <c r="AG1195" s="79">
        <v>103.9178</v>
      </c>
      <c r="AH1195" s="79">
        <v>105.8954</v>
      </c>
      <c r="AI1195" s="79">
        <v>117.3</v>
      </c>
      <c r="AJ1195" s="79">
        <v>106.31910000000001</v>
      </c>
      <c r="AK1195" s="79">
        <v>114.01900000000001</v>
      </c>
      <c r="AL1195" s="79">
        <v>122.5102</v>
      </c>
      <c r="AM1195" s="79">
        <v>109.7</v>
      </c>
      <c r="AN1195" s="79"/>
      <c r="AO1195" s="79">
        <v>103.899</v>
      </c>
      <c r="AP1195" s="79">
        <v>106.1823</v>
      </c>
      <c r="AQ1195" s="79"/>
      <c r="AR1195" s="79"/>
      <c r="AS1195" s="79"/>
      <c r="AT1195" s="79">
        <v>114.892</v>
      </c>
      <c r="AU1195" s="79"/>
      <c r="AV1195" s="79">
        <v>109.7</v>
      </c>
      <c r="AW1195" s="79"/>
      <c r="AX1195" s="79">
        <v>113.79049999999999</v>
      </c>
      <c r="AY1195" s="79">
        <v>99.421970000000002</v>
      </c>
    </row>
    <row r="1196" spans="1:51" x14ac:dyDescent="0.2">
      <c r="A1196" t="s">
        <v>1741</v>
      </c>
      <c r="B1196" s="1">
        <v>43282</v>
      </c>
      <c r="C1196" s="78">
        <v>1196</v>
      </c>
      <c r="E1196" s="1">
        <f t="shared" si="36"/>
        <v>43282</v>
      </c>
      <c r="F1196" s="2">
        <f t="shared" si="37"/>
        <v>43282</v>
      </c>
      <c r="G1196" s="78">
        <v>1194</v>
      </c>
      <c r="H1196" s="79"/>
      <c r="I1196" s="79"/>
      <c r="J1196" s="79">
        <v>109.6909</v>
      </c>
      <c r="K1196" s="79">
        <v>111.16589999999999</v>
      </c>
      <c r="L1196" s="79"/>
      <c r="M1196" s="79">
        <v>115.38079999999999</v>
      </c>
      <c r="N1196" s="79">
        <v>105.49120000000001</v>
      </c>
      <c r="O1196" s="79">
        <v>108.4</v>
      </c>
      <c r="P1196" s="79">
        <v>105.5911</v>
      </c>
      <c r="Q1196" s="79"/>
      <c r="R1196" s="79">
        <v>109.7</v>
      </c>
      <c r="S1196" s="79">
        <v>103.43089999999999</v>
      </c>
      <c r="T1196" s="79">
        <v>104.44710000000001</v>
      </c>
      <c r="U1196" s="79">
        <v>109.27249999999999</v>
      </c>
      <c r="V1196" s="79">
        <v>106.9089</v>
      </c>
      <c r="W1196" s="79">
        <v>91.807649999999995</v>
      </c>
      <c r="X1196" s="79"/>
      <c r="Y1196" s="79">
        <v>105.2927</v>
      </c>
      <c r="Z1196" s="79">
        <v>105.99120000000001</v>
      </c>
      <c r="AA1196" s="79">
        <v>103.7914</v>
      </c>
      <c r="AB1196" s="79">
        <v>107.791</v>
      </c>
      <c r="AC1196" s="79">
        <v>101.7915</v>
      </c>
      <c r="AD1196" s="79">
        <v>117.5</v>
      </c>
      <c r="AE1196" s="79"/>
      <c r="AF1196" s="79">
        <v>101.7915</v>
      </c>
      <c r="AG1196" s="79">
        <v>101.5904</v>
      </c>
      <c r="AH1196" s="79">
        <v>105.821</v>
      </c>
      <c r="AI1196" s="79">
        <v>117</v>
      </c>
      <c r="AJ1196" s="79">
        <v>107.7991</v>
      </c>
      <c r="AK1196" s="79">
        <v>112.1187</v>
      </c>
      <c r="AL1196" s="79">
        <v>120.41</v>
      </c>
      <c r="AM1196" s="79">
        <v>106.3</v>
      </c>
      <c r="AN1196" s="79"/>
      <c r="AO1196" s="79">
        <v>104.3613</v>
      </c>
      <c r="AP1196" s="79">
        <v>105.0825</v>
      </c>
      <c r="AQ1196" s="79"/>
      <c r="AR1196" s="79"/>
      <c r="AS1196" s="79"/>
      <c r="AT1196" s="79">
        <v>113.01909999999999</v>
      </c>
      <c r="AU1196" s="79"/>
      <c r="AV1196" s="79">
        <v>109.4</v>
      </c>
      <c r="AW1196" s="79"/>
      <c r="AX1196" s="79">
        <v>115.5904</v>
      </c>
      <c r="AY1196" s="79">
        <v>98.651250000000005</v>
      </c>
    </row>
    <row r="1197" spans="1:51" x14ac:dyDescent="0.2">
      <c r="A1197" t="s">
        <v>1742</v>
      </c>
      <c r="B1197" s="1">
        <v>43313</v>
      </c>
      <c r="C1197" s="78">
        <v>1197</v>
      </c>
      <c r="E1197" s="1">
        <f t="shared" si="36"/>
        <v>43313</v>
      </c>
      <c r="F1197" s="2">
        <f t="shared" si="37"/>
        <v>43313</v>
      </c>
      <c r="G1197" s="78">
        <v>1195</v>
      </c>
      <c r="H1197" s="79"/>
      <c r="I1197" s="79"/>
      <c r="J1197" s="79">
        <v>111.7907</v>
      </c>
      <c r="K1197" s="79">
        <v>111.0956</v>
      </c>
      <c r="L1197" s="79"/>
      <c r="M1197" s="79">
        <v>113.2811</v>
      </c>
      <c r="N1197" s="79">
        <v>105.5912</v>
      </c>
      <c r="O1197" s="79">
        <v>105.9</v>
      </c>
      <c r="P1197" s="79">
        <v>105.8121</v>
      </c>
      <c r="Q1197" s="79"/>
      <c r="R1197" s="79">
        <v>110.1</v>
      </c>
      <c r="S1197" s="79">
        <v>104.15089999999999</v>
      </c>
      <c r="T1197" s="79">
        <v>104.0318</v>
      </c>
      <c r="U1197" s="79">
        <v>109.0727</v>
      </c>
      <c r="V1197" s="79">
        <v>111.4093</v>
      </c>
      <c r="W1197" s="79">
        <v>100.4084</v>
      </c>
      <c r="X1197" s="79"/>
      <c r="Y1197" s="79">
        <v>106.8852</v>
      </c>
      <c r="Z1197" s="79">
        <v>106.7911</v>
      </c>
      <c r="AA1197" s="79">
        <v>103.59139999999999</v>
      </c>
      <c r="AB1197" s="79">
        <v>109.0909</v>
      </c>
      <c r="AC1197" s="79">
        <v>102.0915</v>
      </c>
      <c r="AD1197" s="79">
        <v>118.4</v>
      </c>
      <c r="AE1197" s="79"/>
      <c r="AF1197" s="79">
        <v>102.6914</v>
      </c>
      <c r="AG1197" s="79">
        <v>103.8014</v>
      </c>
      <c r="AH1197" s="79">
        <v>106.4259</v>
      </c>
      <c r="AI1197" s="79">
        <v>118.1</v>
      </c>
      <c r="AJ1197" s="79">
        <v>109.3391</v>
      </c>
      <c r="AK1197" s="79">
        <v>116.21939999999999</v>
      </c>
      <c r="AL1197" s="79">
        <v>122.4102</v>
      </c>
      <c r="AM1197" s="79">
        <v>107.2</v>
      </c>
      <c r="AN1197" s="79"/>
      <c r="AO1197" s="79">
        <v>105.1994</v>
      </c>
      <c r="AP1197" s="79">
        <v>106.0823</v>
      </c>
      <c r="AQ1197" s="79"/>
      <c r="AR1197" s="79"/>
      <c r="AS1197" s="79"/>
      <c r="AT1197" s="79">
        <v>115.10720000000001</v>
      </c>
      <c r="AU1197" s="79"/>
      <c r="AV1197" s="79">
        <v>109.2</v>
      </c>
      <c r="AW1197" s="79"/>
      <c r="AX1197" s="79">
        <v>116.0903</v>
      </c>
      <c r="AY1197" s="79">
        <v>97.770439999999994</v>
      </c>
    </row>
    <row r="1198" spans="1:51" x14ac:dyDescent="0.2">
      <c r="A1198" t="s">
        <v>1743</v>
      </c>
      <c r="B1198" s="1">
        <v>43344</v>
      </c>
      <c r="C1198" s="78">
        <v>1198</v>
      </c>
      <c r="E1198" s="1">
        <f t="shared" si="36"/>
        <v>43344</v>
      </c>
      <c r="F1198" s="2">
        <f t="shared" si="37"/>
        <v>43344</v>
      </c>
      <c r="G1198" s="78">
        <v>1196</v>
      </c>
      <c r="H1198" s="79"/>
      <c r="I1198" s="79"/>
      <c r="J1198" s="79">
        <v>106.89109999999999</v>
      </c>
      <c r="K1198" s="79">
        <v>110.7847</v>
      </c>
      <c r="L1198" s="79"/>
      <c r="M1198" s="79">
        <v>114.181</v>
      </c>
      <c r="N1198" s="79">
        <v>105.69119999999999</v>
      </c>
      <c r="O1198" s="79">
        <v>107.3</v>
      </c>
      <c r="P1198" s="79">
        <v>105.2251</v>
      </c>
      <c r="Q1198" s="79"/>
      <c r="R1198" s="79">
        <v>113.1</v>
      </c>
      <c r="S1198" s="79">
        <v>102.8909</v>
      </c>
      <c r="T1198" s="79">
        <v>104.23950000000001</v>
      </c>
      <c r="U1198" s="79">
        <v>107.8741</v>
      </c>
      <c r="V1198" s="79">
        <v>108.70910000000001</v>
      </c>
      <c r="W1198" s="79">
        <v>99.508290000000002</v>
      </c>
      <c r="X1198" s="79"/>
      <c r="Y1198" s="79">
        <v>102.76349999999999</v>
      </c>
      <c r="Z1198" s="79">
        <v>106.7911</v>
      </c>
      <c r="AA1198" s="79">
        <v>103.2914</v>
      </c>
      <c r="AB1198" s="79">
        <v>106.4911</v>
      </c>
      <c r="AC1198" s="79">
        <v>100.99160000000001</v>
      </c>
      <c r="AD1198" s="79">
        <v>113.7</v>
      </c>
      <c r="AE1198" s="79"/>
      <c r="AF1198" s="79">
        <v>102.7914</v>
      </c>
      <c r="AG1198" s="79">
        <v>102.8704</v>
      </c>
      <c r="AH1198" s="79">
        <v>105.9278</v>
      </c>
      <c r="AI1198" s="79">
        <v>117</v>
      </c>
      <c r="AJ1198" s="79">
        <v>106.6691</v>
      </c>
      <c r="AK1198" s="79">
        <v>114.51909999999999</v>
      </c>
      <c r="AL1198" s="79">
        <v>121.81019999999999</v>
      </c>
      <c r="AM1198" s="79">
        <v>109</v>
      </c>
      <c r="AN1198" s="79"/>
      <c r="AO1198" s="79">
        <v>105.3438</v>
      </c>
      <c r="AP1198" s="79">
        <v>105.4824</v>
      </c>
      <c r="AQ1198" s="79"/>
      <c r="AR1198" s="79"/>
      <c r="AS1198" s="79"/>
      <c r="AT1198" s="79">
        <v>115.81440000000001</v>
      </c>
      <c r="AU1198" s="79"/>
      <c r="AV1198" s="79">
        <v>109.5</v>
      </c>
      <c r="AW1198" s="79"/>
      <c r="AX1198" s="79">
        <v>111.8907</v>
      </c>
      <c r="AY1198" s="79">
        <v>95.238100000000003</v>
      </c>
    </row>
    <row r="1199" spans="1:51" x14ac:dyDescent="0.2">
      <c r="A1199" t="s">
        <v>1744</v>
      </c>
      <c r="B1199" s="1">
        <v>43374</v>
      </c>
      <c r="C1199" s="78">
        <v>1199</v>
      </c>
      <c r="E1199" s="1">
        <f t="shared" si="36"/>
        <v>43374</v>
      </c>
      <c r="F1199" s="2">
        <f t="shared" si="37"/>
        <v>43374</v>
      </c>
      <c r="G1199" s="78">
        <v>1197</v>
      </c>
      <c r="H1199" s="79"/>
      <c r="I1199" s="79"/>
      <c r="J1199" s="79">
        <v>106.7911</v>
      </c>
      <c r="K1199" s="79">
        <v>111.0137</v>
      </c>
      <c r="L1199" s="79"/>
      <c r="M1199" s="79">
        <v>113.3811</v>
      </c>
      <c r="N1199" s="79">
        <v>105.49120000000001</v>
      </c>
      <c r="O1199" s="79">
        <v>109.7</v>
      </c>
      <c r="P1199" s="79">
        <v>106.45910000000001</v>
      </c>
      <c r="Q1199" s="79"/>
      <c r="R1199" s="79">
        <v>111</v>
      </c>
      <c r="S1199" s="79">
        <v>103.65089999999999</v>
      </c>
      <c r="T1199" s="79">
        <v>103.3051</v>
      </c>
      <c r="U1199" s="79">
        <v>108.1738</v>
      </c>
      <c r="V1199" s="79">
        <v>110.6092</v>
      </c>
      <c r="W1199" s="79">
        <v>96.40804</v>
      </c>
      <c r="X1199" s="79"/>
      <c r="Y1199" s="79">
        <v>103.7002</v>
      </c>
      <c r="Z1199" s="79">
        <v>106.4911</v>
      </c>
      <c r="AA1199" s="79">
        <v>105.2912</v>
      </c>
      <c r="AB1199" s="79">
        <v>107.991</v>
      </c>
      <c r="AC1199" s="79">
        <v>104.6913</v>
      </c>
      <c r="AD1199" s="79">
        <v>114.4</v>
      </c>
      <c r="AE1199" s="79"/>
      <c r="AF1199" s="79">
        <v>103.1914</v>
      </c>
      <c r="AG1199" s="79">
        <v>103.3359</v>
      </c>
      <c r="AH1199" s="79">
        <v>106.4288</v>
      </c>
      <c r="AI1199" s="79">
        <v>117.9</v>
      </c>
      <c r="AJ1199" s="79">
        <v>106.4691</v>
      </c>
      <c r="AK1199" s="79">
        <v>117.1195</v>
      </c>
      <c r="AL1199" s="79">
        <v>122.7102</v>
      </c>
      <c r="AM1199" s="79">
        <v>111.2</v>
      </c>
      <c r="AN1199" s="79"/>
      <c r="AO1199" s="79">
        <v>105.5758</v>
      </c>
      <c r="AP1199" s="79">
        <v>105.3824</v>
      </c>
      <c r="AQ1199" s="79"/>
      <c r="AR1199" s="79"/>
      <c r="AS1199" s="79"/>
      <c r="AT1199" s="79">
        <v>119.2405</v>
      </c>
      <c r="AU1199" s="79"/>
      <c r="AV1199" s="79">
        <v>110.4</v>
      </c>
      <c r="AW1199" s="79"/>
      <c r="AX1199" s="79">
        <v>110.0908</v>
      </c>
      <c r="AY1199" s="79">
        <v>96.229010000000002</v>
      </c>
    </row>
    <row r="1200" spans="1:51" x14ac:dyDescent="0.2">
      <c r="A1200" t="s">
        <v>1745</v>
      </c>
      <c r="B1200" s="1">
        <v>43405</v>
      </c>
      <c r="C1200" s="78">
        <v>1200</v>
      </c>
      <c r="E1200" s="1">
        <f t="shared" si="36"/>
        <v>43405</v>
      </c>
      <c r="F1200" s="2">
        <f t="shared" si="37"/>
        <v>43405</v>
      </c>
      <c r="G1200" s="78">
        <v>1198</v>
      </c>
      <c r="H1200" s="79"/>
      <c r="I1200" s="79"/>
      <c r="J1200" s="79">
        <v>111.5907</v>
      </c>
      <c r="K1200" s="79">
        <v>110.0361</v>
      </c>
      <c r="L1200" s="79"/>
      <c r="M1200" s="79">
        <v>115.38079999999999</v>
      </c>
      <c r="N1200" s="79">
        <v>103.7914</v>
      </c>
      <c r="O1200" s="79">
        <v>109.9</v>
      </c>
      <c r="P1200" s="79">
        <v>104.1551</v>
      </c>
      <c r="Q1200" s="79"/>
      <c r="R1200" s="79">
        <v>111.2</v>
      </c>
      <c r="S1200" s="79">
        <v>102.79089999999999</v>
      </c>
      <c r="T1200" s="79">
        <v>102.68210000000001</v>
      </c>
      <c r="U1200" s="79">
        <v>112.9682</v>
      </c>
      <c r="V1200" s="79">
        <v>110.3092</v>
      </c>
      <c r="W1200" s="79">
        <v>93.50779</v>
      </c>
      <c r="X1200" s="79"/>
      <c r="Y1200" s="79">
        <v>100.1405</v>
      </c>
      <c r="Z1200" s="79">
        <v>104.5913</v>
      </c>
      <c r="AA1200" s="79">
        <v>104.0913</v>
      </c>
      <c r="AB1200" s="79">
        <v>105.8912</v>
      </c>
      <c r="AC1200" s="79">
        <v>103.1914</v>
      </c>
      <c r="AD1200" s="79">
        <v>115.8</v>
      </c>
      <c r="AE1200" s="79"/>
      <c r="AF1200" s="79">
        <v>103.4914</v>
      </c>
      <c r="AG1200" s="79">
        <v>100.7758</v>
      </c>
      <c r="AH1200" s="79">
        <v>105.89239999999999</v>
      </c>
      <c r="AI1200" s="79">
        <v>117.6</v>
      </c>
      <c r="AJ1200" s="79">
        <v>103.12909999999999</v>
      </c>
      <c r="AK1200" s="79">
        <v>114.4191</v>
      </c>
      <c r="AL1200" s="79">
        <v>122.81019999999999</v>
      </c>
      <c r="AM1200" s="79">
        <v>110</v>
      </c>
      <c r="AN1200" s="79"/>
      <c r="AO1200" s="79">
        <v>106.1427</v>
      </c>
      <c r="AP1200" s="79">
        <v>104.2826</v>
      </c>
      <c r="AQ1200" s="79"/>
      <c r="AR1200" s="79"/>
      <c r="AS1200" s="79"/>
      <c r="AT1200" s="79">
        <v>115.1575</v>
      </c>
      <c r="AU1200" s="79"/>
      <c r="AV1200" s="79">
        <v>110.8</v>
      </c>
      <c r="AW1200" s="79"/>
      <c r="AX1200" s="79">
        <v>110.0908</v>
      </c>
      <c r="AY1200" s="79">
        <v>96.449219999999997</v>
      </c>
    </row>
    <row r="1201" spans="1:51" x14ac:dyDescent="0.2">
      <c r="A1201" t="s">
        <v>1746</v>
      </c>
      <c r="B1201" s="1">
        <v>43435</v>
      </c>
      <c r="C1201" s="78">
        <v>1201</v>
      </c>
      <c r="E1201" s="1">
        <f t="shared" si="36"/>
        <v>43435</v>
      </c>
      <c r="F1201" s="2">
        <f t="shared" si="37"/>
        <v>43435</v>
      </c>
      <c r="G1201" s="78">
        <v>1199</v>
      </c>
      <c r="H1201" s="79"/>
      <c r="I1201" s="79"/>
      <c r="J1201" s="79">
        <v>106.2911</v>
      </c>
      <c r="K1201" s="79">
        <v>109.27719999999999</v>
      </c>
      <c r="L1201" s="79"/>
      <c r="M1201" s="79">
        <v>114.181</v>
      </c>
      <c r="N1201" s="79">
        <v>104.8913</v>
      </c>
      <c r="O1201" s="79">
        <v>119.3</v>
      </c>
      <c r="P1201" s="79">
        <v>103.5211</v>
      </c>
      <c r="Q1201" s="79"/>
      <c r="R1201" s="79">
        <v>113</v>
      </c>
      <c r="S1201" s="79">
        <v>103.7009</v>
      </c>
      <c r="T1201" s="79">
        <v>102.68210000000001</v>
      </c>
      <c r="U1201" s="79">
        <v>110.6709</v>
      </c>
      <c r="V1201" s="79">
        <v>115.6096</v>
      </c>
      <c r="W1201" s="79">
        <v>84.707059999999998</v>
      </c>
      <c r="X1201" s="79"/>
      <c r="Y1201" s="79">
        <v>104.8244</v>
      </c>
      <c r="Z1201" s="79">
        <v>104.99120000000001</v>
      </c>
      <c r="AA1201" s="79">
        <v>104.3913</v>
      </c>
      <c r="AB1201" s="79">
        <v>104.4913</v>
      </c>
      <c r="AC1201" s="79">
        <v>103.9913</v>
      </c>
      <c r="AD1201" s="79">
        <v>119.3</v>
      </c>
      <c r="AE1201" s="79"/>
      <c r="AF1201" s="79">
        <v>100.7916</v>
      </c>
      <c r="AG1201" s="79">
        <v>100.5431</v>
      </c>
      <c r="AH1201" s="79">
        <v>105.78830000000001</v>
      </c>
      <c r="AI1201" s="79">
        <v>118.6</v>
      </c>
      <c r="AJ1201" s="79">
        <v>103.06910000000001</v>
      </c>
      <c r="AK1201" s="79">
        <v>117.1195</v>
      </c>
      <c r="AL1201" s="79">
        <v>121.4101</v>
      </c>
      <c r="AM1201" s="79">
        <v>111.8</v>
      </c>
      <c r="AN1201" s="79"/>
      <c r="AO1201" s="79">
        <v>106.1859</v>
      </c>
      <c r="AP1201" s="79">
        <v>104.0826</v>
      </c>
      <c r="AQ1201" s="79"/>
      <c r="AR1201" s="79"/>
      <c r="AS1201" s="79"/>
      <c r="AT1201" s="79">
        <v>116.0369</v>
      </c>
      <c r="AU1201" s="79"/>
      <c r="AV1201" s="79">
        <v>112.1</v>
      </c>
      <c r="AW1201" s="79"/>
      <c r="AX1201" s="79">
        <v>108.491</v>
      </c>
      <c r="AY1201" s="79">
        <v>97.219920000000002</v>
      </c>
    </row>
    <row r="1202" spans="1:51" x14ac:dyDescent="0.2">
      <c r="A1202" t="s">
        <v>1747</v>
      </c>
      <c r="B1202" s="1">
        <v>43466</v>
      </c>
      <c r="C1202" s="78">
        <v>1202</v>
      </c>
      <c r="E1202" s="1">
        <f t="shared" si="36"/>
        <v>43466</v>
      </c>
      <c r="F1202" s="2">
        <f t="shared" si="37"/>
        <v>43466</v>
      </c>
      <c r="G1202" s="78">
        <v>1200</v>
      </c>
      <c r="H1202" s="79"/>
      <c r="I1202" s="79"/>
      <c r="J1202" s="79">
        <v>112.19070000000001</v>
      </c>
      <c r="K1202" s="79">
        <v>108.4952</v>
      </c>
      <c r="L1202" s="79"/>
      <c r="M1202" s="79">
        <v>113.4811</v>
      </c>
      <c r="N1202" s="79">
        <v>103.7914</v>
      </c>
      <c r="O1202" s="79">
        <v>110.9</v>
      </c>
      <c r="P1202" s="79">
        <v>107.1521</v>
      </c>
      <c r="Q1202" s="79"/>
      <c r="R1202" s="79">
        <v>113.7</v>
      </c>
      <c r="S1202" s="79">
        <v>104.7709</v>
      </c>
      <c r="T1202" s="79">
        <v>103.2012</v>
      </c>
      <c r="U1202" s="79">
        <v>110.9705</v>
      </c>
      <c r="V1202" s="79">
        <v>114.20950000000001</v>
      </c>
      <c r="W1202" s="79">
        <v>93.907830000000004</v>
      </c>
      <c r="X1202" s="79"/>
      <c r="Y1202" s="79">
        <v>104.7307</v>
      </c>
      <c r="Z1202" s="79">
        <v>105.69119999999999</v>
      </c>
      <c r="AA1202" s="79">
        <v>102.39149999999999</v>
      </c>
      <c r="AB1202" s="79">
        <v>104.99120000000001</v>
      </c>
      <c r="AC1202" s="79">
        <v>102.1915</v>
      </c>
      <c r="AD1202" s="79">
        <v>116.8</v>
      </c>
      <c r="AE1202" s="79"/>
      <c r="AF1202" s="79">
        <v>103.9913</v>
      </c>
      <c r="AG1202" s="79">
        <v>98.448409999999996</v>
      </c>
      <c r="AH1202" s="79">
        <v>105.73</v>
      </c>
      <c r="AI1202" s="79">
        <v>119.6</v>
      </c>
      <c r="AJ1202" s="79">
        <v>104.6491</v>
      </c>
      <c r="AK1202" s="79">
        <v>114.4191</v>
      </c>
      <c r="AL1202" s="79">
        <v>126.9106</v>
      </c>
      <c r="AM1202" s="79">
        <v>112.4</v>
      </c>
      <c r="AN1202" s="79"/>
      <c r="AO1202" s="79">
        <v>105.76990000000001</v>
      </c>
      <c r="AP1202" s="79">
        <v>105.2825</v>
      </c>
      <c r="AQ1202" s="79"/>
      <c r="AR1202" s="79"/>
      <c r="AS1202" s="79"/>
      <c r="AT1202" s="79"/>
      <c r="AU1202" s="79"/>
      <c r="AV1202" s="79">
        <v>111.3</v>
      </c>
      <c r="AW1202" s="79"/>
      <c r="AX1202" s="79">
        <v>109.99079999999999</v>
      </c>
      <c r="AY1202" s="79">
        <v>96.229010000000002</v>
      </c>
    </row>
    <row r="1203" spans="1:51" x14ac:dyDescent="0.2">
      <c r="A1203" t="s">
        <v>1748</v>
      </c>
      <c r="B1203" s="1">
        <v>43497</v>
      </c>
      <c r="C1203" s="78">
        <v>1203</v>
      </c>
      <c r="E1203" s="1">
        <f t="shared" si="36"/>
        <v>43497</v>
      </c>
      <c r="F1203" s="2">
        <f t="shared" si="37"/>
        <v>43497</v>
      </c>
      <c r="G1203" s="78">
        <v>1201</v>
      </c>
      <c r="H1203" s="79"/>
      <c r="I1203" s="79"/>
      <c r="J1203" s="79">
        <v>111.2907</v>
      </c>
      <c r="K1203" s="79">
        <v>107.84690000000001</v>
      </c>
      <c r="L1203" s="79"/>
      <c r="M1203" s="79">
        <v>112.9812</v>
      </c>
      <c r="N1203" s="79">
        <v>103.6914</v>
      </c>
      <c r="O1203" s="79">
        <v>109.5</v>
      </c>
      <c r="P1203" s="79">
        <v>106.0741</v>
      </c>
      <c r="Q1203" s="79"/>
      <c r="R1203" s="79">
        <v>112.3</v>
      </c>
      <c r="S1203" s="79">
        <v>104.2809</v>
      </c>
      <c r="T1203" s="79">
        <v>103.6165</v>
      </c>
      <c r="U1203" s="79">
        <v>109.87179999999999</v>
      </c>
      <c r="V1203" s="79">
        <v>115.6096</v>
      </c>
      <c r="W1203" s="79">
        <v>97.908159999999995</v>
      </c>
      <c r="X1203" s="79"/>
      <c r="Y1203" s="79">
        <v>104.91800000000001</v>
      </c>
      <c r="Z1203" s="79">
        <v>106.4911</v>
      </c>
      <c r="AA1203" s="79">
        <v>102.8914</v>
      </c>
      <c r="AB1203" s="79">
        <v>102.39149999999999</v>
      </c>
      <c r="AC1203" s="79">
        <v>101.19159999999999</v>
      </c>
      <c r="AD1203" s="79">
        <v>115.8</v>
      </c>
      <c r="AE1203" s="79"/>
      <c r="AF1203" s="79">
        <v>102.8914</v>
      </c>
      <c r="AG1203" s="79">
        <v>96.470129999999997</v>
      </c>
      <c r="AH1203" s="79">
        <v>105.5566</v>
      </c>
      <c r="AI1203" s="79">
        <v>121.7</v>
      </c>
      <c r="AJ1203" s="79">
        <v>103.1091</v>
      </c>
      <c r="AK1203" s="79">
        <v>115.3192</v>
      </c>
      <c r="AL1203" s="79">
        <v>124.0103</v>
      </c>
      <c r="AM1203" s="79">
        <v>111.7</v>
      </c>
      <c r="AN1203" s="79"/>
      <c r="AO1203" s="79">
        <v>105.2364</v>
      </c>
      <c r="AP1203" s="79">
        <v>105.1825</v>
      </c>
      <c r="AQ1203" s="79"/>
      <c r="AR1203" s="79"/>
      <c r="AS1203" s="79"/>
      <c r="AT1203" s="79"/>
      <c r="AU1203" s="79"/>
      <c r="AV1203" s="79">
        <v>111.5</v>
      </c>
      <c r="AW1203" s="79"/>
      <c r="AX1203" s="79">
        <v>111.4907</v>
      </c>
      <c r="AY1203" s="79">
        <v>96.779520000000005</v>
      </c>
    </row>
    <row r="1204" spans="1:51" x14ac:dyDescent="0.2">
      <c r="A1204" t="s">
        <v>1749</v>
      </c>
      <c r="B1204" s="1">
        <v>43525</v>
      </c>
      <c r="C1204" s="78">
        <v>1204</v>
      </c>
      <c r="E1204" s="1">
        <f t="shared" si="36"/>
        <v>43525</v>
      </c>
      <c r="F1204" s="2">
        <f t="shared" si="37"/>
        <v>43525</v>
      </c>
      <c r="G1204" s="78">
        <v>1202</v>
      </c>
      <c r="H1204" s="79"/>
      <c r="I1204" s="79"/>
      <c r="J1204" s="79">
        <v>110.6908</v>
      </c>
      <c r="K1204" s="79">
        <v>109.8168</v>
      </c>
      <c r="L1204" s="79"/>
      <c r="M1204" s="79">
        <v>113.3811</v>
      </c>
      <c r="N1204" s="79">
        <v>104.4913</v>
      </c>
      <c r="O1204" s="79">
        <v>112.5</v>
      </c>
      <c r="P1204" s="79">
        <v>105.07810000000001</v>
      </c>
      <c r="Q1204" s="79"/>
      <c r="R1204" s="79">
        <v>111</v>
      </c>
      <c r="S1204" s="79">
        <v>103.6309</v>
      </c>
      <c r="T1204" s="79">
        <v>105.1739</v>
      </c>
      <c r="U1204" s="79">
        <v>107.8741</v>
      </c>
      <c r="V1204" s="79">
        <v>116.9097</v>
      </c>
      <c r="W1204" s="79">
        <v>93.107759999999999</v>
      </c>
      <c r="X1204" s="79"/>
      <c r="Y1204" s="79">
        <v>106.8852</v>
      </c>
      <c r="Z1204" s="79">
        <v>105.69119999999999</v>
      </c>
      <c r="AA1204" s="79">
        <v>102.4915</v>
      </c>
      <c r="AB1204" s="79">
        <v>103.8913</v>
      </c>
      <c r="AC1204" s="79">
        <v>100.8916</v>
      </c>
      <c r="AD1204" s="79">
        <v>116.5</v>
      </c>
      <c r="AE1204" s="79"/>
      <c r="AF1204" s="79">
        <v>103.3914</v>
      </c>
      <c r="AG1204" s="79">
        <v>95.655550000000005</v>
      </c>
      <c r="AH1204" s="79">
        <v>105.86020000000001</v>
      </c>
      <c r="AI1204" s="79">
        <v>122.2</v>
      </c>
      <c r="AJ1204" s="79">
        <v>102.8091</v>
      </c>
      <c r="AK1204" s="79">
        <v>117.61960000000001</v>
      </c>
      <c r="AL1204" s="79">
        <v>125.21040000000001</v>
      </c>
      <c r="AM1204" s="79">
        <v>110.8</v>
      </c>
      <c r="AN1204" s="79"/>
      <c r="AO1204" s="79">
        <v>105.3497</v>
      </c>
      <c r="AP1204" s="79">
        <v>104.88249999999999</v>
      </c>
      <c r="AQ1204" s="79"/>
      <c r="AR1204" s="79"/>
      <c r="AS1204" s="79"/>
      <c r="AT1204" s="79"/>
      <c r="AU1204" s="79"/>
      <c r="AV1204" s="79">
        <v>111.8</v>
      </c>
      <c r="AW1204" s="79"/>
      <c r="AX1204" s="79">
        <v>114.29049999999999</v>
      </c>
      <c r="AY1204" s="79">
        <v>95.568399999999997</v>
      </c>
    </row>
    <row r="1205" spans="1:51" x14ac:dyDescent="0.2">
      <c r="A1205" t="s">
        <v>1750</v>
      </c>
      <c r="B1205" s="1">
        <v>43556</v>
      </c>
      <c r="C1205" s="78">
        <v>1205</v>
      </c>
      <c r="E1205" s="1">
        <f t="shared" si="36"/>
        <v>43556</v>
      </c>
      <c r="F1205" s="2">
        <f t="shared" si="37"/>
        <v>43556</v>
      </c>
      <c r="G1205" s="78">
        <v>1203</v>
      </c>
      <c r="H1205" s="79"/>
      <c r="I1205" s="79"/>
      <c r="J1205" s="79">
        <v>117.39019999999999</v>
      </c>
      <c r="K1205" s="79">
        <v>111.953</v>
      </c>
      <c r="L1205" s="79"/>
      <c r="M1205" s="79">
        <v>114.28100000000001</v>
      </c>
      <c r="N1205" s="79">
        <v>101.7915</v>
      </c>
      <c r="O1205" s="79">
        <v>112.8</v>
      </c>
      <c r="P1205" s="79">
        <v>106.9421</v>
      </c>
      <c r="Q1205" s="79"/>
      <c r="R1205" s="79">
        <v>115.2</v>
      </c>
      <c r="S1205" s="79">
        <v>104.0809</v>
      </c>
      <c r="T1205" s="79">
        <v>101.8515</v>
      </c>
      <c r="U1205" s="79">
        <v>109.6721</v>
      </c>
      <c r="V1205" s="79">
        <v>115.1096</v>
      </c>
      <c r="W1205" s="79">
        <v>96.007999999999996</v>
      </c>
      <c r="X1205" s="79"/>
      <c r="Y1205" s="79">
        <v>107.6347</v>
      </c>
      <c r="Z1205" s="79">
        <v>105.19119999999999</v>
      </c>
      <c r="AA1205" s="79">
        <v>102.6914</v>
      </c>
      <c r="AB1205" s="79">
        <v>105.69119999999999</v>
      </c>
      <c r="AC1205" s="79">
        <v>102.1915</v>
      </c>
      <c r="AD1205" s="79">
        <v>114.3</v>
      </c>
      <c r="AE1205" s="79"/>
      <c r="AF1205" s="79">
        <v>102.2915</v>
      </c>
      <c r="AG1205" s="79">
        <v>96.470129999999997</v>
      </c>
      <c r="AH1205" s="79">
        <v>105.6215</v>
      </c>
      <c r="AI1205" s="79">
        <v>122.1</v>
      </c>
      <c r="AJ1205" s="79">
        <v>105.8391</v>
      </c>
      <c r="AK1205" s="79">
        <v>116.21939999999999</v>
      </c>
      <c r="AL1205" s="79">
        <v>126.51049999999999</v>
      </c>
      <c r="AM1205" s="79">
        <v>110.9</v>
      </c>
      <c r="AN1205" s="79"/>
      <c r="AO1205" s="79">
        <v>104.6848</v>
      </c>
      <c r="AP1205" s="79">
        <v>104.2826</v>
      </c>
      <c r="AQ1205" s="79"/>
      <c r="AR1205" s="79"/>
      <c r="AS1205" s="79"/>
      <c r="AT1205" s="79"/>
      <c r="AU1205" s="79"/>
      <c r="AV1205" s="79">
        <v>112.5</v>
      </c>
      <c r="AW1205" s="79"/>
      <c r="AX1205" s="79">
        <v>113.6905</v>
      </c>
      <c r="AY1205" s="79">
        <v>95.788600000000002</v>
      </c>
    </row>
    <row r="1206" spans="1:51" x14ac:dyDescent="0.2">
      <c r="A1206" t="s">
        <v>1751</v>
      </c>
      <c r="B1206" s="1">
        <v>43586</v>
      </c>
      <c r="C1206" s="78">
        <v>1206</v>
      </c>
      <c r="E1206" s="1">
        <f t="shared" si="36"/>
        <v>43586</v>
      </c>
      <c r="F1206" s="2">
        <f t="shared" si="37"/>
        <v>43586</v>
      </c>
      <c r="G1206" s="78">
        <v>1204</v>
      </c>
      <c r="H1206" s="79"/>
      <c r="I1206" s="79"/>
      <c r="J1206" s="79">
        <v>112.89060000000001</v>
      </c>
      <c r="K1206" s="79">
        <v>112.05889999999999</v>
      </c>
      <c r="L1206" s="79"/>
      <c r="M1206" s="79">
        <v>116.3806</v>
      </c>
      <c r="N1206" s="79">
        <v>102.6914</v>
      </c>
      <c r="O1206" s="79">
        <v>118.4</v>
      </c>
      <c r="P1206" s="79">
        <v>107.05110000000001</v>
      </c>
      <c r="Q1206" s="79"/>
      <c r="R1206" s="79">
        <v>112.7</v>
      </c>
      <c r="S1206" s="79">
        <v>105.8109</v>
      </c>
      <c r="T1206" s="79">
        <v>103.09739999999999</v>
      </c>
      <c r="U1206" s="79">
        <v>108.07389999999999</v>
      </c>
      <c r="V1206" s="79">
        <v>118.2099</v>
      </c>
      <c r="W1206" s="79">
        <v>98.70823</v>
      </c>
      <c r="X1206" s="79"/>
      <c r="Y1206" s="79">
        <v>105.9485</v>
      </c>
      <c r="Z1206" s="79">
        <v>106.0912</v>
      </c>
      <c r="AA1206" s="79">
        <v>103.8913</v>
      </c>
      <c r="AB1206" s="79">
        <v>104.8913</v>
      </c>
      <c r="AC1206" s="79">
        <v>100.8916</v>
      </c>
      <c r="AD1206" s="79">
        <v>116.7</v>
      </c>
      <c r="AE1206" s="79"/>
      <c r="AF1206" s="79">
        <v>102.6914</v>
      </c>
      <c r="AG1206" s="79">
        <v>96.702870000000004</v>
      </c>
      <c r="AH1206" s="79">
        <v>106.1921</v>
      </c>
      <c r="AI1206" s="79">
        <v>122.3</v>
      </c>
      <c r="AJ1206" s="79">
        <v>106.3691</v>
      </c>
      <c r="AK1206" s="79">
        <v>116.0193</v>
      </c>
      <c r="AL1206" s="79">
        <v>125.4105</v>
      </c>
      <c r="AM1206" s="79">
        <v>112.3</v>
      </c>
      <c r="AN1206" s="79"/>
      <c r="AO1206" s="79">
        <v>104.913</v>
      </c>
      <c r="AP1206" s="79">
        <v>105.0825</v>
      </c>
      <c r="AQ1206" s="79"/>
      <c r="AR1206" s="79"/>
      <c r="AS1206" s="79"/>
      <c r="AT1206" s="79"/>
      <c r="AU1206" s="79"/>
      <c r="AV1206" s="79">
        <v>112.4</v>
      </c>
      <c r="AW1206" s="79"/>
      <c r="AX1206" s="79">
        <v>115.0904</v>
      </c>
      <c r="AY1206" s="79">
        <v>96.229010000000002</v>
      </c>
    </row>
    <row r="1207" spans="1:51" x14ac:dyDescent="0.2">
      <c r="A1207" t="s">
        <v>1752</v>
      </c>
      <c r="B1207" s="1">
        <v>43617</v>
      </c>
      <c r="C1207" s="78">
        <v>1207</v>
      </c>
      <c r="E1207" s="1">
        <f t="shared" si="36"/>
        <v>43617</v>
      </c>
      <c r="F1207" s="2">
        <f t="shared" si="37"/>
        <v>43617</v>
      </c>
      <c r="G1207" s="78">
        <v>1205</v>
      </c>
      <c r="H1207" s="79"/>
      <c r="I1207" s="79"/>
      <c r="J1207" s="79">
        <v>118.0902</v>
      </c>
      <c r="K1207" s="79">
        <v>111.3652</v>
      </c>
      <c r="L1207" s="79"/>
      <c r="M1207" s="79">
        <v>112.5812</v>
      </c>
      <c r="N1207" s="79">
        <v>101.4915</v>
      </c>
      <c r="O1207" s="79">
        <v>110.4</v>
      </c>
      <c r="P1207" s="79">
        <v>106.9241</v>
      </c>
      <c r="Q1207" s="79"/>
      <c r="R1207" s="79">
        <v>114.4</v>
      </c>
      <c r="S1207" s="79">
        <v>103.3509</v>
      </c>
      <c r="T1207" s="79">
        <v>102.68210000000001</v>
      </c>
      <c r="U1207" s="79">
        <v>107.8741</v>
      </c>
      <c r="V1207" s="79">
        <v>114.5095</v>
      </c>
      <c r="W1207" s="79">
        <v>93.607799999999997</v>
      </c>
      <c r="X1207" s="79"/>
      <c r="Y1207" s="79">
        <v>104.5433</v>
      </c>
      <c r="Z1207" s="79">
        <v>105.7912</v>
      </c>
      <c r="AA1207" s="79">
        <v>101.39149999999999</v>
      </c>
      <c r="AB1207" s="79">
        <v>105.19119999999999</v>
      </c>
      <c r="AC1207" s="79">
        <v>98.79177</v>
      </c>
      <c r="AD1207" s="79">
        <v>118.2</v>
      </c>
      <c r="AE1207" s="79"/>
      <c r="AF1207" s="79">
        <v>101.5915</v>
      </c>
      <c r="AG1207" s="79">
        <v>94.957329999999999</v>
      </c>
      <c r="AH1207" s="79">
        <v>105.04810000000001</v>
      </c>
      <c r="AI1207" s="79">
        <v>119.8</v>
      </c>
      <c r="AJ1207" s="79">
        <v>100.72920000000001</v>
      </c>
      <c r="AK1207" s="79">
        <v>114.31910000000001</v>
      </c>
      <c r="AL1207" s="79">
        <v>124.21040000000001</v>
      </c>
      <c r="AM1207" s="79">
        <v>112.5</v>
      </c>
      <c r="AN1207" s="79"/>
      <c r="AO1207" s="79">
        <v>104.962</v>
      </c>
      <c r="AP1207" s="79">
        <v>103.8827</v>
      </c>
      <c r="AQ1207" s="79"/>
      <c r="AR1207" s="79"/>
      <c r="AS1207" s="79"/>
      <c r="AT1207" s="79"/>
      <c r="AU1207" s="79"/>
      <c r="AV1207" s="79">
        <v>113.9</v>
      </c>
      <c r="AW1207" s="79"/>
      <c r="AX1207" s="79">
        <v>109.29089999999999</v>
      </c>
      <c r="AY1207" s="79">
        <v>95.348200000000006</v>
      </c>
    </row>
    <row r="1208" spans="1:51" x14ac:dyDescent="0.2">
      <c r="A1208" t="s">
        <v>1753</v>
      </c>
      <c r="B1208" s="1">
        <v>43647</v>
      </c>
      <c r="C1208" s="78">
        <v>1208</v>
      </c>
      <c r="E1208" s="1">
        <f t="shared" si="36"/>
        <v>43647</v>
      </c>
      <c r="F1208" s="2">
        <f t="shared" si="37"/>
        <v>43647</v>
      </c>
      <c r="G1208" s="78">
        <v>1206</v>
      </c>
      <c r="H1208" s="79"/>
      <c r="I1208" s="79"/>
      <c r="J1208" s="79">
        <v>109.6909</v>
      </c>
      <c r="K1208" s="79">
        <v>109.22020000000001</v>
      </c>
      <c r="L1208" s="79"/>
      <c r="M1208" s="79">
        <v>112.4813</v>
      </c>
      <c r="N1208" s="79">
        <v>101.2916</v>
      </c>
      <c r="O1208" s="79">
        <v>114</v>
      </c>
      <c r="P1208" s="79">
        <v>107.1981</v>
      </c>
      <c r="Q1208" s="79"/>
      <c r="R1208" s="79">
        <v>115</v>
      </c>
      <c r="S1208" s="79">
        <v>103.6709</v>
      </c>
      <c r="T1208" s="79">
        <v>102.47450000000001</v>
      </c>
      <c r="U1208" s="79">
        <v>106.47580000000001</v>
      </c>
      <c r="V1208" s="79">
        <v>116.6097</v>
      </c>
      <c r="W1208" s="79">
        <v>96.908069999999995</v>
      </c>
      <c r="X1208" s="79"/>
      <c r="Y1208" s="79">
        <v>109.78919999999999</v>
      </c>
      <c r="Z1208" s="79">
        <v>106.19119999999999</v>
      </c>
      <c r="AA1208" s="79">
        <v>101.7915</v>
      </c>
      <c r="AB1208" s="79">
        <v>107.59099999999999</v>
      </c>
      <c r="AC1208" s="79">
        <v>97.791849999999997</v>
      </c>
      <c r="AD1208" s="79">
        <v>115.9</v>
      </c>
      <c r="AE1208" s="79"/>
      <c r="AF1208" s="79">
        <v>101.6915</v>
      </c>
      <c r="AG1208" s="79">
        <v>96.237399999999994</v>
      </c>
      <c r="AH1208" s="79">
        <v>105.5188</v>
      </c>
      <c r="AI1208" s="79">
        <v>120.8</v>
      </c>
      <c r="AJ1208" s="79">
        <v>106.4091</v>
      </c>
      <c r="AK1208" s="79">
        <v>113.1189</v>
      </c>
      <c r="AL1208" s="79">
        <v>125.3104</v>
      </c>
      <c r="AM1208" s="79">
        <v>112.8</v>
      </c>
      <c r="AN1208" s="79"/>
      <c r="AO1208" s="79">
        <v>104.7774</v>
      </c>
      <c r="AP1208" s="79">
        <v>103.78270000000001</v>
      </c>
      <c r="AQ1208" s="79"/>
      <c r="AR1208" s="79"/>
      <c r="AS1208" s="79"/>
      <c r="AT1208" s="79"/>
      <c r="AU1208" s="79"/>
      <c r="AV1208" s="79">
        <v>113.6</v>
      </c>
      <c r="AW1208" s="79"/>
      <c r="AX1208" s="79">
        <v>113.9905</v>
      </c>
      <c r="AY1208" s="79">
        <v>94.026979999999995</v>
      </c>
    </row>
    <row r="1209" spans="1:51" x14ac:dyDescent="0.2">
      <c r="A1209" t="s">
        <v>1754</v>
      </c>
      <c r="B1209" s="1">
        <v>43678</v>
      </c>
      <c r="C1209" s="78">
        <v>1209</v>
      </c>
      <c r="E1209" s="1">
        <f t="shared" si="36"/>
        <v>43678</v>
      </c>
      <c r="F1209" s="2">
        <f t="shared" si="37"/>
        <v>43678</v>
      </c>
      <c r="G1209" s="78">
        <v>1207</v>
      </c>
      <c r="H1209" s="79"/>
      <c r="I1209" s="79"/>
      <c r="J1209" s="79">
        <v>116.7903</v>
      </c>
      <c r="K1209" s="79">
        <v>108.86539999999999</v>
      </c>
      <c r="L1209" s="79"/>
      <c r="M1209" s="79">
        <v>112.3813</v>
      </c>
      <c r="N1209" s="79">
        <v>101.4915</v>
      </c>
      <c r="O1209" s="79">
        <v>109.9</v>
      </c>
      <c r="P1209" s="79">
        <v>107.21510000000001</v>
      </c>
      <c r="Q1209" s="79"/>
      <c r="R1209" s="79">
        <v>114</v>
      </c>
      <c r="S1209" s="79">
        <v>102.62090000000001</v>
      </c>
      <c r="T1209" s="79">
        <v>101.6439</v>
      </c>
      <c r="U1209" s="79">
        <v>108.7731</v>
      </c>
      <c r="V1209" s="79">
        <v>114.70959999999999</v>
      </c>
      <c r="W1209" s="79">
        <v>99.808319999999995</v>
      </c>
      <c r="X1209" s="79"/>
      <c r="Y1209" s="79">
        <v>108.85250000000001</v>
      </c>
      <c r="Z1209" s="79">
        <v>105.2912</v>
      </c>
      <c r="AA1209" s="79">
        <v>100.49160000000001</v>
      </c>
      <c r="AB1209" s="79">
        <v>106.19119999999999</v>
      </c>
      <c r="AC1209" s="79">
        <v>101.39149999999999</v>
      </c>
      <c r="AD1209" s="79">
        <v>119.4</v>
      </c>
      <c r="AE1209" s="79"/>
      <c r="AF1209" s="79">
        <v>101.89149999999999</v>
      </c>
      <c r="AG1209" s="79">
        <v>94.375489999999999</v>
      </c>
      <c r="AH1209" s="79">
        <v>105.2276</v>
      </c>
      <c r="AI1209" s="79">
        <v>119.2</v>
      </c>
      <c r="AJ1209" s="79">
        <v>103.5291</v>
      </c>
      <c r="AK1209" s="79">
        <v>109.7183</v>
      </c>
      <c r="AL1209" s="79">
        <v>123.3103</v>
      </c>
      <c r="AM1209" s="79">
        <v>112.4</v>
      </c>
      <c r="AN1209" s="79"/>
      <c r="AO1209" s="79">
        <v>105.51609999999999</v>
      </c>
      <c r="AP1209" s="79">
        <v>103.8827</v>
      </c>
      <c r="AQ1209" s="79"/>
      <c r="AR1209" s="79"/>
      <c r="AS1209" s="79"/>
      <c r="AT1209" s="79"/>
      <c r="AU1209" s="79"/>
      <c r="AV1209" s="79">
        <v>113.6</v>
      </c>
      <c r="AW1209" s="79"/>
      <c r="AX1209" s="79">
        <v>111.2907</v>
      </c>
      <c r="AY1209" s="79">
        <v>95.568399999999997</v>
      </c>
    </row>
    <row r="1210" spans="1:51" x14ac:dyDescent="0.2">
      <c r="A1210" t="s">
        <v>1755</v>
      </c>
      <c r="B1210" s="1">
        <v>43709</v>
      </c>
      <c r="C1210" s="78">
        <v>1210</v>
      </c>
      <c r="E1210" s="1">
        <f t="shared" si="36"/>
        <v>43709</v>
      </c>
      <c r="F1210" s="2">
        <f t="shared" si="37"/>
        <v>43709</v>
      </c>
      <c r="G1210" s="78">
        <v>1208</v>
      </c>
      <c r="H1210" s="79"/>
      <c r="I1210" s="79"/>
      <c r="J1210" s="79">
        <v>115.49039999999999</v>
      </c>
      <c r="K1210" s="79">
        <v>108.5508</v>
      </c>
      <c r="L1210" s="79"/>
      <c r="M1210" s="79">
        <v>113.0812</v>
      </c>
      <c r="N1210" s="79">
        <v>100.69159999999999</v>
      </c>
      <c r="O1210" s="79">
        <v>112</v>
      </c>
      <c r="P1210" s="79">
        <v>105.5951</v>
      </c>
      <c r="Q1210" s="79"/>
      <c r="R1210" s="79">
        <v>114.4</v>
      </c>
      <c r="S1210" s="79">
        <v>103.68089999999999</v>
      </c>
      <c r="T1210" s="79">
        <v>102.0592</v>
      </c>
      <c r="U1210" s="79">
        <v>109.3724</v>
      </c>
      <c r="V1210" s="79">
        <v>118.5099</v>
      </c>
      <c r="W1210" s="79">
        <v>104.0087</v>
      </c>
      <c r="X1210" s="79"/>
      <c r="Y1210" s="79">
        <v>108.4778</v>
      </c>
      <c r="Z1210" s="79">
        <v>104.79130000000001</v>
      </c>
      <c r="AA1210" s="79">
        <v>102.4915</v>
      </c>
      <c r="AB1210" s="79">
        <v>107.991</v>
      </c>
      <c r="AC1210" s="79">
        <v>99.791690000000003</v>
      </c>
      <c r="AD1210" s="79">
        <v>120.2</v>
      </c>
      <c r="AE1210" s="79"/>
      <c r="AF1210" s="79">
        <v>103.09139999999999</v>
      </c>
      <c r="AG1210" s="79">
        <v>93.677269999999993</v>
      </c>
      <c r="AH1210" s="79">
        <v>105.70869999999999</v>
      </c>
      <c r="AI1210" s="79">
        <v>120.7</v>
      </c>
      <c r="AJ1210" s="79">
        <v>100.8492</v>
      </c>
      <c r="AK1210" s="79">
        <v>111.0185</v>
      </c>
      <c r="AL1210" s="79">
        <v>124.71040000000001</v>
      </c>
      <c r="AM1210" s="79">
        <v>111.8</v>
      </c>
      <c r="AN1210" s="79"/>
      <c r="AO1210" s="79">
        <v>105.1494</v>
      </c>
      <c r="AP1210" s="79">
        <v>103.8827</v>
      </c>
      <c r="AQ1210" s="79"/>
      <c r="AR1210" s="79"/>
      <c r="AS1210" s="79"/>
      <c r="AT1210" s="79"/>
      <c r="AU1210" s="79"/>
      <c r="AV1210" s="79">
        <v>114</v>
      </c>
      <c r="AW1210" s="79"/>
      <c r="AX1210" s="79">
        <v>115.29040000000001</v>
      </c>
      <c r="AY1210" s="79">
        <v>95.6785</v>
      </c>
    </row>
    <row r="1211" spans="1:51" x14ac:dyDescent="0.2">
      <c r="A1211" t="s">
        <v>1756</v>
      </c>
      <c r="B1211" s="1">
        <v>43739</v>
      </c>
      <c r="C1211" s="78">
        <v>1211</v>
      </c>
      <c r="E1211" s="1">
        <f t="shared" si="36"/>
        <v>43739</v>
      </c>
      <c r="F1211" s="2">
        <f t="shared" si="37"/>
        <v>43739</v>
      </c>
      <c r="G1211" s="78">
        <v>1209</v>
      </c>
      <c r="H1211" s="79"/>
      <c r="I1211" s="79"/>
      <c r="J1211" s="79">
        <v>111.9907</v>
      </c>
      <c r="K1211" s="79">
        <v>108.9264</v>
      </c>
      <c r="L1211" s="79"/>
      <c r="M1211" s="79">
        <v>113.0812</v>
      </c>
      <c r="N1211" s="79">
        <v>99.491709999999998</v>
      </c>
      <c r="O1211" s="79">
        <v>110.1</v>
      </c>
      <c r="P1211" s="79">
        <v>104.48609999999999</v>
      </c>
      <c r="Q1211" s="79"/>
      <c r="R1211" s="79">
        <v>112.6</v>
      </c>
      <c r="S1211" s="79">
        <v>103.5609</v>
      </c>
      <c r="T1211" s="79">
        <v>102.5783</v>
      </c>
      <c r="U1211" s="79">
        <v>107.4746</v>
      </c>
      <c r="V1211" s="79">
        <v>117.60980000000001</v>
      </c>
      <c r="W1211" s="79">
        <v>105.7088</v>
      </c>
      <c r="X1211" s="79"/>
      <c r="Y1211" s="79">
        <v>110.726</v>
      </c>
      <c r="Z1211" s="79">
        <v>103.6914</v>
      </c>
      <c r="AA1211" s="79">
        <v>98.291809999999998</v>
      </c>
      <c r="AB1211" s="79">
        <v>106.89109999999999</v>
      </c>
      <c r="AC1211" s="79">
        <v>97.091909999999999</v>
      </c>
      <c r="AD1211" s="79">
        <v>117.7</v>
      </c>
      <c r="AE1211" s="79"/>
      <c r="AF1211" s="79">
        <v>102.8914</v>
      </c>
      <c r="AG1211" s="79">
        <v>97.284710000000004</v>
      </c>
      <c r="AH1211" s="79">
        <v>104.7993</v>
      </c>
      <c r="AI1211" s="79">
        <v>122.2</v>
      </c>
      <c r="AJ1211" s="79">
        <v>104.26909999999999</v>
      </c>
      <c r="AK1211" s="79">
        <v>112.2187</v>
      </c>
      <c r="AL1211" s="79">
        <v>125.8105</v>
      </c>
      <c r="AM1211" s="79">
        <v>111.4</v>
      </c>
      <c r="AN1211" s="79"/>
      <c r="AO1211" s="79">
        <v>104.72150000000001</v>
      </c>
      <c r="AP1211" s="79">
        <v>103.1828</v>
      </c>
      <c r="AQ1211" s="79"/>
      <c r="AR1211" s="79"/>
      <c r="AS1211" s="79"/>
      <c r="AT1211" s="79"/>
      <c r="AU1211" s="79"/>
      <c r="AV1211" s="79">
        <v>114.9</v>
      </c>
      <c r="AW1211" s="79"/>
      <c r="AX1211" s="79">
        <v>114.6904</v>
      </c>
      <c r="AY1211" s="79">
        <v>97.440129999999996</v>
      </c>
    </row>
    <row r="1212" spans="1:51" x14ac:dyDescent="0.2">
      <c r="A1212" t="s">
        <v>1757</v>
      </c>
      <c r="B1212" s="1">
        <v>43770</v>
      </c>
      <c r="C1212" s="78">
        <v>1212</v>
      </c>
      <c r="E1212" s="1">
        <f t="shared" si="36"/>
        <v>43770</v>
      </c>
      <c r="F1212" s="2">
        <f t="shared" si="37"/>
        <v>43770</v>
      </c>
      <c r="G1212" s="78">
        <v>1210</v>
      </c>
      <c r="H1212" s="79"/>
      <c r="I1212" s="79"/>
      <c r="J1212" s="79">
        <v>114.09050000000001</v>
      </c>
      <c r="K1212" s="79">
        <v>108.4572</v>
      </c>
      <c r="L1212" s="79"/>
      <c r="M1212" s="79">
        <v>111.8814</v>
      </c>
      <c r="N1212" s="79">
        <v>100.1917</v>
      </c>
      <c r="O1212" s="79">
        <v>104.1</v>
      </c>
      <c r="P1212" s="79">
        <v>105.7551</v>
      </c>
      <c r="Q1212" s="79"/>
      <c r="R1212" s="79">
        <v>112.9</v>
      </c>
      <c r="S1212" s="79">
        <v>103.2709</v>
      </c>
      <c r="T1212" s="79">
        <v>101.5401</v>
      </c>
      <c r="U1212" s="79">
        <v>102.1808</v>
      </c>
      <c r="V1212" s="79">
        <v>116.30970000000001</v>
      </c>
      <c r="W1212" s="79">
        <v>97.108090000000004</v>
      </c>
      <c r="X1212" s="79"/>
      <c r="Y1212" s="79">
        <v>109.6955</v>
      </c>
      <c r="Z1212" s="79">
        <v>104.0913</v>
      </c>
      <c r="AA1212" s="79">
        <v>97.691860000000005</v>
      </c>
      <c r="AB1212" s="79">
        <v>107.39109999999999</v>
      </c>
      <c r="AC1212" s="79">
        <v>95.692019999999999</v>
      </c>
      <c r="AD1212" s="79">
        <v>116.3</v>
      </c>
      <c r="AE1212" s="79"/>
      <c r="AF1212" s="79">
        <v>101.6915</v>
      </c>
      <c r="AG1212" s="79">
        <v>100.0776</v>
      </c>
      <c r="AH1212" s="79">
        <v>105.04810000000001</v>
      </c>
      <c r="AI1212" s="79">
        <v>124</v>
      </c>
      <c r="AJ1212" s="79">
        <v>103.12909999999999</v>
      </c>
      <c r="AK1212" s="79">
        <v>111.9187</v>
      </c>
      <c r="AL1212" s="79">
        <v>124.8104</v>
      </c>
      <c r="AM1212" s="79">
        <v>112.8</v>
      </c>
      <c r="AN1212" s="79"/>
      <c r="AO1212" s="79">
        <v>105.69329999999999</v>
      </c>
      <c r="AP1212" s="79">
        <v>102.9828</v>
      </c>
      <c r="AQ1212" s="79"/>
      <c r="AR1212" s="79"/>
      <c r="AS1212" s="79"/>
      <c r="AT1212" s="79"/>
      <c r="AU1212" s="79"/>
      <c r="AV1212" s="79">
        <v>113.4</v>
      </c>
      <c r="AW1212" s="79"/>
      <c r="AX1212" s="79">
        <v>115.79040000000001</v>
      </c>
      <c r="AY1212" s="79">
        <v>95.788600000000002</v>
      </c>
    </row>
    <row r="1213" spans="1:51" x14ac:dyDescent="0.2">
      <c r="A1213" t="s">
        <v>1758</v>
      </c>
      <c r="B1213" s="1">
        <v>43800</v>
      </c>
      <c r="C1213" s="78">
        <v>1213</v>
      </c>
      <c r="E1213" s="1">
        <f t="shared" si="36"/>
        <v>43800</v>
      </c>
      <c r="F1213" s="2">
        <f t="shared" si="37"/>
        <v>43800</v>
      </c>
      <c r="G1213" s="78">
        <v>1211</v>
      </c>
      <c r="H1213" s="79"/>
      <c r="I1213" s="79"/>
      <c r="J1213" s="79">
        <v>116.9902</v>
      </c>
      <c r="K1213" s="79">
        <v>108.0364</v>
      </c>
      <c r="L1213" s="79"/>
      <c r="M1213" s="79">
        <v>110.8815</v>
      </c>
      <c r="N1213" s="79">
        <v>98.59178</v>
      </c>
      <c r="O1213" s="79">
        <v>111.4</v>
      </c>
      <c r="P1213" s="79">
        <v>104.3681</v>
      </c>
      <c r="Q1213" s="79"/>
      <c r="R1213" s="79">
        <v>112.7</v>
      </c>
      <c r="S1213" s="79">
        <v>100.7608</v>
      </c>
      <c r="T1213" s="79">
        <v>101.0209</v>
      </c>
      <c r="U1213" s="79">
        <v>106.0762</v>
      </c>
      <c r="V1213" s="79">
        <v>112.2094</v>
      </c>
      <c r="W1213" s="79">
        <v>85.307109999999994</v>
      </c>
      <c r="X1213" s="79"/>
      <c r="Y1213" s="79">
        <v>110.2576</v>
      </c>
      <c r="Z1213" s="79">
        <v>101.39149999999999</v>
      </c>
      <c r="AA1213" s="79">
        <v>97.791849999999997</v>
      </c>
      <c r="AB1213" s="79">
        <v>111.2907</v>
      </c>
      <c r="AC1213" s="79">
        <v>92.492289999999997</v>
      </c>
      <c r="AD1213" s="79">
        <v>115.9</v>
      </c>
      <c r="AE1213" s="79"/>
      <c r="AF1213" s="79">
        <v>100.1917</v>
      </c>
      <c r="AG1213" s="79">
        <v>101.1249</v>
      </c>
      <c r="AH1213" s="79">
        <v>104.6378</v>
      </c>
      <c r="AI1213" s="79">
        <v>120.3</v>
      </c>
      <c r="AJ1213" s="79">
        <v>106.4391</v>
      </c>
      <c r="AK1213" s="79">
        <v>110.2184</v>
      </c>
      <c r="AL1213" s="79">
        <v>123.1103</v>
      </c>
      <c r="AM1213" s="79">
        <v>111.2</v>
      </c>
      <c r="AN1213" s="79"/>
      <c r="AO1213" s="79">
        <v>105.32250000000001</v>
      </c>
      <c r="AP1213" s="79">
        <v>100.8832</v>
      </c>
      <c r="AQ1213" s="79"/>
      <c r="AR1213" s="79"/>
      <c r="AS1213" s="79"/>
      <c r="AT1213" s="79"/>
      <c r="AU1213" s="79"/>
      <c r="AV1213" s="79">
        <v>114.2</v>
      </c>
      <c r="AW1213" s="79"/>
      <c r="AX1213" s="79">
        <v>118.2901</v>
      </c>
      <c r="AY1213" s="79">
        <v>95.238100000000003</v>
      </c>
    </row>
    <row r="1214" spans="1:51" x14ac:dyDescent="0.2">
      <c r="A1214" t="s">
        <v>1759</v>
      </c>
      <c r="B1214" s="1">
        <v>43831</v>
      </c>
      <c r="C1214" s="78">
        <v>1214</v>
      </c>
      <c r="E1214" s="1">
        <f t="shared" si="36"/>
        <v>43831</v>
      </c>
      <c r="F1214" s="2">
        <f t="shared" si="37"/>
        <v>43831</v>
      </c>
      <c r="G1214" s="78">
        <v>1212</v>
      </c>
      <c r="H1214" s="79"/>
      <c r="I1214" s="79"/>
      <c r="J1214" s="79">
        <v>112.4906</v>
      </c>
      <c r="K1214" s="79">
        <v>107.508</v>
      </c>
      <c r="L1214" s="79"/>
      <c r="M1214" s="79">
        <v>111.6814</v>
      </c>
      <c r="N1214" s="79">
        <v>100.8916</v>
      </c>
      <c r="O1214" s="79">
        <v>107.6</v>
      </c>
      <c r="P1214" s="79">
        <v>103.9461</v>
      </c>
      <c r="Q1214" s="79"/>
      <c r="R1214" s="79">
        <v>110.7</v>
      </c>
      <c r="S1214" s="79">
        <v>101.6808</v>
      </c>
      <c r="T1214" s="79">
        <v>100.9171</v>
      </c>
      <c r="U1214" s="79">
        <v>110.77079999999999</v>
      </c>
      <c r="V1214" s="79">
        <v>117.60980000000001</v>
      </c>
      <c r="W1214" s="79">
        <v>95.007919999999999</v>
      </c>
      <c r="X1214" s="79"/>
      <c r="Y1214" s="79">
        <v>111.1007</v>
      </c>
      <c r="Z1214" s="79">
        <v>104.6913</v>
      </c>
      <c r="AA1214" s="79">
        <v>99.791690000000003</v>
      </c>
      <c r="AB1214" s="79">
        <v>109.5909</v>
      </c>
      <c r="AC1214" s="79">
        <v>96.891919999999999</v>
      </c>
      <c r="AD1214" s="79">
        <v>113.7</v>
      </c>
      <c r="AE1214" s="79"/>
      <c r="AF1214" s="79">
        <v>102.8914</v>
      </c>
      <c r="AG1214" s="79">
        <v>98.564779999999999</v>
      </c>
      <c r="AH1214" s="79">
        <v>105.34650000000001</v>
      </c>
      <c r="AI1214" s="79">
        <v>123.9</v>
      </c>
      <c r="AJ1214" s="79">
        <v>107.06910000000001</v>
      </c>
      <c r="AK1214" s="79">
        <v>115.3192</v>
      </c>
      <c r="AL1214" s="79">
        <v>123.6103</v>
      </c>
      <c r="AM1214" s="79">
        <v>112</v>
      </c>
      <c r="AN1214" s="79"/>
      <c r="AO1214" s="79">
        <v>104.87269999999999</v>
      </c>
      <c r="AP1214" s="79">
        <v>103.08280000000001</v>
      </c>
      <c r="AQ1214" s="79"/>
      <c r="AR1214" s="79"/>
      <c r="AS1214" s="79"/>
      <c r="AT1214" s="79"/>
      <c r="AU1214" s="79"/>
      <c r="AV1214" s="79">
        <v>113.2</v>
      </c>
      <c r="AW1214" s="79"/>
      <c r="AX1214" s="79">
        <v>118.0902</v>
      </c>
      <c r="AY1214" s="79">
        <v>96.229010000000002</v>
      </c>
    </row>
    <row r="1215" spans="1:51" x14ac:dyDescent="0.2">
      <c r="A1215" t="s">
        <v>1760</v>
      </c>
      <c r="B1215" s="1">
        <v>43862</v>
      </c>
      <c r="C1215" s="78">
        <v>1215</v>
      </c>
      <c r="E1215" s="1">
        <f t="shared" si="36"/>
        <v>43862</v>
      </c>
      <c r="F1215" s="2">
        <f t="shared" si="37"/>
        <v>43862</v>
      </c>
      <c r="G1215" s="78">
        <v>1213</v>
      </c>
      <c r="H1215" s="79"/>
      <c r="I1215" s="79"/>
      <c r="J1215" s="79">
        <v>113.4905</v>
      </c>
      <c r="K1215" s="79">
        <v>108.2033</v>
      </c>
      <c r="L1215" s="79"/>
      <c r="M1215" s="79">
        <v>112.0813</v>
      </c>
      <c r="N1215" s="79">
        <v>101.2916</v>
      </c>
      <c r="O1215" s="79">
        <v>108.9</v>
      </c>
      <c r="P1215" s="79">
        <v>103.8541</v>
      </c>
      <c r="Q1215" s="79"/>
      <c r="R1215" s="79">
        <v>111.1</v>
      </c>
      <c r="S1215" s="79">
        <v>102.8409</v>
      </c>
      <c r="T1215" s="79">
        <v>101.33240000000001</v>
      </c>
      <c r="U1215" s="79">
        <v>106.47580000000001</v>
      </c>
      <c r="V1215" s="79">
        <v>117.8098</v>
      </c>
      <c r="W1215" s="79">
        <v>96.908069999999995</v>
      </c>
      <c r="X1215" s="79"/>
      <c r="Y1215" s="79">
        <v>111.47539999999999</v>
      </c>
      <c r="Z1215" s="79">
        <v>103.3914</v>
      </c>
      <c r="AA1215" s="79">
        <v>99.391720000000007</v>
      </c>
      <c r="AB1215" s="79">
        <v>105.49120000000001</v>
      </c>
      <c r="AC1215" s="79">
        <v>97.59187</v>
      </c>
      <c r="AD1215" s="79">
        <v>117</v>
      </c>
      <c r="AE1215" s="79"/>
      <c r="AF1215" s="79">
        <v>101.9915</v>
      </c>
      <c r="AG1215" s="79">
        <v>101.2413</v>
      </c>
      <c r="AH1215" s="79">
        <v>105.298</v>
      </c>
      <c r="AI1215" s="79">
        <v>125.3</v>
      </c>
      <c r="AJ1215" s="79">
        <v>104.09910000000001</v>
      </c>
      <c r="AK1215" s="79">
        <v>114.31910000000001</v>
      </c>
      <c r="AL1215" s="79">
        <v>128.11070000000001</v>
      </c>
      <c r="AM1215" s="79">
        <v>112.3</v>
      </c>
      <c r="AN1215" s="79"/>
      <c r="AO1215" s="79">
        <v>104.9804</v>
      </c>
      <c r="AP1215" s="79">
        <v>103.08280000000001</v>
      </c>
      <c r="AQ1215" s="79"/>
      <c r="AR1215" s="79"/>
      <c r="AS1215" s="79"/>
      <c r="AT1215" s="79"/>
      <c r="AU1215" s="79"/>
      <c r="AV1215" s="79">
        <v>114.4</v>
      </c>
      <c r="AW1215" s="79"/>
      <c r="AX1215" s="79">
        <v>120.59</v>
      </c>
      <c r="AY1215" s="79">
        <v>97.109830000000002</v>
      </c>
    </row>
    <row r="1216" spans="1:51" x14ac:dyDescent="0.2">
      <c r="A1216" t="s">
        <v>1761</v>
      </c>
      <c r="B1216" s="1">
        <v>43891</v>
      </c>
      <c r="C1216" s="78">
        <v>1216</v>
      </c>
      <c r="E1216" s="1">
        <f t="shared" si="36"/>
        <v>43891</v>
      </c>
      <c r="F1216" s="2">
        <f t="shared" si="37"/>
        <v>43891</v>
      </c>
      <c r="G1216" s="78">
        <v>1214</v>
      </c>
      <c r="H1216" s="79"/>
      <c r="I1216" s="79"/>
      <c r="J1216" s="79">
        <v>107.39109999999999</v>
      </c>
      <c r="K1216" s="79">
        <v>102.6451</v>
      </c>
      <c r="L1216" s="79"/>
      <c r="M1216" s="79">
        <v>99.883349999999993</v>
      </c>
      <c r="N1216" s="79">
        <v>90.192480000000003</v>
      </c>
      <c r="O1216" s="79">
        <v>108.3</v>
      </c>
      <c r="P1216" s="79">
        <v>90.256069999999994</v>
      </c>
      <c r="Q1216" s="79"/>
      <c r="R1216" s="79">
        <v>113.4</v>
      </c>
      <c r="S1216" s="79">
        <v>85.410709999999995</v>
      </c>
      <c r="T1216" s="79">
        <v>96.660319999999999</v>
      </c>
      <c r="U1216" s="79">
        <v>107.974</v>
      </c>
      <c r="V1216" s="79">
        <v>105.2088</v>
      </c>
      <c r="W1216" s="79">
        <v>114.5095</v>
      </c>
      <c r="X1216" s="79"/>
      <c r="Y1216" s="79">
        <v>100.9836</v>
      </c>
      <c r="Z1216" s="79">
        <v>74.493790000000004</v>
      </c>
      <c r="AA1216" s="79">
        <v>95.792019999999994</v>
      </c>
      <c r="AB1216" s="79">
        <v>110.6908</v>
      </c>
      <c r="AC1216" s="79">
        <v>78.893420000000006</v>
      </c>
      <c r="AD1216" s="79">
        <v>112.2</v>
      </c>
      <c r="AE1216" s="79"/>
      <c r="AF1216" s="79">
        <v>101.0916</v>
      </c>
      <c r="AG1216" s="79">
        <v>102.6377</v>
      </c>
      <c r="AH1216" s="79">
        <v>98.908510000000007</v>
      </c>
      <c r="AI1216" s="79">
        <v>116</v>
      </c>
      <c r="AJ1216" s="79">
        <v>95.209209999999999</v>
      </c>
      <c r="AK1216" s="79">
        <v>91.615269999999995</v>
      </c>
      <c r="AL1216" s="79">
        <v>114.9096</v>
      </c>
      <c r="AM1216" s="79">
        <v>111.8</v>
      </c>
      <c r="AN1216" s="79"/>
      <c r="AO1216" s="79">
        <v>100.39449999999999</v>
      </c>
      <c r="AP1216" s="79">
        <v>90.984830000000002</v>
      </c>
      <c r="AQ1216" s="79"/>
      <c r="AR1216" s="79"/>
      <c r="AS1216" s="79"/>
      <c r="AT1216" s="79"/>
      <c r="AU1216" s="79"/>
      <c r="AV1216" s="79">
        <v>114</v>
      </c>
      <c r="AW1216" s="79"/>
      <c r="AX1216" s="79">
        <v>112.6906</v>
      </c>
      <c r="AY1216" s="79">
        <v>87.971369999999993</v>
      </c>
    </row>
    <row r="1217" spans="1:51" x14ac:dyDescent="0.2">
      <c r="A1217" t="s">
        <v>1762</v>
      </c>
      <c r="B1217" s="1">
        <v>43922</v>
      </c>
      <c r="C1217" s="78">
        <v>1217</v>
      </c>
      <c r="E1217" s="1">
        <f t="shared" si="36"/>
        <v>43922</v>
      </c>
      <c r="F1217" s="2">
        <f t="shared" si="37"/>
        <v>43922</v>
      </c>
      <c r="G1217" s="78">
        <v>1215</v>
      </c>
      <c r="H1217" s="79"/>
      <c r="I1217" s="79"/>
      <c r="J1217" s="79">
        <v>95.292060000000006</v>
      </c>
      <c r="K1217" s="79">
        <v>88.06653</v>
      </c>
      <c r="L1217" s="79"/>
      <c r="M1217" s="79">
        <v>75.387439999999998</v>
      </c>
      <c r="N1217" s="79">
        <v>71.494039999999998</v>
      </c>
      <c r="O1217" s="79">
        <v>102.6</v>
      </c>
      <c r="P1217" s="79">
        <v>70.581059999999994</v>
      </c>
      <c r="Q1217" s="79"/>
      <c r="R1217" s="79">
        <v>110.6</v>
      </c>
      <c r="S1217" s="79">
        <v>67.700559999999996</v>
      </c>
      <c r="T1217" s="79">
        <v>77.764319999999998</v>
      </c>
      <c r="U1217" s="79">
        <v>98.285330000000002</v>
      </c>
      <c r="V1217" s="79">
        <v>72.706059999999994</v>
      </c>
      <c r="W1217" s="79">
        <v>98.108180000000004</v>
      </c>
      <c r="X1217" s="79"/>
      <c r="Y1217" s="79">
        <v>101.733</v>
      </c>
      <c r="Z1217" s="79">
        <v>59.595039999999997</v>
      </c>
      <c r="AA1217" s="79">
        <v>87.192729999999997</v>
      </c>
      <c r="AB1217" s="79">
        <v>103.3914</v>
      </c>
      <c r="AC1217" s="79">
        <v>69.294229999999999</v>
      </c>
      <c r="AD1217" s="79">
        <v>103.9</v>
      </c>
      <c r="AE1217" s="79"/>
      <c r="AF1217" s="79">
        <v>94.292140000000003</v>
      </c>
      <c r="AG1217" s="79">
        <v>101.8231</v>
      </c>
      <c r="AH1217" s="79">
        <v>84.564869999999999</v>
      </c>
      <c r="AI1217" s="79">
        <v>91.5</v>
      </c>
      <c r="AJ1217" s="79">
        <v>75.289379999999994</v>
      </c>
      <c r="AK1217" s="79">
        <v>66.411069999999995</v>
      </c>
      <c r="AL1217" s="79">
        <v>95.607960000000006</v>
      </c>
      <c r="AM1217" s="79">
        <v>93.7</v>
      </c>
      <c r="AN1217" s="79"/>
      <c r="AO1217" s="79">
        <v>87.661670000000001</v>
      </c>
      <c r="AP1217" s="79">
        <v>74.587569999999999</v>
      </c>
      <c r="AQ1217" s="79"/>
      <c r="AR1217" s="79"/>
      <c r="AS1217" s="79"/>
      <c r="AT1217" s="79"/>
      <c r="AU1217" s="79"/>
      <c r="AV1217" s="79">
        <v>107.2</v>
      </c>
      <c r="AW1217" s="79"/>
      <c r="AX1217" s="79">
        <v>78.693439999999995</v>
      </c>
      <c r="AY1217" s="79">
        <v>70.795490000000001</v>
      </c>
    </row>
    <row r="1218" spans="1:51" x14ac:dyDescent="0.2">
      <c r="A1218" t="s">
        <v>1763</v>
      </c>
      <c r="B1218" s="1">
        <v>43952</v>
      </c>
      <c r="C1218" s="78">
        <v>1218</v>
      </c>
      <c r="E1218" s="1">
        <f t="shared" ref="E1218:E1224" si="38">B1218</f>
        <v>43952</v>
      </c>
      <c r="F1218" s="2">
        <f t="shared" ref="F1218:F1224" si="39">B1218</f>
        <v>43952</v>
      </c>
      <c r="G1218" s="78">
        <v>1216</v>
      </c>
      <c r="H1218" s="79"/>
      <c r="I1218" s="79"/>
      <c r="J1218" s="79">
        <v>107.691</v>
      </c>
      <c r="K1218" s="79">
        <v>91.687290000000004</v>
      </c>
      <c r="L1218" s="79"/>
      <c r="M1218" s="79">
        <v>87.78537</v>
      </c>
      <c r="N1218" s="79">
        <v>78.593450000000004</v>
      </c>
      <c r="O1218" s="79">
        <v>100.7</v>
      </c>
      <c r="P1218" s="79">
        <v>80.734070000000003</v>
      </c>
      <c r="Q1218" s="79"/>
      <c r="R1218" s="79">
        <v>108.5</v>
      </c>
      <c r="S1218" s="79">
        <v>81.170680000000004</v>
      </c>
      <c r="T1218" s="79">
        <v>82.124930000000006</v>
      </c>
      <c r="U1218" s="79">
        <v>99.583820000000003</v>
      </c>
      <c r="V1218" s="79">
        <v>85.707149999999999</v>
      </c>
      <c r="W1218" s="79">
        <v>84.907070000000004</v>
      </c>
      <c r="X1218" s="79"/>
      <c r="Y1218" s="79">
        <v>106.8852</v>
      </c>
      <c r="Z1218" s="79">
        <v>84.29298</v>
      </c>
      <c r="AA1218" s="79">
        <v>79.593369999999993</v>
      </c>
      <c r="AB1218" s="79">
        <v>96.191990000000004</v>
      </c>
      <c r="AC1218" s="79">
        <v>78.593450000000004</v>
      </c>
      <c r="AD1218" s="79">
        <v>109.2</v>
      </c>
      <c r="AE1218" s="79"/>
      <c r="AF1218" s="79">
        <v>93.892169999999993</v>
      </c>
      <c r="AG1218" s="79">
        <v>100.7758</v>
      </c>
      <c r="AH1218" s="79">
        <v>87.653639999999996</v>
      </c>
      <c r="AI1218" s="79">
        <v>103.4</v>
      </c>
      <c r="AJ1218" s="79">
        <v>77.489360000000005</v>
      </c>
      <c r="AK1218" s="79">
        <v>79.61327</v>
      </c>
      <c r="AL1218" s="79">
        <v>104.9087</v>
      </c>
      <c r="AM1218" s="79">
        <v>94.9</v>
      </c>
      <c r="AN1218" s="79"/>
      <c r="AO1218" s="79">
        <v>88.425759999999997</v>
      </c>
      <c r="AP1218" s="79">
        <v>83.886020000000002</v>
      </c>
      <c r="AQ1218" s="79"/>
      <c r="AR1218" s="79"/>
      <c r="AS1218" s="79"/>
      <c r="AT1218" s="79"/>
      <c r="AU1218" s="79"/>
      <c r="AV1218" s="79">
        <v>104.6</v>
      </c>
      <c r="AW1218" s="79"/>
      <c r="AX1218" s="79">
        <v>92.992249999999999</v>
      </c>
      <c r="AY1218" s="79">
        <v>76.961190000000002</v>
      </c>
    </row>
    <row r="1219" spans="1:51" x14ac:dyDescent="0.2">
      <c r="A1219" t="s">
        <v>1764</v>
      </c>
      <c r="B1219" s="1">
        <v>43983</v>
      </c>
      <c r="C1219" s="78">
        <v>1219</v>
      </c>
      <c r="E1219" s="1">
        <f t="shared" si="38"/>
        <v>43983</v>
      </c>
      <c r="F1219" s="2">
        <f t="shared" si="39"/>
        <v>43983</v>
      </c>
      <c r="G1219" s="78">
        <v>1217</v>
      </c>
      <c r="H1219" s="79"/>
      <c r="I1219" s="79"/>
      <c r="J1219" s="79">
        <v>105.3912</v>
      </c>
      <c r="K1219" s="79">
        <v>96.241200000000006</v>
      </c>
      <c r="L1219" s="79"/>
      <c r="M1219" s="79">
        <v>101.48309999999999</v>
      </c>
      <c r="N1219" s="79">
        <v>87.392719999999997</v>
      </c>
      <c r="O1219" s="79">
        <v>105.3</v>
      </c>
      <c r="P1219" s="79">
        <v>91.678079999999994</v>
      </c>
      <c r="Q1219" s="79"/>
      <c r="R1219" s="79">
        <v>107.7</v>
      </c>
      <c r="S1219" s="79">
        <v>91.610759999999999</v>
      </c>
      <c r="T1219" s="79">
        <v>90.223219999999998</v>
      </c>
      <c r="U1219" s="79">
        <v>102.6802</v>
      </c>
      <c r="V1219" s="79">
        <v>101.00839999999999</v>
      </c>
      <c r="W1219" s="79">
        <v>97.208100000000002</v>
      </c>
      <c r="X1219" s="79"/>
      <c r="Y1219" s="79">
        <v>111.47539999999999</v>
      </c>
      <c r="Z1219" s="79">
        <v>91.292389999999997</v>
      </c>
      <c r="AA1219" s="79">
        <v>81.293229999999994</v>
      </c>
      <c r="AB1219" s="79">
        <v>102.9914</v>
      </c>
      <c r="AC1219" s="79">
        <v>85.492869999999996</v>
      </c>
      <c r="AD1219" s="79">
        <v>117.3</v>
      </c>
      <c r="AE1219" s="79"/>
      <c r="AF1219" s="79">
        <v>94.492130000000003</v>
      </c>
      <c r="AG1219" s="79">
        <v>98.913889999999995</v>
      </c>
      <c r="AH1219" s="79">
        <v>94.107969999999995</v>
      </c>
      <c r="AI1219" s="79">
        <v>113.8</v>
      </c>
      <c r="AJ1219" s="79">
        <v>86.139279999999999</v>
      </c>
      <c r="AK1219" s="79">
        <v>101.81699999999999</v>
      </c>
      <c r="AL1219" s="79">
        <v>110.1092</v>
      </c>
      <c r="AM1219" s="79">
        <v>101.1</v>
      </c>
      <c r="AN1219" s="79"/>
      <c r="AO1219" s="79">
        <v>93.939660000000003</v>
      </c>
      <c r="AP1219" s="79">
        <v>91.884690000000006</v>
      </c>
      <c r="AQ1219" s="79"/>
      <c r="AR1219" s="79"/>
      <c r="AS1219" s="79"/>
      <c r="AT1219" s="79"/>
      <c r="AU1219" s="79"/>
      <c r="AV1219" s="79">
        <v>105.2</v>
      </c>
      <c r="AW1219" s="79"/>
      <c r="AX1219" s="79">
        <v>109.5909</v>
      </c>
      <c r="AY1219" s="79">
        <v>84.338009999999997</v>
      </c>
    </row>
    <row r="1220" spans="1:51" x14ac:dyDescent="0.2">
      <c r="A1220" t="s">
        <v>1765</v>
      </c>
      <c r="B1220" s="1">
        <v>44013</v>
      </c>
      <c r="C1220" s="78">
        <v>1220</v>
      </c>
      <c r="E1220" s="1">
        <f t="shared" si="38"/>
        <v>44013</v>
      </c>
      <c r="F1220" s="2">
        <f t="shared" si="39"/>
        <v>44013</v>
      </c>
      <c r="G1220" s="78">
        <v>1218</v>
      </c>
      <c r="H1220" s="79"/>
      <c r="I1220" s="79"/>
      <c r="J1220" s="79">
        <v>109.99079999999999</v>
      </c>
      <c r="K1220" s="79">
        <v>99.022450000000006</v>
      </c>
      <c r="L1220" s="79"/>
      <c r="M1220" s="79">
        <v>107.782</v>
      </c>
      <c r="N1220" s="79">
        <v>90.092489999999998</v>
      </c>
      <c r="O1220" s="79">
        <v>101.1</v>
      </c>
      <c r="P1220" s="79">
        <v>100.8411</v>
      </c>
      <c r="Q1220" s="79"/>
      <c r="R1220" s="79">
        <v>108.3</v>
      </c>
      <c r="S1220" s="79">
        <v>95.070790000000002</v>
      </c>
      <c r="T1220" s="79">
        <v>94.999139999999997</v>
      </c>
      <c r="U1220" s="79">
        <v>106.276</v>
      </c>
      <c r="V1220" s="79">
        <v>107.809</v>
      </c>
      <c r="W1220" s="79">
        <v>110.9092</v>
      </c>
      <c r="X1220" s="79"/>
      <c r="Y1220" s="79">
        <v>108.10299999999999</v>
      </c>
      <c r="Z1220" s="79">
        <v>98.191820000000007</v>
      </c>
      <c r="AA1220" s="79">
        <v>87.292720000000003</v>
      </c>
      <c r="AB1220" s="79">
        <v>104.99120000000001</v>
      </c>
      <c r="AC1220" s="79">
        <v>90.292469999999994</v>
      </c>
      <c r="AD1220" s="79">
        <v>116.6</v>
      </c>
      <c r="AE1220" s="79"/>
      <c r="AF1220" s="79">
        <v>97.291889999999995</v>
      </c>
      <c r="AG1220" s="79">
        <v>101.474</v>
      </c>
      <c r="AH1220" s="79">
        <v>98.696879999999993</v>
      </c>
      <c r="AI1220" s="79">
        <v>120.5</v>
      </c>
      <c r="AJ1220" s="79">
        <v>97.689189999999996</v>
      </c>
      <c r="AK1220" s="79">
        <v>106.51779999999999</v>
      </c>
      <c r="AL1220" s="79">
        <v>118.3099</v>
      </c>
      <c r="AM1220" s="79">
        <v>104.8</v>
      </c>
      <c r="AN1220" s="79"/>
      <c r="AO1220" s="79">
        <v>97.868620000000007</v>
      </c>
      <c r="AP1220" s="79">
        <v>96.883849999999995</v>
      </c>
      <c r="AQ1220" s="79"/>
      <c r="AR1220" s="79"/>
      <c r="AS1220" s="79"/>
      <c r="AT1220" s="79"/>
      <c r="AU1220" s="79"/>
      <c r="AV1220" s="79">
        <v>107</v>
      </c>
      <c r="AW1220" s="79"/>
      <c r="AX1220" s="79">
        <v>118.7901</v>
      </c>
      <c r="AY1220" s="79">
        <v>91.604740000000007</v>
      </c>
    </row>
    <row r="1221" spans="1:51" x14ac:dyDescent="0.2">
      <c r="A1221" t="s">
        <v>1766</v>
      </c>
      <c r="B1221" s="1">
        <v>44044</v>
      </c>
      <c r="C1221" s="78">
        <v>1221</v>
      </c>
      <c r="E1221" s="1">
        <f t="shared" si="38"/>
        <v>44044</v>
      </c>
      <c r="F1221" s="2">
        <f t="shared" si="39"/>
        <v>44044</v>
      </c>
      <c r="G1221" s="78">
        <v>1219</v>
      </c>
      <c r="H1221" s="79"/>
      <c r="I1221" s="79"/>
      <c r="J1221" s="79">
        <v>109.3909</v>
      </c>
      <c r="K1221" s="79">
        <v>98.266139999999993</v>
      </c>
      <c r="L1221" s="79"/>
      <c r="M1221" s="79">
        <v>106.98220000000001</v>
      </c>
      <c r="N1221" s="79">
        <v>90.192480000000003</v>
      </c>
      <c r="O1221" s="79">
        <v>104</v>
      </c>
      <c r="P1221" s="79">
        <v>101.34610000000001</v>
      </c>
      <c r="Q1221" s="79"/>
      <c r="R1221" s="79">
        <v>110.3</v>
      </c>
      <c r="S1221" s="79">
        <v>96.090800000000002</v>
      </c>
      <c r="T1221" s="79">
        <v>95.206779999999995</v>
      </c>
      <c r="U1221" s="79">
        <v>104.7778</v>
      </c>
      <c r="V1221" s="79">
        <v>114.70959999999999</v>
      </c>
      <c r="W1221" s="79">
        <v>94.607889999999998</v>
      </c>
      <c r="X1221" s="79"/>
      <c r="Y1221" s="79">
        <v>110.2576</v>
      </c>
      <c r="Z1221" s="79">
        <v>105.19119999999999</v>
      </c>
      <c r="AA1221" s="79">
        <v>89.292559999999995</v>
      </c>
      <c r="AB1221" s="79">
        <v>104.5913</v>
      </c>
      <c r="AC1221" s="79">
        <v>91.092410000000001</v>
      </c>
      <c r="AD1221" s="79">
        <v>116</v>
      </c>
      <c r="AE1221" s="79"/>
      <c r="AF1221" s="79">
        <v>97.491870000000006</v>
      </c>
      <c r="AG1221" s="79">
        <v>102.6377</v>
      </c>
      <c r="AH1221" s="79">
        <v>99.66301</v>
      </c>
      <c r="AI1221" s="79">
        <v>121.1</v>
      </c>
      <c r="AJ1221" s="79">
        <v>107.2591</v>
      </c>
      <c r="AK1221" s="79">
        <v>109.4182</v>
      </c>
      <c r="AL1221" s="79">
        <v>120.7101</v>
      </c>
      <c r="AM1221" s="79">
        <v>111.2</v>
      </c>
      <c r="AN1221" s="79"/>
      <c r="AO1221" s="79">
        <v>98.607730000000004</v>
      </c>
      <c r="AP1221" s="79">
        <v>97.383769999999998</v>
      </c>
      <c r="AQ1221" s="79"/>
      <c r="AR1221" s="79"/>
      <c r="AS1221" s="79"/>
      <c r="AT1221" s="79"/>
      <c r="AU1221" s="79"/>
      <c r="AV1221" s="79">
        <v>108.9</v>
      </c>
      <c r="AW1221" s="79"/>
      <c r="AX1221" s="79">
        <v>122.88979999999999</v>
      </c>
      <c r="AY1221" s="79">
        <v>94.687579999999997</v>
      </c>
    </row>
    <row r="1222" spans="1:51" x14ac:dyDescent="0.2">
      <c r="A1222" t="s">
        <v>1767</v>
      </c>
      <c r="B1222" s="1">
        <v>44075</v>
      </c>
      <c r="C1222" s="78">
        <v>1222</v>
      </c>
      <c r="E1222" s="1">
        <f t="shared" si="38"/>
        <v>44075</v>
      </c>
      <c r="F1222" s="2">
        <f t="shared" si="39"/>
        <v>44075</v>
      </c>
      <c r="G1222" s="78">
        <v>1220</v>
      </c>
      <c r="H1222" s="79"/>
      <c r="I1222" s="79"/>
      <c r="J1222" s="79">
        <v>110.1908</v>
      </c>
      <c r="K1222" s="79">
        <v>100.01690000000001</v>
      </c>
      <c r="L1222" s="79"/>
      <c r="M1222" s="79">
        <v>110.8815</v>
      </c>
      <c r="N1222" s="79">
        <v>92.292310000000001</v>
      </c>
      <c r="O1222" s="79">
        <v>106.1</v>
      </c>
      <c r="P1222" s="79">
        <v>102.2791</v>
      </c>
      <c r="Q1222" s="79"/>
      <c r="R1222" s="79">
        <v>108.1</v>
      </c>
      <c r="S1222" s="79">
        <v>97.590810000000005</v>
      </c>
      <c r="T1222" s="79">
        <v>95.622079999999997</v>
      </c>
      <c r="U1222" s="79">
        <v>106.6755</v>
      </c>
      <c r="V1222" s="79">
        <v>117.3098</v>
      </c>
      <c r="W1222" s="79">
        <v>89.907489999999996</v>
      </c>
      <c r="X1222" s="79"/>
      <c r="Y1222" s="79">
        <v>114.6604</v>
      </c>
      <c r="Z1222" s="79">
        <v>99.791690000000003</v>
      </c>
      <c r="AA1222" s="79">
        <v>92.092320000000001</v>
      </c>
      <c r="AB1222" s="79">
        <v>110.3908</v>
      </c>
      <c r="AC1222" s="79">
        <v>93.292230000000004</v>
      </c>
      <c r="AD1222" s="79">
        <v>116.5</v>
      </c>
      <c r="AE1222" s="79"/>
      <c r="AF1222" s="79">
        <v>97.691860000000005</v>
      </c>
      <c r="AG1222" s="79">
        <v>101.0085</v>
      </c>
      <c r="AH1222" s="79">
        <v>100.6808</v>
      </c>
      <c r="AI1222" s="79">
        <v>124.7</v>
      </c>
      <c r="AJ1222" s="79">
        <v>103.62909999999999</v>
      </c>
      <c r="AK1222" s="79">
        <v>111.8186</v>
      </c>
      <c r="AL1222" s="79">
        <v>120.7101</v>
      </c>
      <c r="AM1222" s="79">
        <v>109.7</v>
      </c>
      <c r="AN1222" s="79"/>
      <c r="AO1222" s="79">
        <v>98.549049999999994</v>
      </c>
      <c r="AP1222" s="79">
        <v>97.483750000000001</v>
      </c>
      <c r="AQ1222" s="79"/>
      <c r="AR1222" s="79"/>
      <c r="AS1222" s="79"/>
      <c r="AT1222" s="79"/>
      <c r="AU1222" s="79"/>
      <c r="AV1222" s="79">
        <v>108.9</v>
      </c>
      <c r="AW1222" s="79"/>
      <c r="AX1222" s="79">
        <v>125.0896</v>
      </c>
      <c r="AY1222" s="79">
        <v>97.330029999999994</v>
      </c>
    </row>
    <row r="1223" spans="1:51" x14ac:dyDescent="0.2">
      <c r="A1223" t="s">
        <v>1768</v>
      </c>
      <c r="B1223" s="1">
        <v>44105</v>
      </c>
      <c r="C1223" s="78">
        <v>1223</v>
      </c>
      <c r="E1223" s="1">
        <f t="shared" si="38"/>
        <v>44105</v>
      </c>
      <c r="F1223" s="2">
        <f t="shared" si="39"/>
        <v>44105</v>
      </c>
      <c r="G1223" s="78">
        <v>1221</v>
      </c>
      <c r="H1223" s="79"/>
      <c r="I1223" s="79"/>
      <c r="J1223" s="79">
        <v>117.7902</v>
      </c>
      <c r="K1223" s="79"/>
      <c r="L1223" s="79"/>
      <c r="M1223" s="79">
        <v>114.181</v>
      </c>
      <c r="N1223" s="79">
        <v>95.292060000000006</v>
      </c>
      <c r="O1223" s="79">
        <v>99.9</v>
      </c>
      <c r="P1223" s="79">
        <v>102.8621</v>
      </c>
      <c r="Q1223" s="79"/>
      <c r="R1223" s="79">
        <v>109.8</v>
      </c>
      <c r="S1223" s="79">
        <v>99.180819999999997</v>
      </c>
      <c r="T1223" s="79">
        <v>96.86797</v>
      </c>
      <c r="U1223" s="79">
        <v>103.47929999999999</v>
      </c>
      <c r="V1223" s="79">
        <v>120.6101</v>
      </c>
      <c r="W1223" s="79">
        <v>89.907489999999996</v>
      </c>
      <c r="X1223" s="79"/>
      <c r="Y1223" s="79"/>
      <c r="Z1223" s="79">
        <v>101.0916</v>
      </c>
      <c r="AA1223" s="79">
        <v>95.092079999999996</v>
      </c>
      <c r="AB1223" s="79">
        <v>109.0909</v>
      </c>
      <c r="AC1223" s="79">
        <v>93.892169999999993</v>
      </c>
      <c r="AD1223" s="79">
        <v>116.4</v>
      </c>
      <c r="AE1223" s="79"/>
      <c r="AF1223" s="79">
        <v>99.791690000000003</v>
      </c>
      <c r="AG1223" s="79">
        <v>97.51746</v>
      </c>
      <c r="AH1223" s="79">
        <v>102.1095</v>
      </c>
      <c r="AI1223" s="79">
        <v>126.7</v>
      </c>
      <c r="AJ1223" s="79">
        <v>104.34910000000001</v>
      </c>
      <c r="AK1223" s="79">
        <v>110.5184</v>
      </c>
      <c r="AL1223" s="79">
        <v>124.4104</v>
      </c>
      <c r="AM1223" s="79">
        <v>110.6</v>
      </c>
      <c r="AN1223" s="79"/>
      <c r="AO1223" s="79">
        <v>99.482950000000002</v>
      </c>
      <c r="AP1223" s="79">
        <v>99.483419999999995</v>
      </c>
      <c r="AQ1223" s="79"/>
      <c r="AR1223" s="79"/>
      <c r="AS1223" s="79"/>
      <c r="AT1223" s="79"/>
      <c r="AU1223" s="79"/>
      <c r="AV1223" s="79">
        <v>108.4</v>
      </c>
      <c r="AW1223" s="79"/>
      <c r="AX1223" s="79">
        <v>126.3895</v>
      </c>
      <c r="AY1223" s="79">
        <v>98.431049999999999</v>
      </c>
    </row>
    <row r="1224" spans="1:51" x14ac:dyDescent="0.2">
      <c r="A1224" t="s">
        <v>1769</v>
      </c>
      <c r="B1224" s="1">
        <v>44136</v>
      </c>
      <c r="C1224" s="78">
        <v>1224</v>
      </c>
      <c r="E1224" s="1">
        <f t="shared" si="38"/>
        <v>44136</v>
      </c>
      <c r="F1224" s="2">
        <f t="shared" si="39"/>
        <v>44136</v>
      </c>
      <c r="G1224" s="78">
        <v>1222</v>
      </c>
      <c r="H1224" s="79"/>
      <c r="I1224" s="79"/>
      <c r="J1224" s="79"/>
      <c r="K1224" s="79"/>
      <c r="L1224" s="79"/>
      <c r="M1224" s="79"/>
      <c r="N1224" s="79"/>
      <c r="O1224" s="79"/>
      <c r="P1224" s="79"/>
      <c r="Q1224" s="79"/>
      <c r="R1224" s="79"/>
      <c r="S1224" s="79"/>
      <c r="T1224" s="79"/>
      <c r="U1224" s="79"/>
      <c r="V1224" s="79"/>
      <c r="W1224" s="79"/>
      <c r="X1224" s="79"/>
      <c r="Y1224" s="79"/>
      <c r="Z1224" s="79"/>
      <c r="AA1224" s="79"/>
      <c r="AB1224" s="79"/>
      <c r="AC1224" s="79"/>
      <c r="AD1224" s="79"/>
      <c r="AE1224" s="79"/>
      <c r="AF1224" s="79"/>
      <c r="AG1224" s="79"/>
      <c r="AH1224" s="79"/>
      <c r="AI1224" s="79"/>
      <c r="AJ1224" s="79"/>
      <c r="AK1224" s="79"/>
      <c r="AL1224" s="79"/>
      <c r="AM1224" s="79"/>
      <c r="AN1224" s="79"/>
      <c r="AO1224" s="79">
        <v>99.875510000000006</v>
      </c>
      <c r="AP1224" s="79"/>
      <c r="AQ1224" s="79"/>
      <c r="AR1224" s="79"/>
      <c r="AS1224" s="79"/>
      <c r="AT1224" s="79"/>
      <c r="AU1224" s="79"/>
      <c r="AV1224" s="79"/>
      <c r="AW1224" s="79"/>
      <c r="AX1224" s="79"/>
      <c r="AY1224" s="79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D19"/>
  <sheetViews>
    <sheetView zoomScale="190" zoomScaleNormal="190" workbookViewId="0">
      <selection activeCell="G26" sqref="G26"/>
    </sheetView>
  </sheetViews>
  <sheetFormatPr baseColWidth="10" defaultRowHeight="15" x14ac:dyDescent="0.2"/>
  <sheetData>
    <row r="1" spans="1:4" x14ac:dyDescent="0.2">
      <c r="A1" t="s">
        <v>1770</v>
      </c>
      <c r="B1" t="s">
        <v>8</v>
      </c>
      <c r="C1" t="s">
        <v>494</v>
      </c>
      <c r="D1" t="s">
        <v>1771</v>
      </c>
    </row>
    <row r="2" spans="1:4" x14ac:dyDescent="0.2">
      <c r="A2" t="s">
        <v>431</v>
      </c>
      <c r="B2" t="s">
        <v>432</v>
      </c>
      <c r="C2">
        <v>20937</v>
      </c>
      <c r="D2">
        <v>21.151673807080801</v>
      </c>
    </row>
    <row r="3" spans="1:4" x14ac:dyDescent="0.2">
      <c r="A3" t="s">
        <v>94</v>
      </c>
      <c r="B3" t="s">
        <v>95</v>
      </c>
      <c r="C3">
        <v>14723</v>
      </c>
      <c r="D3">
        <v>43.543957585250702</v>
      </c>
    </row>
    <row r="4" spans="1:4" x14ac:dyDescent="0.2">
      <c r="A4" t="s">
        <v>230</v>
      </c>
      <c r="B4" t="s">
        <v>231</v>
      </c>
      <c r="C4">
        <v>4975</v>
      </c>
      <c r="D4">
        <v>25.5064392440487</v>
      </c>
    </row>
    <row r="5" spans="1:4" x14ac:dyDescent="0.2">
      <c r="A5" t="s">
        <v>126</v>
      </c>
      <c r="B5" t="s">
        <v>127</v>
      </c>
      <c r="C5">
        <v>3846</v>
      </c>
      <c r="D5">
        <v>21.149021843708798</v>
      </c>
    </row>
    <row r="6" spans="1:4" x14ac:dyDescent="0.2">
      <c r="A6" t="s">
        <v>176</v>
      </c>
      <c r="B6" t="s">
        <v>177</v>
      </c>
      <c r="C6">
        <v>2708</v>
      </c>
      <c r="D6">
        <v>16.741455414543001</v>
      </c>
    </row>
    <row r="7" spans="1:4" x14ac:dyDescent="0.2">
      <c r="A7" t="s">
        <v>158</v>
      </c>
      <c r="B7" t="s">
        <v>159</v>
      </c>
      <c r="C7">
        <v>2630</v>
      </c>
      <c r="D7">
        <v>23.811868719765901</v>
      </c>
    </row>
    <row r="8" spans="1:4" x14ac:dyDescent="0.2">
      <c r="A8" t="s">
        <v>210</v>
      </c>
      <c r="B8" t="s">
        <v>211</v>
      </c>
      <c r="C8">
        <v>2623</v>
      </c>
      <c r="D8">
        <v>29.2776504852473</v>
      </c>
    </row>
    <row r="9" spans="1:4" x14ac:dyDescent="0.2">
      <c r="A9" t="s">
        <v>224</v>
      </c>
      <c r="B9" t="s">
        <v>225</v>
      </c>
      <c r="C9">
        <v>1886</v>
      </c>
      <c r="D9">
        <v>17.584162384435398</v>
      </c>
    </row>
    <row r="10" spans="1:4" x14ac:dyDescent="0.2">
      <c r="A10" t="s">
        <v>86</v>
      </c>
      <c r="B10" t="s">
        <v>87</v>
      </c>
      <c r="C10">
        <v>1644</v>
      </c>
      <c r="D10">
        <v>22.078003360688999</v>
      </c>
    </row>
    <row r="11" spans="1:4" x14ac:dyDescent="0.2">
      <c r="A11" t="s">
        <v>537</v>
      </c>
      <c r="B11" t="s">
        <v>243</v>
      </c>
      <c r="C11">
        <v>1631</v>
      </c>
      <c r="D11">
        <v>31.861011061517999</v>
      </c>
    </row>
    <row r="12" spans="1:4" x14ac:dyDescent="0.2">
      <c r="A12" t="s">
        <v>545</v>
      </c>
      <c r="B12" t="s">
        <v>456</v>
      </c>
      <c r="C12">
        <v>1484</v>
      </c>
      <c r="D12">
        <v>23.9879493606627</v>
      </c>
    </row>
    <row r="13" spans="1:4" x14ac:dyDescent="0.2">
      <c r="A13" t="s">
        <v>74</v>
      </c>
      <c r="B13" t="s">
        <v>75</v>
      </c>
      <c r="C13">
        <v>1445</v>
      </c>
      <c r="D13">
        <v>15.4048651869991</v>
      </c>
    </row>
    <row r="14" spans="1:4" x14ac:dyDescent="0.2">
      <c r="A14" t="s">
        <v>48</v>
      </c>
      <c r="B14" t="s">
        <v>49</v>
      </c>
      <c r="C14">
        <v>1331</v>
      </c>
      <c r="D14">
        <v>22.268947016103098</v>
      </c>
    </row>
    <row r="15" spans="1:4" x14ac:dyDescent="0.2">
      <c r="A15" t="s">
        <v>146</v>
      </c>
      <c r="B15" t="s">
        <v>147</v>
      </c>
      <c r="C15">
        <v>1281</v>
      </c>
      <c r="D15">
        <v>20.6911550267927</v>
      </c>
    </row>
    <row r="16" spans="1:4" x14ac:dyDescent="0.2">
      <c r="A16" t="s">
        <v>276</v>
      </c>
      <c r="B16" t="s">
        <v>277</v>
      </c>
      <c r="C16">
        <v>1076</v>
      </c>
      <c r="D16">
        <v>19.3065996427008</v>
      </c>
    </row>
    <row r="17" spans="1:4" x14ac:dyDescent="0.2">
      <c r="A17" t="s">
        <v>208</v>
      </c>
      <c r="B17" t="s">
        <v>209</v>
      </c>
      <c r="C17">
        <v>1058</v>
      </c>
      <c r="D17">
        <v>32.3674628282469</v>
      </c>
    </row>
    <row r="18" spans="1:4" x14ac:dyDescent="0.2">
      <c r="A18" t="s">
        <v>314</v>
      </c>
      <c r="B18" t="s">
        <v>315</v>
      </c>
      <c r="C18">
        <v>914</v>
      </c>
      <c r="D18">
        <v>21.742168117536</v>
      </c>
    </row>
    <row r="19" spans="1:4" x14ac:dyDescent="0.2">
      <c r="A19" t="s">
        <v>523</v>
      </c>
      <c r="B19" t="s">
        <v>492</v>
      </c>
      <c r="C19">
        <v>13011</v>
      </c>
      <c r="D19">
        <v>21.252284106983399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C358"/>
  <sheetViews>
    <sheetView tabSelected="1" workbookViewId="0">
      <selection activeCell="C371" sqref="C371"/>
    </sheetView>
  </sheetViews>
  <sheetFormatPr baseColWidth="10" defaultRowHeight="15" x14ac:dyDescent="0.2"/>
  <cols>
    <col min="1" max="1" width="20.1640625" style="84" customWidth="1"/>
  </cols>
  <sheetData>
    <row r="1" spans="1:3" x14ac:dyDescent="0.2">
      <c r="A1" t="s">
        <v>534</v>
      </c>
      <c r="B1" t="s">
        <v>1772</v>
      </c>
      <c r="C1" t="s">
        <v>1773</v>
      </c>
    </row>
    <row r="2" spans="1:3" x14ac:dyDescent="0.2">
      <c r="A2" s="94">
        <v>32932</v>
      </c>
      <c r="B2">
        <v>0.05</v>
      </c>
    </row>
    <row r="3" spans="1:3" x14ac:dyDescent="0.2">
      <c r="A3" s="94">
        <v>32963</v>
      </c>
      <c r="B3">
        <v>8.0000000000000002E-3</v>
      </c>
    </row>
    <row r="4" spans="1:3" x14ac:dyDescent="0.2">
      <c r="A4" s="94">
        <v>32993</v>
      </c>
      <c r="B4">
        <v>1.7000000000000001E-2</v>
      </c>
    </row>
    <row r="5" spans="1:3" x14ac:dyDescent="0.2">
      <c r="A5" s="94">
        <v>33024</v>
      </c>
      <c r="B5">
        <v>3.3000000000000002E-2</v>
      </c>
    </row>
    <row r="6" spans="1:3" x14ac:dyDescent="0.2">
      <c r="A6" s="94">
        <v>33054</v>
      </c>
      <c r="B6">
        <v>0.05</v>
      </c>
    </row>
    <row r="7" spans="1:3" x14ac:dyDescent="0.2">
      <c r="A7" s="94">
        <v>33085</v>
      </c>
      <c r="B7">
        <v>2.5000000000000001E-2</v>
      </c>
    </row>
    <row r="8" spans="1:3" x14ac:dyDescent="0.2">
      <c r="A8" s="94">
        <v>33116</v>
      </c>
      <c r="B8">
        <v>4.2000000000000003E-2</v>
      </c>
    </row>
    <row r="9" spans="1:3" x14ac:dyDescent="0.2">
      <c r="A9" s="94">
        <v>33146</v>
      </c>
      <c r="B9">
        <v>6.7000000000000004E-2</v>
      </c>
    </row>
    <row r="10" spans="1:3" x14ac:dyDescent="0.2">
      <c r="A10" s="94">
        <v>33177</v>
      </c>
      <c r="B10">
        <v>0.109</v>
      </c>
    </row>
    <row r="11" spans="1:3" x14ac:dyDescent="0.2">
      <c r="A11" s="94">
        <v>33207</v>
      </c>
      <c r="B11">
        <v>0.126</v>
      </c>
    </row>
    <row r="12" spans="1:3" x14ac:dyDescent="0.2">
      <c r="A12" s="94">
        <v>33238</v>
      </c>
      <c r="B12">
        <v>0.126</v>
      </c>
    </row>
    <row r="13" spans="1:3" x14ac:dyDescent="0.2">
      <c r="A13" s="94">
        <v>33269</v>
      </c>
      <c r="B13">
        <v>0.23499999999999999</v>
      </c>
    </row>
    <row r="14" spans="1:3" x14ac:dyDescent="0.2">
      <c r="A14" s="94">
        <v>33297</v>
      </c>
      <c r="B14">
        <v>9.1999999999999998E-2</v>
      </c>
    </row>
    <row r="15" spans="1:3" x14ac:dyDescent="0.2">
      <c r="A15" s="94">
        <v>33328</v>
      </c>
      <c r="B15">
        <v>0.109</v>
      </c>
    </row>
    <row r="16" spans="1:3" x14ac:dyDescent="0.2">
      <c r="A16" s="94">
        <v>33358</v>
      </c>
      <c r="B16">
        <v>0.109</v>
      </c>
    </row>
    <row r="17" spans="1:2" x14ac:dyDescent="0.2">
      <c r="A17" s="94">
        <v>33389</v>
      </c>
      <c r="B17">
        <v>0.109</v>
      </c>
    </row>
    <row r="18" spans="1:2" x14ac:dyDescent="0.2">
      <c r="A18" s="94">
        <v>33419</v>
      </c>
      <c r="B18">
        <v>9.1999999999999998E-2</v>
      </c>
    </row>
    <row r="19" spans="1:2" x14ac:dyDescent="0.2">
      <c r="A19" s="94">
        <v>33450</v>
      </c>
      <c r="B19">
        <v>0.109</v>
      </c>
    </row>
    <row r="20" spans="1:2" x14ac:dyDescent="0.2">
      <c r="A20" s="94">
        <v>33481</v>
      </c>
      <c r="B20">
        <v>0.11799999999999999</v>
      </c>
    </row>
    <row r="21" spans="1:2" x14ac:dyDescent="0.2">
      <c r="A21" s="94">
        <v>33511</v>
      </c>
      <c r="B21">
        <v>0.126</v>
      </c>
    </row>
    <row r="22" spans="1:2" x14ac:dyDescent="0.2">
      <c r="A22" s="94">
        <v>33542</v>
      </c>
      <c r="B22">
        <v>0.11799999999999999</v>
      </c>
    </row>
    <row r="23" spans="1:2" x14ac:dyDescent="0.2">
      <c r="A23" s="94">
        <v>33572</v>
      </c>
      <c r="B23">
        <v>7.5999999999999998E-2</v>
      </c>
    </row>
    <row r="24" spans="1:2" x14ac:dyDescent="0.2">
      <c r="A24" s="94">
        <v>33603</v>
      </c>
      <c r="B24">
        <v>0.05</v>
      </c>
    </row>
    <row r="25" spans="1:2" x14ac:dyDescent="0.2">
      <c r="A25" s="94">
        <v>33634</v>
      </c>
      <c r="B25">
        <v>0.109</v>
      </c>
    </row>
    <row r="26" spans="1:2" x14ac:dyDescent="0.2">
      <c r="A26" s="94">
        <v>33663</v>
      </c>
      <c r="B26">
        <v>0.185</v>
      </c>
    </row>
    <row r="27" spans="1:2" x14ac:dyDescent="0.2">
      <c r="A27" s="94">
        <v>33694</v>
      </c>
      <c r="B27">
        <v>0.16800000000000001</v>
      </c>
    </row>
    <row r="28" spans="1:2" x14ac:dyDescent="0.2">
      <c r="A28" s="94">
        <v>33724</v>
      </c>
      <c r="B28">
        <v>0.151</v>
      </c>
    </row>
    <row r="29" spans="1:2" x14ac:dyDescent="0.2">
      <c r="A29" s="94">
        <v>33755</v>
      </c>
      <c r="B29">
        <v>0.14299999999999999</v>
      </c>
    </row>
    <row r="30" spans="1:2" x14ac:dyDescent="0.2">
      <c r="A30" s="94">
        <v>33785</v>
      </c>
      <c r="B30">
        <v>0.16800000000000001</v>
      </c>
    </row>
    <row r="31" spans="1:2" x14ac:dyDescent="0.2">
      <c r="A31" s="94">
        <v>33816</v>
      </c>
      <c r="B31">
        <v>0.193</v>
      </c>
    </row>
    <row r="32" spans="1:2" x14ac:dyDescent="0.2">
      <c r="A32" s="94">
        <v>33847</v>
      </c>
      <c r="B32">
        <v>0.17599999999999999</v>
      </c>
    </row>
    <row r="33" spans="1:2" x14ac:dyDescent="0.2">
      <c r="A33" s="94">
        <v>33877</v>
      </c>
      <c r="B33">
        <v>0.17599999999999999</v>
      </c>
    </row>
    <row r="34" spans="1:2" x14ac:dyDescent="0.2">
      <c r="A34" s="94">
        <v>33908</v>
      </c>
      <c r="B34">
        <v>0.185</v>
      </c>
    </row>
    <row r="35" spans="1:2" x14ac:dyDescent="0.2">
      <c r="A35" s="94">
        <v>33938</v>
      </c>
      <c r="B35">
        <v>0.218</v>
      </c>
    </row>
    <row r="36" spans="1:2" x14ac:dyDescent="0.2">
      <c r="A36" s="94">
        <v>33969</v>
      </c>
      <c r="B36">
        <v>0.26900000000000002</v>
      </c>
    </row>
    <row r="37" spans="1:2" x14ac:dyDescent="0.2">
      <c r="A37" s="94">
        <v>34000</v>
      </c>
      <c r="B37">
        <v>8.4000000000000005E-2</v>
      </c>
    </row>
    <row r="38" spans="1:2" x14ac:dyDescent="0.2">
      <c r="A38" s="94">
        <v>34028</v>
      </c>
      <c r="B38">
        <v>0.27700000000000002</v>
      </c>
    </row>
    <row r="39" spans="1:2" x14ac:dyDescent="0.2">
      <c r="A39" s="94">
        <v>34059</v>
      </c>
      <c r="B39">
        <v>0.218</v>
      </c>
    </row>
    <row r="40" spans="1:2" x14ac:dyDescent="0.2">
      <c r="A40" s="94">
        <v>34089</v>
      </c>
      <c r="B40">
        <v>0.21</v>
      </c>
    </row>
    <row r="41" spans="1:2" x14ac:dyDescent="0.2">
      <c r="A41" s="94">
        <v>34120</v>
      </c>
      <c r="B41">
        <v>0.22700000000000001</v>
      </c>
    </row>
    <row r="42" spans="1:2" x14ac:dyDescent="0.2">
      <c r="A42" s="94">
        <v>34150</v>
      </c>
      <c r="B42">
        <v>0.252</v>
      </c>
    </row>
    <row r="43" spans="1:2" x14ac:dyDescent="0.2">
      <c r="A43" s="94">
        <v>34181</v>
      </c>
      <c r="B43">
        <v>0.21</v>
      </c>
    </row>
    <row r="44" spans="1:2" x14ac:dyDescent="0.2">
      <c r="A44" s="94">
        <v>34212</v>
      </c>
      <c r="B44">
        <v>0.193</v>
      </c>
    </row>
    <row r="45" spans="1:2" x14ac:dyDescent="0.2">
      <c r="A45" s="94">
        <v>34242</v>
      </c>
      <c r="B45">
        <v>0.16</v>
      </c>
    </row>
    <row r="46" spans="1:2" x14ac:dyDescent="0.2">
      <c r="A46" s="94">
        <v>34273</v>
      </c>
      <c r="B46">
        <v>0.13400000000000001</v>
      </c>
    </row>
    <row r="47" spans="1:2" x14ac:dyDescent="0.2">
      <c r="A47" s="94">
        <v>34303</v>
      </c>
      <c r="B47">
        <v>0.16</v>
      </c>
    </row>
    <row r="48" spans="1:2" x14ac:dyDescent="0.2">
      <c r="A48" s="94">
        <v>34334</v>
      </c>
      <c r="B48">
        <v>0.252</v>
      </c>
    </row>
    <row r="49" spans="1:2" x14ac:dyDescent="0.2">
      <c r="A49" s="94">
        <v>34365</v>
      </c>
      <c r="B49">
        <v>0.27700000000000002</v>
      </c>
    </row>
    <row r="50" spans="1:2" x14ac:dyDescent="0.2">
      <c r="A50" s="94">
        <v>34393</v>
      </c>
      <c r="B50">
        <v>3.4000000000000002E-2</v>
      </c>
    </row>
    <row r="51" spans="1:2" x14ac:dyDescent="0.2">
      <c r="A51" s="94">
        <v>34424</v>
      </c>
      <c r="B51">
        <v>0.16</v>
      </c>
    </row>
    <row r="52" spans="1:2" x14ac:dyDescent="0.2">
      <c r="A52" s="94">
        <v>34454</v>
      </c>
      <c r="B52">
        <v>0.16800000000000001</v>
      </c>
    </row>
    <row r="53" spans="1:2" x14ac:dyDescent="0.2">
      <c r="A53" s="94">
        <v>34485</v>
      </c>
      <c r="B53">
        <v>0.17599999999999999</v>
      </c>
    </row>
    <row r="54" spans="1:2" x14ac:dyDescent="0.2">
      <c r="A54" s="94">
        <v>34515</v>
      </c>
      <c r="B54">
        <v>0.151</v>
      </c>
    </row>
    <row r="55" spans="1:2" x14ac:dyDescent="0.2">
      <c r="A55" s="94">
        <v>34546</v>
      </c>
      <c r="B55">
        <v>0.151</v>
      </c>
    </row>
    <row r="56" spans="1:2" x14ac:dyDescent="0.2">
      <c r="A56" s="94">
        <v>34577</v>
      </c>
      <c r="B56">
        <v>0.29399999999999998</v>
      </c>
    </row>
    <row r="57" spans="1:2" x14ac:dyDescent="0.2">
      <c r="A57" s="94">
        <v>34607</v>
      </c>
      <c r="B57">
        <v>0.218</v>
      </c>
    </row>
    <row r="58" spans="1:2" x14ac:dyDescent="0.2">
      <c r="A58" s="94">
        <v>34638</v>
      </c>
      <c r="B58">
        <v>0.24399999999999999</v>
      </c>
    </row>
    <row r="59" spans="1:2" x14ac:dyDescent="0.2">
      <c r="A59" s="94">
        <v>34668</v>
      </c>
      <c r="B59">
        <v>0.23499999999999999</v>
      </c>
    </row>
    <row r="60" spans="1:2" x14ac:dyDescent="0.2">
      <c r="A60" s="94">
        <v>34699</v>
      </c>
      <c r="B60">
        <v>0.185</v>
      </c>
    </row>
    <row r="61" spans="1:2" x14ac:dyDescent="0.2">
      <c r="A61" s="94">
        <v>34730</v>
      </c>
      <c r="B61">
        <v>0.114</v>
      </c>
    </row>
    <row r="62" spans="1:2" x14ac:dyDescent="0.2">
      <c r="A62" s="94">
        <v>34758</v>
      </c>
      <c r="B62">
        <v>0.155</v>
      </c>
    </row>
    <row r="63" spans="1:2" x14ac:dyDescent="0.2">
      <c r="A63" s="94">
        <v>34789</v>
      </c>
      <c r="B63">
        <v>0.16400000000000001</v>
      </c>
    </row>
    <row r="64" spans="1:2" x14ac:dyDescent="0.2">
      <c r="A64" s="94">
        <v>34819</v>
      </c>
      <c r="B64">
        <v>0.154</v>
      </c>
    </row>
    <row r="65" spans="1:2" x14ac:dyDescent="0.2">
      <c r="A65" s="94">
        <v>34850</v>
      </c>
      <c r="B65">
        <v>0.13100000000000001</v>
      </c>
    </row>
    <row r="66" spans="1:2" x14ac:dyDescent="0.2">
      <c r="A66" s="94">
        <v>34880</v>
      </c>
      <c r="B66">
        <v>0.13900000000000001</v>
      </c>
    </row>
    <row r="67" spans="1:2" x14ac:dyDescent="0.2">
      <c r="A67" s="94">
        <v>34911</v>
      </c>
      <c r="B67">
        <v>0.13600000000000001</v>
      </c>
    </row>
    <row r="68" spans="1:2" x14ac:dyDescent="0.2">
      <c r="A68" s="94">
        <v>34942</v>
      </c>
      <c r="B68">
        <v>0.11799999999999999</v>
      </c>
    </row>
    <row r="69" spans="1:2" x14ac:dyDescent="0.2">
      <c r="A69" s="94">
        <v>34972</v>
      </c>
      <c r="B69">
        <v>0.114</v>
      </c>
    </row>
    <row r="70" spans="1:2" x14ac:dyDescent="0.2">
      <c r="A70" s="94">
        <v>35003</v>
      </c>
      <c r="B70">
        <v>0.129</v>
      </c>
    </row>
    <row r="71" spans="1:2" x14ac:dyDescent="0.2">
      <c r="A71" s="94">
        <v>35033</v>
      </c>
      <c r="B71">
        <v>0.121</v>
      </c>
    </row>
    <row r="72" spans="1:2" x14ac:dyDescent="0.2">
      <c r="A72" s="94">
        <v>35064</v>
      </c>
      <c r="B72">
        <v>0.14899999999999999</v>
      </c>
    </row>
    <row r="73" spans="1:2" x14ac:dyDescent="0.2">
      <c r="A73" s="94">
        <v>35095</v>
      </c>
      <c r="B73">
        <v>0.16900000000000001</v>
      </c>
    </row>
    <row r="74" spans="1:2" x14ac:dyDescent="0.2">
      <c r="A74" s="94">
        <v>35124</v>
      </c>
      <c r="B74">
        <v>0.122</v>
      </c>
    </row>
    <row r="75" spans="1:2" x14ac:dyDescent="0.2">
      <c r="A75" s="94">
        <v>35155</v>
      </c>
      <c r="B75">
        <v>0.122</v>
      </c>
    </row>
    <row r="76" spans="1:2" x14ac:dyDescent="0.2">
      <c r="A76" s="94">
        <v>35185</v>
      </c>
      <c r="B76">
        <v>0.13700000000000001</v>
      </c>
    </row>
    <row r="77" spans="1:2" x14ac:dyDescent="0.2">
      <c r="A77" s="94">
        <v>35216</v>
      </c>
      <c r="B77">
        <v>0.13100000000000001</v>
      </c>
    </row>
    <row r="78" spans="1:2" x14ac:dyDescent="0.2">
      <c r="A78" s="94">
        <v>35246</v>
      </c>
      <c r="B78">
        <v>0.13800000000000001</v>
      </c>
    </row>
    <row r="79" spans="1:2" x14ac:dyDescent="0.2">
      <c r="A79" s="94">
        <v>35277</v>
      </c>
      <c r="B79">
        <v>0.122</v>
      </c>
    </row>
    <row r="80" spans="1:2" x14ac:dyDescent="0.2">
      <c r="A80" s="94">
        <v>35308</v>
      </c>
      <c r="B80">
        <v>0.106</v>
      </c>
    </row>
    <row r="81" spans="1:2" x14ac:dyDescent="0.2">
      <c r="A81" s="94">
        <v>35338</v>
      </c>
      <c r="B81">
        <v>0.13700000000000001</v>
      </c>
    </row>
    <row r="82" spans="1:2" x14ac:dyDescent="0.2">
      <c r="A82" s="94">
        <v>35369</v>
      </c>
      <c r="B82">
        <v>0.13300000000000001</v>
      </c>
    </row>
    <row r="83" spans="1:2" x14ac:dyDescent="0.2">
      <c r="A83" s="94">
        <v>35399</v>
      </c>
      <c r="B83">
        <v>0.13400000000000001</v>
      </c>
    </row>
    <row r="84" spans="1:2" x14ac:dyDescent="0.2">
      <c r="A84" s="94">
        <v>35430</v>
      </c>
      <c r="B84">
        <v>0.14000000000000001</v>
      </c>
    </row>
    <row r="85" spans="1:2" x14ac:dyDescent="0.2">
      <c r="A85" s="94">
        <v>35461</v>
      </c>
      <c r="B85">
        <v>0.10299999999999999</v>
      </c>
    </row>
    <row r="86" spans="1:2" x14ac:dyDescent="0.2">
      <c r="A86" s="94">
        <v>35489</v>
      </c>
      <c r="B86">
        <v>0.104</v>
      </c>
    </row>
    <row r="87" spans="1:2" x14ac:dyDescent="0.2">
      <c r="A87" s="94">
        <v>35520</v>
      </c>
      <c r="B87">
        <v>0.13500000000000001</v>
      </c>
    </row>
    <row r="88" spans="1:2" x14ac:dyDescent="0.2">
      <c r="A88" s="94">
        <v>35550</v>
      </c>
      <c r="B88">
        <v>0.11899999999999999</v>
      </c>
    </row>
    <row r="89" spans="1:2" x14ac:dyDescent="0.2">
      <c r="A89" s="94">
        <v>35581</v>
      </c>
      <c r="B89">
        <v>0.11899999999999999</v>
      </c>
    </row>
    <row r="90" spans="1:2" x14ac:dyDescent="0.2">
      <c r="A90" s="94">
        <v>35611</v>
      </c>
      <c r="B90">
        <v>0.121</v>
      </c>
    </row>
    <row r="91" spans="1:2" x14ac:dyDescent="0.2">
      <c r="A91" s="94">
        <v>35642</v>
      </c>
      <c r="B91">
        <v>8.4000000000000005E-2</v>
      </c>
    </row>
    <row r="92" spans="1:2" x14ac:dyDescent="0.2">
      <c r="A92" s="94">
        <v>35673</v>
      </c>
      <c r="B92">
        <v>0.109</v>
      </c>
    </row>
    <row r="93" spans="1:2" x14ac:dyDescent="0.2">
      <c r="A93" s="94">
        <v>35703</v>
      </c>
      <c r="B93">
        <v>0.111</v>
      </c>
    </row>
    <row r="94" spans="1:2" x14ac:dyDescent="0.2">
      <c r="A94" s="94">
        <v>35734</v>
      </c>
      <c r="B94">
        <v>0.11799999999999999</v>
      </c>
    </row>
    <row r="95" spans="1:2" x14ac:dyDescent="0.2">
      <c r="A95" s="94">
        <v>35764</v>
      </c>
      <c r="B95">
        <v>0.11600000000000001</v>
      </c>
    </row>
    <row r="96" spans="1:2" x14ac:dyDescent="0.2">
      <c r="A96" s="94">
        <v>35795</v>
      </c>
      <c r="B96">
        <v>9.1999999999999998E-2</v>
      </c>
    </row>
    <row r="97" spans="1:2" x14ac:dyDescent="0.2">
      <c r="A97" s="94">
        <v>35826</v>
      </c>
      <c r="B97">
        <v>1.7999999999999999E-2</v>
      </c>
    </row>
    <row r="98" spans="1:2" x14ac:dyDescent="0.2">
      <c r="A98" s="94">
        <v>35854</v>
      </c>
      <c r="B98">
        <v>9.5000000000000001E-2</v>
      </c>
    </row>
    <row r="99" spans="1:2" x14ac:dyDescent="0.2">
      <c r="A99" s="94">
        <v>35885</v>
      </c>
      <c r="B99">
        <v>0.09</v>
      </c>
    </row>
    <row r="100" spans="1:2" x14ac:dyDescent="0.2">
      <c r="A100" s="94">
        <v>35915</v>
      </c>
      <c r="B100">
        <v>7.1999999999999995E-2</v>
      </c>
    </row>
    <row r="101" spans="1:2" x14ac:dyDescent="0.2">
      <c r="A101" s="94">
        <v>35946</v>
      </c>
      <c r="B101">
        <v>0.08</v>
      </c>
    </row>
    <row r="102" spans="1:2" x14ac:dyDescent="0.2">
      <c r="A102" s="94">
        <v>35976</v>
      </c>
      <c r="B102">
        <v>7.9000000000000001E-2</v>
      </c>
    </row>
    <row r="103" spans="1:2" x14ac:dyDescent="0.2">
      <c r="A103" s="94">
        <v>36007</v>
      </c>
      <c r="B103">
        <v>7.5999999999999998E-2</v>
      </c>
    </row>
    <row r="104" spans="1:2" x14ac:dyDescent="0.2">
      <c r="A104" s="94">
        <v>36038</v>
      </c>
      <c r="B104">
        <v>7.9000000000000001E-2</v>
      </c>
    </row>
    <row r="105" spans="1:2" x14ac:dyDescent="0.2">
      <c r="A105" s="94">
        <v>36068</v>
      </c>
      <c r="B105">
        <v>0.10199999999999999</v>
      </c>
    </row>
    <row r="106" spans="1:2" x14ac:dyDescent="0.2">
      <c r="A106" s="94">
        <v>36099</v>
      </c>
      <c r="B106">
        <v>0.106</v>
      </c>
    </row>
    <row r="107" spans="1:2" x14ac:dyDescent="0.2">
      <c r="A107" s="94">
        <v>36129</v>
      </c>
      <c r="B107">
        <v>0.11</v>
      </c>
    </row>
    <row r="108" spans="1:2" x14ac:dyDescent="0.2">
      <c r="A108" s="94">
        <v>36160</v>
      </c>
      <c r="B108">
        <v>0.115</v>
      </c>
    </row>
    <row r="109" spans="1:2" x14ac:dyDescent="0.2">
      <c r="A109" s="94">
        <v>36191</v>
      </c>
      <c r="B109">
        <v>0.17899999999999999</v>
      </c>
    </row>
    <row r="110" spans="1:2" x14ac:dyDescent="0.2">
      <c r="A110" s="94">
        <v>36219</v>
      </c>
      <c r="B110">
        <v>2.1000000000000001E-2</v>
      </c>
    </row>
    <row r="111" spans="1:2" x14ac:dyDescent="0.2">
      <c r="A111" s="94">
        <v>36250</v>
      </c>
      <c r="B111">
        <v>0.09</v>
      </c>
    </row>
    <row r="112" spans="1:2" x14ac:dyDescent="0.2">
      <c r="A112" s="94">
        <v>36280</v>
      </c>
      <c r="B112">
        <v>9.0999999999999998E-2</v>
      </c>
    </row>
    <row r="113" spans="1:2" x14ac:dyDescent="0.2">
      <c r="A113" s="94">
        <v>36311</v>
      </c>
      <c r="B113">
        <v>8.8999999999999996E-2</v>
      </c>
    </row>
    <row r="114" spans="1:2" x14ac:dyDescent="0.2">
      <c r="A114" s="94">
        <v>36341</v>
      </c>
      <c r="B114">
        <v>9.0999999999999998E-2</v>
      </c>
    </row>
    <row r="115" spans="1:2" x14ac:dyDescent="0.2">
      <c r="A115" s="94">
        <v>36372</v>
      </c>
      <c r="B115">
        <v>9.2999999999999999E-2</v>
      </c>
    </row>
    <row r="116" spans="1:2" x14ac:dyDescent="0.2">
      <c r="A116" s="94">
        <v>36403</v>
      </c>
      <c r="B116">
        <v>9.5000000000000001E-2</v>
      </c>
    </row>
    <row r="117" spans="1:2" x14ac:dyDescent="0.2">
      <c r="A117" s="94">
        <v>36433</v>
      </c>
      <c r="B117">
        <v>8.2000000000000003E-2</v>
      </c>
    </row>
    <row r="118" spans="1:2" x14ac:dyDescent="0.2">
      <c r="A118" s="94">
        <v>36464</v>
      </c>
      <c r="B118">
        <v>7.0000000000000007E-2</v>
      </c>
    </row>
    <row r="119" spans="1:2" x14ac:dyDescent="0.2">
      <c r="A119" s="94">
        <v>36494</v>
      </c>
      <c r="B119">
        <v>7.5999999999999998E-2</v>
      </c>
    </row>
    <row r="120" spans="1:2" x14ac:dyDescent="0.2">
      <c r="A120" s="94">
        <v>36525</v>
      </c>
      <c r="B120">
        <v>7.3999999999999996E-2</v>
      </c>
    </row>
    <row r="121" spans="1:2" x14ac:dyDescent="0.2">
      <c r="A121" s="94">
        <v>36556</v>
      </c>
      <c r="B121">
        <v>8.8999999999999996E-2</v>
      </c>
    </row>
    <row r="122" spans="1:2" x14ac:dyDescent="0.2">
      <c r="A122" s="94">
        <v>36585</v>
      </c>
      <c r="B122">
        <v>0.12</v>
      </c>
    </row>
    <row r="123" spans="1:2" x14ac:dyDescent="0.2">
      <c r="A123" s="94">
        <v>36616</v>
      </c>
      <c r="B123">
        <v>0.11899999999999999</v>
      </c>
    </row>
    <row r="124" spans="1:2" x14ac:dyDescent="0.2">
      <c r="A124" s="94">
        <v>36646</v>
      </c>
      <c r="B124">
        <v>0.114</v>
      </c>
    </row>
    <row r="125" spans="1:2" x14ac:dyDescent="0.2">
      <c r="A125" s="94">
        <v>36677</v>
      </c>
      <c r="B125">
        <v>0.115</v>
      </c>
    </row>
    <row r="126" spans="1:2" x14ac:dyDescent="0.2">
      <c r="A126" s="94">
        <v>36707</v>
      </c>
      <c r="B126">
        <v>0.122</v>
      </c>
    </row>
    <row r="127" spans="1:2" x14ac:dyDescent="0.2">
      <c r="A127" s="94">
        <v>36738</v>
      </c>
      <c r="B127">
        <v>0.128</v>
      </c>
    </row>
    <row r="128" spans="1:2" x14ac:dyDescent="0.2">
      <c r="A128" s="94">
        <v>36769</v>
      </c>
      <c r="B128">
        <v>0.128</v>
      </c>
    </row>
    <row r="129" spans="1:2" x14ac:dyDescent="0.2">
      <c r="A129" s="94">
        <v>36799</v>
      </c>
      <c r="B129">
        <v>0.12</v>
      </c>
    </row>
    <row r="130" spans="1:2" x14ac:dyDescent="0.2">
      <c r="A130" s="94">
        <v>36830</v>
      </c>
      <c r="B130">
        <v>0.114</v>
      </c>
    </row>
    <row r="131" spans="1:2" x14ac:dyDescent="0.2">
      <c r="A131" s="94">
        <v>36860</v>
      </c>
      <c r="B131">
        <v>0.106</v>
      </c>
    </row>
    <row r="132" spans="1:2" x14ac:dyDescent="0.2">
      <c r="A132" s="94">
        <v>36891</v>
      </c>
      <c r="B132">
        <v>0.104</v>
      </c>
    </row>
    <row r="133" spans="1:2" x14ac:dyDescent="0.2">
      <c r="A133" s="94">
        <v>36922</v>
      </c>
      <c r="B133">
        <v>2.3E-2</v>
      </c>
    </row>
    <row r="134" spans="1:2" x14ac:dyDescent="0.2">
      <c r="A134" s="94">
        <v>36950</v>
      </c>
      <c r="B134">
        <v>0.19</v>
      </c>
    </row>
    <row r="135" spans="1:2" x14ac:dyDescent="0.2">
      <c r="A135" s="94">
        <v>36981</v>
      </c>
      <c r="B135">
        <v>0.121</v>
      </c>
    </row>
    <row r="136" spans="1:2" x14ac:dyDescent="0.2">
      <c r="A136" s="94">
        <v>37011</v>
      </c>
      <c r="B136">
        <v>0.115</v>
      </c>
    </row>
    <row r="137" spans="1:2" x14ac:dyDescent="0.2">
      <c r="A137" s="94">
        <v>37042</v>
      </c>
      <c r="B137">
        <v>0.10199999999999999</v>
      </c>
    </row>
    <row r="138" spans="1:2" x14ac:dyDescent="0.2">
      <c r="A138" s="94">
        <v>37072</v>
      </c>
      <c r="B138">
        <v>0.10100000000000001</v>
      </c>
    </row>
    <row r="139" spans="1:2" x14ac:dyDescent="0.2">
      <c r="A139" s="94">
        <v>37103</v>
      </c>
      <c r="B139">
        <v>8.1000000000000003E-2</v>
      </c>
    </row>
    <row r="140" spans="1:2" x14ac:dyDescent="0.2">
      <c r="A140" s="94">
        <v>37134</v>
      </c>
      <c r="B140">
        <v>8.1000000000000003E-2</v>
      </c>
    </row>
    <row r="141" spans="1:2" x14ac:dyDescent="0.2">
      <c r="A141" s="94">
        <v>37164</v>
      </c>
      <c r="B141">
        <v>9.5000000000000001E-2</v>
      </c>
    </row>
    <row r="142" spans="1:2" x14ac:dyDescent="0.2">
      <c r="A142" s="94">
        <v>37195</v>
      </c>
      <c r="B142">
        <v>8.7999999999999995E-2</v>
      </c>
    </row>
    <row r="143" spans="1:2" x14ac:dyDescent="0.2">
      <c r="A143" s="94">
        <v>37225</v>
      </c>
      <c r="B143">
        <v>7.9000000000000001E-2</v>
      </c>
    </row>
    <row r="144" spans="1:2" x14ac:dyDescent="0.2">
      <c r="A144" s="94">
        <v>37256</v>
      </c>
      <c r="B144">
        <v>8.6999999999999994E-2</v>
      </c>
    </row>
    <row r="145" spans="1:2" x14ac:dyDescent="0.2">
      <c r="A145" s="94">
        <v>37287</v>
      </c>
      <c r="B145">
        <v>0.186</v>
      </c>
    </row>
    <row r="146" spans="1:2" x14ac:dyDescent="0.2">
      <c r="A146" s="94">
        <v>37315</v>
      </c>
      <c r="B146">
        <v>2.7E-2</v>
      </c>
    </row>
    <row r="147" spans="1:2" x14ac:dyDescent="0.2">
      <c r="A147" s="94">
        <v>37346</v>
      </c>
      <c r="B147">
        <v>0.109</v>
      </c>
    </row>
    <row r="148" spans="1:2" x14ac:dyDescent="0.2">
      <c r="A148" s="94">
        <v>37376</v>
      </c>
      <c r="B148">
        <v>0.121</v>
      </c>
    </row>
    <row r="149" spans="1:2" x14ac:dyDescent="0.2">
      <c r="A149" s="94">
        <v>37407</v>
      </c>
      <c r="B149">
        <v>0.129</v>
      </c>
    </row>
    <row r="150" spans="1:2" x14ac:dyDescent="0.2">
      <c r="A150" s="94">
        <v>37437</v>
      </c>
      <c r="B150">
        <v>0.124</v>
      </c>
    </row>
    <row r="151" spans="1:2" x14ac:dyDescent="0.2">
      <c r="A151" s="94">
        <v>37468</v>
      </c>
      <c r="B151">
        <v>0.128</v>
      </c>
    </row>
    <row r="152" spans="1:2" x14ac:dyDescent="0.2">
      <c r="A152" s="94">
        <v>37499</v>
      </c>
      <c r="B152">
        <v>0.127</v>
      </c>
    </row>
    <row r="153" spans="1:2" x14ac:dyDescent="0.2">
      <c r="A153" s="94">
        <v>37529</v>
      </c>
      <c r="B153">
        <v>0.13800000000000001</v>
      </c>
    </row>
    <row r="154" spans="1:2" x14ac:dyDescent="0.2">
      <c r="A154" s="94">
        <v>37560</v>
      </c>
      <c r="B154">
        <v>0.14199999999999999</v>
      </c>
    </row>
    <row r="155" spans="1:2" x14ac:dyDescent="0.2">
      <c r="A155" s="94">
        <v>37590</v>
      </c>
      <c r="B155">
        <v>0.14499999999999999</v>
      </c>
    </row>
    <row r="156" spans="1:2" x14ac:dyDescent="0.2">
      <c r="A156" s="94">
        <v>37621</v>
      </c>
      <c r="B156">
        <v>0.14899999999999999</v>
      </c>
    </row>
    <row r="157" spans="1:2" x14ac:dyDescent="0.2">
      <c r="A157" s="94">
        <v>37652</v>
      </c>
      <c r="B157">
        <v>0.14799999999999999</v>
      </c>
    </row>
    <row r="158" spans="1:2" x14ac:dyDescent="0.2">
      <c r="A158" s="94">
        <v>37680</v>
      </c>
      <c r="B158">
        <v>0.19800000000000001</v>
      </c>
    </row>
    <row r="159" spans="1:2" x14ac:dyDescent="0.2">
      <c r="A159" s="94">
        <v>37711</v>
      </c>
      <c r="B159">
        <v>0.16900000000000001</v>
      </c>
    </row>
    <row r="160" spans="1:2" x14ac:dyDescent="0.2">
      <c r="A160" s="94">
        <v>37741</v>
      </c>
      <c r="B160">
        <v>0.14899999999999999</v>
      </c>
    </row>
    <row r="161" spans="1:2" x14ac:dyDescent="0.2">
      <c r="A161" s="94">
        <v>37772</v>
      </c>
      <c r="B161">
        <v>0.13700000000000001</v>
      </c>
    </row>
    <row r="162" spans="1:2" x14ac:dyDescent="0.2">
      <c r="A162" s="94">
        <v>37802</v>
      </c>
      <c r="B162">
        <v>0.16900000000000001</v>
      </c>
    </row>
    <row r="163" spans="1:2" x14ac:dyDescent="0.2">
      <c r="A163" s="94">
        <v>37833</v>
      </c>
      <c r="B163">
        <v>0.16500000000000001</v>
      </c>
    </row>
    <row r="164" spans="1:2" x14ac:dyDescent="0.2">
      <c r="A164" s="94">
        <v>37864</v>
      </c>
      <c r="B164">
        <v>0.17100000000000001</v>
      </c>
    </row>
    <row r="165" spans="1:2" x14ac:dyDescent="0.2">
      <c r="A165" s="94">
        <v>37894</v>
      </c>
      <c r="B165">
        <v>0.16300000000000001</v>
      </c>
    </row>
    <row r="166" spans="1:2" x14ac:dyDescent="0.2">
      <c r="A166" s="94">
        <v>37925</v>
      </c>
      <c r="B166">
        <v>0.17199999999999999</v>
      </c>
    </row>
    <row r="167" spans="1:2" x14ac:dyDescent="0.2">
      <c r="A167" s="94">
        <v>37955</v>
      </c>
      <c r="B167">
        <v>0.17899999999999999</v>
      </c>
    </row>
    <row r="168" spans="1:2" x14ac:dyDescent="0.2">
      <c r="A168" s="94">
        <v>37986</v>
      </c>
      <c r="B168">
        <v>0.18099999999999999</v>
      </c>
    </row>
    <row r="169" spans="1:2" x14ac:dyDescent="0.2">
      <c r="A169" s="94">
        <v>38017</v>
      </c>
      <c r="B169">
        <v>7.1999999999999995E-2</v>
      </c>
    </row>
    <row r="170" spans="1:2" x14ac:dyDescent="0.2">
      <c r="A170" s="94">
        <v>38046</v>
      </c>
      <c r="B170">
        <v>0.23200000000000001</v>
      </c>
    </row>
    <row r="171" spans="1:2" x14ac:dyDescent="0.2">
      <c r="A171" s="94">
        <v>38077</v>
      </c>
      <c r="B171">
        <v>0.19400000000000001</v>
      </c>
    </row>
    <row r="172" spans="1:2" x14ac:dyDescent="0.2">
      <c r="A172" s="94">
        <v>38107</v>
      </c>
      <c r="B172">
        <v>0.191</v>
      </c>
    </row>
    <row r="173" spans="1:2" x14ac:dyDescent="0.2">
      <c r="A173" s="94">
        <v>38138</v>
      </c>
      <c r="B173">
        <v>0.17499999999999999</v>
      </c>
    </row>
    <row r="174" spans="1:2" x14ac:dyDescent="0.2">
      <c r="A174" s="94">
        <v>38168</v>
      </c>
      <c r="B174">
        <v>0.16200000000000001</v>
      </c>
    </row>
    <row r="175" spans="1:2" x14ac:dyDescent="0.2">
      <c r="A175" s="94">
        <v>38199</v>
      </c>
      <c r="B175">
        <v>0.155</v>
      </c>
    </row>
    <row r="176" spans="1:2" x14ac:dyDescent="0.2">
      <c r="A176" s="94">
        <v>38230</v>
      </c>
      <c r="B176">
        <v>0.159</v>
      </c>
    </row>
    <row r="177" spans="1:3" x14ac:dyDescent="0.2">
      <c r="A177" s="94">
        <v>38260</v>
      </c>
      <c r="B177">
        <v>0.161</v>
      </c>
    </row>
    <row r="178" spans="1:3" x14ac:dyDescent="0.2">
      <c r="A178" s="94">
        <v>38291</v>
      </c>
      <c r="B178">
        <v>0.157</v>
      </c>
    </row>
    <row r="179" spans="1:3" x14ac:dyDescent="0.2">
      <c r="A179" s="94">
        <v>38321</v>
      </c>
      <c r="B179">
        <v>0.14799999999999999</v>
      </c>
    </row>
    <row r="180" spans="1:3" x14ac:dyDescent="0.2">
      <c r="A180" s="94">
        <v>38352</v>
      </c>
      <c r="B180">
        <v>0.14399999999999999</v>
      </c>
    </row>
    <row r="181" spans="1:3" x14ac:dyDescent="0.2">
      <c r="A181" s="94">
        <v>38383</v>
      </c>
      <c r="B181">
        <v>0.20899999999999999</v>
      </c>
      <c r="C181">
        <v>52.1</v>
      </c>
    </row>
    <row r="182" spans="1:3" x14ac:dyDescent="0.2">
      <c r="A182" s="94">
        <v>38411</v>
      </c>
      <c r="B182">
        <v>7.5999999999999998E-2</v>
      </c>
      <c r="C182">
        <v>52.9</v>
      </c>
    </row>
    <row r="183" spans="1:3" x14ac:dyDescent="0.2">
      <c r="A183" s="94">
        <v>38442</v>
      </c>
      <c r="B183">
        <v>0.151</v>
      </c>
      <c r="C183">
        <v>55.2</v>
      </c>
    </row>
    <row r="184" spans="1:3" x14ac:dyDescent="0.2">
      <c r="A184" s="94">
        <v>38472</v>
      </c>
      <c r="B184">
        <v>0.16</v>
      </c>
      <c r="C184">
        <v>54.4</v>
      </c>
    </row>
    <row r="185" spans="1:3" x14ac:dyDescent="0.2">
      <c r="A185" s="94">
        <v>38503</v>
      </c>
      <c r="B185">
        <v>0.16600000000000001</v>
      </c>
      <c r="C185">
        <v>53.3</v>
      </c>
    </row>
    <row r="186" spans="1:3" x14ac:dyDescent="0.2">
      <c r="A186" s="94">
        <v>38533</v>
      </c>
      <c r="B186">
        <v>0.16800000000000001</v>
      </c>
      <c r="C186">
        <v>51</v>
      </c>
    </row>
    <row r="187" spans="1:3" x14ac:dyDescent="0.2">
      <c r="A187" s="94">
        <v>38564</v>
      </c>
      <c r="B187">
        <v>0.161</v>
      </c>
      <c r="C187">
        <v>51.5</v>
      </c>
    </row>
    <row r="188" spans="1:3" x14ac:dyDescent="0.2">
      <c r="A188" s="94">
        <v>38595</v>
      </c>
      <c r="B188">
        <v>0.16</v>
      </c>
      <c r="C188">
        <v>50.6</v>
      </c>
    </row>
    <row r="189" spans="1:3" x14ac:dyDescent="0.2">
      <c r="A189" s="94">
        <v>38625</v>
      </c>
      <c r="B189">
        <v>0.16500000000000001</v>
      </c>
      <c r="C189">
        <v>50.9</v>
      </c>
    </row>
    <row r="190" spans="1:3" x14ac:dyDescent="0.2">
      <c r="A190" s="94">
        <v>38656</v>
      </c>
      <c r="B190">
        <v>0.161</v>
      </c>
      <c r="C190">
        <v>50.1</v>
      </c>
    </row>
    <row r="191" spans="1:3" x14ac:dyDescent="0.2">
      <c r="A191" s="94">
        <v>38686</v>
      </c>
      <c r="B191">
        <v>0.16600000000000001</v>
      </c>
      <c r="C191">
        <v>49.8</v>
      </c>
    </row>
    <row r="192" spans="1:3" x14ac:dyDescent="0.2">
      <c r="A192" s="94">
        <v>38717</v>
      </c>
      <c r="B192">
        <v>0.16500000000000001</v>
      </c>
      <c r="C192">
        <v>50.1</v>
      </c>
    </row>
    <row r="193" spans="1:3" x14ac:dyDescent="0.2">
      <c r="A193" s="94">
        <v>38776</v>
      </c>
      <c r="B193">
        <v>0.20100000000000001</v>
      </c>
      <c r="C193">
        <v>50.7</v>
      </c>
    </row>
    <row r="194" spans="1:3" x14ac:dyDescent="0.2">
      <c r="A194" s="94">
        <v>38807</v>
      </c>
      <c r="B194">
        <v>0.17799999999999999</v>
      </c>
      <c r="C194">
        <v>51</v>
      </c>
    </row>
    <row r="195" spans="1:3" x14ac:dyDescent="0.2">
      <c r="A195" s="94">
        <v>38837</v>
      </c>
      <c r="B195">
        <v>0.16600000000000001</v>
      </c>
      <c r="C195">
        <v>52.7</v>
      </c>
    </row>
    <row r="196" spans="1:3" x14ac:dyDescent="0.2">
      <c r="A196" s="94">
        <v>38868</v>
      </c>
      <c r="B196">
        <v>0.17899999999999999</v>
      </c>
      <c r="C196">
        <v>52.8</v>
      </c>
    </row>
    <row r="197" spans="1:3" x14ac:dyDescent="0.2">
      <c r="A197" s="94">
        <v>38898</v>
      </c>
      <c r="B197">
        <v>0.19500000000000001</v>
      </c>
      <c r="C197">
        <v>52.9</v>
      </c>
    </row>
    <row r="198" spans="1:3" x14ac:dyDescent="0.2">
      <c r="A198" s="94">
        <v>38929</v>
      </c>
      <c r="B198">
        <v>0.16700000000000001</v>
      </c>
      <c r="C198">
        <v>53</v>
      </c>
    </row>
    <row r="199" spans="1:3" x14ac:dyDescent="0.2">
      <c r="A199" s="94">
        <v>38960</v>
      </c>
      <c r="B199">
        <v>0.157</v>
      </c>
      <c r="C199">
        <v>52.6</v>
      </c>
    </row>
    <row r="200" spans="1:3" x14ac:dyDescent="0.2">
      <c r="A200" s="94">
        <v>38990</v>
      </c>
      <c r="B200">
        <v>0.161</v>
      </c>
      <c r="C200">
        <v>52.4</v>
      </c>
    </row>
    <row r="201" spans="1:3" x14ac:dyDescent="0.2">
      <c r="A201" s="94">
        <v>39021</v>
      </c>
      <c r="B201">
        <v>0.14699999999999999</v>
      </c>
      <c r="C201">
        <v>52.1</v>
      </c>
    </row>
    <row r="202" spans="1:3" x14ac:dyDescent="0.2">
      <c r="A202" s="94">
        <v>39051</v>
      </c>
      <c r="B202">
        <v>0.14899999999999999</v>
      </c>
      <c r="C202">
        <v>53</v>
      </c>
    </row>
    <row r="203" spans="1:3" x14ac:dyDescent="0.2">
      <c r="A203" s="94">
        <v>39082</v>
      </c>
      <c r="B203">
        <v>0.14699999999999999</v>
      </c>
      <c r="C203">
        <v>52.4</v>
      </c>
    </row>
    <row r="204" spans="1:3" x14ac:dyDescent="0.2">
      <c r="A204" s="94">
        <v>39141</v>
      </c>
      <c r="B204">
        <v>0.126</v>
      </c>
      <c r="C204">
        <v>53</v>
      </c>
    </row>
    <row r="205" spans="1:3" x14ac:dyDescent="0.2">
      <c r="A205" s="94">
        <v>39172</v>
      </c>
      <c r="B205">
        <v>0.17599999999999999</v>
      </c>
      <c r="C205">
        <v>52.3</v>
      </c>
    </row>
    <row r="206" spans="1:3" x14ac:dyDescent="0.2">
      <c r="A206" s="94">
        <v>39202</v>
      </c>
      <c r="B206">
        <v>0.17399999999999999</v>
      </c>
      <c r="C206">
        <v>53.3</v>
      </c>
    </row>
    <row r="207" spans="1:3" x14ac:dyDescent="0.2">
      <c r="A207" s="94">
        <v>39233</v>
      </c>
      <c r="B207">
        <v>0.18099999999999999</v>
      </c>
      <c r="C207">
        <v>54.1</v>
      </c>
    </row>
    <row r="208" spans="1:3" x14ac:dyDescent="0.2">
      <c r="A208" s="94">
        <v>39263</v>
      </c>
      <c r="B208">
        <v>0.19400000000000001</v>
      </c>
      <c r="C208">
        <v>55</v>
      </c>
    </row>
    <row r="209" spans="1:3" x14ac:dyDescent="0.2">
      <c r="A209" s="94">
        <v>39294</v>
      </c>
      <c r="B209">
        <v>0.18</v>
      </c>
      <c r="C209">
        <v>53.2</v>
      </c>
    </row>
    <row r="210" spans="1:3" x14ac:dyDescent="0.2">
      <c r="A210" s="94">
        <v>39325</v>
      </c>
      <c r="B210">
        <v>0.17499999999999999</v>
      </c>
      <c r="C210">
        <v>53.4</v>
      </c>
    </row>
    <row r="211" spans="1:3" x14ac:dyDescent="0.2">
      <c r="A211" s="94">
        <v>39355</v>
      </c>
      <c r="B211">
        <v>0.189</v>
      </c>
      <c r="C211">
        <v>55</v>
      </c>
    </row>
    <row r="212" spans="1:3" x14ac:dyDescent="0.2">
      <c r="A212" s="94">
        <v>39386</v>
      </c>
      <c r="B212">
        <v>0.17899999999999999</v>
      </c>
      <c r="C212">
        <v>55.2</v>
      </c>
    </row>
    <row r="213" spans="1:3" x14ac:dyDescent="0.2">
      <c r="A213" s="94">
        <v>39416</v>
      </c>
      <c r="B213">
        <v>0.17299999999999999</v>
      </c>
      <c r="C213">
        <v>52.8</v>
      </c>
    </row>
    <row r="214" spans="1:3" x14ac:dyDescent="0.2">
      <c r="A214" s="94">
        <v>39447</v>
      </c>
      <c r="B214">
        <v>0.17399999999999999</v>
      </c>
      <c r="C214">
        <v>53.3</v>
      </c>
    </row>
    <row r="215" spans="1:3" x14ac:dyDescent="0.2">
      <c r="A215" s="94">
        <v>39507</v>
      </c>
      <c r="B215">
        <v>0.154</v>
      </c>
      <c r="C215">
        <v>52.8</v>
      </c>
    </row>
    <row r="216" spans="1:3" x14ac:dyDescent="0.2">
      <c r="A216" s="94">
        <v>39538</v>
      </c>
      <c r="B216">
        <v>0.17799999999999999</v>
      </c>
      <c r="C216">
        <v>54.4</v>
      </c>
    </row>
    <row r="217" spans="1:3" x14ac:dyDescent="0.2">
      <c r="A217" s="94">
        <v>39568</v>
      </c>
      <c r="B217">
        <v>0.157</v>
      </c>
      <c r="C217">
        <v>55.4</v>
      </c>
    </row>
    <row r="218" spans="1:3" x14ac:dyDescent="0.2">
      <c r="A218" s="94">
        <v>39599</v>
      </c>
      <c r="B218">
        <v>0.16</v>
      </c>
      <c r="C218">
        <v>54.7</v>
      </c>
    </row>
    <row r="219" spans="1:3" x14ac:dyDescent="0.2">
      <c r="A219" s="94">
        <v>39629</v>
      </c>
      <c r="B219">
        <v>0.16</v>
      </c>
      <c r="C219">
        <v>53.3</v>
      </c>
    </row>
    <row r="220" spans="1:3" x14ac:dyDescent="0.2">
      <c r="A220" s="94">
        <v>39660</v>
      </c>
      <c r="B220">
        <v>0.14699999999999999</v>
      </c>
      <c r="C220">
        <v>53.3</v>
      </c>
    </row>
    <row r="221" spans="1:3" x14ac:dyDescent="0.2">
      <c r="A221" s="94">
        <v>39691</v>
      </c>
      <c r="B221">
        <v>0.128</v>
      </c>
      <c r="C221">
        <v>49.2</v>
      </c>
    </row>
    <row r="222" spans="1:3" x14ac:dyDescent="0.2">
      <c r="A222" s="94">
        <v>39721</v>
      </c>
      <c r="B222">
        <v>0.114</v>
      </c>
      <c r="C222">
        <v>47.7</v>
      </c>
    </row>
    <row r="223" spans="1:3" x14ac:dyDescent="0.2">
      <c r="A223" s="94">
        <v>39752</v>
      </c>
      <c r="B223">
        <v>8.2000000000000003E-2</v>
      </c>
      <c r="C223">
        <v>45.2</v>
      </c>
    </row>
    <row r="224" spans="1:3" x14ac:dyDescent="0.2">
      <c r="A224" s="94">
        <v>39782</v>
      </c>
      <c r="B224">
        <v>5.3999999999999999E-2</v>
      </c>
      <c r="C224">
        <v>40.9</v>
      </c>
    </row>
    <row r="225" spans="1:3" x14ac:dyDescent="0.2">
      <c r="A225" s="94">
        <v>39813</v>
      </c>
      <c r="B225">
        <v>5.7000000000000002E-2</v>
      </c>
      <c r="C225">
        <v>41.2</v>
      </c>
    </row>
    <row r="226" spans="1:3" x14ac:dyDescent="0.2">
      <c r="A226" s="94">
        <v>39872</v>
      </c>
      <c r="B226">
        <v>0.11</v>
      </c>
      <c r="C226">
        <v>45.1</v>
      </c>
    </row>
    <row r="227" spans="1:3" x14ac:dyDescent="0.2">
      <c r="A227" s="94">
        <v>39903</v>
      </c>
      <c r="B227">
        <v>8.3000000000000004E-2</v>
      </c>
      <c r="C227">
        <v>44.8</v>
      </c>
    </row>
    <row r="228" spans="1:3" x14ac:dyDescent="0.2">
      <c r="A228" s="94">
        <v>39933</v>
      </c>
      <c r="B228">
        <v>7.2999999999999995E-2</v>
      </c>
      <c r="C228">
        <v>50.1</v>
      </c>
    </row>
    <row r="229" spans="1:3" x14ac:dyDescent="0.2">
      <c r="A229" s="94">
        <v>39964</v>
      </c>
      <c r="B229">
        <v>8.8999999999999996E-2</v>
      </c>
      <c r="C229">
        <v>51.2</v>
      </c>
    </row>
    <row r="230" spans="1:3" x14ac:dyDescent="0.2">
      <c r="A230" s="94">
        <v>39994</v>
      </c>
      <c r="B230">
        <v>0.107</v>
      </c>
      <c r="C230">
        <v>51.8</v>
      </c>
    </row>
    <row r="231" spans="1:3" x14ac:dyDescent="0.2">
      <c r="A231" s="94">
        <v>40025</v>
      </c>
      <c r="B231">
        <v>0.108</v>
      </c>
      <c r="C231">
        <v>52.8</v>
      </c>
    </row>
    <row r="232" spans="1:3" x14ac:dyDescent="0.2">
      <c r="A232" s="94">
        <v>40056</v>
      </c>
      <c r="B232">
        <v>0.123</v>
      </c>
      <c r="C232">
        <v>55.1</v>
      </c>
    </row>
    <row r="233" spans="1:3" x14ac:dyDescent="0.2">
      <c r="A233" s="94">
        <v>40086</v>
      </c>
      <c r="B233">
        <v>0.13900000000000001</v>
      </c>
      <c r="C233">
        <v>55</v>
      </c>
    </row>
    <row r="234" spans="1:3" x14ac:dyDescent="0.2">
      <c r="A234" s="94">
        <v>40117</v>
      </c>
      <c r="B234">
        <v>0.161</v>
      </c>
      <c r="C234">
        <v>55.4</v>
      </c>
    </row>
    <row r="235" spans="1:3" x14ac:dyDescent="0.2">
      <c r="A235" s="94">
        <v>40147</v>
      </c>
      <c r="B235">
        <v>0.192</v>
      </c>
      <c r="C235">
        <v>55.7</v>
      </c>
    </row>
    <row r="236" spans="1:3" x14ac:dyDescent="0.2">
      <c r="A236" s="94">
        <v>40178</v>
      </c>
      <c r="B236">
        <v>0.185</v>
      </c>
      <c r="C236">
        <v>56.1</v>
      </c>
    </row>
    <row r="237" spans="1:3" x14ac:dyDescent="0.2">
      <c r="A237" s="94">
        <v>40237</v>
      </c>
      <c r="B237">
        <v>0.128</v>
      </c>
      <c r="C237">
        <v>55.8</v>
      </c>
    </row>
    <row r="238" spans="1:3" x14ac:dyDescent="0.2">
      <c r="A238" s="94">
        <v>40268</v>
      </c>
      <c r="B238">
        <v>0.18099999999999999</v>
      </c>
      <c r="C238">
        <v>57</v>
      </c>
    </row>
    <row r="239" spans="1:3" x14ac:dyDescent="0.2">
      <c r="A239" s="94">
        <v>40298</v>
      </c>
      <c r="B239">
        <v>0.17799999999999999</v>
      </c>
      <c r="C239">
        <v>55.4</v>
      </c>
    </row>
    <row r="240" spans="1:3" x14ac:dyDescent="0.2">
      <c r="A240" s="94">
        <v>40329</v>
      </c>
      <c r="B240">
        <v>0.16500000000000001</v>
      </c>
      <c r="C240">
        <v>52.7</v>
      </c>
    </row>
    <row r="241" spans="1:3" x14ac:dyDescent="0.2">
      <c r="A241" s="94">
        <v>40359</v>
      </c>
      <c r="B241">
        <v>0.13700000000000001</v>
      </c>
      <c r="C241">
        <v>50.4</v>
      </c>
    </row>
    <row r="242" spans="1:3" x14ac:dyDescent="0.2">
      <c r="A242" s="94">
        <v>40390</v>
      </c>
      <c r="B242">
        <v>0.13400000000000001</v>
      </c>
      <c r="C242">
        <v>49.4</v>
      </c>
    </row>
    <row r="243" spans="1:3" x14ac:dyDescent="0.2">
      <c r="A243" s="94">
        <v>40421</v>
      </c>
      <c r="B243">
        <v>0.13900000000000001</v>
      </c>
      <c r="C243">
        <v>51.9</v>
      </c>
    </row>
    <row r="244" spans="1:3" x14ac:dyDescent="0.2">
      <c r="A244" s="94">
        <v>40451</v>
      </c>
      <c r="B244">
        <v>0.13300000000000001</v>
      </c>
      <c r="C244">
        <v>52.9</v>
      </c>
    </row>
    <row r="245" spans="1:3" x14ac:dyDescent="0.2">
      <c r="A245" s="94">
        <v>40482</v>
      </c>
      <c r="B245">
        <v>0.13100000000000001</v>
      </c>
      <c r="C245">
        <v>54.8</v>
      </c>
    </row>
    <row r="246" spans="1:3" x14ac:dyDescent="0.2">
      <c r="A246" s="94">
        <v>40512</v>
      </c>
      <c r="B246">
        <v>0.13300000000000001</v>
      </c>
      <c r="C246">
        <v>55.3</v>
      </c>
    </row>
    <row r="247" spans="1:3" x14ac:dyDescent="0.2">
      <c r="A247" s="94">
        <v>40543</v>
      </c>
      <c r="B247">
        <v>0.13500000000000001</v>
      </c>
      <c r="C247">
        <v>54.4</v>
      </c>
    </row>
    <row r="248" spans="1:3" x14ac:dyDescent="0.2">
      <c r="A248" s="94">
        <v>40602</v>
      </c>
      <c r="B248">
        <v>0.14099999999999999</v>
      </c>
      <c r="C248">
        <v>51.7</v>
      </c>
    </row>
    <row r="249" spans="1:3" x14ac:dyDescent="0.2">
      <c r="A249" s="94">
        <v>40633</v>
      </c>
      <c r="B249">
        <v>0.14799999999999999</v>
      </c>
      <c r="C249">
        <v>51.8</v>
      </c>
    </row>
    <row r="250" spans="1:3" x14ac:dyDescent="0.2">
      <c r="A250" s="94">
        <v>40663</v>
      </c>
      <c r="B250">
        <v>0.13400000000000001</v>
      </c>
      <c r="C250">
        <v>51.8</v>
      </c>
    </row>
    <row r="251" spans="1:3" x14ac:dyDescent="0.2">
      <c r="A251" s="94">
        <v>40694</v>
      </c>
      <c r="B251">
        <v>0.13300000000000001</v>
      </c>
      <c r="C251">
        <v>51.6</v>
      </c>
    </row>
    <row r="252" spans="1:3" x14ac:dyDescent="0.2">
      <c r="A252" s="94">
        <v>40724</v>
      </c>
      <c r="B252">
        <v>0.151</v>
      </c>
      <c r="C252">
        <v>50.1</v>
      </c>
    </row>
    <row r="253" spans="1:3" x14ac:dyDescent="0.2">
      <c r="A253" s="94">
        <v>40755</v>
      </c>
      <c r="B253">
        <v>0.14000000000000001</v>
      </c>
      <c r="C253">
        <v>49.3</v>
      </c>
    </row>
    <row r="254" spans="1:3" x14ac:dyDescent="0.2">
      <c r="A254" s="94">
        <v>40786</v>
      </c>
      <c r="B254">
        <v>0.13500000000000001</v>
      </c>
      <c r="C254">
        <v>49.9</v>
      </c>
    </row>
    <row r="255" spans="1:3" x14ac:dyDescent="0.2">
      <c r="A255" s="94">
        <v>40816</v>
      </c>
      <c r="B255">
        <v>0.13800000000000001</v>
      </c>
      <c r="C255">
        <v>49.9</v>
      </c>
    </row>
    <row r="256" spans="1:3" x14ac:dyDescent="0.2">
      <c r="A256" s="94">
        <v>40847</v>
      </c>
      <c r="B256">
        <v>0.13200000000000001</v>
      </c>
      <c r="C256">
        <v>51</v>
      </c>
    </row>
    <row r="257" spans="1:3" x14ac:dyDescent="0.2">
      <c r="A257" s="94">
        <v>40877</v>
      </c>
      <c r="B257">
        <v>0.124</v>
      </c>
      <c r="C257">
        <v>47.7</v>
      </c>
    </row>
    <row r="258" spans="1:3" x14ac:dyDescent="0.2">
      <c r="A258" s="94">
        <v>40908</v>
      </c>
      <c r="B258">
        <v>0.128</v>
      </c>
      <c r="C258">
        <v>48.7</v>
      </c>
    </row>
    <row r="259" spans="1:3" x14ac:dyDescent="0.2">
      <c r="A259" s="94">
        <v>40968</v>
      </c>
      <c r="B259">
        <v>0.114</v>
      </c>
      <c r="C259">
        <v>49.6</v>
      </c>
    </row>
    <row r="260" spans="1:3" x14ac:dyDescent="0.2">
      <c r="A260" s="94">
        <v>40999</v>
      </c>
      <c r="B260">
        <v>0.11899999999999999</v>
      </c>
      <c r="C260">
        <v>48.3</v>
      </c>
    </row>
    <row r="261" spans="1:3" x14ac:dyDescent="0.2">
      <c r="A261" s="94">
        <v>41029</v>
      </c>
      <c r="B261">
        <v>9.2999999999999999E-2</v>
      </c>
      <c r="C261">
        <v>49.3</v>
      </c>
    </row>
    <row r="262" spans="1:3" x14ac:dyDescent="0.2">
      <c r="A262" s="94">
        <v>41060</v>
      </c>
      <c r="B262">
        <v>9.6000000000000002E-2</v>
      </c>
      <c r="C262">
        <v>48.4</v>
      </c>
    </row>
    <row r="263" spans="1:3" x14ac:dyDescent="0.2">
      <c r="A263" s="94">
        <v>41090</v>
      </c>
      <c r="B263">
        <v>9.5000000000000001E-2</v>
      </c>
      <c r="C263">
        <v>48.2</v>
      </c>
    </row>
    <row r="264" spans="1:3" x14ac:dyDescent="0.2">
      <c r="A264" s="94">
        <v>41121</v>
      </c>
      <c r="B264">
        <v>9.1999999999999998E-2</v>
      </c>
      <c r="C264">
        <v>49.3</v>
      </c>
    </row>
    <row r="265" spans="1:3" x14ac:dyDescent="0.2">
      <c r="A265" s="94">
        <v>41152</v>
      </c>
      <c r="B265">
        <v>8.8999999999999996E-2</v>
      </c>
      <c r="C265">
        <v>47.7</v>
      </c>
    </row>
    <row r="266" spans="1:3" x14ac:dyDescent="0.2">
      <c r="A266" s="94">
        <v>41182</v>
      </c>
      <c r="B266">
        <v>9.1999999999999998E-2</v>
      </c>
      <c r="C266">
        <v>47.9</v>
      </c>
    </row>
    <row r="267" spans="1:3" x14ac:dyDescent="0.2">
      <c r="A267" s="94">
        <v>41213</v>
      </c>
      <c r="B267">
        <v>9.6000000000000002E-2</v>
      </c>
      <c r="C267">
        <v>49.5</v>
      </c>
    </row>
    <row r="268" spans="1:3" x14ac:dyDescent="0.2">
      <c r="A268" s="94">
        <v>41243</v>
      </c>
      <c r="B268">
        <v>0.10100000000000001</v>
      </c>
      <c r="C268">
        <v>50.5</v>
      </c>
    </row>
    <row r="269" spans="1:3" x14ac:dyDescent="0.2">
      <c r="A269" s="94">
        <v>41274</v>
      </c>
      <c r="B269">
        <v>0.10299999999999999</v>
      </c>
      <c r="C269">
        <v>51.5</v>
      </c>
    </row>
    <row r="270" spans="1:3" x14ac:dyDescent="0.2">
      <c r="A270" s="94">
        <v>41333</v>
      </c>
      <c r="B270">
        <v>9.9000000000000005E-2</v>
      </c>
      <c r="C270">
        <v>50.4</v>
      </c>
    </row>
    <row r="271" spans="1:3" x14ac:dyDescent="0.2">
      <c r="A271" s="94">
        <v>41364</v>
      </c>
      <c r="B271">
        <v>8.8999999999999996E-2</v>
      </c>
      <c r="C271">
        <v>51.6</v>
      </c>
    </row>
    <row r="272" spans="1:3" x14ac:dyDescent="0.2">
      <c r="A272" s="94">
        <v>41394</v>
      </c>
      <c r="B272">
        <v>9.2999999999999999E-2</v>
      </c>
      <c r="C272">
        <v>50.4</v>
      </c>
    </row>
    <row r="273" spans="1:3" x14ac:dyDescent="0.2">
      <c r="A273" s="94">
        <v>41425</v>
      </c>
      <c r="B273">
        <v>9.1999999999999998E-2</v>
      </c>
      <c r="C273">
        <v>49.2</v>
      </c>
    </row>
    <row r="274" spans="1:3" x14ac:dyDescent="0.2">
      <c r="A274" s="94">
        <v>41455</v>
      </c>
      <c r="B274">
        <v>8.8999999999999996E-2</v>
      </c>
      <c r="C274">
        <v>48.2</v>
      </c>
    </row>
    <row r="275" spans="1:3" x14ac:dyDescent="0.2">
      <c r="A275" s="94">
        <v>41486</v>
      </c>
      <c r="B275">
        <v>9.7000000000000003E-2</v>
      </c>
      <c r="C275">
        <v>47.7</v>
      </c>
    </row>
    <row r="276" spans="1:3" x14ac:dyDescent="0.2">
      <c r="A276" s="94">
        <v>41517</v>
      </c>
      <c r="B276">
        <v>0.104</v>
      </c>
      <c r="C276">
        <v>50.1</v>
      </c>
    </row>
    <row r="277" spans="1:3" x14ac:dyDescent="0.2">
      <c r="A277" s="94">
        <v>41547</v>
      </c>
      <c r="B277">
        <v>0.10199999999999999</v>
      </c>
      <c r="C277">
        <v>50.2</v>
      </c>
    </row>
    <row r="278" spans="1:3" x14ac:dyDescent="0.2">
      <c r="A278" s="94">
        <v>41578</v>
      </c>
      <c r="B278">
        <v>0.10299999999999999</v>
      </c>
      <c r="C278">
        <v>50.9</v>
      </c>
    </row>
    <row r="279" spans="1:3" x14ac:dyDescent="0.2">
      <c r="A279" s="94">
        <v>41608</v>
      </c>
      <c r="B279">
        <v>0.1</v>
      </c>
      <c r="C279">
        <v>50.8</v>
      </c>
    </row>
    <row r="280" spans="1:3" x14ac:dyDescent="0.2">
      <c r="A280" s="94">
        <v>41639</v>
      </c>
      <c r="B280">
        <v>9.7000000000000003E-2</v>
      </c>
      <c r="C280">
        <v>50.5</v>
      </c>
    </row>
    <row r="281" spans="1:3" x14ac:dyDescent="0.2">
      <c r="A281" s="94">
        <v>41698</v>
      </c>
      <c r="B281">
        <v>8.5999999999999993E-2</v>
      </c>
      <c r="C281">
        <v>48.5</v>
      </c>
    </row>
    <row r="282" spans="1:3" x14ac:dyDescent="0.2">
      <c r="A282" s="94">
        <v>41729</v>
      </c>
      <c r="B282">
        <v>8.7999999999999995E-2</v>
      </c>
      <c r="C282">
        <v>48</v>
      </c>
    </row>
    <row r="283" spans="1:3" x14ac:dyDescent="0.2">
      <c r="A283" s="94">
        <v>41759</v>
      </c>
      <c r="B283">
        <v>8.6999999999999994E-2</v>
      </c>
      <c r="C283">
        <v>48.1</v>
      </c>
    </row>
    <row r="284" spans="1:3" x14ac:dyDescent="0.2">
      <c r="A284" s="94">
        <v>41790</v>
      </c>
      <c r="B284">
        <v>8.7999999999999995E-2</v>
      </c>
      <c r="C284">
        <v>49.4</v>
      </c>
    </row>
    <row r="285" spans="1:3" x14ac:dyDescent="0.2">
      <c r="A285" s="94">
        <v>41820</v>
      </c>
      <c r="B285">
        <v>9.1999999999999998E-2</v>
      </c>
      <c r="C285">
        <v>50.7</v>
      </c>
    </row>
    <row r="286" spans="1:3" x14ac:dyDescent="0.2">
      <c r="A286" s="94">
        <v>41851</v>
      </c>
      <c r="B286">
        <v>0.09</v>
      </c>
      <c r="C286">
        <v>51.7</v>
      </c>
    </row>
    <row r="287" spans="1:3" x14ac:dyDescent="0.2">
      <c r="A287" s="94">
        <v>41882</v>
      </c>
      <c r="B287">
        <v>6.9000000000000006E-2</v>
      </c>
      <c r="C287">
        <v>50.2</v>
      </c>
    </row>
    <row r="288" spans="1:3" x14ac:dyDescent="0.2">
      <c r="A288" s="94">
        <v>41912</v>
      </c>
      <c r="B288">
        <v>0.08</v>
      </c>
      <c r="C288">
        <v>51.1</v>
      </c>
    </row>
    <row r="289" spans="1:3" x14ac:dyDescent="0.2">
      <c r="A289" s="94">
        <v>41943</v>
      </c>
      <c r="B289">
        <v>7.6999999999999999E-2</v>
      </c>
      <c r="C289">
        <v>50.8</v>
      </c>
    </row>
    <row r="290" spans="1:3" x14ac:dyDescent="0.2">
      <c r="A290" s="94">
        <v>41973</v>
      </c>
      <c r="B290">
        <v>7.1999999999999995E-2</v>
      </c>
      <c r="C290">
        <v>50.3</v>
      </c>
    </row>
    <row r="291" spans="1:3" x14ac:dyDescent="0.2">
      <c r="A291" s="94">
        <v>42004</v>
      </c>
      <c r="B291">
        <v>7.9000000000000001E-2</v>
      </c>
      <c r="C291">
        <v>50.1</v>
      </c>
    </row>
    <row r="292" spans="1:3" x14ac:dyDescent="0.2">
      <c r="A292" s="94">
        <v>42063</v>
      </c>
      <c r="B292">
        <v>6.8000000000000005E-2</v>
      </c>
      <c r="C292">
        <v>49.9</v>
      </c>
    </row>
    <row r="293" spans="1:3" x14ac:dyDescent="0.2">
      <c r="A293" s="94">
        <v>42094</v>
      </c>
      <c r="B293">
        <v>5.6000000000000001E-2</v>
      </c>
      <c r="C293">
        <v>50.1</v>
      </c>
    </row>
    <row r="294" spans="1:3" x14ac:dyDescent="0.2">
      <c r="A294" s="94">
        <v>42124</v>
      </c>
      <c r="B294">
        <v>5.8999999999999997E-2</v>
      </c>
      <c r="C294">
        <v>50.1</v>
      </c>
    </row>
    <row r="295" spans="1:3" x14ac:dyDescent="0.2">
      <c r="A295" s="94">
        <v>42155</v>
      </c>
      <c r="B295">
        <v>6.0999999999999999E-2</v>
      </c>
      <c r="C295">
        <v>50.2</v>
      </c>
    </row>
    <row r="296" spans="1:3" x14ac:dyDescent="0.2">
      <c r="A296" s="94">
        <v>42185</v>
      </c>
      <c r="B296">
        <v>6.8000000000000005E-2</v>
      </c>
      <c r="C296">
        <v>50.2</v>
      </c>
    </row>
    <row r="297" spans="1:3" x14ac:dyDescent="0.2">
      <c r="A297" s="94">
        <v>42216</v>
      </c>
      <c r="B297">
        <v>0.06</v>
      </c>
      <c r="C297">
        <v>50</v>
      </c>
    </row>
    <row r="298" spans="1:3" x14ac:dyDescent="0.2">
      <c r="A298" s="94">
        <v>42247</v>
      </c>
      <c r="B298">
        <v>6.0999999999999999E-2</v>
      </c>
      <c r="C298">
        <v>47.3</v>
      </c>
    </row>
    <row r="299" spans="1:3" x14ac:dyDescent="0.2">
      <c r="A299" s="94">
        <v>42277</v>
      </c>
      <c r="B299">
        <v>5.7000000000000002E-2</v>
      </c>
      <c r="C299">
        <v>47.2</v>
      </c>
    </row>
    <row r="300" spans="1:3" x14ac:dyDescent="0.2">
      <c r="A300" s="94">
        <v>42308</v>
      </c>
      <c r="B300">
        <v>5.6000000000000001E-2</v>
      </c>
      <c r="C300">
        <v>48.3</v>
      </c>
    </row>
    <row r="301" spans="1:3" x14ac:dyDescent="0.2">
      <c r="A301" s="94">
        <v>42338</v>
      </c>
      <c r="B301">
        <v>6.2E-2</v>
      </c>
      <c r="C301">
        <v>48.6</v>
      </c>
    </row>
    <row r="302" spans="1:3" x14ac:dyDescent="0.2">
      <c r="A302" s="94">
        <v>42369</v>
      </c>
      <c r="B302">
        <v>5.8999999999999997E-2</v>
      </c>
      <c r="C302">
        <v>48.2</v>
      </c>
    </row>
    <row r="303" spans="1:3" x14ac:dyDescent="0.2">
      <c r="A303" s="94">
        <v>42400</v>
      </c>
      <c r="B303">
        <v>5.3999999999999999E-2</v>
      </c>
      <c r="C303">
        <v>48.4</v>
      </c>
    </row>
    <row r="304" spans="1:3" x14ac:dyDescent="0.2">
      <c r="A304" s="94">
        <v>42460</v>
      </c>
      <c r="B304">
        <v>6.8000000000000005E-2</v>
      </c>
      <c r="C304">
        <v>49.7</v>
      </c>
    </row>
    <row r="305" spans="1:3" x14ac:dyDescent="0.2">
      <c r="A305" s="94">
        <v>42490</v>
      </c>
      <c r="B305">
        <v>0.06</v>
      </c>
      <c r="C305">
        <v>49.4</v>
      </c>
    </row>
    <row r="306" spans="1:3" x14ac:dyDescent="0.2">
      <c r="A306" s="94">
        <v>42521</v>
      </c>
      <c r="B306">
        <v>0.06</v>
      </c>
      <c r="C306">
        <v>49.2</v>
      </c>
    </row>
    <row r="307" spans="1:3" x14ac:dyDescent="0.2">
      <c r="A307" s="94">
        <v>42551</v>
      </c>
      <c r="B307">
        <v>6.2E-2</v>
      </c>
      <c r="C307">
        <v>48.6</v>
      </c>
    </row>
    <row r="308" spans="1:3" x14ac:dyDescent="0.2">
      <c r="A308" s="94">
        <v>42582</v>
      </c>
      <c r="B308">
        <v>0.06</v>
      </c>
      <c r="C308">
        <v>50.6</v>
      </c>
    </row>
    <row r="309" spans="1:3" x14ac:dyDescent="0.2">
      <c r="A309" s="94">
        <v>42613</v>
      </c>
      <c r="B309">
        <v>6.3E-2</v>
      </c>
      <c r="C309">
        <v>50</v>
      </c>
    </row>
    <row r="310" spans="1:3" x14ac:dyDescent="0.2">
      <c r="A310" s="94">
        <v>42643</v>
      </c>
      <c r="B310">
        <v>6.0999999999999999E-2</v>
      </c>
      <c r="C310">
        <v>50.1</v>
      </c>
    </row>
    <row r="311" spans="1:3" x14ac:dyDescent="0.2">
      <c r="A311" s="94">
        <v>42674</v>
      </c>
      <c r="B311">
        <v>6.0999999999999999E-2</v>
      </c>
      <c r="C311">
        <v>51.2</v>
      </c>
    </row>
    <row r="312" spans="1:3" x14ac:dyDescent="0.2">
      <c r="A312" s="94">
        <v>42704</v>
      </c>
      <c r="B312">
        <v>6.2E-2</v>
      </c>
      <c r="C312">
        <v>50.9</v>
      </c>
    </row>
    <row r="313" spans="1:3" x14ac:dyDescent="0.2">
      <c r="A313" s="94">
        <v>42735</v>
      </c>
      <c r="B313">
        <v>0.06</v>
      </c>
      <c r="C313">
        <v>51.9</v>
      </c>
    </row>
    <row r="314" spans="1:3" x14ac:dyDescent="0.2">
      <c r="A314" s="94">
        <v>42766</v>
      </c>
      <c r="B314">
        <v>6.3E-2</v>
      </c>
      <c r="C314">
        <v>51</v>
      </c>
    </row>
    <row r="315" spans="1:3" x14ac:dyDescent="0.2">
      <c r="A315" s="94">
        <v>42825</v>
      </c>
      <c r="B315">
        <v>7.5999999999999998E-2</v>
      </c>
      <c r="C315">
        <v>51.2</v>
      </c>
    </row>
    <row r="316" spans="1:3" x14ac:dyDescent="0.2">
      <c r="A316" s="94">
        <v>42855</v>
      </c>
      <c r="B316">
        <v>6.5000000000000002E-2</v>
      </c>
      <c r="C316">
        <v>50.3</v>
      </c>
    </row>
    <row r="317" spans="1:3" x14ac:dyDescent="0.2">
      <c r="A317" s="94">
        <v>42886</v>
      </c>
      <c r="B317">
        <v>6.5000000000000002E-2</v>
      </c>
      <c r="C317">
        <v>49.6</v>
      </c>
    </row>
    <row r="318" spans="1:3" x14ac:dyDescent="0.2">
      <c r="A318" s="94">
        <v>42916</v>
      </c>
      <c r="B318">
        <v>7.5999999999999998E-2</v>
      </c>
      <c r="C318">
        <v>50.4</v>
      </c>
    </row>
    <row r="319" spans="1:3" x14ac:dyDescent="0.2">
      <c r="A319" s="94">
        <v>42947</v>
      </c>
      <c r="B319">
        <v>6.4000000000000001E-2</v>
      </c>
      <c r="C319">
        <v>51.1</v>
      </c>
    </row>
    <row r="320" spans="1:3" x14ac:dyDescent="0.2">
      <c r="A320" s="94">
        <v>42978</v>
      </c>
      <c r="B320">
        <v>0.06</v>
      </c>
      <c r="C320">
        <v>51.6</v>
      </c>
    </row>
    <row r="321" spans="1:3" x14ac:dyDescent="0.2">
      <c r="A321" s="94">
        <v>43008</v>
      </c>
      <c r="B321">
        <v>6.6000000000000003E-2</v>
      </c>
      <c r="C321">
        <v>51</v>
      </c>
    </row>
    <row r="322" spans="1:3" x14ac:dyDescent="0.2">
      <c r="A322" s="94">
        <v>43039</v>
      </c>
      <c r="B322">
        <v>6.2E-2</v>
      </c>
      <c r="C322">
        <v>51</v>
      </c>
    </row>
    <row r="323" spans="1:3" x14ac:dyDescent="0.2">
      <c r="A323" s="94">
        <v>43069</v>
      </c>
      <c r="B323">
        <v>6.0999999999999999E-2</v>
      </c>
      <c r="C323">
        <v>50.8</v>
      </c>
    </row>
    <row r="324" spans="1:3" x14ac:dyDescent="0.2">
      <c r="A324" s="94">
        <v>43100</v>
      </c>
      <c r="B324">
        <v>6.2E-2</v>
      </c>
      <c r="C324">
        <v>51.5</v>
      </c>
    </row>
    <row r="325" spans="1:3" x14ac:dyDescent="0.2">
      <c r="A325" s="94">
        <v>43159</v>
      </c>
      <c r="B325">
        <v>7.1999999999999995E-2</v>
      </c>
      <c r="C325">
        <v>51.5</v>
      </c>
    </row>
    <row r="326" spans="1:3" x14ac:dyDescent="0.2">
      <c r="A326" s="94">
        <v>43190</v>
      </c>
      <c r="B326">
        <v>0.06</v>
      </c>
      <c r="C326">
        <v>51</v>
      </c>
    </row>
    <row r="327" spans="1:3" x14ac:dyDescent="0.2">
      <c r="A327" s="94">
        <v>43220</v>
      </c>
      <c r="B327">
        <v>7.0000000000000007E-2</v>
      </c>
      <c r="C327">
        <v>51.1</v>
      </c>
    </row>
    <row r="328" spans="1:3" x14ac:dyDescent="0.2">
      <c r="A328" s="94">
        <v>43251</v>
      </c>
      <c r="B328">
        <v>6.8000000000000005E-2</v>
      </c>
      <c r="C328">
        <v>51.1</v>
      </c>
    </row>
    <row r="329" spans="1:3" x14ac:dyDescent="0.2">
      <c r="A329" s="94">
        <v>43281</v>
      </c>
      <c r="B329">
        <v>0.06</v>
      </c>
      <c r="C329">
        <v>51</v>
      </c>
    </row>
    <row r="330" spans="1:3" x14ac:dyDescent="0.2">
      <c r="A330" s="94">
        <v>43312</v>
      </c>
      <c r="B330">
        <v>0.06</v>
      </c>
      <c r="C330">
        <v>50.8</v>
      </c>
    </row>
    <row r="331" spans="1:3" x14ac:dyDescent="0.2">
      <c r="A331" s="94">
        <v>43343</v>
      </c>
      <c r="B331">
        <v>6.0999999999999999E-2</v>
      </c>
      <c r="C331">
        <v>50.6</v>
      </c>
    </row>
    <row r="332" spans="1:3" x14ac:dyDescent="0.2">
      <c r="A332" s="94">
        <v>43373</v>
      </c>
      <c r="B332">
        <v>5.8000000000000003E-2</v>
      </c>
      <c r="C332">
        <v>50</v>
      </c>
    </row>
    <row r="333" spans="1:3" x14ac:dyDescent="0.2">
      <c r="A333" s="94">
        <v>43404</v>
      </c>
      <c r="B333">
        <v>5.8999999999999997E-2</v>
      </c>
      <c r="C333">
        <v>50.1</v>
      </c>
    </row>
    <row r="334" spans="1:3" x14ac:dyDescent="0.2">
      <c r="A334" s="94">
        <v>43434</v>
      </c>
      <c r="B334">
        <v>5.3999999999999999E-2</v>
      </c>
      <c r="C334">
        <v>50.2</v>
      </c>
    </row>
    <row r="335" spans="1:3" x14ac:dyDescent="0.2">
      <c r="A335" s="94">
        <v>43465</v>
      </c>
      <c r="B335">
        <v>5.7000000000000002E-2</v>
      </c>
      <c r="C335">
        <v>49.7</v>
      </c>
    </row>
    <row r="336" spans="1:3" x14ac:dyDescent="0.2">
      <c r="A336" s="94">
        <v>43496</v>
      </c>
      <c r="B336">
        <v>5.2999999999999999E-2</v>
      </c>
      <c r="C336">
        <v>48.3</v>
      </c>
    </row>
    <row r="337" spans="1:3" x14ac:dyDescent="0.2">
      <c r="A337" s="94">
        <v>43524</v>
      </c>
      <c r="B337">
        <v>8.5000000000000006E-2</v>
      </c>
      <c r="C337">
        <v>49.9</v>
      </c>
    </row>
    <row r="338" spans="1:3" x14ac:dyDescent="0.2">
      <c r="A338" s="94">
        <v>43555</v>
      </c>
      <c r="B338">
        <v>5.3999999999999999E-2</v>
      </c>
      <c r="C338">
        <v>50.8</v>
      </c>
    </row>
    <row r="339" spans="1:3" x14ac:dyDescent="0.2">
      <c r="A339" s="94">
        <v>43585</v>
      </c>
      <c r="B339">
        <v>5.3999999999999999E-2</v>
      </c>
      <c r="C339">
        <v>50.2</v>
      </c>
    </row>
    <row r="340" spans="1:3" x14ac:dyDescent="0.2">
      <c r="A340" s="94">
        <v>43616</v>
      </c>
      <c r="B340">
        <v>0.05</v>
      </c>
      <c r="C340">
        <v>50.2</v>
      </c>
    </row>
    <row r="341" spans="1:3" x14ac:dyDescent="0.2">
      <c r="A341" s="94">
        <v>43646</v>
      </c>
      <c r="B341">
        <v>6.3E-2</v>
      </c>
      <c r="C341">
        <v>49.4</v>
      </c>
    </row>
    <row r="342" spans="1:3" x14ac:dyDescent="0.2">
      <c r="A342" s="94">
        <v>43677</v>
      </c>
      <c r="B342">
        <v>4.8000000000000001E-2</v>
      </c>
      <c r="C342">
        <v>49.9</v>
      </c>
    </row>
    <row r="343" spans="1:3" x14ac:dyDescent="0.2">
      <c r="A343" s="94">
        <v>43708</v>
      </c>
      <c r="B343">
        <v>4.3999999999999997E-2</v>
      </c>
      <c r="C343">
        <v>50.4</v>
      </c>
    </row>
    <row r="344" spans="1:3" x14ac:dyDescent="0.2">
      <c r="A344" s="94">
        <v>43738</v>
      </c>
      <c r="B344">
        <v>5.8000000000000003E-2</v>
      </c>
      <c r="C344">
        <v>51.4</v>
      </c>
    </row>
    <row r="345" spans="1:3" x14ac:dyDescent="0.2">
      <c r="A345" s="94">
        <v>43769</v>
      </c>
      <c r="B345">
        <v>4.7E-2</v>
      </c>
      <c r="C345">
        <v>51.7</v>
      </c>
    </row>
    <row r="346" spans="1:3" x14ac:dyDescent="0.2">
      <c r="A346" s="94">
        <v>43799</v>
      </c>
      <c r="B346">
        <v>6.2E-2</v>
      </c>
      <c r="C346">
        <v>51.8</v>
      </c>
    </row>
    <row r="347" spans="1:3" x14ac:dyDescent="0.2">
      <c r="A347" s="94">
        <v>43830</v>
      </c>
      <c r="B347">
        <v>6.9000000000000006E-2</v>
      </c>
      <c r="C347">
        <v>51.5</v>
      </c>
    </row>
    <row r="348" spans="1:3" x14ac:dyDescent="0.2">
      <c r="A348" s="94">
        <v>43890</v>
      </c>
      <c r="B348">
        <v>-0.13500000000000001</v>
      </c>
      <c r="C348">
        <v>51.1</v>
      </c>
    </row>
    <row r="349" spans="1:3" x14ac:dyDescent="0.2">
      <c r="A349" s="94">
        <v>43921</v>
      </c>
      <c r="B349">
        <v>-1.0999999999999999E-2</v>
      </c>
      <c r="C349">
        <v>40.299999999999997</v>
      </c>
    </row>
    <row r="350" spans="1:3" x14ac:dyDescent="0.2">
      <c r="A350" s="94">
        <v>43951</v>
      </c>
      <c r="B350">
        <v>3.9E-2</v>
      </c>
      <c r="C350">
        <v>50.1</v>
      </c>
    </row>
    <row r="351" spans="1:3" x14ac:dyDescent="0.2">
      <c r="A351" s="94">
        <v>43982</v>
      </c>
      <c r="B351">
        <v>4.3999999999999997E-2</v>
      </c>
      <c r="C351">
        <v>49.4</v>
      </c>
    </row>
    <row r="352" spans="1:3" x14ac:dyDescent="0.2">
      <c r="A352" s="94">
        <v>44012</v>
      </c>
      <c r="B352">
        <v>4.8000000000000001E-2</v>
      </c>
      <c r="C352">
        <v>50.7</v>
      </c>
    </row>
    <row r="353" spans="1:3" x14ac:dyDescent="0.2">
      <c r="A353" s="94">
        <v>44043</v>
      </c>
      <c r="B353">
        <v>4.8000000000000001E-2</v>
      </c>
      <c r="C353">
        <v>51.2</v>
      </c>
    </row>
    <row r="354" spans="1:3" x14ac:dyDescent="0.2">
      <c r="A354" s="94">
        <v>44074</v>
      </c>
      <c r="B354">
        <v>5.6000000000000001E-2</v>
      </c>
      <c r="C354">
        <v>52.8</v>
      </c>
    </row>
    <row r="355" spans="1:3" x14ac:dyDescent="0.2">
      <c r="A355" s="94">
        <v>44104</v>
      </c>
      <c r="B355">
        <v>6.9000000000000006E-2</v>
      </c>
      <c r="C355">
        <v>53.1</v>
      </c>
    </row>
    <row r="356" spans="1:3" x14ac:dyDescent="0.2">
      <c r="A356" s="94">
        <v>44135</v>
      </c>
      <c r="B356">
        <v>6.9000000000000006E-2</v>
      </c>
      <c r="C356">
        <v>53</v>
      </c>
    </row>
    <row r="357" spans="1:3" x14ac:dyDescent="0.2">
      <c r="A357" s="94">
        <v>44165</v>
      </c>
      <c r="B357">
        <v>7.0000000000000007E-2</v>
      </c>
      <c r="C357">
        <v>53.6</v>
      </c>
    </row>
    <row r="358" spans="1:3" x14ac:dyDescent="0.2">
      <c r="A358" s="94">
        <v>44561</v>
      </c>
      <c r="B358">
        <v>3.7999999999999999E-2</v>
      </c>
      <c r="C358">
        <v>49.9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O825"/>
  <sheetViews>
    <sheetView zoomScale="150" zoomScaleNormal="150" workbookViewId="0">
      <pane xSplit="2" ySplit="9" topLeftCell="C270" activePane="bottomRight" state="frozen"/>
      <selection pane="topRight" activeCell="C1" sqref="C1"/>
      <selection pane="bottomLeft" activeCell="A10" sqref="A10"/>
      <selection pane="bottomRight" activeCell="B379" sqref="B379"/>
    </sheetView>
  </sheetViews>
  <sheetFormatPr baseColWidth="10" defaultColWidth="8.83203125" defaultRowHeight="15" x14ac:dyDescent="0.2"/>
  <cols>
    <col min="1" max="1" width="10.6640625" style="85" bestFit="1" customWidth="1"/>
    <col min="2" max="2" width="13.6640625" style="84" customWidth="1"/>
    <col min="3" max="3" width="7.1640625" style="84" customWidth="1"/>
    <col min="4" max="4" width="7" style="84" customWidth="1"/>
    <col min="5" max="11" width="6.1640625" style="84" customWidth="1"/>
    <col min="12" max="13" width="6.33203125" style="84" hidden="1" customWidth="1"/>
    <col min="14" max="14" width="6.1640625" style="84" hidden="1" customWidth="1"/>
    <col min="15" max="20" width="6.1640625" style="84" customWidth="1"/>
    <col min="21" max="21" width="6.6640625" style="84" customWidth="1"/>
    <col min="22" max="22" width="6.1640625" style="84" customWidth="1"/>
    <col min="23" max="23" width="6.1640625" style="85" customWidth="1"/>
    <col min="24" max="25" width="15.33203125" style="85" customWidth="1"/>
    <col min="26" max="26" width="10.6640625" style="85" bestFit="1" customWidth="1"/>
    <col min="27" max="67" width="9.1640625" style="85" customWidth="1"/>
  </cols>
  <sheetData>
    <row r="1" spans="2:26" x14ac:dyDescent="0.2">
      <c r="C1" t="s">
        <v>431</v>
      </c>
      <c r="D1" t="s">
        <v>542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545</v>
      </c>
      <c r="N1" t="s">
        <v>210</v>
      </c>
      <c r="O1" t="s">
        <v>86</v>
      </c>
      <c r="P1" t="s">
        <v>537</v>
      </c>
      <c r="Q1" t="s">
        <v>74</v>
      </c>
      <c r="R1" t="s">
        <v>190</v>
      </c>
      <c r="S1" t="s">
        <v>214</v>
      </c>
      <c r="T1" t="s">
        <v>418</v>
      </c>
      <c r="U1" t="s">
        <v>535</v>
      </c>
      <c r="V1" t="s">
        <v>346</v>
      </c>
      <c r="Z1" s="15" t="s">
        <v>1774</v>
      </c>
    </row>
    <row r="2" spans="2:26" s="85" customFormat="1" ht="16" customHeight="1" thickBot="1" x14ac:dyDescent="0.25">
      <c r="Y2" s="85" t="s">
        <v>1775</v>
      </c>
      <c r="Z2" s="14">
        <v>44105</v>
      </c>
    </row>
    <row r="3" spans="2:26" ht="75.75" customHeight="1" x14ac:dyDescent="0.2">
      <c r="B3" s="52"/>
      <c r="C3" s="53" t="s">
        <v>1776</v>
      </c>
      <c r="D3" s="54" t="s">
        <v>1777</v>
      </c>
      <c r="E3" s="55" t="s">
        <v>1778</v>
      </c>
      <c r="F3" s="56" t="s">
        <v>127</v>
      </c>
      <c r="G3" s="56" t="s">
        <v>159</v>
      </c>
      <c r="H3" s="56" t="s">
        <v>1779</v>
      </c>
      <c r="I3" s="56" t="s">
        <v>1780</v>
      </c>
      <c r="J3" s="56" t="s">
        <v>147</v>
      </c>
      <c r="K3" s="56" t="s">
        <v>391</v>
      </c>
      <c r="L3" s="56" t="s">
        <v>277</v>
      </c>
      <c r="M3" s="56" t="s">
        <v>456</v>
      </c>
      <c r="N3" s="56" t="s">
        <v>211</v>
      </c>
      <c r="O3" s="56" t="s">
        <v>87</v>
      </c>
      <c r="P3" s="56" t="s">
        <v>1781</v>
      </c>
      <c r="Q3" s="56" t="s">
        <v>75</v>
      </c>
      <c r="R3" s="56" t="s">
        <v>191</v>
      </c>
      <c r="S3" s="56" t="s">
        <v>215</v>
      </c>
      <c r="T3" s="56" t="s">
        <v>419</v>
      </c>
      <c r="U3" s="56" t="s">
        <v>1782</v>
      </c>
      <c r="V3" s="57" t="s">
        <v>347</v>
      </c>
      <c r="Z3" s="16">
        <f>EDATE(Z2,-1)</f>
        <v>44075</v>
      </c>
    </row>
    <row r="4" spans="2:26" x14ac:dyDescent="0.2">
      <c r="B4" s="58" t="s">
        <v>1783</v>
      </c>
      <c r="C4" s="3">
        <f t="shared" ref="C4:V4" si="0">MAX(C382:C393)</f>
        <v>-2.4326183715900605E-3</v>
      </c>
      <c r="D4" s="3">
        <f t="shared" si="0"/>
        <v>-1.2464207835247728E-2</v>
      </c>
      <c r="E4" s="3">
        <f t="shared" si="0"/>
        <v>-2.5390877172421451E-2</v>
      </c>
      <c r="F4" s="3">
        <f t="shared" si="0"/>
        <v>-2.3143674403084527E-2</v>
      </c>
      <c r="G4" s="3">
        <f t="shared" si="0"/>
        <v>4.6696740664786867E-3</v>
      </c>
      <c r="H4" s="3">
        <f t="shared" si="0"/>
        <v>-1.112170475672011E-2</v>
      </c>
      <c r="I4" s="3">
        <f t="shared" si="0"/>
        <v>-9.4974698740263688E-4</v>
      </c>
      <c r="J4" s="3">
        <f t="shared" si="0"/>
        <v>1.5361705763807958E-2</v>
      </c>
      <c r="K4" s="3">
        <f t="shared" si="0"/>
        <v>2.5454545454545428E-2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3.3046846965466194E-3</v>
      </c>
      <c r="P4" s="3">
        <f t="shared" si="0"/>
        <v>6.5448213661779137E-2</v>
      </c>
      <c r="Q4" s="3">
        <f t="shared" si="0"/>
        <v>1.7261244689245694E-2</v>
      </c>
      <c r="R4" s="3">
        <f t="shared" si="0"/>
        <v>9.2607956868242896E-4</v>
      </c>
      <c r="S4" s="3">
        <f t="shared" si="0"/>
        <v>0.22985989567357226</v>
      </c>
      <c r="T4" s="3">
        <f t="shared" si="0"/>
        <v>0.10422344364803163</v>
      </c>
      <c r="U4" s="3">
        <f t="shared" si="0"/>
        <v>9.7257545905066623E-3</v>
      </c>
      <c r="V4" s="59">
        <f t="shared" si="0"/>
        <v>5.4421768707483047E-2</v>
      </c>
      <c r="Z4" s="16">
        <f>EDATE(Z2,-12)</f>
        <v>43739</v>
      </c>
    </row>
    <row r="5" spans="2:26" x14ac:dyDescent="0.2">
      <c r="B5" s="58" t="s">
        <v>1784</v>
      </c>
      <c r="C5" s="3">
        <f t="shared" ref="C5:V5" si="1">MIN(C382:C393)</f>
        <v>-0.16261319694931828</v>
      </c>
      <c r="D5" s="3">
        <f t="shared" si="1"/>
        <v>-0.28475536666711421</v>
      </c>
      <c r="E5" s="3">
        <f t="shared" si="1"/>
        <v>-0.23387839020206705</v>
      </c>
      <c r="F5" s="3">
        <f t="shared" si="1"/>
        <v>-0.29764233752327063</v>
      </c>
      <c r="G5" s="3">
        <f t="shared" si="1"/>
        <v>-0.34953906048083755</v>
      </c>
      <c r="H5" s="3">
        <f t="shared" si="1"/>
        <v>-0.236493129703539</v>
      </c>
      <c r="I5" s="3">
        <f t="shared" si="1"/>
        <v>-0.43345983314193581</v>
      </c>
      <c r="J5" s="3">
        <f t="shared" si="1"/>
        <v>-0.34000678872025147</v>
      </c>
      <c r="K5" s="3">
        <f t="shared" si="1"/>
        <v>-0.15509467989179443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-1</v>
      </c>
      <c r="P5" s="3">
        <f t="shared" si="1"/>
        <v>-8.2936430380784645E-2</v>
      </c>
      <c r="Q5" s="3">
        <f t="shared" si="1"/>
        <v>-0.26091946223245771</v>
      </c>
      <c r="R5" s="3">
        <f t="shared" si="1"/>
        <v>-0.10382558554089871</v>
      </c>
      <c r="S5" s="3">
        <f t="shared" si="1"/>
        <v>-0.14947960813101654</v>
      </c>
      <c r="T5" s="3">
        <f t="shared" si="1"/>
        <v>-0.3078274789890097</v>
      </c>
      <c r="U5" s="3">
        <f t="shared" si="1"/>
        <v>-0.34033268872340988</v>
      </c>
      <c r="V5" s="59">
        <f t="shared" si="1"/>
        <v>-0.25061425061425058</v>
      </c>
    </row>
    <row r="6" spans="2:26" x14ac:dyDescent="0.2">
      <c r="B6" s="58" t="s">
        <v>1785</v>
      </c>
      <c r="C6" s="3">
        <f t="shared" ref="C6:V6" si="2">AVERAGE(C382:C393)</f>
        <v>-6.1608162360377E-2</v>
      </c>
      <c r="D6" s="3">
        <f t="shared" si="2"/>
        <v>-8.7084558435891801E-2</v>
      </c>
      <c r="E6" s="3">
        <f t="shared" si="2"/>
        <v>-0.10169926927263628</v>
      </c>
      <c r="F6" s="3">
        <f t="shared" si="2"/>
        <v>-0.10845050660019497</v>
      </c>
      <c r="G6" s="3">
        <f t="shared" si="2"/>
        <v>-9.8869156282963902E-2</v>
      </c>
      <c r="H6" s="3">
        <f t="shared" si="2"/>
        <v>-8.0724518361584577E-2</v>
      </c>
      <c r="I6" s="3">
        <f t="shared" si="2"/>
        <v>-0.10815414167973242</v>
      </c>
      <c r="J6" s="3">
        <f t="shared" si="2"/>
        <v>-8.8148359582528105E-2</v>
      </c>
      <c r="K6" s="3">
        <f t="shared" si="2"/>
        <v>-4.0667270299328075E-2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-0.15809260169083064</v>
      </c>
      <c r="P6" s="3">
        <f t="shared" si="2"/>
        <v>8.0609341209752286E-3</v>
      </c>
      <c r="Q6" s="3">
        <f t="shared" si="2"/>
        <v>-5.7290265222738966E-2</v>
      </c>
      <c r="R6" s="3">
        <f t="shared" si="2"/>
        <v>-4.1646707858837055E-2</v>
      </c>
      <c r="S6" s="3">
        <f t="shared" si="2"/>
        <v>3.9856143608075118E-4</v>
      </c>
      <c r="T6" s="3">
        <f t="shared" si="2"/>
        <v>9.965668641112568E-3</v>
      </c>
      <c r="U6" s="3">
        <f t="shared" si="2"/>
        <v>-8.2188459201943273E-2</v>
      </c>
      <c r="V6" s="59">
        <f t="shared" si="2"/>
        <v>-2.4021784691979308E-2</v>
      </c>
    </row>
    <row r="7" spans="2:26" x14ac:dyDescent="0.2">
      <c r="B7" s="58" t="s">
        <v>1786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above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below</v>
      </c>
      <c r="P7" s="4" t="str">
        <f t="shared" si="3"/>
        <v>above</v>
      </c>
      <c r="Q7" s="4" t="str">
        <f t="shared" si="3"/>
        <v>above</v>
      </c>
      <c r="R7" s="4" t="str">
        <f t="shared" si="3"/>
        <v>above</v>
      </c>
      <c r="S7" s="4" t="str">
        <f t="shared" si="3"/>
        <v>below</v>
      </c>
      <c r="T7" s="4" t="str">
        <f t="shared" si="3"/>
        <v>above</v>
      </c>
      <c r="U7" s="4" t="str">
        <f t="shared" si="3"/>
        <v>above</v>
      </c>
      <c r="V7" s="60" t="str">
        <f t="shared" si="3"/>
        <v>above</v>
      </c>
    </row>
    <row r="8" spans="2:26" x14ac:dyDescent="0.2">
      <c r="B8" s="58" t="s">
        <v>1787</v>
      </c>
      <c r="C8" s="17">
        <f t="shared" ref="C8:V8" si="4">VLOOKUP($Z$2,$B:$V,MATCH(C3,$B$3:$V$3,),)-VLOOKUP($Z$4,$B:$V,MATCH(C3,$B$3:$V$3,),)</f>
        <v>-4.193181761942287E-2</v>
      </c>
      <c r="D8" s="17">
        <f t="shared" si="4"/>
        <v>-1.4980125304117419E-2</v>
      </c>
      <c r="E8" s="17">
        <f t="shared" si="4"/>
        <v>3.3923122191273775E-2</v>
      </c>
      <c r="F8" s="17">
        <f t="shared" si="4"/>
        <v>1.4660893043421892E-2</v>
      </c>
      <c r="G8" s="17">
        <f t="shared" si="4"/>
        <v>-4.1426427801743881E-2</v>
      </c>
      <c r="H8" s="17">
        <f t="shared" si="4"/>
        <v>-4.8632540996245192E-2</v>
      </c>
      <c r="I8" s="17">
        <f t="shared" si="4"/>
        <v>1.2179852838999222E-3</v>
      </c>
      <c r="J8" s="17">
        <f t="shared" si="4"/>
        <v>2.9902016772535359E-3</v>
      </c>
      <c r="K8" s="17">
        <f t="shared" si="4"/>
        <v>-8.979889696860234E-3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-0.98119781612539714</v>
      </c>
      <c r="P8" s="17">
        <f t="shared" si="4"/>
        <v>3.0764931782821307E-2</v>
      </c>
      <c r="Q8" s="17">
        <f t="shared" si="4"/>
        <v>-2.4162829601081289E-3</v>
      </c>
      <c r="R8" s="17">
        <f t="shared" si="4"/>
        <v>-3.0710692570214394E-2</v>
      </c>
      <c r="S8" s="17">
        <f t="shared" si="4"/>
        <v>-0.24595247491681571</v>
      </c>
      <c r="T8" s="17">
        <f t="shared" si="4"/>
        <v>6.022586411426202E-2</v>
      </c>
      <c r="U8" s="17">
        <f t="shared" si="4"/>
        <v>1.2370816245403361E-2</v>
      </c>
      <c r="V8" s="61">
        <f t="shared" si="4"/>
        <v>3.5329116050249187E-4</v>
      </c>
    </row>
    <row r="9" spans="2:26" ht="16" customHeight="1" thickBot="1" x14ac:dyDescent="0.25">
      <c r="B9" s="62" t="s">
        <v>1788</v>
      </c>
      <c r="C9" s="63">
        <f t="shared" ref="C9:V9" si="5">VLOOKUP($Z$2,$B:$V,MATCH(C3,$B$3:$V$3,),)-VLOOKUP($Z$3,$B:$V,MATCH(C3,$B$3:$V$3,),)</f>
        <v>1.2747527679302859E-2</v>
      </c>
      <c r="D9" s="63">
        <f t="shared" si="5"/>
        <v>2.5745159768246907E-2</v>
      </c>
      <c r="E9" s="63">
        <f t="shared" si="5"/>
        <v>6.8910455237464474E-2</v>
      </c>
      <c r="F9" s="63">
        <f t="shared" si="5"/>
        <v>4.1204940409457012E-2</v>
      </c>
      <c r="G9" s="63">
        <f t="shared" si="5"/>
        <v>1.644405703222393E-2</v>
      </c>
      <c r="H9" s="63">
        <f t="shared" si="5"/>
        <v>7.4044012186101002E-3</v>
      </c>
      <c r="I9" s="63">
        <f t="shared" si="5"/>
        <v>2.2637688291971141E-2</v>
      </c>
      <c r="J9" s="63">
        <f t="shared" si="5"/>
        <v>1.5860235033393177E-2</v>
      </c>
      <c r="K9" s="63">
        <f t="shared" si="5"/>
        <v>1.1602213493574872E-2</v>
      </c>
      <c r="L9" s="63">
        <f t="shared" si="5"/>
        <v>0</v>
      </c>
      <c r="M9" s="63">
        <f t="shared" si="5"/>
        <v>0</v>
      </c>
      <c r="N9" s="63">
        <f t="shared" si="5"/>
        <v>0</v>
      </c>
      <c r="O9" s="63">
        <f t="shared" si="5"/>
        <v>-0.92138335231062329</v>
      </c>
      <c r="P9" s="63">
        <f t="shared" si="5"/>
        <v>-1.6423984576617347E-3</v>
      </c>
      <c r="Q9" s="63">
        <f t="shared" si="5"/>
        <v>-7.0917180270788568E-3</v>
      </c>
      <c r="R9" s="63">
        <f t="shared" si="5"/>
        <v>-1.2516407336262431E-2</v>
      </c>
      <c r="S9" s="63">
        <f t="shared" si="5"/>
        <v>-1.3902391994289443E-2</v>
      </c>
      <c r="T9" s="63">
        <f t="shared" si="5"/>
        <v>1.7010120124642272E-2</v>
      </c>
      <c r="U9" s="63">
        <f t="shared" si="5"/>
        <v>2.9178148091813627E-2</v>
      </c>
      <c r="V9" s="64">
        <f t="shared" si="5"/>
        <v>3.6848606804008796E-3</v>
      </c>
    </row>
    <row r="10" spans="2:26" x14ac:dyDescent="0.2">
      <c r="B10" s="50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5" customFormat="1" x14ac:dyDescent="0.2">
      <c r="A24" s="44"/>
      <c r="B24" s="91">
        <v>32874</v>
      </c>
      <c r="C24" s="13">
        <f>((((VLOOKUP(B24,Database!$F:$AY,MATCH($C$1,Database!$F$1:$AY$1,),))))-(((VLOOKUP(EDATE(B24,-12),Database!$F:$AY,MATCH($C$1,Database!$F$1:$AY$1,),)))))/(((VLOOKUP(EDATE(B24,-12),Database!$F:$AY,MATCH($C$1,Database!$F$1:$AY$1,),))))</f>
        <v>-9.2554072141726122E-3</v>
      </c>
      <c r="D24" s="13">
        <f>((((VLOOKUP(B24,Database!$F:$AY,MATCH($D$1,Database!$F$1:$AY$1,),))))-(((VLOOKUP(EDATE(B24,-12),Database!$F:$AY,MATCH($D$1,Database!$F$1:$AY$1,),)))))/(((VLOOKUP(EDATE(B24,-12),Database!$F:$AY,MATCH($D$1,Database!$F$1:$AY$1,),))))</f>
        <v>3.7199493385204951E-2</v>
      </c>
      <c r="E24" s="13">
        <f>((((VLOOKUP(B24,Database!$F:$AY,MATCH($E$1,Database!$F$1:$AY$1,),))))-(((VLOOKUP(EDATE(B24,-12),Database!$F:$AY,MATCH($E$1,Database!$F$1:$AY$1,),)))))/(((VLOOKUP(EDATE(B24,-12),Database!$F:$AY,MATCH($E$1,Database!$F$1:$AY$1,),))))</f>
        <v>2.0513284709625643E-2</v>
      </c>
      <c r="F24" s="13">
        <f>((((VLOOKUP(B24,Database!$F:$AY,MATCH($F$1,Database!$F$1:$AY$1,),))))-(((VLOOKUP(EDATE(B24,-12),Database!$F:$AY,MATCH($F$1,Database!$F$1:$AY$1,),)))))/(((VLOOKUP(EDATE(B24,-12),Database!$F:$AY,MATCH($F$1,Database!$F$1:$AY$1,),))))</f>
        <v>5.5045677905545744E-2</v>
      </c>
      <c r="G24" s="13">
        <f>((((VLOOKUP(B24,Database!$F:$AY,MATCH($G$1,Database!$F$1:$AY$1,),))))-(((VLOOKUP(EDATE(B24,-12),Database!$F:$AY,MATCH($G$1,Database!$F$1:$AY$1,),)))))/(((VLOOKUP(EDATE(B24,-12),Database!$F:$AY,MATCH($G$1,Database!$F$1:$AY$1,),))))</f>
        <v>1.944599660090748E-2</v>
      </c>
      <c r="H24" s="13">
        <f>((((VLOOKUP(B24,Database!$F:$AY,MATCH($H$1,Database!$F$1:$AY$1,),))))-(((VLOOKUP(EDATE(B24,-12),Database!$F:$AY,MATCH($H$1,Database!$F$1:$AY$1,),)))))/(((VLOOKUP(EDATE(B24,-12),Database!$F:$AY,MATCH($H$1,Database!$F$1:$AY$1,),))))</f>
        <v>-1.998049620414511E-3</v>
      </c>
      <c r="I24" s="13">
        <f>((((VLOOKUP(B24,Database!$F:$AY,MATCH($I$1,Database!$F$1:$AY$1,),))))-(((VLOOKUP(EDATE(B24,-12),Database!$F:$AY,MATCH($I$1,Database!$F$1:$AY$1,),)))))/(((VLOOKUP(EDATE(B24,-12),Database!$F:$AY,MATCH($I$1,Database!$F$1:$AY$1,),))))</f>
        <v>1.6198144576165792E-3</v>
      </c>
      <c r="J24" s="13">
        <f>((((VLOOKUP(B24,Database!$F:$AY,MATCH($J$1,Database!$F$1:$AY$1,),))))-(((VLOOKUP(EDATE(B24,-12),Database!$F:$AY,MATCH($J$1,Database!$F$1:$AY$1,),)))))/(((VLOOKUP(EDATE(B24,-12),Database!$F:$AY,MATCH($J$1,Database!$F$1:$AY$1,),))))</f>
        <v>2.0483731835687344E-2</v>
      </c>
      <c r="K24" s="13">
        <f>((((VLOOKUP(B24,Database!$F:$AY,MATCH($K$1,Database!$F$1:$AY$1,),))))-(((VLOOKUP(EDATE(B24,-12),Database!$F:$AY,MATCH($K$1,Database!$F$1:$AY$1,),)))))/(((VLOOKUP(EDATE(B24,-12),Database!$F:$AY,MATCH($K$1,Database!$F$1:$AY$1,),))))</f>
        <v>-1.1019765115158965E-2</v>
      </c>
      <c r="L24" s="13">
        <f>((((VLOOKUP(B24,Database!$F:$AY,MATCH($L$1,Database!$F$1:$AY$1,),))))-(((VLOOKUP(EDATE(B24,-12),Database!$F:$AY,MATCH($L$1,Database!$F$1:$AY$1,),)))))/(((VLOOKUP(EDATE(B24,-12),Database!$F:$AY,MATCH($L$1,Database!$F$1:$AY$1,),))))</f>
        <v>4.5348883029070482E-2</v>
      </c>
      <c r="M24" s="13" t="e">
        <f>((((VLOOKUP(B24,Database!$F:$AY,MATCH($M$1,Database!$F$1:$AY$1,),))))-(((VLOOKUP(EDATE(B24,-12),Database!$F:$AY,MATCH($M$1,Database!$F$1:$AY$1,),)))))/(((VLOOKUP(EDATE(B24,-12),Database!$F:$AY,MATCH($M$1,Database!$F$1:$AY$1,),))))</f>
        <v>#DIV/0!</v>
      </c>
      <c r="N24" s="13" t="e">
        <f>((((VLOOKUP(B24,Database!$F:$AY,MATCH($N$1,Database!$F$1:$AY$1,),))))-(((VLOOKUP(EDATE(B24,-12),Database!$F:$AY,MATCH($N$1,Database!$F$1:$AY$1,),)))))/(((VLOOKUP(EDATE(B24,-12),Database!$F:$AY,MATCH($N$1,Database!$F$1:$AY$1,),))))</f>
        <v>#DIV/0!</v>
      </c>
      <c r="O24" s="13">
        <f>((((VLOOKUP(B24,Database!$F:$AY,MATCH($O$1,Database!$F$1:$AY$1,),))))-(((VLOOKUP(EDATE(B24,-12),Database!$F:$AY,MATCH($O$1,Database!$F$1:$AY$1,),)))))/(((VLOOKUP(EDATE(B24,-12),Database!$F:$AY,MATCH($O$1,Database!$F$1:$AY$1,),))))</f>
        <v>-2.3794905867758794E-2</v>
      </c>
      <c r="P24" s="13">
        <f>((((VLOOKUP(B24,Database!$F:$AY,MATCH($P$1,Database!$F$1:$AY$1,),))))-(((VLOOKUP(EDATE(B24,-12),Database!$F:$AY,MATCH($P$1,Database!$F$1:$AY$1,),)))))/(((VLOOKUP(EDATE(B24,-12),Database!$F:$AY,MATCH($P$1,Database!$F$1:$AY$1,),))))</f>
        <v>4.1409067321344445E-2</v>
      </c>
      <c r="Q24" s="13">
        <f>((((VLOOKUP(B24,Database!$F:$AY,MATCH($Q$1,Database!$F$1:$AY$1,),))))-(((VLOOKUP(EDATE(B24,-12),Database!$F:$AY,MATCH($Q$1,Database!$F$1:$AY$1,),)))))/(((VLOOKUP(EDATE(B24,-12),Database!$F:$AY,MATCH($Q$1,Database!$F$1:$AY$1,),))))</f>
        <v>4.9674700436269335E-2</v>
      </c>
      <c r="R24" s="13">
        <f>((((VLOOKUP(B24,Database!$F:$AY,MATCH($R$1,Database!$F$1:$AY$1,),))))-(((VLOOKUP(EDATE(B24,-12),Database!$F:$AY,MATCH($R$1,Database!$F$1:$AY$1,),)))))/(((VLOOKUP(EDATE(B24,-12),Database!$F:$AY,MATCH($R$1,Database!$F$1:$AY$1,),))))</f>
        <v>-7.2922004514107989E-3</v>
      </c>
      <c r="S24" s="13">
        <f>((((VLOOKUP(B24,Database!$F:$AY,MATCH($S$1,Database!$F$1:$AY$1,),))))-(((VLOOKUP(EDATE(B24,-12),Database!$F:$AY,MATCH($S$1,Database!$F$1:$AY$1,),)))))/(((VLOOKUP(EDATE(B24,-12),Database!$F:$AY,MATCH($S$1,Database!$F$1:$AY$1,),))))</f>
        <v>2.9626238037607867E-2</v>
      </c>
      <c r="T24" s="13">
        <f>((((VLOOKUP(B24,Database!$F:$AY,MATCH($T$1,Database!$F$1:$AY$1,),))))-(((VLOOKUP(EDATE(B24,-12),Database!$F:$AY,MATCH($T$1,Database!$F$1:$AY$1,),)))))/(((VLOOKUP(EDATE(B24,-12),Database!$F:$AY,MATCH($T$1,Database!$F$1:$AY$1,),))))</f>
        <v>0.10740746914094695</v>
      </c>
      <c r="U24" s="13" t="e">
        <f>((((VLOOKUP(B24,Database!$F:$AY,MATCH($U$1,Database!$F$1:$AY$1,),))))-(((VLOOKUP(EDATE(B24,-12),Database!$F:$AY,MATCH($U$1,Database!$F$1:$AY$1,),)))))/(((VLOOKUP(EDATE(B24,-12),Database!$F:$AY,MATCH($U$1,Database!$F$1:$AY$1,),))))</f>
        <v>#DIV/0!</v>
      </c>
      <c r="V24" s="13">
        <f>((((VLOOKUP(B24,Database!$F:$AY,MATCH($V$1,Database!$F$1:$AY$1,),))))-(((VLOOKUP(EDATE(B24,-12),Database!$F:$AY,MATCH($V$1,Database!$F$1:$AY$1,),)))))/(((VLOOKUP(EDATE(B24,-12),Database!$F:$AY,MATCH($V$1,Database!$F$1:$AY$1,),))))</f>
        <v>-0.29985879916534625</v>
      </c>
      <c r="X24" s="44">
        <f>DATE(YEAR(B24),MONTH(B24)-12,DAY(B24))</f>
        <v>32509</v>
      </c>
    </row>
    <row r="25" spans="1:24" s="85" customFormat="1" x14ac:dyDescent="0.2">
      <c r="A25" s="44"/>
      <c r="B25" s="91">
        <v>32905</v>
      </c>
      <c r="C25" s="13">
        <f>((((VLOOKUP(B25,Database!$F:$AY,MATCH($C$1,Database!$F$1:$AY$1,),))))-(((VLOOKUP(EDATE(B25,-12),Database!$F:$AY,MATCH($C$1,Database!$F$1:$AY$1,),)))))/(((VLOOKUP(EDATE(B25,-12),Database!$F:$AY,MATCH($C$1,Database!$F$1:$AY$1,),))))</f>
        <v>5.0279621681585587E-3</v>
      </c>
      <c r="D25" s="13">
        <f>((((VLOOKUP(B25,Database!$F:$AY,MATCH($D$1,Database!$F$1:$AY$1,),))))-(((VLOOKUP(EDATE(B25,-12),Database!$F:$AY,MATCH($D$1,Database!$F$1:$AY$1,),)))))/(((VLOOKUP(EDATE(B25,-12),Database!$F:$AY,MATCH($D$1,Database!$F$1:$AY$1,),))))</f>
        <v>5.1983923767371938E-2</v>
      </c>
      <c r="E25" s="13">
        <f>((((VLOOKUP(B25,Database!$F:$AY,MATCH($E$1,Database!$F$1:$AY$1,),))))-(((VLOOKUP(EDATE(B25,-12),Database!$F:$AY,MATCH($E$1,Database!$F$1:$AY$1,),)))))/(((VLOOKUP(EDATE(B25,-12),Database!$F:$AY,MATCH($E$1,Database!$F$1:$AY$1,),))))</f>
        <v>3.1991678953832571E-2</v>
      </c>
      <c r="F25" s="13">
        <f>((((VLOOKUP(B25,Database!$F:$AY,MATCH($F$1,Database!$F$1:$AY$1,),))))-(((VLOOKUP(EDATE(B25,-12),Database!$F:$AY,MATCH($F$1,Database!$F$1:$AY$1,),)))))/(((VLOOKUP(EDATE(B25,-12),Database!$F:$AY,MATCH($F$1,Database!$F$1:$AY$1,),))))</f>
        <v>5.4327883894502438E-2</v>
      </c>
      <c r="G25" s="13">
        <f>((((VLOOKUP(B25,Database!$F:$AY,MATCH($G$1,Database!$F$1:$AY$1,),))))-(((VLOOKUP(EDATE(B25,-12),Database!$F:$AY,MATCH($G$1,Database!$F$1:$AY$1,),)))))/(((VLOOKUP(EDATE(B25,-12),Database!$F:$AY,MATCH($G$1,Database!$F$1:$AY$1,),))))</f>
        <v>3.8433231556386421E-2</v>
      </c>
      <c r="H25" s="13">
        <f>((((VLOOKUP(B25,Database!$F:$AY,MATCH($H$1,Database!$F$1:$AY$1,),))))-(((VLOOKUP(EDATE(B25,-12),Database!$F:$AY,MATCH($H$1,Database!$F$1:$AY$1,),)))))/(((VLOOKUP(EDATE(B25,-12),Database!$F:$AY,MATCH($H$1,Database!$F$1:$AY$1,),))))</f>
        <v>-1.0956130804919617E-2</v>
      </c>
      <c r="I25" s="13">
        <f>((((VLOOKUP(B25,Database!$F:$AY,MATCH($I$1,Database!$F$1:$AY$1,),))))-(((VLOOKUP(EDATE(B25,-12),Database!$F:$AY,MATCH($I$1,Database!$F$1:$AY$1,),)))))/(((VLOOKUP(EDATE(B25,-12),Database!$F:$AY,MATCH($I$1,Database!$F$1:$AY$1,),))))</f>
        <v>4.9170647817162912E-3</v>
      </c>
      <c r="J25" s="13">
        <f>((((VLOOKUP(B25,Database!$F:$AY,MATCH($J$1,Database!$F$1:$AY$1,),))))-(((VLOOKUP(EDATE(B25,-12),Database!$F:$AY,MATCH($J$1,Database!$F$1:$AY$1,),)))))/(((VLOOKUP(EDATE(B25,-12),Database!$F:$AY,MATCH($J$1,Database!$F$1:$AY$1,),))))</f>
        <v>-5.0230245129662451E-3</v>
      </c>
      <c r="K25" s="13">
        <f>((((VLOOKUP(B25,Database!$F:$AY,MATCH($K$1,Database!$F$1:$AY$1,),))))-(((VLOOKUP(EDATE(B25,-12),Database!$F:$AY,MATCH($K$1,Database!$F$1:$AY$1,),)))))/(((VLOOKUP(EDATE(B25,-12),Database!$F:$AY,MATCH($K$1,Database!$F$1:$AY$1,),))))</f>
        <v>-3.7120182520423029E-3</v>
      </c>
      <c r="L25" s="13">
        <f>((((VLOOKUP(B25,Database!$F:$AY,MATCH($L$1,Database!$F$1:$AY$1,),))))-(((VLOOKUP(EDATE(B25,-12),Database!$F:$AY,MATCH($L$1,Database!$F$1:$AY$1,),)))))/(((VLOOKUP(EDATE(B25,-12),Database!$F:$AY,MATCH($L$1,Database!$F$1:$AY$1,),))))</f>
        <v>3.7209257440910685E-2</v>
      </c>
      <c r="M25" s="13" t="e">
        <f>((((VLOOKUP(B25,Database!$F:$AY,MATCH($M$1,Database!$F$1:$AY$1,),))))-(((VLOOKUP(EDATE(B25,-12),Database!$F:$AY,MATCH($M$1,Database!$F$1:$AY$1,),)))))/(((VLOOKUP(EDATE(B25,-12),Database!$F:$AY,MATCH($M$1,Database!$F$1:$AY$1,),))))</f>
        <v>#DIV/0!</v>
      </c>
      <c r="N25" s="13" t="e">
        <f>((((VLOOKUP(B25,Database!$F:$AY,MATCH($N$1,Database!$F$1:$AY$1,),))))-(((VLOOKUP(EDATE(B25,-12),Database!$F:$AY,MATCH($N$1,Database!$F$1:$AY$1,),)))))/(((VLOOKUP(EDATE(B25,-12),Database!$F:$AY,MATCH($N$1,Database!$F$1:$AY$1,),))))</f>
        <v>#DIV/0!</v>
      </c>
      <c r="O25" s="13">
        <f>((((VLOOKUP(B25,Database!$F:$AY,MATCH($O$1,Database!$F$1:$AY$1,),))))-(((VLOOKUP(EDATE(B25,-12),Database!$F:$AY,MATCH($O$1,Database!$F$1:$AY$1,),)))))/(((VLOOKUP(EDATE(B25,-12),Database!$F:$AY,MATCH($O$1,Database!$F$1:$AY$1,),))))</f>
        <v>-2.8694805303840189E-2</v>
      </c>
      <c r="P25" s="13">
        <f>((((VLOOKUP(B25,Database!$F:$AY,MATCH($P$1,Database!$F$1:$AY$1,),))))-(((VLOOKUP(EDATE(B25,-12),Database!$F:$AY,MATCH($P$1,Database!$F$1:$AY$1,),)))))/(((VLOOKUP(EDATE(B25,-12),Database!$F:$AY,MATCH($P$1,Database!$F$1:$AY$1,),))))</f>
        <v>7.0525310875701741E-2</v>
      </c>
      <c r="Q25" s="13">
        <f>((((VLOOKUP(B25,Database!$F:$AY,MATCH($Q$1,Database!$F$1:$AY$1,),))))-(((VLOOKUP(EDATE(B25,-12),Database!$F:$AY,MATCH($Q$1,Database!$F$1:$AY$1,),)))))/(((VLOOKUP(EDATE(B25,-12),Database!$F:$AY,MATCH($Q$1,Database!$F$1:$AY$1,),))))</f>
        <v>8.7871083366204167E-2</v>
      </c>
      <c r="R25" s="13">
        <f>((((VLOOKUP(B25,Database!$F:$AY,MATCH($R$1,Database!$F$1:$AY$1,),))))-(((VLOOKUP(EDATE(B25,-12),Database!$F:$AY,MATCH($R$1,Database!$F$1:$AY$1,),)))))/(((VLOOKUP(EDATE(B25,-12),Database!$F:$AY,MATCH($R$1,Database!$F$1:$AY$1,),))))</f>
        <v>4.01039278377123E-2</v>
      </c>
      <c r="S25" s="13">
        <f>((((VLOOKUP(B25,Database!$F:$AY,MATCH($S$1,Database!$F$1:$AY$1,),))))-(((VLOOKUP(EDATE(B25,-12),Database!$F:$AY,MATCH($S$1,Database!$F$1:$AY$1,),)))))/(((VLOOKUP(EDATE(B25,-12),Database!$F:$AY,MATCH($S$1,Database!$F$1:$AY$1,),))))</f>
        <v>7.3767335268774298E-2</v>
      </c>
      <c r="T25" s="13">
        <f>((((VLOOKUP(B25,Database!$F:$AY,MATCH($T$1,Database!$F$1:$AY$1,),))))-(((VLOOKUP(EDATE(B25,-12),Database!$F:$AY,MATCH($T$1,Database!$F$1:$AY$1,),)))))/(((VLOOKUP(EDATE(B25,-12),Database!$F:$AY,MATCH($T$1,Database!$F$1:$AY$1,),))))</f>
        <v>8.7719224370588031E-2</v>
      </c>
      <c r="U25" s="13" t="e">
        <f>((((VLOOKUP(B25,Database!$F:$AY,MATCH($U$1,Database!$F$1:$AY$1,),))))-(((VLOOKUP(EDATE(B25,-12),Database!$F:$AY,MATCH($U$1,Database!$F$1:$AY$1,),)))))/(((VLOOKUP(EDATE(B25,-12),Database!$F:$AY,MATCH($U$1,Database!$F$1:$AY$1,),))))</f>
        <v>#DIV/0!</v>
      </c>
      <c r="V25" s="13">
        <f>((((VLOOKUP(B25,Database!$F:$AY,MATCH($V$1,Database!$F$1:$AY$1,),))))-(((VLOOKUP(EDATE(B25,-12),Database!$F:$AY,MATCH($V$1,Database!$F$1:$AY$1,),)))))/(((VLOOKUP(EDATE(B25,-12),Database!$F:$AY,MATCH($V$1,Database!$F$1:$AY$1,),))))</f>
        <v>-0.30311368833342184</v>
      </c>
      <c r="X25" s="44" t="e">
        <f>EDATE(A25,-12)</f>
        <v>#NUM!</v>
      </c>
    </row>
    <row r="26" spans="1:24" s="85" customFormat="1" x14ac:dyDescent="0.2">
      <c r="A26" s="44"/>
      <c r="B26" s="91">
        <v>32933</v>
      </c>
      <c r="C26" s="13">
        <f>((((VLOOKUP(B26,Database!$F:$AY,MATCH($C$1,Database!$F$1:$AY$1,),))))-(((VLOOKUP(EDATE(B26,-12),Database!$F:$AY,MATCH($C$1,Database!$F$1:$AY$1,),)))))/(((VLOOKUP(EDATE(B26,-12),Database!$F:$AY,MATCH($C$1,Database!$F$1:$AY$1,),))))</f>
        <v>7.6546680124564403E-3</v>
      </c>
      <c r="D26" s="13">
        <f>((((VLOOKUP(B26,Database!$F:$AY,MATCH($D$1,Database!$F$1:$AY$1,),))))-(((VLOOKUP(EDATE(B26,-12),Database!$F:$AY,MATCH($D$1,Database!$F$1:$AY$1,),)))))/(((VLOOKUP(EDATE(B26,-12),Database!$F:$AY,MATCH($D$1,Database!$F$1:$AY$1,),))))</f>
        <v>4.93656537368697E-2</v>
      </c>
      <c r="E26" s="13">
        <f>((((VLOOKUP(B26,Database!$F:$AY,MATCH($E$1,Database!$F$1:$AY$1,),))))-(((VLOOKUP(EDATE(B26,-12),Database!$F:$AY,MATCH($E$1,Database!$F$1:$AY$1,),)))))/(((VLOOKUP(EDATE(B26,-12),Database!$F:$AY,MATCH($E$1,Database!$F$1:$AY$1,),))))</f>
        <v>1.3944790494206296E-2</v>
      </c>
      <c r="F26" s="13">
        <f>((((VLOOKUP(B26,Database!$F:$AY,MATCH($F$1,Database!$F$1:$AY$1,),))))-(((VLOOKUP(EDATE(B26,-12),Database!$F:$AY,MATCH($F$1,Database!$F$1:$AY$1,),)))))/(((VLOOKUP(EDATE(B26,-12),Database!$F:$AY,MATCH($F$1,Database!$F$1:$AY$1,),))))</f>
        <v>5.6672796793909276E-2</v>
      </c>
      <c r="G26" s="13">
        <f>((((VLOOKUP(B26,Database!$F:$AY,MATCH($G$1,Database!$F$1:$AY$1,),))))-(((VLOOKUP(EDATE(B26,-12),Database!$F:$AY,MATCH($G$1,Database!$F$1:$AY$1,),)))))/(((VLOOKUP(EDATE(B26,-12),Database!$F:$AY,MATCH($G$1,Database!$F$1:$AY$1,),))))</f>
        <v>3.256133414617577E-2</v>
      </c>
      <c r="H26" s="13">
        <f>((((VLOOKUP(B26,Database!$F:$AY,MATCH($H$1,Database!$F$1:$AY$1,),))))-(((VLOOKUP(EDATE(B26,-12),Database!$F:$AY,MATCH($H$1,Database!$F$1:$AY$1,),)))))/(((VLOOKUP(EDATE(B26,-12),Database!$F:$AY,MATCH($H$1,Database!$F$1:$AY$1,),))))</f>
        <v>1.5136172441143092E-2</v>
      </c>
      <c r="I26" s="13">
        <f>((((VLOOKUP(B26,Database!$F:$AY,MATCH($I$1,Database!$F$1:$AY$1,),))))-(((VLOOKUP(EDATE(B26,-12),Database!$F:$AY,MATCH($I$1,Database!$F$1:$AY$1,),)))))/(((VLOOKUP(EDATE(B26,-12),Database!$F:$AY,MATCH($I$1,Database!$F$1:$AY$1,),))))</f>
        <v>2.2779912835673734E-2</v>
      </c>
      <c r="J26" s="13">
        <f>((((VLOOKUP(B26,Database!$F:$AY,MATCH($J$1,Database!$F$1:$AY$1,),))))-(((VLOOKUP(EDATE(B26,-12),Database!$F:$AY,MATCH($J$1,Database!$F$1:$AY$1,),)))))/(((VLOOKUP(EDATE(B26,-12),Database!$F:$AY,MATCH($J$1,Database!$F$1:$AY$1,),))))</f>
        <v>-2.1937267285435227E-2</v>
      </c>
      <c r="K26" s="13">
        <f>((((VLOOKUP(B26,Database!$F:$AY,MATCH($K$1,Database!$F$1:$AY$1,),))))-(((VLOOKUP(EDATE(B26,-12),Database!$F:$AY,MATCH($K$1,Database!$F$1:$AY$1,),)))))/(((VLOOKUP(EDATE(B26,-12),Database!$F:$AY,MATCH($K$1,Database!$F$1:$AY$1,),))))</f>
        <v>5.7896722245879099E-3</v>
      </c>
      <c r="L26" s="13">
        <f>((((VLOOKUP(B26,Database!$F:$AY,MATCH($L$1,Database!$F$1:$AY$1,),))))-(((VLOOKUP(EDATE(B26,-12),Database!$F:$AY,MATCH($L$1,Database!$F$1:$AY$1,),)))))/(((VLOOKUP(EDATE(B26,-12),Database!$F:$AY,MATCH($L$1,Database!$F$1:$AY$1,),))))</f>
        <v>7.3684058966531116E-2</v>
      </c>
      <c r="M26" s="13" t="e">
        <f>((((VLOOKUP(B26,Database!$F:$AY,MATCH($M$1,Database!$F$1:$AY$1,),))))-(((VLOOKUP(EDATE(B26,-12),Database!$F:$AY,MATCH($M$1,Database!$F$1:$AY$1,),)))))/(((VLOOKUP(EDATE(B26,-12),Database!$F:$AY,MATCH($M$1,Database!$F$1:$AY$1,),))))</f>
        <v>#DIV/0!</v>
      </c>
      <c r="N26" s="13" t="e">
        <f>((((VLOOKUP(B26,Database!$F:$AY,MATCH($N$1,Database!$F$1:$AY$1,),))))-(((VLOOKUP(EDATE(B26,-12),Database!$F:$AY,MATCH($N$1,Database!$F$1:$AY$1,),)))))/(((VLOOKUP(EDATE(B26,-12),Database!$F:$AY,MATCH($N$1,Database!$F$1:$AY$1,),))))</f>
        <v>#DIV/0!</v>
      </c>
      <c r="O26" s="13">
        <f>((((VLOOKUP(B26,Database!$F:$AY,MATCH($O$1,Database!$F$1:$AY$1,),))))-(((VLOOKUP(EDATE(B26,-12),Database!$F:$AY,MATCH($O$1,Database!$F$1:$AY$1,),)))))/(((VLOOKUP(EDATE(B26,-12),Database!$F:$AY,MATCH($O$1,Database!$F$1:$AY$1,),))))</f>
        <v>-1.8416307332665208E-2</v>
      </c>
      <c r="P26" s="13">
        <f>((((VLOOKUP(B26,Database!$F:$AY,MATCH($P$1,Database!$F$1:$AY$1,),))))-(((VLOOKUP(EDATE(B26,-12),Database!$F:$AY,MATCH($P$1,Database!$F$1:$AY$1,),)))))/(((VLOOKUP(EDATE(B26,-12),Database!$F:$AY,MATCH($P$1,Database!$F$1:$AY$1,),))))</f>
        <v>8.9120527596376703E-2</v>
      </c>
      <c r="Q26" s="13">
        <f>((((VLOOKUP(B26,Database!$F:$AY,MATCH($Q$1,Database!$F$1:$AY$1,),))))-(((VLOOKUP(EDATE(B26,-12),Database!$F:$AY,MATCH($Q$1,Database!$F$1:$AY$1,),)))))/(((VLOOKUP(EDATE(B26,-12),Database!$F:$AY,MATCH($Q$1,Database!$F$1:$AY$1,),))))</f>
        <v>-3.1360059678796008E-2</v>
      </c>
      <c r="R26" s="13">
        <f>((((VLOOKUP(B26,Database!$F:$AY,MATCH($R$1,Database!$F$1:$AY$1,),))))-(((VLOOKUP(EDATE(B26,-12),Database!$F:$AY,MATCH($R$1,Database!$F$1:$AY$1,),)))))/(((VLOOKUP(EDATE(B26,-12),Database!$F:$AY,MATCH($R$1,Database!$F$1:$AY$1,),))))</f>
        <v>-1.1774612340825772E-2</v>
      </c>
      <c r="S26" s="13">
        <f>((((VLOOKUP(B26,Database!$F:$AY,MATCH($S$1,Database!$F$1:$AY$1,),))))-(((VLOOKUP(EDATE(B26,-12),Database!$F:$AY,MATCH($S$1,Database!$F$1:$AY$1,),)))))/(((VLOOKUP(EDATE(B26,-12),Database!$F:$AY,MATCH($S$1,Database!$F$1:$AY$1,),))))</f>
        <v>8.8048780112391922E-2</v>
      </c>
      <c r="T26" s="13">
        <f>((((VLOOKUP(B26,Database!$F:$AY,MATCH($T$1,Database!$F$1:$AY$1,),))))-(((VLOOKUP(EDATE(B26,-12),Database!$F:$AY,MATCH($T$1,Database!$F$1:$AY$1,),)))))/(((VLOOKUP(EDATE(B26,-12),Database!$F:$AY,MATCH($T$1,Database!$F$1:$AY$1,),))))</f>
        <v>0.13475165483648469</v>
      </c>
      <c r="U26" s="13" t="e">
        <f>((((VLOOKUP(B26,Database!$F:$AY,MATCH($U$1,Database!$F$1:$AY$1,),))))-(((VLOOKUP(EDATE(B26,-12),Database!$F:$AY,MATCH($U$1,Database!$F$1:$AY$1,),)))))/(((VLOOKUP(EDATE(B26,-12),Database!$F:$AY,MATCH($U$1,Database!$F$1:$AY$1,),))))</f>
        <v>#DIV/0!</v>
      </c>
      <c r="V26" s="13">
        <f>((((VLOOKUP(B26,Database!$F:$AY,MATCH($V$1,Database!$F$1:$AY$1,),))))-(((VLOOKUP(EDATE(B26,-12),Database!$F:$AY,MATCH($V$1,Database!$F$1:$AY$1,),)))))/(((VLOOKUP(EDATE(B26,-12),Database!$F:$AY,MATCH($V$1,Database!$F$1:$AY$1,),))))</f>
        <v>-0.28965112283512684</v>
      </c>
    </row>
    <row r="27" spans="1:24" s="85" customFormat="1" x14ac:dyDescent="0.2">
      <c r="A27" s="44"/>
      <c r="B27" s="91">
        <v>32964</v>
      </c>
      <c r="C27" s="13">
        <f>((((VLOOKUP(B27,Database!$F:$AY,MATCH($C$1,Database!$F$1:$AY$1,),))))-(((VLOOKUP(EDATE(B27,-12),Database!$F:$AY,MATCH($C$1,Database!$F$1:$AY$1,),)))))/(((VLOOKUP(EDATE(B27,-12),Database!$F:$AY,MATCH($C$1,Database!$F$1:$AY$1,),))))</f>
        <v>5.441738489328711E-3</v>
      </c>
      <c r="D27" s="13">
        <f>((((VLOOKUP(B27,Database!$F:$AY,MATCH($D$1,Database!$F$1:$AY$1,),))))-(((VLOOKUP(EDATE(B27,-12),Database!$F:$AY,MATCH($D$1,Database!$F$1:$AY$1,),)))))/(((VLOOKUP(EDATE(B27,-12),Database!$F:$AY,MATCH($D$1,Database!$F$1:$AY$1,),))))</f>
        <v>3.1480607487647361E-2</v>
      </c>
      <c r="E27" s="13">
        <f>((((VLOOKUP(B27,Database!$F:$AY,MATCH($E$1,Database!$F$1:$AY$1,),))))-(((VLOOKUP(EDATE(B27,-12),Database!$F:$AY,MATCH($E$1,Database!$F$1:$AY$1,),)))))/(((VLOOKUP(EDATE(B27,-12),Database!$F:$AY,MATCH($E$1,Database!$F$1:$AY$1,),))))</f>
        <v>3.2388393235875133E-2</v>
      </c>
      <c r="F27" s="13">
        <f>((((VLOOKUP(B27,Database!$F:$AY,MATCH($F$1,Database!$F$1:$AY$1,),))))-(((VLOOKUP(EDATE(B27,-12),Database!$F:$AY,MATCH($F$1,Database!$F$1:$AY$1,),)))))/(((VLOOKUP(EDATE(B27,-12),Database!$F:$AY,MATCH($F$1,Database!$F$1:$AY$1,),))))</f>
        <v>7.9858335057371513E-3</v>
      </c>
      <c r="G27" s="13">
        <f>((((VLOOKUP(B27,Database!$F:$AY,MATCH($G$1,Database!$F$1:$AY$1,),))))-(((VLOOKUP(EDATE(B27,-12),Database!$F:$AY,MATCH($G$1,Database!$F$1:$AY$1,),)))))/(((VLOOKUP(EDATE(B27,-12),Database!$F:$AY,MATCH($G$1,Database!$F$1:$AY$1,),))))</f>
        <v>1.8743250305971473E-2</v>
      </c>
      <c r="H27" s="13">
        <f>((((VLOOKUP(B27,Database!$F:$AY,MATCH($H$1,Database!$F$1:$AY$1,),))))-(((VLOOKUP(EDATE(B27,-12),Database!$F:$AY,MATCH($H$1,Database!$F$1:$AY$1,),)))))/(((VLOOKUP(EDATE(B27,-12),Database!$F:$AY,MATCH($H$1,Database!$F$1:$AY$1,),))))</f>
        <v>-1.9704902638693002E-3</v>
      </c>
      <c r="I27" s="13">
        <f>((((VLOOKUP(B27,Database!$F:$AY,MATCH($I$1,Database!$F$1:$AY$1,),))))-(((VLOOKUP(EDATE(B27,-12),Database!$F:$AY,MATCH($I$1,Database!$F$1:$AY$1,),)))))/(((VLOOKUP(EDATE(B27,-12),Database!$F:$AY,MATCH($I$1,Database!$F$1:$AY$1,),))))</f>
        <v>2.3280886977875798E-2</v>
      </c>
      <c r="J27" s="13">
        <f>((((VLOOKUP(B27,Database!$F:$AY,MATCH($J$1,Database!$F$1:$AY$1,),))))-(((VLOOKUP(EDATE(B27,-12),Database!$F:$AY,MATCH($J$1,Database!$F$1:$AY$1,),)))))/(((VLOOKUP(EDATE(B27,-12),Database!$F:$AY,MATCH($J$1,Database!$F$1:$AY$1,),))))</f>
        <v>1.4678747220788518E-2</v>
      </c>
      <c r="K27" s="13">
        <f>((((VLOOKUP(B27,Database!$F:$AY,MATCH($K$1,Database!$F$1:$AY$1,),))))-(((VLOOKUP(EDATE(B27,-12),Database!$F:$AY,MATCH($K$1,Database!$F$1:$AY$1,),)))))/(((VLOOKUP(EDATE(B27,-12),Database!$F:$AY,MATCH($K$1,Database!$F$1:$AY$1,),))))</f>
        <v>2.8954081012511146E-3</v>
      </c>
      <c r="L27" s="13">
        <f>((((VLOOKUP(B27,Database!$F:$AY,MATCH($L$1,Database!$F$1:$AY$1,),))))-(((VLOOKUP(EDATE(B27,-12),Database!$F:$AY,MATCH($L$1,Database!$F$1:$AY$1,),)))))/(((VLOOKUP(EDATE(B27,-12),Database!$F:$AY,MATCH($L$1,Database!$F$1:$AY$1,),))))</f>
        <v>5.5684550438835793E-2</v>
      </c>
      <c r="M27" s="13" t="e">
        <f>((((VLOOKUP(B27,Database!$F:$AY,MATCH($M$1,Database!$F$1:$AY$1,),))))-(((VLOOKUP(EDATE(B27,-12),Database!$F:$AY,MATCH($M$1,Database!$F$1:$AY$1,),)))))/(((VLOOKUP(EDATE(B27,-12),Database!$F:$AY,MATCH($M$1,Database!$F$1:$AY$1,),))))</f>
        <v>#DIV/0!</v>
      </c>
      <c r="N27" s="13" t="e">
        <f>((((VLOOKUP(B27,Database!$F:$AY,MATCH($N$1,Database!$F$1:$AY$1,),))))-(((VLOOKUP(EDATE(B27,-12),Database!$F:$AY,MATCH($N$1,Database!$F$1:$AY$1,),)))))/(((VLOOKUP(EDATE(B27,-12),Database!$F:$AY,MATCH($N$1,Database!$F$1:$AY$1,),))))</f>
        <v>#DIV/0!</v>
      </c>
      <c r="O27" s="13">
        <f>((((VLOOKUP(B27,Database!$F:$AY,MATCH($O$1,Database!$F$1:$AY$1,),))))-(((VLOOKUP(EDATE(B27,-12),Database!$F:$AY,MATCH($O$1,Database!$F$1:$AY$1,),)))))/(((VLOOKUP(EDATE(B27,-12),Database!$F:$AY,MATCH($O$1,Database!$F$1:$AY$1,),))))</f>
        <v>-3.1767819784796716E-2</v>
      </c>
      <c r="P27" s="13">
        <f>((((VLOOKUP(B27,Database!$F:$AY,MATCH($P$1,Database!$F$1:$AY$1,),))))-(((VLOOKUP(EDATE(B27,-12),Database!$F:$AY,MATCH($P$1,Database!$F$1:$AY$1,),)))))/(((VLOOKUP(EDATE(B27,-12),Database!$F:$AY,MATCH($P$1,Database!$F$1:$AY$1,),))))</f>
        <v>0.14553397209362046</v>
      </c>
      <c r="Q27" s="13">
        <f>((((VLOOKUP(B27,Database!$F:$AY,MATCH($Q$1,Database!$F$1:$AY$1,),))))-(((VLOOKUP(EDATE(B27,-12),Database!$F:$AY,MATCH($Q$1,Database!$F$1:$AY$1,),)))))/(((VLOOKUP(EDATE(B27,-12),Database!$F:$AY,MATCH($Q$1,Database!$F$1:$AY$1,),))))</f>
        <v>-0.2824200490690299</v>
      </c>
      <c r="R27" s="13">
        <f>((((VLOOKUP(B27,Database!$F:$AY,MATCH($R$1,Database!$F$1:$AY$1,),))))-(((VLOOKUP(EDATE(B27,-12),Database!$F:$AY,MATCH($R$1,Database!$F$1:$AY$1,),)))))/(((VLOOKUP(EDATE(B27,-12),Database!$F:$AY,MATCH($R$1,Database!$F$1:$AY$1,),))))</f>
        <v>-4.526498311190822E-2</v>
      </c>
      <c r="S27" s="13">
        <f>((((VLOOKUP(B27,Database!$F:$AY,MATCH($S$1,Database!$F$1:$AY$1,),))))-(((VLOOKUP(EDATE(B27,-12),Database!$F:$AY,MATCH($S$1,Database!$F$1:$AY$1,),)))))/(((VLOOKUP(EDATE(B27,-12),Database!$F:$AY,MATCH($S$1,Database!$F$1:$AY$1,),))))</f>
        <v>3.2188934006545745E-2</v>
      </c>
      <c r="T27" s="13">
        <f>((((VLOOKUP(B27,Database!$F:$AY,MATCH($T$1,Database!$F$1:$AY$1,),))))-(((VLOOKUP(EDATE(B27,-12),Database!$F:$AY,MATCH($T$1,Database!$F$1:$AY$1,),)))))/(((VLOOKUP(EDATE(B27,-12),Database!$F:$AY,MATCH($T$1,Database!$F$1:$AY$1,),))))</f>
        <v>0.20599286007782672</v>
      </c>
      <c r="U27" s="13" t="e">
        <f>((((VLOOKUP(B27,Database!$F:$AY,MATCH($U$1,Database!$F$1:$AY$1,),))))-(((VLOOKUP(EDATE(B27,-12),Database!$F:$AY,MATCH($U$1,Database!$F$1:$AY$1,),)))))/(((VLOOKUP(EDATE(B27,-12),Database!$F:$AY,MATCH($U$1,Database!$F$1:$AY$1,),))))</f>
        <v>#DIV/0!</v>
      </c>
      <c r="V27" s="13">
        <f>((((VLOOKUP(B27,Database!$F:$AY,MATCH($V$1,Database!$F$1:$AY$1,),))))-(((VLOOKUP(EDATE(B27,-12),Database!$F:$AY,MATCH($V$1,Database!$F$1:$AY$1,),)))))/(((VLOOKUP(EDATE(B27,-12),Database!$F:$AY,MATCH($V$1,Database!$F$1:$AY$1,),))))</f>
        <v>-0.32810410104463511</v>
      </c>
    </row>
    <row r="28" spans="1:24" s="85" customFormat="1" x14ac:dyDescent="0.2">
      <c r="A28" s="44"/>
      <c r="B28" s="91">
        <v>32994</v>
      </c>
      <c r="C28" s="13">
        <f>((((VLOOKUP(B28,Database!$F:$AY,MATCH($C$1,Database!$F$1:$AY$1,),))))-(((VLOOKUP(EDATE(B28,-12),Database!$F:$AY,MATCH($C$1,Database!$F$1:$AY$1,),)))))/(((VLOOKUP(EDATE(B28,-12),Database!$F:$AY,MATCH($C$1,Database!$F$1:$AY$1,),))))</f>
        <v>1.4316049156781257E-2</v>
      </c>
      <c r="D28" s="13">
        <f>((((VLOOKUP(B28,Database!$F:$AY,MATCH($D$1,Database!$F$1:$AY$1,),))))-(((VLOOKUP(EDATE(B28,-12),Database!$F:$AY,MATCH($D$1,Database!$F$1:$AY$1,),)))))/(((VLOOKUP(EDATE(B28,-12),Database!$F:$AY,MATCH($D$1,Database!$F$1:$AY$1,),))))</f>
        <v>6.2864366810750999E-2</v>
      </c>
      <c r="E28" s="13">
        <f>((((VLOOKUP(B28,Database!$F:$AY,MATCH($E$1,Database!$F$1:$AY$1,),))))-(((VLOOKUP(EDATE(B28,-12),Database!$F:$AY,MATCH($E$1,Database!$F$1:$AY$1,),)))))/(((VLOOKUP(EDATE(B28,-12),Database!$F:$AY,MATCH($E$1,Database!$F$1:$AY$1,),))))</f>
        <v>3.8422768102402222E-2</v>
      </c>
      <c r="F28" s="13">
        <f>((((VLOOKUP(B28,Database!$F:$AY,MATCH($F$1,Database!$F$1:$AY$1,),))))-(((VLOOKUP(EDATE(B28,-12),Database!$F:$AY,MATCH($F$1,Database!$F$1:$AY$1,),)))))/(((VLOOKUP(EDATE(B28,-12),Database!$F:$AY,MATCH($F$1,Database!$F$1:$AY$1,),))))</f>
        <v>8.5741009306143603E-2</v>
      </c>
      <c r="G28" s="13">
        <f>((((VLOOKUP(B28,Database!$F:$AY,MATCH($G$1,Database!$F$1:$AY$1,),))))-(((VLOOKUP(EDATE(B28,-12),Database!$F:$AY,MATCH($G$1,Database!$F$1:$AY$1,),)))))/(((VLOOKUP(EDATE(B28,-12),Database!$F:$AY,MATCH($G$1,Database!$F$1:$AY$1,),))))</f>
        <v>3.2951669893111338E-2</v>
      </c>
      <c r="H28" s="13">
        <f>((((VLOOKUP(B28,Database!$F:$AY,MATCH($H$1,Database!$F$1:$AY$1,),))))-(((VLOOKUP(EDATE(B28,-12),Database!$F:$AY,MATCH($H$1,Database!$F$1:$AY$1,),)))))/(((VLOOKUP(EDATE(B28,-12),Database!$F:$AY,MATCH($H$1,Database!$F$1:$AY$1,),))))</f>
        <v>1.7171711947836722E-2</v>
      </c>
      <c r="I28" s="13">
        <f>((((VLOOKUP(B28,Database!$F:$AY,MATCH($I$1,Database!$F$1:$AY$1,),))))-(((VLOOKUP(EDATE(B28,-12),Database!$F:$AY,MATCH($I$1,Database!$F$1:$AY$1,),)))))/(((VLOOKUP(EDATE(B28,-12),Database!$F:$AY,MATCH($I$1,Database!$F$1:$AY$1,),))))</f>
        <v>2.0209749705560304E-2</v>
      </c>
      <c r="J28" s="13">
        <f>((((VLOOKUP(B28,Database!$F:$AY,MATCH($J$1,Database!$F$1:$AY$1,),))))-(((VLOOKUP(EDATE(B28,-12),Database!$F:$AY,MATCH($J$1,Database!$F$1:$AY$1,),)))))/(((VLOOKUP(EDATE(B28,-12),Database!$F:$AY,MATCH($J$1,Database!$F$1:$AY$1,),))))</f>
        <v>9.1184943522852635E-4</v>
      </c>
      <c r="K28" s="13">
        <f>((((VLOOKUP(B28,Database!$F:$AY,MATCH($K$1,Database!$F$1:$AY$1,),))))-(((VLOOKUP(EDATE(B28,-12),Database!$F:$AY,MATCH($K$1,Database!$F$1:$AY$1,),)))))/(((VLOOKUP(EDATE(B28,-12),Database!$F:$AY,MATCH($K$1,Database!$F$1:$AY$1,),))))</f>
        <v>3.4696520374104867E-2</v>
      </c>
      <c r="L28" s="13">
        <f>((((VLOOKUP(B28,Database!$F:$AY,MATCH($L$1,Database!$F$1:$AY$1,),))))-(((VLOOKUP(EDATE(B28,-12),Database!$F:$AY,MATCH($L$1,Database!$F$1:$AY$1,),)))))/(((VLOOKUP(EDATE(B28,-12),Database!$F:$AY,MATCH($L$1,Database!$F$1:$AY$1,),))))</f>
        <v>6.9524908265100396E-2</v>
      </c>
      <c r="M28" s="13" t="e">
        <f>((((VLOOKUP(B28,Database!$F:$AY,MATCH($M$1,Database!$F$1:$AY$1,),))))-(((VLOOKUP(EDATE(B28,-12),Database!$F:$AY,MATCH($M$1,Database!$F$1:$AY$1,),)))))/(((VLOOKUP(EDATE(B28,-12),Database!$F:$AY,MATCH($M$1,Database!$F$1:$AY$1,),))))</f>
        <v>#DIV/0!</v>
      </c>
      <c r="N28" s="13" t="e">
        <f>((((VLOOKUP(B28,Database!$F:$AY,MATCH($N$1,Database!$F$1:$AY$1,),))))-(((VLOOKUP(EDATE(B28,-12),Database!$F:$AY,MATCH($N$1,Database!$F$1:$AY$1,),)))))/(((VLOOKUP(EDATE(B28,-12),Database!$F:$AY,MATCH($N$1,Database!$F$1:$AY$1,),))))</f>
        <v>#DIV/0!</v>
      </c>
      <c r="O28" s="13">
        <f>((((VLOOKUP(B28,Database!$F:$AY,MATCH($O$1,Database!$F$1:$AY$1,),))))-(((VLOOKUP(EDATE(B28,-12),Database!$F:$AY,MATCH($O$1,Database!$F$1:$AY$1,),)))))/(((VLOOKUP(EDATE(B28,-12),Database!$F:$AY,MATCH($O$1,Database!$F$1:$AY$1,),))))</f>
        <v>-2.0308580485418903E-2</v>
      </c>
      <c r="P28" s="13">
        <f>((((VLOOKUP(B28,Database!$F:$AY,MATCH($P$1,Database!$F$1:$AY$1,),))))-(((VLOOKUP(EDATE(B28,-12),Database!$F:$AY,MATCH($P$1,Database!$F$1:$AY$1,),)))))/(((VLOOKUP(EDATE(B28,-12),Database!$F:$AY,MATCH($P$1,Database!$F$1:$AY$1,),))))</f>
        <v>5.5400453492180111E-2</v>
      </c>
      <c r="Q28" s="13">
        <f>((((VLOOKUP(B28,Database!$F:$AY,MATCH($Q$1,Database!$F$1:$AY$1,),))))-(((VLOOKUP(EDATE(B28,-12),Database!$F:$AY,MATCH($Q$1,Database!$F$1:$AY$1,),)))))/(((VLOOKUP(EDATE(B28,-12),Database!$F:$AY,MATCH($Q$1,Database!$F$1:$AY$1,),))))</f>
        <v>-0.12449221472115485</v>
      </c>
      <c r="R28" s="13">
        <f>((((VLOOKUP(B28,Database!$F:$AY,MATCH($R$1,Database!$F$1:$AY$1,),))))-(((VLOOKUP(EDATE(B28,-12),Database!$F:$AY,MATCH($R$1,Database!$F$1:$AY$1,),)))))/(((VLOOKUP(EDATE(B28,-12),Database!$F:$AY,MATCH($R$1,Database!$F$1:$AY$1,),))))</f>
        <v>1.9022928127027368E-3</v>
      </c>
      <c r="S28" s="13">
        <f>((((VLOOKUP(B28,Database!$F:$AY,MATCH($S$1,Database!$F$1:$AY$1,),))))-(((VLOOKUP(EDATE(B28,-12),Database!$F:$AY,MATCH($S$1,Database!$F$1:$AY$1,),)))))/(((VLOOKUP(EDATE(B28,-12),Database!$F:$AY,MATCH($S$1,Database!$F$1:$AY$1,),))))</f>
        <v>2.1729041250259439E-2</v>
      </c>
      <c r="T28" s="13">
        <f>((((VLOOKUP(B28,Database!$F:$AY,MATCH($T$1,Database!$F$1:$AY$1,),))))-(((VLOOKUP(EDATE(B28,-12),Database!$F:$AY,MATCH($T$1,Database!$F$1:$AY$1,),)))))/(((VLOOKUP(EDATE(B28,-12),Database!$F:$AY,MATCH($T$1,Database!$F$1:$AY$1,),))))</f>
        <v>8.5714275509354856E-2</v>
      </c>
      <c r="U28" s="13" t="e">
        <f>((((VLOOKUP(B28,Database!$F:$AY,MATCH($U$1,Database!$F$1:$AY$1,),))))-(((VLOOKUP(EDATE(B28,-12),Database!$F:$AY,MATCH($U$1,Database!$F$1:$AY$1,),)))))/(((VLOOKUP(EDATE(B28,-12),Database!$F:$AY,MATCH($U$1,Database!$F$1:$AY$1,),))))</f>
        <v>#DIV/0!</v>
      </c>
      <c r="V28" s="13">
        <f>((((VLOOKUP(B28,Database!$F:$AY,MATCH($V$1,Database!$F$1:$AY$1,),))))-(((VLOOKUP(EDATE(B28,-12),Database!$F:$AY,MATCH($V$1,Database!$F$1:$AY$1,),)))))/(((VLOOKUP(EDATE(B28,-12),Database!$F:$AY,MATCH($V$1,Database!$F$1:$AY$1,),))))</f>
        <v>-0.27760158314389066</v>
      </c>
    </row>
    <row r="29" spans="1:24" s="85" customFormat="1" x14ac:dyDescent="0.2">
      <c r="A29" s="44"/>
      <c r="B29" s="91">
        <v>33025</v>
      </c>
      <c r="C29" s="13">
        <f>((((VLOOKUP(B29,Database!$F:$AY,MATCH($C$1,Database!$F$1:$AY$1,),))))-(((VLOOKUP(EDATE(B29,-12),Database!$F:$AY,MATCH($C$1,Database!$F$1:$AY$1,),)))))/(((VLOOKUP(EDATE(B29,-12),Database!$F:$AY,MATCH($C$1,Database!$F$1:$AY$1,),))))</f>
        <v>1.7087931531572328E-2</v>
      </c>
      <c r="D29" s="13">
        <f>((((VLOOKUP(B29,Database!$F:$AY,MATCH($D$1,Database!$F$1:$AY$1,),))))-(((VLOOKUP(EDATE(B29,-12),Database!$F:$AY,MATCH($D$1,Database!$F$1:$AY$1,),)))))/(((VLOOKUP(EDATE(B29,-12),Database!$F:$AY,MATCH($D$1,Database!$F$1:$AY$1,),))))</f>
        <v>2.3335674957011693E-2</v>
      </c>
      <c r="E29" s="13">
        <f>((((VLOOKUP(B29,Database!$F:$AY,MATCH($E$1,Database!$F$1:$AY$1,),))))-(((VLOOKUP(EDATE(B29,-12),Database!$F:$AY,MATCH($E$1,Database!$F$1:$AY$1,),)))))/(((VLOOKUP(EDATE(B29,-12),Database!$F:$AY,MATCH($E$1,Database!$F$1:$AY$1,),))))</f>
        <v>2.8971073256652432E-2</v>
      </c>
      <c r="F29" s="13">
        <f>((((VLOOKUP(B29,Database!$F:$AY,MATCH($F$1,Database!$F$1:$AY$1,),))))-(((VLOOKUP(EDATE(B29,-12),Database!$F:$AY,MATCH($F$1,Database!$F$1:$AY$1,),)))))/(((VLOOKUP(EDATE(B29,-12),Database!$F:$AY,MATCH($F$1,Database!$F$1:$AY$1,),))))</f>
        <v>4.3906814459096506E-2</v>
      </c>
      <c r="G29" s="13">
        <f>((((VLOOKUP(B29,Database!$F:$AY,MATCH($G$1,Database!$F$1:$AY$1,),))))-(((VLOOKUP(EDATE(B29,-12),Database!$F:$AY,MATCH($G$1,Database!$F$1:$AY$1,),)))))/(((VLOOKUP(EDATE(B29,-12),Database!$F:$AY,MATCH($G$1,Database!$F$1:$AY$1,),))))</f>
        <v>4.2099390121598489E-3</v>
      </c>
      <c r="H29" s="13">
        <f>((((VLOOKUP(B29,Database!$F:$AY,MATCH($H$1,Database!$F$1:$AY$1,),))))-(((VLOOKUP(EDATE(B29,-12),Database!$F:$AY,MATCH($H$1,Database!$F$1:$AY$1,),)))))/(((VLOOKUP(EDATE(B29,-12),Database!$F:$AY,MATCH($H$1,Database!$F$1:$AY$1,),))))</f>
        <v>3.2323173815771628E-2</v>
      </c>
      <c r="I29" s="13">
        <f>((((VLOOKUP(B29,Database!$F:$AY,MATCH($I$1,Database!$F$1:$AY$1,),))))-(((VLOOKUP(EDATE(B29,-12),Database!$F:$AY,MATCH($I$1,Database!$F$1:$AY$1,),)))))/(((VLOOKUP(EDATE(B29,-12),Database!$F:$AY,MATCH($I$1,Database!$F$1:$AY$1,),))))</f>
        <v>-1.4555601373088551E-2</v>
      </c>
      <c r="J29" s="13">
        <f>((((VLOOKUP(B29,Database!$F:$AY,MATCH($J$1,Database!$F$1:$AY$1,),))))-(((VLOOKUP(EDATE(B29,-12),Database!$F:$AY,MATCH($J$1,Database!$F$1:$AY$1,),)))))/(((VLOOKUP(EDATE(B29,-12),Database!$F:$AY,MATCH($J$1,Database!$F$1:$AY$1,),))))</f>
        <v>1.8326600442489696E-2</v>
      </c>
      <c r="K29" s="13">
        <f>((((VLOOKUP(B29,Database!$F:$AY,MATCH($K$1,Database!$F$1:$AY$1,),))))-(((VLOOKUP(EDATE(B29,-12),Database!$F:$AY,MATCH($K$1,Database!$F$1:$AY$1,),)))))/(((VLOOKUP(EDATE(B29,-12),Database!$F:$AY,MATCH($K$1,Database!$F$1:$AY$1,),))))</f>
        <v>2.1506046880728401E-2</v>
      </c>
      <c r="L29" s="13">
        <f>((((VLOOKUP(B29,Database!$F:$AY,MATCH($L$1,Database!$F$1:$AY$1,),))))-(((VLOOKUP(EDATE(B29,-12),Database!$F:$AY,MATCH($L$1,Database!$F$1:$AY$1,),)))))/(((VLOOKUP(EDATE(B29,-12),Database!$F:$AY,MATCH($L$1,Database!$F$1:$AY$1,),))))</f>
        <v>5.2332172225047775E-2</v>
      </c>
      <c r="M29" s="13" t="e">
        <f>((((VLOOKUP(B29,Database!$F:$AY,MATCH($M$1,Database!$F$1:$AY$1,),))))-(((VLOOKUP(EDATE(B29,-12),Database!$F:$AY,MATCH($M$1,Database!$F$1:$AY$1,),)))))/(((VLOOKUP(EDATE(B29,-12),Database!$F:$AY,MATCH($M$1,Database!$F$1:$AY$1,),))))</f>
        <v>#DIV/0!</v>
      </c>
      <c r="N29" s="13" t="e">
        <f>((((VLOOKUP(B29,Database!$F:$AY,MATCH($N$1,Database!$F$1:$AY$1,),))))-(((VLOOKUP(EDATE(B29,-12),Database!$F:$AY,MATCH($N$1,Database!$F$1:$AY$1,),)))))/(((VLOOKUP(EDATE(B29,-12),Database!$F:$AY,MATCH($N$1,Database!$F$1:$AY$1,),))))</f>
        <v>#DIV/0!</v>
      </c>
      <c r="O29" s="13">
        <f>((((VLOOKUP(B29,Database!$F:$AY,MATCH($O$1,Database!$F$1:$AY$1,),))))-(((VLOOKUP(EDATE(B29,-12),Database!$F:$AY,MATCH($O$1,Database!$F$1:$AY$1,),)))))/(((VLOOKUP(EDATE(B29,-12),Database!$F:$AY,MATCH($O$1,Database!$F$1:$AY$1,),))))</f>
        <v>-1.1348950189374429E-2</v>
      </c>
      <c r="P29" s="13">
        <f>((((VLOOKUP(B29,Database!$F:$AY,MATCH($P$1,Database!$F$1:$AY$1,),))))-(((VLOOKUP(EDATE(B29,-12),Database!$F:$AY,MATCH($P$1,Database!$F$1:$AY$1,),)))))/(((VLOOKUP(EDATE(B29,-12),Database!$F:$AY,MATCH($P$1,Database!$F$1:$AY$1,),))))</f>
        <v>6.083163214219308E-2</v>
      </c>
      <c r="Q29" s="13">
        <f>((((VLOOKUP(B29,Database!$F:$AY,MATCH($Q$1,Database!$F$1:$AY$1,),))))-(((VLOOKUP(EDATE(B29,-12),Database!$F:$AY,MATCH($Q$1,Database!$F$1:$AY$1,),)))))/(((VLOOKUP(EDATE(B29,-12),Database!$F:$AY,MATCH($Q$1,Database!$F$1:$AY$1,),))))</f>
        <v>-0.15742871155540356</v>
      </c>
      <c r="R29" s="13">
        <f>((((VLOOKUP(B29,Database!$F:$AY,MATCH($R$1,Database!$F$1:$AY$1,),))))-(((VLOOKUP(EDATE(B29,-12),Database!$F:$AY,MATCH($R$1,Database!$F$1:$AY$1,),)))))/(((VLOOKUP(EDATE(B29,-12),Database!$F:$AY,MATCH($R$1,Database!$F$1:$AY$1,),))))</f>
        <v>-9.5334296927307004E-4</v>
      </c>
      <c r="S29" s="13">
        <f>((((VLOOKUP(B29,Database!$F:$AY,MATCH($S$1,Database!$F$1:$AY$1,),))))-(((VLOOKUP(EDATE(B29,-12),Database!$F:$AY,MATCH($S$1,Database!$F$1:$AY$1,),)))))/(((VLOOKUP(EDATE(B29,-12),Database!$F:$AY,MATCH($S$1,Database!$F$1:$AY$1,),))))</f>
        <v>6.3189378672723492E-2</v>
      </c>
      <c r="T29" s="13">
        <f>((((VLOOKUP(B29,Database!$F:$AY,MATCH($T$1,Database!$F$1:$AY$1,),))))-(((VLOOKUP(EDATE(B29,-12),Database!$F:$AY,MATCH($T$1,Database!$F$1:$AY$1,),)))))/(((VLOOKUP(EDATE(B29,-12),Database!$F:$AY,MATCH($T$1,Database!$F$1:$AY$1,),))))</f>
        <v>7.5862192638144255E-2</v>
      </c>
      <c r="U29" s="13" t="e">
        <f>((((VLOOKUP(B29,Database!$F:$AY,MATCH($U$1,Database!$F$1:$AY$1,),))))-(((VLOOKUP(EDATE(B29,-12),Database!$F:$AY,MATCH($U$1,Database!$F$1:$AY$1,),)))))/(((VLOOKUP(EDATE(B29,-12),Database!$F:$AY,MATCH($U$1,Database!$F$1:$AY$1,),))))</f>
        <v>#DIV/0!</v>
      </c>
      <c r="V29" s="13">
        <f>((((VLOOKUP(B29,Database!$F:$AY,MATCH($V$1,Database!$F$1:$AY$1,),))))-(((VLOOKUP(EDATE(B29,-12),Database!$F:$AY,MATCH($V$1,Database!$F$1:$AY$1,),)))))/(((VLOOKUP(EDATE(B29,-12),Database!$F:$AY,MATCH($V$1,Database!$F$1:$AY$1,),))))</f>
        <v>-0.30593003644935624</v>
      </c>
    </row>
    <row r="30" spans="1:24" s="85" customFormat="1" x14ac:dyDescent="0.2">
      <c r="A30" s="44"/>
      <c r="B30" s="91">
        <v>33055</v>
      </c>
      <c r="C30" s="13">
        <f>((((VLOOKUP(B30,Database!$F:$AY,MATCH($C$1,Database!$F$1:$AY$1,),))))-(((VLOOKUP(EDATE(B30,-12),Database!$F:$AY,MATCH($C$1,Database!$F$1:$AY$1,),)))))/(((VLOOKUP(EDATE(B30,-12),Database!$F:$AY,MATCH($C$1,Database!$F$1:$AY$1,),))))</f>
        <v>2.5186248812035791E-2</v>
      </c>
      <c r="D30" s="13">
        <f>((((VLOOKUP(B30,Database!$F:$AY,MATCH($D$1,Database!$F$1:$AY$1,),))))-(((VLOOKUP(EDATE(B30,-12),Database!$F:$AY,MATCH($D$1,Database!$F$1:$AY$1,),)))))/(((VLOOKUP(EDATE(B30,-12),Database!$F:$AY,MATCH($D$1,Database!$F$1:$AY$1,),))))</f>
        <v>3.6302817116718455E-2</v>
      </c>
      <c r="E30" s="13">
        <f>((((VLOOKUP(B30,Database!$F:$AY,MATCH($E$1,Database!$F$1:$AY$1,),))))-(((VLOOKUP(EDATE(B30,-12),Database!$F:$AY,MATCH($E$1,Database!$F$1:$AY$1,),)))))/(((VLOOKUP(EDATE(B30,-12),Database!$F:$AY,MATCH($E$1,Database!$F$1:$AY$1,),))))</f>
        <v>6.0204061097583028E-2</v>
      </c>
      <c r="F30" s="13">
        <f>((((VLOOKUP(B30,Database!$F:$AY,MATCH($F$1,Database!$F$1:$AY$1,),))))-(((VLOOKUP(EDATE(B30,-12),Database!$F:$AY,MATCH($F$1,Database!$F$1:$AY$1,),)))))/(((VLOOKUP(EDATE(B30,-12),Database!$F:$AY,MATCH($F$1,Database!$F$1:$AY$1,),))))</f>
        <v>4.8128231814506588E-2</v>
      </c>
      <c r="G30" s="13">
        <f>((((VLOOKUP(B30,Database!$F:$AY,MATCH($G$1,Database!$F$1:$AY$1,),))))-(((VLOOKUP(EDATE(B30,-12),Database!$F:$AY,MATCH($G$1,Database!$F$1:$AY$1,),)))))/(((VLOOKUP(EDATE(B30,-12),Database!$F:$AY,MATCH($G$1,Database!$F$1:$AY$1,),))))</f>
        <v>1.6233697937413673E-2</v>
      </c>
      <c r="H30" s="13">
        <f>((((VLOOKUP(B30,Database!$F:$AY,MATCH($H$1,Database!$F$1:$AY$1,),))))-(((VLOOKUP(EDATE(B30,-12),Database!$F:$AY,MATCH($H$1,Database!$F$1:$AY$1,),)))))/(((VLOOKUP(EDATE(B30,-12),Database!$F:$AY,MATCH($H$1,Database!$F$1:$AY$1,),))))</f>
        <v>6.048428095136853E-3</v>
      </c>
      <c r="I30" s="13">
        <f>((((VLOOKUP(B30,Database!$F:$AY,MATCH($I$1,Database!$F$1:$AY$1,),))))-(((VLOOKUP(EDATE(B30,-12),Database!$F:$AY,MATCH($I$1,Database!$F$1:$AY$1,),)))))/(((VLOOKUP(EDATE(B30,-12),Database!$F:$AY,MATCH($I$1,Database!$F$1:$AY$1,),))))</f>
        <v>-1.9815911995547001E-4</v>
      </c>
      <c r="J30" s="13">
        <f>((((VLOOKUP(B30,Database!$F:$AY,MATCH($J$1,Database!$F$1:$AY$1,),))))-(((VLOOKUP(EDATE(B30,-12),Database!$F:$AY,MATCH($J$1,Database!$F$1:$AY$1,),)))))/(((VLOOKUP(EDATE(B30,-12),Database!$F:$AY,MATCH($J$1,Database!$F$1:$AY$1,),))))</f>
        <v>-2.1562991897035835E-2</v>
      </c>
      <c r="K30" s="13">
        <f>((((VLOOKUP(B30,Database!$F:$AY,MATCH($K$1,Database!$F$1:$AY$1,),))))-(((VLOOKUP(EDATE(B30,-12),Database!$F:$AY,MATCH($K$1,Database!$F$1:$AY$1,),)))))/(((VLOOKUP(EDATE(B30,-12),Database!$F:$AY,MATCH($K$1,Database!$F$1:$AY$1,),))))</f>
        <v>2.0602790094406378E-2</v>
      </c>
      <c r="L30" s="13">
        <f>((((VLOOKUP(B30,Database!$F:$AY,MATCH($L$1,Database!$F$1:$AY$1,),))))-(((VLOOKUP(EDATE(B30,-12),Database!$F:$AY,MATCH($L$1,Database!$F$1:$AY$1,),)))))/(((VLOOKUP(EDATE(B30,-12),Database!$F:$AY,MATCH($L$1,Database!$F$1:$AY$1,),))))</f>
        <v>7.4455871611526239E-2</v>
      </c>
      <c r="M30" s="13" t="e">
        <f>((((VLOOKUP(B30,Database!$F:$AY,MATCH($M$1,Database!$F$1:$AY$1,),))))-(((VLOOKUP(EDATE(B30,-12),Database!$F:$AY,MATCH($M$1,Database!$F$1:$AY$1,),)))))/(((VLOOKUP(EDATE(B30,-12),Database!$F:$AY,MATCH($M$1,Database!$F$1:$AY$1,),))))</f>
        <v>#DIV/0!</v>
      </c>
      <c r="N30" s="13" t="e">
        <f>((((VLOOKUP(B30,Database!$F:$AY,MATCH($N$1,Database!$F$1:$AY$1,),))))-(((VLOOKUP(EDATE(B30,-12),Database!$F:$AY,MATCH($N$1,Database!$F$1:$AY$1,),)))))/(((VLOOKUP(EDATE(B30,-12),Database!$F:$AY,MATCH($N$1,Database!$F$1:$AY$1,),))))</f>
        <v>#DIV/0!</v>
      </c>
      <c r="O30" s="13">
        <f>((((VLOOKUP(B30,Database!$F:$AY,MATCH($O$1,Database!$F$1:$AY$1,),))))-(((VLOOKUP(EDATE(B30,-12),Database!$F:$AY,MATCH($O$1,Database!$F$1:$AY$1,),)))))/(((VLOOKUP(EDATE(B30,-12),Database!$F:$AY,MATCH($O$1,Database!$F$1:$AY$1,),))))</f>
        <v>-2.4674510652332128E-3</v>
      </c>
      <c r="P30" s="13">
        <f>((((VLOOKUP(B30,Database!$F:$AY,MATCH($P$1,Database!$F$1:$AY$1,),))))-(((VLOOKUP(EDATE(B30,-12),Database!$F:$AY,MATCH($P$1,Database!$F$1:$AY$1,),)))))/(((VLOOKUP(EDATE(B30,-12),Database!$F:$AY,MATCH($P$1,Database!$F$1:$AY$1,),))))</f>
        <v>8.7788675353257489E-2</v>
      </c>
      <c r="Q30" s="13">
        <f>((((VLOOKUP(B30,Database!$F:$AY,MATCH($Q$1,Database!$F$1:$AY$1,),))))-(((VLOOKUP(EDATE(B30,-12),Database!$F:$AY,MATCH($Q$1,Database!$F$1:$AY$1,),)))))/(((VLOOKUP(EDATE(B30,-12),Database!$F:$AY,MATCH($Q$1,Database!$F$1:$AY$1,),))))</f>
        <v>-0.10034130206444254</v>
      </c>
      <c r="R30" s="13">
        <f>((((VLOOKUP(B30,Database!$F:$AY,MATCH($R$1,Database!$F$1:$AY$1,),))))-(((VLOOKUP(EDATE(B30,-12),Database!$F:$AY,MATCH($R$1,Database!$F$1:$AY$1,),)))))/(((VLOOKUP(EDATE(B30,-12),Database!$F:$AY,MATCH($R$1,Database!$F$1:$AY$1,),))))</f>
        <v>-1.1748658130398982E-3</v>
      </c>
      <c r="S30" s="13">
        <f>((((VLOOKUP(B30,Database!$F:$AY,MATCH($S$1,Database!$F$1:$AY$1,),))))-(((VLOOKUP(EDATE(B30,-12),Database!$F:$AY,MATCH($S$1,Database!$F$1:$AY$1,),)))))/(((VLOOKUP(EDATE(B30,-12),Database!$F:$AY,MATCH($S$1,Database!$F$1:$AY$1,),))))</f>
        <v>-3.7668514373503166E-2</v>
      </c>
      <c r="T30" s="13">
        <f>((((VLOOKUP(B30,Database!$F:$AY,MATCH($T$1,Database!$F$1:$AY$1,),))))-(((VLOOKUP(EDATE(B30,-12),Database!$F:$AY,MATCH($T$1,Database!$F$1:$AY$1,),)))))/(((VLOOKUP(EDATE(B30,-12),Database!$F:$AY,MATCH($T$1,Database!$F$1:$AY$1,),))))</f>
        <v>3.0302856836915328E-2</v>
      </c>
      <c r="U30" s="13" t="e">
        <f>((((VLOOKUP(B30,Database!$F:$AY,MATCH($U$1,Database!$F$1:$AY$1,),))))-(((VLOOKUP(EDATE(B30,-12),Database!$F:$AY,MATCH($U$1,Database!$F$1:$AY$1,),)))))/(((VLOOKUP(EDATE(B30,-12),Database!$F:$AY,MATCH($U$1,Database!$F$1:$AY$1,),))))</f>
        <v>#DIV/0!</v>
      </c>
      <c r="V30" s="13">
        <f>((((VLOOKUP(B30,Database!$F:$AY,MATCH($V$1,Database!$F$1:$AY$1,),))))-(((VLOOKUP(EDATE(B30,-12),Database!$F:$AY,MATCH($V$1,Database!$F$1:$AY$1,),)))))/(((VLOOKUP(EDATE(B30,-12),Database!$F:$AY,MATCH($V$1,Database!$F$1:$AY$1,),))))</f>
        <v>-0.21841694741254764</v>
      </c>
    </row>
    <row r="31" spans="1:24" s="85" customFormat="1" x14ac:dyDescent="0.2">
      <c r="A31" s="44"/>
      <c r="B31" s="91">
        <v>33086</v>
      </c>
      <c r="C31" s="13">
        <f>((((VLOOKUP(B31,Database!$F:$AY,MATCH($C$1,Database!$F$1:$AY$1,),))))-(((VLOOKUP(EDATE(B31,-12),Database!$F:$AY,MATCH($C$1,Database!$F$1:$AY$1,),)))))/(((VLOOKUP(EDATE(B31,-12),Database!$F:$AY,MATCH($C$1,Database!$F$1:$AY$1,),))))</f>
        <v>1.9141434249560947E-2</v>
      </c>
      <c r="D31" s="13">
        <f>((((VLOOKUP(B31,Database!$F:$AY,MATCH($D$1,Database!$F$1:$AY$1,),))))-(((VLOOKUP(EDATE(B31,-12),Database!$F:$AY,MATCH($D$1,Database!$F$1:$AY$1,),)))))/(((VLOOKUP(EDATE(B31,-12),Database!$F:$AY,MATCH($D$1,Database!$F$1:$AY$1,),))))</f>
        <v>1.2993168704264731E-2</v>
      </c>
      <c r="E31" s="13">
        <f>((((VLOOKUP(B31,Database!$F:$AY,MATCH($E$1,Database!$F$1:$AY$1,),))))-(((VLOOKUP(EDATE(B31,-12),Database!$F:$AY,MATCH($E$1,Database!$F$1:$AY$1,),)))))/(((VLOOKUP(EDATE(B31,-12),Database!$F:$AY,MATCH($E$1,Database!$F$1:$AY$1,),))))</f>
        <v>5.1153245109093505E-2</v>
      </c>
      <c r="F31" s="13">
        <f>((((VLOOKUP(B31,Database!$F:$AY,MATCH($F$1,Database!$F$1:$AY$1,),))))-(((VLOOKUP(EDATE(B31,-12),Database!$F:$AY,MATCH($F$1,Database!$F$1:$AY$1,),)))))/(((VLOOKUP(EDATE(B31,-12),Database!$F:$AY,MATCH($F$1,Database!$F$1:$AY$1,),))))</f>
        <v>5.7194028605919274E-2</v>
      </c>
      <c r="G31" s="13">
        <f>((((VLOOKUP(B31,Database!$F:$AY,MATCH($G$1,Database!$F$1:$AY$1,),))))-(((VLOOKUP(EDATE(B31,-12),Database!$F:$AY,MATCH($G$1,Database!$F$1:$AY$1,),)))))/(((VLOOKUP(EDATE(B31,-12),Database!$F:$AY,MATCH($G$1,Database!$F$1:$AY$1,),))))</f>
        <v>1.0033826939015209E-2</v>
      </c>
      <c r="H31" s="13">
        <f>((((VLOOKUP(B31,Database!$F:$AY,MATCH($H$1,Database!$F$1:$AY$1,),))))-(((VLOOKUP(EDATE(B31,-12),Database!$F:$AY,MATCH($H$1,Database!$F$1:$AY$1,),)))))/(((VLOOKUP(EDATE(B31,-12),Database!$F:$AY,MATCH($H$1,Database!$F$1:$AY$1,),))))</f>
        <v>-1.3820362080325313E-2</v>
      </c>
      <c r="I31" s="13">
        <f>((((VLOOKUP(B31,Database!$F:$AY,MATCH($I$1,Database!$F$1:$AY$1,),))))-(((VLOOKUP(EDATE(B31,-12),Database!$F:$AY,MATCH($I$1,Database!$F$1:$AY$1,),)))))/(((VLOOKUP(EDATE(B31,-12),Database!$F:$AY,MATCH($I$1,Database!$F$1:$AY$1,),))))</f>
        <v>1.5064747741702954E-2</v>
      </c>
      <c r="J31" s="13">
        <f>((((VLOOKUP(B31,Database!$F:$AY,MATCH($J$1,Database!$F$1:$AY$1,),))))-(((VLOOKUP(EDATE(B31,-12),Database!$F:$AY,MATCH($J$1,Database!$F$1:$AY$1,),)))))/(((VLOOKUP(EDATE(B31,-12),Database!$F:$AY,MATCH($J$1,Database!$F$1:$AY$1,),))))</f>
        <v>-1.4897873659902205E-2</v>
      </c>
      <c r="K31" s="13">
        <f>((((VLOOKUP(B31,Database!$F:$AY,MATCH($K$1,Database!$F$1:$AY$1,),))))-(((VLOOKUP(EDATE(B31,-12),Database!$F:$AY,MATCH($K$1,Database!$F$1:$AY$1,),)))))/(((VLOOKUP(EDATE(B31,-12),Database!$F:$AY,MATCH($K$1,Database!$F$1:$AY$1,),))))</f>
        <v>2.9726181339162674E-2</v>
      </c>
      <c r="L31" s="13">
        <f>((((VLOOKUP(B31,Database!$F:$AY,MATCH($L$1,Database!$F$1:$AY$1,),))))-(((VLOOKUP(EDATE(B31,-12),Database!$F:$AY,MATCH($L$1,Database!$F$1:$AY$1,),)))))/(((VLOOKUP(EDATE(B31,-12),Database!$F:$AY,MATCH($L$1,Database!$F$1:$AY$1,),))))</f>
        <v>6.5908968736315257E-2</v>
      </c>
      <c r="M31" s="13" t="e">
        <f>((((VLOOKUP(B31,Database!$F:$AY,MATCH($M$1,Database!$F$1:$AY$1,),))))-(((VLOOKUP(EDATE(B31,-12),Database!$F:$AY,MATCH($M$1,Database!$F$1:$AY$1,),)))))/(((VLOOKUP(EDATE(B31,-12),Database!$F:$AY,MATCH($M$1,Database!$F$1:$AY$1,),))))</f>
        <v>#DIV/0!</v>
      </c>
      <c r="N31" s="13" t="e">
        <f>((((VLOOKUP(B31,Database!$F:$AY,MATCH($N$1,Database!$F$1:$AY$1,),))))-(((VLOOKUP(EDATE(B31,-12),Database!$F:$AY,MATCH($N$1,Database!$F$1:$AY$1,),)))))/(((VLOOKUP(EDATE(B31,-12),Database!$F:$AY,MATCH($N$1,Database!$F$1:$AY$1,),))))</f>
        <v>#DIV/0!</v>
      </c>
      <c r="O31" s="13">
        <f>((((VLOOKUP(B31,Database!$F:$AY,MATCH($O$1,Database!$F$1:$AY$1,),))))-(((VLOOKUP(EDATE(B31,-12),Database!$F:$AY,MATCH($O$1,Database!$F$1:$AY$1,),)))))/(((VLOOKUP(EDATE(B31,-12),Database!$F:$AY,MATCH($O$1,Database!$F$1:$AY$1,),))))</f>
        <v>-1.9321762608319741E-2</v>
      </c>
      <c r="P31" s="13">
        <f>((((VLOOKUP(B31,Database!$F:$AY,MATCH($P$1,Database!$F$1:$AY$1,),))))-(((VLOOKUP(EDATE(B31,-12),Database!$F:$AY,MATCH($P$1,Database!$F$1:$AY$1,),)))))/(((VLOOKUP(EDATE(B31,-12),Database!$F:$AY,MATCH($P$1,Database!$F$1:$AY$1,),))))</f>
        <v>7.5667298341486278E-2</v>
      </c>
      <c r="Q31" s="13">
        <f>((((VLOOKUP(B31,Database!$F:$AY,MATCH($Q$1,Database!$F$1:$AY$1,),))))-(((VLOOKUP(EDATE(B31,-12),Database!$F:$AY,MATCH($Q$1,Database!$F$1:$AY$1,),)))))/(((VLOOKUP(EDATE(B31,-12),Database!$F:$AY,MATCH($Q$1,Database!$F$1:$AY$1,),))))</f>
        <v>-7.7914019709350163E-2</v>
      </c>
      <c r="R31" s="13">
        <f>((((VLOOKUP(B31,Database!$F:$AY,MATCH($R$1,Database!$F$1:$AY$1,),))))-(((VLOOKUP(EDATE(B31,-12),Database!$F:$AY,MATCH($R$1,Database!$F$1:$AY$1,),)))))/(((VLOOKUP(EDATE(B31,-12),Database!$F:$AY,MATCH($R$1,Database!$F$1:$AY$1,),))))</f>
        <v>-4.8721608635966536E-2</v>
      </c>
      <c r="S31" s="13">
        <f>((((VLOOKUP(B31,Database!$F:$AY,MATCH($S$1,Database!$F$1:$AY$1,),))))-(((VLOOKUP(EDATE(B31,-12),Database!$F:$AY,MATCH($S$1,Database!$F$1:$AY$1,),)))))/(((VLOOKUP(EDATE(B31,-12),Database!$F:$AY,MATCH($S$1,Database!$F$1:$AY$1,),))))</f>
        <v>0.11775936537029251</v>
      </c>
      <c r="T31" s="13">
        <f>((((VLOOKUP(B31,Database!$F:$AY,MATCH($T$1,Database!$F$1:$AY$1,),))))-(((VLOOKUP(EDATE(B31,-12),Database!$F:$AY,MATCH($T$1,Database!$F$1:$AY$1,),)))))/(((VLOOKUP(EDATE(B31,-12),Database!$F:$AY,MATCH($T$1,Database!$F$1:$AY$1,),))))</f>
        <v>4.1237106316057884E-2</v>
      </c>
      <c r="U31" s="13" t="e">
        <f>((((VLOOKUP(B31,Database!$F:$AY,MATCH($U$1,Database!$F$1:$AY$1,),))))-(((VLOOKUP(EDATE(B31,-12),Database!$F:$AY,MATCH($U$1,Database!$F$1:$AY$1,),)))))/(((VLOOKUP(EDATE(B31,-12),Database!$F:$AY,MATCH($U$1,Database!$F$1:$AY$1,),))))</f>
        <v>#DIV/0!</v>
      </c>
      <c r="V31" s="13">
        <f>((((VLOOKUP(B31,Database!$F:$AY,MATCH($V$1,Database!$F$1:$AY$1,),))))-(((VLOOKUP(EDATE(B31,-12),Database!$F:$AY,MATCH($V$1,Database!$F$1:$AY$1,),)))))/(((VLOOKUP(EDATE(B31,-12),Database!$F:$AY,MATCH($V$1,Database!$F$1:$AY$1,),))))</f>
        <v>-0.18977256012856483</v>
      </c>
    </row>
    <row r="32" spans="1:24" s="85" customFormat="1" x14ac:dyDescent="0.2">
      <c r="A32" s="44"/>
      <c r="B32" s="91">
        <v>33117</v>
      </c>
      <c r="C32" s="13">
        <f>((((VLOOKUP(B32,Database!$F:$AY,MATCH($C$1,Database!$F$1:$AY$1,),))))-(((VLOOKUP(EDATE(B32,-12),Database!$F:$AY,MATCH($C$1,Database!$F$1:$AY$1,),)))))/(((VLOOKUP(EDATE(B32,-12),Database!$F:$AY,MATCH($C$1,Database!$F$1:$AY$1,),))))</f>
        <v>2.4000165800845148E-2</v>
      </c>
      <c r="D32" s="13">
        <f>((((VLOOKUP(B32,Database!$F:$AY,MATCH($D$1,Database!$F$1:$AY$1,),))))-(((VLOOKUP(EDATE(B32,-12),Database!$F:$AY,MATCH($D$1,Database!$F$1:$AY$1,),)))))/(((VLOOKUP(EDATE(B32,-12),Database!$F:$AY,MATCH($D$1,Database!$F$1:$AY$1,),))))</f>
        <v>3.9047121354478437E-2</v>
      </c>
      <c r="E32" s="13">
        <f>((((VLOOKUP(B32,Database!$F:$AY,MATCH($E$1,Database!$F$1:$AY$1,),))))-(((VLOOKUP(EDATE(B32,-12),Database!$F:$AY,MATCH($E$1,Database!$F$1:$AY$1,),)))))/(((VLOOKUP(EDATE(B32,-12),Database!$F:$AY,MATCH($E$1,Database!$F$1:$AY$1,),))))</f>
        <v>4.5272053943534729E-2</v>
      </c>
      <c r="F32" s="13">
        <f>((((VLOOKUP(B32,Database!$F:$AY,MATCH($F$1,Database!$F$1:$AY$1,),))))-(((VLOOKUP(EDATE(B32,-12),Database!$F:$AY,MATCH($F$1,Database!$F$1:$AY$1,),)))))/(((VLOOKUP(EDATE(B32,-12),Database!$F:$AY,MATCH($F$1,Database!$F$1:$AY$1,),))))</f>
        <v>6.133332296351092E-2</v>
      </c>
      <c r="G32" s="13">
        <f>((((VLOOKUP(B32,Database!$F:$AY,MATCH($G$1,Database!$F$1:$AY$1,),))))-(((VLOOKUP(EDATE(B32,-12),Database!$F:$AY,MATCH($G$1,Database!$F$1:$AY$1,),)))))/(((VLOOKUP(EDATE(B32,-12),Database!$F:$AY,MATCH($G$1,Database!$F$1:$AY$1,),))))</f>
        <v>2.004023384927479E-2</v>
      </c>
      <c r="H32" s="13">
        <f>((((VLOOKUP(B32,Database!$F:$AY,MATCH($H$1,Database!$F$1:$AY$1,),))))-(((VLOOKUP(EDATE(B32,-12),Database!$F:$AY,MATCH($H$1,Database!$F$1:$AY$1,),)))))/(((VLOOKUP(EDATE(B32,-12),Database!$F:$AY,MATCH($H$1,Database!$F$1:$AY$1,),))))</f>
        <v>-1.38889156962596E-2</v>
      </c>
      <c r="I32" s="13">
        <f>((((VLOOKUP(B32,Database!$F:$AY,MATCH($I$1,Database!$F$1:$AY$1,),))))-(((VLOOKUP(EDATE(B32,-12),Database!$F:$AY,MATCH($I$1,Database!$F$1:$AY$1,),)))))/(((VLOOKUP(EDATE(B32,-12),Database!$F:$AY,MATCH($I$1,Database!$F$1:$AY$1,),))))</f>
        <v>-1.1115837459970924E-2</v>
      </c>
      <c r="J32" s="13">
        <f>((((VLOOKUP(B32,Database!$F:$AY,MATCH($J$1,Database!$F$1:$AY$1,),))))-(((VLOOKUP(EDATE(B32,-12),Database!$F:$AY,MATCH($J$1,Database!$F$1:$AY$1,),)))))/(((VLOOKUP(EDATE(B32,-12),Database!$F:$AY,MATCH($J$1,Database!$F$1:$AY$1,),))))</f>
        <v>4.7861007686383303E-4</v>
      </c>
      <c r="K32" s="13">
        <f>((((VLOOKUP(B32,Database!$F:$AY,MATCH($K$1,Database!$F$1:$AY$1,),))))-(((VLOOKUP(EDATE(B32,-12),Database!$F:$AY,MATCH($K$1,Database!$F$1:$AY$1,),)))))/(((VLOOKUP(EDATE(B32,-12),Database!$F:$AY,MATCH($K$1,Database!$F$1:$AY$1,),))))</f>
        <v>2.1741252569013891E-2</v>
      </c>
      <c r="L32" s="13">
        <f>((((VLOOKUP(B32,Database!$F:$AY,MATCH($L$1,Database!$F$1:$AY$1,),))))-(((VLOOKUP(EDATE(B32,-12),Database!$F:$AY,MATCH($L$1,Database!$F$1:$AY$1,),)))))/(((VLOOKUP(EDATE(B32,-12),Database!$F:$AY,MATCH($L$1,Database!$F$1:$AY$1,),))))</f>
        <v>8.6505271460597569E-2</v>
      </c>
      <c r="M32" s="13" t="e">
        <f>((((VLOOKUP(B32,Database!$F:$AY,MATCH($M$1,Database!$F$1:$AY$1,),))))-(((VLOOKUP(EDATE(B32,-12),Database!$F:$AY,MATCH($M$1,Database!$F$1:$AY$1,),)))))/(((VLOOKUP(EDATE(B32,-12),Database!$F:$AY,MATCH($M$1,Database!$F$1:$AY$1,),))))</f>
        <v>#DIV/0!</v>
      </c>
      <c r="N32" s="13" t="e">
        <f>((((VLOOKUP(B32,Database!$F:$AY,MATCH($N$1,Database!$F$1:$AY$1,),))))-(((VLOOKUP(EDATE(B32,-12),Database!$F:$AY,MATCH($N$1,Database!$F$1:$AY$1,),)))))/(((VLOOKUP(EDATE(B32,-12),Database!$F:$AY,MATCH($N$1,Database!$F$1:$AY$1,),))))</f>
        <v>#DIV/0!</v>
      </c>
      <c r="O32" s="13">
        <f>((((VLOOKUP(B32,Database!$F:$AY,MATCH($O$1,Database!$F$1:$AY$1,),))))-(((VLOOKUP(EDATE(B32,-12),Database!$F:$AY,MATCH($O$1,Database!$F$1:$AY$1,),)))))/(((VLOOKUP(EDATE(B32,-12),Database!$F:$AY,MATCH($O$1,Database!$F$1:$AY$1,),))))</f>
        <v>-3.9042863792759328E-2</v>
      </c>
      <c r="P32" s="13">
        <f>((((VLOOKUP(B32,Database!$F:$AY,MATCH($P$1,Database!$F$1:$AY$1,),))))-(((VLOOKUP(EDATE(B32,-12),Database!$F:$AY,MATCH($P$1,Database!$F$1:$AY$1,),)))))/(((VLOOKUP(EDATE(B32,-12),Database!$F:$AY,MATCH($P$1,Database!$F$1:$AY$1,),))))</f>
        <v>9.8697946190203431E-2</v>
      </c>
      <c r="Q32" s="13">
        <f>((((VLOOKUP(B32,Database!$F:$AY,MATCH($Q$1,Database!$F$1:$AY$1,),))))-(((VLOOKUP(EDATE(B32,-12),Database!$F:$AY,MATCH($Q$1,Database!$F$1:$AY$1,),)))))/(((VLOOKUP(EDATE(B32,-12),Database!$F:$AY,MATCH($Q$1,Database!$F$1:$AY$1,),))))</f>
        <v>-5.6229542212423766E-2</v>
      </c>
      <c r="R32" s="13">
        <f>((((VLOOKUP(B32,Database!$F:$AY,MATCH($R$1,Database!$F$1:$AY$1,),))))-(((VLOOKUP(EDATE(B32,-12),Database!$F:$AY,MATCH($R$1,Database!$F$1:$AY$1,),)))))/(((VLOOKUP(EDATE(B32,-12),Database!$F:$AY,MATCH($R$1,Database!$F$1:$AY$1,),))))</f>
        <v>-0.16769554442990847</v>
      </c>
      <c r="S32" s="13">
        <f>((((VLOOKUP(B32,Database!$F:$AY,MATCH($S$1,Database!$F$1:$AY$1,),))))-(((VLOOKUP(EDATE(B32,-12),Database!$F:$AY,MATCH($S$1,Database!$F$1:$AY$1,),)))))/(((VLOOKUP(EDATE(B32,-12),Database!$F:$AY,MATCH($S$1,Database!$F$1:$AY$1,),))))</f>
        <v>9.8730868443680106E-2</v>
      </c>
      <c r="T32" s="13">
        <f>((((VLOOKUP(B32,Database!$F:$AY,MATCH($T$1,Database!$F$1:$AY$1,),))))-(((VLOOKUP(EDATE(B32,-12),Database!$F:$AY,MATCH($T$1,Database!$F$1:$AY$1,),)))))/(((VLOOKUP(EDATE(B32,-12),Database!$F:$AY,MATCH($T$1,Database!$F$1:$AY$1,),))))</f>
        <v>0.11864413100211069</v>
      </c>
      <c r="U32" s="13" t="e">
        <f>((((VLOOKUP(B32,Database!$F:$AY,MATCH($U$1,Database!$F$1:$AY$1,),))))-(((VLOOKUP(EDATE(B32,-12),Database!$F:$AY,MATCH($U$1,Database!$F$1:$AY$1,),)))))/(((VLOOKUP(EDATE(B32,-12),Database!$F:$AY,MATCH($U$1,Database!$F$1:$AY$1,),))))</f>
        <v>#DIV/0!</v>
      </c>
      <c r="V32" s="13">
        <f>((((VLOOKUP(B32,Database!$F:$AY,MATCH($V$1,Database!$F$1:$AY$1,),))))-(((VLOOKUP(EDATE(B32,-12),Database!$F:$AY,MATCH($V$1,Database!$F$1:$AY$1,),)))))/(((VLOOKUP(EDATE(B32,-12),Database!$F:$AY,MATCH($V$1,Database!$F$1:$AY$1,),))))</f>
        <v>-0.22884205971418412</v>
      </c>
    </row>
    <row r="33" spans="1:22" s="85" customFormat="1" x14ac:dyDescent="0.2">
      <c r="A33" s="44"/>
      <c r="B33" s="91">
        <v>33147</v>
      </c>
      <c r="C33" s="13">
        <f>((((VLOOKUP(B33,Database!$F:$AY,MATCH($C$1,Database!$F$1:$AY$1,),))))-(((VLOOKUP(EDATE(B33,-12),Database!$F:$AY,MATCH($C$1,Database!$F$1:$AY$1,),)))))/(((VLOOKUP(EDATE(B33,-12),Database!$F:$AY,MATCH($C$1,Database!$F$1:$AY$1,),))))</f>
        <v>1.6966482136984824E-2</v>
      </c>
      <c r="D33" s="13">
        <f>((((VLOOKUP(B33,Database!$F:$AY,MATCH($D$1,Database!$F$1:$AY$1,),))))-(((VLOOKUP(EDATE(B33,-12),Database!$F:$AY,MATCH($D$1,Database!$F$1:$AY$1,),)))))/(((VLOOKUP(EDATE(B33,-12),Database!$F:$AY,MATCH($D$1,Database!$F$1:$AY$1,),))))</f>
        <v>3.3520233080500082E-2</v>
      </c>
      <c r="E33" s="13">
        <f>((((VLOOKUP(B33,Database!$F:$AY,MATCH($E$1,Database!$F$1:$AY$1,),))))-(((VLOOKUP(EDATE(B33,-12),Database!$F:$AY,MATCH($E$1,Database!$F$1:$AY$1,),)))))/(((VLOOKUP(EDATE(B33,-12),Database!$F:$AY,MATCH($E$1,Database!$F$1:$AY$1,),))))</f>
        <v>7.2874134298401241E-2</v>
      </c>
      <c r="F33" s="13">
        <f>((((VLOOKUP(B33,Database!$F:$AY,MATCH($F$1,Database!$F$1:$AY$1,),))))-(((VLOOKUP(EDATE(B33,-12),Database!$F:$AY,MATCH($F$1,Database!$F$1:$AY$1,),)))))/(((VLOOKUP(EDATE(B33,-12),Database!$F:$AY,MATCH($F$1,Database!$F$1:$AY$1,),))))</f>
        <v>6.0283644646833112E-2</v>
      </c>
      <c r="G33" s="13">
        <f>((((VLOOKUP(B33,Database!$F:$AY,MATCH($G$1,Database!$F$1:$AY$1,),))))-(((VLOOKUP(EDATE(B33,-12),Database!$F:$AY,MATCH($G$1,Database!$F$1:$AY$1,),)))))/(((VLOOKUP(EDATE(B33,-12),Database!$F:$AY,MATCH($G$1,Database!$F$1:$AY$1,),))))</f>
        <v>7.4726307732348399E-3</v>
      </c>
      <c r="H33" s="13">
        <f>((((VLOOKUP(B33,Database!$F:$AY,MATCH($H$1,Database!$F$1:$AY$1,),))))-(((VLOOKUP(EDATE(B33,-12),Database!$F:$AY,MATCH($H$1,Database!$F$1:$AY$1,),)))))/(((VLOOKUP(EDATE(B33,-12),Database!$F:$AY,MATCH($H$1,Database!$F$1:$AY$1,),))))</f>
        <v>-8.9820454132265946E-3</v>
      </c>
      <c r="I33" s="13">
        <f>((((VLOOKUP(B33,Database!$F:$AY,MATCH($I$1,Database!$F$1:$AY$1,),))))-(((VLOOKUP(EDATE(B33,-12),Database!$F:$AY,MATCH($I$1,Database!$F$1:$AY$1,),)))))/(((VLOOKUP(EDATE(B33,-12),Database!$F:$AY,MATCH($I$1,Database!$F$1:$AY$1,),))))</f>
        <v>-2.0590625124878387E-2</v>
      </c>
      <c r="J33" s="13">
        <f>((((VLOOKUP(B33,Database!$F:$AY,MATCH($J$1,Database!$F$1:$AY$1,),))))-(((VLOOKUP(EDATE(B33,-12),Database!$F:$AY,MATCH($J$1,Database!$F$1:$AY$1,),)))))/(((VLOOKUP(EDATE(B33,-12),Database!$F:$AY,MATCH($J$1,Database!$F$1:$AY$1,),))))</f>
        <v>-2.837411002719336E-2</v>
      </c>
      <c r="K33" s="13">
        <f>((((VLOOKUP(B33,Database!$F:$AY,MATCH($K$1,Database!$F$1:$AY$1,),))))-(((VLOOKUP(EDATE(B33,-12),Database!$F:$AY,MATCH($K$1,Database!$F$1:$AY$1,),)))))/(((VLOOKUP(EDATE(B33,-12),Database!$F:$AY,MATCH($K$1,Database!$F$1:$AY$1,),))))</f>
        <v>5.7896722245879099E-3</v>
      </c>
      <c r="L33" s="13">
        <f>((((VLOOKUP(B33,Database!$F:$AY,MATCH($L$1,Database!$F$1:$AY$1,),))))-(((VLOOKUP(EDATE(B33,-12),Database!$F:$AY,MATCH($L$1,Database!$F$1:$AY$1,),)))))/(((VLOOKUP(EDATE(B33,-12),Database!$F:$AY,MATCH($L$1,Database!$F$1:$AY$1,),))))</f>
        <v>8.6505271460597569E-2</v>
      </c>
      <c r="M33" s="13" t="e">
        <f>((((VLOOKUP(B33,Database!$F:$AY,MATCH($M$1,Database!$F$1:$AY$1,),))))-(((VLOOKUP(EDATE(B33,-12),Database!$F:$AY,MATCH($M$1,Database!$F$1:$AY$1,),)))))/(((VLOOKUP(EDATE(B33,-12),Database!$F:$AY,MATCH($M$1,Database!$F$1:$AY$1,),))))</f>
        <v>#DIV/0!</v>
      </c>
      <c r="N33" s="13" t="e">
        <f>((((VLOOKUP(B33,Database!$F:$AY,MATCH($N$1,Database!$F$1:$AY$1,),))))-(((VLOOKUP(EDATE(B33,-12),Database!$F:$AY,MATCH($N$1,Database!$F$1:$AY$1,),)))))/(((VLOOKUP(EDATE(B33,-12),Database!$F:$AY,MATCH($N$1,Database!$F$1:$AY$1,),))))</f>
        <v>#DIV/0!</v>
      </c>
      <c r="O33" s="13">
        <f>((((VLOOKUP(B33,Database!$F:$AY,MATCH($O$1,Database!$F$1:$AY$1,),))))-(((VLOOKUP(EDATE(B33,-12),Database!$F:$AY,MATCH($O$1,Database!$F$1:$AY$1,),)))))/(((VLOOKUP(EDATE(B33,-12),Database!$F:$AY,MATCH($O$1,Database!$F$1:$AY$1,),))))</f>
        <v>-2.6822777319376268E-2</v>
      </c>
      <c r="P33" s="13">
        <f>((((VLOOKUP(B33,Database!$F:$AY,MATCH($P$1,Database!$F$1:$AY$1,),))))-(((VLOOKUP(EDATE(B33,-12),Database!$F:$AY,MATCH($P$1,Database!$F$1:$AY$1,),)))))/(((VLOOKUP(EDATE(B33,-12),Database!$F:$AY,MATCH($P$1,Database!$F$1:$AY$1,),))))</f>
        <v>0.10811892429008998</v>
      </c>
      <c r="Q33" s="13">
        <f>((((VLOOKUP(B33,Database!$F:$AY,MATCH($Q$1,Database!$F$1:$AY$1,),))))-(((VLOOKUP(EDATE(B33,-12),Database!$F:$AY,MATCH($Q$1,Database!$F$1:$AY$1,),)))))/(((VLOOKUP(EDATE(B33,-12),Database!$F:$AY,MATCH($Q$1,Database!$F$1:$AY$1,),))))</f>
        <v>-8.2878510154891616E-2</v>
      </c>
      <c r="R33" s="13">
        <f>((((VLOOKUP(B33,Database!$F:$AY,MATCH($R$1,Database!$F$1:$AY$1,),))))-(((VLOOKUP(EDATE(B33,-12),Database!$F:$AY,MATCH($R$1,Database!$F$1:$AY$1,),)))))/(((VLOOKUP(EDATE(B33,-12),Database!$F:$AY,MATCH($R$1,Database!$F$1:$AY$1,),))))</f>
        <v>-1.6967865651693424E-3</v>
      </c>
      <c r="S33" s="13">
        <f>((((VLOOKUP(B33,Database!$F:$AY,MATCH($S$1,Database!$F$1:$AY$1,),))))-(((VLOOKUP(EDATE(B33,-12),Database!$F:$AY,MATCH($S$1,Database!$F$1:$AY$1,),)))))/(((VLOOKUP(EDATE(B33,-12),Database!$F:$AY,MATCH($S$1,Database!$F$1:$AY$1,),))))</f>
        <v>5.0753518309539648E-2</v>
      </c>
      <c r="T33" s="13">
        <f>((((VLOOKUP(B33,Database!$F:$AY,MATCH($T$1,Database!$F$1:$AY$1,),))))-(((VLOOKUP(EDATE(B33,-12),Database!$F:$AY,MATCH($T$1,Database!$F$1:$AY$1,),)))))/(((VLOOKUP(EDATE(B33,-12),Database!$F:$AY,MATCH($T$1,Database!$F$1:$AY$1,),))))</f>
        <v>0.15492983041190403</v>
      </c>
      <c r="U33" s="13" t="e">
        <f>((((VLOOKUP(B33,Database!$F:$AY,MATCH($U$1,Database!$F$1:$AY$1,),))))-(((VLOOKUP(EDATE(B33,-12),Database!$F:$AY,MATCH($U$1,Database!$F$1:$AY$1,),)))))/(((VLOOKUP(EDATE(B33,-12),Database!$F:$AY,MATCH($U$1,Database!$F$1:$AY$1,),))))</f>
        <v>#DIV/0!</v>
      </c>
      <c r="V33" s="13">
        <f>((((VLOOKUP(B33,Database!$F:$AY,MATCH($V$1,Database!$F$1:$AY$1,),))))-(((VLOOKUP(EDATE(B33,-12),Database!$F:$AY,MATCH($V$1,Database!$F$1:$AY$1,),)))))/(((VLOOKUP(EDATE(B33,-12),Database!$F:$AY,MATCH($V$1,Database!$F$1:$AY$1,),))))</f>
        <v>-0.19323412867513393</v>
      </c>
    </row>
    <row r="34" spans="1:22" s="85" customFormat="1" x14ac:dyDescent="0.2">
      <c r="A34" s="44"/>
      <c r="B34" s="91">
        <v>33178</v>
      </c>
      <c r="C34" s="13">
        <f>((((VLOOKUP(B34,Database!$F:$AY,MATCH($C$1,Database!$F$1:$AY$1,),))))-(((VLOOKUP(EDATE(B34,-12),Database!$F:$AY,MATCH($C$1,Database!$F$1:$AY$1,),)))))/(((VLOOKUP(EDATE(B34,-12),Database!$F:$AY,MATCH($C$1,Database!$F$1:$AY$1,),))))</f>
        <v>1.7916357629594929E-3</v>
      </c>
      <c r="D34" s="13">
        <f>((((VLOOKUP(B34,Database!$F:$AY,MATCH($D$1,Database!$F$1:$AY$1,),))))-(((VLOOKUP(EDATE(B34,-12),Database!$F:$AY,MATCH($D$1,Database!$F$1:$AY$1,),)))))/(((VLOOKUP(EDATE(B34,-12),Database!$F:$AY,MATCH($D$1,Database!$F$1:$AY$1,),))))</f>
        <v>2.4643052361714598E-2</v>
      </c>
      <c r="E34" s="13">
        <f>((((VLOOKUP(B34,Database!$F:$AY,MATCH($E$1,Database!$F$1:$AY$1,),))))-(((VLOOKUP(EDATE(B34,-12),Database!$F:$AY,MATCH($E$1,Database!$F$1:$AY$1,),)))))/(((VLOOKUP(EDATE(B34,-12),Database!$F:$AY,MATCH($E$1,Database!$F$1:$AY$1,),))))</f>
        <v>5.8290520023150855E-2</v>
      </c>
      <c r="F34" s="13">
        <f>((((VLOOKUP(B34,Database!$F:$AY,MATCH($F$1,Database!$F$1:$AY$1,),))))-(((VLOOKUP(EDATE(B34,-12),Database!$F:$AY,MATCH($F$1,Database!$F$1:$AY$1,),)))))/(((VLOOKUP(EDATE(B34,-12),Database!$F:$AY,MATCH($F$1,Database!$F$1:$AY$1,),))))</f>
        <v>5.5604512085493801E-2</v>
      </c>
      <c r="G34" s="13">
        <f>((((VLOOKUP(B34,Database!$F:$AY,MATCH($G$1,Database!$F$1:$AY$1,),))))-(((VLOOKUP(EDATE(B34,-12),Database!$F:$AY,MATCH($G$1,Database!$F$1:$AY$1,),)))))/(((VLOOKUP(EDATE(B34,-12),Database!$F:$AY,MATCH($G$1,Database!$F$1:$AY$1,),))))</f>
        <v>-1.4676654929122351E-2</v>
      </c>
      <c r="H34" s="13">
        <f>((((VLOOKUP(B34,Database!$F:$AY,MATCH($H$1,Database!$F$1:$AY$1,),))))-(((VLOOKUP(EDATE(B34,-12),Database!$F:$AY,MATCH($H$1,Database!$F$1:$AY$1,),)))))/(((VLOOKUP(EDATE(B34,-12),Database!$F:$AY,MATCH($H$1,Database!$F$1:$AY$1,),))))</f>
        <v>-2.2749787783908907E-2</v>
      </c>
      <c r="I34" s="13">
        <f>((((VLOOKUP(B34,Database!$F:$AY,MATCH($I$1,Database!$F$1:$AY$1,),))))-(((VLOOKUP(EDATE(B34,-12),Database!$F:$AY,MATCH($I$1,Database!$F$1:$AY$1,),)))))/(((VLOOKUP(EDATE(B34,-12),Database!$F:$AY,MATCH($I$1,Database!$F$1:$AY$1,),))))</f>
        <v>-3.5808476192588382E-2</v>
      </c>
      <c r="J34" s="13">
        <f>((((VLOOKUP(B34,Database!$F:$AY,MATCH($J$1,Database!$F$1:$AY$1,),))))-(((VLOOKUP(EDATE(B34,-12),Database!$F:$AY,MATCH($J$1,Database!$F$1:$AY$1,),)))))/(((VLOOKUP(EDATE(B34,-12),Database!$F:$AY,MATCH($J$1,Database!$F$1:$AY$1,),))))</f>
        <v>1.4432197535974175E-4</v>
      </c>
      <c r="K34" s="13">
        <f>((((VLOOKUP(B34,Database!$F:$AY,MATCH($K$1,Database!$F$1:$AY$1,),))))-(((VLOOKUP(EDATE(B34,-12),Database!$F:$AY,MATCH($K$1,Database!$F$1:$AY$1,),)))))/(((VLOOKUP(EDATE(B34,-12),Database!$F:$AY,MATCH($K$1,Database!$F$1:$AY$1,),))))</f>
        <v>2.8954081012511146E-3</v>
      </c>
      <c r="L34" s="13">
        <f>((((VLOOKUP(B34,Database!$F:$AY,MATCH($L$1,Database!$F$1:$AY$1,),))))-(((VLOOKUP(EDATE(B34,-12),Database!$F:$AY,MATCH($L$1,Database!$F$1:$AY$1,),)))))/(((VLOOKUP(EDATE(B34,-12),Database!$F:$AY,MATCH($L$1,Database!$F$1:$AY$1,),))))</f>
        <v>8.0645104745222573E-2</v>
      </c>
      <c r="M34" s="13" t="e">
        <f>((((VLOOKUP(B34,Database!$F:$AY,MATCH($M$1,Database!$F$1:$AY$1,),))))-(((VLOOKUP(EDATE(B34,-12),Database!$F:$AY,MATCH($M$1,Database!$F$1:$AY$1,),)))))/(((VLOOKUP(EDATE(B34,-12),Database!$F:$AY,MATCH($M$1,Database!$F$1:$AY$1,),))))</f>
        <v>#DIV/0!</v>
      </c>
      <c r="N34" s="13" t="e">
        <f>((((VLOOKUP(B34,Database!$F:$AY,MATCH($N$1,Database!$F$1:$AY$1,),))))-(((VLOOKUP(EDATE(B34,-12),Database!$F:$AY,MATCH($N$1,Database!$F$1:$AY$1,),)))))/(((VLOOKUP(EDATE(B34,-12),Database!$F:$AY,MATCH($N$1,Database!$F$1:$AY$1,),))))</f>
        <v>#DIV/0!</v>
      </c>
      <c r="O34" s="13">
        <f>((((VLOOKUP(B34,Database!$F:$AY,MATCH($O$1,Database!$F$1:$AY$1,),))))-(((VLOOKUP(EDATE(B34,-12),Database!$F:$AY,MATCH($O$1,Database!$F$1:$AY$1,),)))))/(((VLOOKUP(EDATE(B34,-12),Database!$F:$AY,MATCH($O$1,Database!$F$1:$AY$1,),))))</f>
        <v>-4.7666492547459402E-2</v>
      </c>
      <c r="P34" s="13">
        <f>((((VLOOKUP(B34,Database!$F:$AY,MATCH($P$1,Database!$F$1:$AY$1,),))))-(((VLOOKUP(EDATE(B34,-12),Database!$F:$AY,MATCH($P$1,Database!$F$1:$AY$1,),)))))/(((VLOOKUP(EDATE(B34,-12),Database!$F:$AY,MATCH($P$1,Database!$F$1:$AY$1,),))))</f>
        <v>9.4976664571471026E-2</v>
      </c>
      <c r="Q34" s="13">
        <f>((((VLOOKUP(B34,Database!$F:$AY,MATCH($Q$1,Database!$F$1:$AY$1,),))))-(((VLOOKUP(EDATE(B34,-12),Database!$F:$AY,MATCH($Q$1,Database!$F$1:$AY$1,),)))))/(((VLOOKUP(EDATE(B34,-12),Database!$F:$AY,MATCH($Q$1,Database!$F$1:$AY$1,),))))</f>
        <v>-9.4595459602455467E-2</v>
      </c>
      <c r="R34" s="13">
        <f>((((VLOOKUP(B34,Database!$F:$AY,MATCH($R$1,Database!$F$1:$AY$1,),))))-(((VLOOKUP(EDATE(B34,-12),Database!$F:$AY,MATCH($R$1,Database!$F$1:$AY$1,),)))))/(((VLOOKUP(EDATE(B34,-12),Database!$F:$AY,MATCH($R$1,Database!$F$1:$AY$1,),))))</f>
        <v>-3.5768787045742968E-2</v>
      </c>
      <c r="S34" s="13">
        <f>((((VLOOKUP(B34,Database!$F:$AY,MATCH($S$1,Database!$F$1:$AY$1,),))))-(((VLOOKUP(EDATE(B34,-12),Database!$F:$AY,MATCH($S$1,Database!$F$1:$AY$1,),)))))/(((VLOOKUP(EDATE(B34,-12),Database!$F:$AY,MATCH($S$1,Database!$F$1:$AY$1,),))))</f>
        <v>1.499073217611095E-2</v>
      </c>
      <c r="T34" s="13">
        <f>((((VLOOKUP(B34,Database!$F:$AY,MATCH($T$1,Database!$F$1:$AY$1,),))))-(((VLOOKUP(EDATE(B34,-12),Database!$F:$AY,MATCH($T$1,Database!$F$1:$AY$1,),)))))/(((VLOOKUP(EDATE(B34,-12),Database!$F:$AY,MATCH($T$1,Database!$F$1:$AY$1,),))))</f>
        <v>0.14089350385839647</v>
      </c>
      <c r="U34" s="13" t="e">
        <f>((((VLOOKUP(B34,Database!$F:$AY,MATCH($U$1,Database!$F$1:$AY$1,),))))-(((VLOOKUP(EDATE(B34,-12),Database!$F:$AY,MATCH($U$1,Database!$F$1:$AY$1,),)))))/(((VLOOKUP(EDATE(B34,-12),Database!$F:$AY,MATCH($U$1,Database!$F$1:$AY$1,),))))</f>
        <v>#DIV/0!</v>
      </c>
      <c r="V34" s="13">
        <f>((((VLOOKUP(B34,Database!$F:$AY,MATCH($V$1,Database!$F$1:$AY$1,),))))-(((VLOOKUP(EDATE(B34,-12),Database!$F:$AY,MATCH($V$1,Database!$F$1:$AY$1,),)))))/(((VLOOKUP(EDATE(B34,-12),Database!$F:$AY,MATCH($V$1,Database!$F$1:$AY$1,),))))</f>
        <v>-0.15617042380191368</v>
      </c>
    </row>
    <row r="35" spans="1:22" s="85" customFormat="1" x14ac:dyDescent="0.2">
      <c r="A35" s="44"/>
      <c r="B35" s="91">
        <v>33208</v>
      </c>
      <c r="C35" s="13">
        <f>((((VLOOKUP(B35,Database!$F:$AY,MATCH($C$1,Database!$F$1:$AY$1,),))))-(((VLOOKUP(EDATE(B35,-12),Database!$F:$AY,MATCH($C$1,Database!$F$1:$AY$1,),)))))/(((VLOOKUP(EDATE(B35,-12),Database!$F:$AY,MATCH($C$1,Database!$F$1:$AY$1,),))))</f>
        <v>-1.0764714630293267E-2</v>
      </c>
      <c r="D35" s="13">
        <f>((((VLOOKUP(B35,Database!$F:$AY,MATCH($D$1,Database!$F$1:$AY$1,),))))-(((VLOOKUP(EDATE(B35,-12),Database!$F:$AY,MATCH($D$1,Database!$F$1:$AY$1,),)))))/(((VLOOKUP(EDATE(B35,-12),Database!$F:$AY,MATCH($D$1,Database!$F$1:$AY$1,),))))</f>
        <v>2.5991275098436351E-2</v>
      </c>
      <c r="E35" s="13">
        <f>((((VLOOKUP(B35,Database!$F:$AY,MATCH($E$1,Database!$F$1:$AY$1,),))))-(((VLOOKUP(EDATE(B35,-12),Database!$F:$AY,MATCH($E$1,Database!$F$1:$AY$1,),)))))/(((VLOOKUP(EDATE(B35,-12),Database!$F:$AY,MATCH($E$1,Database!$F$1:$AY$1,),))))</f>
        <v>5.2947643422032488E-2</v>
      </c>
      <c r="F35" s="13">
        <f>((((VLOOKUP(B35,Database!$F:$AY,MATCH($F$1,Database!$F$1:$AY$1,),))))-(((VLOOKUP(EDATE(B35,-12),Database!$F:$AY,MATCH($F$1,Database!$F$1:$AY$1,),)))))/(((VLOOKUP(EDATE(B35,-12),Database!$F:$AY,MATCH($F$1,Database!$F$1:$AY$1,),))))</f>
        <v>4.2534727472168715E-2</v>
      </c>
      <c r="G35" s="13">
        <f>((((VLOOKUP(B35,Database!$F:$AY,MATCH($G$1,Database!$F$1:$AY$1,),))))-(((VLOOKUP(EDATE(B35,-12),Database!$F:$AY,MATCH($G$1,Database!$F$1:$AY$1,),)))))/(((VLOOKUP(EDATE(B35,-12),Database!$F:$AY,MATCH($G$1,Database!$F$1:$AY$1,),))))</f>
        <v>-5.1678428154543774E-3</v>
      </c>
      <c r="H35" s="13">
        <f>((((VLOOKUP(B35,Database!$F:$AY,MATCH($H$1,Database!$F$1:$AY$1,),))))-(((VLOOKUP(EDATE(B35,-12),Database!$F:$AY,MATCH($H$1,Database!$F$1:$AY$1,),)))))/(((VLOOKUP(EDATE(B35,-12),Database!$F:$AY,MATCH($H$1,Database!$F$1:$AY$1,),))))</f>
        <v>-2.6759196761325002E-2</v>
      </c>
      <c r="I35" s="13">
        <f>((((VLOOKUP(B35,Database!$F:$AY,MATCH($I$1,Database!$F$1:$AY$1,),))))-(((VLOOKUP(EDATE(B35,-12),Database!$F:$AY,MATCH($I$1,Database!$F$1:$AY$1,),)))))/(((VLOOKUP(EDATE(B35,-12),Database!$F:$AY,MATCH($I$1,Database!$F$1:$AY$1,),))))</f>
        <v>-2.6973998228152669E-2</v>
      </c>
      <c r="J35" s="13">
        <f>((((VLOOKUP(B35,Database!$F:$AY,MATCH($J$1,Database!$F$1:$AY$1,),))))-(((VLOOKUP(EDATE(B35,-12),Database!$F:$AY,MATCH($J$1,Database!$F$1:$AY$1,),)))))/(((VLOOKUP(EDATE(B35,-12),Database!$F:$AY,MATCH($J$1,Database!$F$1:$AY$1,),))))</f>
        <v>-5.7115356314706919E-3</v>
      </c>
      <c r="K35" s="13">
        <f>((((VLOOKUP(B35,Database!$F:$AY,MATCH($K$1,Database!$F$1:$AY$1,),))))-(((VLOOKUP(EDATE(B35,-12),Database!$F:$AY,MATCH($K$1,Database!$F$1:$AY$1,),)))))/(((VLOOKUP(EDATE(B35,-12),Database!$F:$AY,MATCH($K$1,Database!$F$1:$AY$1,),))))</f>
        <v>3.7506492433405877E-3</v>
      </c>
      <c r="L35" s="13">
        <f>((((VLOOKUP(B35,Database!$F:$AY,MATCH($L$1,Database!$F$1:$AY$1,),))))-(((VLOOKUP(EDATE(B35,-12),Database!$F:$AY,MATCH($L$1,Database!$F$1:$AY$1,),)))))/(((VLOOKUP(EDATE(B35,-12),Database!$F:$AY,MATCH($L$1,Database!$F$1:$AY$1,),))))</f>
        <v>6.5592453512521659E-2</v>
      </c>
      <c r="M35" s="13" t="e">
        <f>((((VLOOKUP(B35,Database!$F:$AY,MATCH($M$1,Database!$F$1:$AY$1,),))))-(((VLOOKUP(EDATE(B35,-12),Database!$F:$AY,MATCH($M$1,Database!$F$1:$AY$1,),)))))/(((VLOOKUP(EDATE(B35,-12),Database!$F:$AY,MATCH($M$1,Database!$F$1:$AY$1,),))))</f>
        <v>#DIV/0!</v>
      </c>
      <c r="N35" s="13" t="e">
        <f>((((VLOOKUP(B35,Database!$F:$AY,MATCH($N$1,Database!$F$1:$AY$1,),))))-(((VLOOKUP(EDATE(B35,-12),Database!$F:$AY,MATCH($N$1,Database!$F$1:$AY$1,),)))))/(((VLOOKUP(EDATE(B35,-12),Database!$F:$AY,MATCH($N$1,Database!$F$1:$AY$1,),))))</f>
        <v>#DIV/0!</v>
      </c>
      <c r="O35" s="13">
        <f>((((VLOOKUP(B35,Database!$F:$AY,MATCH($O$1,Database!$F$1:$AY$1,),))))-(((VLOOKUP(EDATE(B35,-12),Database!$F:$AY,MATCH($O$1,Database!$F$1:$AY$1,),)))))/(((VLOOKUP(EDATE(B35,-12),Database!$F:$AY,MATCH($O$1,Database!$F$1:$AY$1,),))))</f>
        <v>-6.5567265869261995E-2</v>
      </c>
      <c r="P35" s="13">
        <f>((((VLOOKUP(B35,Database!$F:$AY,MATCH($P$1,Database!$F$1:$AY$1,),))))-(((VLOOKUP(EDATE(B35,-12),Database!$F:$AY,MATCH($P$1,Database!$F$1:$AY$1,),)))))/(((VLOOKUP(EDATE(B35,-12),Database!$F:$AY,MATCH($P$1,Database!$F$1:$AY$1,),))))</f>
        <v>0.12068146467400023</v>
      </c>
      <c r="Q35" s="13">
        <f>((((VLOOKUP(B35,Database!$F:$AY,MATCH($Q$1,Database!$F$1:$AY$1,),))))-(((VLOOKUP(EDATE(B35,-12),Database!$F:$AY,MATCH($Q$1,Database!$F$1:$AY$1,),)))))/(((VLOOKUP(EDATE(B35,-12),Database!$F:$AY,MATCH($Q$1,Database!$F$1:$AY$1,),))))</f>
        <v>-0.16569780124383973</v>
      </c>
      <c r="R35" s="13">
        <f>((((VLOOKUP(B35,Database!$F:$AY,MATCH($R$1,Database!$F$1:$AY$1,),))))-(((VLOOKUP(EDATE(B35,-12),Database!$F:$AY,MATCH($R$1,Database!$F$1:$AY$1,),)))))/(((VLOOKUP(EDATE(B35,-12),Database!$F:$AY,MATCH($R$1,Database!$F$1:$AY$1,),))))</f>
        <v>4.8535218026742703E-3</v>
      </c>
      <c r="S35" s="13">
        <f>((((VLOOKUP(B35,Database!$F:$AY,MATCH($S$1,Database!$F$1:$AY$1,),))))-(((VLOOKUP(EDATE(B35,-12),Database!$F:$AY,MATCH($S$1,Database!$F$1:$AY$1,),)))))/(((VLOOKUP(EDATE(B35,-12),Database!$F:$AY,MATCH($S$1,Database!$F$1:$AY$1,),))))</f>
        <v>2.7601141580560925E-2</v>
      </c>
      <c r="T35" s="13">
        <f>((((VLOOKUP(B35,Database!$F:$AY,MATCH($T$1,Database!$F$1:$AY$1,),))))-(((VLOOKUP(EDATE(B35,-12),Database!$F:$AY,MATCH($T$1,Database!$F$1:$AY$1,),)))))/(((VLOOKUP(EDATE(B35,-12),Database!$F:$AY,MATCH($T$1,Database!$F$1:$AY$1,),))))</f>
        <v>7.7966162602033956E-2</v>
      </c>
      <c r="U35" s="13" t="e">
        <f>((((VLOOKUP(B35,Database!$F:$AY,MATCH($U$1,Database!$F$1:$AY$1,),))))-(((VLOOKUP(EDATE(B35,-12),Database!$F:$AY,MATCH($U$1,Database!$F$1:$AY$1,),)))))/(((VLOOKUP(EDATE(B35,-12),Database!$F:$AY,MATCH($U$1,Database!$F$1:$AY$1,),))))</f>
        <v>#DIV/0!</v>
      </c>
      <c r="V35" s="13">
        <f>((((VLOOKUP(B35,Database!$F:$AY,MATCH($V$1,Database!$F$1:$AY$1,),))))-(((VLOOKUP(EDATE(B35,-12),Database!$F:$AY,MATCH($V$1,Database!$F$1:$AY$1,),)))))/(((VLOOKUP(EDATE(B35,-12),Database!$F:$AY,MATCH($V$1,Database!$F$1:$AY$1,),))))</f>
        <v>-0.23296012849956729</v>
      </c>
    </row>
    <row r="36" spans="1:22" s="85" customFormat="1" x14ac:dyDescent="0.2">
      <c r="A36" s="44"/>
      <c r="B36" s="91">
        <v>33239</v>
      </c>
      <c r="C36" s="13">
        <f>((((VLOOKUP(B36,Database!$F:$AY,MATCH($C$1,Database!$F$1:$AY$1,),))))-(((VLOOKUP(EDATE(B36,-12),Database!$F:$AY,MATCH($C$1,Database!$F$1:$AY$1,),)))))/(((VLOOKUP(EDATE(B36,-12),Database!$F:$AY,MATCH($C$1,Database!$F$1:$AY$1,),))))</f>
        <v>-8.4766115091038478E-3</v>
      </c>
      <c r="D36" s="13">
        <f>((((VLOOKUP(B36,Database!$F:$AY,MATCH($D$1,Database!$F$1:$AY$1,),))))-(((VLOOKUP(EDATE(B36,-12),Database!$F:$AY,MATCH($D$1,Database!$F$1:$AY$1,),)))))/(((VLOOKUP(EDATE(B36,-12),Database!$F:$AY,MATCH($D$1,Database!$F$1:$AY$1,),))))</f>
        <v>4.4682056231267107E-2</v>
      </c>
      <c r="E36" s="13">
        <f>((((VLOOKUP(B36,Database!$F:$AY,MATCH($E$1,Database!$F$1:$AY$1,),))))-(((VLOOKUP(EDATE(B36,-12),Database!$F:$AY,MATCH($E$1,Database!$F$1:$AY$1,),)))))/(((VLOOKUP(EDATE(B36,-12),Database!$F:$AY,MATCH($E$1,Database!$F$1:$AY$1,),))))</f>
        <v>6.6330899317365535E-2</v>
      </c>
      <c r="F36" s="13">
        <f>((((VLOOKUP(B36,Database!$F:$AY,MATCH($F$1,Database!$F$1:$AY$1,),))))-(((VLOOKUP(EDATE(B36,-12),Database!$F:$AY,MATCH($F$1,Database!$F$1:$AY$1,),)))))/(((VLOOKUP(EDATE(B36,-12),Database!$F:$AY,MATCH($F$1,Database!$F$1:$AY$1,),))))</f>
        <v>7.6343036585893281E-2</v>
      </c>
      <c r="G36" s="13">
        <f>((((VLOOKUP(B36,Database!$F:$AY,MATCH($G$1,Database!$F$1:$AY$1,),))))-(((VLOOKUP(EDATE(B36,-12),Database!$F:$AY,MATCH($G$1,Database!$F$1:$AY$1,),)))))/(((VLOOKUP(EDATE(B36,-12),Database!$F:$AY,MATCH($G$1,Database!$F$1:$AY$1,),))))</f>
        <v>1.9051850657982056E-2</v>
      </c>
      <c r="H36" s="13">
        <f>((((VLOOKUP(B36,Database!$F:$AY,MATCH($H$1,Database!$F$1:$AY$1,),))))-(((VLOOKUP(EDATE(B36,-12),Database!$F:$AY,MATCH($H$1,Database!$F$1:$AY$1,),)))))/(((VLOOKUP(EDATE(B36,-12),Database!$F:$AY,MATCH($H$1,Database!$F$1:$AY$1,),))))</f>
        <v>-1.9018960740163956E-2</v>
      </c>
      <c r="I36" s="13">
        <f>((((VLOOKUP(B36,Database!$F:$AY,MATCH($I$1,Database!$F$1:$AY$1,),))))-(((VLOOKUP(EDATE(B36,-12),Database!$F:$AY,MATCH($I$1,Database!$F$1:$AY$1,),)))))/(((VLOOKUP(EDATE(B36,-12),Database!$F:$AY,MATCH($I$1,Database!$F$1:$AY$1,),))))</f>
        <v>8.1667435030873935E-3</v>
      </c>
      <c r="J36" s="13">
        <f>((((VLOOKUP(B36,Database!$F:$AY,MATCH($J$1,Database!$F$1:$AY$1,),))))-(((VLOOKUP(EDATE(B36,-12),Database!$F:$AY,MATCH($J$1,Database!$F$1:$AY$1,),)))))/(((VLOOKUP(EDATE(B36,-12),Database!$F:$AY,MATCH($J$1,Database!$F$1:$AY$1,),))))</f>
        <v>-8.1785690575819411E-3</v>
      </c>
      <c r="K36" s="13">
        <f>((((VLOOKUP(B36,Database!$F:$AY,MATCH($K$1,Database!$F$1:$AY$1,),))))-(((VLOOKUP(EDATE(B36,-12),Database!$F:$AY,MATCH($K$1,Database!$F$1:$AY$1,),)))))/(((VLOOKUP(EDATE(B36,-12),Database!$F:$AY,MATCH($K$1,Database!$F$1:$AY$1,),))))</f>
        <v>4.3541374703352769E-3</v>
      </c>
      <c r="L36" s="13">
        <f>((((VLOOKUP(B36,Database!$F:$AY,MATCH($L$1,Database!$F$1:$AY$1,),))))-(((VLOOKUP(EDATE(B36,-12),Database!$F:$AY,MATCH($L$1,Database!$F$1:$AY$1,),)))))/(((VLOOKUP(EDATE(B36,-12),Database!$F:$AY,MATCH($L$1,Database!$F$1:$AY$1,),))))</f>
        <v>5.6729647980495616E-2</v>
      </c>
      <c r="M36" s="13" t="e">
        <f>((((VLOOKUP(B36,Database!$F:$AY,MATCH($M$1,Database!$F$1:$AY$1,),))))-(((VLOOKUP(EDATE(B36,-12),Database!$F:$AY,MATCH($M$1,Database!$F$1:$AY$1,),)))))/(((VLOOKUP(EDATE(B36,-12),Database!$F:$AY,MATCH($M$1,Database!$F$1:$AY$1,),))))</f>
        <v>#DIV/0!</v>
      </c>
      <c r="N36" s="13" t="e">
        <f>((((VLOOKUP(B36,Database!$F:$AY,MATCH($N$1,Database!$F$1:$AY$1,),))))-(((VLOOKUP(EDATE(B36,-12),Database!$F:$AY,MATCH($N$1,Database!$F$1:$AY$1,),)))))/(((VLOOKUP(EDATE(B36,-12),Database!$F:$AY,MATCH($N$1,Database!$F$1:$AY$1,),))))</f>
        <v>#DIV/0!</v>
      </c>
      <c r="O36" s="13">
        <f>((((VLOOKUP(B36,Database!$F:$AY,MATCH($O$1,Database!$F$1:$AY$1,),))))-(((VLOOKUP(EDATE(B36,-12),Database!$F:$AY,MATCH($O$1,Database!$F$1:$AY$1,),)))))/(((VLOOKUP(EDATE(B36,-12),Database!$F:$AY,MATCH($O$1,Database!$F$1:$AY$1,),))))</f>
        <v>-3.9189174316603084E-2</v>
      </c>
      <c r="P36" s="13">
        <f>((((VLOOKUP(B36,Database!$F:$AY,MATCH($P$1,Database!$F$1:$AY$1,),))))-(((VLOOKUP(EDATE(B36,-12),Database!$F:$AY,MATCH($P$1,Database!$F$1:$AY$1,),)))))/(((VLOOKUP(EDATE(B36,-12),Database!$F:$AY,MATCH($P$1,Database!$F$1:$AY$1,),))))</f>
        <v>0.12807938342772304</v>
      </c>
      <c r="Q36" s="13">
        <f>((((VLOOKUP(B36,Database!$F:$AY,MATCH($Q$1,Database!$F$1:$AY$1,),))))-(((VLOOKUP(EDATE(B36,-12),Database!$F:$AY,MATCH($Q$1,Database!$F$1:$AY$1,),)))))/(((VLOOKUP(EDATE(B36,-12),Database!$F:$AY,MATCH($Q$1,Database!$F$1:$AY$1,),))))</f>
        <v>-0.16299834000550295</v>
      </c>
      <c r="R36" s="13">
        <f>((((VLOOKUP(B36,Database!$F:$AY,MATCH($R$1,Database!$F$1:$AY$1,),))))-(((VLOOKUP(EDATE(B36,-12),Database!$F:$AY,MATCH($R$1,Database!$F$1:$AY$1,),)))))/(((VLOOKUP(EDATE(B36,-12),Database!$F:$AY,MATCH($R$1,Database!$F$1:$AY$1,),))))</f>
        <v>-2.9807848409717379E-2</v>
      </c>
      <c r="S36" s="13">
        <f>((((VLOOKUP(B36,Database!$F:$AY,MATCH($S$1,Database!$F$1:$AY$1,),))))-(((VLOOKUP(EDATE(B36,-12),Database!$F:$AY,MATCH($S$1,Database!$F$1:$AY$1,),)))))/(((VLOOKUP(EDATE(B36,-12),Database!$F:$AY,MATCH($S$1,Database!$F$1:$AY$1,),))))</f>
        <v>7.0796651339620584E-2</v>
      </c>
      <c r="T36" s="13">
        <f>((((VLOOKUP(B36,Database!$F:$AY,MATCH($T$1,Database!$F$1:$AY$1,),))))-(((VLOOKUP(EDATE(B36,-12),Database!$F:$AY,MATCH($T$1,Database!$F$1:$AY$1,),)))))/(((VLOOKUP(EDATE(B36,-12),Database!$F:$AY,MATCH($T$1,Database!$F$1:$AY$1,),))))</f>
        <v>-7.6923128380925396E-2</v>
      </c>
      <c r="U36" s="13">
        <f>((((VLOOKUP(B36,Database!$F:$AY,MATCH($U$1,Database!$F$1:$AY$1,),))))-(((VLOOKUP(EDATE(B36,-12),Database!$F:$AY,MATCH($U$1,Database!$F$1:$AY$1,),)))))/(((VLOOKUP(EDATE(B36,-12),Database!$F:$AY,MATCH($U$1,Database!$F$1:$AY$1,),))))</f>
        <v>9.157159849297148E-3</v>
      </c>
      <c r="V36" s="13">
        <f>((((VLOOKUP(B36,Database!$F:$AY,MATCH($V$1,Database!$F$1:$AY$1,),))))-(((VLOOKUP(EDATE(B36,-12),Database!$F:$AY,MATCH($V$1,Database!$F$1:$AY$1,),)))))/(((VLOOKUP(EDATE(B36,-12),Database!$F:$AY,MATCH($V$1,Database!$F$1:$AY$1,),))))</f>
        <v>-7.9822564592756162E-2</v>
      </c>
    </row>
    <row r="37" spans="1:22" s="85" customFormat="1" x14ac:dyDescent="0.2">
      <c r="A37" s="44"/>
      <c r="B37" s="91">
        <v>33270</v>
      </c>
      <c r="C37" s="13">
        <f>((((VLOOKUP(B37,Database!$F:$AY,MATCH($C$1,Database!$F$1:$AY$1,),))))-(((VLOOKUP(EDATE(B37,-12),Database!$F:$AY,MATCH($C$1,Database!$F$1:$AY$1,),)))))/(((VLOOKUP(EDATE(B37,-12),Database!$F:$AY,MATCH($C$1,Database!$F$1:$AY$1,),))))</f>
        <v>-2.4957632594738398E-2</v>
      </c>
      <c r="D37" s="13">
        <f>((((VLOOKUP(B37,Database!$F:$AY,MATCH($D$1,Database!$F$1:$AY$1,),))))-(((VLOOKUP(EDATE(B37,-12),Database!$F:$AY,MATCH($D$1,Database!$F$1:$AY$1,),)))))/(((VLOOKUP(EDATE(B37,-12),Database!$F:$AY,MATCH($D$1,Database!$F$1:$AY$1,),))))</f>
        <v>2.1308548122741407E-2</v>
      </c>
      <c r="E37" s="13">
        <f>((((VLOOKUP(B37,Database!$F:$AY,MATCH($E$1,Database!$F$1:$AY$1,),))))-(((VLOOKUP(EDATE(B37,-12),Database!$F:$AY,MATCH($E$1,Database!$F$1:$AY$1,),)))))/(((VLOOKUP(EDATE(B37,-12),Database!$F:$AY,MATCH($E$1,Database!$F$1:$AY$1,),))))</f>
        <v>6.5000364854817388E-2</v>
      </c>
      <c r="F37" s="13">
        <f>((((VLOOKUP(B37,Database!$F:$AY,MATCH($F$1,Database!$F$1:$AY$1,),))))-(((VLOOKUP(EDATE(B37,-12),Database!$F:$AY,MATCH($F$1,Database!$F$1:$AY$1,),)))))/(((VLOOKUP(EDATE(B37,-12),Database!$F:$AY,MATCH($F$1,Database!$F$1:$AY$1,),))))</f>
        <v>6.8308375994936138E-2</v>
      </c>
      <c r="G37" s="13">
        <f>((((VLOOKUP(B37,Database!$F:$AY,MATCH($G$1,Database!$F$1:$AY$1,),))))-(((VLOOKUP(EDATE(B37,-12),Database!$F:$AY,MATCH($G$1,Database!$F$1:$AY$1,),)))))/(((VLOOKUP(EDATE(B37,-12),Database!$F:$AY,MATCH($G$1,Database!$F$1:$AY$1,),))))</f>
        <v>-1.9388033942416333E-3</v>
      </c>
      <c r="H37" s="13">
        <f>((((VLOOKUP(B37,Database!$F:$AY,MATCH($H$1,Database!$F$1:$AY$1,),))))-(((VLOOKUP(EDATE(B37,-12),Database!$F:$AY,MATCH($H$1,Database!$F$1:$AY$1,),)))))/(((VLOOKUP(EDATE(B37,-12),Database!$F:$AY,MATCH($H$1,Database!$F$1:$AY$1,),))))</f>
        <v>-1.40987173169075E-2</v>
      </c>
      <c r="I37" s="13">
        <f>((((VLOOKUP(B37,Database!$F:$AY,MATCH($I$1,Database!$F$1:$AY$1,),))))-(((VLOOKUP(EDATE(B37,-12),Database!$F:$AY,MATCH($I$1,Database!$F$1:$AY$1,),)))))/(((VLOOKUP(EDATE(B37,-12),Database!$F:$AY,MATCH($I$1,Database!$F$1:$AY$1,),))))</f>
        <v>-1.6245933777894989E-2</v>
      </c>
      <c r="J37" s="13">
        <f>((((VLOOKUP(B37,Database!$F:$AY,MATCH($J$1,Database!$F$1:$AY$1,),))))-(((VLOOKUP(EDATE(B37,-12),Database!$F:$AY,MATCH($J$1,Database!$F$1:$AY$1,),)))))/(((VLOOKUP(EDATE(B37,-12),Database!$F:$AY,MATCH($J$1,Database!$F$1:$AY$1,),))))</f>
        <v>1.1082559222584266E-3</v>
      </c>
      <c r="K37" s="13">
        <f>((((VLOOKUP(B37,Database!$F:$AY,MATCH($K$1,Database!$F$1:$AY$1,),))))-(((VLOOKUP(EDATE(B37,-12),Database!$F:$AY,MATCH($K$1,Database!$F$1:$AY$1,),)))))/(((VLOOKUP(EDATE(B37,-12),Database!$F:$AY,MATCH($K$1,Database!$F$1:$AY$1,),))))</f>
        <v>5.8056122352395994E-3</v>
      </c>
      <c r="L37" s="13">
        <f>((((VLOOKUP(B37,Database!$F:$AY,MATCH($L$1,Database!$F$1:$AY$1,),))))-(((VLOOKUP(EDATE(B37,-12),Database!$F:$AY,MATCH($L$1,Database!$F$1:$AY$1,),)))))/(((VLOOKUP(EDATE(B37,-12),Database!$F:$AY,MATCH($L$1,Database!$F$1:$AY$1,),))))</f>
        <v>6.6143440216237512E-2</v>
      </c>
      <c r="M37" s="13" t="e">
        <f>((((VLOOKUP(B37,Database!$F:$AY,MATCH($M$1,Database!$F$1:$AY$1,),))))-(((VLOOKUP(EDATE(B37,-12),Database!$F:$AY,MATCH($M$1,Database!$F$1:$AY$1,),)))))/(((VLOOKUP(EDATE(B37,-12),Database!$F:$AY,MATCH($M$1,Database!$F$1:$AY$1,),))))</f>
        <v>#DIV/0!</v>
      </c>
      <c r="N37" s="13" t="e">
        <f>((((VLOOKUP(B37,Database!$F:$AY,MATCH($N$1,Database!$F$1:$AY$1,),))))-(((VLOOKUP(EDATE(B37,-12),Database!$F:$AY,MATCH($N$1,Database!$F$1:$AY$1,),)))))/(((VLOOKUP(EDATE(B37,-12),Database!$F:$AY,MATCH($N$1,Database!$F$1:$AY$1,),))))</f>
        <v>#DIV/0!</v>
      </c>
      <c r="O37" s="13">
        <f>((((VLOOKUP(B37,Database!$F:$AY,MATCH($O$1,Database!$F$1:$AY$1,),))))-(((VLOOKUP(EDATE(B37,-12),Database!$F:$AY,MATCH($O$1,Database!$F$1:$AY$1,),)))))/(((VLOOKUP(EDATE(B37,-12),Database!$F:$AY,MATCH($O$1,Database!$F$1:$AY$1,),))))</f>
        <v>-6.0770858892346971E-2</v>
      </c>
      <c r="P37" s="13">
        <f>((((VLOOKUP(B37,Database!$F:$AY,MATCH($P$1,Database!$F$1:$AY$1,),))))-(((VLOOKUP(EDATE(B37,-12),Database!$F:$AY,MATCH($P$1,Database!$F$1:$AY$1,),)))))/(((VLOOKUP(EDATE(B37,-12),Database!$F:$AY,MATCH($P$1,Database!$F$1:$AY$1,),))))</f>
        <v>0.10553152826270383</v>
      </c>
      <c r="Q37" s="13">
        <f>((((VLOOKUP(B37,Database!$F:$AY,MATCH($Q$1,Database!$F$1:$AY$1,),))))-(((VLOOKUP(EDATE(B37,-12),Database!$F:$AY,MATCH($Q$1,Database!$F$1:$AY$1,),)))))/(((VLOOKUP(EDATE(B37,-12),Database!$F:$AY,MATCH($Q$1,Database!$F$1:$AY$1,),))))</f>
        <v>-0.16877303377163264</v>
      </c>
      <c r="R37" s="13">
        <f>((((VLOOKUP(B37,Database!$F:$AY,MATCH($R$1,Database!$F$1:$AY$1,),))))-(((VLOOKUP(EDATE(B37,-12),Database!$F:$AY,MATCH($R$1,Database!$F$1:$AY$1,),)))))/(((VLOOKUP(EDATE(B37,-12),Database!$F:$AY,MATCH($R$1,Database!$F$1:$AY$1,),))))</f>
        <v>-5.7332192077071284E-2</v>
      </c>
      <c r="S37" s="13">
        <f>((((VLOOKUP(B37,Database!$F:$AY,MATCH($S$1,Database!$F$1:$AY$1,),))))-(((VLOOKUP(EDATE(B37,-12),Database!$F:$AY,MATCH($S$1,Database!$F$1:$AY$1,),)))))/(((VLOOKUP(EDATE(B37,-12),Database!$F:$AY,MATCH($S$1,Database!$F$1:$AY$1,),))))</f>
        <v>6.0869463384928886E-2</v>
      </c>
      <c r="T37" s="13">
        <f>((((VLOOKUP(B37,Database!$F:$AY,MATCH($T$1,Database!$F$1:$AY$1,),))))-(((VLOOKUP(EDATE(B37,-12),Database!$F:$AY,MATCH($T$1,Database!$F$1:$AY$1,),)))))/(((VLOOKUP(EDATE(B37,-12),Database!$F:$AY,MATCH($T$1,Database!$F$1:$AY$1,),))))</f>
        <v>3.870967325667736E-2</v>
      </c>
      <c r="U37" s="13">
        <f>((((VLOOKUP(B37,Database!$F:$AY,MATCH($U$1,Database!$F$1:$AY$1,),))))-(((VLOOKUP(EDATE(B37,-12),Database!$F:$AY,MATCH($U$1,Database!$F$1:$AY$1,),)))))/(((VLOOKUP(EDATE(B37,-12),Database!$F:$AY,MATCH($U$1,Database!$F$1:$AY$1,),))))</f>
        <v>-2.9179493102906726E-2</v>
      </c>
      <c r="V37" s="13">
        <f>((((VLOOKUP(B37,Database!$F:$AY,MATCH($V$1,Database!$F$1:$AY$1,),))))-(((VLOOKUP(EDATE(B37,-12),Database!$F:$AY,MATCH($V$1,Database!$F$1:$AY$1,),)))))/(((VLOOKUP(EDATE(B37,-12),Database!$F:$AY,MATCH($V$1,Database!$F$1:$AY$1,),))))</f>
        <v>-5.6862202064300413E-2</v>
      </c>
    </row>
    <row r="38" spans="1:22" s="85" customFormat="1" x14ac:dyDescent="0.2">
      <c r="A38" s="44"/>
      <c r="B38" s="91">
        <v>33298</v>
      </c>
      <c r="C38" s="13">
        <f>((((VLOOKUP(B38,Database!$F:$AY,MATCH($C$1,Database!$F$1:$AY$1,),))))-(((VLOOKUP(EDATE(B38,-12),Database!$F:$AY,MATCH($C$1,Database!$F$1:$AY$1,),)))))/(((VLOOKUP(EDATE(B38,-12),Database!$F:$AY,MATCH($C$1,Database!$F$1:$AY$1,),))))</f>
        <v>-3.478975748696108E-2</v>
      </c>
      <c r="D38" s="13">
        <f>((((VLOOKUP(B38,Database!$F:$AY,MATCH($D$1,Database!$F$1:$AY$1,),))))-(((VLOOKUP(EDATE(B38,-12),Database!$F:$AY,MATCH($D$1,Database!$F$1:$AY$1,),)))))/(((VLOOKUP(EDATE(B38,-12),Database!$F:$AY,MATCH($D$1,Database!$F$1:$AY$1,),))))</f>
        <v>1.418881787964755E-2</v>
      </c>
      <c r="E38" s="13">
        <f>((((VLOOKUP(B38,Database!$F:$AY,MATCH($E$1,Database!$F$1:$AY$1,),))))-(((VLOOKUP(EDATE(B38,-12),Database!$F:$AY,MATCH($E$1,Database!$F$1:$AY$1,),)))))/(((VLOOKUP(EDATE(B38,-12),Database!$F:$AY,MATCH($E$1,Database!$F$1:$AY$1,),))))</f>
        <v>3.634598917427697E-2</v>
      </c>
      <c r="F38" s="13">
        <f>((((VLOOKUP(B38,Database!$F:$AY,MATCH($F$1,Database!$F$1:$AY$1,),))))-(((VLOOKUP(EDATE(B38,-12),Database!$F:$AY,MATCH($F$1,Database!$F$1:$AY$1,),)))))/(((VLOOKUP(EDATE(B38,-12),Database!$F:$AY,MATCH($F$1,Database!$F$1:$AY$1,),))))</f>
        <v>5.1135264630639686E-2</v>
      </c>
      <c r="G38" s="13">
        <f>((((VLOOKUP(B38,Database!$F:$AY,MATCH($G$1,Database!$F$1:$AY$1,),))))-(((VLOOKUP(EDATE(B38,-12),Database!$F:$AY,MATCH($G$1,Database!$F$1:$AY$1,),)))))/(((VLOOKUP(EDATE(B38,-12),Database!$F:$AY,MATCH($G$1,Database!$F$1:$AY$1,),))))</f>
        <v>-9.6310202804283929E-3</v>
      </c>
      <c r="H38" s="13">
        <f>((((VLOOKUP(B38,Database!$F:$AY,MATCH($H$1,Database!$F$1:$AY$1,),))))-(((VLOOKUP(EDATE(B38,-12),Database!$F:$AY,MATCH($H$1,Database!$F$1:$AY$1,),)))))/(((VLOOKUP(EDATE(B38,-12),Database!$F:$AY,MATCH($H$1,Database!$F$1:$AY$1,),))))</f>
        <v>-3.6779283988110423E-2</v>
      </c>
      <c r="I38" s="13">
        <f>((((VLOOKUP(B38,Database!$F:$AY,MATCH($I$1,Database!$F$1:$AY$1,),))))-(((VLOOKUP(EDATE(B38,-12),Database!$F:$AY,MATCH($I$1,Database!$F$1:$AY$1,),)))))/(((VLOOKUP(EDATE(B38,-12),Database!$F:$AY,MATCH($I$1,Database!$F$1:$AY$1,),))))</f>
        <v>-2.5179264093130101E-2</v>
      </c>
      <c r="J38" s="13">
        <f>((((VLOOKUP(B38,Database!$F:$AY,MATCH($J$1,Database!$F$1:$AY$1,),))))-(((VLOOKUP(EDATE(B38,-12),Database!$F:$AY,MATCH($J$1,Database!$F$1:$AY$1,),)))))/(((VLOOKUP(EDATE(B38,-12),Database!$F:$AY,MATCH($J$1,Database!$F$1:$AY$1,),))))</f>
        <v>-4.3705964887576859E-2</v>
      </c>
      <c r="K38" s="13">
        <f>((((VLOOKUP(B38,Database!$F:$AY,MATCH($K$1,Database!$F$1:$AY$1,),))))-(((VLOOKUP(EDATE(B38,-12),Database!$F:$AY,MATCH($K$1,Database!$F$1:$AY$1,),)))))/(((VLOOKUP(EDATE(B38,-12),Database!$F:$AY,MATCH($K$1,Database!$F$1:$AY$1,),))))</f>
        <v>-1.2949643356275353E-2</v>
      </c>
      <c r="L38" s="13">
        <f>((((VLOOKUP(B38,Database!$F:$AY,MATCH($L$1,Database!$F$1:$AY$1,),))))-(((VLOOKUP(EDATE(B38,-12),Database!$F:$AY,MATCH($L$1,Database!$F$1:$AY$1,),)))))/(((VLOOKUP(EDATE(B38,-12),Database!$F:$AY,MATCH($L$1,Database!$F$1:$AY$1,),))))</f>
        <v>2.7233292897197541E-2</v>
      </c>
      <c r="M38" s="13" t="e">
        <f>((((VLOOKUP(B38,Database!$F:$AY,MATCH($M$1,Database!$F$1:$AY$1,),))))-(((VLOOKUP(EDATE(B38,-12),Database!$F:$AY,MATCH($M$1,Database!$F$1:$AY$1,),)))))/(((VLOOKUP(EDATE(B38,-12),Database!$F:$AY,MATCH($M$1,Database!$F$1:$AY$1,),))))</f>
        <v>#DIV/0!</v>
      </c>
      <c r="N38" s="13" t="e">
        <f>((((VLOOKUP(B38,Database!$F:$AY,MATCH($N$1,Database!$F$1:$AY$1,),))))-(((VLOOKUP(EDATE(B38,-12),Database!$F:$AY,MATCH($N$1,Database!$F$1:$AY$1,),)))))/(((VLOOKUP(EDATE(B38,-12),Database!$F:$AY,MATCH($N$1,Database!$F$1:$AY$1,),))))</f>
        <v>#DIV/0!</v>
      </c>
      <c r="O38" s="13">
        <f>((((VLOOKUP(B38,Database!$F:$AY,MATCH($O$1,Database!$F$1:$AY$1,),))))-(((VLOOKUP(EDATE(B38,-12),Database!$F:$AY,MATCH($O$1,Database!$F$1:$AY$1,),)))))/(((VLOOKUP(EDATE(B38,-12),Database!$F:$AY,MATCH($O$1,Database!$F$1:$AY$1,),))))</f>
        <v>-6.4685953299427251E-2</v>
      </c>
      <c r="P38" s="13">
        <f>((((VLOOKUP(B38,Database!$F:$AY,MATCH($P$1,Database!$F$1:$AY$1,),))))-(((VLOOKUP(EDATE(B38,-12),Database!$F:$AY,MATCH($P$1,Database!$F$1:$AY$1,),)))))/(((VLOOKUP(EDATE(B38,-12),Database!$F:$AY,MATCH($P$1,Database!$F$1:$AY$1,),))))</f>
        <v>8.012705830456332E-2</v>
      </c>
      <c r="Q38" s="13">
        <f>((((VLOOKUP(B38,Database!$F:$AY,MATCH($Q$1,Database!$F$1:$AY$1,),))))-(((VLOOKUP(EDATE(B38,-12),Database!$F:$AY,MATCH($Q$1,Database!$F$1:$AY$1,),)))))/(((VLOOKUP(EDATE(B38,-12),Database!$F:$AY,MATCH($Q$1,Database!$F$1:$AY$1,),))))</f>
        <v>-0.10970870385233442</v>
      </c>
      <c r="R38" s="13">
        <f>((((VLOOKUP(B38,Database!$F:$AY,MATCH($R$1,Database!$F$1:$AY$1,),))))-(((VLOOKUP(EDATE(B38,-12),Database!$F:$AY,MATCH($R$1,Database!$F$1:$AY$1,),)))))/(((VLOOKUP(EDATE(B38,-12),Database!$F:$AY,MATCH($R$1,Database!$F$1:$AY$1,),))))</f>
        <v>-1.6460133722268774E-2</v>
      </c>
      <c r="S38" s="13">
        <f>((((VLOOKUP(B38,Database!$F:$AY,MATCH($S$1,Database!$F$1:$AY$1,),))))-(((VLOOKUP(EDATE(B38,-12),Database!$F:$AY,MATCH($S$1,Database!$F$1:$AY$1,),)))))/(((VLOOKUP(EDATE(B38,-12),Database!$F:$AY,MATCH($S$1,Database!$F$1:$AY$1,),))))</f>
        <v>-2.1008762964257081E-2</v>
      </c>
      <c r="T38" s="13">
        <f>((((VLOOKUP(B38,Database!$F:$AY,MATCH($T$1,Database!$F$1:$AY$1,),))))-(((VLOOKUP(EDATE(B38,-12),Database!$F:$AY,MATCH($T$1,Database!$F$1:$AY$1,),)))))/(((VLOOKUP(EDATE(B38,-12),Database!$F:$AY,MATCH($T$1,Database!$F$1:$AY$1,),))))</f>
        <v>5.0000109384126711E-2</v>
      </c>
      <c r="U38" s="13">
        <f>((((VLOOKUP(B38,Database!$F:$AY,MATCH($U$1,Database!$F$1:$AY$1,),))))-(((VLOOKUP(EDATE(B38,-12),Database!$F:$AY,MATCH($U$1,Database!$F$1:$AY$1,),)))))/(((VLOOKUP(EDATE(B38,-12),Database!$F:$AY,MATCH($U$1,Database!$F$1:$AY$1,),))))</f>
        <v>-0.16671837411758522</v>
      </c>
      <c r="V38" s="13">
        <f>((((VLOOKUP(B38,Database!$F:$AY,MATCH($V$1,Database!$F$1:$AY$1,),))))-(((VLOOKUP(EDATE(B38,-12),Database!$F:$AY,MATCH($V$1,Database!$F$1:$AY$1,),)))))/(((VLOOKUP(EDATE(B38,-12),Database!$F:$AY,MATCH($V$1,Database!$F$1:$AY$1,),))))</f>
        <v>-7.026343353860319E-2</v>
      </c>
    </row>
    <row r="39" spans="1:22" s="85" customFormat="1" x14ac:dyDescent="0.2">
      <c r="A39" s="44"/>
      <c r="B39" s="91">
        <v>33329</v>
      </c>
      <c r="C39" s="13">
        <f>((((VLOOKUP(B39,Database!$F:$AY,MATCH($C$1,Database!$F$1:$AY$1,),))))-(((VLOOKUP(EDATE(B39,-12),Database!$F:$AY,MATCH($C$1,Database!$F$1:$AY$1,),)))))/(((VLOOKUP(EDATE(B39,-12),Database!$F:$AY,MATCH($C$1,Database!$F$1:$AY$1,),))))</f>
        <v>-3.1414460813579757E-2</v>
      </c>
      <c r="D39" s="13">
        <f>((((VLOOKUP(B39,Database!$F:$AY,MATCH($D$1,Database!$F$1:$AY$1,),))))-(((VLOOKUP(EDATE(B39,-12),Database!$F:$AY,MATCH($D$1,Database!$F$1:$AY$1,),)))))/(((VLOOKUP(EDATE(B39,-12),Database!$F:$AY,MATCH($D$1,Database!$F$1:$AY$1,),))))</f>
        <v>3.8196569118865327E-3</v>
      </c>
      <c r="E39" s="13">
        <f>((((VLOOKUP(B39,Database!$F:$AY,MATCH($E$1,Database!$F$1:$AY$1,),))))-(((VLOOKUP(EDATE(B39,-12),Database!$F:$AY,MATCH($E$1,Database!$F$1:$AY$1,),)))))/(((VLOOKUP(EDATE(B39,-12),Database!$F:$AY,MATCH($E$1,Database!$F$1:$AY$1,),))))</f>
        <v>3.8235316864916685E-2</v>
      </c>
      <c r="F39" s="13">
        <f>((((VLOOKUP(B39,Database!$F:$AY,MATCH($F$1,Database!$F$1:$AY$1,),))))-(((VLOOKUP(EDATE(B39,-12),Database!$F:$AY,MATCH($F$1,Database!$F$1:$AY$1,),)))))/(((VLOOKUP(EDATE(B39,-12),Database!$F:$AY,MATCH($F$1,Database!$F$1:$AY$1,),))))</f>
        <v>6.1084024747568549E-2</v>
      </c>
      <c r="G39" s="13">
        <f>((((VLOOKUP(B39,Database!$F:$AY,MATCH($G$1,Database!$F$1:$AY$1,),))))-(((VLOOKUP(EDATE(B39,-12),Database!$F:$AY,MATCH($G$1,Database!$F$1:$AY$1,),)))))/(((VLOOKUP(EDATE(B39,-12),Database!$F:$AY,MATCH($G$1,Database!$F$1:$AY$1,),))))</f>
        <v>-1.4645689455299612E-2</v>
      </c>
      <c r="H39" s="13">
        <f>((((VLOOKUP(B39,Database!$F:$AY,MATCH($H$1,Database!$F$1:$AY$1,),))))-(((VLOOKUP(EDATE(B39,-12),Database!$F:$AY,MATCH($H$1,Database!$F$1:$AY$1,),)))))/(((VLOOKUP(EDATE(B39,-12),Database!$F:$AY,MATCH($H$1,Database!$F$1:$AY$1,),))))</f>
        <v>-5.6268537617856856E-2</v>
      </c>
      <c r="I39" s="13">
        <f>((((VLOOKUP(B39,Database!$F:$AY,MATCH($I$1,Database!$F$1:$AY$1,),))))-(((VLOOKUP(EDATE(B39,-12),Database!$F:$AY,MATCH($I$1,Database!$F$1:$AY$1,),)))))/(((VLOOKUP(EDATE(B39,-12),Database!$F:$AY,MATCH($I$1,Database!$F$1:$AY$1,),))))</f>
        <v>-4.1926761096148062E-2</v>
      </c>
      <c r="J39" s="13">
        <f>((((VLOOKUP(B39,Database!$F:$AY,MATCH($J$1,Database!$F$1:$AY$1,),))))-(((VLOOKUP(EDATE(B39,-12),Database!$F:$AY,MATCH($J$1,Database!$F$1:$AY$1,),)))))/(((VLOOKUP(EDATE(B39,-12),Database!$F:$AY,MATCH($J$1,Database!$F$1:$AY$1,),))))</f>
        <v>1.384660572598932E-2</v>
      </c>
      <c r="K39" s="13">
        <f>((((VLOOKUP(B39,Database!$F:$AY,MATCH($K$1,Database!$F$1:$AY$1,),))))-(((VLOOKUP(EDATE(B39,-12),Database!$F:$AY,MATCH($K$1,Database!$F$1:$AY$1,),)))))/(((VLOOKUP(EDATE(B39,-12),Database!$F:$AY,MATCH($K$1,Database!$F$1:$AY$1,),))))</f>
        <v>-1.5873065664393261E-2</v>
      </c>
      <c r="L39" s="13">
        <f>((((VLOOKUP(B39,Database!$F:$AY,MATCH($L$1,Database!$F$1:$AY$1,),))))-(((VLOOKUP(EDATE(B39,-12),Database!$F:$AY,MATCH($L$1,Database!$F$1:$AY$1,),)))))/(((VLOOKUP(EDATE(B39,-12),Database!$F:$AY,MATCH($L$1,Database!$F$1:$AY$1,),))))</f>
        <v>3.8461509230856526E-2</v>
      </c>
      <c r="M39" s="13" t="e">
        <f>((((VLOOKUP(B39,Database!$F:$AY,MATCH($M$1,Database!$F$1:$AY$1,),))))-(((VLOOKUP(EDATE(B39,-12),Database!$F:$AY,MATCH($M$1,Database!$F$1:$AY$1,),)))))/(((VLOOKUP(EDATE(B39,-12),Database!$F:$AY,MATCH($M$1,Database!$F$1:$AY$1,),))))</f>
        <v>#DIV/0!</v>
      </c>
      <c r="N39" s="13" t="e">
        <f>((((VLOOKUP(B39,Database!$F:$AY,MATCH($N$1,Database!$F$1:$AY$1,),))))-(((VLOOKUP(EDATE(B39,-12),Database!$F:$AY,MATCH($N$1,Database!$F$1:$AY$1,),)))))/(((VLOOKUP(EDATE(B39,-12),Database!$F:$AY,MATCH($N$1,Database!$F$1:$AY$1,),))))</f>
        <v>#DIV/0!</v>
      </c>
      <c r="O39" s="13">
        <f>((((VLOOKUP(B39,Database!$F:$AY,MATCH($O$1,Database!$F$1:$AY$1,),))))-(((VLOOKUP(EDATE(B39,-12),Database!$F:$AY,MATCH($O$1,Database!$F$1:$AY$1,),)))))/(((VLOOKUP(EDATE(B39,-12),Database!$F:$AY,MATCH($O$1,Database!$F$1:$AY$1,),))))</f>
        <v>-5.69374663475423E-2</v>
      </c>
      <c r="P39" s="13">
        <f>((((VLOOKUP(B39,Database!$F:$AY,MATCH($P$1,Database!$F$1:$AY$1,),))))-(((VLOOKUP(EDATE(B39,-12),Database!$F:$AY,MATCH($P$1,Database!$F$1:$AY$1,),)))))/(((VLOOKUP(EDATE(B39,-12),Database!$F:$AY,MATCH($P$1,Database!$F$1:$AY$1,),))))</f>
        <v>9.6463912565433865E-2</v>
      </c>
      <c r="Q39" s="13">
        <f>((((VLOOKUP(B39,Database!$F:$AY,MATCH($Q$1,Database!$F$1:$AY$1,),))))-(((VLOOKUP(EDATE(B39,-12),Database!$F:$AY,MATCH($Q$1,Database!$F$1:$AY$1,),)))))/(((VLOOKUP(EDATE(B39,-12),Database!$F:$AY,MATCH($Q$1,Database!$F$1:$AY$1,),))))</f>
        <v>0.24710377839492451</v>
      </c>
      <c r="R39" s="13">
        <f>((((VLOOKUP(B39,Database!$F:$AY,MATCH($R$1,Database!$F$1:$AY$1,),))))-(((VLOOKUP(EDATE(B39,-12),Database!$F:$AY,MATCH($R$1,Database!$F$1:$AY$1,),)))))/(((VLOOKUP(EDATE(B39,-12),Database!$F:$AY,MATCH($R$1,Database!$F$1:$AY$1,),))))</f>
        <v>6.6523254285584532E-5</v>
      </c>
      <c r="S39" s="13">
        <f>((((VLOOKUP(B39,Database!$F:$AY,MATCH($S$1,Database!$F$1:$AY$1,),))))-(((VLOOKUP(EDATE(B39,-12),Database!$F:$AY,MATCH($S$1,Database!$F$1:$AY$1,),)))))/(((VLOOKUP(EDATE(B39,-12),Database!$F:$AY,MATCH($S$1,Database!$F$1:$AY$1,),))))</f>
        <v>6.6666317513450521E-2</v>
      </c>
      <c r="T39" s="13">
        <f>((((VLOOKUP(B39,Database!$F:$AY,MATCH($T$1,Database!$F$1:$AY$1,),))))-(((VLOOKUP(EDATE(B39,-12),Database!$F:$AY,MATCH($T$1,Database!$F$1:$AY$1,),)))))/(((VLOOKUP(EDATE(B39,-12),Database!$F:$AY,MATCH($T$1,Database!$F$1:$AY$1,),))))</f>
        <v>0</v>
      </c>
      <c r="U39" s="13">
        <f>((((VLOOKUP(B39,Database!$F:$AY,MATCH($U$1,Database!$F$1:$AY$1,),))))-(((VLOOKUP(EDATE(B39,-12),Database!$F:$AY,MATCH($U$1,Database!$F$1:$AY$1,),)))))/(((VLOOKUP(EDATE(B39,-12),Database!$F:$AY,MATCH($U$1,Database!$F$1:$AY$1,),))))</f>
        <v>-0.14770353298651145</v>
      </c>
      <c r="V39" s="13">
        <f>((((VLOOKUP(B39,Database!$F:$AY,MATCH($V$1,Database!$F$1:$AY$1,),))))-(((VLOOKUP(EDATE(B39,-12),Database!$F:$AY,MATCH($V$1,Database!$F$1:$AY$1,),)))))/(((VLOOKUP(EDATE(B39,-12),Database!$F:$AY,MATCH($V$1,Database!$F$1:$AY$1,),))))</f>
        <v>-0.11274624981692936</v>
      </c>
    </row>
    <row r="40" spans="1:22" s="85" customFormat="1" x14ac:dyDescent="0.2">
      <c r="A40" s="44"/>
      <c r="B40" s="91">
        <v>33359</v>
      </c>
      <c r="C40" s="13">
        <f>((((VLOOKUP(B40,Database!$F:$AY,MATCH($C$1,Database!$F$1:$AY$1,),))))-(((VLOOKUP(EDATE(B40,-12),Database!$F:$AY,MATCH($C$1,Database!$F$1:$AY$1,),)))))/(((VLOOKUP(EDATE(B40,-12),Database!$F:$AY,MATCH($C$1,Database!$F$1:$AY$1,),))))</f>
        <v>-2.3800639632995106E-2</v>
      </c>
      <c r="D40" s="13">
        <f>((((VLOOKUP(B40,Database!$F:$AY,MATCH($D$1,Database!$F$1:$AY$1,),))))-(((VLOOKUP(EDATE(B40,-12),Database!$F:$AY,MATCH($D$1,Database!$F$1:$AY$1,),)))))/(((VLOOKUP(EDATE(B40,-12),Database!$F:$AY,MATCH($D$1,Database!$F$1:$AY$1,),))))</f>
        <v>2.8070757140369442E-3</v>
      </c>
      <c r="E40" s="13">
        <f>((((VLOOKUP(B40,Database!$F:$AY,MATCH($E$1,Database!$F$1:$AY$1,),))))-(((VLOOKUP(EDATE(B40,-12),Database!$F:$AY,MATCH($E$1,Database!$F$1:$AY$1,),)))))/(((VLOOKUP(EDATE(B40,-12),Database!$F:$AY,MATCH($E$1,Database!$F$1:$AY$1,),))))</f>
        <v>4.1869142367182095E-2</v>
      </c>
      <c r="F40" s="13">
        <f>((((VLOOKUP(B40,Database!$F:$AY,MATCH($F$1,Database!$F$1:$AY$1,),))))-(((VLOOKUP(EDATE(B40,-12),Database!$F:$AY,MATCH($F$1,Database!$F$1:$AY$1,),)))))/(((VLOOKUP(EDATE(B40,-12),Database!$F:$AY,MATCH($F$1,Database!$F$1:$AY$1,),))))</f>
        <v>1.798251872645884E-2</v>
      </c>
      <c r="G40" s="13">
        <f>((((VLOOKUP(B40,Database!$F:$AY,MATCH($G$1,Database!$F$1:$AY$1,),))))-(((VLOOKUP(EDATE(B40,-12),Database!$F:$AY,MATCH($G$1,Database!$F$1:$AY$1,),)))))/(((VLOOKUP(EDATE(B40,-12),Database!$F:$AY,MATCH($G$1,Database!$F$1:$AY$1,),))))</f>
        <v>-1.6110057288747943E-2</v>
      </c>
      <c r="H40" s="13">
        <f>((((VLOOKUP(B40,Database!$F:$AY,MATCH($H$1,Database!$F$1:$AY$1,),))))-(((VLOOKUP(EDATE(B40,-12),Database!$F:$AY,MATCH($H$1,Database!$F$1:$AY$1,),)))))/(((VLOOKUP(EDATE(B40,-12),Database!$F:$AY,MATCH($H$1,Database!$F$1:$AY$1,),))))</f>
        <v>-3.9721976366384401E-2</v>
      </c>
      <c r="I40" s="13">
        <f>((((VLOOKUP(B40,Database!$F:$AY,MATCH($I$1,Database!$F$1:$AY$1,),))))-(((VLOOKUP(EDATE(B40,-12),Database!$F:$AY,MATCH($I$1,Database!$F$1:$AY$1,),)))))/(((VLOOKUP(EDATE(B40,-12),Database!$F:$AY,MATCH($I$1,Database!$F$1:$AY$1,),))))</f>
        <v>-1.89537398412143E-2</v>
      </c>
      <c r="J40" s="13">
        <f>((((VLOOKUP(B40,Database!$F:$AY,MATCH($J$1,Database!$F$1:$AY$1,),))))-(((VLOOKUP(EDATE(B40,-12),Database!$F:$AY,MATCH($J$1,Database!$F$1:$AY$1,),)))))/(((VLOOKUP(EDATE(B40,-12),Database!$F:$AY,MATCH($J$1,Database!$F$1:$AY$1,),))))</f>
        <v>-2.5791136622220504E-2</v>
      </c>
      <c r="K40" s="13">
        <f>((((VLOOKUP(B40,Database!$F:$AY,MATCH($K$1,Database!$F$1:$AY$1,),))))-(((VLOOKUP(EDATE(B40,-12),Database!$F:$AY,MATCH($K$1,Database!$F$1:$AY$1,),)))))/(((VLOOKUP(EDATE(B40,-12),Database!$F:$AY,MATCH($K$1,Database!$F$1:$AY$1,),))))</f>
        <v>-2.4460484842108395E-2</v>
      </c>
      <c r="L40" s="13">
        <f>((((VLOOKUP(B40,Database!$F:$AY,MATCH($L$1,Database!$F$1:$AY$1,),))))-(((VLOOKUP(EDATE(B40,-12),Database!$F:$AY,MATCH($L$1,Database!$F$1:$AY$1,),)))))/(((VLOOKUP(EDATE(B40,-12),Database!$F:$AY,MATCH($L$1,Database!$F$1:$AY$1,),))))</f>
        <v>3.0335749455413553E-2</v>
      </c>
      <c r="M40" s="13" t="e">
        <f>((((VLOOKUP(B40,Database!$F:$AY,MATCH($M$1,Database!$F$1:$AY$1,),))))-(((VLOOKUP(EDATE(B40,-12),Database!$F:$AY,MATCH($M$1,Database!$F$1:$AY$1,),)))))/(((VLOOKUP(EDATE(B40,-12),Database!$F:$AY,MATCH($M$1,Database!$F$1:$AY$1,),))))</f>
        <v>#DIV/0!</v>
      </c>
      <c r="N40" s="13" t="e">
        <f>((((VLOOKUP(B40,Database!$F:$AY,MATCH($N$1,Database!$F$1:$AY$1,),))))-(((VLOOKUP(EDATE(B40,-12),Database!$F:$AY,MATCH($N$1,Database!$F$1:$AY$1,),)))))/(((VLOOKUP(EDATE(B40,-12),Database!$F:$AY,MATCH($N$1,Database!$F$1:$AY$1,),))))</f>
        <v>#DIV/0!</v>
      </c>
      <c r="O40" s="13">
        <f>((((VLOOKUP(B40,Database!$F:$AY,MATCH($O$1,Database!$F$1:$AY$1,),))))-(((VLOOKUP(EDATE(B40,-12),Database!$F:$AY,MATCH($O$1,Database!$F$1:$AY$1,),)))))/(((VLOOKUP(EDATE(B40,-12),Database!$F:$AY,MATCH($O$1,Database!$F$1:$AY$1,),))))</f>
        <v>-5.1885046849557415E-2</v>
      </c>
      <c r="P40" s="13">
        <f>((((VLOOKUP(B40,Database!$F:$AY,MATCH($P$1,Database!$F$1:$AY$1,),))))-(((VLOOKUP(EDATE(B40,-12),Database!$F:$AY,MATCH($P$1,Database!$F$1:$AY$1,),)))))/(((VLOOKUP(EDATE(B40,-12),Database!$F:$AY,MATCH($P$1,Database!$F$1:$AY$1,),))))</f>
        <v>0.10795304468217758</v>
      </c>
      <c r="Q40" s="13">
        <f>((((VLOOKUP(B40,Database!$F:$AY,MATCH($Q$1,Database!$F$1:$AY$1,),))))-(((VLOOKUP(EDATE(B40,-12),Database!$F:$AY,MATCH($Q$1,Database!$F$1:$AY$1,),)))))/(((VLOOKUP(EDATE(B40,-12),Database!$F:$AY,MATCH($Q$1,Database!$F$1:$AY$1,),))))</f>
        <v>1.3587727368025899E-2</v>
      </c>
      <c r="R40" s="13">
        <f>((((VLOOKUP(B40,Database!$F:$AY,MATCH($R$1,Database!$F$1:$AY$1,),))))-(((VLOOKUP(EDATE(B40,-12),Database!$F:$AY,MATCH($R$1,Database!$F$1:$AY$1,),)))))/(((VLOOKUP(EDATE(B40,-12),Database!$F:$AY,MATCH($R$1,Database!$F$1:$AY$1,),))))</f>
        <v>-4.004901228109517E-2</v>
      </c>
      <c r="S40" s="13">
        <f>((((VLOOKUP(B40,Database!$F:$AY,MATCH($S$1,Database!$F$1:$AY$1,),))))-(((VLOOKUP(EDATE(B40,-12),Database!$F:$AY,MATCH($S$1,Database!$F$1:$AY$1,),)))))/(((VLOOKUP(EDATE(B40,-12),Database!$F:$AY,MATCH($S$1,Database!$F$1:$AY$1,),))))</f>
        <v>1.2931112673593348E-2</v>
      </c>
      <c r="T40" s="13">
        <f>((((VLOOKUP(B40,Database!$F:$AY,MATCH($T$1,Database!$F$1:$AY$1,),))))-(((VLOOKUP(EDATE(B40,-12),Database!$F:$AY,MATCH($T$1,Database!$F$1:$AY$1,),)))))/(((VLOOKUP(EDATE(B40,-12),Database!$F:$AY,MATCH($T$1,Database!$F$1:$AY$1,),))))</f>
        <v>0.10855245518788244</v>
      </c>
      <c r="U40" s="13">
        <f>((((VLOOKUP(B40,Database!$F:$AY,MATCH($U$1,Database!$F$1:$AY$1,),))))-(((VLOOKUP(EDATE(B40,-12),Database!$F:$AY,MATCH($U$1,Database!$F$1:$AY$1,),)))))/(((VLOOKUP(EDATE(B40,-12),Database!$F:$AY,MATCH($U$1,Database!$F$1:$AY$1,),))))</f>
        <v>-0.21799594189619442</v>
      </c>
      <c r="V40" s="13">
        <f>((((VLOOKUP(B40,Database!$F:$AY,MATCH($V$1,Database!$F$1:$AY$1,),))))-(((VLOOKUP(EDATE(B40,-12),Database!$F:$AY,MATCH($V$1,Database!$F$1:$AY$1,),)))))/(((VLOOKUP(EDATE(B40,-12),Database!$F:$AY,MATCH($V$1,Database!$F$1:$AY$1,),))))</f>
        <v>-0.17443781272399411</v>
      </c>
    </row>
    <row r="41" spans="1:22" s="85" customFormat="1" x14ac:dyDescent="0.2">
      <c r="A41" s="44"/>
      <c r="B41" s="91">
        <v>33390</v>
      </c>
      <c r="C41" s="13">
        <f>((((VLOOKUP(B41,Database!$F:$AY,MATCH($C$1,Database!$F$1:$AY$1,),))))-(((VLOOKUP(EDATE(B41,-12),Database!$F:$AY,MATCH($C$1,Database!$F$1:$AY$1,),)))))/(((VLOOKUP(EDATE(B41,-12),Database!$F:$AY,MATCH($C$1,Database!$F$1:$AY$1,),))))</f>
        <v>-1.8062345242805155E-2</v>
      </c>
      <c r="D41" s="13">
        <f>((((VLOOKUP(B41,Database!$F:$AY,MATCH($D$1,Database!$F$1:$AY$1,),))))-(((VLOOKUP(EDATE(B41,-12),Database!$F:$AY,MATCH($D$1,Database!$F$1:$AY$1,),)))))/(((VLOOKUP(EDATE(B41,-12),Database!$F:$AY,MATCH($D$1,Database!$F$1:$AY$1,),))))</f>
        <v>2.9467331399158324E-2</v>
      </c>
      <c r="E41" s="13">
        <f>((((VLOOKUP(B41,Database!$F:$AY,MATCH($E$1,Database!$F$1:$AY$1,),))))-(((VLOOKUP(EDATE(B41,-12),Database!$F:$AY,MATCH($E$1,Database!$F$1:$AY$1,),)))))/(((VLOOKUP(EDATE(B41,-12),Database!$F:$AY,MATCH($E$1,Database!$F$1:$AY$1,),))))</f>
        <v>8.7379430841770279E-3</v>
      </c>
      <c r="F41" s="13">
        <f>((((VLOOKUP(B41,Database!$F:$AY,MATCH($F$1,Database!$F$1:$AY$1,),))))-(((VLOOKUP(EDATE(B41,-12),Database!$F:$AY,MATCH($F$1,Database!$F$1:$AY$1,),)))))/(((VLOOKUP(EDATE(B41,-12),Database!$F:$AY,MATCH($F$1,Database!$F$1:$AY$1,),))))</f>
        <v>6.2484440398136602E-2</v>
      </c>
      <c r="G41" s="13">
        <f>((((VLOOKUP(B41,Database!$F:$AY,MATCH($G$1,Database!$F$1:$AY$1,),))))-(((VLOOKUP(EDATE(B41,-12),Database!$F:$AY,MATCH($G$1,Database!$F$1:$AY$1,),)))))/(((VLOOKUP(EDATE(B41,-12),Database!$F:$AY,MATCH($G$1,Database!$F$1:$AY$1,),))))</f>
        <v>2.7256642879976136E-3</v>
      </c>
      <c r="H41" s="13">
        <f>((((VLOOKUP(B41,Database!$F:$AY,MATCH($H$1,Database!$F$1:$AY$1,),))))-(((VLOOKUP(EDATE(B41,-12),Database!$F:$AY,MATCH($H$1,Database!$F$1:$AY$1,),)))))/(((VLOOKUP(EDATE(B41,-12),Database!$F:$AY,MATCH($H$1,Database!$F$1:$AY$1,),))))</f>
        <v>-4.990214028916462E-2</v>
      </c>
      <c r="I41" s="13">
        <f>((((VLOOKUP(B41,Database!$F:$AY,MATCH($I$1,Database!$F$1:$AY$1,),))))-(((VLOOKUP(EDATE(B41,-12),Database!$F:$AY,MATCH($I$1,Database!$F$1:$AY$1,),)))))/(((VLOOKUP(EDATE(B41,-12),Database!$F:$AY,MATCH($I$1,Database!$F$1:$AY$1,),))))</f>
        <v>-5.4699159182757581E-3</v>
      </c>
      <c r="J41" s="13">
        <f>((((VLOOKUP(B41,Database!$F:$AY,MATCH($J$1,Database!$F$1:$AY$1,),))))-(((VLOOKUP(EDATE(B41,-12),Database!$F:$AY,MATCH($J$1,Database!$F$1:$AY$1,),)))))/(((VLOOKUP(EDATE(B41,-12),Database!$F:$AY,MATCH($J$1,Database!$F$1:$AY$1,),))))</f>
        <v>-2.0840846652065075E-2</v>
      </c>
      <c r="K41" s="13">
        <f>((((VLOOKUP(B41,Database!$F:$AY,MATCH($K$1,Database!$F$1:$AY$1,),))))-(((VLOOKUP(EDATE(B41,-12),Database!$F:$AY,MATCH($K$1,Database!$F$1:$AY$1,),)))))/(((VLOOKUP(EDATE(B41,-12),Database!$F:$AY,MATCH($K$1,Database!$F$1:$AY$1,),))))</f>
        <v>-2.8735545696539567E-2</v>
      </c>
      <c r="L41" s="13">
        <f>((((VLOOKUP(B41,Database!$F:$AY,MATCH($L$1,Database!$F$1:$AY$1,),))))-(((VLOOKUP(EDATE(B41,-12),Database!$F:$AY,MATCH($L$1,Database!$F$1:$AY$1,),)))))/(((VLOOKUP(EDATE(B41,-12),Database!$F:$AY,MATCH($L$1,Database!$F$1:$AY$1,),))))</f>
        <v>1.7297276928246209E-2</v>
      </c>
      <c r="M41" s="13" t="e">
        <f>((((VLOOKUP(B41,Database!$F:$AY,MATCH($M$1,Database!$F$1:$AY$1,),))))-(((VLOOKUP(EDATE(B41,-12),Database!$F:$AY,MATCH($M$1,Database!$F$1:$AY$1,),)))))/(((VLOOKUP(EDATE(B41,-12),Database!$F:$AY,MATCH($M$1,Database!$F$1:$AY$1,),))))</f>
        <v>#DIV/0!</v>
      </c>
      <c r="N41" s="13" t="e">
        <f>((((VLOOKUP(B41,Database!$F:$AY,MATCH($N$1,Database!$F$1:$AY$1,),))))-(((VLOOKUP(EDATE(B41,-12),Database!$F:$AY,MATCH($N$1,Database!$F$1:$AY$1,),)))))/(((VLOOKUP(EDATE(B41,-12),Database!$F:$AY,MATCH($N$1,Database!$F$1:$AY$1,),))))</f>
        <v>#DIV/0!</v>
      </c>
      <c r="O41" s="13">
        <f>((((VLOOKUP(B41,Database!$F:$AY,MATCH($O$1,Database!$F$1:$AY$1,),))))-(((VLOOKUP(EDATE(B41,-12),Database!$F:$AY,MATCH($O$1,Database!$F$1:$AY$1,),)))))/(((VLOOKUP(EDATE(B41,-12),Database!$F:$AY,MATCH($O$1,Database!$F$1:$AY$1,),))))</f>
        <v>-4.8399200265906279E-2</v>
      </c>
      <c r="P41" s="13">
        <f>((((VLOOKUP(B41,Database!$F:$AY,MATCH($P$1,Database!$F$1:$AY$1,),))))-(((VLOOKUP(EDATE(B41,-12),Database!$F:$AY,MATCH($P$1,Database!$F$1:$AY$1,),)))))/(((VLOOKUP(EDATE(B41,-12),Database!$F:$AY,MATCH($P$1,Database!$F$1:$AY$1,),))))</f>
        <v>8.3209127548064615E-2</v>
      </c>
      <c r="Q41" s="13">
        <f>((((VLOOKUP(B41,Database!$F:$AY,MATCH($Q$1,Database!$F$1:$AY$1,),))))-(((VLOOKUP(EDATE(B41,-12),Database!$F:$AY,MATCH($Q$1,Database!$F$1:$AY$1,),)))))/(((VLOOKUP(EDATE(B41,-12),Database!$F:$AY,MATCH($Q$1,Database!$F$1:$AY$1,),))))</f>
        <v>6.0676452437864334E-2</v>
      </c>
      <c r="R41" s="13">
        <f>((((VLOOKUP(B41,Database!$F:$AY,MATCH($R$1,Database!$F$1:$AY$1,),))))-(((VLOOKUP(EDATE(B41,-12),Database!$F:$AY,MATCH($R$1,Database!$F$1:$AY$1,),)))))/(((VLOOKUP(EDATE(B41,-12),Database!$F:$AY,MATCH($R$1,Database!$F$1:$AY$1,),))))</f>
        <v>-3.5986140051777429E-2</v>
      </c>
      <c r="S41" s="13">
        <f>((((VLOOKUP(B41,Database!$F:$AY,MATCH($S$1,Database!$F$1:$AY$1,),))))-(((VLOOKUP(EDATE(B41,-12),Database!$F:$AY,MATCH($S$1,Database!$F$1:$AY$1,),)))))/(((VLOOKUP(EDATE(B41,-12),Database!$F:$AY,MATCH($S$1,Database!$F$1:$AY$1,),))))</f>
        <v>2.0920160227536077E-2</v>
      </c>
      <c r="T41" s="13">
        <f>((((VLOOKUP(B41,Database!$F:$AY,MATCH($T$1,Database!$F$1:$AY$1,),))))-(((VLOOKUP(EDATE(B41,-12),Database!$F:$AY,MATCH($T$1,Database!$F$1:$AY$1,),)))))/(((VLOOKUP(EDATE(B41,-12),Database!$F:$AY,MATCH($T$1,Database!$F$1:$AY$1,),))))</f>
        <v>9.6155448851507324E-3</v>
      </c>
      <c r="U41" s="13">
        <f>((((VLOOKUP(B41,Database!$F:$AY,MATCH($U$1,Database!$F$1:$AY$1,),))))-(((VLOOKUP(EDATE(B41,-12),Database!$F:$AY,MATCH($U$1,Database!$F$1:$AY$1,),)))))/(((VLOOKUP(EDATE(B41,-12),Database!$F:$AY,MATCH($U$1,Database!$F$1:$AY$1,),))))</f>
        <v>-0.24821341792455365</v>
      </c>
      <c r="V41" s="13">
        <f>((((VLOOKUP(B41,Database!$F:$AY,MATCH($V$1,Database!$F$1:$AY$1,),))))-(((VLOOKUP(EDATE(B41,-12),Database!$F:$AY,MATCH($V$1,Database!$F$1:$AY$1,),)))))/(((VLOOKUP(EDATE(B41,-12),Database!$F:$AY,MATCH($V$1,Database!$F$1:$AY$1,),))))</f>
        <v>-0.13706872142637827</v>
      </c>
    </row>
    <row r="42" spans="1:22" s="85" customFormat="1" x14ac:dyDescent="0.2">
      <c r="A42" s="44"/>
      <c r="B42" s="91">
        <v>33420</v>
      </c>
      <c r="C42" s="13">
        <f>((((VLOOKUP(B42,Database!$F:$AY,MATCH($C$1,Database!$F$1:$AY$1,),))))-(((VLOOKUP(EDATE(B42,-12),Database!$F:$AY,MATCH($C$1,Database!$F$1:$AY$1,),)))))/(((VLOOKUP(EDATE(B42,-12),Database!$F:$AY,MATCH($C$1,Database!$F$1:$AY$1,),))))</f>
        <v>-1.5618363998518108E-2</v>
      </c>
      <c r="D42" s="13">
        <f>((((VLOOKUP(B42,Database!$F:$AY,MATCH($D$1,Database!$F$1:$AY$1,),))))-(((VLOOKUP(EDATE(B42,-12),Database!$F:$AY,MATCH($D$1,Database!$F$1:$AY$1,),)))))/(((VLOOKUP(EDATE(B42,-12),Database!$F:$AY,MATCH($D$1,Database!$F$1:$AY$1,),))))</f>
        <v>5.4447443007769308E-3</v>
      </c>
      <c r="E42" s="13">
        <f>((((VLOOKUP(B42,Database!$F:$AY,MATCH($E$1,Database!$F$1:$AY$1,),))))-(((VLOOKUP(EDATE(B42,-12),Database!$F:$AY,MATCH($E$1,Database!$F$1:$AY$1,),)))))/(((VLOOKUP(EDATE(B42,-12),Database!$F:$AY,MATCH($E$1,Database!$F$1:$AY$1,),))))</f>
        <v>2.2136341031004474E-2</v>
      </c>
      <c r="F42" s="13">
        <f>((((VLOOKUP(B42,Database!$F:$AY,MATCH($F$1,Database!$F$1:$AY$1,),))))-(((VLOOKUP(EDATE(B42,-12),Database!$F:$AY,MATCH($F$1,Database!$F$1:$AY$1,),)))))/(((VLOOKUP(EDATE(B42,-12),Database!$F:$AY,MATCH($F$1,Database!$F$1:$AY$1,),))))</f>
        <v>2.2237445306774638E-2</v>
      </c>
      <c r="G42" s="13">
        <f>((((VLOOKUP(B42,Database!$F:$AY,MATCH($G$1,Database!$F$1:$AY$1,),))))-(((VLOOKUP(EDATE(B42,-12),Database!$F:$AY,MATCH($G$1,Database!$F$1:$AY$1,),)))))/(((VLOOKUP(EDATE(B42,-12),Database!$F:$AY,MATCH($G$1,Database!$F$1:$AY$1,),))))</f>
        <v>-1.4816306129287951E-2</v>
      </c>
      <c r="H42" s="13">
        <f>((((VLOOKUP(B42,Database!$F:$AY,MATCH($H$1,Database!$F$1:$AY$1,),))))-(((VLOOKUP(EDATE(B42,-12),Database!$F:$AY,MATCH($H$1,Database!$F$1:$AY$1,),)))))/(((VLOOKUP(EDATE(B42,-12),Database!$F:$AY,MATCH($H$1,Database!$F$1:$AY$1,),))))</f>
        <v>-3.6072182122411187E-2</v>
      </c>
      <c r="I42" s="13">
        <f>((((VLOOKUP(B42,Database!$F:$AY,MATCH($I$1,Database!$F$1:$AY$1,),))))-(((VLOOKUP(EDATE(B42,-12),Database!$F:$AY,MATCH($I$1,Database!$F$1:$AY$1,),)))))/(((VLOOKUP(EDATE(B42,-12),Database!$F:$AY,MATCH($I$1,Database!$F$1:$AY$1,),))))</f>
        <v>-8.18159336962717E-3</v>
      </c>
      <c r="J42" s="13">
        <f>((((VLOOKUP(B42,Database!$F:$AY,MATCH($J$1,Database!$F$1:$AY$1,),))))-(((VLOOKUP(EDATE(B42,-12),Database!$F:$AY,MATCH($J$1,Database!$F$1:$AY$1,),)))))/(((VLOOKUP(EDATE(B42,-12),Database!$F:$AY,MATCH($J$1,Database!$F$1:$AY$1,),))))</f>
        <v>-1.5469785680301534E-2</v>
      </c>
      <c r="K42" s="13">
        <f>((((VLOOKUP(B42,Database!$F:$AY,MATCH($K$1,Database!$F$1:$AY$1,),))))-(((VLOOKUP(EDATE(B42,-12),Database!$F:$AY,MATCH($K$1,Database!$F$1:$AY$1,),)))))/(((VLOOKUP(EDATE(B42,-12),Database!$F:$AY,MATCH($K$1,Database!$F$1:$AY$1,),))))</f>
        <v>-1.474878103948093E-3</v>
      </c>
      <c r="L42" s="13">
        <f>((((VLOOKUP(B42,Database!$F:$AY,MATCH($L$1,Database!$F$1:$AY$1,),))))-(((VLOOKUP(EDATE(B42,-12),Database!$F:$AY,MATCH($L$1,Database!$F$1:$AY$1,),)))))/(((VLOOKUP(EDATE(B42,-12),Database!$F:$AY,MATCH($L$1,Database!$F$1:$AY$1,),))))</f>
        <v>1.8123701963430716E-2</v>
      </c>
      <c r="M42" s="13" t="e">
        <f>((((VLOOKUP(B42,Database!$F:$AY,MATCH($M$1,Database!$F$1:$AY$1,),))))-(((VLOOKUP(EDATE(B42,-12),Database!$F:$AY,MATCH($M$1,Database!$F$1:$AY$1,),)))))/(((VLOOKUP(EDATE(B42,-12),Database!$F:$AY,MATCH($M$1,Database!$F$1:$AY$1,),))))</f>
        <v>#DIV/0!</v>
      </c>
      <c r="N42" s="13" t="e">
        <f>((((VLOOKUP(B42,Database!$F:$AY,MATCH($N$1,Database!$F$1:$AY$1,),))))-(((VLOOKUP(EDATE(B42,-12),Database!$F:$AY,MATCH($N$1,Database!$F$1:$AY$1,),)))))/(((VLOOKUP(EDATE(B42,-12),Database!$F:$AY,MATCH($N$1,Database!$F$1:$AY$1,),))))</f>
        <v>#DIV/0!</v>
      </c>
      <c r="O42" s="13">
        <f>((((VLOOKUP(B42,Database!$F:$AY,MATCH($O$1,Database!$F$1:$AY$1,),))))-(((VLOOKUP(EDATE(B42,-12),Database!$F:$AY,MATCH($O$1,Database!$F$1:$AY$1,),)))))/(((VLOOKUP(EDATE(B42,-12),Database!$F:$AY,MATCH($O$1,Database!$F$1:$AY$1,),))))</f>
        <v>-4.6645176173338278E-2</v>
      </c>
      <c r="P42" s="13">
        <f>((((VLOOKUP(B42,Database!$F:$AY,MATCH($P$1,Database!$F$1:$AY$1,),))))-(((VLOOKUP(EDATE(B42,-12),Database!$F:$AY,MATCH($P$1,Database!$F$1:$AY$1,),)))))/(((VLOOKUP(EDATE(B42,-12),Database!$F:$AY,MATCH($P$1,Database!$F$1:$AY$1,),))))</f>
        <v>8.0623539221537172E-2</v>
      </c>
      <c r="Q42" s="13">
        <f>((((VLOOKUP(B42,Database!$F:$AY,MATCH($Q$1,Database!$F$1:$AY$1,),))))-(((VLOOKUP(EDATE(B42,-12),Database!$F:$AY,MATCH($Q$1,Database!$F$1:$AY$1,),)))))/(((VLOOKUP(EDATE(B42,-12),Database!$F:$AY,MATCH($Q$1,Database!$F$1:$AY$1,),))))</f>
        <v>2.3973694555010354E-2</v>
      </c>
      <c r="R42" s="13">
        <f>((((VLOOKUP(B42,Database!$F:$AY,MATCH($R$1,Database!$F$1:$AY$1,),))))-(((VLOOKUP(EDATE(B42,-12),Database!$F:$AY,MATCH($R$1,Database!$F$1:$AY$1,),)))))/(((VLOOKUP(EDATE(B42,-12),Database!$F:$AY,MATCH($R$1,Database!$F$1:$AY$1,),))))</f>
        <v>-5.9898993914535327E-2</v>
      </c>
      <c r="S42" s="13">
        <f>((((VLOOKUP(B42,Database!$F:$AY,MATCH($S$1,Database!$F$1:$AY$1,),))))-(((VLOOKUP(EDATE(B42,-12),Database!$F:$AY,MATCH($S$1,Database!$F$1:$AY$1,),)))))/(((VLOOKUP(EDATE(B42,-12),Database!$F:$AY,MATCH($S$1,Database!$F$1:$AY$1,),))))</f>
        <v>-1.2500078910211401E-2</v>
      </c>
      <c r="T42" s="13">
        <f>((((VLOOKUP(B42,Database!$F:$AY,MATCH($T$1,Database!$F$1:$AY$1,),))))-(((VLOOKUP(EDATE(B42,-12),Database!$F:$AY,MATCH($T$1,Database!$F$1:$AY$1,),)))))/(((VLOOKUP(EDATE(B42,-12),Database!$F:$AY,MATCH($T$1,Database!$F$1:$AY$1,),))))</f>
        <v>5.8823529411764802E-2</v>
      </c>
      <c r="U42" s="13">
        <f>((((VLOOKUP(B42,Database!$F:$AY,MATCH($U$1,Database!$F$1:$AY$1,),))))-(((VLOOKUP(EDATE(B42,-12),Database!$F:$AY,MATCH($U$1,Database!$F$1:$AY$1,),)))))/(((VLOOKUP(EDATE(B42,-12),Database!$F:$AY,MATCH($U$1,Database!$F$1:$AY$1,),))))</f>
        <v>-0.29162579217639867</v>
      </c>
      <c r="V42" s="13">
        <f>((((VLOOKUP(B42,Database!$F:$AY,MATCH($V$1,Database!$F$1:$AY$1,),))))-(((VLOOKUP(EDATE(B42,-12),Database!$F:$AY,MATCH($V$1,Database!$F$1:$AY$1,),)))))/(((VLOOKUP(EDATE(B42,-12),Database!$F:$AY,MATCH($V$1,Database!$F$1:$AY$1,),))))</f>
        <v>-0.17941806973978208</v>
      </c>
    </row>
    <row r="43" spans="1:22" s="85" customFormat="1" x14ac:dyDescent="0.2">
      <c r="A43" s="44"/>
      <c r="B43" s="91">
        <v>33451</v>
      </c>
      <c r="C43" s="13">
        <f>((((VLOOKUP(B43,Database!$F:$AY,MATCH($C$1,Database!$F$1:$AY$1,),))))-(((VLOOKUP(EDATE(B43,-12),Database!$F:$AY,MATCH($C$1,Database!$F$1:$AY$1,),)))))/(((VLOOKUP(EDATE(B43,-12),Database!$F:$AY,MATCH($C$1,Database!$F$1:$AY$1,),))))</f>
        <v>-1.8004936930932438E-2</v>
      </c>
      <c r="D43" s="13">
        <f>((((VLOOKUP(B43,Database!$F:$AY,MATCH($D$1,Database!$F$1:$AY$1,),))))-(((VLOOKUP(EDATE(B43,-12),Database!$F:$AY,MATCH($D$1,Database!$F$1:$AY$1,),)))))/(((VLOOKUP(EDATE(B43,-12),Database!$F:$AY,MATCH($D$1,Database!$F$1:$AY$1,),))))</f>
        <v>-1.2422327715496198E-3</v>
      </c>
      <c r="E43" s="13">
        <f>((((VLOOKUP(B43,Database!$F:$AY,MATCH($E$1,Database!$F$1:$AY$1,),))))-(((VLOOKUP(EDATE(B43,-12),Database!$F:$AY,MATCH($E$1,Database!$F$1:$AY$1,),)))))/(((VLOOKUP(EDATE(B43,-12),Database!$F:$AY,MATCH($E$1,Database!$F$1:$AY$1,),))))</f>
        <v>-2.8623072153289505E-3</v>
      </c>
      <c r="F43" s="13">
        <f>((((VLOOKUP(B43,Database!$F:$AY,MATCH($F$1,Database!$F$1:$AY$1,),))))-(((VLOOKUP(EDATE(B43,-12),Database!$F:$AY,MATCH($F$1,Database!$F$1:$AY$1,),)))))/(((VLOOKUP(EDATE(B43,-12),Database!$F:$AY,MATCH($F$1,Database!$F$1:$AY$1,),))))</f>
        <v>-2.4571350462782141E-4</v>
      </c>
      <c r="G43" s="13">
        <f>((((VLOOKUP(B43,Database!$F:$AY,MATCH($G$1,Database!$F$1:$AY$1,),))))-(((VLOOKUP(EDATE(B43,-12),Database!$F:$AY,MATCH($G$1,Database!$F$1:$AY$1,),)))))/(((VLOOKUP(EDATE(B43,-12),Database!$F:$AY,MATCH($G$1,Database!$F$1:$AY$1,),))))</f>
        <v>1.644182291148199E-3</v>
      </c>
      <c r="H43" s="13">
        <f>((((VLOOKUP(B43,Database!$F:$AY,MATCH($H$1,Database!$F$1:$AY$1,),))))-(((VLOOKUP(EDATE(B43,-12),Database!$F:$AY,MATCH($H$1,Database!$F$1:$AY$1,),)))))/(((VLOOKUP(EDATE(B43,-12),Database!$F:$AY,MATCH($H$1,Database!$F$1:$AY$1,),))))</f>
        <v>-4.6046018240465517E-2</v>
      </c>
      <c r="I43" s="13">
        <f>((((VLOOKUP(B43,Database!$F:$AY,MATCH($I$1,Database!$F$1:$AY$1,),))))-(((VLOOKUP(EDATE(B43,-12),Database!$F:$AY,MATCH($I$1,Database!$F$1:$AY$1,),)))))/(((VLOOKUP(EDATE(B43,-12),Database!$F:$AY,MATCH($I$1,Database!$F$1:$AY$1,),))))</f>
        <v>-1.3488538160115976E-2</v>
      </c>
      <c r="J43" s="13">
        <f>((((VLOOKUP(B43,Database!$F:$AY,MATCH($J$1,Database!$F$1:$AY$1,),))))-(((VLOOKUP(EDATE(B43,-12),Database!$F:$AY,MATCH($J$1,Database!$F$1:$AY$1,),)))))/(((VLOOKUP(EDATE(B43,-12),Database!$F:$AY,MATCH($J$1,Database!$F$1:$AY$1,),))))</f>
        <v>-4.8060048115162231E-3</v>
      </c>
      <c r="K43" s="13">
        <f>((((VLOOKUP(B43,Database!$F:$AY,MATCH($K$1,Database!$F$1:$AY$1,),))))-(((VLOOKUP(EDATE(B43,-12),Database!$F:$AY,MATCH($K$1,Database!$F$1:$AY$1,),)))))/(((VLOOKUP(EDATE(B43,-12),Database!$F:$AY,MATCH($K$1,Database!$F$1:$AY$1,),))))</f>
        <v>-4.8991458686611186E-2</v>
      </c>
      <c r="L43" s="13">
        <f>((((VLOOKUP(B43,Database!$F:$AY,MATCH($L$1,Database!$F$1:$AY$1,),))))-(((VLOOKUP(EDATE(B43,-12),Database!$F:$AY,MATCH($L$1,Database!$F$1:$AY$1,),)))))/(((VLOOKUP(EDATE(B43,-12),Database!$F:$AY,MATCH($L$1,Database!$F$1:$AY$1,),))))</f>
        <v>1.3859240781691661E-2</v>
      </c>
      <c r="M43" s="13" t="e">
        <f>((((VLOOKUP(B43,Database!$F:$AY,MATCH($M$1,Database!$F$1:$AY$1,),))))-(((VLOOKUP(EDATE(B43,-12),Database!$F:$AY,MATCH($M$1,Database!$F$1:$AY$1,),)))))/(((VLOOKUP(EDATE(B43,-12),Database!$F:$AY,MATCH($M$1,Database!$F$1:$AY$1,),))))</f>
        <v>#DIV/0!</v>
      </c>
      <c r="N43" s="13" t="e">
        <f>((((VLOOKUP(B43,Database!$F:$AY,MATCH($N$1,Database!$F$1:$AY$1,),))))-(((VLOOKUP(EDATE(B43,-12),Database!$F:$AY,MATCH($N$1,Database!$F$1:$AY$1,),)))))/(((VLOOKUP(EDATE(B43,-12),Database!$F:$AY,MATCH($N$1,Database!$F$1:$AY$1,),))))</f>
        <v>#DIV/0!</v>
      </c>
      <c r="O43" s="13">
        <f>((((VLOOKUP(B43,Database!$F:$AY,MATCH($O$1,Database!$F$1:$AY$1,),))))-(((VLOOKUP(EDATE(B43,-12),Database!$F:$AY,MATCH($O$1,Database!$F$1:$AY$1,),)))))/(((VLOOKUP(EDATE(B43,-12),Database!$F:$AY,MATCH($O$1,Database!$F$1:$AY$1,),))))</f>
        <v>-3.3194239643147626E-2</v>
      </c>
      <c r="P43" s="13">
        <f>((((VLOOKUP(B43,Database!$F:$AY,MATCH($P$1,Database!$F$1:$AY$1,),))))-(((VLOOKUP(EDATE(B43,-12),Database!$F:$AY,MATCH($P$1,Database!$F$1:$AY$1,),)))))/(((VLOOKUP(EDATE(B43,-12),Database!$F:$AY,MATCH($P$1,Database!$F$1:$AY$1,),))))</f>
        <v>9.3814087112723182E-2</v>
      </c>
      <c r="Q43" s="13">
        <f>((((VLOOKUP(B43,Database!$F:$AY,MATCH($Q$1,Database!$F$1:$AY$1,),))))-(((VLOOKUP(EDATE(B43,-12),Database!$F:$AY,MATCH($Q$1,Database!$F$1:$AY$1,),)))))/(((VLOOKUP(EDATE(B43,-12),Database!$F:$AY,MATCH($Q$1,Database!$F$1:$AY$1,),))))</f>
        <v>7.1700610689116543E-3</v>
      </c>
      <c r="R43" s="13">
        <f>((((VLOOKUP(B43,Database!$F:$AY,MATCH($R$1,Database!$F$1:$AY$1,),))))-(((VLOOKUP(EDATE(B43,-12),Database!$F:$AY,MATCH($R$1,Database!$F$1:$AY$1,),)))))/(((VLOOKUP(EDATE(B43,-12),Database!$F:$AY,MATCH($R$1,Database!$F$1:$AY$1,),))))</f>
        <v>1.7380074859689284E-2</v>
      </c>
      <c r="S43" s="13">
        <f>((((VLOOKUP(B43,Database!$F:$AY,MATCH($S$1,Database!$F$1:$AY$1,),))))-(((VLOOKUP(EDATE(B43,-12),Database!$F:$AY,MATCH($S$1,Database!$F$1:$AY$1,),)))))/(((VLOOKUP(EDATE(B43,-12),Database!$F:$AY,MATCH($S$1,Database!$F$1:$AY$1,),))))</f>
        <v>2.9288646933820568E-2</v>
      </c>
      <c r="T43" s="13">
        <f>((((VLOOKUP(B43,Database!$F:$AY,MATCH($T$1,Database!$F$1:$AY$1,),))))-(((VLOOKUP(EDATE(B43,-12),Database!$F:$AY,MATCH($T$1,Database!$F$1:$AY$1,),)))))/(((VLOOKUP(EDATE(B43,-12),Database!$F:$AY,MATCH($T$1,Database!$F$1:$AY$1,),))))</f>
        <v>7.5907303181650676E-2</v>
      </c>
      <c r="U43" s="13">
        <f>((((VLOOKUP(B43,Database!$F:$AY,MATCH($U$1,Database!$F$1:$AY$1,),))))-(((VLOOKUP(EDATE(B43,-12),Database!$F:$AY,MATCH($U$1,Database!$F$1:$AY$1,),)))))/(((VLOOKUP(EDATE(B43,-12),Database!$F:$AY,MATCH($U$1,Database!$F$1:$AY$1,),))))</f>
        <v>-0.23033816993536788</v>
      </c>
      <c r="V43" s="13">
        <f>((((VLOOKUP(B43,Database!$F:$AY,MATCH($V$1,Database!$F$1:$AY$1,),))))-(((VLOOKUP(EDATE(B43,-12),Database!$F:$AY,MATCH($V$1,Database!$F$1:$AY$1,),)))))/(((VLOOKUP(EDATE(B43,-12),Database!$F:$AY,MATCH($V$1,Database!$F$1:$AY$1,),))))</f>
        <v>-0.20420542273417355</v>
      </c>
    </row>
    <row r="44" spans="1:22" s="85" customFormat="1" x14ac:dyDescent="0.2">
      <c r="A44" s="44"/>
      <c r="B44" s="91">
        <v>33482</v>
      </c>
      <c r="C44" s="13">
        <f>((((VLOOKUP(B44,Database!$F:$AY,MATCH($C$1,Database!$F$1:$AY$1,),))))-(((VLOOKUP(EDATE(B44,-12),Database!$F:$AY,MATCH($C$1,Database!$F$1:$AY$1,),)))))/(((VLOOKUP(EDATE(B44,-12),Database!$F:$AY,MATCH($C$1,Database!$F$1:$AY$1,),))))</f>
        <v>-1.0514506961214577E-2</v>
      </c>
      <c r="D44" s="13">
        <f>((((VLOOKUP(B44,Database!$F:$AY,MATCH($D$1,Database!$F$1:$AY$1,),))))-(((VLOOKUP(EDATE(B44,-12),Database!$F:$AY,MATCH($D$1,Database!$F$1:$AY$1,),)))))/(((VLOOKUP(EDATE(B44,-12),Database!$F:$AY,MATCH($D$1,Database!$F$1:$AY$1,),))))</f>
        <v>-3.7180044632930437E-3</v>
      </c>
      <c r="E44" s="13">
        <f>((((VLOOKUP(B44,Database!$F:$AY,MATCH($E$1,Database!$F$1:$AY$1,),))))-(((VLOOKUP(EDATE(B44,-12),Database!$F:$AY,MATCH($E$1,Database!$F$1:$AY$1,),)))))/(((VLOOKUP(EDATE(B44,-12),Database!$F:$AY,MATCH($E$1,Database!$F$1:$AY$1,),))))</f>
        <v>6.737518649421295E-3</v>
      </c>
      <c r="F44" s="13">
        <f>((((VLOOKUP(B44,Database!$F:$AY,MATCH($F$1,Database!$F$1:$AY$1,),))))-(((VLOOKUP(EDATE(B44,-12),Database!$F:$AY,MATCH($F$1,Database!$F$1:$AY$1,),)))))/(((VLOOKUP(EDATE(B44,-12),Database!$F:$AY,MATCH($F$1,Database!$F$1:$AY$1,),))))</f>
        <v>-1.2170048479625885E-2</v>
      </c>
      <c r="G44" s="13">
        <f>((((VLOOKUP(B44,Database!$F:$AY,MATCH($G$1,Database!$F$1:$AY$1,),))))-(((VLOOKUP(EDATE(B44,-12),Database!$F:$AY,MATCH($G$1,Database!$F$1:$AY$1,),)))))/(((VLOOKUP(EDATE(B44,-12),Database!$F:$AY,MATCH($G$1,Database!$F$1:$AY$1,),))))</f>
        <v>-3.8025544334923497E-3</v>
      </c>
      <c r="H44" s="13">
        <f>((((VLOOKUP(B44,Database!$F:$AY,MATCH($H$1,Database!$F$1:$AY$1,),))))-(((VLOOKUP(EDATE(B44,-12),Database!$F:$AY,MATCH($H$1,Database!$F$1:$AY$1,),)))))/(((VLOOKUP(EDATE(B44,-12),Database!$F:$AY,MATCH($H$1,Database!$F$1:$AY$1,),))))</f>
        <v>-4.0241380290778839E-2</v>
      </c>
      <c r="I44" s="13">
        <f>((((VLOOKUP(B44,Database!$F:$AY,MATCH($I$1,Database!$F$1:$AY$1,),))))-(((VLOOKUP(EDATE(B44,-12),Database!$F:$AY,MATCH($I$1,Database!$F$1:$AY$1,),)))))/(((VLOOKUP(EDATE(B44,-12),Database!$F:$AY,MATCH($I$1,Database!$F$1:$AY$1,),))))</f>
        <v>0</v>
      </c>
      <c r="J44" s="13">
        <f>((((VLOOKUP(B44,Database!$F:$AY,MATCH($J$1,Database!$F$1:$AY$1,),))))-(((VLOOKUP(EDATE(B44,-12),Database!$F:$AY,MATCH($J$1,Database!$F$1:$AY$1,),)))))/(((VLOOKUP(EDATE(B44,-12),Database!$F:$AY,MATCH($J$1,Database!$F$1:$AY$1,),))))</f>
        <v>-1.4184937208779308E-2</v>
      </c>
      <c r="K44" s="13">
        <f>((((VLOOKUP(B44,Database!$F:$AY,MATCH($K$1,Database!$F$1:$AY$1,),))))-(((VLOOKUP(EDATE(B44,-12),Database!$F:$AY,MATCH($K$1,Database!$F$1:$AY$1,),)))))/(((VLOOKUP(EDATE(B44,-12),Database!$F:$AY,MATCH($K$1,Database!$F$1:$AY$1,),))))</f>
        <v>-3.8848930068826462E-2</v>
      </c>
      <c r="L44" s="13">
        <f>((((VLOOKUP(B44,Database!$F:$AY,MATCH($L$1,Database!$F$1:$AY$1,),))))-(((VLOOKUP(EDATE(B44,-12),Database!$F:$AY,MATCH($L$1,Database!$F$1:$AY$1,),)))))/(((VLOOKUP(EDATE(B44,-12),Database!$F:$AY,MATCH($L$1,Database!$F$1:$AY$1,),))))</f>
        <v>9.5540367809712479E-3</v>
      </c>
      <c r="M44" s="13" t="e">
        <f>((((VLOOKUP(B44,Database!$F:$AY,MATCH($M$1,Database!$F$1:$AY$1,),))))-(((VLOOKUP(EDATE(B44,-12),Database!$F:$AY,MATCH($M$1,Database!$F$1:$AY$1,),)))))/(((VLOOKUP(EDATE(B44,-12),Database!$F:$AY,MATCH($M$1,Database!$F$1:$AY$1,),))))</f>
        <v>#DIV/0!</v>
      </c>
      <c r="N44" s="13" t="e">
        <f>((((VLOOKUP(B44,Database!$F:$AY,MATCH($N$1,Database!$F$1:$AY$1,),))))-(((VLOOKUP(EDATE(B44,-12),Database!$F:$AY,MATCH($N$1,Database!$F$1:$AY$1,),)))))/(((VLOOKUP(EDATE(B44,-12),Database!$F:$AY,MATCH($N$1,Database!$F$1:$AY$1,),))))</f>
        <v>#DIV/0!</v>
      </c>
      <c r="O44" s="13">
        <f>((((VLOOKUP(B44,Database!$F:$AY,MATCH($O$1,Database!$F$1:$AY$1,),))))-(((VLOOKUP(EDATE(B44,-12),Database!$F:$AY,MATCH($O$1,Database!$F$1:$AY$1,),)))))/(((VLOOKUP(EDATE(B44,-12),Database!$F:$AY,MATCH($O$1,Database!$F$1:$AY$1,),))))</f>
        <v>-1.2006395523312119E-2</v>
      </c>
      <c r="P44" s="13">
        <f>((((VLOOKUP(B44,Database!$F:$AY,MATCH($P$1,Database!$F$1:$AY$1,),))))-(((VLOOKUP(EDATE(B44,-12),Database!$F:$AY,MATCH($P$1,Database!$F$1:$AY$1,),)))))/(((VLOOKUP(EDATE(B44,-12),Database!$F:$AY,MATCH($P$1,Database!$F$1:$AY$1,),))))</f>
        <v>8.7746556619732172E-2</v>
      </c>
      <c r="Q44" s="13">
        <f>((((VLOOKUP(B44,Database!$F:$AY,MATCH($Q$1,Database!$F$1:$AY$1,),))))-(((VLOOKUP(EDATE(B44,-12),Database!$F:$AY,MATCH($Q$1,Database!$F$1:$AY$1,),)))))/(((VLOOKUP(EDATE(B44,-12),Database!$F:$AY,MATCH($Q$1,Database!$F$1:$AY$1,),))))</f>
        <v>-4.2633138639632244E-2</v>
      </c>
      <c r="R44" s="13">
        <f>((((VLOOKUP(B44,Database!$F:$AY,MATCH($R$1,Database!$F$1:$AY$1,),))))-(((VLOOKUP(EDATE(B44,-12),Database!$F:$AY,MATCH($R$1,Database!$F$1:$AY$1,),)))))/(((VLOOKUP(EDATE(B44,-12),Database!$F:$AY,MATCH($R$1,Database!$F$1:$AY$1,),))))</f>
        <v>0.2421148683497098</v>
      </c>
      <c r="S44" s="13">
        <f>((((VLOOKUP(B44,Database!$F:$AY,MATCH($S$1,Database!$F$1:$AY$1,),))))-(((VLOOKUP(EDATE(B44,-12),Database!$F:$AY,MATCH($S$1,Database!$F$1:$AY$1,),)))))/(((VLOOKUP(EDATE(B44,-12),Database!$F:$AY,MATCH($S$1,Database!$F$1:$AY$1,),))))</f>
        <v>2.8925562344875182E-2</v>
      </c>
      <c r="T44" s="13">
        <f>((((VLOOKUP(B44,Database!$F:$AY,MATCH($T$1,Database!$F$1:$AY$1,),))))-(((VLOOKUP(EDATE(B44,-12),Database!$F:$AY,MATCH($T$1,Database!$F$1:$AY$1,),)))))/(((VLOOKUP(EDATE(B44,-12),Database!$F:$AY,MATCH($T$1,Database!$F$1:$AY$1,),))))</f>
        <v>1.5151565660774807E-2</v>
      </c>
      <c r="U44" s="13">
        <f>((((VLOOKUP(B44,Database!$F:$AY,MATCH($U$1,Database!$F$1:$AY$1,),))))-(((VLOOKUP(EDATE(B44,-12),Database!$F:$AY,MATCH($U$1,Database!$F$1:$AY$1,),)))))/(((VLOOKUP(EDATE(B44,-12),Database!$F:$AY,MATCH($U$1,Database!$F$1:$AY$1,),))))</f>
        <v>-0.30296421230240683</v>
      </c>
      <c r="V44" s="13">
        <f>((((VLOOKUP(B44,Database!$F:$AY,MATCH($V$1,Database!$F$1:$AY$1,),))))-(((VLOOKUP(EDATE(B44,-12),Database!$F:$AY,MATCH($V$1,Database!$F$1:$AY$1,),)))))/(((VLOOKUP(EDATE(B44,-12),Database!$F:$AY,MATCH($V$1,Database!$F$1:$AY$1,),))))</f>
        <v>-0.21999505724680543</v>
      </c>
    </row>
    <row r="45" spans="1:22" s="85" customFormat="1" x14ac:dyDescent="0.2">
      <c r="A45" s="44"/>
      <c r="B45" s="91">
        <v>33512</v>
      </c>
      <c r="C45" s="13">
        <f>((((VLOOKUP(B45,Database!$F:$AY,MATCH($C$1,Database!$F$1:$AY$1,),))))-(((VLOOKUP(EDATE(B45,-12),Database!$F:$AY,MATCH($C$1,Database!$F$1:$AY$1,),)))))/(((VLOOKUP(EDATE(B45,-12),Database!$F:$AY,MATCH($C$1,Database!$F$1:$AY$1,),))))</f>
        <v>-4.7584381718637631E-3</v>
      </c>
      <c r="D45" s="13">
        <f>((((VLOOKUP(B45,Database!$F:$AY,MATCH($D$1,Database!$F$1:$AY$1,),))))-(((VLOOKUP(EDATE(B45,-12),Database!$F:$AY,MATCH($D$1,Database!$F$1:$AY$1,),)))))/(((VLOOKUP(EDATE(B45,-12),Database!$F:$AY,MATCH($D$1,Database!$F$1:$AY$1,),))))</f>
        <v>-2.0009129622058385E-3</v>
      </c>
      <c r="E45" s="13">
        <f>((((VLOOKUP(B45,Database!$F:$AY,MATCH($E$1,Database!$F$1:$AY$1,),))))-(((VLOOKUP(EDATE(B45,-12),Database!$F:$AY,MATCH($E$1,Database!$F$1:$AY$1,),)))))/(((VLOOKUP(EDATE(B45,-12),Database!$F:$AY,MATCH($E$1,Database!$F$1:$AY$1,),))))</f>
        <v>-1.9811190866907018E-2</v>
      </c>
      <c r="F45" s="13">
        <f>((((VLOOKUP(B45,Database!$F:$AY,MATCH($F$1,Database!$F$1:$AY$1,),))))-(((VLOOKUP(EDATE(B45,-12),Database!$F:$AY,MATCH($F$1,Database!$F$1:$AY$1,),)))))/(((VLOOKUP(EDATE(B45,-12),Database!$F:$AY,MATCH($F$1,Database!$F$1:$AY$1,),))))</f>
        <v>1.0791964362403548E-3</v>
      </c>
      <c r="G45" s="13">
        <f>((((VLOOKUP(B45,Database!$F:$AY,MATCH($G$1,Database!$F$1:$AY$1,),))))-(((VLOOKUP(EDATE(B45,-12),Database!$F:$AY,MATCH($G$1,Database!$F$1:$AY$1,),)))))/(((VLOOKUP(EDATE(B45,-12),Database!$F:$AY,MATCH($G$1,Database!$F$1:$AY$1,),))))</f>
        <v>-5.2321345495719655E-3</v>
      </c>
      <c r="H45" s="13">
        <f>((((VLOOKUP(B45,Database!$F:$AY,MATCH($H$1,Database!$F$1:$AY$1,),))))-(((VLOOKUP(EDATE(B45,-12),Database!$F:$AY,MATCH($H$1,Database!$F$1:$AY$1,),)))))/(((VLOOKUP(EDATE(B45,-12),Database!$F:$AY,MATCH($H$1,Database!$F$1:$AY$1,),))))</f>
        <v>-2.7190361299675215E-2</v>
      </c>
      <c r="I45" s="13">
        <f>((((VLOOKUP(B45,Database!$F:$AY,MATCH($I$1,Database!$F$1:$AY$1,),))))-(((VLOOKUP(EDATE(B45,-12),Database!$F:$AY,MATCH($I$1,Database!$F$1:$AY$1,),)))))/(((VLOOKUP(EDATE(B45,-12),Database!$F:$AY,MATCH($I$1,Database!$F$1:$AY$1,),))))</f>
        <v>-9.0669394002045977E-4</v>
      </c>
      <c r="J45" s="13">
        <f>((((VLOOKUP(B45,Database!$F:$AY,MATCH($J$1,Database!$F$1:$AY$1,),))))-(((VLOOKUP(EDATE(B45,-12),Database!$F:$AY,MATCH($J$1,Database!$F$1:$AY$1,),)))))/(((VLOOKUP(EDATE(B45,-12),Database!$F:$AY,MATCH($J$1,Database!$F$1:$AY$1,),))))</f>
        <v>3.3042252838096496E-2</v>
      </c>
      <c r="K45" s="13">
        <f>((((VLOOKUP(B45,Database!$F:$AY,MATCH($K$1,Database!$F$1:$AY$1,),))))-(((VLOOKUP(EDATE(B45,-12),Database!$F:$AY,MATCH($K$1,Database!$F$1:$AY$1,),)))))/(((VLOOKUP(EDATE(B45,-12),Database!$F:$AY,MATCH($K$1,Database!$F$1:$AY$1,),))))</f>
        <v>-3.4532382283401213E-2</v>
      </c>
      <c r="L45" s="13">
        <f>((((VLOOKUP(B45,Database!$F:$AY,MATCH($L$1,Database!$F$1:$AY$1,),))))-(((VLOOKUP(EDATE(B45,-12),Database!$F:$AY,MATCH($L$1,Database!$F$1:$AY$1,),)))))/(((VLOOKUP(EDATE(B45,-12),Database!$F:$AY,MATCH($L$1,Database!$F$1:$AY$1,),))))</f>
        <v>4.3524418474035396E-2</v>
      </c>
      <c r="M45" s="13" t="e">
        <f>((((VLOOKUP(B45,Database!$F:$AY,MATCH($M$1,Database!$F$1:$AY$1,),))))-(((VLOOKUP(EDATE(B45,-12),Database!$F:$AY,MATCH($M$1,Database!$F$1:$AY$1,),)))))/(((VLOOKUP(EDATE(B45,-12),Database!$F:$AY,MATCH($M$1,Database!$F$1:$AY$1,),))))</f>
        <v>#DIV/0!</v>
      </c>
      <c r="N45" s="13" t="e">
        <f>((((VLOOKUP(B45,Database!$F:$AY,MATCH($N$1,Database!$F$1:$AY$1,),))))-(((VLOOKUP(EDATE(B45,-12),Database!$F:$AY,MATCH($N$1,Database!$F$1:$AY$1,),)))))/(((VLOOKUP(EDATE(B45,-12),Database!$F:$AY,MATCH($N$1,Database!$F$1:$AY$1,),))))</f>
        <v>#DIV/0!</v>
      </c>
      <c r="O45" s="13">
        <f>((((VLOOKUP(B45,Database!$F:$AY,MATCH($O$1,Database!$F$1:$AY$1,),))))-(((VLOOKUP(EDATE(B45,-12),Database!$F:$AY,MATCH($O$1,Database!$F$1:$AY$1,),)))))/(((VLOOKUP(EDATE(B45,-12),Database!$F:$AY,MATCH($O$1,Database!$F$1:$AY$1,),))))</f>
        <v>-1.676193198481174E-2</v>
      </c>
      <c r="P45" s="13">
        <f>((((VLOOKUP(B45,Database!$F:$AY,MATCH($P$1,Database!$F$1:$AY$1,),))))-(((VLOOKUP(EDATE(B45,-12),Database!$F:$AY,MATCH($P$1,Database!$F$1:$AY$1,),)))))/(((VLOOKUP(EDATE(B45,-12),Database!$F:$AY,MATCH($P$1,Database!$F$1:$AY$1,),))))</f>
        <v>9.7060245628629346E-2</v>
      </c>
      <c r="Q45" s="13">
        <f>((((VLOOKUP(B45,Database!$F:$AY,MATCH($Q$1,Database!$F$1:$AY$1,),))))-(((VLOOKUP(EDATE(B45,-12),Database!$F:$AY,MATCH($Q$1,Database!$F$1:$AY$1,),)))))/(((VLOOKUP(EDATE(B45,-12),Database!$F:$AY,MATCH($Q$1,Database!$F$1:$AY$1,),))))</f>
        <v>-1.1676688213118555E-3</v>
      </c>
      <c r="R45" s="13">
        <f>((((VLOOKUP(B45,Database!$F:$AY,MATCH($R$1,Database!$F$1:$AY$1,),))))-(((VLOOKUP(EDATE(B45,-12),Database!$F:$AY,MATCH($R$1,Database!$F$1:$AY$1,),)))))/(((VLOOKUP(EDATE(B45,-12),Database!$F:$AY,MATCH($R$1,Database!$F$1:$AY$1,),))))</f>
        <v>-4.2794444638470729E-2</v>
      </c>
      <c r="S45" s="13">
        <f>((((VLOOKUP(B45,Database!$F:$AY,MATCH($S$1,Database!$F$1:$AY$1,),))))-(((VLOOKUP(EDATE(B45,-12),Database!$F:$AY,MATCH($S$1,Database!$F$1:$AY$1,),)))))/(((VLOOKUP(EDATE(B45,-12),Database!$F:$AY,MATCH($S$1,Database!$F$1:$AY$1,),))))</f>
        <v>4.6414035586177488E-2</v>
      </c>
      <c r="T45" s="13">
        <f>((((VLOOKUP(B45,Database!$F:$AY,MATCH($T$1,Database!$F$1:$AY$1,),))))-(((VLOOKUP(EDATE(B45,-12),Database!$F:$AY,MATCH($T$1,Database!$F$1:$AY$1,),)))))/(((VLOOKUP(EDATE(B45,-12),Database!$F:$AY,MATCH($T$1,Database!$F$1:$AY$1,),))))</f>
        <v>2.1341410428368127E-2</v>
      </c>
      <c r="U45" s="13">
        <f>((((VLOOKUP(B45,Database!$F:$AY,MATCH($U$1,Database!$F$1:$AY$1,),))))-(((VLOOKUP(EDATE(B45,-12),Database!$F:$AY,MATCH($U$1,Database!$F$1:$AY$1,),)))))/(((VLOOKUP(EDATE(B45,-12),Database!$F:$AY,MATCH($U$1,Database!$F$1:$AY$1,),))))</f>
        <v>-0.29221857030167753</v>
      </c>
      <c r="V45" s="13">
        <f>((((VLOOKUP(B45,Database!$F:$AY,MATCH($V$1,Database!$F$1:$AY$1,),))))-(((VLOOKUP(EDATE(B45,-12),Database!$F:$AY,MATCH($V$1,Database!$F$1:$AY$1,),)))))/(((VLOOKUP(EDATE(B45,-12),Database!$F:$AY,MATCH($V$1,Database!$F$1:$AY$1,),))))</f>
        <v>-0.21854443449333411</v>
      </c>
    </row>
    <row r="46" spans="1:22" s="85" customFormat="1" x14ac:dyDescent="0.2">
      <c r="A46" s="44"/>
      <c r="B46" s="91">
        <v>33543</v>
      </c>
      <c r="C46" s="13">
        <f>((((VLOOKUP(B46,Database!$F:$AY,MATCH($C$1,Database!$F$1:$AY$1,),))))-(((VLOOKUP(EDATE(B46,-12),Database!$F:$AY,MATCH($C$1,Database!$F$1:$AY$1,),)))))/(((VLOOKUP(EDATE(B46,-12),Database!$F:$AY,MATCH($C$1,Database!$F$1:$AY$1,),))))</f>
        <v>5.8623086209572822E-3</v>
      </c>
      <c r="D46" s="13">
        <f>((((VLOOKUP(B46,Database!$F:$AY,MATCH($D$1,Database!$F$1:$AY$1,),))))-(((VLOOKUP(EDATE(B46,-12),Database!$F:$AY,MATCH($D$1,Database!$F$1:$AY$1,),)))))/(((VLOOKUP(EDATE(B46,-12),Database!$F:$AY,MATCH($D$1,Database!$F$1:$AY$1,),))))</f>
        <v>1.8755093842980686E-2</v>
      </c>
      <c r="E46" s="13">
        <f>((((VLOOKUP(B46,Database!$F:$AY,MATCH($E$1,Database!$F$1:$AY$1,),))))-(((VLOOKUP(EDATE(B46,-12),Database!$F:$AY,MATCH($E$1,Database!$F$1:$AY$1,),)))))/(((VLOOKUP(EDATE(B46,-12),Database!$F:$AY,MATCH($E$1,Database!$F$1:$AY$1,),))))</f>
        <v>-6.6470072079478195E-3</v>
      </c>
      <c r="F46" s="13">
        <f>((((VLOOKUP(B46,Database!$F:$AY,MATCH($F$1,Database!$F$1:$AY$1,),))))-(((VLOOKUP(EDATE(B46,-12),Database!$F:$AY,MATCH($F$1,Database!$F$1:$AY$1,),)))))/(((VLOOKUP(EDATE(B46,-12),Database!$F:$AY,MATCH($F$1,Database!$F$1:$AY$1,),))))</f>
        <v>1.1916409557079828E-2</v>
      </c>
      <c r="G46" s="13">
        <f>((((VLOOKUP(B46,Database!$F:$AY,MATCH($G$1,Database!$F$1:$AY$1,),))))-(((VLOOKUP(EDATE(B46,-12),Database!$F:$AY,MATCH($G$1,Database!$F$1:$AY$1,),)))))/(((VLOOKUP(EDATE(B46,-12),Database!$F:$AY,MATCH($G$1,Database!$F$1:$AY$1,),))))</f>
        <v>2.2045780921588435E-2</v>
      </c>
      <c r="H46" s="13">
        <f>((((VLOOKUP(B46,Database!$F:$AY,MATCH($H$1,Database!$F$1:$AY$1,),))))-(((VLOOKUP(EDATE(B46,-12),Database!$F:$AY,MATCH($H$1,Database!$F$1:$AY$1,),)))))/(((VLOOKUP(EDATE(B46,-12),Database!$F:$AY,MATCH($H$1,Database!$F$1:$AY$1,),))))</f>
        <v>-1.9230709437183417E-2</v>
      </c>
      <c r="I46" s="13">
        <f>((((VLOOKUP(B46,Database!$F:$AY,MATCH($I$1,Database!$F$1:$AY$1,),))))-(((VLOOKUP(EDATE(B46,-12),Database!$F:$AY,MATCH($I$1,Database!$F$1:$AY$1,),)))))/(((VLOOKUP(EDATE(B46,-12),Database!$F:$AY,MATCH($I$1,Database!$F$1:$AY$1,),))))</f>
        <v>1.9319924667106494E-2</v>
      </c>
      <c r="J46" s="13">
        <f>((((VLOOKUP(B46,Database!$F:$AY,MATCH($J$1,Database!$F$1:$AY$1,),))))-(((VLOOKUP(EDATE(B46,-12),Database!$F:$AY,MATCH($J$1,Database!$F$1:$AY$1,),)))))/(((VLOOKUP(EDATE(B46,-12),Database!$F:$AY,MATCH($J$1,Database!$F$1:$AY$1,),))))</f>
        <v>-2.3137942942330464E-3</v>
      </c>
      <c r="K46" s="13">
        <f>((((VLOOKUP(B46,Database!$F:$AY,MATCH($K$1,Database!$F$1:$AY$1,),))))-(((VLOOKUP(EDATE(B46,-12),Database!$F:$AY,MATCH($K$1,Database!$F$1:$AY$1,),)))))/(((VLOOKUP(EDATE(B46,-12),Database!$F:$AY,MATCH($K$1,Database!$F$1:$AY$1,),))))</f>
        <v>-1.731601978501119E-2</v>
      </c>
      <c r="L46" s="13">
        <f>((((VLOOKUP(B46,Database!$F:$AY,MATCH($L$1,Database!$F$1:$AY$1,),))))-(((VLOOKUP(EDATE(B46,-12),Database!$F:$AY,MATCH($L$1,Database!$F$1:$AY$1,),)))))/(((VLOOKUP(EDATE(B46,-12),Database!$F:$AY,MATCH($L$1,Database!$F$1:$AY$1,),))))</f>
        <v>4.1577869807337756E-2</v>
      </c>
      <c r="M46" s="13" t="e">
        <f>((((VLOOKUP(B46,Database!$F:$AY,MATCH($M$1,Database!$F$1:$AY$1,),))))-(((VLOOKUP(EDATE(B46,-12),Database!$F:$AY,MATCH($M$1,Database!$F$1:$AY$1,),)))))/(((VLOOKUP(EDATE(B46,-12),Database!$F:$AY,MATCH($M$1,Database!$F$1:$AY$1,),))))</f>
        <v>#DIV/0!</v>
      </c>
      <c r="N46" s="13" t="e">
        <f>((((VLOOKUP(B46,Database!$F:$AY,MATCH($N$1,Database!$F$1:$AY$1,),))))-(((VLOOKUP(EDATE(B46,-12),Database!$F:$AY,MATCH($N$1,Database!$F$1:$AY$1,),)))))/(((VLOOKUP(EDATE(B46,-12),Database!$F:$AY,MATCH($N$1,Database!$F$1:$AY$1,),))))</f>
        <v>#DIV/0!</v>
      </c>
      <c r="O46" s="13">
        <f>((((VLOOKUP(B46,Database!$F:$AY,MATCH($O$1,Database!$F$1:$AY$1,),))))-(((VLOOKUP(EDATE(B46,-12),Database!$F:$AY,MATCH($O$1,Database!$F$1:$AY$1,),)))))/(((VLOOKUP(EDATE(B46,-12),Database!$F:$AY,MATCH($O$1,Database!$F$1:$AY$1,),))))</f>
        <v>-1.050059824376919E-2</v>
      </c>
      <c r="P46" s="13">
        <f>((((VLOOKUP(B46,Database!$F:$AY,MATCH($P$1,Database!$F$1:$AY$1,),))))-(((VLOOKUP(EDATE(B46,-12),Database!$F:$AY,MATCH($P$1,Database!$F$1:$AY$1,),)))))/(((VLOOKUP(EDATE(B46,-12),Database!$F:$AY,MATCH($P$1,Database!$F$1:$AY$1,),))))</f>
        <v>0.100095733769985</v>
      </c>
      <c r="Q46" s="13">
        <f>((((VLOOKUP(B46,Database!$F:$AY,MATCH($Q$1,Database!$F$1:$AY$1,),))))-(((VLOOKUP(EDATE(B46,-12),Database!$F:$AY,MATCH($Q$1,Database!$F$1:$AY$1,),)))))/(((VLOOKUP(EDATE(B46,-12),Database!$F:$AY,MATCH($Q$1,Database!$F$1:$AY$1,),))))</f>
        <v>-3.9334027531701218E-2</v>
      </c>
      <c r="R46" s="13">
        <f>((((VLOOKUP(B46,Database!$F:$AY,MATCH($R$1,Database!$F$1:$AY$1,),))))-(((VLOOKUP(EDATE(B46,-12),Database!$F:$AY,MATCH($R$1,Database!$F$1:$AY$1,),)))))/(((VLOOKUP(EDATE(B46,-12),Database!$F:$AY,MATCH($R$1,Database!$F$1:$AY$1,),))))</f>
        <v>-1.8939247051219937E-2</v>
      </c>
      <c r="S46" s="13">
        <f>((((VLOOKUP(B46,Database!$F:$AY,MATCH($S$1,Database!$F$1:$AY$1,),))))-(((VLOOKUP(EDATE(B46,-12),Database!$F:$AY,MATCH($S$1,Database!$F$1:$AY$1,),)))))/(((VLOOKUP(EDATE(B46,-12),Database!$F:$AY,MATCH($S$1,Database!$F$1:$AY$1,),))))</f>
        <v>8.8608161380828915E-2</v>
      </c>
      <c r="T46" s="13">
        <f>((((VLOOKUP(B46,Database!$F:$AY,MATCH($T$1,Database!$F$1:$AY$1,),))))-(((VLOOKUP(EDATE(B46,-12),Database!$F:$AY,MATCH($T$1,Database!$F$1:$AY$1,),)))))/(((VLOOKUP(EDATE(B46,-12),Database!$F:$AY,MATCH($T$1,Database!$F$1:$AY$1,),))))</f>
        <v>6.0239947658298244E-3</v>
      </c>
      <c r="U46" s="13">
        <f>((((VLOOKUP(B46,Database!$F:$AY,MATCH($U$1,Database!$F$1:$AY$1,),))))-(((VLOOKUP(EDATE(B46,-12),Database!$F:$AY,MATCH($U$1,Database!$F$1:$AY$1,),)))))/(((VLOOKUP(EDATE(B46,-12),Database!$F:$AY,MATCH($U$1,Database!$F$1:$AY$1,),))))</f>
        <v>-0.28020913534511199</v>
      </c>
      <c r="V46" s="13">
        <f>((((VLOOKUP(B46,Database!$F:$AY,MATCH($V$1,Database!$F$1:$AY$1,),))))-(((VLOOKUP(EDATE(B46,-12),Database!$F:$AY,MATCH($V$1,Database!$F$1:$AY$1,),)))))/(((VLOOKUP(EDATE(B46,-12),Database!$F:$AY,MATCH($V$1,Database!$F$1:$AY$1,),))))</f>
        <v>-0.23883879104937483</v>
      </c>
    </row>
    <row r="47" spans="1:22" s="85" customFormat="1" x14ac:dyDescent="0.2">
      <c r="A47" s="44"/>
      <c r="B47" s="91">
        <v>33573</v>
      </c>
      <c r="C47" s="13">
        <f>((((VLOOKUP(B47,Database!$F:$AY,MATCH($C$1,Database!$F$1:$AY$1,),))))-(((VLOOKUP(EDATE(B47,-12),Database!$F:$AY,MATCH($C$1,Database!$F$1:$AY$1,),)))))/(((VLOOKUP(EDATE(B47,-12),Database!$F:$AY,MATCH($C$1,Database!$F$1:$AY$1,),))))</f>
        <v>8.4595437813533934E-3</v>
      </c>
      <c r="D47" s="13">
        <f>((((VLOOKUP(B47,Database!$F:$AY,MATCH($D$1,Database!$F$1:$AY$1,),))))-(((VLOOKUP(EDATE(B47,-12),Database!$F:$AY,MATCH($D$1,Database!$F$1:$AY$1,),)))))/(((VLOOKUP(EDATE(B47,-12),Database!$F:$AY,MATCH($D$1,Database!$F$1:$AY$1,),))))</f>
        <v>7.6944652680697848E-4</v>
      </c>
      <c r="E47" s="13">
        <f>((((VLOOKUP(B47,Database!$F:$AY,MATCH($E$1,Database!$F$1:$AY$1,),))))-(((VLOOKUP(EDATE(B47,-12),Database!$F:$AY,MATCH($E$1,Database!$F$1:$AY$1,),)))))/(((VLOOKUP(EDATE(B47,-12),Database!$F:$AY,MATCH($E$1,Database!$F$1:$AY$1,),))))</f>
        <v>-2.087356296030176E-2</v>
      </c>
      <c r="F47" s="13">
        <f>((((VLOOKUP(B47,Database!$F:$AY,MATCH($F$1,Database!$F$1:$AY$1,),))))-(((VLOOKUP(EDATE(B47,-12),Database!$F:$AY,MATCH($F$1,Database!$F$1:$AY$1,),)))))/(((VLOOKUP(EDATE(B47,-12),Database!$F:$AY,MATCH($F$1,Database!$F$1:$AY$1,),))))</f>
        <v>9.0525488996160315E-3</v>
      </c>
      <c r="G47" s="13">
        <f>((((VLOOKUP(B47,Database!$F:$AY,MATCH($G$1,Database!$F$1:$AY$1,),))))-(((VLOOKUP(EDATE(B47,-12),Database!$F:$AY,MATCH($G$1,Database!$F$1:$AY$1,),)))))/(((VLOOKUP(EDATE(B47,-12),Database!$F:$AY,MATCH($G$1,Database!$F$1:$AY$1,),))))</f>
        <v>2.175882492332116E-4</v>
      </c>
      <c r="H47" s="13">
        <f>((((VLOOKUP(B47,Database!$F:$AY,MATCH($H$1,Database!$F$1:$AY$1,),))))-(((VLOOKUP(EDATE(B47,-12),Database!$F:$AY,MATCH($H$1,Database!$F$1:$AY$1,),)))))/(((VLOOKUP(EDATE(B47,-12),Database!$F:$AY,MATCH($H$1,Database!$F$1:$AY$1,),))))</f>
        <v>-1.731160524476422E-2</v>
      </c>
      <c r="I47" s="13">
        <f>((((VLOOKUP(B47,Database!$F:$AY,MATCH($I$1,Database!$F$1:$AY$1,),))))-(((VLOOKUP(EDATE(B47,-12),Database!$F:$AY,MATCH($I$1,Database!$F$1:$AY$1,),)))))/(((VLOOKUP(EDATE(B47,-12),Database!$F:$AY,MATCH($I$1,Database!$F$1:$AY$1,),))))</f>
        <v>-1.0859727687735084E-2</v>
      </c>
      <c r="J47" s="13">
        <f>((((VLOOKUP(B47,Database!$F:$AY,MATCH($J$1,Database!$F$1:$AY$1,),))))-(((VLOOKUP(EDATE(B47,-12),Database!$F:$AY,MATCH($J$1,Database!$F$1:$AY$1,),)))))/(((VLOOKUP(EDATE(B47,-12),Database!$F:$AY,MATCH($J$1,Database!$F$1:$AY$1,),))))</f>
        <v>1.2646758805528346E-2</v>
      </c>
      <c r="K47" s="13">
        <f>((((VLOOKUP(B47,Database!$F:$AY,MATCH($K$1,Database!$F$1:$AY$1,),))))-(((VLOOKUP(EDATE(B47,-12),Database!$F:$AY,MATCH($K$1,Database!$F$1:$AY$1,),)))))/(((VLOOKUP(EDATE(B47,-12),Database!$F:$AY,MATCH($K$1,Database!$F$1:$AY$1,),))))</f>
        <v>-4.4222643590281586E-2</v>
      </c>
      <c r="L47" s="13">
        <f>((((VLOOKUP(B47,Database!$F:$AY,MATCH($L$1,Database!$F$1:$AY$1,),))))-(((VLOOKUP(EDATE(B47,-12),Database!$F:$AY,MATCH($L$1,Database!$F$1:$AY$1,),)))))/(((VLOOKUP(EDATE(B47,-12),Database!$F:$AY,MATCH($L$1,Database!$F$1:$AY$1,),))))</f>
        <v>3.9956890885843033E-2</v>
      </c>
      <c r="M47" s="13" t="e">
        <f>((((VLOOKUP(B47,Database!$F:$AY,MATCH($M$1,Database!$F$1:$AY$1,),))))-(((VLOOKUP(EDATE(B47,-12),Database!$F:$AY,MATCH($M$1,Database!$F$1:$AY$1,),)))))/(((VLOOKUP(EDATE(B47,-12),Database!$F:$AY,MATCH($M$1,Database!$F$1:$AY$1,),))))</f>
        <v>#DIV/0!</v>
      </c>
      <c r="N47" s="13" t="e">
        <f>((((VLOOKUP(B47,Database!$F:$AY,MATCH($N$1,Database!$F$1:$AY$1,),))))-(((VLOOKUP(EDATE(B47,-12),Database!$F:$AY,MATCH($N$1,Database!$F$1:$AY$1,),)))))/(((VLOOKUP(EDATE(B47,-12),Database!$F:$AY,MATCH($N$1,Database!$F$1:$AY$1,),))))</f>
        <v>#DIV/0!</v>
      </c>
      <c r="O47" s="13">
        <f>((((VLOOKUP(B47,Database!$F:$AY,MATCH($O$1,Database!$F$1:$AY$1,),))))-(((VLOOKUP(EDATE(B47,-12),Database!$F:$AY,MATCH($O$1,Database!$F$1:$AY$1,),)))))/(((VLOOKUP(EDATE(B47,-12),Database!$F:$AY,MATCH($O$1,Database!$F$1:$AY$1,),))))</f>
        <v>-1.3062735792462449E-2</v>
      </c>
      <c r="P47" s="13">
        <f>((((VLOOKUP(B47,Database!$F:$AY,MATCH($P$1,Database!$F$1:$AY$1,),))))-(((VLOOKUP(EDATE(B47,-12),Database!$F:$AY,MATCH($P$1,Database!$F$1:$AY$1,),)))))/(((VLOOKUP(EDATE(B47,-12),Database!$F:$AY,MATCH($P$1,Database!$F$1:$AY$1,),))))</f>
        <v>8.0568714021643659E-2</v>
      </c>
      <c r="Q47" s="13">
        <f>((((VLOOKUP(B47,Database!$F:$AY,MATCH($Q$1,Database!$F$1:$AY$1,),))))-(((VLOOKUP(EDATE(B47,-12),Database!$F:$AY,MATCH($Q$1,Database!$F$1:$AY$1,),)))))/(((VLOOKUP(EDATE(B47,-12),Database!$F:$AY,MATCH($Q$1,Database!$F$1:$AY$1,),))))</f>
        <v>-3.8983796593445877E-2</v>
      </c>
      <c r="R47" s="13">
        <f>((((VLOOKUP(B47,Database!$F:$AY,MATCH($R$1,Database!$F$1:$AY$1,),))))-(((VLOOKUP(EDATE(B47,-12),Database!$F:$AY,MATCH($R$1,Database!$F$1:$AY$1,),)))))/(((VLOOKUP(EDATE(B47,-12),Database!$F:$AY,MATCH($R$1,Database!$F$1:$AY$1,),))))</f>
        <v>-5.6994155837107686E-2</v>
      </c>
      <c r="S47" s="13">
        <f>((((VLOOKUP(B47,Database!$F:$AY,MATCH($S$1,Database!$F$1:$AY$1,),))))-(((VLOOKUP(EDATE(B47,-12),Database!$F:$AY,MATCH($S$1,Database!$F$1:$AY$1,),)))))/(((VLOOKUP(EDATE(B47,-12),Database!$F:$AY,MATCH($S$1,Database!$F$1:$AY$1,),))))</f>
        <v>1.6326398799483027E-2</v>
      </c>
      <c r="T47" s="13">
        <f>((((VLOOKUP(B47,Database!$F:$AY,MATCH($T$1,Database!$F$1:$AY$1,),))))-(((VLOOKUP(EDATE(B47,-12),Database!$F:$AY,MATCH($T$1,Database!$F$1:$AY$1,),)))))/(((VLOOKUP(EDATE(B47,-12),Database!$F:$AY,MATCH($T$1,Database!$F$1:$AY$1,),))))</f>
        <v>4.0880450729384607E-2</v>
      </c>
      <c r="U47" s="13">
        <f>((((VLOOKUP(B47,Database!$F:$AY,MATCH($U$1,Database!$F$1:$AY$1,),))))-(((VLOOKUP(EDATE(B47,-12),Database!$F:$AY,MATCH($U$1,Database!$F$1:$AY$1,),)))))/(((VLOOKUP(EDATE(B47,-12),Database!$F:$AY,MATCH($U$1,Database!$F$1:$AY$1,),))))</f>
        <v>-0.34277316658044099</v>
      </c>
      <c r="V47" s="13">
        <f>((((VLOOKUP(B47,Database!$F:$AY,MATCH($V$1,Database!$F$1:$AY$1,),))))-(((VLOOKUP(EDATE(B47,-12),Database!$F:$AY,MATCH($V$1,Database!$F$1:$AY$1,),)))))/(((VLOOKUP(EDATE(B47,-12),Database!$F:$AY,MATCH($V$1,Database!$F$1:$AY$1,),))))</f>
        <v>-0.21115009725216796</v>
      </c>
    </row>
    <row r="48" spans="1:22" s="85" customFormat="1" x14ac:dyDescent="0.2">
      <c r="A48" s="44"/>
      <c r="B48" s="91">
        <v>33604</v>
      </c>
      <c r="C48" s="13">
        <f>((((VLOOKUP(B48,Database!$F:$AY,MATCH($C$1,Database!$F$1:$AY$1,),))))-(((VLOOKUP(EDATE(B48,-12),Database!$F:$AY,MATCH($C$1,Database!$F$1:$AY$1,),)))))/(((VLOOKUP(EDATE(B48,-12),Database!$F:$AY,MATCH($C$1,Database!$F$1:$AY$1,),))))</f>
        <v>7.1910072923287594E-3</v>
      </c>
      <c r="D48" s="13">
        <f>((((VLOOKUP(B48,Database!$F:$AY,MATCH($D$1,Database!$F$1:$AY$1,),))))-(((VLOOKUP(EDATE(B48,-12),Database!$F:$AY,MATCH($D$1,Database!$F$1:$AY$1,),)))))/(((VLOOKUP(EDATE(B48,-12),Database!$F:$AY,MATCH($D$1,Database!$F$1:$AY$1,),))))</f>
        <v>-6.0680013793560873E-3</v>
      </c>
      <c r="E48" s="13">
        <f>((((VLOOKUP(B48,Database!$F:$AY,MATCH($E$1,Database!$F$1:$AY$1,),))))-(((VLOOKUP(EDATE(B48,-12),Database!$F:$AY,MATCH($E$1,Database!$F$1:$AY$1,),)))))/(((VLOOKUP(EDATE(B48,-12),Database!$F:$AY,MATCH($E$1,Database!$F$1:$AY$1,),))))</f>
        <v>-3.392963692026299E-2</v>
      </c>
      <c r="F48" s="13">
        <f>((((VLOOKUP(B48,Database!$F:$AY,MATCH($F$1,Database!$F$1:$AY$1,),))))-(((VLOOKUP(EDATE(B48,-12),Database!$F:$AY,MATCH($F$1,Database!$F$1:$AY$1,),)))))/(((VLOOKUP(EDATE(B48,-12),Database!$F:$AY,MATCH($F$1,Database!$F$1:$AY$1,),))))</f>
        <v>-9.1621513469119717E-3</v>
      </c>
      <c r="G48" s="13">
        <f>((((VLOOKUP(B48,Database!$F:$AY,MATCH($G$1,Database!$F$1:$AY$1,),))))-(((VLOOKUP(EDATE(B48,-12),Database!$F:$AY,MATCH($G$1,Database!$F$1:$AY$1,),)))))/(((VLOOKUP(EDATE(B48,-12),Database!$F:$AY,MATCH($G$1,Database!$F$1:$AY$1,),))))</f>
        <v>-9.9925024803702717E-3</v>
      </c>
      <c r="H48" s="13">
        <f>((((VLOOKUP(B48,Database!$F:$AY,MATCH($H$1,Database!$F$1:$AY$1,),))))-(((VLOOKUP(EDATE(B48,-12),Database!$F:$AY,MATCH($H$1,Database!$F$1:$AY$1,),)))))/(((VLOOKUP(EDATE(B48,-12),Database!$F:$AY,MATCH($H$1,Database!$F$1:$AY$1,),))))</f>
        <v>-1.6326501611418211E-2</v>
      </c>
      <c r="I48" s="13">
        <f>((((VLOOKUP(B48,Database!$F:$AY,MATCH($I$1,Database!$F$1:$AY$1,),))))-(((VLOOKUP(EDATE(B48,-12),Database!$F:$AY,MATCH($I$1,Database!$F$1:$AY$1,),)))))/(((VLOOKUP(EDATE(B48,-12),Database!$F:$AY,MATCH($I$1,Database!$F$1:$AY$1,),))))</f>
        <v>-8.1005880780299563E-3</v>
      </c>
      <c r="J48" s="13">
        <f>((((VLOOKUP(B48,Database!$F:$AY,MATCH($J$1,Database!$F$1:$AY$1,),))))-(((VLOOKUP(EDATE(B48,-12),Database!$F:$AY,MATCH($J$1,Database!$F$1:$AY$1,),)))))/(((VLOOKUP(EDATE(B48,-12),Database!$F:$AY,MATCH($J$1,Database!$F$1:$AY$1,),))))</f>
        <v>-4.0541715078089577E-3</v>
      </c>
      <c r="K48" s="13">
        <f>((((VLOOKUP(B48,Database!$F:$AY,MATCH($K$1,Database!$F$1:$AY$1,),))))-(((VLOOKUP(EDATE(B48,-12),Database!$F:$AY,MATCH($K$1,Database!$F$1:$AY$1,),)))))/(((VLOOKUP(EDATE(B48,-12),Database!$F:$AY,MATCH($K$1,Database!$F$1:$AY$1,),))))</f>
        <v>-1.3005783441989794E-2</v>
      </c>
      <c r="L48" s="13">
        <f>((((VLOOKUP(B48,Database!$F:$AY,MATCH($L$1,Database!$F$1:$AY$1,),))))-(((VLOOKUP(EDATE(B48,-12),Database!$F:$AY,MATCH($L$1,Database!$F$1:$AY$1,),)))))/(((VLOOKUP(EDATE(B48,-12),Database!$F:$AY,MATCH($L$1,Database!$F$1:$AY$1,),))))</f>
        <v>1.3684175888943528E-2</v>
      </c>
      <c r="M48" s="13" t="e">
        <f>((((VLOOKUP(B48,Database!$F:$AY,MATCH($M$1,Database!$F$1:$AY$1,),))))-(((VLOOKUP(EDATE(B48,-12),Database!$F:$AY,MATCH($M$1,Database!$F$1:$AY$1,),)))))/(((VLOOKUP(EDATE(B48,-12),Database!$F:$AY,MATCH($M$1,Database!$F$1:$AY$1,),))))</f>
        <v>#DIV/0!</v>
      </c>
      <c r="N48" s="13" t="e">
        <f>((((VLOOKUP(B48,Database!$F:$AY,MATCH($N$1,Database!$F$1:$AY$1,),))))-(((VLOOKUP(EDATE(B48,-12),Database!$F:$AY,MATCH($N$1,Database!$F$1:$AY$1,),)))))/(((VLOOKUP(EDATE(B48,-12),Database!$F:$AY,MATCH($N$1,Database!$F$1:$AY$1,),))))</f>
        <v>#DIV/0!</v>
      </c>
      <c r="O48" s="13">
        <f>((((VLOOKUP(B48,Database!$F:$AY,MATCH($O$1,Database!$F$1:$AY$1,),))))-(((VLOOKUP(EDATE(B48,-12),Database!$F:$AY,MATCH($O$1,Database!$F$1:$AY$1,),)))))/(((VLOOKUP(EDATE(B48,-12),Database!$F:$AY,MATCH($O$1,Database!$F$1:$AY$1,),))))</f>
        <v>-4.2706103483665476E-3</v>
      </c>
      <c r="P48" s="13">
        <f>((((VLOOKUP(B48,Database!$F:$AY,MATCH($P$1,Database!$F$1:$AY$1,),))))-(((VLOOKUP(EDATE(B48,-12),Database!$F:$AY,MATCH($P$1,Database!$F$1:$AY$1,),)))))/(((VLOOKUP(EDATE(B48,-12),Database!$F:$AY,MATCH($P$1,Database!$F$1:$AY$1,),))))</f>
        <v>8.0399961612869275E-2</v>
      </c>
      <c r="Q48" s="13">
        <f>((((VLOOKUP(B48,Database!$F:$AY,MATCH($Q$1,Database!$F$1:$AY$1,),))))-(((VLOOKUP(EDATE(B48,-12),Database!$F:$AY,MATCH($Q$1,Database!$F$1:$AY$1,),)))))/(((VLOOKUP(EDATE(B48,-12),Database!$F:$AY,MATCH($Q$1,Database!$F$1:$AY$1,),))))</f>
        <v>-1.692600130372264E-2</v>
      </c>
      <c r="R48" s="13">
        <f>((((VLOOKUP(B48,Database!$F:$AY,MATCH($R$1,Database!$F$1:$AY$1,),))))-(((VLOOKUP(EDATE(B48,-12),Database!$F:$AY,MATCH($R$1,Database!$F$1:$AY$1,),)))))/(((VLOOKUP(EDATE(B48,-12),Database!$F:$AY,MATCH($R$1,Database!$F$1:$AY$1,),))))</f>
        <v>1.0574532256872269E-2</v>
      </c>
      <c r="S48" s="13">
        <f>((((VLOOKUP(B48,Database!$F:$AY,MATCH($S$1,Database!$F$1:$AY$1,),))))-(((VLOOKUP(EDATE(B48,-12),Database!$F:$AY,MATCH($S$1,Database!$F$1:$AY$1,),)))))/(((VLOOKUP(EDATE(B48,-12),Database!$F:$AY,MATCH($S$1,Database!$F$1:$AY$1,),))))</f>
        <v>7.4379918082963278E-2</v>
      </c>
      <c r="T48" s="13">
        <f>((((VLOOKUP(B48,Database!$F:$AY,MATCH($T$1,Database!$F$1:$AY$1,),))))-(((VLOOKUP(EDATE(B48,-12),Database!$F:$AY,MATCH($T$1,Database!$F$1:$AY$1,),)))))/(((VLOOKUP(EDATE(B48,-12),Database!$F:$AY,MATCH($T$1,Database!$F$1:$AY$1,),))))</f>
        <v>0.20652192030495292</v>
      </c>
      <c r="U48" s="13">
        <f>((((VLOOKUP(B48,Database!$F:$AY,MATCH($U$1,Database!$F$1:$AY$1,),))))-(((VLOOKUP(EDATE(B48,-12),Database!$F:$AY,MATCH($U$1,Database!$F$1:$AY$1,),)))))/(((VLOOKUP(EDATE(B48,-12),Database!$F:$AY,MATCH($U$1,Database!$F$1:$AY$1,),))))</f>
        <v>-0.23028270510058294</v>
      </c>
      <c r="V48" s="13">
        <f>((((VLOOKUP(B48,Database!$F:$AY,MATCH($V$1,Database!$F$1:$AY$1,),))))-(((VLOOKUP(EDATE(B48,-12),Database!$F:$AY,MATCH($V$1,Database!$F$1:$AY$1,),)))))/(((VLOOKUP(EDATE(B48,-12),Database!$F:$AY,MATCH($V$1,Database!$F$1:$AY$1,),))))</f>
        <v>-0.15391923709544097</v>
      </c>
    </row>
    <row r="49" spans="1:22" s="85" customFormat="1" x14ac:dyDescent="0.2">
      <c r="A49" s="44"/>
      <c r="B49" s="91">
        <v>33635</v>
      </c>
      <c r="C49" s="13">
        <f>((((VLOOKUP(B49,Database!$F:$AY,MATCH($C$1,Database!$F$1:$AY$1,),))))-(((VLOOKUP(EDATE(B49,-12),Database!$F:$AY,MATCH($C$1,Database!$F$1:$AY$1,),)))))/(((VLOOKUP(EDATE(B49,-12),Database!$F:$AY,MATCH($C$1,Database!$F$1:$AY$1,),))))</f>
        <v>2.1536951295736555E-2</v>
      </c>
      <c r="D49" s="13">
        <f>((((VLOOKUP(B49,Database!$F:$AY,MATCH($D$1,Database!$F$1:$AY$1,),))))-(((VLOOKUP(EDATE(B49,-12),Database!$F:$AY,MATCH($D$1,Database!$F$1:$AY$1,),)))))/(((VLOOKUP(EDATE(B49,-12),Database!$F:$AY,MATCH($D$1,Database!$F$1:$AY$1,),))))</f>
        <v>7.3619628890311444E-3</v>
      </c>
      <c r="E49" s="13">
        <f>((((VLOOKUP(B49,Database!$F:$AY,MATCH($E$1,Database!$F$1:$AY$1,),))))-(((VLOOKUP(EDATE(B49,-12),Database!$F:$AY,MATCH($E$1,Database!$F$1:$AY$1,),)))))/(((VLOOKUP(EDATE(B49,-12),Database!$F:$AY,MATCH($E$1,Database!$F$1:$AY$1,),))))</f>
        <v>-4.0376141530843512E-2</v>
      </c>
      <c r="F49" s="13">
        <f>((((VLOOKUP(B49,Database!$F:$AY,MATCH($F$1,Database!$F$1:$AY$1,),))))-(((VLOOKUP(EDATE(B49,-12),Database!$F:$AY,MATCH($F$1,Database!$F$1:$AY$1,),)))))/(((VLOOKUP(EDATE(B49,-12),Database!$F:$AY,MATCH($F$1,Database!$F$1:$AY$1,),))))</f>
        <v>1.9867482999577069E-2</v>
      </c>
      <c r="G49" s="13">
        <f>((((VLOOKUP(B49,Database!$F:$AY,MATCH($G$1,Database!$F$1:$AY$1,),))))-(((VLOOKUP(EDATE(B49,-12),Database!$F:$AY,MATCH($G$1,Database!$F$1:$AY$1,),)))))/(((VLOOKUP(EDATE(B49,-12),Database!$F:$AY,MATCH($G$1,Database!$F$1:$AY$1,),))))</f>
        <v>-1.3058492822798655E-2</v>
      </c>
      <c r="H49" s="13">
        <f>((((VLOOKUP(B49,Database!$F:$AY,MATCH($H$1,Database!$F$1:$AY$1,),))))-(((VLOOKUP(EDATE(B49,-12),Database!$F:$AY,MATCH($H$1,Database!$F$1:$AY$1,),)))))/(((VLOOKUP(EDATE(B49,-12),Database!$F:$AY,MATCH($H$1,Database!$F$1:$AY$1,),))))</f>
        <v>-9.1930641797041933E-3</v>
      </c>
      <c r="I49" s="13">
        <f>((((VLOOKUP(B49,Database!$F:$AY,MATCH($I$1,Database!$F$1:$AY$1,),))))-(((VLOOKUP(EDATE(B49,-12),Database!$F:$AY,MATCH($I$1,Database!$F$1:$AY$1,),)))))/(((VLOOKUP(EDATE(B49,-12),Database!$F:$AY,MATCH($I$1,Database!$F$1:$AY$1,),))))</f>
        <v>1.1009175995427138E-2</v>
      </c>
      <c r="J49" s="13">
        <f>((((VLOOKUP(B49,Database!$F:$AY,MATCH($J$1,Database!$F$1:$AY$1,),))))-(((VLOOKUP(EDATE(B49,-12),Database!$F:$AY,MATCH($J$1,Database!$F$1:$AY$1,),)))))/(((VLOOKUP(EDATE(B49,-12),Database!$F:$AY,MATCH($J$1,Database!$F$1:$AY$1,),))))</f>
        <v>1.4092210799446447E-2</v>
      </c>
      <c r="K49" s="13">
        <f>((((VLOOKUP(B49,Database!$F:$AY,MATCH($K$1,Database!$F$1:$AY$1,),))))-(((VLOOKUP(EDATE(B49,-12),Database!$F:$AY,MATCH($K$1,Database!$F$1:$AY$1,),)))))/(((VLOOKUP(EDATE(B49,-12),Database!$F:$AY,MATCH($K$1,Database!$F$1:$AY$1,),))))</f>
        <v>-1.731601978501119E-2</v>
      </c>
      <c r="L49" s="13">
        <f>((((VLOOKUP(B49,Database!$F:$AY,MATCH($L$1,Database!$F$1:$AY$1,),))))-(((VLOOKUP(EDATE(B49,-12),Database!$F:$AY,MATCH($L$1,Database!$F$1:$AY$1,),)))))/(((VLOOKUP(EDATE(B49,-12),Database!$F:$AY,MATCH($L$1,Database!$F$1:$AY$1,),))))</f>
        <v>1.3669787899754104E-2</v>
      </c>
      <c r="M49" s="13" t="e">
        <f>((((VLOOKUP(B49,Database!$F:$AY,MATCH($M$1,Database!$F$1:$AY$1,),))))-(((VLOOKUP(EDATE(B49,-12),Database!$F:$AY,MATCH($M$1,Database!$F$1:$AY$1,),)))))/(((VLOOKUP(EDATE(B49,-12),Database!$F:$AY,MATCH($M$1,Database!$F$1:$AY$1,),))))</f>
        <v>#DIV/0!</v>
      </c>
      <c r="N49" s="13" t="e">
        <f>((((VLOOKUP(B49,Database!$F:$AY,MATCH($N$1,Database!$F$1:$AY$1,),))))-(((VLOOKUP(EDATE(B49,-12),Database!$F:$AY,MATCH($N$1,Database!$F$1:$AY$1,),)))))/(((VLOOKUP(EDATE(B49,-12),Database!$F:$AY,MATCH($N$1,Database!$F$1:$AY$1,),))))</f>
        <v>#DIV/0!</v>
      </c>
      <c r="O49" s="13">
        <f>((((VLOOKUP(B49,Database!$F:$AY,MATCH($O$1,Database!$F$1:$AY$1,),))))-(((VLOOKUP(EDATE(B49,-12),Database!$F:$AY,MATCH($O$1,Database!$F$1:$AY$1,),)))))/(((VLOOKUP(EDATE(B49,-12),Database!$F:$AY,MATCH($O$1,Database!$F$1:$AY$1,),))))</f>
        <v>1.2332325195939424E-2</v>
      </c>
      <c r="P49" s="13">
        <f>((((VLOOKUP(B49,Database!$F:$AY,MATCH($P$1,Database!$F$1:$AY$1,),))))-(((VLOOKUP(EDATE(B49,-12),Database!$F:$AY,MATCH($P$1,Database!$F$1:$AY$1,),)))))/(((VLOOKUP(EDATE(B49,-12),Database!$F:$AY,MATCH($P$1,Database!$F$1:$AY$1,),))))</f>
        <v>0.10413098826961383</v>
      </c>
      <c r="Q49" s="13">
        <f>((((VLOOKUP(B49,Database!$F:$AY,MATCH($Q$1,Database!$F$1:$AY$1,),))))-(((VLOOKUP(EDATE(B49,-12),Database!$F:$AY,MATCH($Q$1,Database!$F$1:$AY$1,),)))))/(((VLOOKUP(EDATE(B49,-12),Database!$F:$AY,MATCH($Q$1,Database!$F$1:$AY$1,),))))</f>
        <v>3.3712677609205016E-2</v>
      </c>
      <c r="R49" s="13">
        <f>((((VLOOKUP(B49,Database!$F:$AY,MATCH($R$1,Database!$F$1:$AY$1,),))))-(((VLOOKUP(EDATE(B49,-12),Database!$F:$AY,MATCH($R$1,Database!$F$1:$AY$1,),)))))/(((VLOOKUP(EDATE(B49,-12),Database!$F:$AY,MATCH($R$1,Database!$F$1:$AY$1,),))))</f>
        <v>-2.4518409937768229E-2</v>
      </c>
      <c r="S49" s="13">
        <f>((((VLOOKUP(B49,Database!$F:$AY,MATCH($S$1,Database!$F$1:$AY$1,),))))-(((VLOOKUP(EDATE(B49,-12),Database!$F:$AY,MATCH($S$1,Database!$F$1:$AY$1,),)))))/(((VLOOKUP(EDATE(B49,-12),Database!$F:$AY,MATCH($S$1,Database!$F$1:$AY$1,),))))</f>
        <v>5.7377648623736732E-2</v>
      </c>
      <c r="T49" s="13">
        <f>((((VLOOKUP(B49,Database!$F:$AY,MATCH($T$1,Database!$F$1:$AY$1,),))))-(((VLOOKUP(EDATE(B49,-12),Database!$F:$AY,MATCH($T$1,Database!$F$1:$AY$1,),)))))/(((VLOOKUP(EDATE(B49,-12),Database!$F:$AY,MATCH($T$1,Database!$F$1:$AY$1,),))))</f>
        <v>2.4844614396477824E-2</v>
      </c>
      <c r="U49" s="13">
        <f>((((VLOOKUP(B49,Database!$F:$AY,MATCH($U$1,Database!$F$1:$AY$1,),))))-(((VLOOKUP(EDATE(B49,-12),Database!$F:$AY,MATCH($U$1,Database!$F$1:$AY$1,),)))))/(((VLOOKUP(EDATE(B49,-12),Database!$F:$AY,MATCH($U$1,Database!$F$1:$AY$1,),))))</f>
        <v>-0.1634443871935165</v>
      </c>
      <c r="V49" s="13">
        <f>((((VLOOKUP(B49,Database!$F:$AY,MATCH($V$1,Database!$F$1:$AY$1,),))))-(((VLOOKUP(EDATE(B49,-12),Database!$F:$AY,MATCH($V$1,Database!$F$1:$AY$1,),)))))/(((VLOOKUP(EDATE(B49,-12),Database!$F:$AY,MATCH($V$1,Database!$F$1:$AY$1,),))))</f>
        <v>-9.2530842814988204E-2</v>
      </c>
    </row>
    <row r="50" spans="1:22" s="85" customFormat="1" x14ac:dyDescent="0.2">
      <c r="A50" s="44"/>
      <c r="B50" s="91">
        <v>33664</v>
      </c>
      <c r="C50" s="13">
        <f>((((VLOOKUP(B50,Database!$F:$AY,MATCH($C$1,Database!$F$1:$AY$1,),))))-(((VLOOKUP(EDATE(B50,-12),Database!$F:$AY,MATCH($C$1,Database!$F$1:$AY$1,),)))))/(((VLOOKUP(EDATE(B50,-12),Database!$F:$AY,MATCH($C$1,Database!$F$1:$AY$1,),))))</f>
        <v>3.5451243583226599E-2</v>
      </c>
      <c r="D50" s="13">
        <f>((((VLOOKUP(B50,Database!$F:$AY,MATCH($D$1,Database!$F$1:$AY$1,),))))-(((VLOOKUP(EDATE(B50,-12),Database!$F:$AY,MATCH($D$1,Database!$F$1:$AY$1,),)))))/(((VLOOKUP(EDATE(B50,-12),Database!$F:$AY,MATCH($D$1,Database!$F$1:$AY$1,),))))</f>
        <v>8.6741842351667833E-3</v>
      </c>
      <c r="E50" s="13">
        <f>((((VLOOKUP(B50,Database!$F:$AY,MATCH($E$1,Database!$F$1:$AY$1,),))))-(((VLOOKUP(EDATE(B50,-12),Database!$F:$AY,MATCH($E$1,Database!$F$1:$AY$1,),)))))/(((VLOOKUP(EDATE(B50,-12),Database!$F:$AY,MATCH($E$1,Database!$F$1:$AY$1,),))))</f>
        <v>-4.5497710953959235E-2</v>
      </c>
      <c r="F50" s="13">
        <f>((((VLOOKUP(B50,Database!$F:$AY,MATCH($F$1,Database!$F$1:$AY$1,),))))-(((VLOOKUP(EDATE(B50,-12),Database!$F:$AY,MATCH($F$1,Database!$F$1:$AY$1,),)))))/(((VLOOKUP(EDATE(B50,-12),Database!$F:$AY,MATCH($F$1,Database!$F$1:$AY$1,),))))</f>
        <v>-2.6666222185183523E-3</v>
      </c>
      <c r="G50" s="13">
        <f>((((VLOOKUP(B50,Database!$F:$AY,MATCH($G$1,Database!$F$1:$AY$1,),))))-(((VLOOKUP(EDATE(B50,-12),Database!$F:$AY,MATCH($G$1,Database!$F$1:$AY$1,),)))))/(((VLOOKUP(EDATE(B50,-12),Database!$F:$AY,MATCH($G$1,Database!$F$1:$AY$1,),))))</f>
        <v>8.9598250713828279E-3</v>
      </c>
      <c r="H50" s="13">
        <f>((((VLOOKUP(B50,Database!$F:$AY,MATCH($H$1,Database!$F$1:$AY$1,),))))-(((VLOOKUP(EDATE(B50,-12),Database!$F:$AY,MATCH($H$1,Database!$F$1:$AY$1,),)))))/(((VLOOKUP(EDATE(B50,-12),Database!$F:$AY,MATCH($H$1,Database!$F$1:$AY$1,),))))</f>
        <v>-3.0960488444027805E-3</v>
      </c>
      <c r="I50" s="13">
        <f>((((VLOOKUP(B50,Database!$F:$AY,MATCH($I$1,Database!$F$1:$AY$1,),))))-(((VLOOKUP(EDATE(B50,-12),Database!$F:$AY,MATCH($I$1,Database!$F$1:$AY$1,),)))))/(((VLOOKUP(EDATE(B50,-12),Database!$F:$AY,MATCH($I$1,Database!$F$1:$AY$1,),))))</f>
        <v>1.4759528005092559E-2</v>
      </c>
      <c r="J50" s="13">
        <f>((((VLOOKUP(B50,Database!$F:$AY,MATCH($J$1,Database!$F$1:$AY$1,),))))-(((VLOOKUP(EDATE(B50,-12),Database!$F:$AY,MATCH($J$1,Database!$F$1:$AY$1,),)))))/(((VLOOKUP(EDATE(B50,-12),Database!$F:$AY,MATCH($J$1,Database!$F$1:$AY$1,),))))</f>
        <v>3.6632831324984384E-2</v>
      </c>
      <c r="K50" s="13">
        <f>((((VLOOKUP(B50,Database!$F:$AY,MATCH($K$1,Database!$F$1:$AY$1,),))))-(((VLOOKUP(EDATE(B50,-12),Database!$F:$AY,MATCH($K$1,Database!$F$1:$AY$1,),)))))/(((VLOOKUP(EDATE(B50,-12),Database!$F:$AY,MATCH($K$1,Database!$F$1:$AY$1,),))))</f>
        <v>-1.7492715569660679E-2</v>
      </c>
      <c r="L50" s="13">
        <f>((((VLOOKUP(B50,Database!$F:$AY,MATCH($L$1,Database!$F$1:$AY$1,),))))-(((VLOOKUP(EDATE(B50,-12),Database!$F:$AY,MATCH($L$1,Database!$F$1:$AY$1,),)))))/(((VLOOKUP(EDATE(B50,-12),Database!$F:$AY,MATCH($L$1,Database!$F$1:$AY$1,),))))</f>
        <v>6.7868418910326175E-2</v>
      </c>
      <c r="M50" s="13" t="e">
        <f>((((VLOOKUP(B50,Database!$F:$AY,MATCH($M$1,Database!$F$1:$AY$1,),))))-(((VLOOKUP(EDATE(B50,-12),Database!$F:$AY,MATCH($M$1,Database!$F$1:$AY$1,),)))))/(((VLOOKUP(EDATE(B50,-12),Database!$F:$AY,MATCH($M$1,Database!$F$1:$AY$1,),))))</f>
        <v>#DIV/0!</v>
      </c>
      <c r="N50" s="13" t="e">
        <f>((((VLOOKUP(B50,Database!$F:$AY,MATCH($N$1,Database!$F$1:$AY$1,),))))-(((VLOOKUP(EDATE(B50,-12),Database!$F:$AY,MATCH($N$1,Database!$F$1:$AY$1,),)))))/(((VLOOKUP(EDATE(B50,-12),Database!$F:$AY,MATCH($N$1,Database!$F$1:$AY$1,),))))</f>
        <v>#DIV/0!</v>
      </c>
      <c r="O50" s="13">
        <f>((((VLOOKUP(B50,Database!$F:$AY,MATCH($O$1,Database!$F$1:$AY$1,),))))-(((VLOOKUP(EDATE(B50,-12),Database!$F:$AY,MATCH($O$1,Database!$F$1:$AY$1,),)))))/(((VLOOKUP(EDATE(B50,-12),Database!$F:$AY,MATCH($O$1,Database!$F$1:$AY$1,),))))</f>
        <v>1.0789491190084259E-2</v>
      </c>
      <c r="P50" s="13">
        <f>((((VLOOKUP(B50,Database!$F:$AY,MATCH($P$1,Database!$F$1:$AY$1,),))))-(((VLOOKUP(EDATE(B50,-12),Database!$F:$AY,MATCH($P$1,Database!$F$1:$AY$1,),)))))/(((VLOOKUP(EDATE(B50,-12),Database!$F:$AY,MATCH($P$1,Database!$F$1:$AY$1,),))))</f>
        <v>0.10093169017255682</v>
      </c>
      <c r="Q50" s="13">
        <f>((((VLOOKUP(B50,Database!$F:$AY,MATCH($Q$1,Database!$F$1:$AY$1,),))))-(((VLOOKUP(EDATE(B50,-12),Database!$F:$AY,MATCH($Q$1,Database!$F$1:$AY$1,),)))))/(((VLOOKUP(EDATE(B50,-12),Database!$F:$AY,MATCH($Q$1,Database!$F$1:$AY$1,),))))</f>
        <v>3.0328501987365742E-2</v>
      </c>
      <c r="R50" s="13">
        <f>((((VLOOKUP(B50,Database!$F:$AY,MATCH($R$1,Database!$F$1:$AY$1,),))))-(((VLOOKUP(EDATE(B50,-12),Database!$F:$AY,MATCH($R$1,Database!$F$1:$AY$1,),)))))/(((VLOOKUP(EDATE(B50,-12),Database!$F:$AY,MATCH($R$1,Database!$F$1:$AY$1,),))))</f>
        <v>-1.1388737392994215E-2</v>
      </c>
      <c r="S50" s="13">
        <f>((((VLOOKUP(B50,Database!$F:$AY,MATCH($S$1,Database!$F$1:$AY$1,),))))-(((VLOOKUP(EDATE(B50,-12),Database!$F:$AY,MATCH($S$1,Database!$F$1:$AY$1,),)))))/(((VLOOKUP(EDATE(B50,-12),Database!$F:$AY,MATCH($S$1,Database!$F$1:$AY$1,),))))</f>
        <v>0.14163106563234013</v>
      </c>
      <c r="T50" s="13">
        <f>((((VLOOKUP(B50,Database!$F:$AY,MATCH($T$1,Database!$F$1:$AY$1,),))))-(((VLOOKUP(EDATE(B50,-12),Database!$F:$AY,MATCH($T$1,Database!$F$1:$AY$1,),)))))/(((VLOOKUP(EDATE(B50,-12),Database!$F:$AY,MATCH($T$1,Database!$F$1:$AY$1,),))))</f>
        <v>-1.4881001988260971E-2</v>
      </c>
      <c r="U50" s="13">
        <f>((((VLOOKUP(B50,Database!$F:$AY,MATCH($U$1,Database!$F$1:$AY$1,),))))-(((VLOOKUP(EDATE(B50,-12),Database!$F:$AY,MATCH($U$1,Database!$F$1:$AY$1,),)))))/(((VLOOKUP(EDATE(B50,-12),Database!$F:$AY,MATCH($U$1,Database!$F$1:$AY$1,),))))</f>
        <v>-0.20211860240099266</v>
      </c>
      <c r="V50" s="13">
        <f>((((VLOOKUP(B50,Database!$F:$AY,MATCH($V$1,Database!$F$1:$AY$1,),))))-(((VLOOKUP(EDATE(B50,-12),Database!$F:$AY,MATCH($V$1,Database!$F$1:$AY$1,),)))))/(((VLOOKUP(EDATE(B50,-12),Database!$F:$AY,MATCH($V$1,Database!$F$1:$AY$1,),))))</f>
        <v>-4.5781268643513444E-2</v>
      </c>
    </row>
    <row r="51" spans="1:22" s="85" customFormat="1" x14ac:dyDescent="0.2">
      <c r="A51" s="44"/>
      <c r="B51" s="91">
        <v>33695</v>
      </c>
      <c r="C51" s="13">
        <f>((((VLOOKUP(B51,Database!$F:$AY,MATCH($C$1,Database!$F$1:$AY$1,),))))-(((VLOOKUP(EDATE(B51,-12),Database!$F:$AY,MATCH($C$1,Database!$F$1:$AY$1,),)))))/(((VLOOKUP(EDATE(B51,-12),Database!$F:$AY,MATCH($C$1,Database!$F$1:$AY$1,),))))</f>
        <v>4.1247466903521192E-2</v>
      </c>
      <c r="D51" s="13">
        <f>((((VLOOKUP(B51,Database!$F:$AY,MATCH($D$1,Database!$F$1:$AY$1,),))))-(((VLOOKUP(EDATE(B51,-12),Database!$F:$AY,MATCH($D$1,Database!$F$1:$AY$1,),)))))/(((VLOOKUP(EDATE(B51,-12),Database!$F:$AY,MATCH($D$1,Database!$F$1:$AY$1,),))))</f>
        <v>1.2468785323839519E-2</v>
      </c>
      <c r="E51" s="13">
        <f>((((VLOOKUP(B51,Database!$F:$AY,MATCH($E$1,Database!$F$1:$AY$1,),))))-(((VLOOKUP(EDATE(B51,-12),Database!$F:$AY,MATCH($E$1,Database!$F$1:$AY$1,),)))))/(((VLOOKUP(EDATE(B51,-12),Database!$F:$AY,MATCH($E$1,Database!$F$1:$AY$1,),))))</f>
        <v>-5.3824536703372838E-2</v>
      </c>
      <c r="F51" s="13">
        <f>((((VLOOKUP(B51,Database!$F:$AY,MATCH($F$1,Database!$F$1:$AY$1,),))))-(((VLOOKUP(EDATE(B51,-12),Database!$F:$AY,MATCH($F$1,Database!$F$1:$AY$1,),)))))/(((VLOOKUP(EDATE(B51,-12),Database!$F:$AY,MATCH($F$1,Database!$F$1:$AY$1,),))))</f>
        <v>4.0323252744180974E-3</v>
      </c>
      <c r="G51" s="13">
        <f>((((VLOOKUP(B51,Database!$F:$AY,MATCH($G$1,Database!$F$1:$AY$1,),))))-(((VLOOKUP(EDATE(B51,-12),Database!$F:$AY,MATCH($G$1,Database!$F$1:$AY$1,),)))))/(((VLOOKUP(EDATE(B51,-12),Database!$F:$AY,MATCH($G$1,Database!$F$1:$AY$1,),))))</f>
        <v>2.0765947736390484E-3</v>
      </c>
      <c r="H51" s="13">
        <f>((((VLOOKUP(B51,Database!$F:$AY,MATCH($H$1,Database!$F$1:$AY$1,),))))-(((VLOOKUP(EDATE(B51,-12),Database!$F:$AY,MATCH($H$1,Database!$F$1:$AY$1,),)))))/(((VLOOKUP(EDATE(B51,-12),Database!$F:$AY,MATCH($H$1,Database!$F$1:$AY$1,),))))</f>
        <v>1.673648010250129E-2</v>
      </c>
      <c r="I51" s="13">
        <f>((((VLOOKUP(B51,Database!$F:$AY,MATCH($I$1,Database!$F$1:$AY$1,),))))-(((VLOOKUP(EDATE(B51,-12),Database!$F:$AY,MATCH($I$1,Database!$F$1:$AY$1,),)))))/(((VLOOKUP(EDATE(B51,-12),Database!$F:$AY,MATCH($I$1,Database!$F$1:$AY$1,),))))</f>
        <v>2.7001306439732996E-2</v>
      </c>
      <c r="J51" s="13">
        <f>((((VLOOKUP(B51,Database!$F:$AY,MATCH($J$1,Database!$F$1:$AY$1,),))))-(((VLOOKUP(EDATE(B51,-12),Database!$F:$AY,MATCH($J$1,Database!$F$1:$AY$1,),)))))/(((VLOOKUP(EDATE(B51,-12),Database!$F:$AY,MATCH($J$1,Database!$F$1:$AY$1,),))))</f>
        <v>-3.4695950905834383E-2</v>
      </c>
      <c r="K51" s="13">
        <f>((((VLOOKUP(B51,Database!$F:$AY,MATCH($K$1,Database!$F$1:$AY$1,),))))-(((VLOOKUP(EDATE(B51,-12),Database!$F:$AY,MATCH($K$1,Database!$F$1:$AY$1,),)))))/(((VLOOKUP(EDATE(B51,-12),Database!$F:$AY,MATCH($K$1,Database!$F$1:$AY$1,),))))</f>
        <v>5.8650554775917475E-3</v>
      </c>
      <c r="L51" s="13">
        <f>((((VLOOKUP(B51,Database!$F:$AY,MATCH($L$1,Database!$F$1:$AY$1,),))))-(((VLOOKUP(EDATE(B51,-12),Database!$F:$AY,MATCH($L$1,Database!$F$1:$AY$1,),)))))/(((VLOOKUP(EDATE(B51,-12),Database!$F:$AY,MATCH($L$1,Database!$F$1:$AY$1,),))))</f>
        <v>3.174602942269926E-2</v>
      </c>
      <c r="M51" s="13" t="e">
        <f>((((VLOOKUP(B51,Database!$F:$AY,MATCH($M$1,Database!$F$1:$AY$1,),))))-(((VLOOKUP(EDATE(B51,-12),Database!$F:$AY,MATCH($M$1,Database!$F$1:$AY$1,),)))))/(((VLOOKUP(EDATE(B51,-12),Database!$F:$AY,MATCH($M$1,Database!$F$1:$AY$1,),))))</f>
        <v>#DIV/0!</v>
      </c>
      <c r="N51" s="13" t="e">
        <f>((((VLOOKUP(B51,Database!$F:$AY,MATCH($N$1,Database!$F$1:$AY$1,),))))-(((VLOOKUP(EDATE(B51,-12),Database!$F:$AY,MATCH($N$1,Database!$F$1:$AY$1,),)))))/(((VLOOKUP(EDATE(B51,-12),Database!$F:$AY,MATCH($N$1,Database!$F$1:$AY$1,),))))</f>
        <v>#DIV/0!</v>
      </c>
      <c r="O51" s="13">
        <f>((((VLOOKUP(B51,Database!$F:$AY,MATCH($O$1,Database!$F$1:$AY$1,),))))-(((VLOOKUP(EDATE(B51,-12),Database!$F:$AY,MATCH($O$1,Database!$F$1:$AY$1,),)))))/(((VLOOKUP(EDATE(B51,-12),Database!$F:$AY,MATCH($O$1,Database!$F$1:$AY$1,),))))</f>
        <v>1.9443470822385258E-2</v>
      </c>
      <c r="P51" s="13">
        <f>((((VLOOKUP(B51,Database!$F:$AY,MATCH($P$1,Database!$F$1:$AY$1,),))))-(((VLOOKUP(EDATE(B51,-12),Database!$F:$AY,MATCH($P$1,Database!$F$1:$AY$1,),)))))/(((VLOOKUP(EDATE(B51,-12),Database!$F:$AY,MATCH($P$1,Database!$F$1:$AY$1,),))))</f>
        <v>7.612643195543399E-2</v>
      </c>
      <c r="Q51" s="13">
        <f>((((VLOOKUP(B51,Database!$F:$AY,MATCH($Q$1,Database!$F$1:$AY$1,),))))-(((VLOOKUP(EDATE(B51,-12),Database!$F:$AY,MATCH($Q$1,Database!$F$1:$AY$1,),)))))/(((VLOOKUP(EDATE(B51,-12),Database!$F:$AY,MATCH($Q$1,Database!$F$1:$AY$1,),))))</f>
        <v>-2.9446587634856275E-2</v>
      </c>
      <c r="R51" s="13">
        <f>((((VLOOKUP(B51,Database!$F:$AY,MATCH($R$1,Database!$F$1:$AY$1,),))))-(((VLOOKUP(EDATE(B51,-12),Database!$F:$AY,MATCH($R$1,Database!$F$1:$AY$1,),)))))/(((VLOOKUP(EDATE(B51,-12),Database!$F:$AY,MATCH($R$1,Database!$F$1:$AY$1,),))))</f>
        <v>-3.4320510159348734E-2</v>
      </c>
      <c r="S51" s="13">
        <f>((((VLOOKUP(B51,Database!$F:$AY,MATCH($S$1,Database!$F$1:$AY$1,),))))-(((VLOOKUP(EDATE(B51,-12),Database!$F:$AY,MATCH($S$1,Database!$F$1:$AY$1,),)))))/(((VLOOKUP(EDATE(B51,-12),Database!$F:$AY,MATCH($S$1,Database!$F$1:$AY$1,),))))</f>
        <v>9.1667011533516501E-2</v>
      </c>
      <c r="T51" s="13">
        <f>((((VLOOKUP(B51,Database!$F:$AY,MATCH($T$1,Database!$F$1:$AY$1,),))))-(((VLOOKUP(EDATE(B51,-12),Database!$F:$AY,MATCH($T$1,Database!$F$1:$AY$1,),)))))/(((VLOOKUP(EDATE(B51,-12),Database!$F:$AY,MATCH($T$1,Database!$F$1:$AY$1,),))))</f>
        <v>2.795015237293047E-2</v>
      </c>
      <c r="U51" s="13">
        <f>((((VLOOKUP(B51,Database!$F:$AY,MATCH($U$1,Database!$F$1:$AY$1,),))))-(((VLOOKUP(EDATE(B51,-12),Database!$F:$AY,MATCH($U$1,Database!$F$1:$AY$1,),)))))/(((VLOOKUP(EDATE(B51,-12),Database!$F:$AY,MATCH($U$1,Database!$F$1:$AY$1,),))))</f>
        <v>-9.7953345459040442E-2</v>
      </c>
      <c r="V51" s="13">
        <f>((((VLOOKUP(B51,Database!$F:$AY,MATCH($V$1,Database!$F$1:$AY$1,),))))-(((VLOOKUP(EDATE(B51,-12),Database!$F:$AY,MATCH($V$1,Database!$F$1:$AY$1,),)))))/(((VLOOKUP(EDATE(B51,-12),Database!$F:$AY,MATCH($V$1,Database!$F$1:$AY$1,),))))</f>
        <v>1.8196190944418347E-2</v>
      </c>
    </row>
    <row r="52" spans="1:22" s="85" customFormat="1" x14ac:dyDescent="0.2">
      <c r="A52" s="44"/>
      <c r="B52" s="91">
        <v>33725</v>
      </c>
      <c r="C52" s="13">
        <f>((((VLOOKUP(B52,Database!$F:$AY,MATCH($C$1,Database!$F$1:$AY$1,),))))-(((VLOOKUP(EDATE(B52,-12),Database!$F:$AY,MATCH($C$1,Database!$F$1:$AY$1,),)))))/(((VLOOKUP(EDATE(B52,-12),Database!$F:$AY,MATCH($C$1,Database!$F$1:$AY$1,),))))</f>
        <v>3.4289494974085843E-2</v>
      </c>
      <c r="D52" s="13">
        <f>((((VLOOKUP(B52,Database!$F:$AY,MATCH($D$1,Database!$F$1:$AY$1,),))))-(((VLOOKUP(EDATE(B52,-12),Database!$F:$AY,MATCH($D$1,Database!$F$1:$AY$1,),)))))/(((VLOOKUP(EDATE(B52,-12),Database!$F:$AY,MATCH($D$1,Database!$F$1:$AY$1,),))))</f>
        <v>7.4906367041197375E-3</v>
      </c>
      <c r="E52" s="13">
        <f>((((VLOOKUP(B52,Database!$F:$AY,MATCH($E$1,Database!$F$1:$AY$1,),))))-(((VLOOKUP(EDATE(B52,-12),Database!$F:$AY,MATCH($E$1,Database!$F$1:$AY$1,),)))))/(((VLOOKUP(EDATE(B52,-12),Database!$F:$AY,MATCH($E$1,Database!$F$1:$AY$1,),))))</f>
        <v>-8.5046572216656818E-2</v>
      </c>
      <c r="F52" s="13">
        <f>((((VLOOKUP(B52,Database!$F:$AY,MATCH($F$1,Database!$F$1:$AY$1,),))))-(((VLOOKUP(EDATE(B52,-12),Database!$F:$AY,MATCH($F$1,Database!$F$1:$AY$1,),)))))/(((VLOOKUP(EDATE(B52,-12),Database!$F:$AY,MATCH($F$1,Database!$F$1:$AY$1,),))))</f>
        <v>1.3661247726928106E-2</v>
      </c>
      <c r="G52" s="13">
        <f>((((VLOOKUP(B52,Database!$F:$AY,MATCH($G$1,Database!$F$1:$AY$1,),))))-(((VLOOKUP(EDATE(B52,-12),Database!$F:$AY,MATCH($G$1,Database!$F$1:$AY$1,),)))))/(((VLOOKUP(EDATE(B52,-12),Database!$F:$AY,MATCH($G$1,Database!$F$1:$AY$1,),))))</f>
        <v>1.2007323157236054E-3</v>
      </c>
      <c r="H52" s="13">
        <f>((((VLOOKUP(B52,Database!$F:$AY,MATCH($H$1,Database!$F$1:$AY$1,),))))-(((VLOOKUP(EDATE(B52,-12),Database!$F:$AY,MATCH($H$1,Database!$F$1:$AY$1,),)))))/(((VLOOKUP(EDATE(B52,-12),Database!$F:$AY,MATCH($H$1,Database!$F$1:$AY$1,),))))</f>
        <v>-1.5511838464077466E-2</v>
      </c>
      <c r="I52" s="13">
        <f>((((VLOOKUP(B52,Database!$F:$AY,MATCH($I$1,Database!$F$1:$AY$1,),))))-(((VLOOKUP(EDATE(B52,-12),Database!$F:$AY,MATCH($I$1,Database!$F$1:$AY$1,),)))))/(((VLOOKUP(EDATE(B52,-12),Database!$F:$AY,MATCH($I$1,Database!$F$1:$AY$1,),))))</f>
        <v>1.1959602873837587E-2</v>
      </c>
      <c r="J52" s="13">
        <f>((((VLOOKUP(B52,Database!$F:$AY,MATCH($J$1,Database!$F$1:$AY$1,),))))-(((VLOOKUP(EDATE(B52,-12),Database!$F:$AY,MATCH($J$1,Database!$F$1:$AY$1,),)))))/(((VLOOKUP(EDATE(B52,-12),Database!$F:$AY,MATCH($J$1,Database!$F$1:$AY$1,),))))</f>
        <v>6.4363241622860199E-3</v>
      </c>
      <c r="K52" s="13">
        <f>((((VLOOKUP(B52,Database!$F:$AY,MATCH($K$1,Database!$F$1:$AY$1,),))))-(((VLOOKUP(EDATE(B52,-12),Database!$F:$AY,MATCH($K$1,Database!$F$1:$AY$1,),)))))/(((VLOOKUP(EDATE(B52,-12),Database!$F:$AY,MATCH($K$1,Database!$F$1:$AY$1,),))))</f>
        <v>0</v>
      </c>
      <c r="L52" s="13">
        <f>((((VLOOKUP(B52,Database!$F:$AY,MATCH($L$1,Database!$F$1:$AY$1,),))))-(((VLOOKUP(EDATE(B52,-12),Database!$F:$AY,MATCH($L$1,Database!$F$1:$AY$1,),)))))/(((VLOOKUP(EDATE(B52,-12),Database!$F:$AY,MATCH($L$1,Database!$F$1:$AY$1,),))))</f>
        <v>4.8370119415927698E-2</v>
      </c>
      <c r="M52" s="13" t="e">
        <f>((((VLOOKUP(B52,Database!$F:$AY,MATCH($M$1,Database!$F$1:$AY$1,),))))-(((VLOOKUP(EDATE(B52,-12),Database!$F:$AY,MATCH($M$1,Database!$F$1:$AY$1,),)))))/(((VLOOKUP(EDATE(B52,-12),Database!$F:$AY,MATCH($M$1,Database!$F$1:$AY$1,),))))</f>
        <v>#DIV/0!</v>
      </c>
      <c r="N52" s="13" t="e">
        <f>((((VLOOKUP(B52,Database!$F:$AY,MATCH($N$1,Database!$F$1:$AY$1,),))))-(((VLOOKUP(EDATE(B52,-12),Database!$F:$AY,MATCH($N$1,Database!$F$1:$AY$1,),)))))/(((VLOOKUP(EDATE(B52,-12),Database!$F:$AY,MATCH($N$1,Database!$F$1:$AY$1,),))))</f>
        <v>#DIV/0!</v>
      </c>
      <c r="O52" s="13">
        <f>((((VLOOKUP(B52,Database!$F:$AY,MATCH($O$1,Database!$F$1:$AY$1,),))))-(((VLOOKUP(EDATE(B52,-12),Database!$F:$AY,MATCH($O$1,Database!$F$1:$AY$1,),)))))/(((VLOOKUP(EDATE(B52,-12),Database!$F:$AY,MATCH($O$1,Database!$F$1:$AY$1,),))))</f>
        <v>6.6092809101761059E-3</v>
      </c>
      <c r="P52" s="13">
        <f>((((VLOOKUP(B52,Database!$F:$AY,MATCH($P$1,Database!$F$1:$AY$1,),))))-(((VLOOKUP(EDATE(B52,-12),Database!$F:$AY,MATCH($P$1,Database!$F$1:$AY$1,),)))))/(((VLOOKUP(EDATE(B52,-12),Database!$F:$AY,MATCH($P$1,Database!$F$1:$AY$1,),))))</f>
        <v>7.3729390369706008E-2</v>
      </c>
      <c r="Q52" s="13">
        <f>((((VLOOKUP(B52,Database!$F:$AY,MATCH($Q$1,Database!$F$1:$AY$1,),))))-(((VLOOKUP(EDATE(B52,-12),Database!$F:$AY,MATCH($Q$1,Database!$F$1:$AY$1,),)))))/(((VLOOKUP(EDATE(B52,-12),Database!$F:$AY,MATCH($Q$1,Database!$F$1:$AY$1,),))))</f>
        <v>-6.7717761663205894E-2</v>
      </c>
      <c r="R52" s="13">
        <f>((((VLOOKUP(B52,Database!$F:$AY,MATCH($R$1,Database!$F$1:$AY$1,),))))-(((VLOOKUP(EDATE(B52,-12),Database!$F:$AY,MATCH($R$1,Database!$F$1:$AY$1,),)))))/(((VLOOKUP(EDATE(B52,-12),Database!$F:$AY,MATCH($R$1,Database!$F$1:$AY$1,),))))</f>
        <v>-2.4089106582436574E-2</v>
      </c>
      <c r="S52" s="13">
        <f>((((VLOOKUP(B52,Database!$F:$AY,MATCH($S$1,Database!$F$1:$AY$1,),))))-(((VLOOKUP(EDATE(B52,-12),Database!$F:$AY,MATCH($S$1,Database!$F$1:$AY$1,),)))))/(((VLOOKUP(EDATE(B52,-12),Database!$F:$AY,MATCH($S$1,Database!$F$1:$AY$1,),))))</f>
        <v>0.12340379807588991</v>
      </c>
      <c r="T52" s="13">
        <f>((((VLOOKUP(B52,Database!$F:$AY,MATCH($T$1,Database!$F$1:$AY$1,),))))-(((VLOOKUP(EDATE(B52,-12),Database!$F:$AY,MATCH($T$1,Database!$F$1:$AY$1,),)))))/(((VLOOKUP(EDATE(B52,-12),Database!$F:$AY,MATCH($T$1,Database!$F$1:$AY$1,),))))</f>
        <v>8.9022259719578369E-3</v>
      </c>
      <c r="U52" s="13">
        <f>((((VLOOKUP(B52,Database!$F:$AY,MATCH($U$1,Database!$F$1:$AY$1,),))))-(((VLOOKUP(EDATE(B52,-12),Database!$F:$AY,MATCH($U$1,Database!$F$1:$AY$1,),)))))/(((VLOOKUP(EDATE(B52,-12),Database!$F:$AY,MATCH($U$1,Database!$F$1:$AY$1,),))))</f>
        <v>-6.6468578781532409E-2</v>
      </c>
      <c r="V52" s="13">
        <f>((((VLOOKUP(B52,Database!$F:$AY,MATCH($V$1,Database!$F$1:$AY$1,),))))-(((VLOOKUP(EDATE(B52,-12),Database!$F:$AY,MATCH($V$1,Database!$F$1:$AY$1,),)))))/(((VLOOKUP(EDATE(B52,-12),Database!$F:$AY,MATCH($V$1,Database!$F$1:$AY$1,),))))</f>
        <v>3.5683367453038684E-2</v>
      </c>
    </row>
    <row r="53" spans="1:22" s="85" customFormat="1" x14ac:dyDescent="0.2">
      <c r="A53" s="44"/>
      <c r="B53" s="91">
        <v>33756</v>
      </c>
      <c r="C53" s="13">
        <f>((((VLOOKUP(B53,Database!$F:$AY,MATCH($C$1,Database!$F$1:$AY$1,),))))-(((VLOOKUP(EDATE(B53,-12),Database!$F:$AY,MATCH($C$1,Database!$F$1:$AY$1,),)))))/(((VLOOKUP(EDATE(B53,-12),Database!$F:$AY,MATCH($C$1,Database!$F$1:$AY$1,),))))</f>
        <v>2.5100591593616772E-2</v>
      </c>
      <c r="D53" s="13">
        <f>((((VLOOKUP(B53,Database!$F:$AY,MATCH($D$1,Database!$F$1:$AY$1,),))))-(((VLOOKUP(EDATE(B53,-12),Database!$F:$AY,MATCH($D$1,Database!$F$1:$AY$1,),)))))/(((VLOOKUP(EDATE(B53,-12),Database!$F:$AY,MATCH($D$1,Database!$F$1:$AY$1,),))))</f>
        <v>-2.0807872645614515E-2</v>
      </c>
      <c r="E53" s="13">
        <f>((((VLOOKUP(B53,Database!$F:$AY,MATCH($E$1,Database!$F$1:$AY$1,),))))-(((VLOOKUP(EDATE(B53,-12),Database!$F:$AY,MATCH($E$1,Database!$F$1:$AY$1,),)))))/(((VLOOKUP(EDATE(B53,-12),Database!$F:$AY,MATCH($E$1,Database!$F$1:$AY$1,),))))</f>
        <v>-3.8498479573901026E-2</v>
      </c>
      <c r="F53" s="13">
        <f>((((VLOOKUP(B53,Database!$F:$AY,MATCH($F$1,Database!$F$1:$AY$1,),))))-(((VLOOKUP(EDATE(B53,-12),Database!$F:$AY,MATCH($F$1,Database!$F$1:$AY$1,),)))))/(((VLOOKUP(EDATE(B53,-12),Database!$F:$AY,MATCH($F$1,Database!$F$1:$AY$1,),))))</f>
        <v>-4.4502532475548008E-2</v>
      </c>
      <c r="G53" s="13">
        <f>((((VLOOKUP(B53,Database!$F:$AY,MATCH($G$1,Database!$F$1:$AY$1,),))))-(((VLOOKUP(EDATE(B53,-12),Database!$F:$AY,MATCH($G$1,Database!$F$1:$AY$1,),)))))/(((VLOOKUP(EDATE(B53,-12),Database!$F:$AY,MATCH($G$1,Database!$F$1:$AY$1,),))))</f>
        <v>-1.456995679931309E-2</v>
      </c>
      <c r="H53" s="13">
        <f>((((VLOOKUP(B53,Database!$F:$AY,MATCH($H$1,Database!$F$1:$AY$1,),))))-(((VLOOKUP(EDATE(B53,-12),Database!$F:$AY,MATCH($H$1,Database!$F$1:$AY$1,),)))))/(((VLOOKUP(EDATE(B53,-12),Database!$F:$AY,MATCH($H$1,Database!$F$1:$AY$1,),))))</f>
        <v>-9.2688050484256764E-3</v>
      </c>
      <c r="I53" s="13">
        <f>((((VLOOKUP(B53,Database!$F:$AY,MATCH($I$1,Database!$F$1:$AY$1,),))))-(((VLOOKUP(EDATE(B53,-12),Database!$F:$AY,MATCH($I$1,Database!$F$1:$AY$1,),)))))/(((VLOOKUP(EDATE(B53,-12),Database!$F:$AY,MATCH($I$1,Database!$F$1:$AY$1,),))))</f>
        <v>6.4157505346458732E-3</v>
      </c>
      <c r="J53" s="13">
        <f>((((VLOOKUP(B53,Database!$F:$AY,MATCH($J$1,Database!$F$1:$AY$1,),))))-(((VLOOKUP(EDATE(B53,-12),Database!$F:$AY,MATCH($J$1,Database!$F$1:$AY$1,),)))))/(((VLOOKUP(EDATE(B53,-12),Database!$F:$AY,MATCH($J$1,Database!$F$1:$AY$1,),))))</f>
        <v>-3.6460420079073054E-2</v>
      </c>
      <c r="K53" s="13">
        <f>((((VLOOKUP(B53,Database!$F:$AY,MATCH($K$1,Database!$F$1:$AY$1,),))))-(((VLOOKUP(EDATE(B53,-12),Database!$F:$AY,MATCH($K$1,Database!$F$1:$AY$1,),)))))/(((VLOOKUP(EDATE(B53,-12),Database!$F:$AY,MATCH($K$1,Database!$F$1:$AY$1,),))))</f>
        <v>-5.9172583632689842E-3</v>
      </c>
      <c r="L53" s="13">
        <f>((((VLOOKUP(B53,Database!$F:$AY,MATCH($L$1,Database!$F$1:$AY$1,),))))-(((VLOOKUP(EDATE(B53,-12),Database!$F:$AY,MATCH($L$1,Database!$F$1:$AY$1,),)))))/(((VLOOKUP(EDATE(B53,-12),Database!$F:$AY,MATCH($L$1,Database!$F$1:$AY$1,),))))</f>
        <v>6.1636595750310358E-2</v>
      </c>
      <c r="M53" s="13" t="e">
        <f>((((VLOOKUP(B53,Database!$F:$AY,MATCH($M$1,Database!$F$1:$AY$1,),))))-(((VLOOKUP(EDATE(B53,-12),Database!$F:$AY,MATCH($M$1,Database!$F$1:$AY$1,),)))))/(((VLOOKUP(EDATE(B53,-12),Database!$F:$AY,MATCH($M$1,Database!$F$1:$AY$1,),))))</f>
        <v>#DIV/0!</v>
      </c>
      <c r="N53" s="13" t="e">
        <f>((((VLOOKUP(B53,Database!$F:$AY,MATCH($N$1,Database!$F$1:$AY$1,),))))-(((VLOOKUP(EDATE(B53,-12),Database!$F:$AY,MATCH($N$1,Database!$F$1:$AY$1,),)))))/(((VLOOKUP(EDATE(B53,-12),Database!$F:$AY,MATCH($N$1,Database!$F$1:$AY$1,),))))</f>
        <v>#DIV/0!</v>
      </c>
      <c r="O53" s="13">
        <f>((((VLOOKUP(B53,Database!$F:$AY,MATCH($O$1,Database!$F$1:$AY$1,),))))-(((VLOOKUP(EDATE(B53,-12),Database!$F:$AY,MATCH($O$1,Database!$F$1:$AY$1,),)))))/(((VLOOKUP(EDATE(B53,-12),Database!$F:$AY,MATCH($O$1,Database!$F$1:$AY$1,),))))</f>
        <v>5.0184635589960221E-3</v>
      </c>
      <c r="P53" s="13">
        <f>((((VLOOKUP(B53,Database!$F:$AY,MATCH($P$1,Database!$F$1:$AY$1,),))))-(((VLOOKUP(EDATE(B53,-12),Database!$F:$AY,MATCH($P$1,Database!$F$1:$AY$1,),)))))/(((VLOOKUP(EDATE(B53,-12),Database!$F:$AY,MATCH($P$1,Database!$F$1:$AY$1,),))))</f>
        <v>9.2064554821849942E-2</v>
      </c>
      <c r="Q53" s="13">
        <f>((((VLOOKUP(B53,Database!$F:$AY,MATCH($Q$1,Database!$F$1:$AY$1,),))))-(((VLOOKUP(EDATE(B53,-12),Database!$F:$AY,MATCH($Q$1,Database!$F$1:$AY$1,),)))))/(((VLOOKUP(EDATE(B53,-12),Database!$F:$AY,MATCH($Q$1,Database!$F$1:$AY$1,),))))</f>
        <v>-9.0199529075135954E-2</v>
      </c>
      <c r="R53" s="13">
        <f>((((VLOOKUP(B53,Database!$F:$AY,MATCH($R$1,Database!$F$1:$AY$1,),))))-(((VLOOKUP(EDATE(B53,-12),Database!$F:$AY,MATCH($R$1,Database!$F$1:$AY$1,),)))))/(((VLOOKUP(EDATE(B53,-12),Database!$F:$AY,MATCH($R$1,Database!$F$1:$AY$1,),))))</f>
        <v>3.6516460654322923E-4</v>
      </c>
      <c r="S53" s="13">
        <f>((((VLOOKUP(B53,Database!$F:$AY,MATCH($S$1,Database!$F$1:$AY$1,),))))-(((VLOOKUP(EDATE(B53,-12),Database!$F:$AY,MATCH($S$1,Database!$F$1:$AY$1,),)))))/(((VLOOKUP(EDATE(B53,-12),Database!$F:$AY,MATCH($S$1,Database!$F$1:$AY$1,),))))</f>
        <v>6.1475805694920484E-2</v>
      </c>
      <c r="T53" s="13">
        <f>((((VLOOKUP(B53,Database!$F:$AY,MATCH($T$1,Database!$F$1:$AY$1,),))))-(((VLOOKUP(EDATE(B53,-12),Database!$F:$AY,MATCH($T$1,Database!$F$1:$AY$1,),)))))/(((VLOOKUP(EDATE(B53,-12),Database!$F:$AY,MATCH($T$1,Database!$F$1:$AY$1,),))))</f>
        <v>5.396829831560597E-2</v>
      </c>
      <c r="U53" s="13">
        <f>((((VLOOKUP(B53,Database!$F:$AY,MATCH($U$1,Database!$F$1:$AY$1,),))))-(((VLOOKUP(EDATE(B53,-12),Database!$F:$AY,MATCH($U$1,Database!$F$1:$AY$1,),)))))/(((VLOOKUP(EDATE(B53,-12),Database!$F:$AY,MATCH($U$1,Database!$F$1:$AY$1,),))))</f>
        <v>-8.8068643242801475E-2</v>
      </c>
      <c r="V53" s="13">
        <f>((((VLOOKUP(B53,Database!$F:$AY,MATCH($V$1,Database!$F$1:$AY$1,),))))-(((VLOOKUP(EDATE(B53,-12),Database!$F:$AY,MATCH($V$1,Database!$F$1:$AY$1,),)))))/(((VLOOKUP(EDATE(B53,-12),Database!$F:$AY,MATCH($V$1,Database!$F$1:$AY$1,),))))</f>
        <v>5.853652579063358E-3</v>
      </c>
    </row>
    <row r="54" spans="1:22" s="85" customFormat="1" x14ac:dyDescent="0.2">
      <c r="A54" s="44"/>
      <c r="B54" s="91">
        <v>33786</v>
      </c>
      <c r="C54" s="13">
        <f>((((VLOOKUP(B54,Database!$F:$AY,MATCH($C$1,Database!$F$1:$AY$1,),))))-(((VLOOKUP(EDATE(B54,-12),Database!$F:$AY,MATCH($C$1,Database!$F$1:$AY$1,),)))))/(((VLOOKUP(EDATE(B54,-12),Database!$F:$AY,MATCH($C$1,Database!$F$1:$AY$1,),))))</f>
        <v>3.3133539820325235E-2</v>
      </c>
      <c r="D54" s="13">
        <f>((((VLOOKUP(B54,Database!$F:$AY,MATCH($D$1,Database!$F$1:$AY$1,),))))-(((VLOOKUP(EDATE(B54,-12),Database!$F:$AY,MATCH($D$1,Database!$F$1:$AY$1,),)))))/(((VLOOKUP(EDATE(B54,-12),Database!$F:$AY,MATCH($D$1,Database!$F$1:$AY$1,),))))</f>
        <v>-1.3732750714382546E-2</v>
      </c>
      <c r="E54" s="13">
        <f>((((VLOOKUP(B54,Database!$F:$AY,MATCH($E$1,Database!$F$1:$AY$1,),))))-(((VLOOKUP(EDATE(B54,-12),Database!$F:$AY,MATCH($E$1,Database!$F$1:$AY$1,),)))))/(((VLOOKUP(EDATE(B54,-12),Database!$F:$AY,MATCH($E$1,Database!$F$1:$AY$1,),))))</f>
        <v>-6.1204706511565718E-2</v>
      </c>
      <c r="F54" s="13">
        <f>((((VLOOKUP(B54,Database!$F:$AY,MATCH($F$1,Database!$F$1:$AY$1,),))))-(((VLOOKUP(EDATE(B54,-12),Database!$F:$AY,MATCH($F$1,Database!$F$1:$AY$1,),)))))/(((VLOOKUP(EDATE(B54,-12),Database!$F:$AY,MATCH($F$1,Database!$F$1:$AY$1,),))))</f>
        <v>-3.369283317667169E-2</v>
      </c>
      <c r="G54" s="13">
        <f>((((VLOOKUP(B54,Database!$F:$AY,MATCH($G$1,Database!$F$1:$AY$1,),))))-(((VLOOKUP(EDATE(B54,-12),Database!$F:$AY,MATCH($G$1,Database!$F$1:$AY$1,),)))))/(((VLOOKUP(EDATE(B54,-12),Database!$F:$AY,MATCH($G$1,Database!$F$1:$AY$1,),))))</f>
        <v>-1.6588382094766079E-3</v>
      </c>
      <c r="H54" s="13">
        <f>((((VLOOKUP(B54,Database!$F:$AY,MATCH($H$1,Database!$F$1:$AY$1,),))))-(((VLOOKUP(EDATE(B54,-12),Database!$F:$AY,MATCH($H$1,Database!$F$1:$AY$1,),)))))/(((VLOOKUP(EDATE(B54,-12),Database!$F:$AY,MATCH($H$1,Database!$F$1:$AY$1,),))))</f>
        <v>9.355519535123473E-3</v>
      </c>
      <c r="I54" s="13">
        <f>((((VLOOKUP(B54,Database!$F:$AY,MATCH($I$1,Database!$F$1:$AY$1,),))))-(((VLOOKUP(EDATE(B54,-12),Database!$F:$AY,MATCH($I$1,Database!$F$1:$AY$1,),)))))/(((VLOOKUP(EDATE(B54,-12),Database!$F:$AY,MATCH($I$1,Database!$F$1:$AY$1,),))))</f>
        <v>-6.4157505346458732E-3</v>
      </c>
      <c r="J54" s="13">
        <f>((((VLOOKUP(B54,Database!$F:$AY,MATCH($J$1,Database!$F$1:$AY$1,),))))-(((VLOOKUP(EDATE(B54,-12),Database!$F:$AY,MATCH($J$1,Database!$F$1:$AY$1,),)))))/(((VLOOKUP(EDATE(B54,-12),Database!$F:$AY,MATCH($J$1,Database!$F$1:$AY$1,),))))</f>
        <v>-2.193970285671264E-2</v>
      </c>
      <c r="K54" s="13">
        <f>((((VLOOKUP(B54,Database!$F:$AY,MATCH($K$1,Database!$F$1:$AY$1,),))))-(((VLOOKUP(EDATE(B54,-12),Database!$F:$AY,MATCH($K$1,Database!$F$1:$AY$1,),)))))/(((VLOOKUP(EDATE(B54,-12),Database!$F:$AY,MATCH($K$1,Database!$F$1:$AY$1,),))))</f>
        <v>1.4771003686219409E-2</v>
      </c>
      <c r="L54" s="13">
        <f>((((VLOOKUP(B54,Database!$F:$AY,MATCH($L$1,Database!$F$1:$AY$1,),))))-(((VLOOKUP(EDATE(B54,-12),Database!$F:$AY,MATCH($L$1,Database!$F$1:$AY$1,),)))))/(((VLOOKUP(EDATE(B54,-12),Database!$F:$AY,MATCH($L$1,Database!$F$1:$AY$1,),))))</f>
        <v>6.3874397114841372E-2</v>
      </c>
      <c r="M54" s="13" t="e">
        <f>((((VLOOKUP(B54,Database!$F:$AY,MATCH($M$1,Database!$F$1:$AY$1,),))))-(((VLOOKUP(EDATE(B54,-12),Database!$F:$AY,MATCH($M$1,Database!$F$1:$AY$1,),)))))/(((VLOOKUP(EDATE(B54,-12),Database!$F:$AY,MATCH($M$1,Database!$F$1:$AY$1,),))))</f>
        <v>#DIV/0!</v>
      </c>
      <c r="N54" s="13" t="e">
        <f>((((VLOOKUP(B54,Database!$F:$AY,MATCH($N$1,Database!$F$1:$AY$1,),))))-(((VLOOKUP(EDATE(B54,-12),Database!$F:$AY,MATCH($N$1,Database!$F$1:$AY$1,),)))))/(((VLOOKUP(EDATE(B54,-12),Database!$F:$AY,MATCH($N$1,Database!$F$1:$AY$1,),))))</f>
        <v>#DIV/0!</v>
      </c>
      <c r="O54" s="13">
        <f>((((VLOOKUP(B54,Database!$F:$AY,MATCH($O$1,Database!$F$1:$AY$1,),))))-(((VLOOKUP(EDATE(B54,-12),Database!$F:$AY,MATCH($O$1,Database!$F$1:$AY$1,),)))))/(((VLOOKUP(EDATE(B54,-12),Database!$F:$AY,MATCH($O$1,Database!$F$1:$AY$1,),))))</f>
        <v>-7.7126837487391364E-3</v>
      </c>
      <c r="P54" s="13">
        <f>((((VLOOKUP(B54,Database!$F:$AY,MATCH($P$1,Database!$F$1:$AY$1,),))))-(((VLOOKUP(EDATE(B54,-12),Database!$F:$AY,MATCH($P$1,Database!$F$1:$AY$1,),)))))/(((VLOOKUP(EDATE(B54,-12),Database!$F:$AY,MATCH($P$1,Database!$F$1:$AY$1,),))))</f>
        <v>7.7803210577972334E-2</v>
      </c>
      <c r="Q54" s="13">
        <f>((((VLOOKUP(B54,Database!$F:$AY,MATCH($Q$1,Database!$F$1:$AY$1,),))))-(((VLOOKUP(EDATE(B54,-12),Database!$F:$AY,MATCH($Q$1,Database!$F$1:$AY$1,),)))))/(((VLOOKUP(EDATE(B54,-12),Database!$F:$AY,MATCH($Q$1,Database!$F$1:$AY$1,),))))</f>
        <v>-0.10754656068629553</v>
      </c>
      <c r="R54" s="13">
        <f>((((VLOOKUP(B54,Database!$F:$AY,MATCH($R$1,Database!$F$1:$AY$1,),))))-(((VLOOKUP(EDATE(B54,-12),Database!$F:$AY,MATCH($R$1,Database!$F$1:$AY$1,),)))))/(((VLOOKUP(EDATE(B54,-12),Database!$F:$AY,MATCH($R$1,Database!$F$1:$AY$1,),))))</f>
        <v>2.2888788100649253E-2</v>
      </c>
      <c r="S54" s="13">
        <f>((((VLOOKUP(B54,Database!$F:$AY,MATCH($S$1,Database!$F$1:$AY$1,),))))-(((VLOOKUP(EDATE(B54,-12),Database!$F:$AY,MATCH($S$1,Database!$F$1:$AY$1,),)))))/(((VLOOKUP(EDATE(B54,-12),Database!$F:$AY,MATCH($S$1,Database!$F$1:$AY$1,),))))</f>
        <v>0.13924068615264398</v>
      </c>
      <c r="T54" s="13">
        <f>((((VLOOKUP(B54,Database!$F:$AY,MATCH($T$1,Database!$F$1:$AY$1,),))))-(((VLOOKUP(EDATE(B54,-12),Database!$F:$AY,MATCH($T$1,Database!$F$1:$AY$1,),)))))/(((VLOOKUP(EDATE(B54,-12),Database!$F:$AY,MATCH($T$1,Database!$F$1:$AY$1,),))))</f>
        <v>4.3209773653977213E-2</v>
      </c>
      <c r="U54" s="13">
        <f>((((VLOOKUP(B54,Database!$F:$AY,MATCH($U$1,Database!$F$1:$AY$1,),))))-(((VLOOKUP(EDATE(B54,-12),Database!$F:$AY,MATCH($U$1,Database!$F$1:$AY$1,),)))))/(((VLOOKUP(EDATE(B54,-12),Database!$F:$AY,MATCH($U$1,Database!$F$1:$AY$1,),))))</f>
        <v>-2.7920765979420503E-2</v>
      </c>
      <c r="V54" s="13">
        <f>((((VLOOKUP(B54,Database!$F:$AY,MATCH($V$1,Database!$F$1:$AY$1,),))))-(((VLOOKUP(EDATE(B54,-12),Database!$F:$AY,MATCH($V$1,Database!$F$1:$AY$1,),)))))/(((VLOOKUP(EDATE(B54,-12),Database!$F:$AY,MATCH($V$1,Database!$F$1:$AY$1,),))))</f>
        <v>7.1840338136179363E-2</v>
      </c>
    </row>
    <row r="55" spans="1:22" s="85" customFormat="1" x14ac:dyDescent="0.2">
      <c r="A55" s="44"/>
      <c r="B55" s="91">
        <v>33817</v>
      </c>
      <c r="C55" s="13">
        <f>((((VLOOKUP(B55,Database!$F:$AY,MATCH($C$1,Database!$F$1:$AY$1,),))))-(((VLOOKUP(EDATE(B55,-12),Database!$F:$AY,MATCH($C$1,Database!$F$1:$AY$1,),)))))/(((VLOOKUP(EDATE(B55,-12),Database!$F:$AY,MATCH($C$1,Database!$F$1:$AY$1,),))))</f>
        <v>2.7171420709896341E-2</v>
      </c>
      <c r="D55" s="13">
        <f>((((VLOOKUP(B55,Database!$F:$AY,MATCH($D$1,Database!$F$1:$AY$1,),))))-(((VLOOKUP(EDATE(B55,-12),Database!$F:$AY,MATCH($D$1,Database!$F$1:$AY$1,),)))))/(((VLOOKUP(EDATE(B55,-12),Database!$F:$AY,MATCH($D$1,Database!$F$1:$AY$1,),))))</f>
        <v>-1.4981273408239829E-2</v>
      </c>
      <c r="E55" s="13">
        <f>((((VLOOKUP(B55,Database!$F:$AY,MATCH($E$1,Database!$F$1:$AY$1,),))))-(((VLOOKUP(EDATE(B55,-12),Database!$F:$AY,MATCH($E$1,Database!$F$1:$AY$1,),)))))/(((VLOOKUP(EDATE(B55,-12),Database!$F:$AY,MATCH($E$1,Database!$F$1:$AY$1,),))))</f>
        <v>-7.368450851484841E-2</v>
      </c>
      <c r="F55" s="13">
        <f>((((VLOOKUP(B55,Database!$F:$AY,MATCH($F$1,Database!$F$1:$AY$1,),))))-(((VLOOKUP(EDATE(B55,-12),Database!$F:$AY,MATCH($F$1,Database!$F$1:$AY$1,),)))))/(((VLOOKUP(EDATE(B55,-12),Database!$F:$AY,MATCH($F$1,Database!$F$1:$AY$1,),))))</f>
        <v>-1.5068515295520618E-2</v>
      </c>
      <c r="G55" s="13">
        <f>((((VLOOKUP(B55,Database!$F:$AY,MATCH($G$1,Database!$F$1:$AY$1,),))))-(((VLOOKUP(EDATE(B55,-12),Database!$F:$AY,MATCH($G$1,Database!$F$1:$AY$1,),)))))/(((VLOOKUP(EDATE(B55,-12),Database!$F:$AY,MATCH($G$1,Database!$F$1:$AY$1,),))))</f>
        <v>-8.9735519818394636E-3</v>
      </c>
      <c r="H55" s="13">
        <f>((((VLOOKUP(B55,Database!$F:$AY,MATCH($H$1,Database!$F$1:$AY$1,),))))-(((VLOOKUP(EDATE(B55,-12),Database!$F:$AY,MATCH($H$1,Database!$F$1:$AY$1,),)))))/(((VLOOKUP(EDATE(B55,-12),Database!$F:$AY,MATCH($H$1,Database!$F$1:$AY$1,),))))</f>
        <v>1.6789165227571772E-2</v>
      </c>
      <c r="I55" s="13">
        <f>((((VLOOKUP(B55,Database!$F:$AY,MATCH($I$1,Database!$F$1:$AY$1,),))))-(((VLOOKUP(EDATE(B55,-12),Database!$F:$AY,MATCH($I$1,Database!$F$1:$AY$1,),)))))/(((VLOOKUP(EDATE(B55,-12),Database!$F:$AY,MATCH($I$1,Database!$F$1:$AY$1,),))))</f>
        <v>-2.9171061592164857E-2</v>
      </c>
      <c r="J55" s="13">
        <f>((((VLOOKUP(B55,Database!$F:$AY,MATCH($J$1,Database!$F$1:$AY$1,),))))-(((VLOOKUP(EDATE(B55,-12),Database!$F:$AY,MATCH($J$1,Database!$F$1:$AY$1,),)))))/(((VLOOKUP(EDATE(B55,-12),Database!$F:$AY,MATCH($J$1,Database!$F$1:$AY$1,),))))</f>
        <v>-2.3705792072430003E-2</v>
      </c>
      <c r="K55" s="13">
        <f>((((VLOOKUP(B55,Database!$F:$AY,MATCH($K$1,Database!$F$1:$AY$1,),))))-(((VLOOKUP(EDATE(B55,-12),Database!$F:$AY,MATCH($K$1,Database!$F$1:$AY$1,),)))))/(((VLOOKUP(EDATE(B55,-12),Database!$F:$AY,MATCH($K$1,Database!$F$1:$AY$1,),))))</f>
        <v>5.303036881357024E-2</v>
      </c>
      <c r="L55" s="13">
        <f>((((VLOOKUP(B55,Database!$F:$AY,MATCH($L$1,Database!$F$1:$AY$1,),))))-(((VLOOKUP(EDATE(B55,-12),Database!$F:$AY,MATCH($L$1,Database!$F$1:$AY$1,),)))))/(((VLOOKUP(EDATE(B55,-12),Database!$F:$AY,MATCH($L$1,Database!$F$1:$AY$1,),))))</f>
        <v>4.9421697503018412E-2</v>
      </c>
      <c r="M55" s="13" t="e">
        <f>((((VLOOKUP(B55,Database!$F:$AY,MATCH($M$1,Database!$F$1:$AY$1,),))))-(((VLOOKUP(EDATE(B55,-12),Database!$F:$AY,MATCH($M$1,Database!$F$1:$AY$1,),)))))/(((VLOOKUP(EDATE(B55,-12),Database!$F:$AY,MATCH($M$1,Database!$F$1:$AY$1,),))))</f>
        <v>#DIV/0!</v>
      </c>
      <c r="N55" s="13" t="e">
        <f>((((VLOOKUP(B55,Database!$F:$AY,MATCH($N$1,Database!$F$1:$AY$1,),))))-(((VLOOKUP(EDATE(B55,-12),Database!$F:$AY,MATCH($N$1,Database!$F$1:$AY$1,),)))))/(((VLOOKUP(EDATE(B55,-12),Database!$F:$AY,MATCH($N$1,Database!$F$1:$AY$1,),))))</f>
        <v>#DIV/0!</v>
      </c>
      <c r="O55" s="13">
        <f>((((VLOOKUP(B55,Database!$F:$AY,MATCH($O$1,Database!$F$1:$AY$1,),))))-(((VLOOKUP(EDATE(B55,-12),Database!$F:$AY,MATCH($O$1,Database!$F$1:$AY$1,),)))))/(((VLOOKUP(EDATE(B55,-12),Database!$F:$AY,MATCH($O$1,Database!$F$1:$AY$1,),))))</f>
        <v>3.5482697615528826E-4</v>
      </c>
      <c r="P55" s="13">
        <f>((((VLOOKUP(B55,Database!$F:$AY,MATCH($P$1,Database!$F$1:$AY$1,),))))-(((VLOOKUP(EDATE(B55,-12),Database!$F:$AY,MATCH($P$1,Database!$F$1:$AY$1,),)))))/(((VLOOKUP(EDATE(B55,-12),Database!$F:$AY,MATCH($P$1,Database!$F$1:$AY$1,),))))</f>
        <v>3.037872482104223E-2</v>
      </c>
      <c r="Q55" s="13">
        <f>((((VLOOKUP(B55,Database!$F:$AY,MATCH($Q$1,Database!$F$1:$AY$1,),))))-(((VLOOKUP(EDATE(B55,-12),Database!$F:$AY,MATCH($Q$1,Database!$F$1:$AY$1,),)))))/(((VLOOKUP(EDATE(B55,-12),Database!$F:$AY,MATCH($Q$1,Database!$F$1:$AY$1,),))))</f>
        <v>-0.11852749891270463</v>
      </c>
      <c r="R55" s="13">
        <f>((((VLOOKUP(B55,Database!$F:$AY,MATCH($R$1,Database!$F$1:$AY$1,),))))-(((VLOOKUP(EDATE(B55,-12),Database!$F:$AY,MATCH($R$1,Database!$F$1:$AY$1,),)))))/(((VLOOKUP(EDATE(B55,-12),Database!$F:$AY,MATCH($R$1,Database!$F$1:$AY$1,),))))</f>
        <v>3.0141552467259511E-4</v>
      </c>
      <c r="S55" s="13">
        <f>((((VLOOKUP(B55,Database!$F:$AY,MATCH($S$1,Database!$F$1:$AY$1,),))))-(((VLOOKUP(EDATE(B55,-12),Database!$F:$AY,MATCH($S$1,Database!$F$1:$AY$1,),)))))/(((VLOOKUP(EDATE(B55,-12),Database!$F:$AY,MATCH($S$1,Database!$F$1:$AY$1,),))))</f>
        <v>8.1300857516493741E-2</v>
      </c>
      <c r="T55" s="13">
        <f>((((VLOOKUP(B55,Database!$F:$AY,MATCH($T$1,Database!$F$1:$AY$1,),))))-(((VLOOKUP(EDATE(B55,-12),Database!$F:$AY,MATCH($T$1,Database!$F$1:$AY$1,),)))))/(((VLOOKUP(EDATE(B55,-12),Database!$F:$AY,MATCH($T$1,Database!$F$1:$AY$1,),))))</f>
        <v>0</v>
      </c>
      <c r="U55" s="13">
        <f>((((VLOOKUP(B55,Database!$F:$AY,MATCH($U$1,Database!$F$1:$AY$1,),))))-(((VLOOKUP(EDATE(B55,-12),Database!$F:$AY,MATCH($U$1,Database!$F$1:$AY$1,),)))))/(((VLOOKUP(EDATE(B55,-12),Database!$F:$AY,MATCH($U$1,Database!$F$1:$AY$1,),))))</f>
        <v>-6.8393179567625279E-2</v>
      </c>
      <c r="V55" s="13">
        <f>((((VLOOKUP(B55,Database!$F:$AY,MATCH($V$1,Database!$F$1:$AY$1,),))))-(((VLOOKUP(EDATE(B55,-12),Database!$F:$AY,MATCH($V$1,Database!$F$1:$AY$1,),)))))/(((VLOOKUP(EDATE(B55,-12),Database!$F:$AY,MATCH($V$1,Database!$F$1:$AY$1,),))))</f>
        <v>8.4640630696433378E-2</v>
      </c>
    </row>
    <row r="56" spans="1:22" s="85" customFormat="1" x14ac:dyDescent="0.2">
      <c r="A56" s="44"/>
      <c r="B56" s="91">
        <v>33848</v>
      </c>
      <c r="C56" s="13">
        <f>((((VLOOKUP(B56,Database!$F:$AY,MATCH($C$1,Database!$F$1:$AY$1,),))))-(((VLOOKUP(EDATE(B56,-12),Database!$F:$AY,MATCH($C$1,Database!$F$1:$AY$1,),)))))/(((VLOOKUP(EDATE(B56,-12),Database!$F:$AY,MATCH($C$1,Database!$F$1:$AY$1,),))))</f>
        <v>2.0473094637758621E-2</v>
      </c>
      <c r="D56" s="13">
        <f>((((VLOOKUP(B56,Database!$F:$AY,MATCH($D$1,Database!$F$1:$AY$1,),))))-(((VLOOKUP(EDATE(B56,-12),Database!$F:$AY,MATCH($D$1,Database!$F$1:$AY$1,),)))))/(((VLOOKUP(EDATE(B56,-12),Database!$F:$AY,MATCH($D$1,Database!$F$1:$AY$1,),))))</f>
        <v>-2.6151929175745558E-2</v>
      </c>
      <c r="E56" s="13">
        <f>((((VLOOKUP(B56,Database!$F:$AY,MATCH($E$1,Database!$F$1:$AY$1,),))))-(((VLOOKUP(EDATE(B56,-12),Database!$F:$AY,MATCH($E$1,Database!$F$1:$AY$1,),)))))/(((VLOOKUP(EDATE(B56,-12),Database!$F:$AY,MATCH($E$1,Database!$F$1:$AY$1,),))))</f>
        <v>-3.9196757768788421E-2</v>
      </c>
      <c r="F56" s="13">
        <f>((((VLOOKUP(B56,Database!$F:$AY,MATCH($F$1,Database!$F$1:$AY$1,),))))-(((VLOOKUP(EDATE(B56,-12),Database!$F:$AY,MATCH($F$1,Database!$F$1:$AY$1,),)))))/(((VLOOKUP(EDATE(B56,-12),Database!$F:$AY,MATCH($F$1,Database!$F$1:$AY$1,),))))</f>
        <v>-2.0604327860853252E-2</v>
      </c>
      <c r="G56" s="13">
        <f>((((VLOOKUP(B56,Database!$F:$AY,MATCH($G$1,Database!$F$1:$AY$1,),))))-(((VLOOKUP(EDATE(B56,-12),Database!$F:$AY,MATCH($G$1,Database!$F$1:$AY$1,),)))))/(((VLOOKUP(EDATE(B56,-12),Database!$F:$AY,MATCH($G$1,Database!$F$1:$AY$1,),))))</f>
        <v>-2.6175262788173781E-2</v>
      </c>
      <c r="H56" s="13">
        <f>((((VLOOKUP(B56,Database!$F:$AY,MATCH($H$1,Database!$F$1:$AY$1,),))))-(((VLOOKUP(EDATE(B56,-12),Database!$F:$AY,MATCH($H$1,Database!$F$1:$AY$1,),)))))/(((VLOOKUP(EDATE(B56,-12),Database!$F:$AY,MATCH($H$1,Database!$F$1:$AY$1,),))))</f>
        <v>2.3060809472012292E-2</v>
      </c>
      <c r="I56" s="13">
        <f>((((VLOOKUP(B56,Database!$F:$AY,MATCH($I$1,Database!$F$1:$AY$1,),))))-(((VLOOKUP(EDATE(B56,-12),Database!$F:$AY,MATCH($I$1,Database!$F$1:$AY$1,),)))))/(((VLOOKUP(EDATE(B56,-12),Database!$F:$AY,MATCH($I$1,Database!$F$1:$AY$1,),))))</f>
        <v>-4.6889372247291963E-2</v>
      </c>
      <c r="J56" s="13">
        <f>((((VLOOKUP(B56,Database!$F:$AY,MATCH($J$1,Database!$F$1:$AY$1,),))))-(((VLOOKUP(EDATE(B56,-12),Database!$F:$AY,MATCH($J$1,Database!$F$1:$AY$1,),)))))/(((VLOOKUP(EDATE(B56,-12),Database!$F:$AY,MATCH($J$1,Database!$F$1:$AY$1,),))))</f>
        <v>-5.4393655420935556E-2</v>
      </c>
      <c r="K56" s="13">
        <f>((((VLOOKUP(B56,Database!$F:$AY,MATCH($K$1,Database!$F$1:$AY$1,),))))-(((VLOOKUP(EDATE(B56,-12),Database!$F:$AY,MATCH($K$1,Database!$F$1:$AY$1,),)))))/(((VLOOKUP(EDATE(B56,-12),Database!$F:$AY,MATCH($K$1,Database!$F$1:$AY$1,),))))</f>
        <v>8.9820381425247797E-3</v>
      </c>
      <c r="L56" s="13">
        <f>((((VLOOKUP(B56,Database!$F:$AY,MATCH($L$1,Database!$F$1:$AY$1,),))))-(((VLOOKUP(EDATE(B56,-12),Database!$F:$AY,MATCH($L$1,Database!$F$1:$AY$1,),)))))/(((VLOOKUP(EDATE(B56,-12),Database!$F:$AY,MATCH($L$1,Database!$F$1:$AY$1,),))))</f>
        <v>6.9400808478831885E-2</v>
      </c>
      <c r="M56" s="13" t="e">
        <f>((((VLOOKUP(B56,Database!$F:$AY,MATCH($M$1,Database!$F$1:$AY$1,),))))-(((VLOOKUP(EDATE(B56,-12),Database!$F:$AY,MATCH($M$1,Database!$F$1:$AY$1,),)))))/(((VLOOKUP(EDATE(B56,-12),Database!$F:$AY,MATCH($M$1,Database!$F$1:$AY$1,),))))</f>
        <v>#DIV/0!</v>
      </c>
      <c r="N56" s="13" t="e">
        <f>((((VLOOKUP(B56,Database!$F:$AY,MATCH($N$1,Database!$F$1:$AY$1,),))))-(((VLOOKUP(EDATE(B56,-12),Database!$F:$AY,MATCH($N$1,Database!$F$1:$AY$1,),)))))/(((VLOOKUP(EDATE(B56,-12),Database!$F:$AY,MATCH($N$1,Database!$F$1:$AY$1,),))))</f>
        <v>#DIV/0!</v>
      </c>
      <c r="O56" s="13">
        <f>((((VLOOKUP(B56,Database!$F:$AY,MATCH($O$1,Database!$F$1:$AY$1,),))))-(((VLOOKUP(EDATE(B56,-12),Database!$F:$AY,MATCH($O$1,Database!$F$1:$AY$1,),)))))/(((VLOOKUP(EDATE(B56,-12),Database!$F:$AY,MATCH($O$1,Database!$F$1:$AY$1,),))))</f>
        <v>1.852098689133516E-3</v>
      </c>
      <c r="P56" s="13">
        <f>((((VLOOKUP(B56,Database!$F:$AY,MATCH($P$1,Database!$F$1:$AY$1,),))))-(((VLOOKUP(EDATE(B56,-12),Database!$F:$AY,MATCH($P$1,Database!$F$1:$AY$1,),)))))/(((VLOOKUP(EDATE(B56,-12),Database!$F:$AY,MATCH($P$1,Database!$F$1:$AY$1,),))))</f>
        <v>2.522455287753814E-2</v>
      </c>
      <c r="Q56" s="13">
        <f>((((VLOOKUP(B56,Database!$F:$AY,MATCH($Q$1,Database!$F$1:$AY$1,),))))-(((VLOOKUP(EDATE(B56,-12),Database!$F:$AY,MATCH($Q$1,Database!$F$1:$AY$1,),)))))/(((VLOOKUP(EDATE(B56,-12),Database!$F:$AY,MATCH($Q$1,Database!$F$1:$AY$1,),))))</f>
        <v>-5.7830204724884003E-2</v>
      </c>
      <c r="R56" s="13">
        <f>((((VLOOKUP(B56,Database!$F:$AY,MATCH($R$1,Database!$F$1:$AY$1,),))))-(((VLOOKUP(EDATE(B56,-12),Database!$F:$AY,MATCH($R$1,Database!$F$1:$AY$1,),)))))/(((VLOOKUP(EDATE(B56,-12),Database!$F:$AY,MATCH($R$1,Database!$F$1:$AY$1,),))))</f>
        <v>-7.6205939389330429E-2</v>
      </c>
      <c r="S56" s="13">
        <f>((((VLOOKUP(B56,Database!$F:$AY,MATCH($S$1,Database!$F$1:$AY$1,),))))-(((VLOOKUP(EDATE(B56,-12),Database!$F:$AY,MATCH($S$1,Database!$F$1:$AY$1,),)))))/(((VLOOKUP(EDATE(B56,-12),Database!$F:$AY,MATCH($S$1,Database!$F$1:$AY$1,),))))</f>
        <v>0.10843371864888499</v>
      </c>
      <c r="T56" s="13">
        <f>((((VLOOKUP(B56,Database!$F:$AY,MATCH($T$1,Database!$F$1:$AY$1,),))))-(((VLOOKUP(EDATE(B56,-12),Database!$F:$AY,MATCH($T$1,Database!$F$1:$AY$1,),)))))/(((VLOOKUP(EDATE(B56,-12),Database!$F:$AY,MATCH($T$1,Database!$F$1:$AY$1,),))))</f>
        <v>2.9850545761870906E-2</v>
      </c>
      <c r="U56" s="13">
        <f>((((VLOOKUP(B56,Database!$F:$AY,MATCH($U$1,Database!$F$1:$AY$1,),))))-(((VLOOKUP(EDATE(B56,-12),Database!$F:$AY,MATCH($U$1,Database!$F$1:$AY$1,),)))))/(((VLOOKUP(EDATE(B56,-12),Database!$F:$AY,MATCH($U$1,Database!$F$1:$AY$1,),))))</f>
        <v>6.428563784090402E-2</v>
      </c>
      <c r="V56" s="13">
        <f>((((VLOOKUP(B56,Database!$F:$AY,MATCH($V$1,Database!$F$1:$AY$1,),))))-(((VLOOKUP(EDATE(B56,-12),Database!$F:$AY,MATCH($V$1,Database!$F$1:$AY$1,),)))))/(((VLOOKUP(EDATE(B56,-12),Database!$F:$AY,MATCH($V$1,Database!$F$1:$AY$1,),))))</f>
        <v>0.10555138583373816</v>
      </c>
    </row>
    <row r="57" spans="1:22" s="85" customFormat="1" x14ac:dyDescent="0.2">
      <c r="A57" s="44"/>
      <c r="B57" s="91">
        <v>33878</v>
      </c>
      <c r="C57" s="13">
        <f>((((VLOOKUP(B57,Database!$F:$AY,MATCH($C$1,Database!$F$1:$AY$1,),))))-(((VLOOKUP(EDATE(B57,-12),Database!$F:$AY,MATCH($C$1,Database!$F$1:$AY$1,),)))))/(((VLOOKUP(EDATE(B57,-12),Database!$F:$AY,MATCH($C$1,Database!$F$1:$AY$1,),))))</f>
        <v>2.9921257793764314E-2</v>
      </c>
      <c r="D57" s="13">
        <f>((((VLOOKUP(B57,Database!$F:$AY,MATCH($D$1,Database!$F$1:$AY$1,),))))-(((VLOOKUP(EDATE(B57,-12),Database!$F:$AY,MATCH($D$1,Database!$F$1:$AY$1,),)))))/(((VLOOKUP(EDATE(B57,-12),Database!$F:$AY,MATCH($D$1,Database!$F$1:$AY$1,),))))</f>
        <v>-2.8536020331923675E-2</v>
      </c>
      <c r="E57" s="13">
        <f>((((VLOOKUP(B57,Database!$F:$AY,MATCH($E$1,Database!$F$1:$AY$1,),))))-(((VLOOKUP(EDATE(B57,-12),Database!$F:$AY,MATCH($E$1,Database!$F$1:$AY$1,),)))))/(((VLOOKUP(EDATE(B57,-12),Database!$F:$AY,MATCH($E$1,Database!$F$1:$AY$1,),))))</f>
        <v>-6.2560124215585447E-2</v>
      </c>
      <c r="F57" s="13">
        <f>((((VLOOKUP(B57,Database!$F:$AY,MATCH($F$1,Database!$F$1:$AY$1,),))))-(((VLOOKUP(EDATE(B57,-12),Database!$F:$AY,MATCH($F$1,Database!$F$1:$AY$1,),)))))/(((VLOOKUP(EDATE(B57,-12),Database!$F:$AY,MATCH($F$1,Database!$F$1:$AY$1,),))))</f>
        <v>-3.6535792428705846E-2</v>
      </c>
      <c r="G57" s="13">
        <f>((((VLOOKUP(B57,Database!$F:$AY,MATCH($G$1,Database!$F$1:$AY$1,),))))-(((VLOOKUP(EDATE(B57,-12),Database!$F:$AY,MATCH($G$1,Database!$F$1:$AY$1,),)))))/(((VLOOKUP(EDATE(B57,-12),Database!$F:$AY,MATCH($G$1,Database!$F$1:$AY$1,),))))</f>
        <v>-1.1176873828357326E-2</v>
      </c>
      <c r="H57" s="13">
        <f>((((VLOOKUP(B57,Database!$F:$AY,MATCH($H$1,Database!$F$1:$AY$1,),))))-(((VLOOKUP(EDATE(B57,-12),Database!$F:$AY,MATCH($H$1,Database!$F$1:$AY$1,),)))))/(((VLOOKUP(EDATE(B57,-12),Database!$F:$AY,MATCH($H$1,Database!$F$1:$AY$1,),))))</f>
        <v>2.0704003537942696E-2</v>
      </c>
      <c r="I57" s="13">
        <f>((((VLOOKUP(B57,Database!$F:$AY,MATCH($I$1,Database!$F$1:$AY$1,),))))-(((VLOOKUP(EDATE(B57,-12),Database!$F:$AY,MATCH($I$1,Database!$F$1:$AY$1,),)))))/(((VLOOKUP(EDATE(B57,-12),Database!$F:$AY,MATCH($I$1,Database!$F$1:$AY$1,),))))</f>
        <v>-3.4482915089100015E-2</v>
      </c>
      <c r="J57" s="13">
        <f>((((VLOOKUP(B57,Database!$F:$AY,MATCH($J$1,Database!$F$1:$AY$1,),))))-(((VLOOKUP(EDATE(B57,-12),Database!$F:$AY,MATCH($J$1,Database!$F$1:$AY$1,),)))))/(((VLOOKUP(EDATE(B57,-12),Database!$F:$AY,MATCH($J$1,Database!$F$1:$AY$1,),))))</f>
        <v>-6.4023082133128018E-2</v>
      </c>
      <c r="K57" s="13">
        <f>((((VLOOKUP(B57,Database!$F:$AY,MATCH($K$1,Database!$F$1:$AY$1,),))))-(((VLOOKUP(EDATE(B57,-12),Database!$F:$AY,MATCH($K$1,Database!$F$1:$AY$1,),)))))/(((VLOOKUP(EDATE(B57,-12),Database!$F:$AY,MATCH($K$1,Database!$F$1:$AY$1,),))))</f>
        <v>2.9806757494247374E-3</v>
      </c>
      <c r="L57" s="13">
        <f>((((VLOOKUP(B57,Database!$F:$AY,MATCH($L$1,Database!$F$1:$AY$1,),))))-(((VLOOKUP(EDATE(B57,-12),Database!$F:$AY,MATCH($L$1,Database!$F$1:$AY$1,),)))))/(((VLOOKUP(EDATE(B57,-12),Database!$F:$AY,MATCH($L$1,Database!$F$1:$AY$1,),))))</f>
        <v>1.7293889031945696E-2</v>
      </c>
      <c r="M57" s="13" t="e">
        <f>((((VLOOKUP(B57,Database!$F:$AY,MATCH($M$1,Database!$F$1:$AY$1,),))))-(((VLOOKUP(EDATE(B57,-12),Database!$F:$AY,MATCH($M$1,Database!$F$1:$AY$1,),)))))/(((VLOOKUP(EDATE(B57,-12),Database!$F:$AY,MATCH($M$1,Database!$F$1:$AY$1,),))))</f>
        <v>#DIV/0!</v>
      </c>
      <c r="N57" s="13" t="e">
        <f>((((VLOOKUP(B57,Database!$F:$AY,MATCH($N$1,Database!$F$1:$AY$1,),))))-(((VLOOKUP(EDATE(B57,-12),Database!$F:$AY,MATCH($N$1,Database!$F$1:$AY$1,),)))))/(((VLOOKUP(EDATE(B57,-12),Database!$F:$AY,MATCH($N$1,Database!$F$1:$AY$1,),))))</f>
        <v>#DIV/0!</v>
      </c>
      <c r="O57" s="13">
        <f>((((VLOOKUP(B57,Database!$F:$AY,MATCH($O$1,Database!$F$1:$AY$1,),))))-(((VLOOKUP(EDATE(B57,-12),Database!$F:$AY,MATCH($O$1,Database!$F$1:$AY$1,),)))))/(((VLOOKUP(EDATE(B57,-12),Database!$F:$AY,MATCH($O$1,Database!$F$1:$AY$1,),))))</f>
        <v>1.8311622750653837E-2</v>
      </c>
      <c r="P57" s="13">
        <f>((((VLOOKUP(B57,Database!$F:$AY,MATCH($P$1,Database!$F$1:$AY$1,),))))-(((VLOOKUP(EDATE(B57,-12),Database!$F:$AY,MATCH($P$1,Database!$F$1:$AY$1,),)))))/(((VLOOKUP(EDATE(B57,-12),Database!$F:$AY,MATCH($P$1,Database!$F$1:$AY$1,),))))</f>
        <v>1.6520725819876809E-2</v>
      </c>
      <c r="Q57" s="13">
        <f>((((VLOOKUP(B57,Database!$F:$AY,MATCH($Q$1,Database!$F$1:$AY$1,),))))-(((VLOOKUP(EDATE(B57,-12),Database!$F:$AY,MATCH($Q$1,Database!$F$1:$AY$1,),)))))/(((VLOOKUP(EDATE(B57,-12),Database!$F:$AY,MATCH($Q$1,Database!$F$1:$AY$1,),))))</f>
        <v>-8.0157320278024857E-2</v>
      </c>
      <c r="R57" s="13">
        <f>((((VLOOKUP(B57,Database!$F:$AY,MATCH($R$1,Database!$F$1:$AY$1,),))))-(((VLOOKUP(EDATE(B57,-12),Database!$F:$AY,MATCH($R$1,Database!$F$1:$AY$1,),)))))/(((VLOOKUP(EDATE(B57,-12),Database!$F:$AY,MATCH($R$1,Database!$F$1:$AY$1,),))))</f>
        <v>-1.3636898029342955E-2</v>
      </c>
      <c r="S57" s="13">
        <f>((((VLOOKUP(B57,Database!$F:$AY,MATCH($S$1,Database!$F$1:$AY$1,),))))-(((VLOOKUP(EDATE(B57,-12),Database!$F:$AY,MATCH($S$1,Database!$F$1:$AY$1,),)))))/(((VLOOKUP(EDATE(B57,-12),Database!$F:$AY,MATCH($S$1,Database!$F$1:$AY$1,),))))</f>
        <v>0.12096777478051104</v>
      </c>
      <c r="T57" s="13">
        <f>((((VLOOKUP(B57,Database!$F:$AY,MATCH($T$1,Database!$F$1:$AY$1,),))))-(((VLOOKUP(EDATE(B57,-12),Database!$F:$AY,MATCH($T$1,Database!$F$1:$AY$1,),)))))/(((VLOOKUP(EDATE(B57,-12),Database!$F:$AY,MATCH($T$1,Database!$F$1:$AY$1,),))))</f>
        <v>3.2835869017150805E-2</v>
      </c>
      <c r="U57" s="13">
        <f>((((VLOOKUP(B57,Database!$F:$AY,MATCH($U$1,Database!$F$1:$AY$1,),))))-(((VLOOKUP(EDATE(B57,-12),Database!$F:$AY,MATCH($U$1,Database!$F$1:$AY$1,),)))))/(((VLOOKUP(EDATE(B57,-12),Database!$F:$AY,MATCH($U$1,Database!$F$1:$AY$1,),))))</f>
        <v>4.3822447370024498E-2</v>
      </c>
      <c r="V57" s="13">
        <f>((((VLOOKUP(B57,Database!$F:$AY,MATCH($V$1,Database!$F$1:$AY$1,),))))-(((VLOOKUP(EDATE(B57,-12),Database!$F:$AY,MATCH($V$1,Database!$F$1:$AY$1,),)))))/(((VLOOKUP(EDATE(B57,-12),Database!$F:$AY,MATCH($V$1,Database!$F$1:$AY$1,),))))</f>
        <v>0.12535972323289088</v>
      </c>
    </row>
    <row r="58" spans="1:22" s="85" customFormat="1" x14ac:dyDescent="0.2">
      <c r="A58" s="44"/>
      <c r="B58" s="91">
        <v>33909</v>
      </c>
      <c r="C58" s="13">
        <f>((((VLOOKUP(B58,Database!$F:$AY,MATCH($C$1,Database!$F$1:$AY$1,),))))-(((VLOOKUP(EDATE(B58,-12),Database!$F:$AY,MATCH($C$1,Database!$F$1:$AY$1,),)))))/(((VLOOKUP(EDATE(B58,-12),Database!$F:$AY,MATCH($C$1,Database!$F$1:$AY$1,),))))</f>
        <v>3.5488205818504127E-2</v>
      </c>
      <c r="D58" s="13">
        <f>((((VLOOKUP(B58,Database!$F:$AY,MATCH($D$1,Database!$F$1:$AY$1,),))))-(((VLOOKUP(EDATE(B58,-12),Database!$F:$AY,MATCH($D$1,Database!$F$1:$AY$1,),)))))/(((VLOOKUP(EDATE(B58,-12),Database!$F:$AY,MATCH($D$1,Database!$F$1:$AY$1,),))))</f>
        <v>-4.7852758778702001E-2</v>
      </c>
      <c r="E58" s="13">
        <f>((((VLOOKUP(B58,Database!$F:$AY,MATCH($E$1,Database!$F$1:$AY$1,),))))-(((VLOOKUP(EDATE(B58,-12),Database!$F:$AY,MATCH($E$1,Database!$F$1:$AY$1,),)))))/(((VLOOKUP(EDATE(B58,-12),Database!$F:$AY,MATCH($E$1,Database!$F$1:$AY$1,),))))</f>
        <v>-8.0306122737569985E-2</v>
      </c>
      <c r="F58" s="13">
        <f>((((VLOOKUP(B58,Database!$F:$AY,MATCH($F$1,Database!$F$1:$AY$1,),))))-(((VLOOKUP(EDATE(B58,-12),Database!$F:$AY,MATCH($F$1,Database!$F$1:$AY$1,),)))))/(((VLOOKUP(EDATE(B58,-12),Database!$F:$AY,MATCH($F$1,Database!$F$1:$AY$1,),))))</f>
        <v>-6.1579692445609277E-2</v>
      </c>
      <c r="G58" s="13">
        <f>((((VLOOKUP(B58,Database!$F:$AY,MATCH($G$1,Database!$F$1:$AY$1,),))))-(((VLOOKUP(EDATE(B58,-12),Database!$F:$AY,MATCH($G$1,Database!$F$1:$AY$1,),)))))/(((VLOOKUP(EDATE(B58,-12),Database!$F:$AY,MATCH($G$1,Database!$F$1:$AY$1,),))))</f>
        <v>-3.936582925271221E-2</v>
      </c>
      <c r="H58" s="13">
        <f>((((VLOOKUP(B58,Database!$F:$AY,MATCH($H$1,Database!$F$1:$AY$1,),))))-(((VLOOKUP(EDATE(B58,-12),Database!$F:$AY,MATCH($H$1,Database!$F$1:$AY$1,),)))))/(((VLOOKUP(EDATE(B58,-12),Database!$F:$AY,MATCH($H$1,Database!$F$1:$AY$1,),))))</f>
        <v>4.1278537770517076E-3</v>
      </c>
      <c r="I58" s="13">
        <f>((((VLOOKUP(B58,Database!$F:$AY,MATCH($I$1,Database!$F$1:$AY$1,),))))-(((VLOOKUP(EDATE(B58,-12),Database!$F:$AY,MATCH($I$1,Database!$F$1:$AY$1,),)))))/(((VLOOKUP(EDATE(B58,-12),Database!$F:$AY,MATCH($I$1,Database!$F$1:$AY$1,),))))</f>
        <v>-3.3393566974875236E-2</v>
      </c>
      <c r="J58" s="13">
        <f>((((VLOOKUP(B58,Database!$F:$AY,MATCH($J$1,Database!$F$1:$AY$1,),))))-(((VLOOKUP(EDATE(B58,-12),Database!$F:$AY,MATCH($J$1,Database!$F$1:$AY$1,),)))))/(((VLOOKUP(EDATE(B58,-12),Database!$F:$AY,MATCH($J$1,Database!$F$1:$AY$1,),))))</f>
        <v>-8.0185393179972836E-2</v>
      </c>
      <c r="K58" s="13">
        <f>((((VLOOKUP(B58,Database!$F:$AY,MATCH($K$1,Database!$F$1:$AY$1,),))))-(((VLOOKUP(EDATE(B58,-12),Database!$F:$AY,MATCH($K$1,Database!$F$1:$AY$1,),)))))/(((VLOOKUP(EDATE(B58,-12),Database!$F:$AY,MATCH($K$1,Database!$F$1:$AY$1,),))))</f>
        <v>-3.2305534605175303E-2</v>
      </c>
      <c r="L58" s="13">
        <f>((((VLOOKUP(B58,Database!$F:$AY,MATCH($L$1,Database!$F$1:$AY$1,),))))-(((VLOOKUP(EDATE(B58,-12),Database!$F:$AY,MATCH($L$1,Database!$F$1:$AY$1,),)))))/(((VLOOKUP(EDATE(B58,-12),Database!$F:$AY,MATCH($L$1,Database!$F$1:$AY$1,),))))</f>
        <v>2.0470734008442463E-2</v>
      </c>
      <c r="M58" s="13" t="e">
        <f>((((VLOOKUP(B58,Database!$F:$AY,MATCH($M$1,Database!$F$1:$AY$1,),))))-(((VLOOKUP(EDATE(B58,-12),Database!$F:$AY,MATCH($M$1,Database!$F$1:$AY$1,),)))))/(((VLOOKUP(EDATE(B58,-12),Database!$F:$AY,MATCH($M$1,Database!$F$1:$AY$1,),))))</f>
        <v>#DIV/0!</v>
      </c>
      <c r="N58" s="13" t="e">
        <f>((((VLOOKUP(B58,Database!$F:$AY,MATCH($N$1,Database!$F$1:$AY$1,),))))-(((VLOOKUP(EDATE(B58,-12),Database!$F:$AY,MATCH($N$1,Database!$F$1:$AY$1,),)))))/(((VLOOKUP(EDATE(B58,-12),Database!$F:$AY,MATCH($N$1,Database!$F$1:$AY$1,),))))</f>
        <v>#DIV/0!</v>
      </c>
      <c r="O58" s="13">
        <f>((((VLOOKUP(B58,Database!$F:$AY,MATCH($O$1,Database!$F$1:$AY$1,),))))-(((VLOOKUP(EDATE(B58,-12),Database!$F:$AY,MATCH($O$1,Database!$F$1:$AY$1,),)))))/(((VLOOKUP(EDATE(B58,-12),Database!$F:$AY,MATCH($O$1,Database!$F$1:$AY$1,),))))</f>
        <v>2.6212518235726477E-2</v>
      </c>
      <c r="P58" s="13">
        <f>((((VLOOKUP(B58,Database!$F:$AY,MATCH($P$1,Database!$F$1:$AY$1,),))))-(((VLOOKUP(EDATE(B58,-12),Database!$F:$AY,MATCH($P$1,Database!$F$1:$AY$1,),)))))/(((VLOOKUP(EDATE(B58,-12),Database!$F:$AY,MATCH($P$1,Database!$F$1:$AY$1,),))))</f>
        <v>1.3778454762250565E-2</v>
      </c>
      <c r="Q58" s="13">
        <f>((((VLOOKUP(B58,Database!$F:$AY,MATCH($Q$1,Database!$F$1:$AY$1,),))))-(((VLOOKUP(EDATE(B58,-12),Database!$F:$AY,MATCH($Q$1,Database!$F$1:$AY$1,),)))))/(((VLOOKUP(EDATE(B58,-12),Database!$F:$AY,MATCH($Q$1,Database!$F$1:$AY$1,),))))</f>
        <v>-2.0923363136026605E-3</v>
      </c>
      <c r="R58" s="13">
        <f>((((VLOOKUP(B58,Database!$F:$AY,MATCH($R$1,Database!$F$1:$AY$1,),))))-(((VLOOKUP(EDATE(B58,-12),Database!$F:$AY,MATCH($R$1,Database!$F$1:$AY$1,),)))))/(((VLOOKUP(EDATE(B58,-12),Database!$F:$AY,MATCH($R$1,Database!$F$1:$AY$1,),))))</f>
        <v>6.3235111256409555E-3</v>
      </c>
      <c r="S58" s="13">
        <f>((((VLOOKUP(B58,Database!$F:$AY,MATCH($S$1,Database!$F$1:$AY$1,),))))-(((VLOOKUP(EDATE(B58,-12),Database!$F:$AY,MATCH($S$1,Database!$F$1:$AY$1,),)))))/(((VLOOKUP(EDATE(B58,-12),Database!$F:$AY,MATCH($S$1,Database!$F$1:$AY$1,),))))</f>
        <v>7.3642973332193565E-2</v>
      </c>
      <c r="T58" s="13">
        <f>((((VLOOKUP(B58,Database!$F:$AY,MATCH($T$1,Database!$F$1:$AY$1,),))))-(((VLOOKUP(EDATE(B58,-12),Database!$F:$AY,MATCH($T$1,Database!$F$1:$AY$1,),)))))/(((VLOOKUP(EDATE(B58,-12),Database!$F:$AY,MATCH($T$1,Database!$F$1:$AY$1,),))))</f>
        <v>3.2933878927647431E-2</v>
      </c>
      <c r="U58" s="13">
        <f>((((VLOOKUP(B58,Database!$F:$AY,MATCH($U$1,Database!$F$1:$AY$1,),))))-(((VLOOKUP(EDATE(B58,-12),Database!$F:$AY,MATCH($U$1,Database!$F$1:$AY$1,),)))))/(((VLOOKUP(EDATE(B58,-12),Database!$F:$AY,MATCH($U$1,Database!$F$1:$AY$1,),))))</f>
        <v>4.8703107345176549E-2</v>
      </c>
      <c r="V58" s="13">
        <f>((((VLOOKUP(B58,Database!$F:$AY,MATCH($V$1,Database!$F$1:$AY$1,),))))-(((VLOOKUP(EDATE(B58,-12),Database!$F:$AY,MATCH($V$1,Database!$F$1:$AY$1,),)))))/(((VLOOKUP(EDATE(B58,-12),Database!$F:$AY,MATCH($V$1,Database!$F$1:$AY$1,),))))</f>
        <v>0.15535098421815338</v>
      </c>
    </row>
    <row r="59" spans="1:22" s="85" customFormat="1" x14ac:dyDescent="0.2">
      <c r="A59" s="44"/>
      <c r="B59" s="91">
        <v>33939</v>
      </c>
      <c r="C59" s="13">
        <f>((((VLOOKUP(B59,Database!$F:$AY,MATCH($C$1,Database!$F$1:$AY$1,),))))-(((VLOOKUP(EDATE(B59,-12),Database!$F:$AY,MATCH($C$1,Database!$F$1:$AY$1,),)))))/(((VLOOKUP(EDATE(B59,-12),Database!$F:$AY,MATCH($C$1,Database!$F$1:$AY$1,),))))</f>
        <v>4.0561204516429923E-2</v>
      </c>
      <c r="D59" s="13">
        <f>((((VLOOKUP(B59,Database!$F:$AY,MATCH($D$1,Database!$F$1:$AY$1,),))))-(((VLOOKUP(EDATE(B59,-12),Database!$F:$AY,MATCH($D$1,Database!$F$1:$AY$1,),)))))/(((VLOOKUP(EDATE(B59,-12),Database!$F:$AY,MATCH($D$1,Database!$F$1:$AY$1,),))))</f>
        <v>-5.6860401461207737E-2</v>
      </c>
      <c r="E59" s="13">
        <f>((((VLOOKUP(B59,Database!$F:$AY,MATCH($E$1,Database!$F$1:$AY$1,),))))-(((VLOOKUP(EDATE(B59,-12),Database!$F:$AY,MATCH($E$1,Database!$F$1:$AY$1,),)))))/(((VLOOKUP(EDATE(B59,-12),Database!$F:$AY,MATCH($E$1,Database!$F$1:$AY$1,),))))</f>
        <v>-7.1705207476353283E-2</v>
      </c>
      <c r="F59" s="13">
        <f>((((VLOOKUP(B59,Database!$F:$AY,MATCH($F$1,Database!$F$1:$AY$1,),))))-(((VLOOKUP(EDATE(B59,-12),Database!$F:$AY,MATCH($F$1,Database!$F$1:$AY$1,),)))))/(((VLOOKUP(EDATE(B59,-12),Database!$F:$AY,MATCH($F$1,Database!$F$1:$AY$1,),))))</f>
        <v>-7.887702411577853E-2</v>
      </c>
      <c r="G59" s="13">
        <f>((((VLOOKUP(B59,Database!$F:$AY,MATCH($G$1,Database!$F$1:$AY$1,),))))-(((VLOOKUP(EDATE(B59,-12),Database!$F:$AY,MATCH($G$1,Database!$F$1:$AY$1,),)))))/(((VLOOKUP(EDATE(B59,-12),Database!$F:$AY,MATCH($G$1,Database!$F$1:$AY$1,),))))</f>
        <v>-4.3639099295728977E-2</v>
      </c>
      <c r="H59" s="13">
        <f>((((VLOOKUP(B59,Database!$F:$AY,MATCH($H$1,Database!$F$1:$AY$1,),))))-(((VLOOKUP(EDATE(B59,-12),Database!$F:$AY,MATCH($H$1,Database!$F$1:$AY$1,),)))))/(((VLOOKUP(EDATE(B59,-12),Database!$F:$AY,MATCH($H$1,Database!$F$1:$AY$1,),))))</f>
        <v>7.2539530866254451E-3</v>
      </c>
      <c r="I59" s="13">
        <f>((((VLOOKUP(B59,Database!$F:$AY,MATCH($I$1,Database!$F$1:$AY$1,),))))-(((VLOOKUP(EDATE(B59,-12),Database!$F:$AY,MATCH($I$1,Database!$F$1:$AY$1,),)))))/(((VLOOKUP(EDATE(B59,-12),Database!$F:$AY,MATCH($I$1,Database!$F$1:$AY$1,),))))</f>
        <v>-3.6596825536252243E-2</v>
      </c>
      <c r="J59" s="13">
        <f>((((VLOOKUP(B59,Database!$F:$AY,MATCH($J$1,Database!$F$1:$AY$1,),))))-(((VLOOKUP(EDATE(B59,-12),Database!$F:$AY,MATCH($J$1,Database!$F$1:$AY$1,),)))))/(((VLOOKUP(EDATE(B59,-12),Database!$F:$AY,MATCH($J$1,Database!$F$1:$AY$1,),))))</f>
        <v>-0.10449996345989375</v>
      </c>
      <c r="K59" s="13">
        <f>((((VLOOKUP(B59,Database!$F:$AY,MATCH($K$1,Database!$F$1:$AY$1,),))))-(((VLOOKUP(EDATE(B59,-12),Database!$F:$AY,MATCH($K$1,Database!$F$1:$AY$1,),)))))/(((VLOOKUP(EDATE(B59,-12),Database!$F:$AY,MATCH($K$1,Database!$F$1:$AY$1,),))))</f>
        <v>-1.6417817778046986E-2</v>
      </c>
      <c r="L59" s="13">
        <f>((((VLOOKUP(B59,Database!$F:$AY,MATCH($L$1,Database!$F$1:$AY$1,),))))-(((VLOOKUP(EDATE(B59,-12),Database!$F:$AY,MATCH($L$1,Database!$F$1:$AY$1,),)))))/(((VLOOKUP(EDATE(B59,-12),Database!$F:$AY,MATCH($L$1,Database!$F$1:$AY$1,),))))</f>
        <v>2.6999037795435551E-2</v>
      </c>
      <c r="M59" s="13" t="e">
        <f>((((VLOOKUP(B59,Database!$F:$AY,MATCH($M$1,Database!$F$1:$AY$1,),))))-(((VLOOKUP(EDATE(B59,-12),Database!$F:$AY,MATCH($M$1,Database!$F$1:$AY$1,),)))))/(((VLOOKUP(EDATE(B59,-12),Database!$F:$AY,MATCH($M$1,Database!$F$1:$AY$1,),))))</f>
        <v>#DIV/0!</v>
      </c>
      <c r="N59" s="13" t="e">
        <f>((((VLOOKUP(B59,Database!$F:$AY,MATCH($N$1,Database!$F$1:$AY$1,),))))-(((VLOOKUP(EDATE(B59,-12),Database!$F:$AY,MATCH($N$1,Database!$F$1:$AY$1,),)))))/(((VLOOKUP(EDATE(B59,-12),Database!$F:$AY,MATCH($N$1,Database!$F$1:$AY$1,),))))</f>
        <v>#DIV/0!</v>
      </c>
      <c r="O59" s="13">
        <f>((((VLOOKUP(B59,Database!$F:$AY,MATCH($O$1,Database!$F$1:$AY$1,),))))-(((VLOOKUP(EDATE(B59,-12),Database!$F:$AY,MATCH($O$1,Database!$F$1:$AY$1,),)))))/(((VLOOKUP(EDATE(B59,-12),Database!$F:$AY,MATCH($O$1,Database!$F$1:$AY$1,),))))</f>
        <v>3.9627224606921065E-2</v>
      </c>
      <c r="P59" s="13">
        <f>((((VLOOKUP(B59,Database!$F:$AY,MATCH($P$1,Database!$F$1:$AY$1,),))))-(((VLOOKUP(EDATE(B59,-12),Database!$F:$AY,MATCH($P$1,Database!$F$1:$AY$1,),)))))/(((VLOOKUP(EDATE(B59,-12),Database!$F:$AY,MATCH($P$1,Database!$F$1:$AY$1,),))))</f>
        <v>1.9116121458297289E-2</v>
      </c>
      <c r="Q59" s="13">
        <f>((((VLOOKUP(B59,Database!$F:$AY,MATCH($Q$1,Database!$F$1:$AY$1,),))))-(((VLOOKUP(EDATE(B59,-12),Database!$F:$AY,MATCH($Q$1,Database!$F$1:$AY$1,),)))))/(((VLOOKUP(EDATE(B59,-12),Database!$F:$AY,MATCH($Q$1,Database!$F$1:$AY$1,),))))</f>
        <v>5.1107045666764085E-2</v>
      </c>
      <c r="R59" s="13">
        <f>((((VLOOKUP(B59,Database!$F:$AY,MATCH($R$1,Database!$F$1:$AY$1,),))))-(((VLOOKUP(EDATE(B59,-12),Database!$F:$AY,MATCH($R$1,Database!$F$1:$AY$1,),)))))/(((VLOOKUP(EDATE(B59,-12),Database!$F:$AY,MATCH($R$1,Database!$F$1:$AY$1,),))))</f>
        <v>-4.9690829970048889E-3</v>
      </c>
      <c r="S59" s="13">
        <f>((((VLOOKUP(B59,Database!$F:$AY,MATCH($S$1,Database!$F$1:$AY$1,),))))-(((VLOOKUP(EDATE(B59,-12),Database!$F:$AY,MATCH($S$1,Database!$F$1:$AY$1,),)))))/(((VLOOKUP(EDATE(B59,-12),Database!$F:$AY,MATCH($S$1,Database!$F$1:$AY$1,),))))</f>
        <v>3.2128258832533105E-2</v>
      </c>
      <c r="T59" s="13">
        <f>((((VLOOKUP(B59,Database!$F:$AY,MATCH($T$1,Database!$F$1:$AY$1,),))))-(((VLOOKUP(EDATE(B59,-12),Database!$F:$AY,MATCH($T$1,Database!$F$1:$AY$1,),)))))/(((VLOOKUP(EDATE(B59,-12),Database!$F:$AY,MATCH($T$1,Database!$F$1:$AY$1,),))))</f>
        <v>1.510579129860984E-2</v>
      </c>
      <c r="U59" s="13">
        <f>((((VLOOKUP(B59,Database!$F:$AY,MATCH($U$1,Database!$F$1:$AY$1,),))))-(((VLOOKUP(EDATE(B59,-12),Database!$F:$AY,MATCH($U$1,Database!$F$1:$AY$1,),)))))/(((VLOOKUP(EDATE(B59,-12),Database!$F:$AY,MATCH($U$1,Database!$F$1:$AY$1,),))))</f>
        <v>-0.10970349325757273</v>
      </c>
      <c r="V59" s="13">
        <f>((((VLOOKUP(B59,Database!$F:$AY,MATCH($V$1,Database!$F$1:$AY$1,),))))-(((VLOOKUP(EDATE(B59,-12),Database!$F:$AY,MATCH($V$1,Database!$F$1:$AY$1,),)))))/(((VLOOKUP(EDATE(B59,-12),Database!$F:$AY,MATCH($V$1,Database!$F$1:$AY$1,),))))</f>
        <v>0.14769783232142569</v>
      </c>
    </row>
    <row r="60" spans="1:22" s="85" customFormat="1" x14ac:dyDescent="0.2">
      <c r="A60" s="44"/>
      <c r="B60" s="91">
        <v>33970</v>
      </c>
      <c r="C60" s="13">
        <f>((((VLOOKUP(B60,Database!$F:$AY,MATCH($C$1,Database!$F$1:$AY$1,),))))-(((VLOOKUP(EDATE(B60,-12),Database!$F:$AY,MATCH($C$1,Database!$F$1:$AY$1,),)))))/(((VLOOKUP(EDATE(B60,-12),Database!$F:$AY,MATCH($C$1,Database!$F$1:$AY$1,),))))</f>
        <v>5.0947807702587569E-2</v>
      </c>
      <c r="D60" s="13">
        <f>((((VLOOKUP(B60,Database!$F:$AY,MATCH($D$1,Database!$F$1:$AY$1,),))))-(((VLOOKUP(EDATE(B60,-12),Database!$F:$AY,MATCH($D$1,Database!$F$1:$AY$1,),)))))/(((VLOOKUP(EDATE(B60,-12),Database!$F:$AY,MATCH($D$1,Database!$F$1:$AY$1,),))))</f>
        <v>-6.3492022785238286E-2</v>
      </c>
      <c r="E60" s="13">
        <f>((((VLOOKUP(B60,Database!$F:$AY,MATCH($E$1,Database!$F$1:$AY$1,),))))-(((VLOOKUP(EDATE(B60,-12),Database!$F:$AY,MATCH($E$1,Database!$F$1:$AY$1,),)))))/(((VLOOKUP(EDATE(B60,-12),Database!$F:$AY,MATCH($E$1,Database!$F$1:$AY$1,),))))</f>
        <v>-4.5854029274956527E-2</v>
      </c>
      <c r="F60" s="13">
        <f>((((VLOOKUP(B60,Database!$F:$AY,MATCH($F$1,Database!$F$1:$AY$1,),))))-(((VLOOKUP(EDATE(B60,-12),Database!$F:$AY,MATCH($F$1,Database!$F$1:$AY$1,),)))))/(((VLOOKUP(EDATE(B60,-12),Database!$F:$AY,MATCH($F$1,Database!$F$1:$AY$1,),))))</f>
        <v>-0.10039646628451258</v>
      </c>
      <c r="G60" s="13">
        <f>((((VLOOKUP(B60,Database!$F:$AY,MATCH($G$1,Database!$F$1:$AY$1,),))))-(((VLOOKUP(EDATE(B60,-12),Database!$F:$AY,MATCH($G$1,Database!$F$1:$AY$1,),)))))/(((VLOOKUP(EDATE(B60,-12),Database!$F:$AY,MATCH($G$1,Database!$F$1:$AY$1,),))))</f>
        <v>-4.7210805813756571E-2</v>
      </c>
      <c r="H60" s="13">
        <f>((((VLOOKUP(B60,Database!$F:$AY,MATCH($H$1,Database!$F$1:$AY$1,),))))-(((VLOOKUP(EDATE(B60,-12),Database!$F:$AY,MATCH($H$1,Database!$F$1:$AY$1,),)))))/(((VLOOKUP(EDATE(B60,-12),Database!$F:$AY,MATCH($H$1,Database!$F$1:$AY$1,),))))</f>
        <v>9.3360030592084808E-3</v>
      </c>
      <c r="I60" s="13">
        <f>((((VLOOKUP(B60,Database!$F:$AY,MATCH($I$1,Database!$F$1:$AY$1,),))))-(((VLOOKUP(EDATE(B60,-12),Database!$F:$AY,MATCH($I$1,Database!$F$1:$AY$1,),)))))/(((VLOOKUP(EDATE(B60,-12),Database!$F:$AY,MATCH($I$1,Database!$F$1:$AY$1,),))))</f>
        <v>-2.8130297629203153E-2</v>
      </c>
      <c r="J60" s="13">
        <f>((((VLOOKUP(B60,Database!$F:$AY,MATCH($J$1,Database!$F$1:$AY$1,),))))-(((VLOOKUP(EDATE(B60,-12),Database!$F:$AY,MATCH($J$1,Database!$F$1:$AY$1,),)))))/(((VLOOKUP(EDATE(B60,-12),Database!$F:$AY,MATCH($J$1,Database!$F$1:$AY$1,),))))</f>
        <v>-7.3115962519820027E-2</v>
      </c>
      <c r="K60" s="13">
        <f>((((VLOOKUP(B60,Database!$F:$AY,MATCH($K$1,Database!$F$1:$AY$1,),))))-(((VLOOKUP(EDATE(B60,-12),Database!$F:$AY,MATCH($K$1,Database!$F$1:$AY$1,),)))))/(((VLOOKUP(EDATE(B60,-12),Database!$F:$AY,MATCH($K$1,Database!$F$1:$AY$1,),))))</f>
        <v>-3.2210794096107831E-2</v>
      </c>
      <c r="L60" s="13">
        <f>((((VLOOKUP(B60,Database!$F:$AY,MATCH($L$1,Database!$F$1:$AY$1,),))))-(((VLOOKUP(EDATE(B60,-12),Database!$F:$AY,MATCH($L$1,Database!$F$1:$AY$1,),)))))/(((VLOOKUP(EDATE(B60,-12),Database!$F:$AY,MATCH($L$1,Database!$F$1:$AY$1,),))))</f>
        <v>2.4584405621434973E-2</v>
      </c>
      <c r="M60" s="13" t="e">
        <f>((((VLOOKUP(B60,Database!$F:$AY,MATCH($M$1,Database!$F$1:$AY$1,),))))-(((VLOOKUP(EDATE(B60,-12),Database!$F:$AY,MATCH($M$1,Database!$F$1:$AY$1,),)))))/(((VLOOKUP(EDATE(B60,-12),Database!$F:$AY,MATCH($M$1,Database!$F$1:$AY$1,),))))</f>
        <v>#DIV/0!</v>
      </c>
      <c r="N60" s="13" t="e">
        <f>((((VLOOKUP(B60,Database!$F:$AY,MATCH($N$1,Database!$F$1:$AY$1,),))))-(((VLOOKUP(EDATE(B60,-12),Database!$F:$AY,MATCH($N$1,Database!$F$1:$AY$1,),)))))/(((VLOOKUP(EDATE(B60,-12),Database!$F:$AY,MATCH($N$1,Database!$F$1:$AY$1,),))))</f>
        <v>#DIV/0!</v>
      </c>
      <c r="O60" s="13">
        <f>((((VLOOKUP(B60,Database!$F:$AY,MATCH($O$1,Database!$F$1:$AY$1,),))))-(((VLOOKUP(EDATE(B60,-12),Database!$F:$AY,MATCH($O$1,Database!$F$1:$AY$1,),)))))/(((VLOOKUP(EDATE(B60,-12),Database!$F:$AY,MATCH($O$1,Database!$F$1:$AY$1,),))))</f>
        <v>2.7113857342745466E-2</v>
      </c>
      <c r="P60" s="13">
        <f>((((VLOOKUP(B60,Database!$F:$AY,MATCH($P$1,Database!$F$1:$AY$1,),))))-(((VLOOKUP(EDATE(B60,-12),Database!$F:$AY,MATCH($P$1,Database!$F$1:$AY$1,),)))))/(((VLOOKUP(EDATE(B60,-12),Database!$F:$AY,MATCH($P$1,Database!$F$1:$AY$1,),))))</f>
        <v>2.2246398076705136E-2</v>
      </c>
      <c r="Q60" s="13">
        <f>((((VLOOKUP(B60,Database!$F:$AY,MATCH($Q$1,Database!$F$1:$AY$1,),))))-(((VLOOKUP(EDATE(B60,-12),Database!$F:$AY,MATCH($Q$1,Database!$F$1:$AY$1,),)))))/(((VLOOKUP(EDATE(B60,-12),Database!$F:$AY,MATCH($Q$1,Database!$F$1:$AY$1,),))))</f>
        <v>6.942505877916505E-2</v>
      </c>
      <c r="R60" s="13">
        <f>((((VLOOKUP(B60,Database!$F:$AY,MATCH($R$1,Database!$F$1:$AY$1,),))))-(((VLOOKUP(EDATE(B60,-12),Database!$F:$AY,MATCH($R$1,Database!$F$1:$AY$1,),)))))/(((VLOOKUP(EDATE(B60,-12),Database!$F:$AY,MATCH($R$1,Database!$F$1:$AY$1,),))))</f>
        <v>-7.3082392015362263E-2</v>
      </c>
      <c r="S60" s="13">
        <f>((((VLOOKUP(B60,Database!$F:$AY,MATCH($S$1,Database!$F$1:$AY$1,),))))-(((VLOOKUP(EDATE(B60,-12),Database!$F:$AY,MATCH($S$1,Database!$F$1:$AY$1,),)))))/(((VLOOKUP(EDATE(B60,-12),Database!$F:$AY,MATCH($S$1,Database!$F$1:$AY$1,),))))</f>
        <v>7.6923126728335761E-2</v>
      </c>
      <c r="T60" s="13">
        <f>((((VLOOKUP(B60,Database!$F:$AY,MATCH($T$1,Database!$F$1:$AY$1,),))))-(((VLOOKUP(EDATE(B60,-12),Database!$F:$AY,MATCH($T$1,Database!$F$1:$AY$1,),)))))/(((VLOOKUP(EDATE(B60,-12),Database!$F:$AY,MATCH($T$1,Database!$F$1:$AY$1,),))))</f>
        <v>5.4054045937154509E-2</v>
      </c>
      <c r="U60" s="13">
        <f>((((VLOOKUP(B60,Database!$F:$AY,MATCH($U$1,Database!$F$1:$AY$1,),))))-(((VLOOKUP(EDATE(B60,-12),Database!$F:$AY,MATCH($U$1,Database!$F$1:$AY$1,),)))))/(((VLOOKUP(EDATE(B60,-12),Database!$F:$AY,MATCH($U$1,Database!$F$1:$AY$1,),))))</f>
        <v>-3.0640437917744671E-2</v>
      </c>
      <c r="V60" s="13">
        <f>((((VLOOKUP(B60,Database!$F:$AY,MATCH($V$1,Database!$F$1:$AY$1,),))))-(((VLOOKUP(EDATE(B60,-12),Database!$F:$AY,MATCH($V$1,Database!$F$1:$AY$1,),)))))/(((VLOOKUP(EDATE(B60,-12),Database!$F:$AY,MATCH($V$1,Database!$F$1:$AY$1,),))))</f>
        <v>5.6063837529589329E-2</v>
      </c>
    </row>
    <row r="61" spans="1:22" s="85" customFormat="1" x14ac:dyDescent="0.2">
      <c r="A61" s="44"/>
      <c r="B61" s="91">
        <v>34001</v>
      </c>
      <c r="C61" s="13">
        <f>((((VLOOKUP(B61,Database!$F:$AY,MATCH($C$1,Database!$F$1:$AY$1,),))))-(((VLOOKUP(EDATE(B61,-12),Database!$F:$AY,MATCH($C$1,Database!$F$1:$AY$1,),)))))/(((VLOOKUP(EDATE(B61,-12),Database!$F:$AY,MATCH($C$1,Database!$F$1:$AY$1,),))))</f>
        <v>4.8099163140855855E-2</v>
      </c>
      <c r="D61" s="13">
        <f>((((VLOOKUP(B61,Database!$F:$AY,MATCH($D$1,Database!$F$1:$AY$1,),))))-(((VLOOKUP(EDATE(B61,-12),Database!$F:$AY,MATCH($D$1,Database!$F$1:$AY$1,),)))))/(((VLOOKUP(EDATE(B61,-12),Database!$F:$AY,MATCH($D$1,Database!$F$1:$AY$1,),))))</f>
        <v>-7.308160482769839E-2</v>
      </c>
      <c r="E61" s="13">
        <f>((((VLOOKUP(B61,Database!$F:$AY,MATCH($E$1,Database!$F$1:$AY$1,),))))-(((VLOOKUP(EDATE(B61,-12),Database!$F:$AY,MATCH($E$1,Database!$F$1:$AY$1,),)))))/(((VLOOKUP(EDATE(B61,-12),Database!$F:$AY,MATCH($E$1,Database!$F$1:$AY$1,),))))</f>
        <v>-4.1095626063766079E-2</v>
      </c>
      <c r="F61" s="13">
        <f>((((VLOOKUP(B61,Database!$F:$AY,MATCH($F$1,Database!$F$1:$AY$1,),))))-(((VLOOKUP(EDATE(B61,-12),Database!$F:$AY,MATCH($F$1,Database!$F$1:$AY$1,),)))))/(((VLOOKUP(EDATE(B61,-12),Database!$F:$AY,MATCH($F$1,Database!$F$1:$AY$1,),))))</f>
        <v>-0.12857136919727591</v>
      </c>
      <c r="G61" s="13">
        <f>((((VLOOKUP(B61,Database!$F:$AY,MATCH($G$1,Database!$F$1:$AY$1,),))))-(((VLOOKUP(EDATE(B61,-12),Database!$F:$AY,MATCH($G$1,Database!$F$1:$AY$1,),)))))/(((VLOOKUP(EDATE(B61,-12),Database!$F:$AY,MATCH($G$1,Database!$F$1:$AY$1,),))))</f>
        <v>-3.8490986843630448E-2</v>
      </c>
      <c r="H61" s="13">
        <f>((((VLOOKUP(B61,Database!$F:$AY,MATCH($H$1,Database!$F$1:$AY$1,),))))-(((VLOOKUP(EDATE(B61,-12),Database!$F:$AY,MATCH($H$1,Database!$F$1:$AY$1,),)))))/(((VLOOKUP(EDATE(B61,-12),Database!$F:$AY,MATCH($H$1,Database!$F$1:$AY$1,),))))</f>
        <v>1.7525769060321557E-2</v>
      </c>
      <c r="I61" s="13">
        <f>((((VLOOKUP(B61,Database!$F:$AY,MATCH($I$1,Database!$F$1:$AY$1,),))))-(((VLOOKUP(EDATE(B61,-12),Database!$F:$AY,MATCH($I$1,Database!$F$1:$AY$1,),)))))/(((VLOOKUP(EDATE(B61,-12),Database!$F:$AY,MATCH($I$1,Database!$F$1:$AY$1,),))))</f>
        <v>-3.0852847969158912E-2</v>
      </c>
      <c r="J61" s="13">
        <f>((((VLOOKUP(B61,Database!$F:$AY,MATCH($J$1,Database!$F$1:$AY$1,),))))-(((VLOOKUP(EDATE(B61,-12),Database!$F:$AY,MATCH($J$1,Database!$F$1:$AY$1,),)))))/(((VLOOKUP(EDATE(B61,-12),Database!$F:$AY,MATCH($J$1,Database!$F$1:$AY$1,),))))</f>
        <v>-9.0875346413456889E-2</v>
      </c>
      <c r="K61" s="13">
        <f>((((VLOOKUP(B61,Database!$F:$AY,MATCH($K$1,Database!$F$1:$AY$1,),))))-(((VLOOKUP(EDATE(B61,-12),Database!$F:$AY,MATCH($K$1,Database!$F$1:$AY$1,),)))))/(((VLOOKUP(EDATE(B61,-12),Database!$F:$AY,MATCH($K$1,Database!$F$1:$AY$1,),))))</f>
        <v>-4.2584489199422038E-2</v>
      </c>
      <c r="L61" s="13">
        <f>((((VLOOKUP(B61,Database!$F:$AY,MATCH($L$1,Database!$F$1:$AY$1,),))))-(((VLOOKUP(EDATE(B61,-12),Database!$F:$AY,MATCH($L$1,Database!$F$1:$AY$1,),)))))/(((VLOOKUP(EDATE(B61,-12),Database!$F:$AY,MATCH($L$1,Database!$F$1:$AY$1,),))))</f>
        <v>3.711485377579557E-2</v>
      </c>
      <c r="M61" s="13" t="e">
        <f>((((VLOOKUP(B61,Database!$F:$AY,MATCH($M$1,Database!$F$1:$AY$1,),))))-(((VLOOKUP(EDATE(B61,-12),Database!$F:$AY,MATCH($M$1,Database!$F$1:$AY$1,),)))))/(((VLOOKUP(EDATE(B61,-12),Database!$F:$AY,MATCH($M$1,Database!$F$1:$AY$1,),))))</f>
        <v>#DIV/0!</v>
      </c>
      <c r="N61" s="13" t="e">
        <f>((((VLOOKUP(B61,Database!$F:$AY,MATCH($N$1,Database!$F$1:$AY$1,),))))-(((VLOOKUP(EDATE(B61,-12),Database!$F:$AY,MATCH($N$1,Database!$F$1:$AY$1,),)))))/(((VLOOKUP(EDATE(B61,-12),Database!$F:$AY,MATCH($N$1,Database!$F$1:$AY$1,),))))</f>
        <v>#DIV/0!</v>
      </c>
      <c r="O61" s="13">
        <f>((((VLOOKUP(B61,Database!$F:$AY,MATCH($O$1,Database!$F$1:$AY$1,),))))-(((VLOOKUP(EDATE(B61,-12),Database!$F:$AY,MATCH($O$1,Database!$F$1:$AY$1,),)))))/(((VLOOKUP(EDATE(B61,-12),Database!$F:$AY,MATCH($O$1,Database!$F$1:$AY$1,),))))</f>
        <v>4.3089137965726172E-2</v>
      </c>
      <c r="P61" s="13">
        <f>((((VLOOKUP(B61,Database!$F:$AY,MATCH($P$1,Database!$F$1:$AY$1,),))))-(((VLOOKUP(EDATE(B61,-12),Database!$F:$AY,MATCH($P$1,Database!$F$1:$AY$1,),)))))/(((VLOOKUP(EDATE(B61,-12),Database!$F:$AY,MATCH($P$1,Database!$F$1:$AY$1,),))))</f>
        <v>-1.3484421053143106E-2</v>
      </c>
      <c r="Q61" s="13">
        <f>((((VLOOKUP(B61,Database!$F:$AY,MATCH($Q$1,Database!$F$1:$AY$1,),))))-(((VLOOKUP(EDATE(B61,-12),Database!$F:$AY,MATCH($Q$1,Database!$F$1:$AY$1,),)))))/(((VLOOKUP(EDATE(B61,-12),Database!$F:$AY,MATCH($Q$1,Database!$F$1:$AY$1,),))))</f>
        <v>5.5831305723592864E-2</v>
      </c>
      <c r="R61" s="13">
        <f>((((VLOOKUP(B61,Database!$F:$AY,MATCH($R$1,Database!$F$1:$AY$1,),))))-(((VLOOKUP(EDATE(B61,-12),Database!$F:$AY,MATCH($R$1,Database!$F$1:$AY$1,),)))))/(((VLOOKUP(EDATE(B61,-12),Database!$F:$AY,MATCH($R$1,Database!$F$1:$AY$1,),))))</f>
        <v>-1.458205427815076E-2</v>
      </c>
      <c r="S61" s="13">
        <f>((((VLOOKUP(B61,Database!$F:$AY,MATCH($S$1,Database!$F$1:$AY$1,),))))-(((VLOOKUP(EDATE(B61,-12),Database!$F:$AY,MATCH($S$1,Database!$F$1:$AY$1,),)))))/(((VLOOKUP(EDATE(B61,-12),Database!$F:$AY,MATCH($S$1,Database!$F$1:$AY$1,),))))</f>
        <v>8.5270948592487045E-2</v>
      </c>
      <c r="T61" s="13">
        <f>((((VLOOKUP(B61,Database!$F:$AY,MATCH($T$1,Database!$F$1:$AY$1,),))))-(((VLOOKUP(EDATE(B61,-12),Database!$F:$AY,MATCH($T$1,Database!$F$1:$AY$1,),)))))/(((VLOOKUP(EDATE(B61,-12),Database!$F:$AY,MATCH($T$1,Database!$F$1:$AY$1,),))))</f>
        <v>6.6666767685185743E-2</v>
      </c>
      <c r="U61" s="13">
        <f>((((VLOOKUP(B61,Database!$F:$AY,MATCH($U$1,Database!$F$1:$AY$1,),))))-(((VLOOKUP(EDATE(B61,-12),Database!$F:$AY,MATCH($U$1,Database!$F$1:$AY$1,),)))))/(((VLOOKUP(EDATE(B61,-12),Database!$F:$AY,MATCH($U$1,Database!$F$1:$AY$1,),))))</f>
        <v>-2.510952294145127E-2</v>
      </c>
      <c r="V61" s="13">
        <f>((((VLOOKUP(B61,Database!$F:$AY,MATCH($V$1,Database!$F$1:$AY$1,),))))-(((VLOOKUP(EDATE(B61,-12),Database!$F:$AY,MATCH($V$1,Database!$F$1:$AY$1,),)))))/(((VLOOKUP(EDATE(B61,-12),Database!$F:$AY,MATCH($V$1,Database!$F$1:$AY$1,),))))</f>
        <v>5.1893710883065075E-2</v>
      </c>
    </row>
    <row r="62" spans="1:22" s="85" customFormat="1" x14ac:dyDescent="0.2">
      <c r="A62" s="44"/>
      <c r="B62" s="91">
        <v>34029</v>
      </c>
      <c r="C62" s="13">
        <f>((((VLOOKUP(B62,Database!$F:$AY,MATCH($C$1,Database!$F$1:$AY$1,),))))-(((VLOOKUP(EDATE(B62,-12),Database!$F:$AY,MATCH($C$1,Database!$F$1:$AY$1,),)))))/(((VLOOKUP(EDATE(B62,-12),Database!$F:$AY,MATCH($C$1,Database!$F$1:$AY$1,),))))</f>
        <v>3.8006271171516358E-2</v>
      </c>
      <c r="D62" s="13">
        <f>((((VLOOKUP(B62,Database!$F:$AY,MATCH($D$1,Database!$F$1:$AY$1,),))))-(((VLOOKUP(EDATE(B62,-12),Database!$F:$AY,MATCH($D$1,Database!$F$1:$AY$1,),)))))/(((VLOOKUP(EDATE(B62,-12),Database!$F:$AY,MATCH($D$1,Database!$F$1:$AY$1,),))))</f>
        <v>-6.7567643946583683E-2</v>
      </c>
      <c r="E62" s="13">
        <f>((((VLOOKUP(B62,Database!$F:$AY,MATCH($E$1,Database!$F$1:$AY$1,),))))-(((VLOOKUP(EDATE(B62,-12),Database!$F:$AY,MATCH($E$1,Database!$F$1:$AY$1,),)))))/(((VLOOKUP(EDATE(B62,-12),Database!$F:$AY,MATCH($E$1,Database!$F$1:$AY$1,),))))</f>
        <v>-5.9583177063085462E-2</v>
      </c>
      <c r="F62" s="13">
        <f>((((VLOOKUP(B62,Database!$F:$AY,MATCH($F$1,Database!$F$1:$AY$1,),))))-(((VLOOKUP(EDATE(B62,-12),Database!$F:$AY,MATCH($F$1,Database!$F$1:$AY$1,),)))))/(((VLOOKUP(EDATE(B62,-12),Database!$F:$AY,MATCH($F$1,Database!$F$1:$AY$1,),))))</f>
        <v>-0.10160431811366098</v>
      </c>
      <c r="G62" s="13">
        <f>((((VLOOKUP(B62,Database!$F:$AY,MATCH($G$1,Database!$F$1:$AY$1,),))))-(((VLOOKUP(EDATE(B62,-12),Database!$F:$AY,MATCH($G$1,Database!$F$1:$AY$1,),)))))/(((VLOOKUP(EDATE(B62,-12),Database!$F:$AY,MATCH($G$1,Database!$F$1:$AY$1,),))))</f>
        <v>-5.2523278720764476E-2</v>
      </c>
      <c r="H62" s="13">
        <f>((((VLOOKUP(B62,Database!$F:$AY,MATCH($H$1,Database!$F$1:$AY$1,),))))-(((VLOOKUP(EDATE(B62,-12),Database!$F:$AY,MATCH($H$1,Database!$F$1:$AY$1,),)))))/(((VLOOKUP(EDATE(B62,-12),Database!$F:$AY,MATCH($H$1,Database!$F$1:$AY$1,),))))</f>
        <v>1.3457559898623305E-2</v>
      </c>
      <c r="I62" s="13">
        <f>((((VLOOKUP(B62,Database!$F:$AY,MATCH($I$1,Database!$F$1:$AY$1,),))))-(((VLOOKUP(EDATE(B62,-12),Database!$F:$AY,MATCH($I$1,Database!$F$1:$AY$1,),)))))/(((VLOOKUP(EDATE(B62,-12),Database!$F:$AY,MATCH($I$1,Database!$F$1:$AY$1,),))))</f>
        <v>-3.3636449593965979E-2</v>
      </c>
      <c r="J62" s="13">
        <f>((((VLOOKUP(B62,Database!$F:$AY,MATCH($J$1,Database!$F$1:$AY$1,),))))-(((VLOOKUP(EDATE(B62,-12),Database!$F:$AY,MATCH($J$1,Database!$F$1:$AY$1,),)))))/(((VLOOKUP(EDATE(B62,-12),Database!$F:$AY,MATCH($J$1,Database!$F$1:$AY$1,),))))</f>
        <v>-7.8529983640601431E-2</v>
      </c>
      <c r="K62" s="13">
        <f>((((VLOOKUP(B62,Database!$F:$AY,MATCH($K$1,Database!$F$1:$AY$1,),))))-(((VLOOKUP(EDATE(B62,-12),Database!$F:$AY,MATCH($K$1,Database!$F$1:$AY$1,),)))))/(((VLOOKUP(EDATE(B62,-12),Database!$F:$AY,MATCH($K$1,Database!$F$1:$AY$1,),))))</f>
        <v>-1.483675000949254E-2</v>
      </c>
      <c r="L62" s="13">
        <f>((((VLOOKUP(B62,Database!$F:$AY,MATCH($L$1,Database!$F$1:$AY$1,),))))-(((VLOOKUP(EDATE(B62,-12),Database!$F:$AY,MATCH($L$1,Database!$F$1:$AY$1,),)))))/(((VLOOKUP(EDATE(B62,-12),Database!$F:$AY,MATCH($L$1,Database!$F$1:$AY$1,),))))</f>
        <v>-2.0905901329364436E-4</v>
      </c>
      <c r="M62" s="13" t="e">
        <f>((((VLOOKUP(B62,Database!$F:$AY,MATCH($M$1,Database!$F$1:$AY$1,),))))-(((VLOOKUP(EDATE(B62,-12),Database!$F:$AY,MATCH($M$1,Database!$F$1:$AY$1,),)))))/(((VLOOKUP(EDATE(B62,-12),Database!$F:$AY,MATCH($M$1,Database!$F$1:$AY$1,),))))</f>
        <v>#DIV/0!</v>
      </c>
      <c r="N62" s="13" t="e">
        <f>((((VLOOKUP(B62,Database!$F:$AY,MATCH($N$1,Database!$F$1:$AY$1,),))))-(((VLOOKUP(EDATE(B62,-12),Database!$F:$AY,MATCH($N$1,Database!$F$1:$AY$1,),)))))/(((VLOOKUP(EDATE(B62,-12),Database!$F:$AY,MATCH($N$1,Database!$F$1:$AY$1,),))))</f>
        <v>#DIV/0!</v>
      </c>
      <c r="O62" s="13">
        <f>((((VLOOKUP(B62,Database!$F:$AY,MATCH($O$1,Database!$F$1:$AY$1,),))))-(((VLOOKUP(EDATE(B62,-12),Database!$F:$AY,MATCH($O$1,Database!$F$1:$AY$1,),)))))/(((VLOOKUP(EDATE(B62,-12),Database!$F:$AY,MATCH($O$1,Database!$F$1:$AY$1,),))))</f>
        <v>5.4633105861565827E-2</v>
      </c>
      <c r="P62" s="13">
        <f>((((VLOOKUP(B62,Database!$F:$AY,MATCH($P$1,Database!$F$1:$AY$1,),))))-(((VLOOKUP(EDATE(B62,-12),Database!$F:$AY,MATCH($P$1,Database!$F$1:$AY$1,),)))))/(((VLOOKUP(EDATE(B62,-12),Database!$F:$AY,MATCH($P$1,Database!$F$1:$AY$1,),))))</f>
        <v>2.1704989361331591E-2</v>
      </c>
      <c r="Q62" s="13">
        <f>((((VLOOKUP(B62,Database!$F:$AY,MATCH($Q$1,Database!$F$1:$AY$1,),))))-(((VLOOKUP(EDATE(B62,-12),Database!$F:$AY,MATCH($Q$1,Database!$F$1:$AY$1,),)))))/(((VLOOKUP(EDATE(B62,-12),Database!$F:$AY,MATCH($Q$1,Database!$F$1:$AY$1,),))))</f>
        <v>6.8274828766458864E-2</v>
      </c>
      <c r="R62" s="13">
        <f>((((VLOOKUP(B62,Database!$F:$AY,MATCH($R$1,Database!$F$1:$AY$1,),))))-(((VLOOKUP(EDATE(B62,-12),Database!$F:$AY,MATCH($R$1,Database!$F$1:$AY$1,),)))))/(((VLOOKUP(EDATE(B62,-12),Database!$F:$AY,MATCH($R$1,Database!$F$1:$AY$1,),))))</f>
        <v>-4.2270138323840578E-2</v>
      </c>
      <c r="S62" s="13">
        <f>((((VLOOKUP(B62,Database!$F:$AY,MATCH($S$1,Database!$F$1:$AY$1,),))))-(((VLOOKUP(EDATE(B62,-12),Database!$F:$AY,MATCH($S$1,Database!$F$1:$AY$1,),)))))/(((VLOOKUP(EDATE(B62,-12),Database!$F:$AY,MATCH($S$1,Database!$F$1:$AY$1,),))))</f>
        <v>5.6390689561988588E-2</v>
      </c>
      <c r="T62" s="13">
        <f>((((VLOOKUP(B62,Database!$F:$AY,MATCH($T$1,Database!$F$1:$AY$1,),))))-(((VLOOKUP(EDATE(B62,-12),Database!$F:$AY,MATCH($T$1,Database!$F$1:$AY$1,),)))))/(((VLOOKUP(EDATE(B62,-12),Database!$F:$AY,MATCH($T$1,Database!$F$1:$AY$1,),))))</f>
        <v>2.7190484765496993E-2</v>
      </c>
      <c r="U62" s="13">
        <f>((((VLOOKUP(B62,Database!$F:$AY,MATCH($U$1,Database!$F$1:$AY$1,),))))-(((VLOOKUP(EDATE(B62,-12),Database!$F:$AY,MATCH($U$1,Database!$F$1:$AY$1,),)))))/(((VLOOKUP(EDATE(B62,-12),Database!$F:$AY,MATCH($U$1,Database!$F$1:$AY$1,),))))</f>
        <v>-5.5670101928919899E-2</v>
      </c>
      <c r="V62" s="13">
        <f>((((VLOOKUP(B62,Database!$F:$AY,MATCH($V$1,Database!$F$1:$AY$1,),))))-(((VLOOKUP(EDATE(B62,-12),Database!$F:$AY,MATCH($V$1,Database!$F$1:$AY$1,),)))))/(((VLOOKUP(EDATE(B62,-12),Database!$F:$AY,MATCH($V$1,Database!$F$1:$AY$1,),))))</f>
        <v>2.292248110633769E-2</v>
      </c>
    </row>
    <row r="63" spans="1:22" s="85" customFormat="1" x14ac:dyDescent="0.2">
      <c r="A63" s="44"/>
      <c r="B63" s="91">
        <v>34060</v>
      </c>
      <c r="C63" s="13">
        <f>((((VLOOKUP(B63,Database!$F:$AY,MATCH($C$1,Database!$F$1:$AY$1,),))))-(((VLOOKUP(EDATE(B63,-12),Database!$F:$AY,MATCH($C$1,Database!$F$1:$AY$1,),)))))/(((VLOOKUP(EDATE(B63,-12),Database!$F:$AY,MATCH($C$1,Database!$F$1:$AY$1,),))))</f>
        <v>3.3810247701707319E-2</v>
      </c>
      <c r="D63" s="13">
        <f>((((VLOOKUP(B63,Database!$F:$AY,MATCH($D$1,Database!$F$1:$AY$1,),))))-(((VLOOKUP(EDATE(B63,-12),Database!$F:$AY,MATCH($D$1,Database!$F$1:$AY$1,),)))))/(((VLOOKUP(EDATE(B63,-12),Database!$F:$AY,MATCH($D$1,Database!$F$1:$AY$1,),))))</f>
        <v>-7.1428527438131037E-2</v>
      </c>
      <c r="E63" s="13">
        <f>((((VLOOKUP(B63,Database!$F:$AY,MATCH($E$1,Database!$F$1:$AY$1,),))))-(((VLOOKUP(EDATE(B63,-12),Database!$F:$AY,MATCH($E$1,Database!$F$1:$AY$1,),)))))/(((VLOOKUP(EDATE(B63,-12),Database!$F:$AY,MATCH($E$1,Database!$F$1:$AY$1,),))))</f>
        <v>-3.6925885467410671E-2</v>
      </c>
      <c r="F63" s="13">
        <f>((((VLOOKUP(B63,Database!$F:$AY,MATCH($F$1,Database!$F$1:$AY$1,),))))-(((VLOOKUP(EDATE(B63,-12),Database!$F:$AY,MATCH($F$1,Database!$F$1:$AY$1,),)))))/(((VLOOKUP(EDATE(B63,-12),Database!$F:$AY,MATCH($F$1,Database!$F$1:$AY$1,),))))</f>
        <v>-0.10709512893844712</v>
      </c>
      <c r="G63" s="13">
        <f>((((VLOOKUP(B63,Database!$F:$AY,MATCH($G$1,Database!$F$1:$AY$1,),))))-(((VLOOKUP(EDATE(B63,-12),Database!$F:$AY,MATCH($G$1,Database!$F$1:$AY$1,),)))))/(((VLOOKUP(EDATE(B63,-12),Database!$F:$AY,MATCH($G$1,Database!$F$1:$AY$1,),))))</f>
        <v>-5.2241245220211417E-2</v>
      </c>
      <c r="H63" s="13">
        <f>((((VLOOKUP(B63,Database!$F:$AY,MATCH($H$1,Database!$F$1:$AY$1,),))))-(((VLOOKUP(EDATE(B63,-12),Database!$F:$AY,MATCH($H$1,Database!$F$1:$AY$1,),)))))/(((VLOOKUP(EDATE(B63,-12),Database!$F:$AY,MATCH($H$1,Database!$F$1:$AY$1,),))))</f>
        <v>8.2304379348117958E-3</v>
      </c>
      <c r="I63" s="13">
        <f>((((VLOOKUP(B63,Database!$F:$AY,MATCH($I$1,Database!$F$1:$AY$1,),))))-(((VLOOKUP(EDATE(B63,-12),Database!$F:$AY,MATCH($I$1,Database!$F$1:$AY$1,),)))))/(((VLOOKUP(EDATE(B63,-12),Database!$F:$AY,MATCH($I$1,Database!$F$1:$AY$1,),))))</f>
        <v>-3.8077518705096014E-2</v>
      </c>
      <c r="J63" s="13">
        <f>((((VLOOKUP(B63,Database!$F:$AY,MATCH($J$1,Database!$F$1:$AY$1,),))))-(((VLOOKUP(EDATE(B63,-12),Database!$F:$AY,MATCH($J$1,Database!$F$1:$AY$1,),)))))/(((VLOOKUP(EDATE(B63,-12),Database!$F:$AY,MATCH($J$1,Database!$F$1:$AY$1,),))))</f>
        <v>-8.1641792921304343E-2</v>
      </c>
      <c r="K63" s="13">
        <f>((((VLOOKUP(B63,Database!$F:$AY,MATCH($K$1,Database!$F$1:$AY$1,),))))-(((VLOOKUP(EDATE(B63,-12),Database!$F:$AY,MATCH($K$1,Database!$F$1:$AY$1,),)))))/(((VLOOKUP(EDATE(B63,-12),Database!$F:$AY,MATCH($K$1,Database!$F$1:$AY$1,),))))</f>
        <v>-4.227396660044231E-2</v>
      </c>
      <c r="L63" s="13">
        <f>((((VLOOKUP(B63,Database!$F:$AY,MATCH($L$1,Database!$F$1:$AY$1,),))))-(((VLOOKUP(EDATE(B63,-12),Database!$F:$AY,MATCH($L$1,Database!$F$1:$AY$1,),)))))/(((VLOOKUP(EDATE(B63,-12),Database!$F:$AY,MATCH($L$1,Database!$F$1:$AY$1,),))))</f>
        <v>2.6949338002435305E-2</v>
      </c>
      <c r="M63" s="13" t="e">
        <f>((((VLOOKUP(B63,Database!$F:$AY,MATCH($M$1,Database!$F$1:$AY$1,),))))-(((VLOOKUP(EDATE(B63,-12),Database!$F:$AY,MATCH($M$1,Database!$F$1:$AY$1,),)))))/(((VLOOKUP(EDATE(B63,-12),Database!$F:$AY,MATCH($M$1,Database!$F$1:$AY$1,),))))</f>
        <v>#DIV/0!</v>
      </c>
      <c r="N63" s="13" t="e">
        <f>((((VLOOKUP(B63,Database!$F:$AY,MATCH($N$1,Database!$F$1:$AY$1,),))))-(((VLOOKUP(EDATE(B63,-12),Database!$F:$AY,MATCH($N$1,Database!$F$1:$AY$1,),)))))/(((VLOOKUP(EDATE(B63,-12),Database!$F:$AY,MATCH($N$1,Database!$F$1:$AY$1,),))))</f>
        <v>#DIV/0!</v>
      </c>
      <c r="O63" s="13">
        <f>((((VLOOKUP(B63,Database!$F:$AY,MATCH($O$1,Database!$F$1:$AY$1,),))))-(((VLOOKUP(EDATE(B63,-12),Database!$F:$AY,MATCH($O$1,Database!$F$1:$AY$1,),)))))/(((VLOOKUP(EDATE(B63,-12),Database!$F:$AY,MATCH($O$1,Database!$F$1:$AY$1,),))))</f>
        <v>4.0412095813674193E-2</v>
      </c>
      <c r="P63" s="13">
        <f>((((VLOOKUP(B63,Database!$F:$AY,MATCH($P$1,Database!$F$1:$AY$1,),))))-(((VLOOKUP(EDATE(B63,-12),Database!$F:$AY,MATCH($P$1,Database!$F$1:$AY$1,),)))))/(((VLOOKUP(EDATE(B63,-12),Database!$F:$AY,MATCH($P$1,Database!$F$1:$AY$1,),))))</f>
        <v>2.7224200162456809E-2</v>
      </c>
      <c r="Q63" s="13">
        <f>((((VLOOKUP(B63,Database!$F:$AY,MATCH($Q$1,Database!$F$1:$AY$1,),))))-(((VLOOKUP(EDATE(B63,-12),Database!$F:$AY,MATCH($Q$1,Database!$F$1:$AY$1,),)))))/(((VLOOKUP(EDATE(B63,-12),Database!$F:$AY,MATCH($Q$1,Database!$F$1:$AY$1,),))))</f>
        <v>7.2328155669679928E-2</v>
      </c>
      <c r="R63" s="13">
        <f>((((VLOOKUP(B63,Database!$F:$AY,MATCH($R$1,Database!$F$1:$AY$1,),))))-(((VLOOKUP(EDATE(B63,-12),Database!$F:$AY,MATCH($R$1,Database!$F$1:$AY$1,),)))))/(((VLOOKUP(EDATE(B63,-12),Database!$F:$AY,MATCH($R$1,Database!$F$1:$AY$1,),))))</f>
        <v>-1.1900147973804523E-2</v>
      </c>
      <c r="S63" s="13">
        <f>((((VLOOKUP(B63,Database!$F:$AY,MATCH($S$1,Database!$F$1:$AY$1,),))))-(((VLOOKUP(EDATE(B63,-12),Database!$F:$AY,MATCH($S$1,Database!$F$1:$AY$1,),)))))/(((VLOOKUP(EDATE(B63,-12),Database!$F:$AY,MATCH($S$1,Database!$F$1:$AY$1,),))))</f>
        <v>6.8702059551851088E-2</v>
      </c>
      <c r="T63" s="13">
        <f>((((VLOOKUP(B63,Database!$F:$AY,MATCH($T$1,Database!$F$1:$AY$1,),))))-(((VLOOKUP(EDATE(B63,-12),Database!$F:$AY,MATCH($T$1,Database!$F$1:$AY$1,),)))))/(((VLOOKUP(EDATE(B63,-12),Database!$F:$AY,MATCH($T$1,Database!$F$1:$AY$1,),))))</f>
        <v>7.8550054324771454E-2</v>
      </c>
      <c r="U63" s="13">
        <f>((((VLOOKUP(B63,Database!$F:$AY,MATCH($U$1,Database!$F$1:$AY$1,),))))-(((VLOOKUP(EDATE(B63,-12),Database!$F:$AY,MATCH($U$1,Database!$F$1:$AY$1,),)))))/(((VLOOKUP(EDATE(B63,-12),Database!$F:$AY,MATCH($U$1,Database!$F$1:$AY$1,),))))</f>
        <v>-6.8581271651824857E-2</v>
      </c>
      <c r="V63" s="13">
        <f>((((VLOOKUP(B63,Database!$F:$AY,MATCH($V$1,Database!$F$1:$AY$1,),))))-(((VLOOKUP(EDATE(B63,-12),Database!$F:$AY,MATCH($V$1,Database!$F$1:$AY$1,),)))))/(((VLOOKUP(EDATE(B63,-12),Database!$F:$AY,MATCH($V$1,Database!$F$1:$AY$1,),))))</f>
        <v>3.8480902227694326E-2</v>
      </c>
    </row>
    <row r="64" spans="1:22" s="85" customFormat="1" x14ac:dyDescent="0.2">
      <c r="A64" s="44"/>
      <c r="B64" s="91">
        <v>34090</v>
      </c>
      <c r="C64" s="13">
        <f>((((VLOOKUP(B64,Database!$F:$AY,MATCH($C$1,Database!$F$1:$AY$1,),))))-(((VLOOKUP(EDATE(B64,-12),Database!$F:$AY,MATCH($C$1,Database!$F$1:$AY$1,),)))))/(((VLOOKUP(EDATE(B64,-12),Database!$F:$AY,MATCH($C$1,Database!$F$1:$AY$1,),))))</f>
        <v>2.6871613827592494E-2</v>
      </c>
      <c r="D64" s="13">
        <f>((((VLOOKUP(B64,Database!$F:$AY,MATCH($D$1,Database!$F$1:$AY$1,),))))-(((VLOOKUP(EDATE(B64,-12),Database!$F:$AY,MATCH($D$1,Database!$F$1:$AY$1,),)))))/(((VLOOKUP(EDATE(B64,-12),Database!$F:$AY,MATCH($D$1,Database!$F$1:$AY$1,),))))</f>
        <v>-6.6914498141263823E-2</v>
      </c>
      <c r="E64" s="13">
        <f>((((VLOOKUP(B64,Database!$F:$AY,MATCH($E$1,Database!$F$1:$AY$1,),))))-(((VLOOKUP(EDATE(B64,-12),Database!$F:$AY,MATCH($E$1,Database!$F$1:$AY$1,),)))))/(((VLOOKUP(EDATE(B64,-12),Database!$F:$AY,MATCH($E$1,Database!$F$1:$AY$1,),))))</f>
        <v>-1.0214484019484707E-3</v>
      </c>
      <c r="F64" s="13">
        <f>((((VLOOKUP(B64,Database!$F:$AY,MATCH($F$1,Database!$F$1:$AY$1,),))))-(((VLOOKUP(EDATE(B64,-12),Database!$F:$AY,MATCH($F$1,Database!$F$1:$AY$1,),)))))/(((VLOOKUP(EDATE(B64,-12),Database!$F:$AY,MATCH($F$1,Database!$F$1:$AY$1,),))))</f>
        <v>-0.10107822996578424</v>
      </c>
      <c r="G64" s="13">
        <f>((((VLOOKUP(B64,Database!$F:$AY,MATCH($G$1,Database!$F$1:$AY$1,),))))-(((VLOOKUP(EDATE(B64,-12),Database!$F:$AY,MATCH($G$1,Database!$F$1:$AY$1,),)))))/(((VLOOKUP(EDATE(B64,-12),Database!$F:$AY,MATCH($G$1,Database!$F$1:$AY$1,),))))</f>
        <v>-5.3314320552947839E-2</v>
      </c>
      <c r="H64" s="13">
        <f>((((VLOOKUP(B64,Database!$F:$AY,MATCH($H$1,Database!$F$1:$AY$1,),))))-(((VLOOKUP(EDATE(B64,-12),Database!$F:$AY,MATCH($H$1,Database!$F$1:$AY$1,),)))))/(((VLOOKUP(EDATE(B64,-12),Database!$F:$AY,MATCH($H$1,Database!$F$1:$AY$1,),))))</f>
        <v>3.6764611766082617E-2</v>
      </c>
      <c r="I64" s="13">
        <f>((((VLOOKUP(B64,Database!$F:$AY,MATCH($I$1,Database!$F$1:$AY$1,),))))-(((VLOOKUP(EDATE(B64,-12),Database!$F:$AY,MATCH($I$1,Database!$F$1:$AY$1,),)))))/(((VLOOKUP(EDATE(B64,-12),Database!$F:$AY,MATCH($I$1,Database!$F$1:$AY$1,),))))</f>
        <v>-4.0908876015084777E-2</v>
      </c>
      <c r="J64" s="13">
        <f>((((VLOOKUP(B64,Database!$F:$AY,MATCH($J$1,Database!$F$1:$AY$1,),))))-(((VLOOKUP(EDATE(B64,-12),Database!$F:$AY,MATCH($J$1,Database!$F$1:$AY$1,),)))))/(((VLOOKUP(EDATE(B64,-12),Database!$F:$AY,MATCH($J$1,Database!$F$1:$AY$1,),))))</f>
        <v>-6.7866176080702098E-2</v>
      </c>
      <c r="K64" s="13">
        <f>((((VLOOKUP(B64,Database!$F:$AY,MATCH($K$1,Database!$F$1:$AY$1,),))))-(((VLOOKUP(EDATE(B64,-12),Database!$F:$AY,MATCH($K$1,Database!$F$1:$AY$1,),)))))/(((VLOOKUP(EDATE(B64,-12),Database!$F:$AY,MATCH($K$1,Database!$F$1:$AY$1,),))))</f>
        <v>-1.6224096360257359E-2</v>
      </c>
      <c r="L64" s="13">
        <f>((((VLOOKUP(B64,Database!$F:$AY,MATCH($L$1,Database!$F$1:$AY$1,),))))-(((VLOOKUP(EDATE(B64,-12),Database!$F:$AY,MATCH($L$1,Database!$F$1:$AY$1,),)))))/(((VLOOKUP(EDATE(B64,-12),Database!$F:$AY,MATCH($L$1,Database!$F$1:$AY$1,),))))</f>
        <v>1.3223604400922006E-2</v>
      </c>
      <c r="M64" s="13" t="e">
        <f>((((VLOOKUP(B64,Database!$F:$AY,MATCH($M$1,Database!$F$1:$AY$1,),))))-(((VLOOKUP(EDATE(B64,-12),Database!$F:$AY,MATCH($M$1,Database!$F$1:$AY$1,),)))))/(((VLOOKUP(EDATE(B64,-12),Database!$F:$AY,MATCH($M$1,Database!$F$1:$AY$1,),))))</f>
        <v>#DIV/0!</v>
      </c>
      <c r="N64" s="13" t="e">
        <f>((((VLOOKUP(B64,Database!$F:$AY,MATCH($N$1,Database!$F$1:$AY$1,),))))-(((VLOOKUP(EDATE(B64,-12),Database!$F:$AY,MATCH($N$1,Database!$F$1:$AY$1,),)))))/(((VLOOKUP(EDATE(B64,-12),Database!$F:$AY,MATCH($N$1,Database!$F$1:$AY$1,),))))</f>
        <v>#DIV/0!</v>
      </c>
      <c r="O64" s="13">
        <f>((((VLOOKUP(B64,Database!$F:$AY,MATCH($O$1,Database!$F$1:$AY$1,),))))-(((VLOOKUP(EDATE(B64,-12),Database!$F:$AY,MATCH($O$1,Database!$F$1:$AY$1,),)))))/(((VLOOKUP(EDATE(B64,-12),Database!$F:$AY,MATCH($O$1,Database!$F$1:$AY$1,),))))</f>
        <v>4.0367346371550532E-2</v>
      </c>
      <c r="P64" s="13">
        <f>((((VLOOKUP(B64,Database!$F:$AY,MATCH($P$1,Database!$F$1:$AY$1,),))))-(((VLOOKUP(EDATE(B64,-12),Database!$F:$AY,MATCH($P$1,Database!$F$1:$AY$1,),)))))/(((VLOOKUP(EDATE(B64,-12),Database!$F:$AY,MATCH($P$1,Database!$F$1:$AY$1,),))))</f>
        <v>3.2806762252290268E-2</v>
      </c>
      <c r="Q64" s="13">
        <f>((((VLOOKUP(B64,Database!$F:$AY,MATCH($Q$1,Database!$F$1:$AY$1,),))))-(((VLOOKUP(EDATE(B64,-12),Database!$F:$AY,MATCH($Q$1,Database!$F$1:$AY$1,),)))))/(((VLOOKUP(EDATE(B64,-12),Database!$F:$AY,MATCH($Q$1,Database!$F$1:$AY$1,),))))</f>
        <v>0.12350981073670581</v>
      </c>
      <c r="R64" s="13">
        <f>((((VLOOKUP(B64,Database!$F:$AY,MATCH($R$1,Database!$F$1:$AY$1,),))))-(((VLOOKUP(EDATE(B64,-12),Database!$F:$AY,MATCH($R$1,Database!$F$1:$AY$1,),)))))/(((VLOOKUP(EDATE(B64,-12),Database!$F:$AY,MATCH($R$1,Database!$F$1:$AY$1,),))))</f>
        <v>-6.2064524170596137E-3</v>
      </c>
      <c r="S64" s="13">
        <f>((((VLOOKUP(B64,Database!$F:$AY,MATCH($S$1,Database!$F$1:$AY$1,),))))-(((VLOOKUP(EDATE(B64,-12),Database!$F:$AY,MATCH($S$1,Database!$F$1:$AY$1,),)))))/(((VLOOKUP(EDATE(B64,-12),Database!$F:$AY,MATCH($S$1,Database!$F$1:$AY$1,),))))</f>
        <v>6.0606234512873572E-2</v>
      </c>
      <c r="T64" s="13">
        <f>((((VLOOKUP(B64,Database!$F:$AY,MATCH($T$1,Database!$F$1:$AY$1,),))))-(((VLOOKUP(EDATE(B64,-12),Database!$F:$AY,MATCH($T$1,Database!$F$1:$AY$1,),)))))/(((VLOOKUP(EDATE(B64,-12),Database!$F:$AY,MATCH($T$1,Database!$F$1:$AY$1,),))))</f>
        <v>3.8235241345088579E-2</v>
      </c>
      <c r="U64" s="13">
        <f>((((VLOOKUP(B64,Database!$F:$AY,MATCH($U$1,Database!$F$1:$AY$1,),))))-(((VLOOKUP(EDATE(B64,-12),Database!$F:$AY,MATCH($U$1,Database!$F$1:$AY$1,),)))))/(((VLOOKUP(EDATE(B64,-12),Database!$F:$AY,MATCH($U$1,Database!$F$1:$AY$1,),))))</f>
        <v>-2.1583166589398465E-2</v>
      </c>
      <c r="V64" s="13">
        <f>((((VLOOKUP(B64,Database!$F:$AY,MATCH($V$1,Database!$F$1:$AY$1,),))))-(((VLOOKUP(EDATE(B64,-12),Database!$F:$AY,MATCH($V$1,Database!$F$1:$AY$1,),)))))/(((VLOOKUP(EDATE(B64,-12),Database!$F:$AY,MATCH($V$1,Database!$F$1:$AY$1,),))))</f>
        <v>0.12199686594188185</v>
      </c>
    </row>
    <row r="65" spans="1:22" s="85" customFormat="1" x14ac:dyDescent="0.2">
      <c r="A65" s="44"/>
      <c r="B65" s="91">
        <v>34121</v>
      </c>
      <c r="C65" s="13">
        <f>((((VLOOKUP(B65,Database!$F:$AY,MATCH($C$1,Database!$F$1:$AY$1,),))))-(((VLOOKUP(EDATE(B65,-12),Database!$F:$AY,MATCH($C$1,Database!$F$1:$AY$1,),)))))/(((VLOOKUP(EDATE(B65,-12),Database!$F:$AY,MATCH($C$1,Database!$F$1:$AY$1,),))))</f>
        <v>2.8426969206291272E-2</v>
      </c>
      <c r="D65" s="13">
        <f>((((VLOOKUP(B65,Database!$F:$AY,MATCH($D$1,Database!$F$1:$AY$1,),))))-(((VLOOKUP(EDATE(B65,-12),Database!$F:$AY,MATCH($D$1,Database!$F$1:$AY$1,),)))))/(((VLOOKUP(EDATE(B65,-12),Database!$F:$AY,MATCH($D$1,Database!$F$1:$AY$1,),))))</f>
        <v>-6.3749997343307441E-2</v>
      </c>
      <c r="E65" s="13">
        <f>((((VLOOKUP(B65,Database!$F:$AY,MATCH($E$1,Database!$F$1:$AY$1,),))))-(((VLOOKUP(EDATE(B65,-12),Database!$F:$AY,MATCH($E$1,Database!$F$1:$AY$1,),)))))/(((VLOOKUP(EDATE(B65,-12),Database!$F:$AY,MATCH($E$1,Database!$F$1:$AY$1,),))))</f>
        <v>-3.9039056824283755E-2</v>
      </c>
      <c r="F65" s="13">
        <f>((((VLOOKUP(B65,Database!$F:$AY,MATCH($F$1,Database!$F$1:$AY$1,),))))-(((VLOOKUP(EDATE(B65,-12),Database!$F:$AY,MATCH($F$1,Database!$F$1:$AY$1,),)))))/(((VLOOKUP(EDATE(B65,-12),Database!$F:$AY,MATCH($F$1,Database!$F$1:$AY$1,),))))</f>
        <v>-9.3150772009504404E-2</v>
      </c>
      <c r="G65" s="13">
        <f>((((VLOOKUP(B65,Database!$F:$AY,MATCH($G$1,Database!$F$1:$AY$1,),))))-(((VLOOKUP(EDATE(B65,-12),Database!$F:$AY,MATCH($G$1,Database!$F$1:$AY$1,),)))))/(((VLOOKUP(EDATE(B65,-12),Database!$F:$AY,MATCH($G$1,Database!$F$1:$AY$1,),))))</f>
        <v>-4.932133961155577E-2</v>
      </c>
      <c r="H65" s="13">
        <f>((((VLOOKUP(B65,Database!$F:$AY,MATCH($H$1,Database!$F$1:$AY$1,),))))-(((VLOOKUP(EDATE(B65,-12),Database!$F:$AY,MATCH($H$1,Database!$F$1:$AY$1,),)))))/(((VLOOKUP(EDATE(B65,-12),Database!$F:$AY,MATCH($H$1,Database!$F$1:$AY$1,),))))</f>
        <v>1.9750564894895767E-2</v>
      </c>
      <c r="I65" s="13">
        <f>((((VLOOKUP(B65,Database!$F:$AY,MATCH($I$1,Database!$F$1:$AY$1,),))))-(((VLOOKUP(EDATE(B65,-12),Database!$F:$AY,MATCH($I$1,Database!$F$1:$AY$1,),)))))/(((VLOOKUP(EDATE(B65,-12),Database!$F:$AY,MATCH($I$1,Database!$F$1:$AY$1,),))))</f>
        <v>-4.2805043774159619E-2</v>
      </c>
      <c r="J65" s="13">
        <f>((((VLOOKUP(B65,Database!$F:$AY,MATCH($J$1,Database!$F$1:$AY$1,),))))-(((VLOOKUP(EDATE(B65,-12),Database!$F:$AY,MATCH($J$1,Database!$F$1:$AY$1,),)))))/(((VLOOKUP(EDATE(B65,-12),Database!$F:$AY,MATCH($J$1,Database!$F$1:$AY$1,),))))</f>
        <v>-6.1119048516839976E-2</v>
      </c>
      <c r="K65" s="13">
        <f>((((VLOOKUP(B65,Database!$F:$AY,MATCH($K$1,Database!$F$1:$AY$1,),))))-(((VLOOKUP(EDATE(B65,-12),Database!$F:$AY,MATCH($K$1,Database!$F$1:$AY$1,),)))))/(((VLOOKUP(EDATE(B65,-12),Database!$F:$AY,MATCH($K$1,Database!$F$1:$AY$1,),))))</f>
        <v>0</v>
      </c>
      <c r="L65" s="13">
        <f>((((VLOOKUP(B65,Database!$F:$AY,MATCH($L$1,Database!$F$1:$AY$1,),))))-(((VLOOKUP(EDATE(B65,-12),Database!$F:$AY,MATCH($L$1,Database!$F$1:$AY$1,),)))))/(((VLOOKUP(EDATE(B65,-12),Database!$F:$AY,MATCH($L$1,Database!$F$1:$AY$1,),))))</f>
        <v>-2.3827246440381511E-3</v>
      </c>
      <c r="M65" s="13" t="e">
        <f>((((VLOOKUP(B65,Database!$F:$AY,MATCH($M$1,Database!$F$1:$AY$1,),))))-(((VLOOKUP(EDATE(B65,-12),Database!$F:$AY,MATCH($M$1,Database!$F$1:$AY$1,),)))))/(((VLOOKUP(EDATE(B65,-12),Database!$F:$AY,MATCH($M$1,Database!$F$1:$AY$1,),))))</f>
        <v>#DIV/0!</v>
      </c>
      <c r="N65" s="13" t="e">
        <f>((((VLOOKUP(B65,Database!$F:$AY,MATCH($N$1,Database!$F$1:$AY$1,),))))-(((VLOOKUP(EDATE(B65,-12),Database!$F:$AY,MATCH($N$1,Database!$F$1:$AY$1,),)))))/(((VLOOKUP(EDATE(B65,-12),Database!$F:$AY,MATCH($N$1,Database!$F$1:$AY$1,),))))</f>
        <v>#DIV/0!</v>
      </c>
      <c r="O65" s="13">
        <f>((((VLOOKUP(B65,Database!$F:$AY,MATCH($O$1,Database!$F$1:$AY$1,),))))-(((VLOOKUP(EDATE(B65,-12),Database!$F:$AY,MATCH($O$1,Database!$F$1:$AY$1,),)))))/(((VLOOKUP(EDATE(B65,-12),Database!$F:$AY,MATCH($O$1,Database!$F$1:$AY$1,),))))</f>
        <v>4.2557803076689597E-2</v>
      </c>
      <c r="P65" s="13">
        <f>((((VLOOKUP(B65,Database!$F:$AY,MATCH($P$1,Database!$F$1:$AY$1,),))))-(((VLOOKUP(EDATE(B65,-12),Database!$F:$AY,MATCH($P$1,Database!$F$1:$AY$1,),)))))/(((VLOOKUP(EDATE(B65,-12),Database!$F:$AY,MATCH($P$1,Database!$F$1:$AY$1,),))))</f>
        <v>2.971590481172624E-2</v>
      </c>
      <c r="Q65" s="13">
        <f>((((VLOOKUP(B65,Database!$F:$AY,MATCH($Q$1,Database!$F$1:$AY$1,),))))-(((VLOOKUP(EDATE(B65,-12),Database!$F:$AY,MATCH($Q$1,Database!$F$1:$AY$1,),)))))/(((VLOOKUP(EDATE(B65,-12),Database!$F:$AY,MATCH($Q$1,Database!$F$1:$AY$1,),))))</f>
        <v>9.5329037574906114E-2</v>
      </c>
      <c r="R65" s="13">
        <f>((((VLOOKUP(B65,Database!$F:$AY,MATCH($R$1,Database!$F$1:$AY$1,),))))-(((VLOOKUP(EDATE(B65,-12),Database!$F:$AY,MATCH($R$1,Database!$F$1:$AY$1,),)))))/(((VLOOKUP(EDATE(B65,-12),Database!$F:$AY,MATCH($R$1,Database!$F$1:$AY$1,),))))</f>
        <v>-1.4539049756386578E-2</v>
      </c>
      <c r="S65" s="13">
        <f>((((VLOOKUP(B65,Database!$F:$AY,MATCH($S$1,Database!$F$1:$AY$1,),))))-(((VLOOKUP(EDATE(B65,-12),Database!$F:$AY,MATCH($S$1,Database!$F$1:$AY$1,),)))))/(((VLOOKUP(EDATE(B65,-12),Database!$F:$AY,MATCH($S$1,Database!$F$1:$AY$1,),))))</f>
        <v>5.4053948653818427E-2</v>
      </c>
      <c r="T65" s="13">
        <f>((((VLOOKUP(B65,Database!$F:$AY,MATCH($T$1,Database!$F$1:$AY$1,),))))-(((VLOOKUP(EDATE(B65,-12),Database!$F:$AY,MATCH($T$1,Database!$F$1:$AY$1,),)))))/(((VLOOKUP(EDATE(B65,-12),Database!$F:$AY,MATCH($T$1,Database!$F$1:$AY$1,),))))</f>
        <v>8.7349129023979025E-2</v>
      </c>
      <c r="U65" s="13">
        <f>((((VLOOKUP(B65,Database!$F:$AY,MATCH($U$1,Database!$F$1:$AY$1,),))))-(((VLOOKUP(EDATE(B65,-12),Database!$F:$AY,MATCH($U$1,Database!$F$1:$AY$1,),)))))/(((VLOOKUP(EDATE(B65,-12),Database!$F:$AY,MATCH($U$1,Database!$F$1:$AY$1,),))))</f>
        <v>-3.712058646022881E-2</v>
      </c>
      <c r="V65" s="13">
        <f>((((VLOOKUP(B65,Database!$F:$AY,MATCH($V$1,Database!$F$1:$AY$1,),))))-(((VLOOKUP(EDATE(B65,-12),Database!$F:$AY,MATCH($V$1,Database!$F$1:$AY$1,),)))))/(((VLOOKUP(EDATE(B65,-12),Database!$F:$AY,MATCH($V$1,Database!$F$1:$AY$1,),))))</f>
        <v>0.10661066847337329</v>
      </c>
    </row>
    <row r="66" spans="1:22" s="85" customFormat="1" x14ac:dyDescent="0.2">
      <c r="A66" s="44"/>
      <c r="B66" s="91">
        <v>34151</v>
      </c>
      <c r="C66" s="13">
        <f>((((VLOOKUP(B66,Database!$F:$AY,MATCH($C$1,Database!$F$1:$AY$1,),))))-(((VLOOKUP(EDATE(B66,-12),Database!$F:$AY,MATCH($C$1,Database!$F$1:$AY$1,),)))))/(((VLOOKUP(EDATE(B66,-12),Database!$F:$AY,MATCH($C$1,Database!$F$1:$AY$1,),))))</f>
        <v>2.2361424143547162E-2</v>
      </c>
      <c r="D66" s="13">
        <f>((((VLOOKUP(B66,Database!$F:$AY,MATCH($D$1,Database!$F$1:$AY$1,),))))-(((VLOOKUP(EDATE(B66,-12),Database!$F:$AY,MATCH($D$1,Database!$F$1:$AY$1,),)))))/(((VLOOKUP(EDATE(B66,-12),Database!$F:$AY,MATCH($D$1,Database!$F$1:$AY$1,),))))</f>
        <v>-5.8227927588950193E-2</v>
      </c>
      <c r="E66" s="13">
        <f>((((VLOOKUP(B66,Database!$F:$AY,MATCH($E$1,Database!$F$1:$AY$1,),))))-(((VLOOKUP(EDATE(B66,-12),Database!$F:$AY,MATCH($E$1,Database!$F$1:$AY$1,),)))))/(((VLOOKUP(EDATE(B66,-12),Database!$F:$AY,MATCH($E$1,Database!$F$1:$AY$1,),))))</f>
        <v>-3.8114651949439131E-2</v>
      </c>
      <c r="F66" s="13">
        <f>((((VLOOKUP(B66,Database!$F:$AY,MATCH($F$1,Database!$F$1:$AY$1,),))))-(((VLOOKUP(EDATE(B66,-12),Database!$F:$AY,MATCH($F$1,Database!$F$1:$AY$1,),)))))/(((VLOOKUP(EDATE(B66,-12),Database!$F:$AY,MATCH($F$1,Database!$F$1:$AY$1,),))))</f>
        <v>-9.7628923583863728E-2</v>
      </c>
      <c r="G66" s="13">
        <f>((((VLOOKUP(B66,Database!$F:$AY,MATCH($G$1,Database!$F$1:$AY$1,),))))-(((VLOOKUP(EDATE(B66,-12),Database!$F:$AY,MATCH($G$1,Database!$F$1:$AY$1,),)))))/(((VLOOKUP(EDATE(B66,-12),Database!$F:$AY,MATCH($G$1,Database!$F$1:$AY$1,),))))</f>
        <v>-3.2676068818657297E-2</v>
      </c>
      <c r="H66" s="13">
        <f>((((VLOOKUP(B66,Database!$F:$AY,MATCH($H$1,Database!$F$1:$AY$1,),))))-(((VLOOKUP(EDATE(B66,-12),Database!$F:$AY,MATCH($H$1,Database!$F$1:$AY$1,),)))))/(((VLOOKUP(EDATE(B66,-12),Database!$F:$AY,MATCH($H$1,Database!$F$1:$AY$1,),))))</f>
        <v>1.9567500759288699E-2</v>
      </c>
      <c r="I66" s="13">
        <f>((((VLOOKUP(B66,Database!$F:$AY,MATCH($I$1,Database!$F$1:$AY$1,),))))-(((VLOOKUP(EDATE(B66,-12),Database!$F:$AY,MATCH($I$1,Database!$F$1:$AY$1,),)))))/(((VLOOKUP(EDATE(B66,-12),Database!$F:$AY,MATCH($I$1,Database!$F$1:$AY$1,),))))</f>
        <v>-3.5978079360832631E-2</v>
      </c>
      <c r="J66" s="13">
        <f>((((VLOOKUP(B66,Database!$F:$AY,MATCH($J$1,Database!$F$1:$AY$1,),))))-(((VLOOKUP(EDATE(B66,-12),Database!$F:$AY,MATCH($J$1,Database!$F$1:$AY$1,),)))))/(((VLOOKUP(EDATE(B66,-12),Database!$F:$AY,MATCH($J$1,Database!$F$1:$AY$1,),))))</f>
        <v>-4.2306192297279145E-2</v>
      </c>
      <c r="K66" s="13">
        <f>((((VLOOKUP(B66,Database!$F:$AY,MATCH($K$1,Database!$F$1:$AY$1,),))))-(((VLOOKUP(EDATE(B66,-12),Database!$F:$AY,MATCH($K$1,Database!$F$1:$AY$1,),)))))/(((VLOOKUP(EDATE(B66,-12),Database!$F:$AY,MATCH($K$1,Database!$F$1:$AY$1,),))))</f>
        <v>-5.8223700344054692E-3</v>
      </c>
      <c r="L66" s="13">
        <f>((((VLOOKUP(B66,Database!$F:$AY,MATCH($L$1,Database!$F$1:$AY$1,),))))-(((VLOOKUP(EDATE(B66,-12),Database!$F:$AY,MATCH($L$1,Database!$F$1:$AY$1,),)))))/(((VLOOKUP(EDATE(B66,-12),Database!$F:$AY,MATCH($L$1,Database!$F$1:$AY$1,),))))</f>
        <v>-2.213630796693615E-2</v>
      </c>
      <c r="M66" s="13" t="e">
        <f>((((VLOOKUP(B66,Database!$F:$AY,MATCH($M$1,Database!$F$1:$AY$1,),))))-(((VLOOKUP(EDATE(B66,-12),Database!$F:$AY,MATCH($M$1,Database!$F$1:$AY$1,),)))))/(((VLOOKUP(EDATE(B66,-12),Database!$F:$AY,MATCH($M$1,Database!$F$1:$AY$1,),))))</f>
        <v>#DIV/0!</v>
      </c>
      <c r="N66" s="13" t="e">
        <f>((((VLOOKUP(B66,Database!$F:$AY,MATCH($N$1,Database!$F$1:$AY$1,),))))-(((VLOOKUP(EDATE(B66,-12),Database!$F:$AY,MATCH($N$1,Database!$F$1:$AY$1,),)))))/(((VLOOKUP(EDATE(B66,-12),Database!$F:$AY,MATCH($N$1,Database!$F$1:$AY$1,),))))</f>
        <v>#DIV/0!</v>
      </c>
      <c r="O66" s="13">
        <f>((((VLOOKUP(B66,Database!$F:$AY,MATCH($O$1,Database!$F$1:$AY$1,),))))-(((VLOOKUP(EDATE(B66,-12),Database!$F:$AY,MATCH($O$1,Database!$F$1:$AY$1,),)))))/(((VLOOKUP(EDATE(B66,-12),Database!$F:$AY,MATCH($O$1,Database!$F$1:$AY$1,),))))</f>
        <v>4.6171493205446563E-2</v>
      </c>
      <c r="P66" s="13">
        <f>((((VLOOKUP(B66,Database!$F:$AY,MATCH($P$1,Database!$F$1:$AY$1,),))))-(((VLOOKUP(EDATE(B66,-12),Database!$F:$AY,MATCH($P$1,Database!$F$1:$AY$1,),)))))/(((VLOOKUP(EDATE(B66,-12),Database!$F:$AY,MATCH($P$1,Database!$F$1:$AY$1,),))))</f>
        <v>2.6639242463819355E-2</v>
      </c>
      <c r="Q66" s="13">
        <f>((((VLOOKUP(B66,Database!$F:$AY,MATCH($Q$1,Database!$F$1:$AY$1,),))))-(((VLOOKUP(EDATE(B66,-12),Database!$F:$AY,MATCH($Q$1,Database!$F$1:$AY$1,),)))))/(((VLOOKUP(EDATE(B66,-12),Database!$F:$AY,MATCH($Q$1,Database!$F$1:$AY$1,),))))</f>
        <v>0.10157949535073904</v>
      </c>
      <c r="R66" s="13">
        <f>((((VLOOKUP(B66,Database!$F:$AY,MATCH($R$1,Database!$F$1:$AY$1,),))))-(((VLOOKUP(EDATE(B66,-12),Database!$F:$AY,MATCH($R$1,Database!$F$1:$AY$1,),)))))/(((VLOOKUP(EDATE(B66,-12),Database!$F:$AY,MATCH($R$1,Database!$F$1:$AY$1,),))))</f>
        <v>-6.8444636826857391E-2</v>
      </c>
      <c r="S66" s="13">
        <f>((((VLOOKUP(B66,Database!$F:$AY,MATCH($S$1,Database!$F$1:$AY$1,),))))-(((VLOOKUP(EDATE(B66,-12),Database!$F:$AY,MATCH($S$1,Database!$F$1:$AY$1,),)))))/(((VLOOKUP(EDATE(B66,-12),Database!$F:$AY,MATCH($S$1,Database!$F$1:$AY$1,),))))</f>
        <v>2.5925879741626565E-2</v>
      </c>
      <c r="T66" s="13">
        <f>((((VLOOKUP(B66,Database!$F:$AY,MATCH($T$1,Database!$F$1:$AY$1,),))))-(((VLOOKUP(EDATE(B66,-12),Database!$F:$AY,MATCH($T$1,Database!$F$1:$AY$1,),)))))/(((VLOOKUP(EDATE(B66,-12),Database!$F:$AY,MATCH($T$1,Database!$F$1:$AY$1,),))))</f>
        <v>8.2840343484278947E-2</v>
      </c>
      <c r="U66" s="13">
        <f>((((VLOOKUP(B66,Database!$F:$AY,MATCH($U$1,Database!$F$1:$AY$1,),))))-(((VLOOKUP(EDATE(B66,-12),Database!$F:$AY,MATCH($U$1,Database!$F$1:$AY$1,),)))))/(((VLOOKUP(EDATE(B66,-12),Database!$F:$AY,MATCH($U$1,Database!$F$1:$AY$1,),))))</f>
        <v>-7.5730001913114936E-2</v>
      </c>
      <c r="V66" s="13">
        <f>((((VLOOKUP(B66,Database!$F:$AY,MATCH($V$1,Database!$F$1:$AY$1,),))))-(((VLOOKUP(EDATE(B66,-12),Database!$F:$AY,MATCH($V$1,Database!$F$1:$AY$1,),)))))/(((VLOOKUP(EDATE(B66,-12),Database!$F:$AY,MATCH($V$1,Database!$F$1:$AY$1,),))))</f>
        <v>7.7564684979258783E-3</v>
      </c>
    </row>
    <row r="67" spans="1:22" s="85" customFormat="1" x14ac:dyDescent="0.2">
      <c r="A67" s="44"/>
      <c r="B67" s="91">
        <v>34182</v>
      </c>
      <c r="C67" s="13">
        <f>((((VLOOKUP(B67,Database!$F:$AY,MATCH($C$1,Database!$F$1:$AY$1,),))))-(((VLOOKUP(EDATE(B67,-12),Database!$F:$AY,MATCH($C$1,Database!$F$1:$AY$1,),)))))/(((VLOOKUP(EDATE(B67,-12),Database!$F:$AY,MATCH($C$1,Database!$F$1:$AY$1,),))))</f>
        <v>2.6337541735894341E-2</v>
      </c>
      <c r="D67" s="13">
        <f>((((VLOOKUP(B67,Database!$F:$AY,MATCH($D$1,Database!$F$1:$AY$1,),))))-(((VLOOKUP(EDATE(B67,-12),Database!$F:$AY,MATCH($D$1,Database!$F$1:$AY$1,),)))))/(((VLOOKUP(EDATE(B67,-12),Database!$F:$AY,MATCH($D$1,Database!$F$1:$AY$1,),))))</f>
        <v>-4.3092479925361395E-2</v>
      </c>
      <c r="E67" s="13">
        <f>((((VLOOKUP(B67,Database!$F:$AY,MATCH($E$1,Database!$F$1:$AY$1,),))))-(((VLOOKUP(EDATE(B67,-12),Database!$F:$AY,MATCH($E$1,Database!$F$1:$AY$1,),)))))/(((VLOOKUP(EDATE(B67,-12),Database!$F:$AY,MATCH($E$1,Database!$F$1:$AY$1,),))))</f>
        <v>-1.8595105306286091E-2</v>
      </c>
      <c r="F67" s="13">
        <f>((((VLOOKUP(B67,Database!$F:$AY,MATCH($F$1,Database!$F$1:$AY$1,),))))-(((VLOOKUP(EDATE(B67,-12),Database!$F:$AY,MATCH($F$1,Database!$F$1:$AY$1,),)))))/(((VLOOKUP(EDATE(B67,-12),Database!$F:$AY,MATCH($F$1,Database!$F$1:$AY$1,),))))</f>
        <v>-6.1196057919150539E-2</v>
      </c>
      <c r="G67" s="13">
        <f>((((VLOOKUP(B67,Database!$F:$AY,MATCH($G$1,Database!$F$1:$AY$1,),))))-(((VLOOKUP(EDATE(B67,-12),Database!$F:$AY,MATCH($G$1,Database!$F$1:$AY$1,),)))))/(((VLOOKUP(EDATE(B67,-12),Database!$F:$AY,MATCH($G$1,Database!$F$1:$AY$1,),))))</f>
        <v>-4.2623653183084226E-2</v>
      </c>
      <c r="H67" s="13">
        <f>((((VLOOKUP(B67,Database!$F:$AY,MATCH($H$1,Database!$F$1:$AY$1,),))))-(((VLOOKUP(EDATE(B67,-12),Database!$F:$AY,MATCH($H$1,Database!$F$1:$AY$1,),)))))/(((VLOOKUP(EDATE(B67,-12),Database!$F:$AY,MATCH($H$1,Database!$F$1:$AY$1,),))))</f>
        <v>2.4767756708766245E-2</v>
      </c>
      <c r="I67" s="13">
        <f>((((VLOOKUP(B67,Database!$F:$AY,MATCH($I$1,Database!$F$1:$AY$1,),))))-(((VLOOKUP(EDATE(B67,-12),Database!$F:$AY,MATCH($I$1,Database!$F$1:$AY$1,),)))))/(((VLOOKUP(EDATE(B67,-12),Database!$F:$AY,MATCH($I$1,Database!$F$1:$AY$1,),))))</f>
        <v>-1.7839988506081719E-2</v>
      </c>
      <c r="J67" s="13">
        <f>((((VLOOKUP(B67,Database!$F:$AY,MATCH($J$1,Database!$F$1:$AY$1,),))))-(((VLOOKUP(EDATE(B67,-12),Database!$F:$AY,MATCH($J$1,Database!$F$1:$AY$1,),)))))/(((VLOOKUP(EDATE(B67,-12),Database!$F:$AY,MATCH($J$1,Database!$F$1:$AY$1,),))))</f>
        <v>-5.6253012235506362E-2</v>
      </c>
      <c r="K67" s="13">
        <f>((((VLOOKUP(B67,Database!$F:$AY,MATCH($K$1,Database!$F$1:$AY$1,),))))-(((VLOOKUP(EDATE(B67,-12),Database!$F:$AY,MATCH($K$1,Database!$F$1:$AY$1,),)))))/(((VLOOKUP(EDATE(B67,-12),Database!$F:$AY,MATCH($K$1,Database!$F$1:$AY$1,),))))</f>
        <v>-1.2949643356275353E-2</v>
      </c>
      <c r="L67" s="13">
        <f>((((VLOOKUP(B67,Database!$F:$AY,MATCH($L$1,Database!$F$1:$AY$1,),))))-(((VLOOKUP(EDATE(B67,-12),Database!$F:$AY,MATCH($L$1,Database!$F$1:$AY$1,),)))))/(((VLOOKUP(EDATE(B67,-12),Database!$F:$AY,MATCH($L$1,Database!$F$1:$AY$1,),))))</f>
        <v>-7.2746686358500876E-3</v>
      </c>
      <c r="M67" s="13" t="e">
        <f>((((VLOOKUP(B67,Database!$F:$AY,MATCH($M$1,Database!$F$1:$AY$1,),))))-(((VLOOKUP(EDATE(B67,-12),Database!$F:$AY,MATCH($M$1,Database!$F$1:$AY$1,),)))))/(((VLOOKUP(EDATE(B67,-12),Database!$F:$AY,MATCH($M$1,Database!$F$1:$AY$1,),))))</f>
        <v>#DIV/0!</v>
      </c>
      <c r="N67" s="13" t="e">
        <f>((((VLOOKUP(B67,Database!$F:$AY,MATCH($N$1,Database!$F$1:$AY$1,),))))-(((VLOOKUP(EDATE(B67,-12),Database!$F:$AY,MATCH($N$1,Database!$F$1:$AY$1,),)))))/(((VLOOKUP(EDATE(B67,-12),Database!$F:$AY,MATCH($N$1,Database!$F$1:$AY$1,),))))</f>
        <v>#DIV/0!</v>
      </c>
      <c r="O67" s="13">
        <f>((((VLOOKUP(B67,Database!$F:$AY,MATCH($O$1,Database!$F$1:$AY$1,),))))-(((VLOOKUP(EDATE(B67,-12),Database!$F:$AY,MATCH($O$1,Database!$F$1:$AY$1,),)))))/(((VLOOKUP(EDATE(B67,-12),Database!$F:$AY,MATCH($O$1,Database!$F$1:$AY$1,),))))</f>
        <v>5.3189312699764631E-2</v>
      </c>
      <c r="P67" s="13">
        <f>((((VLOOKUP(B67,Database!$F:$AY,MATCH($P$1,Database!$F$1:$AY$1,),))))-(((VLOOKUP(EDATE(B67,-12),Database!$F:$AY,MATCH($P$1,Database!$F$1:$AY$1,),)))))/(((VLOOKUP(EDATE(B67,-12),Database!$F:$AY,MATCH($P$1,Database!$F$1:$AY$1,),))))</f>
        <v>1.9022584269935142E-2</v>
      </c>
      <c r="Q67" s="13">
        <f>((((VLOOKUP(B67,Database!$F:$AY,MATCH($Q$1,Database!$F$1:$AY$1,),))))-(((VLOOKUP(EDATE(B67,-12),Database!$F:$AY,MATCH($Q$1,Database!$F$1:$AY$1,),)))))/(((VLOOKUP(EDATE(B67,-12),Database!$F:$AY,MATCH($Q$1,Database!$F$1:$AY$1,),))))</f>
        <v>9.5714053510530736E-2</v>
      </c>
      <c r="R67" s="13">
        <f>((((VLOOKUP(B67,Database!$F:$AY,MATCH($R$1,Database!$F$1:$AY$1,),))))-(((VLOOKUP(EDATE(B67,-12),Database!$F:$AY,MATCH($R$1,Database!$F$1:$AY$1,),)))))/(((VLOOKUP(EDATE(B67,-12),Database!$F:$AY,MATCH($R$1,Database!$F$1:$AY$1,),))))</f>
        <v>-5.42730904151352E-2</v>
      </c>
      <c r="S67" s="13">
        <f>((((VLOOKUP(B67,Database!$F:$AY,MATCH($S$1,Database!$F$1:$AY$1,),))))-(((VLOOKUP(EDATE(B67,-12),Database!$F:$AY,MATCH($S$1,Database!$F$1:$AY$1,),)))))/(((VLOOKUP(EDATE(B67,-12),Database!$F:$AY,MATCH($S$1,Database!$F$1:$AY$1,),))))</f>
        <v>5.2631479021516631E-2</v>
      </c>
      <c r="T67" s="13">
        <f>((((VLOOKUP(B67,Database!$F:$AY,MATCH($T$1,Database!$F$1:$AY$1,),))))-(((VLOOKUP(EDATE(B67,-12),Database!$F:$AY,MATCH($T$1,Database!$F$1:$AY$1,),)))))/(((VLOOKUP(EDATE(B67,-12),Database!$F:$AY,MATCH($T$1,Database!$F$1:$AY$1,),))))</f>
        <v>5.2147295725287542E-2</v>
      </c>
      <c r="U67" s="13">
        <f>((((VLOOKUP(B67,Database!$F:$AY,MATCH($U$1,Database!$F$1:$AY$1,),))))-(((VLOOKUP(EDATE(B67,-12),Database!$F:$AY,MATCH($U$1,Database!$F$1:$AY$1,),)))))/(((VLOOKUP(EDATE(B67,-12),Database!$F:$AY,MATCH($U$1,Database!$F$1:$AY$1,),))))</f>
        <v>-7.7503362813738624E-2</v>
      </c>
      <c r="V67" s="13">
        <f>((((VLOOKUP(B67,Database!$F:$AY,MATCH($V$1,Database!$F$1:$AY$1,),))))-(((VLOOKUP(EDATE(B67,-12),Database!$F:$AY,MATCH($V$1,Database!$F$1:$AY$1,),)))))/(((VLOOKUP(EDATE(B67,-12),Database!$F:$AY,MATCH($V$1,Database!$F$1:$AY$1,),))))</f>
        <v>3.6612387289052202E-2</v>
      </c>
    </row>
    <row r="68" spans="1:22" s="85" customFormat="1" x14ac:dyDescent="0.2">
      <c r="A68" s="44"/>
      <c r="B68" s="91">
        <v>34213</v>
      </c>
      <c r="C68" s="13">
        <f>((((VLOOKUP(B68,Database!$F:$AY,MATCH($C$1,Database!$F$1:$AY$1,),))))-(((VLOOKUP(EDATE(B68,-12),Database!$F:$AY,MATCH($C$1,Database!$F$1:$AY$1,),)))))/(((VLOOKUP(EDATE(B68,-12),Database!$F:$AY,MATCH($C$1,Database!$F$1:$AY$1,),))))</f>
        <v>2.8855813358603748E-2</v>
      </c>
      <c r="D68" s="13">
        <f>((((VLOOKUP(B68,Database!$F:$AY,MATCH($D$1,Database!$F$1:$AY$1,),))))-(((VLOOKUP(EDATE(B68,-12),Database!$F:$AY,MATCH($D$1,Database!$F$1:$AY$1,),)))))/(((VLOOKUP(EDATE(B68,-12),Database!$F:$AY,MATCH($D$1,Database!$F$1:$AY$1,),))))</f>
        <v>-3.0690535775974009E-2</v>
      </c>
      <c r="E68" s="13">
        <f>((((VLOOKUP(B68,Database!$F:$AY,MATCH($E$1,Database!$F$1:$AY$1,),))))-(((VLOOKUP(EDATE(B68,-12),Database!$F:$AY,MATCH($E$1,Database!$F$1:$AY$1,),)))))/(((VLOOKUP(EDATE(B68,-12),Database!$F:$AY,MATCH($E$1,Database!$F$1:$AY$1,),))))</f>
        <v>-5.1741755325150914E-2</v>
      </c>
      <c r="F68" s="13">
        <f>((((VLOOKUP(B68,Database!$F:$AY,MATCH($F$1,Database!$F$1:$AY$1,),))))-(((VLOOKUP(EDATE(B68,-12),Database!$F:$AY,MATCH($F$1,Database!$F$1:$AY$1,),)))))/(((VLOOKUP(EDATE(B68,-12),Database!$F:$AY,MATCH($F$1,Database!$F$1:$AY$1,),))))</f>
        <v>-5.7503528344437109E-2</v>
      </c>
      <c r="G68" s="13">
        <f>((((VLOOKUP(B68,Database!$F:$AY,MATCH($G$1,Database!$F$1:$AY$1,),))))-(((VLOOKUP(EDATE(B68,-12),Database!$F:$AY,MATCH($G$1,Database!$F$1:$AY$1,),)))))/(((VLOOKUP(EDATE(B68,-12),Database!$F:$AY,MATCH($G$1,Database!$F$1:$AY$1,),))))</f>
        <v>-2.2510956903257797E-2</v>
      </c>
      <c r="H68" s="13">
        <f>((((VLOOKUP(B68,Database!$F:$AY,MATCH($H$1,Database!$F$1:$AY$1,),))))-(((VLOOKUP(EDATE(B68,-12),Database!$F:$AY,MATCH($H$1,Database!$F$1:$AY$1,),)))))/(((VLOOKUP(EDATE(B68,-12),Database!$F:$AY,MATCH($H$1,Database!$F$1:$AY$1,),))))</f>
        <v>2.1516381295527843E-2</v>
      </c>
      <c r="I68" s="13">
        <f>((((VLOOKUP(B68,Database!$F:$AY,MATCH($I$1,Database!$F$1:$AY$1,),))))-(((VLOOKUP(EDATE(B68,-12),Database!$F:$AY,MATCH($I$1,Database!$F$1:$AY$1,),)))))/(((VLOOKUP(EDATE(B68,-12),Database!$F:$AY,MATCH($I$1,Database!$F$1:$AY$1,),))))</f>
        <v>-4.7307628260441744E-3</v>
      </c>
      <c r="J68" s="13">
        <f>((((VLOOKUP(B68,Database!$F:$AY,MATCH($J$1,Database!$F$1:$AY$1,),))))-(((VLOOKUP(EDATE(B68,-12),Database!$F:$AY,MATCH($J$1,Database!$F$1:$AY$1,),)))))/(((VLOOKUP(EDATE(B68,-12),Database!$F:$AY,MATCH($J$1,Database!$F$1:$AY$1,),))))</f>
        <v>-2.0008659485416545E-2</v>
      </c>
      <c r="K68" s="13">
        <f>((((VLOOKUP(B68,Database!$F:$AY,MATCH($K$1,Database!$F$1:$AY$1,),))))-(((VLOOKUP(EDATE(B68,-12),Database!$F:$AY,MATCH($K$1,Database!$F$1:$AY$1,),)))))/(((VLOOKUP(EDATE(B68,-12),Database!$F:$AY,MATCH($K$1,Database!$F$1:$AY$1,),))))</f>
        <v>1.9287789672725982E-2</v>
      </c>
      <c r="L68" s="13">
        <f>((((VLOOKUP(B68,Database!$F:$AY,MATCH($L$1,Database!$F$1:$AY$1,),))))-(((VLOOKUP(EDATE(B68,-12),Database!$F:$AY,MATCH($L$1,Database!$F$1:$AY$1,),)))))/(((VLOOKUP(EDATE(B68,-12),Database!$F:$AY,MATCH($L$1,Database!$F$1:$AY$1,),))))</f>
        <v>-2.0899313951182604E-2</v>
      </c>
      <c r="M68" s="13" t="e">
        <f>((((VLOOKUP(B68,Database!$F:$AY,MATCH($M$1,Database!$F$1:$AY$1,),))))-(((VLOOKUP(EDATE(B68,-12),Database!$F:$AY,MATCH($M$1,Database!$F$1:$AY$1,),)))))/(((VLOOKUP(EDATE(B68,-12),Database!$F:$AY,MATCH($M$1,Database!$F$1:$AY$1,),))))</f>
        <v>#DIV/0!</v>
      </c>
      <c r="N68" s="13" t="e">
        <f>((((VLOOKUP(B68,Database!$F:$AY,MATCH($N$1,Database!$F$1:$AY$1,),))))-(((VLOOKUP(EDATE(B68,-12),Database!$F:$AY,MATCH($N$1,Database!$F$1:$AY$1,),)))))/(((VLOOKUP(EDATE(B68,-12),Database!$F:$AY,MATCH($N$1,Database!$F$1:$AY$1,),))))</f>
        <v>#DIV/0!</v>
      </c>
      <c r="O68" s="13">
        <f>((((VLOOKUP(B68,Database!$F:$AY,MATCH($O$1,Database!$F$1:$AY$1,),))))-(((VLOOKUP(EDATE(B68,-12),Database!$F:$AY,MATCH($O$1,Database!$F$1:$AY$1,),)))))/(((VLOOKUP(EDATE(B68,-12),Database!$F:$AY,MATCH($O$1,Database!$F$1:$AY$1,),))))</f>
        <v>6.094590099806816E-2</v>
      </c>
      <c r="P68" s="13">
        <f>((((VLOOKUP(B68,Database!$F:$AY,MATCH($P$1,Database!$F$1:$AY$1,),))))-(((VLOOKUP(EDATE(B68,-12),Database!$F:$AY,MATCH($P$1,Database!$F$1:$AY$1,),)))))/(((VLOOKUP(EDATE(B68,-12),Database!$F:$AY,MATCH($P$1,Database!$F$1:$AY$1,),))))</f>
        <v>7.64320596635574E-2</v>
      </c>
      <c r="Q68" s="13">
        <f>((((VLOOKUP(B68,Database!$F:$AY,MATCH($Q$1,Database!$F$1:$AY$1,),))))-(((VLOOKUP(EDATE(B68,-12),Database!$F:$AY,MATCH($Q$1,Database!$F$1:$AY$1,),)))))/(((VLOOKUP(EDATE(B68,-12),Database!$F:$AY,MATCH($Q$1,Database!$F$1:$AY$1,),))))</f>
        <v>6.5792963484136685E-2</v>
      </c>
      <c r="R68" s="13">
        <f>((((VLOOKUP(B68,Database!$F:$AY,MATCH($R$1,Database!$F$1:$AY$1,),))))-(((VLOOKUP(EDATE(B68,-12),Database!$F:$AY,MATCH($R$1,Database!$F$1:$AY$1,),)))))/(((VLOOKUP(EDATE(B68,-12),Database!$F:$AY,MATCH($R$1,Database!$F$1:$AY$1,),))))</f>
        <v>3.4657536614740678E-2</v>
      </c>
      <c r="S68" s="13">
        <f>((((VLOOKUP(B68,Database!$F:$AY,MATCH($S$1,Database!$F$1:$AY$1,),))))-(((VLOOKUP(EDATE(B68,-12),Database!$F:$AY,MATCH($S$1,Database!$F$1:$AY$1,),)))))/(((VLOOKUP(EDATE(B68,-12),Database!$F:$AY,MATCH($S$1,Database!$F$1:$AY$1,),))))</f>
        <v>2.5362270222662468E-2</v>
      </c>
      <c r="T68" s="13">
        <f>((((VLOOKUP(B68,Database!$F:$AY,MATCH($T$1,Database!$F$1:$AY$1,),))))-(((VLOOKUP(EDATE(B68,-12),Database!$F:$AY,MATCH($T$1,Database!$F$1:$AY$1,),)))))/(((VLOOKUP(EDATE(B68,-12),Database!$F:$AY,MATCH($T$1,Database!$F$1:$AY$1,),))))</f>
        <v>5.7971216147898685E-2</v>
      </c>
      <c r="U68" s="13">
        <f>((((VLOOKUP(B68,Database!$F:$AY,MATCH($U$1,Database!$F$1:$AY$1,),))))-(((VLOOKUP(EDATE(B68,-12),Database!$F:$AY,MATCH($U$1,Database!$F$1:$AY$1,),)))))/(((VLOOKUP(EDATE(B68,-12),Database!$F:$AY,MATCH($U$1,Database!$F$1:$AY$1,),))))</f>
        <v>-5.530833454460353E-2</v>
      </c>
      <c r="V68" s="13">
        <f>((((VLOOKUP(B68,Database!$F:$AY,MATCH($V$1,Database!$F$1:$AY$1,),))))-(((VLOOKUP(EDATE(B68,-12),Database!$F:$AY,MATCH($V$1,Database!$F$1:$AY$1,),)))))/(((VLOOKUP(EDATE(B68,-12),Database!$F:$AY,MATCH($V$1,Database!$F$1:$AY$1,),))))</f>
        <v>5.7328000338271408E-2</v>
      </c>
    </row>
    <row r="69" spans="1:22" s="85" customFormat="1" x14ac:dyDescent="0.2">
      <c r="A69" s="44"/>
      <c r="B69" s="91">
        <v>34243</v>
      </c>
      <c r="C69" s="13">
        <f>((((VLOOKUP(B69,Database!$F:$AY,MATCH($C$1,Database!$F$1:$AY$1,),))))-(((VLOOKUP(EDATE(B69,-12),Database!$F:$AY,MATCH($C$1,Database!$F$1:$AY$1,),)))))/(((VLOOKUP(EDATE(B69,-12),Database!$F:$AY,MATCH($C$1,Database!$F$1:$AY$1,),))))</f>
        <v>2.9036827866411593E-2</v>
      </c>
      <c r="D69" s="13">
        <f>((((VLOOKUP(B69,Database!$F:$AY,MATCH($D$1,Database!$F$1:$AY$1,),))))-(((VLOOKUP(EDATE(B69,-12),Database!$F:$AY,MATCH($D$1,Database!$F$1:$AY$1,),)))))/(((VLOOKUP(EDATE(B69,-12),Database!$F:$AY,MATCH($D$1,Database!$F$1:$AY$1,),))))</f>
        <v>-3.0651340996168664E-2</v>
      </c>
      <c r="E69" s="13">
        <f>((((VLOOKUP(B69,Database!$F:$AY,MATCH($E$1,Database!$F$1:$AY$1,),))))-(((VLOOKUP(EDATE(B69,-12),Database!$F:$AY,MATCH($E$1,Database!$F$1:$AY$1,),)))))/(((VLOOKUP(EDATE(B69,-12),Database!$F:$AY,MATCH($E$1,Database!$F$1:$AY$1,),))))</f>
        <v>-2.9774168264091773E-2</v>
      </c>
      <c r="F69" s="13">
        <f>((((VLOOKUP(B69,Database!$F:$AY,MATCH($F$1,Database!$F$1:$AY$1,),))))-(((VLOOKUP(EDATE(B69,-12),Database!$F:$AY,MATCH($F$1,Database!$F$1:$AY$1,),)))))/(((VLOOKUP(EDATE(B69,-12),Database!$F:$AY,MATCH($F$1,Database!$F$1:$AY$1,),))))</f>
        <v>-5.6179819470919344E-2</v>
      </c>
      <c r="G69" s="13">
        <f>((((VLOOKUP(B69,Database!$F:$AY,MATCH($G$1,Database!$F$1:$AY$1,),))))-(((VLOOKUP(EDATE(B69,-12),Database!$F:$AY,MATCH($G$1,Database!$F$1:$AY$1,),)))))/(((VLOOKUP(EDATE(B69,-12),Database!$F:$AY,MATCH($G$1,Database!$F$1:$AY$1,),))))</f>
        <v>-2.8479594861523197E-2</v>
      </c>
      <c r="H69" s="13">
        <f>((((VLOOKUP(B69,Database!$F:$AY,MATCH($H$1,Database!$F$1:$AY$1,),))))-(((VLOOKUP(EDATE(B69,-12),Database!$F:$AY,MATCH($H$1,Database!$F$1:$AY$1,),)))))/(((VLOOKUP(EDATE(B69,-12),Database!$F:$AY,MATCH($H$1,Database!$F$1:$AY$1,),))))</f>
        <v>1.3184482327275029E-2</v>
      </c>
      <c r="I69" s="13">
        <f>((((VLOOKUP(B69,Database!$F:$AY,MATCH($I$1,Database!$F$1:$AY$1,),))))-(((VLOOKUP(EDATE(B69,-12),Database!$F:$AY,MATCH($I$1,Database!$F$1:$AY$1,),)))))/(((VLOOKUP(EDATE(B69,-12),Database!$F:$AY,MATCH($I$1,Database!$F$1:$AY$1,),))))</f>
        <v>-1.2218127268164292E-2</v>
      </c>
      <c r="J69" s="13">
        <f>((((VLOOKUP(B69,Database!$F:$AY,MATCH($J$1,Database!$F$1:$AY$1,),))))-(((VLOOKUP(EDATE(B69,-12),Database!$F:$AY,MATCH($J$1,Database!$F$1:$AY$1,),)))))/(((VLOOKUP(EDATE(B69,-12),Database!$F:$AY,MATCH($J$1,Database!$F$1:$AY$1,),))))</f>
        <v>-8.7027596355169785E-3</v>
      </c>
      <c r="K69" s="13">
        <f>((((VLOOKUP(B69,Database!$F:$AY,MATCH($K$1,Database!$F$1:$AY$1,),))))-(((VLOOKUP(EDATE(B69,-12),Database!$F:$AY,MATCH($K$1,Database!$F$1:$AY$1,),)))))/(((VLOOKUP(EDATE(B69,-12),Database!$F:$AY,MATCH($K$1,Database!$F$1:$AY$1,),))))</f>
        <v>2.0802283605758427E-2</v>
      </c>
      <c r="L69" s="13">
        <f>((((VLOOKUP(B69,Database!$F:$AY,MATCH($L$1,Database!$F$1:$AY$1,),))))-(((VLOOKUP(EDATE(B69,-12),Database!$F:$AY,MATCH($L$1,Database!$F$1:$AY$1,),)))))/(((VLOOKUP(EDATE(B69,-12),Database!$F:$AY,MATCH($L$1,Database!$F$1:$AY$1,),))))</f>
        <v>-4.9002487401504291E-3</v>
      </c>
      <c r="M69" s="13" t="e">
        <f>((((VLOOKUP(B69,Database!$F:$AY,MATCH($M$1,Database!$F$1:$AY$1,),))))-(((VLOOKUP(EDATE(B69,-12),Database!$F:$AY,MATCH($M$1,Database!$F$1:$AY$1,),)))))/(((VLOOKUP(EDATE(B69,-12),Database!$F:$AY,MATCH($M$1,Database!$F$1:$AY$1,),))))</f>
        <v>#DIV/0!</v>
      </c>
      <c r="N69" s="13" t="e">
        <f>((((VLOOKUP(B69,Database!$F:$AY,MATCH($N$1,Database!$F$1:$AY$1,),))))-(((VLOOKUP(EDATE(B69,-12),Database!$F:$AY,MATCH($N$1,Database!$F$1:$AY$1,),)))))/(((VLOOKUP(EDATE(B69,-12),Database!$F:$AY,MATCH($N$1,Database!$F$1:$AY$1,),))))</f>
        <v>#DIV/0!</v>
      </c>
      <c r="O69" s="13">
        <f>((((VLOOKUP(B69,Database!$F:$AY,MATCH($O$1,Database!$F$1:$AY$1,),))))-(((VLOOKUP(EDATE(B69,-12),Database!$F:$AY,MATCH($O$1,Database!$F$1:$AY$1,),)))))/(((VLOOKUP(EDATE(B69,-12),Database!$F:$AY,MATCH($O$1,Database!$F$1:$AY$1,),))))</f>
        <v>4.8626648906406951E-2</v>
      </c>
      <c r="P69" s="13">
        <f>((((VLOOKUP(B69,Database!$F:$AY,MATCH($P$1,Database!$F$1:$AY$1,),))))-(((VLOOKUP(EDATE(B69,-12),Database!$F:$AY,MATCH($P$1,Database!$F$1:$AY$1,),)))))/(((VLOOKUP(EDATE(B69,-12),Database!$F:$AY,MATCH($P$1,Database!$F$1:$AY$1,),))))</f>
        <v>6.8121708285295166E-2</v>
      </c>
      <c r="Q69" s="13">
        <f>((((VLOOKUP(B69,Database!$F:$AY,MATCH($Q$1,Database!$F$1:$AY$1,),))))-(((VLOOKUP(EDATE(B69,-12),Database!$F:$AY,MATCH($Q$1,Database!$F$1:$AY$1,),)))))/(((VLOOKUP(EDATE(B69,-12),Database!$F:$AY,MATCH($Q$1,Database!$F$1:$AY$1,),))))</f>
        <v>7.5113501510562175E-2</v>
      </c>
      <c r="R69" s="13">
        <f>((((VLOOKUP(B69,Database!$F:$AY,MATCH($R$1,Database!$F$1:$AY$1,),))))-(((VLOOKUP(EDATE(B69,-12),Database!$F:$AY,MATCH($R$1,Database!$F$1:$AY$1,),)))))/(((VLOOKUP(EDATE(B69,-12),Database!$F:$AY,MATCH($R$1,Database!$F$1:$AY$1,),))))</f>
        <v>-1.6899762109482314E-2</v>
      </c>
      <c r="S69" s="13">
        <f>((((VLOOKUP(B69,Database!$F:$AY,MATCH($S$1,Database!$F$1:$AY$1,),))))-(((VLOOKUP(EDATE(B69,-12),Database!$F:$AY,MATCH($S$1,Database!$F$1:$AY$1,),)))))/(((VLOOKUP(EDATE(B69,-12),Database!$F:$AY,MATCH($S$1,Database!$F$1:$AY$1,),))))</f>
        <v>1.4388371584646299E-2</v>
      </c>
      <c r="T69" s="13">
        <f>((((VLOOKUP(B69,Database!$F:$AY,MATCH($T$1,Database!$F$1:$AY$1,),))))-(((VLOOKUP(EDATE(B69,-12),Database!$F:$AY,MATCH($T$1,Database!$F$1:$AY$1,),)))))/(((VLOOKUP(EDATE(B69,-12),Database!$F:$AY,MATCH($T$1,Database!$F$1:$AY$1,),))))</f>
        <v>6.6474030208294829E-2</v>
      </c>
      <c r="U69" s="13">
        <f>((((VLOOKUP(B69,Database!$F:$AY,MATCH($U$1,Database!$F$1:$AY$1,),))))-(((VLOOKUP(EDATE(B69,-12),Database!$F:$AY,MATCH($U$1,Database!$F$1:$AY$1,),)))))/(((VLOOKUP(EDATE(B69,-12),Database!$F:$AY,MATCH($U$1,Database!$F$1:$AY$1,),))))</f>
        <v>-6.3070860501162951E-2</v>
      </c>
      <c r="V69" s="13">
        <f>((((VLOOKUP(B69,Database!$F:$AY,MATCH($V$1,Database!$F$1:$AY$1,),))))-(((VLOOKUP(EDATE(B69,-12),Database!$F:$AY,MATCH($V$1,Database!$F$1:$AY$1,),)))))/(((VLOOKUP(EDATE(B69,-12),Database!$F:$AY,MATCH($V$1,Database!$F$1:$AY$1,),))))</f>
        <v>1.7312419956382531E-2</v>
      </c>
    </row>
    <row r="70" spans="1:22" s="85" customFormat="1" x14ac:dyDescent="0.2">
      <c r="A70" s="44"/>
      <c r="B70" s="91">
        <v>34274</v>
      </c>
      <c r="C70" s="13">
        <f>((((VLOOKUP(B70,Database!$F:$AY,MATCH($C$1,Database!$F$1:$AY$1,),))))-(((VLOOKUP(EDATE(B70,-12),Database!$F:$AY,MATCH($C$1,Database!$F$1:$AY$1,),)))))/(((VLOOKUP(EDATE(B70,-12),Database!$F:$AY,MATCH($C$1,Database!$F$1:$AY$1,),))))</f>
        <v>2.8922946981279254E-2</v>
      </c>
      <c r="D70" s="13">
        <f>((((VLOOKUP(B70,Database!$F:$AY,MATCH($D$1,Database!$F$1:$AY$1,),))))-(((VLOOKUP(EDATE(B70,-12),Database!$F:$AY,MATCH($D$1,Database!$F$1:$AY$1,),)))))/(((VLOOKUP(EDATE(B70,-12),Database!$F:$AY,MATCH($D$1,Database!$F$1:$AY$1,),))))</f>
        <v>-2.190725851614192E-2</v>
      </c>
      <c r="E70" s="13">
        <f>((((VLOOKUP(B70,Database!$F:$AY,MATCH($E$1,Database!$F$1:$AY$1,),))))-(((VLOOKUP(EDATE(B70,-12),Database!$F:$AY,MATCH($E$1,Database!$F$1:$AY$1,),)))))/(((VLOOKUP(EDATE(B70,-12),Database!$F:$AY,MATCH($E$1,Database!$F$1:$AY$1,),))))</f>
        <v>-1.9750581764722889E-2</v>
      </c>
      <c r="F70" s="13">
        <f>((((VLOOKUP(B70,Database!$F:$AY,MATCH($F$1,Database!$F$1:$AY$1,),))))-(((VLOOKUP(EDATE(B70,-12),Database!$F:$AY,MATCH($F$1,Database!$F$1:$AY$1,),)))))/(((VLOOKUP(EDATE(B70,-12),Database!$F:$AY,MATCH($F$1,Database!$F$1:$AY$1,),))))</f>
        <v>-4.992869591418183E-2</v>
      </c>
      <c r="G70" s="13">
        <f>((((VLOOKUP(B70,Database!$F:$AY,MATCH($G$1,Database!$F$1:$AY$1,),))))-(((VLOOKUP(EDATE(B70,-12),Database!$F:$AY,MATCH($G$1,Database!$F$1:$AY$1,),)))))/(((VLOOKUP(EDATE(B70,-12),Database!$F:$AY,MATCH($G$1,Database!$F$1:$AY$1,),))))</f>
        <v>-2.2678715816215281E-2</v>
      </c>
      <c r="H70" s="13">
        <f>((((VLOOKUP(B70,Database!$F:$AY,MATCH($H$1,Database!$F$1:$AY$1,),))))-(((VLOOKUP(EDATE(B70,-12),Database!$F:$AY,MATCH($H$1,Database!$F$1:$AY$1,),)))))/(((VLOOKUP(EDATE(B70,-12),Database!$F:$AY,MATCH($H$1,Database!$F$1:$AY$1,),))))</f>
        <v>3.597124043539468E-2</v>
      </c>
      <c r="I70" s="13">
        <f>((((VLOOKUP(B70,Database!$F:$AY,MATCH($I$1,Database!$F$1:$AY$1,),))))-(((VLOOKUP(EDATE(B70,-12),Database!$F:$AY,MATCH($I$1,Database!$F$1:$AY$1,),)))))/(((VLOOKUP(EDATE(B70,-12),Database!$F:$AY,MATCH($I$1,Database!$F$1:$AY$1,),))))</f>
        <v>-1.1204479177074468E-2</v>
      </c>
      <c r="J70" s="13">
        <f>((((VLOOKUP(B70,Database!$F:$AY,MATCH($J$1,Database!$F$1:$AY$1,),))))-(((VLOOKUP(EDATE(B70,-12),Database!$F:$AY,MATCH($J$1,Database!$F$1:$AY$1,),)))))/(((VLOOKUP(EDATE(B70,-12),Database!$F:$AY,MATCH($J$1,Database!$F$1:$AY$1,),))))</f>
        <v>1.5442604828144161E-2</v>
      </c>
      <c r="K70" s="13">
        <f>((((VLOOKUP(B70,Database!$F:$AY,MATCH($K$1,Database!$F$1:$AY$1,),))))-(((VLOOKUP(EDATE(B70,-12),Database!$F:$AY,MATCH($K$1,Database!$F$1:$AY$1,),)))))/(((VLOOKUP(EDATE(B70,-12),Database!$F:$AY,MATCH($K$1,Database!$F$1:$AY$1,),))))</f>
        <v>5.0075885048171433E-2</v>
      </c>
      <c r="L70" s="13">
        <f>((((VLOOKUP(B70,Database!$F:$AY,MATCH($L$1,Database!$F$1:$AY$1,),))))-(((VLOOKUP(EDATE(B70,-12),Database!$F:$AY,MATCH($L$1,Database!$F$1:$AY$1,),)))))/(((VLOOKUP(EDATE(B70,-12),Database!$F:$AY,MATCH($L$1,Database!$F$1:$AY$1,),))))</f>
        <v>5.7431078820810591E-3</v>
      </c>
      <c r="M70" s="13" t="e">
        <f>((((VLOOKUP(B70,Database!$F:$AY,MATCH($M$1,Database!$F$1:$AY$1,),))))-(((VLOOKUP(EDATE(B70,-12),Database!$F:$AY,MATCH($M$1,Database!$F$1:$AY$1,),)))))/(((VLOOKUP(EDATE(B70,-12),Database!$F:$AY,MATCH($M$1,Database!$F$1:$AY$1,),))))</f>
        <v>#DIV/0!</v>
      </c>
      <c r="N70" s="13" t="e">
        <f>((((VLOOKUP(B70,Database!$F:$AY,MATCH($N$1,Database!$F$1:$AY$1,),))))-(((VLOOKUP(EDATE(B70,-12),Database!$F:$AY,MATCH($N$1,Database!$F$1:$AY$1,),)))))/(((VLOOKUP(EDATE(B70,-12),Database!$F:$AY,MATCH($N$1,Database!$F$1:$AY$1,),))))</f>
        <v>#DIV/0!</v>
      </c>
      <c r="O70" s="13">
        <f>((((VLOOKUP(B70,Database!$F:$AY,MATCH($O$1,Database!$F$1:$AY$1,),))))-(((VLOOKUP(EDATE(B70,-12),Database!$F:$AY,MATCH($O$1,Database!$F$1:$AY$1,),)))))/(((VLOOKUP(EDATE(B70,-12),Database!$F:$AY,MATCH($O$1,Database!$F$1:$AY$1,),))))</f>
        <v>4.8839304913380469E-2</v>
      </c>
      <c r="P70" s="13">
        <f>((((VLOOKUP(B70,Database!$F:$AY,MATCH($P$1,Database!$F$1:$AY$1,),))))-(((VLOOKUP(EDATE(B70,-12),Database!$F:$AY,MATCH($P$1,Database!$F$1:$AY$1,),)))))/(((VLOOKUP(EDATE(B70,-12),Database!$F:$AY,MATCH($P$1,Database!$F$1:$AY$1,),))))</f>
        <v>8.6771846641653397E-2</v>
      </c>
      <c r="Q70" s="13">
        <f>((((VLOOKUP(B70,Database!$F:$AY,MATCH($Q$1,Database!$F$1:$AY$1,),))))-(((VLOOKUP(EDATE(B70,-12),Database!$F:$AY,MATCH($Q$1,Database!$F$1:$AY$1,),)))))/(((VLOOKUP(EDATE(B70,-12),Database!$F:$AY,MATCH($Q$1,Database!$F$1:$AY$1,),))))</f>
        <v>4.7700195281155627E-2</v>
      </c>
      <c r="R70" s="13">
        <f>((((VLOOKUP(B70,Database!$F:$AY,MATCH($R$1,Database!$F$1:$AY$1,),))))-(((VLOOKUP(EDATE(B70,-12),Database!$F:$AY,MATCH($R$1,Database!$F$1:$AY$1,),)))))/(((VLOOKUP(EDATE(B70,-12),Database!$F:$AY,MATCH($R$1,Database!$F$1:$AY$1,),))))</f>
        <v>-1.7456114222494167E-2</v>
      </c>
      <c r="S70" s="13">
        <f>((((VLOOKUP(B70,Database!$F:$AY,MATCH($S$1,Database!$F$1:$AY$1,),))))-(((VLOOKUP(EDATE(B70,-12),Database!$F:$AY,MATCH($S$1,Database!$F$1:$AY$1,),)))))/(((VLOOKUP(EDATE(B70,-12),Database!$F:$AY,MATCH($S$1,Database!$F$1:$AY$1,),))))</f>
        <v>1.8050857449154089E-2</v>
      </c>
      <c r="T70" s="13">
        <f>((((VLOOKUP(B70,Database!$F:$AY,MATCH($T$1,Database!$F$1:$AY$1,),))))-(((VLOOKUP(EDATE(B70,-12),Database!$F:$AY,MATCH($T$1,Database!$F$1:$AY$1,),)))))/(((VLOOKUP(EDATE(B70,-12),Database!$F:$AY,MATCH($T$1,Database!$F$1:$AY$1,),))))</f>
        <v>2.8985608073949242E-2</v>
      </c>
      <c r="U70" s="13">
        <f>((((VLOOKUP(B70,Database!$F:$AY,MATCH($U$1,Database!$F$1:$AY$1,),))))-(((VLOOKUP(EDATE(B70,-12),Database!$F:$AY,MATCH($U$1,Database!$F$1:$AY$1,),)))))/(((VLOOKUP(EDATE(B70,-12),Database!$F:$AY,MATCH($U$1,Database!$F$1:$AY$1,),))))</f>
        <v>-6.928948805901769E-2</v>
      </c>
      <c r="V70" s="13">
        <f>((((VLOOKUP(B70,Database!$F:$AY,MATCH($V$1,Database!$F$1:$AY$1,),))))-(((VLOOKUP(EDATE(B70,-12),Database!$F:$AY,MATCH($V$1,Database!$F$1:$AY$1,),)))))/(((VLOOKUP(EDATE(B70,-12),Database!$F:$AY,MATCH($V$1,Database!$F$1:$AY$1,),))))</f>
        <v>4.6889701520532741E-2</v>
      </c>
    </row>
    <row r="71" spans="1:22" s="85" customFormat="1" x14ac:dyDescent="0.2">
      <c r="A71" s="44"/>
      <c r="B71" s="91">
        <v>34304</v>
      </c>
      <c r="C71" s="13">
        <f>((((VLOOKUP(B71,Database!$F:$AY,MATCH($C$1,Database!$F$1:$AY$1,),))))-(((VLOOKUP(EDATE(B71,-12),Database!$F:$AY,MATCH($C$1,Database!$F$1:$AY$1,),)))))/(((VLOOKUP(EDATE(B71,-12),Database!$F:$AY,MATCH($C$1,Database!$F$1:$AY$1,),))))</f>
        <v>3.3619447601849019E-2</v>
      </c>
      <c r="D71" s="13">
        <f>((((VLOOKUP(B71,Database!$F:$AY,MATCH($D$1,Database!$F$1:$AY$1,),))))-(((VLOOKUP(EDATE(B71,-12),Database!$F:$AY,MATCH($D$1,Database!$F$1:$AY$1,),)))))/(((VLOOKUP(EDATE(B71,-12),Database!$F:$AY,MATCH($D$1,Database!$F$1:$AY$1,),))))</f>
        <v>-3.9317170568932639E-3</v>
      </c>
      <c r="E71" s="13">
        <f>((((VLOOKUP(B71,Database!$F:$AY,MATCH($E$1,Database!$F$1:$AY$1,),))))-(((VLOOKUP(EDATE(B71,-12),Database!$F:$AY,MATCH($E$1,Database!$F$1:$AY$1,),)))))/(((VLOOKUP(EDATE(B71,-12),Database!$F:$AY,MATCH($E$1,Database!$F$1:$AY$1,),))))</f>
        <v>-2.2964464482444189E-2</v>
      </c>
      <c r="F71" s="13">
        <f>((((VLOOKUP(B71,Database!$F:$AY,MATCH($F$1,Database!$F$1:$AY$1,),))))-(((VLOOKUP(EDATE(B71,-12),Database!$F:$AY,MATCH($F$1,Database!$F$1:$AY$1,),)))))/(((VLOOKUP(EDATE(B71,-12),Database!$F:$AY,MATCH($F$1,Database!$F$1:$AY$1,),))))</f>
        <v>-2.1770609046385014E-2</v>
      </c>
      <c r="G71" s="13">
        <f>((((VLOOKUP(B71,Database!$F:$AY,MATCH($G$1,Database!$F$1:$AY$1,),))))-(((VLOOKUP(EDATE(B71,-12),Database!$F:$AY,MATCH($G$1,Database!$F$1:$AY$1,),)))))/(((VLOOKUP(EDATE(B71,-12),Database!$F:$AY,MATCH($G$1,Database!$F$1:$AY$1,),))))</f>
        <v>-1.832039856746755E-2</v>
      </c>
      <c r="H71" s="13">
        <f>((((VLOOKUP(B71,Database!$F:$AY,MATCH($H$1,Database!$F$1:$AY$1,),))))-(((VLOOKUP(EDATE(B71,-12),Database!$F:$AY,MATCH($H$1,Database!$F$1:$AY$1,),)))))/(((VLOOKUP(EDATE(B71,-12),Database!$F:$AY,MATCH($H$1,Database!$F$1:$AY$1,),))))</f>
        <v>4.0123463943400176E-2</v>
      </c>
      <c r="I71" s="13">
        <f>((((VLOOKUP(B71,Database!$F:$AY,MATCH($I$1,Database!$F$1:$AY$1,),))))-(((VLOOKUP(EDATE(B71,-12),Database!$F:$AY,MATCH($I$1,Database!$F$1:$AY$1,),)))))/(((VLOOKUP(EDATE(B71,-12),Database!$F:$AY,MATCH($I$1,Database!$F$1:$AY$1,),))))</f>
        <v>4.74873493701278E-3</v>
      </c>
      <c r="J71" s="13">
        <f>((((VLOOKUP(B71,Database!$F:$AY,MATCH($J$1,Database!$F$1:$AY$1,),))))-(((VLOOKUP(EDATE(B71,-12),Database!$F:$AY,MATCH($J$1,Database!$F$1:$AY$1,),)))))/(((VLOOKUP(EDATE(B71,-12),Database!$F:$AY,MATCH($J$1,Database!$F$1:$AY$1,),))))</f>
        <v>3.5466514801755791E-2</v>
      </c>
      <c r="K71" s="13">
        <f>((((VLOOKUP(B71,Database!$F:$AY,MATCH($K$1,Database!$F$1:$AY$1,),))))-(((VLOOKUP(EDATE(B71,-12),Database!$F:$AY,MATCH($K$1,Database!$F$1:$AY$1,),)))))/(((VLOOKUP(EDATE(B71,-12),Database!$F:$AY,MATCH($K$1,Database!$F$1:$AY$1,),))))</f>
        <v>6.9802848815572305E-2</v>
      </c>
      <c r="L71" s="13">
        <f>((((VLOOKUP(B71,Database!$F:$AY,MATCH($L$1,Database!$F$1:$AY$1,),))))-(((VLOOKUP(EDATE(B71,-12),Database!$F:$AY,MATCH($L$1,Database!$F$1:$AY$1,),)))))/(((VLOOKUP(EDATE(B71,-12),Database!$F:$AY,MATCH($L$1,Database!$F$1:$AY$1,),))))</f>
        <v>3.3223134531674192E-2</v>
      </c>
      <c r="M71" s="13" t="e">
        <f>((((VLOOKUP(B71,Database!$F:$AY,MATCH($M$1,Database!$F$1:$AY$1,),))))-(((VLOOKUP(EDATE(B71,-12),Database!$F:$AY,MATCH($M$1,Database!$F$1:$AY$1,),)))))/(((VLOOKUP(EDATE(B71,-12),Database!$F:$AY,MATCH($M$1,Database!$F$1:$AY$1,),))))</f>
        <v>#DIV/0!</v>
      </c>
      <c r="N71" s="13" t="e">
        <f>((((VLOOKUP(B71,Database!$F:$AY,MATCH($N$1,Database!$F$1:$AY$1,),))))-(((VLOOKUP(EDATE(B71,-12),Database!$F:$AY,MATCH($N$1,Database!$F$1:$AY$1,),)))))/(((VLOOKUP(EDATE(B71,-12),Database!$F:$AY,MATCH($N$1,Database!$F$1:$AY$1,),))))</f>
        <v>#DIV/0!</v>
      </c>
      <c r="O71" s="13">
        <f>((((VLOOKUP(B71,Database!$F:$AY,MATCH($O$1,Database!$F$1:$AY$1,),))))-(((VLOOKUP(EDATE(B71,-12),Database!$F:$AY,MATCH($O$1,Database!$F$1:$AY$1,),)))))/(((VLOOKUP(EDATE(B71,-12),Database!$F:$AY,MATCH($O$1,Database!$F$1:$AY$1,),))))</f>
        <v>3.7069086559252361E-2</v>
      </c>
      <c r="P71" s="13">
        <f>((((VLOOKUP(B71,Database!$F:$AY,MATCH($P$1,Database!$F$1:$AY$1,),))))-(((VLOOKUP(EDATE(B71,-12),Database!$F:$AY,MATCH($P$1,Database!$F$1:$AY$1,),)))))/(((VLOOKUP(EDATE(B71,-12),Database!$F:$AY,MATCH($P$1,Database!$F$1:$AY$1,),))))</f>
        <v>0.1054403634894501</v>
      </c>
      <c r="Q71" s="13">
        <f>((((VLOOKUP(B71,Database!$F:$AY,MATCH($Q$1,Database!$F$1:$AY$1,),))))-(((VLOOKUP(EDATE(B71,-12),Database!$F:$AY,MATCH($Q$1,Database!$F$1:$AY$1,),)))))/(((VLOOKUP(EDATE(B71,-12),Database!$F:$AY,MATCH($Q$1,Database!$F$1:$AY$1,),))))</f>
        <v>7.7238910549529249E-2</v>
      </c>
      <c r="R71" s="13">
        <f>((((VLOOKUP(B71,Database!$F:$AY,MATCH($R$1,Database!$F$1:$AY$1,),))))-(((VLOOKUP(EDATE(B71,-12),Database!$F:$AY,MATCH($R$1,Database!$F$1:$AY$1,),)))))/(((VLOOKUP(EDATE(B71,-12),Database!$F:$AY,MATCH($R$1,Database!$F$1:$AY$1,),))))</f>
        <v>-1.8746948012727683E-2</v>
      </c>
      <c r="S71" s="13">
        <f>((((VLOOKUP(B71,Database!$F:$AY,MATCH($S$1,Database!$F$1:$AY$1,),))))-(((VLOOKUP(EDATE(B71,-12),Database!$F:$AY,MATCH($S$1,Database!$F$1:$AY$1,),)))))/(((VLOOKUP(EDATE(B71,-12),Database!$F:$AY,MATCH($S$1,Database!$F$1:$AY$1,),))))</f>
        <v>0.12840482728263594</v>
      </c>
      <c r="T71" s="13">
        <f>((((VLOOKUP(B71,Database!$F:$AY,MATCH($T$1,Database!$F$1:$AY$1,),))))-(((VLOOKUP(EDATE(B71,-12),Database!$F:$AY,MATCH($T$1,Database!$F$1:$AY$1,),)))))/(((VLOOKUP(EDATE(B71,-12),Database!$F:$AY,MATCH($T$1,Database!$F$1:$AY$1,),))))</f>
        <v>0.13988100198826092</v>
      </c>
      <c r="U71" s="13">
        <f>((((VLOOKUP(B71,Database!$F:$AY,MATCH($U$1,Database!$F$1:$AY$1,),))))-(((VLOOKUP(EDATE(B71,-12),Database!$F:$AY,MATCH($U$1,Database!$F$1:$AY$1,),)))))/(((VLOOKUP(EDATE(B71,-12),Database!$F:$AY,MATCH($U$1,Database!$F$1:$AY$1,),))))</f>
        <v>-2.905725021702709E-2</v>
      </c>
      <c r="V71" s="13">
        <f>((((VLOOKUP(B71,Database!$F:$AY,MATCH($V$1,Database!$F$1:$AY$1,),))))-(((VLOOKUP(EDATE(B71,-12),Database!$F:$AY,MATCH($V$1,Database!$F$1:$AY$1,),)))))/(((VLOOKUP(EDATE(B71,-12),Database!$F:$AY,MATCH($V$1,Database!$F$1:$AY$1,),))))</f>
        <v>4.5822880711634664E-2</v>
      </c>
    </row>
    <row r="72" spans="1:22" s="85" customFormat="1" x14ac:dyDescent="0.2">
      <c r="A72" s="44"/>
      <c r="B72" s="91">
        <v>34335</v>
      </c>
      <c r="C72" s="13">
        <f>((((VLOOKUP(B72,Database!$F:$AY,MATCH($C$1,Database!$F$1:$AY$1,),))))-(((VLOOKUP(EDATE(B72,-12),Database!$F:$AY,MATCH($C$1,Database!$F$1:$AY$1,),)))))/(((VLOOKUP(EDATE(B72,-12),Database!$F:$AY,MATCH($C$1,Database!$F$1:$AY$1,),))))</f>
        <v>3.3058239026270912E-2</v>
      </c>
      <c r="D72" s="13">
        <f>((((VLOOKUP(B72,Database!$F:$AY,MATCH($D$1,Database!$F$1:$AY$1,),))))-(((VLOOKUP(EDATE(B72,-12),Database!$F:$AY,MATCH($D$1,Database!$F$1:$AY$1,),)))))/(((VLOOKUP(EDATE(B72,-12),Database!$F:$AY,MATCH($D$1,Database!$F$1:$AY$1,),))))</f>
        <v>-7.8226854487617493E-3</v>
      </c>
      <c r="E72" s="13">
        <f>((((VLOOKUP(B72,Database!$F:$AY,MATCH($E$1,Database!$F$1:$AY$1,),))))-(((VLOOKUP(EDATE(B72,-12),Database!$F:$AY,MATCH($E$1,Database!$F$1:$AY$1,),)))))/(((VLOOKUP(EDATE(B72,-12),Database!$F:$AY,MATCH($E$1,Database!$F$1:$AY$1,),))))</f>
        <v>-4.7034770805727648E-2</v>
      </c>
      <c r="F72" s="13">
        <f>((((VLOOKUP(B72,Database!$F:$AY,MATCH($F$1,Database!$F$1:$AY$1,),))))-(((VLOOKUP(EDATE(B72,-12),Database!$F:$AY,MATCH($F$1,Database!$F$1:$AY$1,),)))))/(((VLOOKUP(EDATE(B72,-12),Database!$F:$AY,MATCH($F$1,Database!$F$1:$AY$1,),))))</f>
        <v>-1.4684190986854702E-2</v>
      </c>
      <c r="G72" s="13">
        <f>((((VLOOKUP(B72,Database!$F:$AY,MATCH($G$1,Database!$F$1:$AY$1,),))))-(((VLOOKUP(EDATE(B72,-12),Database!$F:$AY,MATCH($G$1,Database!$F$1:$AY$1,),)))))/(((VLOOKUP(EDATE(B72,-12),Database!$F:$AY,MATCH($G$1,Database!$F$1:$AY$1,),))))</f>
        <v>1.0251651854359045E-3</v>
      </c>
      <c r="H72" s="13">
        <f>((((VLOOKUP(B72,Database!$F:$AY,MATCH($H$1,Database!$F$1:$AY$1,),))))-(((VLOOKUP(EDATE(B72,-12),Database!$F:$AY,MATCH($H$1,Database!$F$1:$AY$1,),)))))/(((VLOOKUP(EDATE(B72,-12),Database!$F:$AY,MATCH($H$1,Database!$F$1:$AY$1,),))))</f>
        <v>4.5221099229632668E-2</v>
      </c>
      <c r="I72" s="13">
        <f>((((VLOOKUP(B72,Database!$F:$AY,MATCH($I$1,Database!$F$1:$AY$1,),))))-(((VLOOKUP(EDATE(B72,-12),Database!$F:$AY,MATCH($I$1,Database!$F$1:$AY$1,),)))))/(((VLOOKUP(EDATE(B72,-12),Database!$F:$AY,MATCH($I$1,Database!$F$1:$AY$1,),))))</f>
        <v>-9.3369103501597869E-3</v>
      </c>
      <c r="J72" s="13">
        <f>((((VLOOKUP(B72,Database!$F:$AY,MATCH($J$1,Database!$F$1:$AY$1,),))))-(((VLOOKUP(EDATE(B72,-12),Database!$F:$AY,MATCH($J$1,Database!$F$1:$AY$1,),)))))/(((VLOOKUP(EDATE(B72,-12),Database!$F:$AY,MATCH($J$1,Database!$F$1:$AY$1,),))))</f>
        <v>1.1547359107067799E-2</v>
      </c>
      <c r="K72" s="13">
        <f>((((VLOOKUP(B72,Database!$F:$AY,MATCH($K$1,Database!$F$1:$AY$1,),))))-(((VLOOKUP(EDATE(B72,-12),Database!$F:$AY,MATCH($K$1,Database!$F$1:$AY$1,),)))))/(((VLOOKUP(EDATE(B72,-12),Database!$F:$AY,MATCH($K$1,Database!$F$1:$AY$1,),))))</f>
        <v>7.2617111582726337E-2</v>
      </c>
      <c r="L72" s="13">
        <f>((((VLOOKUP(B72,Database!$F:$AY,MATCH($L$1,Database!$F$1:$AY$1,),))))-(((VLOOKUP(EDATE(B72,-12),Database!$F:$AY,MATCH($L$1,Database!$F$1:$AY$1,),)))))/(((VLOOKUP(EDATE(B72,-12),Database!$F:$AY,MATCH($L$1,Database!$F$1:$AY$1,),))))</f>
        <v>4.6959631710273557E-2</v>
      </c>
      <c r="M72" s="13">
        <f>((((VLOOKUP(B72,Database!$F:$AY,MATCH($M$1,Database!$F$1:$AY$1,),))))-(((VLOOKUP(EDATE(B72,-12),Database!$F:$AY,MATCH($M$1,Database!$F$1:$AY$1,),)))))/(((VLOOKUP(EDATE(B72,-12),Database!$F:$AY,MATCH($M$1,Database!$F$1:$AY$1,),))))</f>
        <v>-0.21689887054106552</v>
      </c>
      <c r="N72" s="13" t="e">
        <f>((((VLOOKUP(B72,Database!$F:$AY,MATCH($N$1,Database!$F$1:$AY$1,),))))-(((VLOOKUP(EDATE(B72,-12),Database!$F:$AY,MATCH($N$1,Database!$F$1:$AY$1,),)))))/(((VLOOKUP(EDATE(B72,-12),Database!$F:$AY,MATCH($N$1,Database!$F$1:$AY$1,),))))</f>
        <v>#DIV/0!</v>
      </c>
      <c r="O72" s="13">
        <f>((((VLOOKUP(B72,Database!$F:$AY,MATCH($O$1,Database!$F$1:$AY$1,),))))-(((VLOOKUP(EDATE(B72,-12),Database!$F:$AY,MATCH($O$1,Database!$F$1:$AY$1,),)))))/(((VLOOKUP(EDATE(B72,-12),Database!$F:$AY,MATCH($O$1,Database!$F$1:$AY$1,),))))</f>
        <v>4.5899031150465862E-2</v>
      </c>
      <c r="P72" s="13">
        <f>((((VLOOKUP(B72,Database!$F:$AY,MATCH($P$1,Database!$F$1:$AY$1,),))))-(((VLOOKUP(EDATE(B72,-12),Database!$F:$AY,MATCH($P$1,Database!$F$1:$AY$1,),)))))/(((VLOOKUP(EDATE(B72,-12),Database!$F:$AY,MATCH($P$1,Database!$F$1:$AY$1,),))))</f>
        <v>9.4559230467822178E-2</v>
      </c>
      <c r="Q72" s="13">
        <f>((((VLOOKUP(B72,Database!$F:$AY,MATCH($Q$1,Database!$F$1:$AY$1,),))))-(((VLOOKUP(EDATE(B72,-12),Database!$F:$AY,MATCH($Q$1,Database!$F$1:$AY$1,),)))))/(((VLOOKUP(EDATE(B72,-12),Database!$F:$AY,MATCH($Q$1,Database!$F$1:$AY$1,),))))</f>
        <v>7.1929341648435549E-2</v>
      </c>
      <c r="R72" s="13">
        <f>((((VLOOKUP(B72,Database!$F:$AY,MATCH($R$1,Database!$F$1:$AY$1,),))))-(((VLOOKUP(EDATE(B72,-12),Database!$F:$AY,MATCH($R$1,Database!$F$1:$AY$1,),)))))/(((VLOOKUP(EDATE(B72,-12),Database!$F:$AY,MATCH($R$1,Database!$F$1:$AY$1,),))))</f>
        <v>1.3133385595160446E-2</v>
      </c>
      <c r="S72" s="13">
        <f>((((VLOOKUP(B72,Database!$F:$AY,MATCH($S$1,Database!$F$1:$AY$1,),))))-(((VLOOKUP(EDATE(B72,-12),Database!$F:$AY,MATCH($S$1,Database!$F$1:$AY$1,),)))))/(((VLOOKUP(EDATE(B72,-12),Database!$F:$AY,MATCH($S$1,Database!$F$1:$AY$1,),))))</f>
        <v>3.2143056833984357E-2</v>
      </c>
      <c r="T72" s="13">
        <f>((((VLOOKUP(B72,Database!$F:$AY,MATCH($T$1,Database!$F$1:$AY$1,),))))-(((VLOOKUP(EDATE(B72,-12),Database!$F:$AY,MATCH($T$1,Database!$F$1:$AY$1,),)))))/(((VLOOKUP(EDATE(B72,-12),Database!$F:$AY,MATCH($T$1,Database!$F$1:$AY$1,),))))</f>
        <v>8.8319028249643688E-2</v>
      </c>
      <c r="U72" s="13">
        <f>((((VLOOKUP(B72,Database!$F:$AY,MATCH($U$1,Database!$F$1:$AY$1,),))))-(((VLOOKUP(EDATE(B72,-12),Database!$F:$AY,MATCH($U$1,Database!$F$1:$AY$1,),)))))/(((VLOOKUP(EDATE(B72,-12),Database!$F:$AY,MATCH($U$1,Database!$F$1:$AY$1,),))))</f>
        <v>-1.6459890203847954E-2</v>
      </c>
      <c r="V72" s="13">
        <f>((((VLOOKUP(B72,Database!$F:$AY,MATCH($V$1,Database!$F$1:$AY$1,),))))-(((VLOOKUP(EDATE(B72,-12),Database!$F:$AY,MATCH($V$1,Database!$F$1:$AY$1,),)))))/(((VLOOKUP(EDATE(B72,-12),Database!$F:$AY,MATCH($V$1,Database!$F$1:$AY$1,),))))</f>
        <v>0.11006623192113051</v>
      </c>
    </row>
    <row r="73" spans="1:22" s="85" customFormat="1" x14ac:dyDescent="0.2">
      <c r="A73" s="44"/>
      <c r="B73" s="91">
        <v>34366</v>
      </c>
      <c r="C73" s="13">
        <f>((((VLOOKUP(B73,Database!$F:$AY,MATCH($C$1,Database!$F$1:$AY$1,),))))-(((VLOOKUP(EDATE(B73,-12),Database!$F:$AY,MATCH($C$1,Database!$F$1:$AY$1,),)))))/(((VLOOKUP(EDATE(B73,-12),Database!$F:$AY,MATCH($C$1,Database!$F$1:$AY$1,),))))</f>
        <v>2.8779915754022865E-2</v>
      </c>
      <c r="D73" s="13">
        <f>((((VLOOKUP(B73,Database!$F:$AY,MATCH($D$1,Database!$F$1:$AY$1,),))))-(((VLOOKUP(EDATE(B73,-12),Database!$F:$AY,MATCH($D$1,Database!$F$1:$AY$1,),)))))/(((VLOOKUP(EDATE(B73,-12),Database!$F:$AY,MATCH($D$1,Database!$F$1:$AY$1,),))))</f>
        <v>1.4454576662707936E-2</v>
      </c>
      <c r="E73" s="13">
        <f>((((VLOOKUP(B73,Database!$F:$AY,MATCH($E$1,Database!$F$1:$AY$1,),))))-(((VLOOKUP(EDATE(B73,-12),Database!$F:$AY,MATCH($E$1,Database!$F$1:$AY$1,),)))))/(((VLOOKUP(EDATE(B73,-12),Database!$F:$AY,MATCH($E$1,Database!$F$1:$AY$1,),))))</f>
        <v>-4.0816345012175237E-2</v>
      </c>
      <c r="F73" s="13">
        <f>((((VLOOKUP(B73,Database!$F:$AY,MATCH($F$1,Database!$F$1:$AY$1,),))))-(((VLOOKUP(EDATE(B73,-12),Database!$F:$AY,MATCH($F$1,Database!$F$1:$AY$1,),)))))/(((VLOOKUP(EDATE(B73,-12),Database!$F:$AY,MATCH($F$1,Database!$F$1:$AY$1,),))))</f>
        <v>1.49030299245496E-2</v>
      </c>
      <c r="G73" s="13">
        <f>((((VLOOKUP(B73,Database!$F:$AY,MATCH($G$1,Database!$F$1:$AY$1,),))))-(((VLOOKUP(EDATE(B73,-12),Database!$F:$AY,MATCH($G$1,Database!$F$1:$AY$1,),)))))/(((VLOOKUP(EDATE(B73,-12),Database!$F:$AY,MATCH($G$1,Database!$F$1:$AY$1,),))))</f>
        <v>-3.6392282879943471E-3</v>
      </c>
      <c r="H73" s="13">
        <f>((((VLOOKUP(B73,Database!$F:$AY,MATCH($H$1,Database!$F$1:$AY$1,),))))-(((VLOOKUP(EDATE(B73,-12),Database!$F:$AY,MATCH($H$1,Database!$F$1:$AY$1,),)))))/(((VLOOKUP(EDATE(B73,-12),Database!$F:$AY,MATCH($H$1,Database!$F$1:$AY$1,),))))</f>
        <v>3.3434618291133839E-2</v>
      </c>
      <c r="I73" s="13">
        <f>((((VLOOKUP(B73,Database!$F:$AY,MATCH($I$1,Database!$F$1:$AY$1,),))))-(((VLOOKUP(EDATE(B73,-12),Database!$F:$AY,MATCH($I$1,Database!$F$1:$AY$1,),)))))/(((VLOOKUP(EDATE(B73,-12),Database!$F:$AY,MATCH($I$1,Database!$F$1:$AY$1,),))))</f>
        <v>9.3631398122127844E-3</v>
      </c>
      <c r="J73" s="13">
        <f>((((VLOOKUP(B73,Database!$F:$AY,MATCH($J$1,Database!$F$1:$AY$1,),))))-(((VLOOKUP(EDATE(B73,-12),Database!$F:$AY,MATCH($J$1,Database!$F$1:$AY$1,),)))))/(((VLOOKUP(EDATE(B73,-12),Database!$F:$AY,MATCH($J$1,Database!$F$1:$AY$1,),))))</f>
        <v>6.1288030841775601E-2</v>
      </c>
      <c r="K73" s="13">
        <f>((((VLOOKUP(B73,Database!$F:$AY,MATCH($K$1,Database!$F$1:$AY$1,),))))-(((VLOOKUP(EDATE(B73,-12),Database!$F:$AY,MATCH($K$1,Database!$F$1:$AY$1,),)))))/(((VLOOKUP(EDATE(B73,-12),Database!$F:$AY,MATCH($K$1,Database!$F$1:$AY$1,),))))</f>
        <v>0.11042931861635513</v>
      </c>
      <c r="L73" s="13">
        <f>((((VLOOKUP(B73,Database!$F:$AY,MATCH($L$1,Database!$F$1:$AY$1,),))))-(((VLOOKUP(EDATE(B73,-12),Database!$F:$AY,MATCH($L$1,Database!$F$1:$AY$1,),)))))/(((VLOOKUP(EDATE(B73,-12),Database!$F:$AY,MATCH($L$1,Database!$F$1:$AY$1,),))))</f>
        <v>3.774041983482903E-2</v>
      </c>
      <c r="M73" s="13">
        <f>((((VLOOKUP(B73,Database!$F:$AY,MATCH($M$1,Database!$F$1:$AY$1,),))))-(((VLOOKUP(EDATE(B73,-12),Database!$F:$AY,MATCH($M$1,Database!$F$1:$AY$1,),)))))/(((VLOOKUP(EDATE(B73,-12),Database!$F:$AY,MATCH($M$1,Database!$F$1:$AY$1,),))))</f>
        <v>-0.23315802651601708</v>
      </c>
      <c r="N73" s="13" t="e">
        <f>((((VLOOKUP(B73,Database!$F:$AY,MATCH($N$1,Database!$F$1:$AY$1,),))))-(((VLOOKUP(EDATE(B73,-12),Database!$F:$AY,MATCH($N$1,Database!$F$1:$AY$1,),)))))/(((VLOOKUP(EDATE(B73,-12),Database!$F:$AY,MATCH($N$1,Database!$F$1:$AY$1,),))))</f>
        <v>#DIV/0!</v>
      </c>
      <c r="O73" s="13">
        <f>((((VLOOKUP(B73,Database!$F:$AY,MATCH($O$1,Database!$F$1:$AY$1,),))))-(((VLOOKUP(EDATE(B73,-12),Database!$F:$AY,MATCH($O$1,Database!$F$1:$AY$1,),)))))/(((VLOOKUP(EDATE(B73,-12),Database!$F:$AY,MATCH($O$1,Database!$F$1:$AY$1,),))))</f>
        <v>3.3739444440006108E-2</v>
      </c>
      <c r="P73" s="13">
        <f>((((VLOOKUP(B73,Database!$F:$AY,MATCH($P$1,Database!$F$1:$AY$1,),))))-(((VLOOKUP(EDATE(B73,-12),Database!$F:$AY,MATCH($P$1,Database!$F$1:$AY$1,),)))))/(((VLOOKUP(EDATE(B73,-12),Database!$F:$AY,MATCH($P$1,Database!$F$1:$AY$1,),))))</f>
        <v>0.10926860747365454</v>
      </c>
      <c r="Q73" s="13">
        <f>((((VLOOKUP(B73,Database!$F:$AY,MATCH($Q$1,Database!$F$1:$AY$1,),))))-(((VLOOKUP(EDATE(B73,-12),Database!$F:$AY,MATCH($Q$1,Database!$F$1:$AY$1,),)))))/(((VLOOKUP(EDATE(B73,-12),Database!$F:$AY,MATCH($Q$1,Database!$F$1:$AY$1,),))))</f>
        <v>3.1651348181627674E-2</v>
      </c>
      <c r="R73" s="13">
        <f>((((VLOOKUP(B73,Database!$F:$AY,MATCH($R$1,Database!$F$1:$AY$1,),))))-(((VLOOKUP(EDATE(B73,-12),Database!$F:$AY,MATCH($R$1,Database!$F$1:$AY$1,),)))))/(((VLOOKUP(EDATE(B73,-12),Database!$F:$AY,MATCH($R$1,Database!$F$1:$AY$1,),))))</f>
        <v>-4.0873885514600026E-3</v>
      </c>
      <c r="S73" s="13">
        <f>((((VLOOKUP(B73,Database!$F:$AY,MATCH($S$1,Database!$F$1:$AY$1,),))))-(((VLOOKUP(EDATE(B73,-12),Database!$F:$AY,MATCH($S$1,Database!$F$1:$AY$1,),)))))/(((VLOOKUP(EDATE(B73,-12),Database!$F:$AY,MATCH($S$1,Database!$F$1:$AY$1,),))))</f>
        <v>9.6428569281355028E-2</v>
      </c>
      <c r="T73" s="13">
        <f>((((VLOOKUP(B73,Database!$F:$AY,MATCH($T$1,Database!$F$1:$AY$1,),))))-(((VLOOKUP(EDATE(B73,-12),Database!$F:$AY,MATCH($T$1,Database!$F$1:$AY$1,),)))))/(((VLOOKUP(EDATE(B73,-12),Database!$F:$AY,MATCH($T$1,Database!$F$1:$AY$1,),))))</f>
        <v>-3.1250044392899586E-2</v>
      </c>
      <c r="U73" s="13">
        <f>((((VLOOKUP(B73,Database!$F:$AY,MATCH($U$1,Database!$F$1:$AY$1,),))))-(((VLOOKUP(EDATE(B73,-12),Database!$F:$AY,MATCH($U$1,Database!$F$1:$AY$1,),)))))/(((VLOOKUP(EDATE(B73,-12),Database!$F:$AY,MATCH($U$1,Database!$F$1:$AY$1,),))))</f>
        <v>-3.7705501379561336E-2</v>
      </c>
      <c r="V73" s="13">
        <f>((((VLOOKUP(B73,Database!$F:$AY,MATCH($V$1,Database!$F$1:$AY$1,),))))-(((VLOOKUP(EDATE(B73,-12),Database!$F:$AY,MATCH($V$1,Database!$F$1:$AY$1,),)))))/(((VLOOKUP(EDATE(B73,-12),Database!$F:$AY,MATCH($V$1,Database!$F$1:$AY$1,),))))</f>
        <v>0.11537930898555297</v>
      </c>
    </row>
    <row r="74" spans="1:22" s="85" customFormat="1" x14ac:dyDescent="0.2">
      <c r="A74" s="44"/>
      <c r="B74" s="91">
        <v>34394</v>
      </c>
      <c r="C74" s="13">
        <f>((((VLOOKUP(B74,Database!$F:$AY,MATCH($C$1,Database!$F$1:$AY$1,),))))-(((VLOOKUP(EDATE(B74,-12),Database!$F:$AY,MATCH($C$1,Database!$F$1:$AY$1,),)))))/(((VLOOKUP(EDATE(B74,-12),Database!$F:$AY,MATCH($C$1,Database!$F$1:$AY$1,),))))</f>
        <v>4.0601479607024545E-2</v>
      </c>
      <c r="D74" s="13">
        <f>((((VLOOKUP(B74,Database!$F:$AY,MATCH($D$1,Database!$F$1:$AY$1,),))))-(((VLOOKUP(EDATE(B74,-12),Database!$F:$AY,MATCH($D$1,Database!$F$1:$AY$1,),)))))/(((VLOOKUP(EDATE(B74,-12),Database!$F:$AY,MATCH($D$1,Database!$F$1:$AY$1,),))))</f>
        <v>1.8445366717904945E-2</v>
      </c>
      <c r="E74" s="13">
        <f>((((VLOOKUP(B74,Database!$F:$AY,MATCH($E$1,Database!$F$1:$AY$1,),))))-(((VLOOKUP(EDATE(B74,-12),Database!$F:$AY,MATCH($E$1,Database!$F$1:$AY$1,),)))))/(((VLOOKUP(EDATE(B74,-12),Database!$F:$AY,MATCH($E$1,Database!$F$1:$AY$1,),))))</f>
        <v>3.1678923597596555E-3</v>
      </c>
      <c r="F74" s="13">
        <f>((((VLOOKUP(B74,Database!$F:$AY,MATCH($F$1,Database!$F$1:$AY$1,),))))-(((VLOOKUP(EDATE(B74,-12),Database!$F:$AY,MATCH($F$1,Database!$F$1:$AY$1,),)))))/(((VLOOKUP(EDATE(B74,-12),Database!$F:$AY,MATCH($F$1,Database!$F$1:$AY$1,),))))</f>
        <v>8.9285714285713188E-3</v>
      </c>
      <c r="G74" s="13">
        <f>((((VLOOKUP(B74,Database!$F:$AY,MATCH($G$1,Database!$F$1:$AY$1,),))))-(((VLOOKUP(EDATE(B74,-12),Database!$F:$AY,MATCH($G$1,Database!$F$1:$AY$1,),)))))/(((VLOOKUP(EDATE(B74,-12),Database!$F:$AY,MATCH($G$1,Database!$F$1:$AY$1,),))))</f>
        <v>6.8578693994212042E-4</v>
      </c>
      <c r="H74" s="13">
        <f>((((VLOOKUP(B74,Database!$F:$AY,MATCH($H$1,Database!$F$1:$AY$1,),))))-(((VLOOKUP(EDATE(B74,-12),Database!$F:$AY,MATCH($H$1,Database!$F$1:$AY$1,),)))))/(((VLOOKUP(EDATE(B74,-12),Database!$F:$AY,MATCH($H$1,Database!$F$1:$AY$1,),))))</f>
        <v>4.5965739278541265E-2</v>
      </c>
      <c r="I74" s="13">
        <f>((((VLOOKUP(B74,Database!$F:$AY,MATCH($I$1,Database!$F$1:$AY$1,),))))-(((VLOOKUP(EDATE(B74,-12),Database!$F:$AY,MATCH($I$1,Database!$F$1:$AY$1,),)))))/(((VLOOKUP(EDATE(B74,-12),Database!$F:$AY,MATCH($I$1,Database!$F$1:$AY$1,),))))</f>
        <v>2.8222494639720479E-2</v>
      </c>
      <c r="J74" s="13">
        <f>((((VLOOKUP(B74,Database!$F:$AY,MATCH($J$1,Database!$F$1:$AY$1,),))))-(((VLOOKUP(EDATE(B74,-12),Database!$F:$AY,MATCH($J$1,Database!$F$1:$AY$1,),)))))/(((VLOOKUP(EDATE(B74,-12),Database!$F:$AY,MATCH($J$1,Database!$F$1:$AY$1,),))))</f>
        <v>6.0184265591204253E-2</v>
      </c>
      <c r="K74" s="13">
        <f>((((VLOOKUP(B74,Database!$F:$AY,MATCH($K$1,Database!$F$1:$AY$1,),))))-(((VLOOKUP(EDATE(B74,-12),Database!$F:$AY,MATCH($K$1,Database!$F$1:$AY$1,),)))))/(((VLOOKUP(EDATE(B74,-12),Database!$F:$AY,MATCH($K$1,Database!$F$1:$AY$1,),))))</f>
        <v>9.6385511689162151E-2</v>
      </c>
      <c r="L74" s="13">
        <f>((((VLOOKUP(B74,Database!$F:$AY,MATCH($L$1,Database!$F$1:$AY$1,),))))-(((VLOOKUP(EDATE(B74,-12),Database!$F:$AY,MATCH($L$1,Database!$F$1:$AY$1,),)))))/(((VLOOKUP(EDATE(B74,-12),Database!$F:$AY,MATCH($L$1,Database!$F$1:$AY$1,),))))</f>
        <v>4.0914891754991585E-2</v>
      </c>
      <c r="M74" s="13">
        <f>((((VLOOKUP(B74,Database!$F:$AY,MATCH($M$1,Database!$F$1:$AY$1,),))))-(((VLOOKUP(EDATE(B74,-12),Database!$F:$AY,MATCH($M$1,Database!$F$1:$AY$1,),)))))/(((VLOOKUP(EDATE(B74,-12),Database!$F:$AY,MATCH($M$1,Database!$F$1:$AY$1,),))))</f>
        <v>-0.26325002815240178</v>
      </c>
      <c r="N74" s="13" t="e">
        <f>((((VLOOKUP(B74,Database!$F:$AY,MATCH($N$1,Database!$F$1:$AY$1,),))))-(((VLOOKUP(EDATE(B74,-12),Database!$F:$AY,MATCH($N$1,Database!$F$1:$AY$1,),)))))/(((VLOOKUP(EDATE(B74,-12),Database!$F:$AY,MATCH($N$1,Database!$F$1:$AY$1,),))))</f>
        <v>#DIV/0!</v>
      </c>
      <c r="O74" s="13">
        <f>((((VLOOKUP(B74,Database!$F:$AY,MATCH($O$1,Database!$F$1:$AY$1,),))))-(((VLOOKUP(EDATE(B74,-12),Database!$F:$AY,MATCH($O$1,Database!$F$1:$AY$1,),)))))/(((VLOOKUP(EDATE(B74,-12),Database!$F:$AY,MATCH($O$1,Database!$F$1:$AY$1,),))))</f>
        <v>3.7485781396638745E-2</v>
      </c>
      <c r="P74" s="13">
        <f>((((VLOOKUP(B74,Database!$F:$AY,MATCH($P$1,Database!$F$1:$AY$1,),))))-(((VLOOKUP(EDATE(B74,-12),Database!$F:$AY,MATCH($P$1,Database!$F$1:$AY$1,),)))))/(((VLOOKUP(EDATE(B74,-12),Database!$F:$AY,MATCH($P$1,Database!$F$1:$AY$1,),))))</f>
        <v>8.9730824570234902E-2</v>
      </c>
      <c r="Q74" s="13">
        <f>((((VLOOKUP(B74,Database!$F:$AY,MATCH($Q$1,Database!$F$1:$AY$1,),))))-(((VLOOKUP(EDATE(B74,-12),Database!$F:$AY,MATCH($Q$1,Database!$F$1:$AY$1,),)))))/(((VLOOKUP(EDATE(B74,-12),Database!$F:$AY,MATCH($Q$1,Database!$F$1:$AY$1,),))))</f>
        <v>4.5413900709054898E-2</v>
      </c>
      <c r="R74" s="13">
        <f>((((VLOOKUP(B74,Database!$F:$AY,MATCH($R$1,Database!$F$1:$AY$1,),))))-(((VLOOKUP(EDATE(B74,-12),Database!$F:$AY,MATCH($R$1,Database!$F$1:$AY$1,),)))))/(((VLOOKUP(EDATE(B74,-12),Database!$F:$AY,MATCH($R$1,Database!$F$1:$AY$1,),))))</f>
        <v>1.1038613482859711E-2</v>
      </c>
      <c r="S74" s="13">
        <f>((((VLOOKUP(B74,Database!$F:$AY,MATCH($S$1,Database!$F$1:$AY$1,),))))-(((VLOOKUP(EDATE(B74,-12),Database!$F:$AY,MATCH($S$1,Database!$F$1:$AY$1,),)))))/(((VLOOKUP(EDATE(B74,-12),Database!$F:$AY,MATCH($S$1,Database!$F$1:$AY$1,),))))</f>
        <v>7.4733573644743687E-2</v>
      </c>
      <c r="T74" s="13">
        <f>((((VLOOKUP(B74,Database!$F:$AY,MATCH($T$1,Database!$F$1:$AY$1,),))))-(((VLOOKUP(EDATE(B74,-12),Database!$F:$AY,MATCH($T$1,Database!$F$1:$AY$1,),)))))/(((VLOOKUP(EDATE(B74,-12),Database!$F:$AY,MATCH($T$1,Database!$F$1:$AY$1,),))))</f>
        <v>2.9411271585254115E-3</v>
      </c>
      <c r="U74" s="13">
        <f>((((VLOOKUP(B74,Database!$F:$AY,MATCH($U$1,Database!$F$1:$AY$1,),))))-(((VLOOKUP(EDATE(B74,-12),Database!$F:$AY,MATCH($U$1,Database!$F$1:$AY$1,),)))))/(((VLOOKUP(EDATE(B74,-12),Database!$F:$AY,MATCH($U$1,Database!$F$1:$AY$1,),))))</f>
        <v>8.60780881542751E-3</v>
      </c>
      <c r="V74" s="13">
        <f>((((VLOOKUP(B74,Database!$F:$AY,MATCH($V$1,Database!$F$1:$AY$1,),))))-(((VLOOKUP(EDATE(B74,-12),Database!$F:$AY,MATCH($V$1,Database!$F$1:$AY$1,),)))))/(((VLOOKUP(EDATE(B74,-12),Database!$F:$AY,MATCH($V$1,Database!$F$1:$AY$1,),))))</f>
        <v>0.12292276434914493</v>
      </c>
    </row>
    <row r="75" spans="1:22" s="85" customFormat="1" x14ac:dyDescent="0.2">
      <c r="A75" s="44"/>
      <c r="B75" s="91">
        <v>34425</v>
      </c>
      <c r="C75" s="13">
        <f>((((VLOOKUP(B75,Database!$F:$AY,MATCH($C$1,Database!$F$1:$AY$1,),))))-(((VLOOKUP(EDATE(B75,-12),Database!$F:$AY,MATCH($C$1,Database!$F$1:$AY$1,),)))))/(((VLOOKUP(EDATE(B75,-12),Database!$F:$AY,MATCH($C$1,Database!$F$1:$AY$1,),))))</f>
        <v>4.2840289684548706E-2</v>
      </c>
      <c r="D75" s="13">
        <f>((((VLOOKUP(B75,Database!$F:$AY,MATCH($D$1,Database!$F$1:$AY$1,),))))-(((VLOOKUP(EDATE(B75,-12),Database!$F:$AY,MATCH($D$1,Database!$F$1:$AY$1,),)))))/(((VLOOKUP(EDATE(B75,-12),Database!$F:$AY,MATCH($D$1,Database!$F$1:$AY$1,),))))</f>
        <v>4.3766441730877244E-2</v>
      </c>
      <c r="E75" s="13">
        <f>((((VLOOKUP(B75,Database!$F:$AY,MATCH($E$1,Database!$F$1:$AY$1,),))))-(((VLOOKUP(EDATE(B75,-12),Database!$F:$AY,MATCH($E$1,Database!$F$1:$AY$1,),)))))/(((VLOOKUP(EDATE(B75,-12),Database!$F:$AY,MATCH($E$1,Database!$F$1:$AY$1,),))))</f>
        <v>-6.217706059164589E-3</v>
      </c>
      <c r="F75" s="13">
        <f>((((VLOOKUP(B75,Database!$F:$AY,MATCH($F$1,Database!$F$1:$AY$1,),))))-(((VLOOKUP(EDATE(B75,-12),Database!$F:$AY,MATCH($F$1,Database!$F$1:$AY$1,),)))))/(((VLOOKUP(EDATE(B75,-12),Database!$F:$AY,MATCH($F$1,Database!$F$1:$AY$1,),))))</f>
        <v>2.8485732843697278E-2</v>
      </c>
      <c r="G75" s="13">
        <f>((((VLOOKUP(B75,Database!$F:$AY,MATCH($G$1,Database!$F$1:$AY$1,),))))-(((VLOOKUP(EDATE(B75,-12),Database!$F:$AY,MATCH($G$1,Database!$F$1:$AY$1,),)))))/(((VLOOKUP(EDATE(B75,-12),Database!$F:$AY,MATCH($G$1,Database!$F$1:$AY$1,),))))</f>
        <v>3.5788191882853065E-2</v>
      </c>
      <c r="H75" s="13">
        <f>((((VLOOKUP(B75,Database!$F:$AY,MATCH($H$1,Database!$F$1:$AY$1,),))))-(((VLOOKUP(EDATE(B75,-12),Database!$F:$AY,MATCH($H$1,Database!$F$1:$AY$1,),)))))/(((VLOOKUP(EDATE(B75,-12),Database!$F:$AY,MATCH($H$1,Database!$F$1:$AY$1,),))))</f>
        <v>5.8163188112745338E-2</v>
      </c>
      <c r="I75" s="13">
        <f>((((VLOOKUP(B75,Database!$F:$AY,MATCH($I$1,Database!$F$1:$AY$1,),))))-(((VLOOKUP(EDATE(B75,-12),Database!$F:$AY,MATCH($I$1,Database!$F$1:$AY$1,),)))))/(((VLOOKUP(EDATE(B75,-12),Database!$F:$AY,MATCH($I$1,Database!$F$1:$AY$1,),))))</f>
        <v>4.7124549444251713E-2</v>
      </c>
      <c r="J75" s="13">
        <f>((((VLOOKUP(B75,Database!$F:$AY,MATCH($J$1,Database!$F$1:$AY$1,),))))-(((VLOOKUP(EDATE(B75,-12),Database!$F:$AY,MATCH($J$1,Database!$F$1:$AY$1,),)))))/(((VLOOKUP(EDATE(B75,-12),Database!$F:$AY,MATCH($J$1,Database!$F$1:$AY$1,),))))</f>
        <v>7.925016508587944E-2</v>
      </c>
      <c r="K75" s="13">
        <f>((((VLOOKUP(B75,Database!$F:$AY,MATCH($K$1,Database!$F$1:$AY$1,),))))-(((VLOOKUP(EDATE(B75,-12),Database!$F:$AY,MATCH($K$1,Database!$F$1:$AY$1,),)))))/(((VLOOKUP(EDATE(B75,-12),Database!$F:$AY,MATCH($K$1,Database!$F$1:$AY$1,),))))</f>
        <v>0.11263309780122242</v>
      </c>
      <c r="L75" s="13">
        <f>((((VLOOKUP(B75,Database!$F:$AY,MATCH($L$1,Database!$F$1:$AY$1,),))))-(((VLOOKUP(EDATE(B75,-12),Database!$F:$AY,MATCH($L$1,Database!$F$1:$AY$1,),)))))/(((VLOOKUP(EDATE(B75,-12),Database!$F:$AY,MATCH($L$1,Database!$F$1:$AY$1,),))))</f>
        <v>7.7704543369836385E-2</v>
      </c>
      <c r="M75" s="13">
        <f>((((VLOOKUP(B75,Database!$F:$AY,MATCH($M$1,Database!$F$1:$AY$1,),))))-(((VLOOKUP(EDATE(B75,-12),Database!$F:$AY,MATCH($M$1,Database!$F$1:$AY$1,),)))))/(((VLOOKUP(EDATE(B75,-12),Database!$F:$AY,MATCH($M$1,Database!$F$1:$AY$1,),))))</f>
        <v>-0.26164368823067063</v>
      </c>
      <c r="N75" s="13" t="e">
        <f>((((VLOOKUP(B75,Database!$F:$AY,MATCH($N$1,Database!$F$1:$AY$1,),))))-(((VLOOKUP(EDATE(B75,-12),Database!$F:$AY,MATCH($N$1,Database!$F$1:$AY$1,),)))))/(((VLOOKUP(EDATE(B75,-12),Database!$F:$AY,MATCH($N$1,Database!$F$1:$AY$1,),))))</f>
        <v>#DIV/0!</v>
      </c>
      <c r="O75" s="13">
        <f>((((VLOOKUP(B75,Database!$F:$AY,MATCH($O$1,Database!$F$1:$AY$1,),))))-(((VLOOKUP(EDATE(B75,-12),Database!$F:$AY,MATCH($O$1,Database!$F$1:$AY$1,),)))))/(((VLOOKUP(EDATE(B75,-12),Database!$F:$AY,MATCH($O$1,Database!$F$1:$AY$1,),))))</f>
        <v>4.9464187318871214E-2</v>
      </c>
      <c r="P75" s="13">
        <f>((((VLOOKUP(B75,Database!$F:$AY,MATCH($P$1,Database!$F$1:$AY$1,),))))-(((VLOOKUP(EDATE(B75,-12),Database!$F:$AY,MATCH($P$1,Database!$F$1:$AY$1,),)))))/(((VLOOKUP(EDATE(B75,-12),Database!$F:$AY,MATCH($P$1,Database!$F$1:$AY$1,),))))</f>
        <v>9.0267761024252408E-2</v>
      </c>
      <c r="Q75" s="13">
        <f>((((VLOOKUP(B75,Database!$F:$AY,MATCH($Q$1,Database!$F$1:$AY$1,),))))-(((VLOOKUP(EDATE(B75,-12),Database!$F:$AY,MATCH($Q$1,Database!$F$1:$AY$1,),)))))/(((VLOOKUP(EDATE(B75,-12),Database!$F:$AY,MATCH($Q$1,Database!$F$1:$AY$1,),))))</f>
        <v>3.0567231289172093E-2</v>
      </c>
      <c r="R75" s="13">
        <f>((((VLOOKUP(B75,Database!$F:$AY,MATCH($R$1,Database!$F$1:$AY$1,),))))-(((VLOOKUP(EDATE(B75,-12),Database!$F:$AY,MATCH($R$1,Database!$F$1:$AY$1,),)))))/(((VLOOKUP(EDATE(B75,-12),Database!$F:$AY,MATCH($R$1,Database!$F$1:$AY$1,),))))</f>
        <v>9.4330272701922194E-3</v>
      </c>
      <c r="S75" s="13">
        <f>((((VLOOKUP(B75,Database!$F:$AY,MATCH($S$1,Database!$F$1:$AY$1,),))))-(((VLOOKUP(EDATE(B75,-12),Database!$F:$AY,MATCH($S$1,Database!$F$1:$AY$1,),)))))/(((VLOOKUP(EDATE(B75,-12),Database!$F:$AY,MATCH($S$1,Database!$F$1:$AY$1,),))))</f>
        <v>0.1107141719118154</v>
      </c>
      <c r="T75" s="13">
        <f>((((VLOOKUP(B75,Database!$F:$AY,MATCH($T$1,Database!$F$1:$AY$1,),))))-(((VLOOKUP(EDATE(B75,-12),Database!$F:$AY,MATCH($T$1,Database!$F$1:$AY$1,),)))))/(((VLOOKUP(EDATE(B75,-12),Database!$F:$AY,MATCH($T$1,Database!$F$1:$AY$1,),))))</f>
        <v>-0.1008406021453324</v>
      </c>
      <c r="U75" s="13">
        <f>((((VLOOKUP(B75,Database!$F:$AY,MATCH($U$1,Database!$F$1:$AY$1,),))))-(((VLOOKUP(EDATE(B75,-12),Database!$F:$AY,MATCH($U$1,Database!$F$1:$AY$1,),)))))/(((VLOOKUP(EDATE(B75,-12),Database!$F:$AY,MATCH($U$1,Database!$F$1:$AY$1,),))))</f>
        <v>-1.8454791210592218E-3</v>
      </c>
      <c r="V75" s="13">
        <f>((((VLOOKUP(B75,Database!$F:$AY,MATCH($V$1,Database!$F$1:$AY$1,),))))-(((VLOOKUP(EDATE(B75,-12),Database!$F:$AY,MATCH($V$1,Database!$F$1:$AY$1,),)))))/(((VLOOKUP(EDATE(B75,-12),Database!$F:$AY,MATCH($V$1,Database!$F$1:$AY$1,),))))</f>
        <v>0.10396369860346999</v>
      </c>
    </row>
    <row r="76" spans="1:22" s="85" customFormat="1" x14ac:dyDescent="0.2">
      <c r="A76" s="44"/>
      <c r="B76" s="91">
        <v>34455</v>
      </c>
      <c r="C76" s="13">
        <f>((((VLOOKUP(B76,Database!$F:$AY,MATCH($C$1,Database!$F$1:$AY$1,),))))-(((VLOOKUP(EDATE(B76,-12),Database!$F:$AY,MATCH($C$1,Database!$F$1:$AY$1,),)))))/(((VLOOKUP(EDATE(B76,-12),Database!$F:$AY,MATCH($C$1,Database!$F$1:$AY$1,),))))</f>
        <v>5.1832257613823714E-2</v>
      </c>
      <c r="D76" s="13">
        <f>((((VLOOKUP(B76,Database!$F:$AY,MATCH($D$1,Database!$F$1:$AY$1,),))))-(((VLOOKUP(EDATE(B76,-12),Database!$F:$AY,MATCH($D$1,Database!$F$1:$AY$1,),)))))/(((VLOOKUP(EDATE(B76,-12),Database!$F:$AY,MATCH($D$1,Database!$F$1:$AY$1,),))))</f>
        <v>4.2496724221633093E-2</v>
      </c>
      <c r="E76" s="13">
        <f>((((VLOOKUP(B76,Database!$F:$AY,MATCH($E$1,Database!$F$1:$AY$1,),))))-(((VLOOKUP(EDATE(B76,-12),Database!$F:$AY,MATCH($E$1,Database!$F$1:$AY$1,),)))))/(((VLOOKUP(EDATE(B76,-12),Database!$F:$AY,MATCH($E$1,Database!$F$1:$AY$1,),))))</f>
        <v>-2.0449957339836861E-2</v>
      </c>
      <c r="F76" s="13">
        <f>((((VLOOKUP(B76,Database!$F:$AY,MATCH($F$1,Database!$F$1:$AY$1,),))))-(((VLOOKUP(EDATE(B76,-12),Database!$F:$AY,MATCH($F$1,Database!$F$1:$AY$1,),)))))/(((VLOOKUP(EDATE(B76,-12),Database!$F:$AY,MATCH($F$1,Database!$F$1:$AY$1,),))))</f>
        <v>2.3988056575630527E-2</v>
      </c>
      <c r="G76" s="13">
        <f>((((VLOOKUP(B76,Database!$F:$AY,MATCH($G$1,Database!$F$1:$AY$1,),))))-(((VLOOKUP(EDATE(B76,-12),Database!$F:$AY,MATCH($G$1,Database!$F$1:$AY$1,),)))))/(((VLOOKUP(EDATE(B76,-12),Database!$F:$AY,MATCH($G$1,Database!$F$1:$AY$1,),))))</f>
        <v>3.5471543311912615E-2</v>
      </c>
      <c r="H76" s="13">
        <f>((((VLOOKUP(B76,Database!$F:$AY,MATCH($H$1,Database!$F$1:$AY$1,),))))-(((VLOOKUP(EDATE(B76,-12),Database!$F:$AY,MATCH($H$1,Database!$F$1:$AY$1,),)))))/(((VLOOKUP(EDATE(B76,-12),Database!$F:$AY,MATCH($H$1,Database!$F$1:$AY$1,),))))</f>
        <v>6.4842845778089631E-2</v>
      </c>
      <c r="I76" s="13">
        <f>((((VLOOKUP(B76,Database!$F:$AY,MATCH($I$1,Database!$F$1:$AY$1,),))))-(((VLOOKUP(EDATE(B76,-12),Database!$F:$AY,MATCH($I$1,Database!$F$1:$AY$1,),)))))/(((VLOOKUP(EDATE(B76,-12),Database!$F:$AY,MATCH($I$1,Database!$F$1:$AY$1,),))))</f>
        <v>5.6872042407328738E-2</v>
      </c>
      <c r="J76" s="13">
        <f>((((VLOOKUP(B76,Database!$F:$AY,MATCH($J$1,Database!$F$1:$AY$1,),))))-(((VLOOKUP(EDATE(B76,-12),Database!$F:$AY,MATCH($J$1,Database!$F$1:$AY$1,),)))))/(((VLOOKUP(EDATE(B76,-12),Database!$F:$AY,MATCH($J$1,Database!$F$1:$AY$1,),))))</f>
        <v>6.2953392295295257E-2</v>
      </c>
      <c r="K76" s="13">
        <f>((((VLOOKUP(B76,Database!$F:$AY,MATCH($K$1,Database!$F$1:$AY$1,),))))-(((VLOOKUP(EDATE(B76,-12),Database!$F:$AY,MATCH($K$1,Database!$F$1:$AY$1,),)))))/(((VLOOKUP(EDATE(B76,-12),Database!$F:$AY,MATCH($K$1,Database!$F$1:$AY$1,),))))</f>
        <v>0.10644669887579156</v>
      </c>
      <c r="L76" s="13">
        <f>((((VLOOKUP(B76,Database!$F:$AY,MATCH($L$1,Database!$F$1:$AY$1,),))))-(((VLOOKUP(EDATE(B76,-12),Database!$F:$AY,MATCH($L$1,Database!$F$1:$AY$1,),)))))/(((VLOOKUP(EDATE(B76,-12),Database!$F:$AY,MATCH($L$1,Database!$F$1:$AY$1,),))))</f>
        <v>5.0238530497138313E-2</v>
      </c>
      <c r="M76" s="13">
        <f>((((VLOOKUP(B76,Database!$F:$AY,MATCH($M$1,Database!$F$1:$AY$1,),))))-(((VLOOKUP(EDATE(B76,-12),Database!$F:$AY,MATCH($M$1,Database!$F$1:$AY$1,),)))))/(((VLOOKUP(EDATE(B76,-12),Database!$F:$AY,MATCH($M$1,Database!$F$1:$AY$1,),))))</f>
        <v>-0.27531707623450041</v>
      </c>
      <c r="N76" s="13" t="e">
        <f>((((VLOOKUP(B76,Database!$F:$AY,MATCH($N$1,Database!$F$1:$AY$1,),))))-(((VLOOKUP(EDATE(B76,-12),Database!$F:$AY,MATCH($N$1,Database!$F$1:$AY$1,),)))))/(((VLOOKUP(EDATE(B76,-12),Database!$F:$AY,MATCH($N$1,Database!$F$1:$AY$1,),))))</f>
        <v>#DIV/0!</v>
      </c>
      <c r="O76" s="13">
        <f>((((VLOOKUP(B76,Database!$F:$AY,MATCH($O$1,Database!$F$1:$AY$1,),))))-(((VLOOKUP(EDATE(B76,-12),Database!$F:$AY,MATCH($O$1,Database!$F$1:$AY$1,),)))))/(((VLOOKUP(EDATE(B76,-12),Database!$F:$AY,MATCH($O$1,Database!$F$1:$AY$1,),))))</f>
        <v>6.5096157964620815E-2</v>
      </c>
      <c r="P76" s="13">
        <f>((((VLOOKUP(B76,Database!$F:$AY,MATCH($P$1,Database!$F$1:$AY$1,),))))-(((VLOOKUP(EDATE(B76,-12),Database!$F:$AY,MATCH($P$1,Database!$F$1:$AY$1,),)))))/(((VLOOKUP(EDATE(B76,-12),Database!$F:$AY,MATCH($P$1,Database!$F$1:$AY$1,),))))</f>
        <v>0.12777672109556812</v>
      </c>
      <c r="Q76" s="13">
        <f>((((VLOOKUP(B76,Database!$F:$AY,MATCH($Q$1,Database!$F$1:$AY$1,),))))-(((VLOOKUP(EDATE(B76,-12),Database!$F:$AY,MATCH($Q$1,Database!$F$1:$AY$1,),)))))/(((VLOOKUP(EDATE(B76,-12),Database!$F:$AY,MATCH($Q$1,Database!$F$1:$AY$1,),))))</f>
        <v>3.2572473581538364E-2</v>
      </c>
      <c r="R76" s="13">
        <f>((((VLOOKUP(B76,Database!$F:$AY,MATCH($R$1,Database!$F$1:$AY$1,),))))-(((VLOOKUP(EDATE(B76,-12),Database!$F:$AY,MATCH($R$1,Database!$F$1:$AY$1,),)))))/(((VLOOKUP(EDATE(B76,-12),Database!$F:$AY,MATCH($R$1,Database!$F$1:$AY$1,),))))</f>
        <v>-7.4133162089575315E-3</v>
      </c>
      <c r="S76" s="13">
        <f>((((VLOOKUP(B76,Database!$F:$AY,MATCH($S$1,Database!$F$1:$AY$1,),))))-(((VLOOKUP(EDATE(B76,-12),Database!$F:$AY,MATCH($S$1,Database!$F$1:$AY$1,),)))))/(((VLOOKUP(EDATE(B76,-12),Database!$F:$AY,MATCH($S$1,Database!$F$1:$AY$1,),))))</f>
        <v>0.10000042085441864</v>
      </c>
      <c r="T76" s="13">
        <f>((((VLOOKUP(B76,Database!$F:$AY,MATCH($T$1,Database!$F$1:$AY$1,),))))-(((VLOOKUP(EDATE(B76,-12),Database!$F:$AY,MATCH($T$1,Database!$F$1:$AY$1,),)))))/(((VLOOKUP(EDATE(B76,-12),Database!$F:$AY,MATCH($T$1,Database!$F$1:$AY$1,),))))</f>
        <v>-9.6317370341892555E-2</v>
      </c>
      <c r="U76" s="13">
        <f>((((VLOOKUP(B76,Database!$F:$AY,MATCH($U$1,Database!$F$1:$AY$1,),))))-(((VLOOKUP(EDATE(B76,-12),Database!$F:$AY,MATCH($U$1,Database!$F$1:$AY$1,),)))))/(((VLOOKUP(EDATE(B76,-12),Database!$F:$AY,MATCH($U$1,Database!$F$1:$AY$1,),))))</f>
        <v>9.7581368093702572E-3</v>
      </c>
      <c r="V76" s="13">
        <f>((((VLOOKUP(B76,Database!$F:$AY,MATCH($V$1,Database!$F$1:$AY$1,),))))-(((VLOOKUP(EDATE(B76,-12),Database!$F:$AY,MATCH($V$1,Database!$F$1:$AY$1,),)))))/(((VLOOKUP(EDATE(B76,-12),Database!$F:$AY,MATCH($V$1,Database!$F$1:$AY$1,),))))</f>
        <v>7.7960177583518184E-2</v>
      </c>
    </row>
    <row r="77" spans="1:22" s="85" customFormat="1" x14ac:dyDescent="0.2">
      <c r="A77" s="44"/>
      <c r="B77" s="91">
        <v>34486</v>
      </c>
      <c r="C77" s="13">
        <f>((((VLOOKUP(B77,Database!$F:$AY,MATCH($C$1,Database!$F$1:$AY$1,),))))-(((VLOOKUP(EDATE(B77,-12),Database!$F:$AY,MATCH($C$1,Database!$F$1:$AY$1,),)))))/(((VLOOKUP(EDATE(B77,-12),Database!$F:$AY,MATCH($C$1,Database!$F$1:$AY$1,),))))</f>
        <v>5.6792925577995972E-2</v>
      </c>
      <c r="D77" s="13">
        <f>((((VLOOKUP(B77,Database!$F:$AY,MATCH($D$1,Database!$F$1:$AY$1,),))))-(((VLOOKUP(EDATE(B77,-12),Database!$F:$AY,MATCH($D$1,Database!$F$1:$AY$1,),)))))/(((VLOOKUP(EDATE(B77,-12),Database!$F:$AY,MATCH($D$1,Database!$F$1:$AY$1,),))))</f>
        <v>5.6074763859185195E-2</v>
      </c>
      <c r="E77" s="13">
        <f>((((VLOOKUP(B77,Database!$F:$AY,MATCH($E$1,Database!$F$1:$AY$1,),))))-(((VLOOKUP(EDATE(B77,-12),Database!$F:$AY,MATCH($E$1,Database!$F$1:$AY$1,),)))))/(((VLOOKUP(EDATE(B77,-12),Database!$F:$AY,MATCH($E$1,Database!$F$1:$AY$1,),))))</f>
        <v>1.0416645267056849E-2</v>
      </c>
      <c r="F77" s="13">
        <f>((((VLOOKUP(B77,Database!$F:$AY,MATCH($F$1,Database!$F$1:$AY$1,),))))-(((VLOOKUP(EDATE(B77,-12),Database!$F:$AY,MATCH($F$1,Database!$F$1:$AY$1,),)))))/(((VLOOKUP(EDATE(B77,-12),Database!$F:$AY,MATCH($F$1,Database!$F$1:$AY$1,),))))</f>
        <v>3.9275027162385727E-2</v>
      </c>
      <c r="G77" s="13">
        <f>((((VLOOKUP(B77,Database!$F:$AY,MATCH($G$1,Database!$F$1:$AY$1,),))))-(((VLOOKUP(EDATE(B77,-12),Database!$F:$AY,MATCH($G$1,Database!$F$1:$AY$1,),)))))/(((VLOOKUP(EDATE(B77,-12),Database!$F:$AY,MATCH($G$1,Database!$F$1:$AY$1,),))))</f>
        <v>4.9442831954050533E-2</v>
      </c>
      <c r="H77" s="13">
        <f>((((VLOOKUP(B77,Database!$F:$AY,MATCH($H$1,Database!$F$1:$AY$1,),))))-(((VLOOKUP(EDATE(B77,-12),Database!$F:$AY,MATCH($H$1,Database!$F$1:$AY$1,),)))))/(((VLOOKUP(EDATE(B77,-12),Database!$F:$AY,MATCH($H$1,Database!$F$1:$AY$1,),))))</f>
        <v>5.8104314536475021E-2</v>
      </c>
      <c r="I77" s="13">
        <f>((((VLOOKUP(B77,Database!$F:$AY,MATCH($I$1,Database!$F$1:$AY$1,),))))-(((VLOOKUP(EDATE(B77,-12),Database!$F:$AY,MATCH($I$1,Database!$F$1:$AY$1,),)))))/(((VLOOKUP(EDATE(B77,-12),Database!$F:$AY,MATCH($I$1,Database!$F$1:$AY$1,),))))</f>
        <v>7.1360875125605128E-2</v>
      </c>
      <c r="J77" s="13">
        <f>((((VLOOKUP(B77,Database!$F:$AY,MATCH($J$1,Database!$F$1:$AY$1,),))))-(((VLOOKUP(EDATE(B77,-12),Database!$F:$AY,MATCH($J$1,Database!$F$1:$AY$1,),)))))/(((VLOOKUP(EDATE(B77,-12),Database!$F:$AY,MATCH($J$1,Database!$F$1:$AY$1,),))))</f>
        <v>8.696615926173519E-2</v>
      </c>
      <c r="K77" s="13">
        <f>((((VLOOKUP(B77,Database!$F:$AY,MATCH($K$1,Database!$F$1:$AY$1,),))))-(((VLOOKUP(EDATE(B77,-12),Database!$F:$AY,MATCH($K$1,Database!$F$1:$AY$1,),)))))/(((VLOOKUP(EDATE(B77,-12),Database!$F:$AY,MATCH($K$1,Database!$F$1:$AY$1,),))))</f>
        <v>0.11458341604343704</v>
      </c>
      <c r="L77" s="13">
        <f>((((VLOOKUP(B77,Database!$F:$AY,MATCH($L$1,Database!$F$1:$AY$1,),))))-(((VLOOKUP(EDATE(B77,-12),Database!$F:$AY,MATCH($L$1,Database!$F$1:$AY$1,),)))))/(((VLOOKUP(EDATE(B77,-12),Database!$F:$AY,MATCH($L$1,Database!$F$1:$AY$1,),))))</f>
        <v>6.8662680191167502E-2</v>
      </c>
      <c r="M77" s="13">
        <f>((((VLOOKUP(B77,Database!$F:$AY,MATCH($M$1,Database!$F$1:$AY$1,),))))-(((VLOOKUP(EDATE(B77,-12),Database!$F:$AY,MATCH($M$1,Database!$F$1:$AY$1,),)))))/(((VLOOKUP(EDATE(B77,-12),Database!$F:$AY,MATCH($M$1,Database!$F$1:$AY$1,),))))</f>
        <v>-0.26780838899393855</v>
      </c>
      <c r="N77" s="13" t="e">
        <f>((((VLOOKUP(B77,Database!$F:$AY,MATCH($N$1,Database!$F$1:$AY$1,),))))-(((VLOOKUP(EDATE(B77,-12),Database!$F:$AY,MATCH($N$1,Database!$F$1:$AY$1,),)))))/(((VLOOKUP(EDATE(B77,-12),Database!$F:$AY,MATCH($N$1,Database!$F$1:$AY$1,),))))</f>
        <v>#DIV/0!</v>
      </c>
      <c r="O77" s="13">
        <f>((((VLOOKUP(B77,Database!$F:$AY,MATCH($O$1,Database!$F$1:$AY$1,),))))-(((VLOOKUP(EDATE(B77,-12),Database!$F:$AY,MATCH($O$1,Database!$F$1:$AY$1,),)))))/(((VLOOKUP(EDATE(B77,-12),Database!$F:$AY,MATCH($O$1,Database!$F$1:$AY$1,),))))</f>
        <v>7.2828617248402908E-2</v>
      </c>
      <c r="P77" s="13">
        <f>((((VLOOKUP(B77,Database!$F:$AY,MATCH($P$1,Database!$F$1:$AY$1,),))))-(((VLOOKUP(EDATE(B77,-12),Database!$F:$AY,MATCH($P$1,Database!$F$1:$AY$1,),)))))/(((VLOOKUP(EDATE(B77,-12),Database!$F:$AY,MATCH($P$1,Database!$F$1:$AY$1,),))))</f>
        <v>0.131523067428537</v>
      </c>
      <c r="Q77" s="13">
        <f>((((VLOOKUP(B77,Database!$F:$AY,MATCH($Q$1,Database!$F$1:$AY$1,),))))-(((VLOOKUP(EDATE(B77,-12),Database!$F:$AY,MATCH($Q$1,Database!$F$1:$AY$1,),)))))/(((VLOOKUP(EDATE(B77,-12),Database!$F:$AY,MATCH($Q$1,Database!$F$1:$AY$1,),))))</f>
        <v>4.4634970887526736E-2</v>
      </c>
      <c r="R77" s="13">
        <f>((((VLOOKUP(B77,Database!$F:$AY,MATCH($R$1,Database!$F$1:$AY$1,),))))-(((VLOOKUP(EDATE(B77,-12),Database!$F:$AY,MATCH($R$1,Database!$F$1:$AY$1,),)))))/(((VLOOKUP(EDATE(B77,-12),Database!$F:$AY,MATCH($R$1,Database!$F$1:$AY$1,),))))</f>
        <v>-1.0743748800920876E-2</v>
      </c>
      <c r="S77" s="13">
        <f>((((VLOOKUP(B77,Database!$F:$AY,MATCH($S$1,Database!$F$1:$AY$1,),))))-(((VLOOKUP(EDATE(B77,-12),Database!$F:$AY,MATCH($S$1,Database!$F$1:$AY$1,),)))))/(((VLOOKUP(EDATE(B77,-12),Database!$F:$AY,MATCH($S$1,Database!$F$1:$AY$1,),))))</f>
        <v>0.17216120604229759</v>
      </c>
      <c r="T77" s="13">
        <f>((((VLOOKUP(B77,Database!$F:$AY,MATCH($T$1,Database!$F$1:$AY$1,),))))-(((VLOOKUP(EDATE(B77,-12),Database!$F:$AY,MATCH($T$1,Database!$F$1:$AY$1,),)))))/(((VLOOKUP(EDATE(B77,-12),Database!$F:$AY,MATCH($T$1,Database!$F$1:$AY$1,),))))</f>
        <v>-0.16343495676509315</v>
      </c>
      <c r="U77" s="13">
        <f>((((VLOOKUP(B77,Database!$F:$AY,MATCH($U$1,Database!$F$1:$AY$1,),))))-(((VLOOKUP(EDATE(B77,-12),Database!$F:$AY,MATCH($U$1,Database!$F$1:$AY$1,),)))))/(((VLOOKUP(EDATE(B77,-12),Database!$F:$AY,MATCH($U$1,Database!$F$1:$AY$1,),))))</f>
        <v>3.7454569089445694E-2</v>
      </c>
      <c r="V77" s="13">
        <f>((((VLOOKUP(B77,Database!$F:$AY,MATCH($V$1,Database!$F$1:$AY$1,),))))-(((VLOOKUP(EDATE(B77,-12),Database!$F:$AY,MATCH($V$1,Database!$F$1:$AY$1,),)))))/(((VLOOKUP(EDATE(B77,-12),Database!$F:$AY,MATCH($V$1,Database!$F$1:$AY$1,),))))</f>
        <v>0.10018846415066604</v>
      </c>
    </row>
    <row r="78" spans="1:22" s="85" customFormat="1" x14ac:dyDescent="0.2">
      <c r="A78" s="44"/>
      <c r="B78" s="91">
        <v>34516</v>
      </c>
      <c r="C78" s="13">
        <f>((((VLOOKUP(B78,Database!$F:$AY,MATCH($C$1,Database!$F$1:$AY$1,),))))-(((VLOOKUP(EDATE(B78,-12),Database!$F:$AY,MATCH($C$1,Database!$F$1:$AY$1,),)))))/(((VLOOKUP(EDATE(B78,-12),Database!$F:$AY,MATCH($C$1,Database!$F$1:$AY$1,),))))</f>
        <v>5.515579193392435E-2</v>
      </c>
      <c r="D78" s="13">
        <f>((((VLOOKUP(B78,Database!$F:$AY,MATCH($D$1,Database!$F$1:$AY$1,),))))-(((VLOOKUP(EDATE(B78,-12),Database!$F:$AY,MATCH($D$1,Database!$F$1:$AY$1,),)))))/(((VLOOKUP(EDATE(B78,-12),Database!$F:$AY,MATCH($D$1,Database!$F$1:$AY$1,),))))</f>
        <v>6.586030467443485E-2</v>
      </c>
      <c r="E78" s="13">
        <f>((((VLOOKUP(B78,Database!$F:$AY,MATCH($E$1,Database!$F$1:$AY$1,),))))-(((VLOOKUP(EDATE(B78,-12),Database!$F:$AY,MATCH($E$1,Database!$F$1:$AY$1,),)))))/(((VLOOKUP(EDATE(B78,-12),Database!$F:$AY,MATCH($E$1,Database!$F$1:$AY$1,),))))</f>
        <v>2.1897870262918014E-2</v>
      </c>
      <c r="F78" s="13">
        <f>((((VLOOKUP(B78,Database!$F:$AY,MATCH($F$1,Database!$F$1:$AY$1,),))))-(((VLOOKUP(EDATE(B78,-12),Database!$F:$AY,MATCH($F$1,Database!$F$1:$AY$1,),)))))/(((VLOOKUP(EDATE(B78,-12),Database!$F:$AY,MATCH($F$1,Database!$F$1:$AY$1,),))))</f>
        <v>5.8732559018440787E-2</v>
      </c>
      <c r="G78" s="13">
        <f>((((VLOOKUP(B78,Database!$F:$AY,MATCH($G$1,Database!$F$1:$AY$1,),))))-(((VLOOKUP(EDATE(B78,-12),Database!$F:$AY,MATCH($G$1,Database!$F$1:$AY$1,),)))))/(((VLOOKUP(EDATE(B78,-12),Database!$F:$AY,MATCH($G$1,Database!$F$1:$AY$1,),))))</f>
        <v>4.4429148823100305E-2</v>
      </c>
      <c r="H78" s="13">
        <f>((((VLOOKUP(B78,Database!$F:$AY,MATCH($H$1,Database!$F$1:$AY$1,),))))-(((VLOOKUP(EDATE(B78,-12),Database!$F:$AY,MATCH($H$1,Database!$F$1:$AY$1,),)))))/(((VLOOKUP(EDATE(B78,-12),Database!$F:$AY,MATCH($H$1,Database!$F$1:$AY$1,),))))</f>
        <v>5.4545304097698498E-2</v>
      </c>
      <c r="I78" s="13">
        <f>((((VLOOKUP(B78,Database!$F:$AY,MATCH($I$1,Database!$F$1:$AY$1,),))))-(((VLOOKUP(EDATE(B78,-12),Database!$F:$AY,MATCH($I$1,Database!$F$1:$AY$1,),)))))/(((VLOOKUP(EDATE(B78,-12),Database!$F:$AY,MATCH($I$1,Database!$F$1:$AY$1,),))))</f>
        <v>7.9425751234791828E-2</v>
      </c>
      <c r="J78" s="13">
        <f>((((VLOOKUP(B78,Database!$F:$AY,MATCH($J$1,Database!$F$1:$AY$1,),))))-(((VLOOKUP(EDATE(B78,-12),Database!$F:$AY,MATCH($J$1,Database!$F$1:$AY$1,),)))))/(((VLOOKUP(EDATE(B78,-12),Database!$F:$AY,MATCH($J$1,Database!$F$1:$AY$1,),))))</f>
        <v>9.2861690968175578E-2</v>
      </c>
      <c r="K78" s="13">
        <f>((((VLOOKUP(B78,Database!$F:$AY,MATCH($K$1,Database!$F$1:$AY$1,),))))-(((VLOOKUP(EDATE(B78,-12),Database!$F:$AY,MATCH($K$1,Database!$F$1:$AY$1,),)))))/(((VLOOKUP(EDATE(B78,-12),Database!$F:$AY,MATCH($K$1,Database!$F$1:$AY$1,),))))</f>
        <v>6.881412045335597E-2</v>
      </c>
      <c r="L78" s="13">
        <f>((((VLOOKUP(B78,Database!$F:$AY,MATCH($L$1,Database!$F$1:$AY$1,),))))-(((VLOOKUP(EDATE(B78,-12),Database!$F:$AY,MATCH($L$1,Database!$F$1:$AY$1,),)))))/(((VLOOKUP(EDATE(B78,-12),Database!$F:$AY,MATCH($L$1,Database!$F$1:$AY$1,),))))</f>
        <v>7.3230020424046097E-2</v>
      </c>
      <c r="M78" s="13">
        <f>((((VLOOKUP(B78,Database!$F:$AY,MATCH($M$1,Database!$F$1:$AY$1,),))))-(((VLOOKUP(EDATE(B78,-12),Database!$F:$AY,MATCH($M$1,Database!$F$1:$AY$1,),)))))/(((VLOOKUP(EDATE(B78,-12),Database!$F:$AY,MATCH($M$1,Database!$F$1:$AY$1,),))))</f>
        <v>-0.24835275016949854</v>
      </c>
      <c r="N78" s="13" t="e">
        <f>((((VLOOKUP(B78,Database!$F:$AY,MATCH($N$1,Database!$F$1:$AY$1,),))))-(((VLOOKUP(EDATE(B78,-12),Database!$F:$AY,MATCH($N$1,Database!$F$1:$AY$1,),)))))/(((VLOOKUP(EDATE(B78,-12),Database!$F:$AY,MATCH($N$1,Database!$F$1:$AY$1,),))))</f>
        <v>#DIV/0!</v>
      </c>
      <c r="O78" s="13">
        <f>((((VLOOKUP(B78,Database!$F:$AY,MATCH($O$1,Database!$F$1:$AY$1,),))))-(((VLOOKUP(EDATE(B78,-12),Database!$F:$AY,MATCH($O$1,Database!$F$1:$AY$1,),)))))/(((VLOOKUP(EDATE(B78,-12),Database!$F:$AY,MATCH($O$1,Database!$F$1:$AY$1,),))))</f>
        <v>7.9608980560197357E-2</v>
      </c>
      <c r="P78" s="13">
        <f>((((VLOOKUP(B78,Database!$F:$AY,MATCH($P$1,Database!$F$1:$AY$1,),))))-(((VLOOKUP(EDATE(B78,-12),Database!$F:$AY,MATCH($P$1,Database!$F$1:$AY$1,),)))))/(((VLOOKUP(EDATE(B78,-12),Database!$F:$AY,MATCH($P$1,Database!$F$1:$AY$1,),))))</f>
        <v>7.5386348009393686E-2</v>
      </c>
      <c r="Q78" s="13">
        <f>((((VLOOKUP(B78,Database!$F:$AY,MATCH($Q$1,Database!$F$1:$AY$1,),))))-(((VLOOKUP(EDATE(B78,-12),Database!$F:$AY,MATCH($Q$1,Database!$F$1:$AY$1,),)))))/(((VLOOKUP(EDATE(B78,-12),Database!$F:$AY,MATCH($Q$1,Database!$F$1:$AY$1,),))))</f>
        <v>4.338685284434457E-2</v>
      </c>
      <c r="R78" s="13">
        <f>((((VLOOKUP(B78,Database!$F:$AY,MATCH($R$1,Database!$F$1:$AY$1,),))))-(((VLOOKUP(EDATE(B78,-12),Database!$F:$AY,MATCH($R$1,Database!$F$1:$AY$1,),)))))/(((VLOOKUP(EDATE(B78,-12),Database!$F:$AY,MATCH($R$1,Database!$F$1:$AY$1,),))))</f>
        <v>5.1279262315124155E-2</v>
      </c>
      <c r="S78" s="13">
        <f>((((VLOOKUP(B78,Database!$F:$AY,MATCH($S$1,Database!$F$1:$AY$1,),))))-(((VLOOKUP(EDATE(B78,-12),Database!$F:$AY,MATCH($S$1,Database!$F$1:$AY$1,),)))))/(((VLOOKUP(EDATE(B78,-12),Database!$F:$AY,MATCH($S$1,Database!$F$1:$AY$1,),))))</f>
        <v>0.11913371442184628</v>
      </c>
      <c r="T78" s="13">
        <f>((((VLOOKUP(B78,Database!$F:$AY,MATCH($T$1,Database!$F$1:$AY$1,),))))-(((VLOOKUP(EDATE(B78,-12),Database!$F:$AY,MATCH($T$1,Database!$F$1:$AY$1,),)))))/(((VLOOKUP(EDATE(B78,-12),Database!$F:$AY,MATCH($T$1,Database!$F$1:$AY$1,),))))</f>
        <v>-0.14754098360655743</v>
      </c>
      <c r="U78" s="13">
        <f>((((VLOOKUP(B78,Database!$F:$AY,MATCH($U$1,Database!$F$1:$AY$1,),))))-(((VLOOKUP(EDATE(B78,-12),Database!$F:$AY,MATCH($U$1,Database!$F$1:$AY$1,),)))))/(((VLOOKUP(EDATE(B78,-12),Database!$F:$AY,MATCH($U$1,Database!$F$1:$AY$1,),))))</f>
        <v>7.3454312635747102E-2</v>
      </c>
      <c r="V78" s="13">
        <f>((((VLOOKUP(B78,Database!$F:$AY,MATCH($V$1,Database!$F$1:$AY$1,),))))-(((VLOOKUP(EDATE(B78,-12),Database!$F:$AY,MATCH($V$1,Database!$F$1:$AY$1,),)))))/(((VLOOKUP(EDATE(B78,-12),Database!$F:$AY,MATCH($V$1,Database!$F$1:$AY$1,),))))</f>
        <v>0.166833653189468</v>
      </c>
    </row>
    <row r="79" spans="1:22" s="85" customFormat="1" x14ac:dyDescent="0.2">
      <c r="A79" s="44"/>
      <c r="B79" s="91">
        <v>34547</v>
      </c>
      <c r="C79" s="13">
        <f>((((VLOOKUP(B79,Database!$F:$AY,MATCH($C$1,Database!$F$1:$AY$1,),))))-(((VLOOKUP(EDATE(B79,-12),Database!$F:$AY,MATCH($C$1,Database!$F$1:$AY$1,),)))))/(((VLOOKUP(EDATE(B79,-12),Database!$F:$AY,MATCH($C$1,Database!$F$1:$AY$1,),))))</f>
        <v>6.2543752615835488E-2</v>
      </c>
      <c r="D79" s="13">
        <f>((((VLOOKUP(B79,Database!$F:$AY,MATCH($D$1,Database!$F$1:$AY$1,),))))-(((VLOOKUP(EDATE(B79,-12),Database!$F:$AY,MATCH($D$1,Database!$F$1:$AY$1,),)))))/(((VLOOKUP(EDATE(B79,-12),Database!$F:$AY,MATCH($D$1,Database!$F$1:$AY$1,),))))</f>
        <v>5.2980218425798677E-2</v>
      </c>
      <c r="E79" s="13">
        <f>((((VLOOKUP(B79,Database!$F:$AY,MATCH($E$1,Database!$F$1:$AY$1,),))))-(((VLOOKUP(EDATE(B79,-12),Database!$F:$AY,MATCH($E$1,Database!$F$1:$AY$1,),)))))/(((VLOOKUP(EDATE(B79,-12),Database!$F:$AY,MATCH($E$1,Database!$F$1:$AY$1,),))))</f>
        <v>4.0000232510608962E-2</v>
      </c>
      <c r="F79" s="13">
        <f>((((VLOOKUP(B79,Database!$F:$AY,MATCH($F$1,Database!$F$1:$AY$1,),))))-(((VLOOKUP(EDATE(B79,-12),Database!$F:$AY,MATCH($F$1,Database!$F$1:$AY$1,),)))))/(((VLOOKUP(EDATE(B79,-12),Database!$F:$AY,MATCH($F$1,Database!$F$1:$AY$1,),))))</f>
        <v>1.4814714943673825E-2</v>
      </c>
      <c r="G79" s="13">
        <f>((((VLOOKUP(B79,Database!$F:$AY,MATCH($G$1,Database!$F$1:$AY$1,),))))-(((VLOOKUP(EDATE(B79,-12),Database!$F:$AY,MATCH($G$1,Database!$F$1:$AY$1,),)))))/(((VLOOKUP(EDATE(B79,-12),Database!$F:$AY,MATCH($G$1,Database!$F$1:$AY$1,),))))</f>
        <v>5.7785448609884542E-2</v>
      </c>
      <c r="H79" s="13">
        <f>((((VLOOKUP(B79,Database!$F:$AY,MATCH($H$1,Database!$F$1:$AY$1,),))))-(((VLOOKUP(EDATE(B79,-12),Database!$F:$AY,MATCH($H$1,Database!$F$1:$AY$1,),)))))/(((VLOOKUP(EDATE(B79,-12),Database!$F:$AY,MATCH($H$1,Database!$F$1:$AY$1,),))))</f>
        <v>5.5387280331742374E-2</v>
      </c>
      <c r="I79" s="13">
        <f>((((VLOOKUP(B79,Database!$F:$AY,MATCH($I$1,Database!$F$1:$AY$1,),))))-(((VLOOKUP(EDATE(B79,-12),Database!$F:$AY,MATCH($I$1,Database!$F$1:$AY$1,),)))))/(((VLOOKUP(EDATE(B79,-12),Database!$F:$AY,MATCH($I$1,Database!$F$1:$AY$1,),))))</f>
        <v>8.221811948030093E-2</v>
      </c>
      <c r="J79" s="13">
        <f>((((VLOOKUP(B79,Database!$F:$AY,MATCH($J$1,Database!$F$1:$AY$1,),))))-(((VLOOKUP(EDATE(B79,-12),Database!$F:$AY,MATCH($J$1,Database!$F$1:$AY$1,),)))))/(((VLOOKUP(EDATE(B79,-12),Database!$F:$AY,MATCH($J$1,Database!$F$1:$AY$1,),))))</f>
        <v>0.11365785890416168</v>
      </c>
      <c r="K79" s="13">
        <f>((((VLOOKUP(B79,Database!$F:$AY,MATCH($K$1,Database!$F$1:$AY$1,),))))-(((VLOOKUP(EDATE(B79,-12),Database!$F:$AY,MATCH($K$1,Database!$F$1:$AY$1,),)))))/(((VLOOKUP(EDATE(B79,-12),Database!$F:$AY,MATCH($K$1,Database!$F$1:$AY$1,),))))</f>
        <v>8.6005755524593497E-2</v>
      </c>
      <c r="L79" s="13">
        <f>((((VLOOKUP(B79,Database!$F:$AY,MATCH($L$1,Database!$F$1:$AY$1,),))))-(((VLOOKUP(EDATE(B79,-12),Database!$F:$AY,MATCH($L$1,Database!$F$1:$AY$1,),)))))/(((VLOOKUP(EDATE(B79,-12),Database!$F:$AY,MATCH($L$1,Database!$F$1:$AY$1,),))))</f>
        <v>8.3385757800914423E-2</v>
      </c>
      <c r="M79" s="13">
        <f>((((VLOOKUP(B79,Database!$F:$AY,MATCH($M$1,Database!$F$1:$AY$1,),))))-(((VLOOKUP(EDATE(B79,-12),Database!$F:$AY,MATCH($M$1,Database!$F$1:$AY$1,),)))))/(((VLOOKUP(EDATE(B79,-12),Database!$F:$AY,MATCH($M$1,Database!$F$1:$AY$1,),))))</f>
        <v>-0.21176860892522584</v>
      </c>
      <c r="N79" s="13" t="e">
        <f>((((VLOOKUP(B79,Database!$F:$AY,MATCH($N$1,Database!$F$1:$AY$1,),))))-(((VLOOKUP(EDATE(B79,-12),Database!$F:$AY,MATCH($N$1,Database!$F$1:$AY$1,),)))))/(((VLOOKUP(EDATE(B79,-12),Database!$F:$AY,MATCH($N$1,Database!$F$1:$AY$1,),))))</f>
        <v>#DIV/0!</v>
      </c>
      <c r="O79" s="13">
        <f>((((VLOOKUP(B79,Database!$F:$AY,MATCH($O$1,Database!$F$1:$AY$1,),))))-(((VLOOKUP(EDATE(B79,-12),Database!$F:$AY,MATCH($O$1,Database!$F$1:$AY$1,),)))))/(((VLOOKUP(EDATE(B79,-12),Database!$F:$AY,MATCH($O$1,Database!$F$1:$AY$1,),))))</f>
        <v>7.4454006912390194E-2</v>
      </c>
      <c r="P79" s="13">
        <f>((((VLOOKUP(B79,Database!$F:$AY,MATCH($P$1,Database!$F$1:$AY$1,),))))-(((VLOOKUP(EDATE(B79,-12),Database!$F:$AY,MATCH($P$1,Database!$F$1:$AY$1,),)))))/(((VLOOKUP(EDATE(B79,-12),Database!$F:$AY,MATCH($P$1,Database!$F$1:$AY$1,),))))</f>
        <v>0.12123953085548717</v>
      </c>
      <c r="Q79" s="13">
        <f>((((VLOOKUP(B79,Database!$F:$AY,MATCH($Q$1,Database!$F$1:$AY$1,),))))-(((VLOOKUP(EDATE(B79,-12),Database!$F:$AY,MATCH($Q$1,Database!$F$1:$AY$1,),)))))/(((VLOOKUP(EDATE(B79,-12),Database!$F:$AY,MATCH($Q$1,Database!$F$1:$AY$1,),))))</f>
        <v>0.10334922930156008</v>
      </c>
      <c r="R79" s="13">
        <f>((((VLOOKUP(B79,Database!$F:$AY,MATCH($R$1,Database!$F$1:$AY$1,),))))-(((VLOOKUP(EDATE(B79,-12),Database!$F:$AY,MATCH($R$1,Database!$F$1:$AY$1,),)))))/(((VLOOKUP(EDATE(B79,-12),Database!$F:$AY,MATCH($R$1,Database!$F$1:$AY$1,),))))</f>
        <v>3.7866015574750202E-2</v>
      </c>
      <c r="S79" s="13">
        <f>((((VLOOKUP(B79,Database!$F:$AY,MATCH($S$1,Database!$F$1:$AY$1,),))))-(((VLOOKUP(EDATE(B79,-12),Database!$F:$AY,MATCH($S$1,Database!$F$1:$AY$1,),)))))/(((VLOOKUP(EDATE(B79,-12),Database!$F:$AY,MATCH($S$1,Database!$F$1:$AY$1,),))))</f>
        <v>0.15357158102379453</v>
      </c>
      <c r="T79" s="13">
        <f>((((VLOOKUP(B79,Database!$F:$AY,MATCH($T$1,Database!$F$1:$AY$1,),))))-(((VLOOKUP(EDATE(B79,-12),Database!$F:$AY,MATCH($T$1,Database!$F$1:$AY$1,),)))))/(((VLOOKUP(EDATE(B79,-12),Database!$F:$AY,MATCH($T$1,Database!$F$1:$AY$1,),))))</f>
        <v>-2.6238922545728349E-2</v>
      </c>
      <c r="U79" s="13">
        <f>((((VLOOKUP(B79,Database!$F:$AY,MATCH($U$1,Database!$F$1:$AY$1,),))))-(((VLOOKUP(EDATE(B79,-12),Database!$F:$AY,MATCH($U$1,Database!$F$1:$AY$1,),)))))/(((VLOOKUP(EDATE(B79,-12),Database!$F:$AY,MATCH($U$1,Database!$F$1:$AY$1,),))))</f>
        <v>6.5506140837621893E-2</v>
      </c>
      <c r="V79" s="13">
        <f>((((VLOOKUP(B79,Database!$F:$AY,MATCH($V$1,Database!$F$1:$AY$1,),))))-(((VLOOKUP(EDATE(B79,-12),Database!$F:$AY,MATCH($V$1,Database!$F$1:$AY$1,),)))))/(((VLOOKUP(EDATE(B79,-12),Database!$F:$AY,MATCH($V$1,Database!$F$1:$AY$1,),))))</f>
        <v>0.18706664833129311</v>
      </c>
    </row>
    <row r="80" spans="1:22" s="85" customFormat="1" x14ac:dyDescent="0.2">
      <c r="A80" s="44"/>
      <c r="B80" s="91">
        <v>34578</v>
      </c>
      <c r="C80" s="13">
        <f>((((VLOOKUP(B80,Database!$F:$AY,MATCH($C$1,Database!$F$1:$AY$1,),))))-(((VLOOKUP(EDATE(B80,-12),Database!$F:$AY,MATCH($C$1,Database!$F$1:$AY$1,),)))))/(((VLOOKUP(EDATE(B80,-12),Database!$F:$AY,MATCH($C$1,Database!$F$1:$AY$1,),))))</f>
        <v>6.1516715080208853E-2</v>
      </c>
      <c r="D80" s="13">
        <f>((((VLOOKUP(B80,Database!$F:$AY,MATCH($D$1,Database!$F$1:$AY$1,),))))-(((VLOOKUP(EDATE(B80,-12),Database!$F:$AY,MATCH($D$1,Database!$F$1:$AY$1,),)))))/(((VLOOKUP(EDATE(B80,-12),Database!$F:$AY,MATCH($D$1,Database!$F$1:$AY$1,),))))</f>
        <v>5.4089751366223765E-2</v>
      </c>
      <c r="E80" s="13">
        <f>((((VLOOKUP(B80,Database!$F:$AY,MATCH($E$1,Database!$F$1:$AY$1,),))))-(((VLOOKUP(EDATE(B80,-12),Database!$F:$AY,MATCH($E$1,Database!$F$1:$AY$1,),)))))/(((VLOOKUP(EDATE(B80,-12),Database!$F:$AY,MATCH($E$1,Database!$F$1:$AY$1,),))))</f>
        <v>2.6233000482596403E-2</v>
      </c>
      <c r="F80" s="13">
        <f>((((VLOOKUP(B80,Database!$F:$AY,MATCH($F$1,Database!$F$1:$AY$1,),))))-(((VLOOKUP(EDATE(B80,-12),Database!$F:$AY,MATCH($F$1,Database!$F$1:$AY$1,),)))))/(((VLOOKUP(EDATE(B80,-12),Database!$F:$AY,MATCH($F$1,Database!$F$1:$AY$1,),))))</f>
        <v>3.4226215279844652E-2</v>
      </c>
      <c r="G80" s="13">
        <f>((((VLOOKUP(B80,Database!$F:$AY,MATCH($G$1,Database!$F$1:$AY$1,),))))-(((VLOOKUP(EDATE(B80,-12),Database!$F:$AY,MATCH($G$1,Database!$F$1:$AY$1,),)))))/(((VLOOKUP(EDATE(B80,-12),Database!$F:$AY,MATCH($G$1,Database!$F$1:$AY$1,),))))</f>
        <v>4.7204468524091034E-2</v>
      </c>
      <c r="H80" s="13">
        <f>((((VLOOKUP(B80,Database!$F:$AY,MATCH($H$1,Database!$F$1:$AY$1,),))))-(((VLOOKUP(EDATE(B80,-12),Database!$F:$AY,MATCH($H$1,Database!$F$1:$AY$1,),)))))/(((VLOOKUP(EDATE(B80,-12),Database!$F:$AY,MATCH($H$1,Database!$F$1:$AY$1,),))))</f>
        <v>6.1183365223741223E-2</v>
      </c>
      <c r="I80" s="13">
        <f>((((VLOOKUP(B80,Database!$F:$AY,MATCH($I$1,Database!$F$1:$AY$1,),))))-(((VLOOKUP(EDATE(B80,-12),Database!$F:$AY,MATCH($I$1,Database!$F$1:$AY$1,),)))))/(((VLOOKUP(EDATE(B80,-12),Database!$F:$AY,MATCH($I$1,Database!$F$1:$AY$1,),))))</f>
        <v>8.1749233776209421E-2</v>
      </c>
      <c r="J80" s="13">
        <f>((((VLOOKUP(B80,Database!$F:$AY,MATCH($J$1,Database!$F$1:$AY$1,),))))-(((VLOOKUP(EDATE(B80,-12),Database!$F:$AY,MATCH($J$1,Database!$F$1:$AY$1,),)))))/(((VLOOKUP(EDATE(B80,-12),Database!$F:$AY,MATCH($J$1,Database!$F$1:$AY$1,),))))</f>
        <v>8.0643217825288535E-2</v>
      </c>
      <c r="K80" s="13">
        <f>((((VLOOKUP(B80,Database!$F:$AY,MATCH($K$1,Database!$F$1:$AY$1,),))))-(((VLOOKUP(EDATE(B80,-12),Database!$F:$AY,MATCH($K$1,Database!$F$1:$AY$1,),)))))/(((VLOOKUP(EDATE(B80,-12),Database!$F:$AY,MATCH($K$1,Database!$F$1:$AY$1,),))))</f>
        <v>0.13391566142891642</v>
      </c>
      <c r="L80" s="13">
        <f>((((VLOOKUP(B80,Database!$F:$AY,MATCH($L$1,Database!$F$1:$AY$1,),))))-(((VLOOKUP(EDATE(B80,-12),Database!$F:$AY,MATCH($L$1,Database!$F$1:$AY$1,),)))))/(((VLOOKUP(EDATE(B80,-12),Database!$F:$AY,MATCH($L$1,Database!$F$1:$AY$1,),))))</f>
        <v>7.2320883471375871E-2</v>
      </c>
      <c r="M80" s="13">
        <f>((((VLOOKUP(B80,Database!$F:$AY,MATCH($M$1,Database!$F$1:$AY$1,),))))-(((VLOOKUP(EDATE(B80,-12),Database!$F:$AY,MATCH($M$1,Database!$F$1:$AY$1,),)))))/(((VLOOKUP(EDATE(B80,-12),Database!$F:$AY,MATCH($M$1,Database!$F$1:$AY$1,),))))</f>
        <v>-0.20925510084645937</v>
      </c>
      <c r="N80" s="13" t="e">
        <f>((((VLOOKUP(B80,Database!$F:$AY,MATCH($N$1,Database!$F$1:$AY$1,),))))-(((VLOOKUP(EDATE(B80,-12),Database!$F:$AY,MATCH($N$1,Database!$F$1:$AY$1,),)))))/(((VLOOKUP(EDATE(B80,-12),Database!$F:$AY,MATCH($N$1,Database!$F$1:$AY$1,),))))</f>
        <v>#DIV/0!</v>
      </c>
      <c r="O80" s="13">
        <f>((((VLOOKUP(B80,Database!$F:$AY,MATCH($O$1,Database!$F$1:$AY$1,),))))-(((VLOOKUP(EDATE(B80,-12),Database!$F:$AY,MATCH($O$1,Database!$F$1:$AY$1,),)))))/(((VLOOKUP(EDATE(B80,-12),Database!$F:$AY,MATCH($O$1,Database!$F$1:$AY$1,),))))</f>
        <v>6.9942136316658507E-2</v>
      </c>
      <c r="P80" s="13">
        <f>((((VLOOKUP(B80,Database!$F:$AY,MATCH($P$1,Database!$F$1:$AY$1,),))))-(((VLOOKUP(EDATE(B80,-12),Database!$F:$AY,MATCH($P$1,Database!$F$1:$AY$1,),)))))/(((VLOOKUP(EDATE(B80,-12),Database!$F:$AY,MATCH($P$1,Database!$F$1:$AY$1,),))))</f>
        <v>0.11143241944925047</v>
      </c>
      <c r="Q80" s="13">
        <f>((((VLOOKUP(B80,Database!$F:$AY,MATCH($Q$1,Database!$F$1:$AY$1,),))))-(((VLOOKUP(EDATE(B80,-12),Database!$F:$AY,MATCH($Q$1,Database!$F$1:$AY$1,),)))))/(((VLOOKUP(EDATE(B80,-12),Database!$F:$AY,MATCH($Q$1,Database!$F$1:$AY$1,),))))</f>
        <v>0.11392708305341635</v>
      </c>
      <c r="R80" s="13">
        <f>((((VLOOKUP(B80,Database!$F:$AY,MATCH($R$1,Database!$F$1:$AY$1,),))))-(((VLOOKUP(EDATE(B80,-12),Database!$F:$AY,MATCH($R$1,Database!$F$1:$AY$1,),)))))/(((VLOOKUP(EDATE(B80,-12),Database!$F:$AY,MATCH($R$1,Database!$F$1:$AY$1,),))))</f>
        <v>7.7782189183534427E-3</v>
      </c>
      <c r="S80" s="13">
        <f>((((VLOOKUP(B80,Database!$F:$AY,MATCH($S$1,Database!$F$1:$AY$1,),))))-(((VLOOKUP(EDATE(B80,-12),Database!$F:$AY,MATCH($S$1,Database!$F$1:$AY$1,),)))))/(((VLOOKUP(EDATE(B80,-12),Database!$F:$AY,MATCH($S$1,Database!$F$1:$AY$1,),))))</f>
        <v>8.4805580142573E-2</v>
      </c>
      <c r="T80" s="13">
        <f>((((VLOOKUP(B80,Database!$F:$AY,MATCH($T$1,Database!$F$1:$AY$1,),))))-(((VLOOKUP(EDATE(B80,-12),Database!$F:$AY,MATCH($T$1,Database!$F$1:$AY$1,),)))))/(((VLOOKUP(EDATE(B80,-12),Database!$F:$AY,MATCH($T$1,Database!$F$1:$AY$1,),))))</f>
        <v>-6.8493101891226121E-2</v>
      </c>
      <c r="U80" s="13">
        <f>((((VLOOKUP(B80,Database!$F:$AY,MATCH($U$1,Database!$F$1:$AY$1,),))))-(((VLOOKUP(EDATE(B80,-12),Database!$F:$AY,MATCH($U$1,Database!$F$1:$AY$1,),)))))/(((VLOOKUP(EDATE(B80,-12),Database!$F:$AY,MATCH($U$1,Database!$F$1:$AY$1,),))))</f>
        <v>2.7894749676695536E-2</v>
      </c>
      <c r="V80" s="13">
        <f>((((VLOOKUP(B80,Database!$F:$AY,MATCH($V$1,Database!$F$1:$AY$1,),))))-(((VLOOKUP(EDATE(B80,-12),Database!$F:$AY,MATCH($V$1,Database!$F$1:$AY$1,),)))))/(((VLOOKUP(EDATE(B80,-12),Database!$F:$AY,MATCH($V$1,Database!$F$1:$AY$1,),))))</f>
        <v>0.15335962144526355</v>
      </c>
    </row>
    <row r="81" spans="1:22" s="85" customFormat="1" x14ac:dyDescent="0.2">
      <c r="A81" s="44"/>
      <c r="B81" s="91">
        <v>34608</v>
      </c>
      <c r="C81" s="13">
        <f>((((VLOOKUP(B81,Database!$F:$AY,MATCH($C$1,Database!$F$1:$AY$1,),))))-(((VLOOKUP(EDATE(B81,-12),Database!$F:$AY,MATCH($C$1,Database!$F$1:$AY$1,),)))))/(((VLOOKUP(EDATE(B81,-12),Database!$F:$AY,MATCH($C$1,Database!$F$1:$AY$1,),))))</f>
        <v>6.2349465667853425E-2</v>
      </c>
      <c r="D81" s="13">
        <f>((((VLOOKUP(B81,Database!$F:$AY,MATCH($D$1,Database!$F$1:$AY$1,),))))-(((VLOOKUP(EDATE(B81,-12),Database!$F:$AY,MATCH($D$1,Database!$F$1:$AY$1,),)))))/(((VLOOKUP(EDATE(B81,-12),Database!$F:$AY,MATCH($D$1,Database!$F$1:$AY$1,),))))</f>
        <v>6.4558717625533169E-2</v>
      </c>
      <c r="E81" s="13">
        <f>((((VLOOKUP(B81,Database!$F:$AY,MATCH($E$1,Database!$F$1:$AY$1,),))))-(((VLOOKUP(EDATE(B81,-12),Database!$F:$AY,MATCH($E$1,Database!$F$1:$AY$1,),)))))/(((VLOOKUP(EDATE(B81,-12),Database!$F:$AY,MATCH($E$1,Database!$F$1:$AY$1,),))))</f>
        <v>4.5502868333795209E-2</v>
      </c>
      <c r="F81" s="13">
        <f>((((VLOOKUP(B81,Database!$F:$AY,MATCH($F$1,Database!$F$1:$AY$1,),))))-(((VLOOKUP(EDATE(B81,-12),Database!$F:$AY,MATCH($F$1,Database!$F$1:$AY$1,),)))))/(((VLOOKUP(EDATE(B81,-12),Database!$F:$AY,MATCH($F$1,Database!$F$1:$AY$1,),))))</f>
        <v>5.3571428571428548E-2</v>
      </c>
      <c r="G81" s="13">
        <f>((((VLOOKUP(B81,Database!$F:$AY,MATCH($G$1,Database!$F$1:$AY$1,),))))-(((VLOOKUP(EDATE(B81,-12),Database!$F:$AY,MATCH($G$1,Database!$F$1:$AY$1,),)))))/(((VLOOKUP(EDATE(B81,-12),Database!$F:$AY,MATCH($G$1,Database!$F$1:$AY$1,),))))</f>
        <v>5.2697633520332139E-2</v>
      </c>
      <c r="H81" s="13">
        <f>((((VLOOKUP(B81,Database!$F:$AY,MATCH($H$1,Database!$F$1:$AY$1,),))))-(((VLOOKUP(EDATE(B81,-12),Database!$F:$AY,MATCH($H$1,Database!$F$1:$AY$1,),)))))/(((VLOOKUP(EDATE(B81,-12),Database!$F:$AY,MATCH($H$1,Database!$F$1:$AY$1,),))))</f>
        <v>6.1060776849038795E-2</v>
      </c>
      <c r="I81" s="13">
        <f>((((VLOOKUP(B81,Database!$F:$AY,MATCH($I$1,Database!$F$1:$AY$1,),))))-(((VLOOKUP(EDATE(B81,-12),Database!$F:$AY,MATCH($I$1,Database!$F$1:$AY$1,),)))))/(((VLOOKUP(EDATE(B81,-12),Database!$F:$AY,MATCH($I$1,Database!$F$1:$AY$1,),))))</f>
        <v>7.9923913705429159E-2</v>
      </c>
      <c r="J81" s="13">
        <f>((((VLOOKUP(B81,Database!$F:$AY,MATCH($J$1,Database!$F$1:$AY$1,),))))-(((VLOOKUP(EDATE(B81,-12),Database!$F:$AY,MATCH($J$1,Database!$F$1:$AY$1,),)))))/(((VLOOKUP(EDATE(B81,-12),Database!$F:$AY,MATCH($J$1,Database!$F$1:$AY$1,),))))</f>
        <v>8.1981942581060965E-2</v>
      </c>
      <c r="K81" s="13">
        <f>((((VLOOKUP(B81,Database!$F:$AY,MATCH($K$1,Database!$F$1:$AY$1,),))))-(((VLOOKUP(EDATE(B81,-12),Database!$F:$AY,MATCH($K$1,Database!$F$1:$AY$1,),)))))/(((VLOOKUP(EDATE(B81,-12),Database!$F:$AY,MATCH($K$1,Database!$F$1:$AY$1,),))))</f>
        <v>0.14556040149772756</v>
      </c>
      <c r="L81" s="13">
        <f>((((VLOOKUP(B81,Database!$F:$AY,MATCH($L$1,Database!$F$1:$AY$1,),))))-(((VLOOKUP(EDATE(B81,-12),Database!$F:$AY,MATCH($L$1,Database!$F$1:$AY$1,),)))))/(((VLOOKUP(EDATE(B81,-12),Database!$F:$AY,MATCH($L$1,Database!$F$1:$AY$1,),))))</f>
        <v>7.3736559670379218E-2</v>
      </c>
      <c r="M81" s="13">
        <f>((((VLOOKUP(B81,Database!$F:$AY,MATCH($M$1,Database!$F$1:$AY$1,),))))-(((VLOOKUP(EDATE(B81,-12),Database!$F:$AY,MATCH($M$1,Database!$F$1:$AY$1,),)))))/(((VLOOKUP(EDATE(B81,-12),Database!$F:$AY,MATCH($M$1,Database!$F$1:$AY$1,),))))</f>
        <v>-0.19071461733801168</v>
      </c>
      <c r="N81" s="13" t="e">
        <f>((((VLOOKUP(B81,Database!$F:$AY,MATCH($N$1,Database!$F$1:$AY$1,),))))-(((VLOOKUP(EDATE(B81,-12),Database!$F:$AY,MATCH($N$1,Database!$F$1:$AY$1,),)))))/(((VLOOKUP(EDATE(B81,-12),Database!$F:$AY,MATCH($N$1,Database!$F$1:$AY$1,),))))</f>
        <v>#DIV/0!</v>
      </c>
      <c r="O81" s="13">
        <f>((((VLOOKUP(B81,Database!$F:$AY,MATCH($O$1,Database!$F$1:$AY$1,),))))-(((VLOOKUP(EDATE(B81,-12),Database!$F:$AY,MATCH($O$1,Database!$F$1:$AY$1,),)))))/(((VLOOKUP(EDATE(B81,-12),Database!$F:$AY,MATCH($O$1,Database!$F$1:$AY$1,),))))</f>
        <v>6.6066939715767686E-2</v>
      </c>
      <c r="P81" s="13">
        <f>((((VLOOKUP(B81,Database!$F:$AY,MATCH($P$1,Database!$F$1:$AY$1,),))))-(((VLOOKUP(EDATE(B81,-12),Database!$F:$AY,MATCH($P$1,Database!$F$1:$AY$1,),)))))/(((VLOOKUP(EDATE(B81,-12),Database!$F:$AY,MATCH($P$1,Database!$F$1:$AY$1,),))))</f>
        <v>0.13529545019841818</v>
      </c>
      <c r="Q81" s="13">
        <f>((((VLOOKUP(B81,Database!$F:$AY,MATCH($Q$1,Database!$F$1:$AY$1,),))))-(((VLOOKUP(EDATE(B81,-12),Database!$F:$AY,MATCH($Q$1,Database!$F$1:$AY$1,),)))))/(((VLOOKUP(EDATE(B81,-12),Database!$F:$AY,MATCH($Q$1,Database!$F$1:$AY$1,),))))</f>
        <v>0.10442565380569921</v>
      </c>
      <c r="R81" s="13">
        <f>((((VLOOKUP(B81,Database!$F:$AY,MATCH($R$1,Database!$F$1:$AY$1,),))))-(((VLOOKUP(EDATE(B81,-12),Database!$F:$AY,MATCH($R$1,Database!$F$1:$AY$1,),)))))/(((VLOOKUP(EDATE(B81,-12),Database!$F:$AY,MATCH($R$1,Database!$F$1:$AY$1,),))))</f>
        <v>2.3345125743436078E-2</v>
      </c>
      <c r="S81" s="13">
        <f>((((VLOOKUP(B81,Database!$F:$AY,MATCH($S$1,Database!$F$1:$AY$1,),))))-(((VLOOKUP(EDATE(B81,-12),Database!$F:$AY,MATCH($S$1,Database!$F$1:$AY$1,),)))))/(((VLOOKUP(EDATE(B81,-12),Database!$F:$AY,MATCH($S$1,Database!$F$1:$AY$1,),))))</f>
        <v>0.15602830528831807</v>
      </c>
      <c r="T81" s="13">
        <f>((((VLOOKUP(B81,Database!$F:$AY,MATCH($T$1,Database!$F$1:$AY$1,),))))-(((VLOOKUP(EDATE(B81,-12),Database!$F:$AY,MATCH($T$1,Database!$F$1:$AY$1,),)))))/(((VLOOKUP(EDATE(B81,-12),Database!$F:$AY,MATCH($T$1,Database!$F$1:$AY$1,),))))</f>
        <v>-5.6910696906219499E-2</v>
      </c>
      <c r="U81" s="13">
        <f>((((VLOOKUP(B81,Database!$F:$AY,MATCH($U$1,Database!$F$1:$AY$1,),))))-(((VLOOKUP(EDATE(B81,-12),Database!$F:$AY,MATCH($U$1,Database!$F$1:$AY$1,),)))))/(((VLOOKUP(EDATE(B81,-12),Database!$F:$AY,MATCH($U$1,Database!$F$1:$AY$1,),))))</f>
        <v>1.5451287748172293E-2</v>
      </c>
      <c r="V81" s="13">
        <f>((((VLOOKUP(B81,Database!$F:$AY,MATCH($V$1,Database!$F$1:$AY$1,),))))-(((VLOOKUP(EDATE(B81,-12),Database!$F:$AY,MATCH($V$1,Database!$F$1:$AY$1,),)))))/(((VLOOKUP(EDATE(B81,-12),Database!$F:$AY,MATCH($V$1,Database!$F$1:$AY$1,),))))</f>
        <v>0.13959626162916058</v>
      </c>
    </row>
    <row r="82" spans="1:22" s="85" customFormat="1" x14ac:dyDescent="0.2">
      <c r="A82" s="44"/>
      <c r="B82" s="91">
        <v>34639</v>
      </c>
      <c r="C82" s="13">
        <f>((((VLOOKUP(B82,Database!$F:$AY,MATCH($C$1,Database!$F$1:$AY$1,),))))-(((VLOOKUP(EDATE(B82,-12),Database!$F:$AY,MATCH($C$1,Database!$F$1:$AY$1,),)))))/(((VLOOKUP(EDATE(B82,-12),Database!$F:$AY,MATCH($C$1,Database!$F$1:$AY$1,),))))</f>
        <v>6.4487475247169246E-2</v>
      </c>
      <c r="D82" s="13">
        <f>((((VLOOKUP(B82,Database!$F:$AY,MATCH($D$1,Database!$F$1:$AY$1,),))))-(((VLOOKUP(EDATE(B82,-12),Database!$F:$AY,MATCH($D$1,Database!$F$1:$AY$1,),)))))/(((VLOOKUP(EDATE(B82,-12),Database!$F:$AY,MATCH($D$1,Database!$F$1:$AY$1,),))))</f>
        <v>7.2463855965454002E-2</v>
      </c>
      <c r="E82" s="13">
        <f>((((VLOOKUP(B82,Database!$F:$AY,MATCH($E$1,Database!$F$1:$AY$1,),))))-(((VLOOKUP(EDATE(B82,-12),Database!$F:$AY,MATCH($E$1,Database!$F$1:$AY$1,),)))))/(((VLOOKUP(EDATE(B82,-12),Database!$F:$AY,MATCH($E$1,Database!$F$1:$AY$1,),))))</f>
        <v>5.4082293577463615E-2</v>
      </c>
      <c r="F82" s="13">
        <f>((((VLOOKUP(B82,Database!$F:$AY,MATCH($F$1,Database!$F$1:$AY$1,),))))-(((VLOOKUP(EDATE(B82,-12),Database!$F:$AY,MATCH($F$1,Database!$F$1:$AY$1,),)))))/(((VLOOKUP(EDATE(B82,-12),Database!$F:$AY,MATCH($F$1,Database!$F$1:$AY$1,),))))</f>
        <v>6.9069119123290335E-2</v>
      </c>
      <c r="G82" s="13">
        <f>((((VLOOKUP(B82,Database!$F:$AY,MATCH($G$1,Database!$F$1:$AY$1,),))))-(((VLOOKUP(EDATE(B82,-12),Database!$F:$AY,MATCH($G$1,Database!$F$1:$AY$1,),)))))/(((VLOOKUP(EDATE(B82,-12),Database!$F:$AY,MATCH($G$1,Database!$F$1:$AY$1,),))))</f>
        <v>6.9500278745508501E-2</v>
      </c>
      <c r="H82" s="13">
        <f>((((VLOOKUP(B82,Database!$F:$AY,MATCH($H$1,Database!$F$1:$AY$1,),))))-(((VLOOKUP(EDATE(B82,-12),Database!$F:$AY,MATCH($H$1,Database!$F$1:$AY$1,),)))))/(((VLOOKUP(EDATE(B82,-12),Database!$F:$AY,MATCH($H$1,Database!$F$1:$AY$1,),))))</f>
        <v>5.0595531666181255E-2</v>
      </c>
      <c r="I82" s="13">
        <f>((((VLOOKUP(B82,Database!$F:$AY,MATCH($I$1,Database!$F$1:$AY$1,),))))-(((VLOOKUP(EDATE(B82,-12),Database!$F:$AY,MATCH($I$1,Database!$F$1:$AY$1,),)))))/(((VLOOKUP(EDATE(B82,-12),Database!$F:$AY,MATCH($I$1,Database!$F$1:$AY$1,),))))</f>
        <v>8.9707171134145253E-2</v>
      </c>
      <c r="J82" s="13">
        <f>((((VLOOKUP(B82,Database!$F:$AY,MATCH($J$1,Database!$F$1:$AY$1,),))))-(((VLOOKUP(EDATE(B82,-12),Database!$F:$AY,MATCH($J$1,Database!$F$1:$AY$1,),)))))/(((VLOOKUP(EDATE(B82,-12),Database!$F:$AY,MATCH($J$1,Database!$F$1:$AY$1,),))))</f>
        <v>9.3670370754833532E-2</v>
      </c>
      <c r="K82" s="13">
        <f>((((VLOOKUP(B82,Database!$F:$AY,MATCH($K$1,Database!$F$1:$AY$1,),))))-(((VLOOKUP(EDATE(B82,-12),Database!$F:$AY,MATCH($K$1,Database!$F$1:$AY$1,),)))))/(((VLOOKUP(EDATE(B82,-12),Database!$F:$AY,MATCH($K$1,Database!$F$1:$AY$1,),))))</f>
        <v>0.14739887900921692</v>
      </c>
      <c r="L82" s="13">
        <f>((((VLOOKUP(B82,Database!$F:$AY,MATCH($L$1,Database!$F$1:$AY$1,),))))-(((VLOOKUP(EDATE(B82,-12),Database!$F:$AY,MATCH($L$1,Database!$F$1:$AY$1,),)))))/(((VLOOKUP(EDATE(B82,-12),Database!$F:$AY,MATCH($L$1,Database!$F$1:$AY$1,),))))</f>
        <v>6.1402555267100339E-2</v>
      </c>
      <c r="M82" s="13">
        <f>((((VLOOKUP(B82,Database!$F:$AY,MATCH($M$1,Database!$F$1:$AY$1,),))))-(((VLOOKUP(EDATE(B82,-12),Database!$F:$AY,MATCH($M$1,Database!$F$1:$AY$1,),)))))/(((VLOOKUP(EDATE(B82,-12),Database!$F:$AY,MATCH($M$1,Database!$F$1:$AY$1,),))))</f>
        <v>-0.15082793103060171</v>
      </c>
      <c r="N82" s="13" t="e">
        <f>((((VLOOKUP(B82,Database!$F:$AY,MATCH($N$1,Database!$F$1:$AY$1,),))))-(((VLOOKUP(EDATE(B82,-12),Database!$F:$AY,MATCH($N$1,Database!$F$1:$AY$1,),)))))/(((VLOOKUP(EDATE(B82,-12),Database!$F:$AY,MATCH($N$1,Database!$F$1:$AY$1,),))))</f>
        <v>#DIV/0!</v>
      </c>
      <c r="O82" s="13">
        <f>((((VLOOKUP(B82,Database!$F:$AY,MATCH($O$1,Database!$F$1:$AY$1,),))))-(((VLOOKUP(EDATE(B82,-12),Database!$F:$AY,MATCH($O$1,Database!$F$1:$AY$1,),)))))/(((VLOOKUP(EDATE(B82,-12),Database!$F:$AY,MATCH($O$1,Database!$F$1:$AY$1,),))))</f>
        <v>7.5626007271118234E-2</v>
      </c>
      <c r="P82" s="13">
        <f>((((VLOOKUP(B82,Database!$F:$AY,MATCH($P$1,Database!$F$1:$AY$1,),))))-(((VLOOKUP(EDATE(B82,-12),Database!$F:$AY,MATCH($P$1,Database!$F$1:$AY$1,),)))))/(((VLOOKUP(EDATE(B82,-12),Database!$F:$AY,MATCH($P$1,Database!$F$1:$AY$1,),))))</f>
        <v>0.13501332217580764</v>
      </c>
      <c r="Q82" s="13">
        <f>((((VLOOKUP(B82,Database!$F:$AY,MATCH($Q$1,Database!$F$1:$AY$1,),))))-(((VLOOKUP(EDATE(B82,-12),Database!$F:$AY,MATCH($Q$1,Database!$F$1:$AY$1,),)))))/(((VLOOKUP(EDATE(B82,-12),Database!$F:$AY,MATCH($Q$1,Database!$F$1:$AY$1,),))))</f>
        <v>0.12895555743324838</v>
      </c>
      <c r="R82" s="13">
        <f>((((VLOOKUP(B82,Database!$F:$AY,MATCH($R$1,Database!$F$1:$AY$1,),))))-(((VLOOKUP(EDATE(B82,-12),Database!$F:$AY,MATCH($R$1,Database!$F$1:$AY$1,),)))))/(((VLOOKUP(EDATE(B82,-12),Database!$F:$AY,MATCH($R$1,Database!$F$1:$AY$1,),))))</f>
        <v>1.4506489526144643E-2</v>
      </c>
      <c r="S82" s="13">
        <f>((((VLOOKUP(B82,Database!$F:$AY,MATCH($S$1,Database!$F$1:$AY$1,),))))-(((VLOOKUP(EDATE(B82,-12),Database!$F:$AY,MATCH($S$1,Database!$F$1:$AY$1,),)))))/(((VLOOKUP(EDATE(B82,-12),Database!$F:$AY,MATCH($S$1,Database!$F$1:$AY$1,),))))</f>
        <v>0.15248238381436088</v>
      </c>
      <c r="T82" s="13">
        <f>((((VLOOKUP(B82,Database!$F:$AY,MATCH($T$1,Database!$F$1:$AY$1,),))))-(((VLOOKUP(EDATE(B82,-12),Database!$F:$AY,MATCH($T$1,Database!$F$1:$AY$1,),)))))/(((VLOOKUP(EDATE(B82,-12),Database!$F:$AY,MATCH($T$1,Database!$F$1:$AY$1,),))))</f>
        <v>-2.253511842114149E-2</v>
      </c>
      <c r="U82" s="13">
        <f>((((VLOOKUP(B82,Database!$F:$AY,MATCH($U$1,Database!$F$1:$AY$1,),))))-(((VLOOKUP(EDATE(B82,-12),Database!$F:$AY,MATCH($U$1,Database!$F$1:$AY$1,),)))))/(((VLOOKUP(EDATE(B82,-12),Database!$F:$AY,MATCH($U$1,Database!$F$1:$AY$1,),))))</f>
        <v>3.60367449409639E-2</v>
      </c>
      <c r="V82" s="13">
        <f>((((VLOOKUP(B82,Database!$F:$AY,MATCH($V$1,Database!$F$1:$AY$1,),))))-(((VLOOKUP(EDATE(B82,-12),Database!$F:$AY,MATCH($V$1,Database!$F$1:$AY$1,),)))))/(((VLOOKUP(EDATE(B82,-12),Database!$F:$AY,MATCH($V$1,Database!$F$1:$AY$1,),))))</f>
        <v>0.13503938972061763</v>
      </c>
    </row>
    <row r="83" spans="1:22" s="85" customFormat="1" x14ac:dyDescent="0.2">
      <c r="A83" s="44"/>
      <c r="B83" s="91">
        <v>34669</v>
      </c>
      <c r="C83" s="13">
        <f>((((VLOOKUP(B83,Database!$F:$AY,MATCH($C$1,Database!$F$1:$AY$1,),))))-(((VLOOKUP(EDATE(B83,-12),Database!$F:$AY,MATCH($C$1,Database!$F$1:$AY$1,),)))))/(((VLOOKUP(EDATE(B83,-12),Database!$F:$AY,MATCH($C$1,Database!$F$1:$AY$1,),))))</f>
        <v>6.9812062567087788E-2</v>
      </c>
      <c r="D83" s="13">
        <f>((((VLOOKUP(B83,Database!$F:$AY,MATCH($D$1,Database!$F$1:$AY$1,),))))-(((VLOOKUP(EDATE(B83,-12),Database!$F:$AY,MATCH($D$1,Database!$F$1:$AY$1,),)))))/(((VLOOKUP(EDATE(B83,-12),Database!$F:$AY,MATCH($D$1,Database!$F$1:$AY$1,),))))</f>
        <v>8.2894729569425521E-2</v>
      </c>
      <c r="E83" s="13">
        <f>((((VLOOKUP(B83,Database!$F:$AY,MATCH($E$1,Database!$F$1:$AY$1,),))))-(((VLOOKUP(EDATE(B83,-12),Database!$F:$AY,MATCH($E$1,Database!$F$1:$AY$1,),)))))/(((VLOOKUP(EDATE(B83,-12),Database!$F:$AY,MATCH($E$1,Database!$F$1:$AY$1,),))))</f>
        <v>6.9444305438424711E-2</v>
      </c>
      <c r="F83" s="13">
        <f>((((VLOOKUP(B83,Database!$F:$AY,MATCH($F$1,Database!$F$1:$AY$1,),))))-(((VLOOKUP(EDATE(B83,-12),Database!$F:$AY,MATCH($F$1,Database!$F$1:$AY$1,),)))))/(((VLOOKUP(EDATE(B83,-12),Database!$F:$AY,MATCH($F$1,Database!$F$1:$AY$1,),))))</f>
        <v>5.6379766921252572E-2</v>
      </c>
      <c r="G83" s="13">
        <f>((((VLOOKUP(B83,Database!$F:$AY,MATCH($G$1,Database!$F$1:$AY$1,),))))-(((VLOOKUP(EDATE(B83,-12),Database!$F:$AY,MATCH($G$1,Database!$F$1:$AY$1,),)))))/(((VLOOKUP(EDATE(B83,-12),Database!$F:$AY,MATCH($G$1,Database!$F$1:$AY$1,),))))</f>
        <v>7.7547283713408244E-2</v>
      </c>
      <c r="H83" s="13">
        <f>((((VLOOKUP(B83,Database!$F:$AY,MATCH($H$1,Database!$F$1:$AY$1,),))))-(((VLOOKUP(EDATE(B83,-12),Database!$F:$AY,MATCH($H$1,Database!$F$1:$AY$1,),)))))/(((VLOOKUP(EDATE(B83,-12),Database!$F:$AY,MATCH($H$1,Database!$F$1:$AY$1,),))))</f>
        <v>5.8357931088338158E-2</v>
      </c>
      <c r="I83" s="13">
        <f>((((VLOOKUP(B83,Database!$F:$AY,MATCH($I$1,Database!$F$1:$AY$1,),))))-(((VLOOKUP(EDATE(B83,-12),Database!$F:$AY,MATCH($I$1,Database!$F$1:$AY$1,),)))))/(((VLOOKUP(EDATE(B83,-12),Database!$F:$AY,MATCH($I$1,Database!$F$1:$AY$1,),))))</f>
        <v>0.11720161979446303</v>
      </c>
      <c r="J83" s="13">
        <f>((((VLOOKUP(B83,Database!$F:$AY,MATCH($J$1,Database!$F$1:$AY$1,),))))-(((VLOOKUP(EDATE(B83,-12),Database!$F:$AY,MATCH($J$1,Database!$F$1:$AY$1,),)))))/(((VLOOKUP(EDATE(B83,-12),Database!$F:$AY,MATCH($J$1,Database!$F$1:$AY$1,),))))</f>
        <v>0.12230954613481634</v>
      </c>
      <c r="K83" s="13">
        <f>((((VLOOKUP(B83,Database!$F:$AY,MATCH($K$1,Database!$F$1:$AY$1,),))))-(((VLOOKUP(EDATE(B83,-12),Database!$F:$AY,MATCH($K$1,Database!$F$1:$AY$1,),)))))/(((VLOOKUP(EDATE(B83,-12),Database!$F:$AY,MATCH($K$1,Database!$F$1:$AY$1,),))))</f>
        <v>0.13333316514441695</v>
      </c>
      <c r="L83" s="13">
        <f>((((VLOOKUP(B83,Database!$F:$AY,MATCH($L$1,Database!$F$1:$AY$1,),))))-(((VLOOKUP(EDATE(B83,-12),Database!$F:$AY,MATCH($L$1,Database!$F$1:$AY$1,),)))))/(((VLOOKUP(EDATE(B83,-12),Database!$F:$AY,MATCH($L$1,Database!$F$1:$AY$1,),))))</f>
        <v>2.8161973410514372E-2</v>
      </c>
      <c r="M83" s="13">
        <f>((((VLOOKUP(B83,Database!$F:$AY,MATCH($M$1,Database!$F$1:$AY$1,),))))-(((VLOOKUP(EDATE(B83,-12),Database!$F:$AY,MATCH($M$1,Database!$F$1:$AY$1,),)))))/(((VLOOKUP(EDATE(B83,-12),Database!$F:$AY,MATCH($M$1,Database!$F$1:$AY$1,),))))</f>
        <v>-8.9993609852010242E-2</v>
      </c>
      <c r="N83" s="13" t="e">
        <f>((((VLOOKUP(B83,Database!$F:$AY,MATCH($N$1,Database!$F$1:$AY$1,),))))-(((VLOOKUP(EDATE(B83,-12),Database!$F:$AY,MATCH($N$1,Database!$F$1:$AY$1,),)))))/(((VLOOKUP(EDATE(B83,-12),Database!$F:$AY,MATCH($N$1,Database!$F$1:$AY$1,),))))</f>
        <v>#DIV/0!</v>
      </c>
      <c r="O83" s="13">
        <f>((((VLOOKUP(B83,Database!$F:$AY,MATCH($O$1,Database!$F$1:$AY$1,),))))-(((VLOOKUP(EDATE(B83,-12),Database!$F:$AY,MATCH($O$1,Database!$F$1:$AY$1,),)))))/(((VLOOKUP(EDATE(B83,-12),Database!$F:$AY,MATCH($O$1,Database!$F$1:$AY$1,),))))</f>
        <v>0.1022753626592806</v>
      </c>
      <c r="P83" s="13">
        <f>((((VLOOKUP(B83,Database!$F:$AY,MATCH($P$1,Database!$F$1:$AY$1,),))))-(((VLOOKUP(EDATE(B83,-12),Database!$F:$AY,MATCH($P$1,Database!$F$1:$AY$1,),)))))/(((VLOOKUP(EDATE(B83,-12),Database!$F:$AY,MATCH($P$1,Database!$F$1:$AY$1,),))))</f>
        <v>0.10250863828585255</v>
      </c>
      <c r="Q83" s="13">
        <f>((((VLOOKUP(B83,Database!$F:$AY,MATCH($Q$1,Database!$F$1:$AY$1,),))))-(((VLOOKUP(EDATE(B83,-12),Database!$F:$AY,MATCH($Q$1,Database!$F$1:$AY$1,),)))))/(((VLOOKUP(EDATE(B83,-12),Database!$F:$AY,MATCH($Q$1,Database!$F$1:$AY$1,),))))</f>
        <v>0.17095082977814213</v>
      </c>
      <c r="R83" s="13">
        <f>((((VLOOKUP(B83,Database!$F:$AY,MATCH($R$1,Database!$F$1:$AY$1,),))))-(((VLOOKUP(EDATE(B83,-12),Database!$F:$AY,MATCH($R$1,Database!$F$1:$AY$1,),)))))/(((VLOOKUP(EDATE(B83,-12),Database!$F:$AY,MATCH($R$1,Database!$F$1:$AY$1,),))))</f>
        <v>2.8035817135235539E-2</v>
      </c>
      <c r="S83" s="13">
        <f>((((VLOOKUP(B83,Database!$F:$AY,MATCH($S$1,Database!$F$1:$AY$1,),))))-(((VLOOKUP(EDATE(B83,-12),Database!$F:$AY,MATCH($S$1,Database!$F$1:$AY$1,),)))))/(((VLOOKUP(EDATE(B83,-12),Database!$F:$AY,MATCH($S$1,Database!$F$1:$AY$1,),))))</f>
        <v>0.18275878482787927</v>
      </c>
      <c r="T83" s="13">
        <f>((((VLOOKUP(B83,Database!$F:$AY,MATCH($T$1,Database!$F$1:$AY$1,),))))-(((VLOOKUP(EDATE(B83,-12),Database!$F:$AY,MATCH($T$1,Database!$F$1:$AY$1,),)))))/(((VLOOKUP(EDATE(B83,-12),Database!$F:$AY,MATCH($T$1,Database!$F$1:$AY$1,),))))</f>
        <v>-0.11227149206422163</v>
      </c>
      <c r="U83" s="13">
        <f>((((VLOOKUP(B83,Database!$F:$AY,MATCH($U$1,Database!$F$1:$AY$1,),))))-(((VLOOKUP(EDATE(B83,-12),Database!$F:$AY,MATCH($U$1,Database!$F$1:$AY$1,),)))))/(((VLOOKUP(EDATE(B83,-12),Database!$F:$AY,MATCH($U$1,Database!$F$1:$AY$1,),))))</f>
        <v>7.4636179550414836E-2</v>
      </c>
      <c r="V83" s="13">
        <f>((((VLOOKUP(B83,Database!$F:$AY,MATCH($V$1,Database!$F$1:$AY$1,),))))-(((VLOOKUP(EDATE(B83,-12),Database!$F:$AY,MATCH($V$1,Database!$F$1:$AY$1,),)))))/(((VLOOKUP(EDATE(B83,-12),Database!$F:$AY,MATCH($V$1,Database!$F$1:$AY$1,),))))</f>
        <v>0.18590697161094472</v>
      </c>
    </row>
    <row r="84" spans="1:22" s="85" customFormat="1" x14ac:dyDescent="0.2">
      <c r="A84" s="44"/>
      <c r="B84" s="91">
        <v>34700</v>
      </c>
      <c r="C84" s="13">
        <f>((((VLOOKUP(B84,Database!$F:$AY,MATCH($C$1,Database!$F$1:$AY$1,),))))-(((VLOOKUP(EDATE(B84,-12),Database!$F:$AY,MATCH($C$1,Database!$F$1:$AY$1,),)))))/(((VLOOKUP(EDATE(B84,-12),Database!$F:$AY,MATCH($C$1,Database!$F$1:$AY$1,),))))</f>
        <v>6.7725068793362569E-2</v>
      </c>
      <c r="D84" s="13">
        <f>((((VLOOKUP(B84,Database!$F:$AY,MATCH($D$1,Database!$F$1:$AY$1,),))))-(((VLOOKUP(EDATE(B84,-12),Database!$F:$AY,MATCH($D$1,Database!$F$1:$AY$1,),)))))/(((VLOOKUP(EDATE(B84,-12),Database!$F:$AY,MATCH($D$1,Database!$F$1:$AY$1,),))))</f>
        <v>7.3587425605212503E-2</v>
      </c>
      <c r="E84" s="13">
        <f>((((VLOOKUP(B84,Database!$F:$AY,MATCH($E$1,Database!$F$1:$AY$1,),))))-(((VLOOKUP(EDATE(B84,-12),Database!$F:$AY,MATCH($E$1,Database!$F$1:$AY$1,),)))))/(((VLOOKUP(EDATE(B84,-12),Database!$F:$AY,MATCH($E$1,Database!$F$1:$AY$1,),))))</f>
        <v>5.2575107409661162E-2</v>
      </c>
      <c r="F84" s="13">
        <f>((((VLOOKUP(B84,Database!$F:$AY,MATCH($F$1,Database!$F$1:$AY$1,),))))-(((VLOOKUP(EDATE(B84,-12),Database!$F:$AY,MATCH($F$1,Database!$F$1:$AY$1,),)))))/(((VLOOKUP(EDATE(B84,-12),Database!$F:$AY,MATCH($F$1,Database!$F$1:$AY$1,),))))</f>
        <v>4.0238374553111071E-2</v>
      </c>
      <c r="G84" s="13">
        <f>((((VLOOKUP(B84,Database!$F:$AY,MATCH($G$1,Database!$F$1:$AY$1,),))))-(((VLOOKUP(EDATE(B84,-12),Database!$F:$AY,MATCH($G$1,Database!$F$1:$AY$1,),)))))/(((VLOOKUP(EDATE(B84,-12),Database!$F:$AY,MATCH($G$1,Database!$F$1:$AY$1,),))))</f>
        <v>6.5430157441796422E-2</v>
      </c>
      <c r="H84" s="13">
        <f>((((VLOOKUP(B84,Database!$F:$AY,MATCH($H$1,Database!$F$1:$AY$1,),))))-(((VLOOKUP(EDATE(B84,-12),Database!$F:$AY,MATCH($H$1,Database!$F$1:$AY$1,),)))))/(((VLOOKUP(EDATE(B84,-12),Database!$F:$AY,MATCH($H$1,Database!$F$1:$AY$1,),))))</f>
        <v>3.3431449288174368E-2</v>
      </c>
      <c r="I84" s="13">
        <f>((((VLOOKUP(B84,Database!$F:$AY,MATCH($I$1,Database!$F$1:$AY$1,),))))-(((VLOOKUP(EDATE(B84,-12),Database!$F:$AY,MATCH($I$1,Database!$F$1:$AY$1,),)))))/(((VLOOKUP(EDATE(B84,-12),Database!$F:$AY,MATCH($I$1,Database!$F$1:$AY$1,),))))</f>
        <v>0.11027304809446964</v>
      </c>
      <c r="J84" s="13">
        <f>((((VLOOKUP(B84,Database!$F:$AY,MATCH($J$1,Database!$F$1:$AY$1,),))))-(((VLOOKUP(EDATE(B84,-12),Database!$F:$AY,MATCH($J$1,Database!$F$1:$AY$1,),)))))/(((VLOOKUP(EDATE(B84,-12),Database!$F:$AY,MATCH($J$1,Database!$F$1:$AY$1,),))))</f>
        <v>0.1215484307751825</v>
      </c>
      <c r="K84" s="13">
        <f>((((VLOOKUP(B84,Database!$F:$AY,MATCH($K$1,Database!$F$1:$AY$1,),))))-(((VLOOKUP(EDATE(B84,-12),Database!$F:$AY,MATCH($K$1,Database!$F$1:$AY$1,),)))))/(((VLOOKUP(EDATE(B84,-12),Database!$F:$AY,MATCH($K$1,Database!$F$1:$AY$1,),))))</f>
        <v>0.14386464480857555</v>
      </c>
      <c r="L84" s="13">
        <f>((((VLOOKUP(B84,Database!$F:$AY,MATCH($L$1,Database!$F$1:$AY$1,),))))-(((VLOOKUP(EDATE(B84,-12),Database!$F:$AY,MATCH($L$1,Database!$F$1:$AY$1,),)))))/(((VLOOKUP(EDATE(B84,-12),Database!$F:$AY,MATCH($L$1,Database!$F$1:$AY$1,),))))</f>
        <v>-3.3405308910732425E-3</v>
      </c>
      <c r="M84" s="13">
        <f>((((VLOOKUP(B84,Database!$F:$AY,MATCH($M$1,Database!$F$1:$AY$1,),))))-(((VLOOKUP(EDATE(B84,-12),Database!$F:$AY,MATCH($M$1,Database!$F$1:$AY$1,),)))))/(((VLOOKUP(EDATE(B84,-12),Database!$F:$AY,MATCH($M$1,Database!$F$1:$AY$1,),))))</f>
        <v>-7.5198995279403234E-3</v>
      </c>
      <c r="N84" s="13" t="e">
        <f>((((VLOOKUP(B84,Database!$F:$AY,MATCH($N$1,Database!$F$1:$AY$1,),))))-(((VLOOKUP(EDATE(B84,-12),Database!$F:$AY,MATCH($N$1,Database!$F$1:$AY$1,),)))))/(((VLOOKUP(EDATE(B84,-12),Database!$F:$AY,MATCH($N$1,Database!$F$1:$AY$1,),))))</f>
        <v>#DIV/0!</v>
      </c>
      <c r="O84" s="13">
        <f>((((VLOOKUP(B84,Database!$F:$AY,MATCH($O$1,Database!$F$1:$AY$1,),))))-(((VLOOKUP(EDATE(B84,-12),Database!$F:$AY,MATCH($O$1,Database!$F$1:$AY$1,),)))))/(((VLOOKUP(EDATE(B84,-12),Database!$F:$AY,MATCH($O$1,Database!$F$1:$AY$1,),))))</f>
        <v>0.10258564972644596</v>
      </c>
      <c r="P84" s="13">
        <f>((((VLOOKUP(B84,Database!$F:$AY,MATCH($P$1,Database!$F$1:$AY$1,),))))-(((VLOOKUP(EDATE(B84,-12),Database!$F:$AY,MATCH($P$1,Database!$F$1:$AY$1,),)))))/(((VLOOKUP(EDATE(B84,-12),Database!$F:$AY,MATCH($P$1,Database!$F$1:$AY$1,),))))</f>
        <v>0.13817281385923744</v>
      </c>
      <c r="Q84" s="13">
        <f>((((VLOOKUP(B84,Database!$F:$AY,MATCH($Q$1,Database!$F$1:$AY$1,),))))-(((VLOOKUP(EDATE(B84,-12),Database!$F:$AY,MATCH($Q$1,Database!$F$1:$AY$1,),)))))/(((VLOOKUP(EDATE(B84,-12),Database!$F:$AY,MATCH($Q$1,Database!$F$1:$AY$1,),))))</f>
        <v>0.13456896865758464</v>
      </c>
      <c r="R84" s="13">
        <f>((((VLOOKUP(B84,Database!$F:$AY,MATCH($R$1,Database!$F$1:$AY$1,),))))-(((VLOOKUP(EDATE(B84,-12),Database!$F:$AY,MATCH($R$1,Database!$F$1:$AY$1,),)))))/(((VLOOKUP(EDATE(B84,-12),Database!$F:$AY,MATCH($R$1,Database!$F$1:$AY$1,),))))</f>
        <v>6.5045925192991974E-2</v>
      </c>
      <c r="S84" s="13">
        <f>((((VLOOKUP(B84,Database!$F:$AY,MATCH($S$1,Database!$F$1:$AY$1,),))))-(((VLOOKUP(EDATE(B84,-12),Database!$F:$AY,MATCH($S$1,Database!$F$1:$AY$1,),)))))/(((VLOOKUP(EDATE(B84,-12),Database!$F:$AY,MATCH($S$1,Database!$F$1:$AY$1,),))))</f>
        <v>0.16262976584771427</v>
      </c>
      <c r="T84" s="13">
        <f>((((VLOOKUP(B84,Database!$F:$AY,MATCH($T$1,Database!$F$1:$AY$1,),))))-(((VLOOKUP(EDATE(B84,-12),Database!$F:$AY,MATCH($T$1,Database!$F$1:$AY$1,),)))))/(((VLOOKUP(EDATE(B84,-12),Database!$F:$AY,MATCH($T$1,Database!$F$1:$AY$1,),))))</f>
        <v>-9.6858848459112565E-2</v>
      </c>
      <c r="U84" s="13">
        <f>((((VLOOKUP(B84,Database!$F:$AY,MATCH($U$1,Database!$F$1:$AY$1,),))))-(((VLOOKUP(EDATE(B84,-12),Database!$F:$AY,MATCH($U$1,Database!$F$1:$AY$1,),)))))/(((VLOOKUP(EDATE(B84,-12),Database!$F:$AY,MATCH($U$1,Database!$F$1:$AY$1,),))))</f>
        <v>0.15000717020281287</v>
      </c>
      <c r="V84" s="13">
        <f>((((VLOOKUP(B84,Database!$F:$AY,MATCH($V$1,Database!$F$1:$AY$1,),))))-(((VLOOKUP(EDATE(B84,-12),Database!$F:$AY,MATCH($V$1,Database!$F$1:$AY$1,),)))))/(((VLOOKUP(EDATE(B84,-12),Database!$F:$AY,MATCH($V$1,Database!$F$1:$AY$1,),))))</f>
        <v>0.12620738783336785</v>
      </c>
    </row>
    <row r="85" spans="1:22" s="85" customFormat="1" x14ac:dyDescent="0.2">
      <c r="A85" s="44"/>
      <c r="B85" s="91">
        <v>34731</v>
      </c>
      <c r="C85" s="13">
        <f>((((VLOOKUP(B85,Database!$F:$AY,MATCH($C$1,Database!$F$1:$AY$1,),))))-(((VLOOKUP(EDATE(B85,-12),Database!$F:$AY,MATCH($C$1,Database!$F$1:$AY$1,),)))))/(((VLOOKUP(EDATE(B85,-12),Database!$F:$AY,MATCH($C$1,Database!$F$1:$AY$1,),))))</f>
        <v>6.569724119235347E-2</v>
      </c>
      <c r="D85" s="13">
        <f>((((VLOOKUP(B85,Database!$F:$AY,MATCH($D$1,Database!$F$1:$AY$1,),))))-(((VLOOKUP(EDATE(B85,-12),Database!$F:$AY,MATCH($D$1,Database!$F$1:$AY$1,),)))))/(((VLOOKUP(EDATE(B85,-12),Database!$F:$AY,MATCH($D$1,Database!$F$1:$AY$1,),))))</f>
        <v>6.0880874829780524E-2</v>
      </c>
      <c r="E85" s="13">
        <f>((((VLOOKUP(B85,Database!$F:$AY,MATCH($E$1,Database!$F$1:$AY$1,),))))-(((VLOOKUP(EDATE(B85,-12),Database!$F:$AY,MATCH($E$1,Database!$F$1:$AY$1,),)))))/(((VLOOKUP(EDATE(B85,-12),Database!$F:$AY,MATCH($E$1,Database!$F$1:$AY$1,),))))</f>
        <v>5.8511151098041905E-2</v>
      </c>
      <c r="F85" s="13">
        <f>((((VLOOKUP(B85,Database!$F:$AY,MATCH($F$1,Database!$F$1:$AY$1,),))))-(((VLOOKUP(EDATE(B85,-12),Database!$F:$AY,MATCH($F$1,Database!$F$1:$AY$1,),)))))/(((VLOOKUP(EDATE(B85,-12),Database!$F:$AY,MATCH($F$1,Database!$F$1:$AY$1,),))))</f>
        <v>3.9647653431299473E-2</v>
      </c>
      <c r="G85" s="13">
        <f>((((VLOOKUP(B85,Database!$F:$AY,MATCH($G$1,Database!$F$1:$AY$1,),))))-(((VLOOKUP(EDATE(B85,-12),Database!$F:$AY,MATCH($G$1,Database!$F$1:$AY$1,),)))))/(((VLOOKUP(EDATE(B85,-12),Database!$F:$AY,MATCH($G$1,Database!$F$1:$AY$1,),))))</f>
        <v>6.1522715311241011E-2</v>
      </c>
      <c r="H85" s="13">
        <f>((((VLOOKUP(B85,Database!$F:$AY,MATCH($H$1,Database!$F$1:$AY$1,),))))-(((VLOOKUP(EDATE(B85,-12),Database!$F:$AY,MATCH($H$1,Database!$F$1:$AY$1,),)))))/(((VLOOKUP(EDATE(B85,-12),Database!$F:$AY,MATCH($H$1,Database!$F$1:$AY$1,),))))</f>
        <v>3.0392079896541295E-2</v>
      </c>
      <c r="I85" s="13">
        <f>((((VLOOKUP(B85,Database!$F:$AY,MATCH($I$1,Database!$F$1:$AY$1,),))))-(((VLOOKUP(EDATE(B85,-12),Database!$F:$AY,MATCH($I$1,Database!$F$1:$AY$1,),)))))/(((VLOOKUP(EDATE(B85,-12),Database!$F:$AY,MATCH($I$1,Database!$F$1:$AY$1,),))))</f>
        <v>8.6270653394068142E-2</v>
      </c>
      <c r="J85" s="13">
        <f>((((VLOOKUP(B85,Database!$F:$AY,MATCH($J$1,Database!$F$1:$AY$1,),))))-(((VLOOKUP(EDATE(B85,-12),Database!$F:$AY,MATCH($J$1,Database!$F$1:$AY$1,),)))))/(((VLOOKUP(EDATE(B85,-12),Database!$F:$AY,MATCH($J$1,Database!$F$1:$AY$1,),))))</f>
        <v>7.5252004812462844E-2</v>
      </c>
      <c r="K85" s="13">
        <f>((((VLOOKUP(B85,Database!$F:$AY,MATCH($K$1,Database!$F$1:$AY$1,),))))-(((VLOOKUP(EDATE(B85,-12),Database!$F:$AY,MATCH($K$1,Database!$F$1:$AY$1,),)))))/(((VLOOKUP(EDATE(B85,-12),Database!$F:$AY,MATCH($K$1,Database!$F$1:$AY$1,),))))</f>
        <v>0.1229282614353608</v>
      </c>
      <c r="L85" s="13">
        <f>((((VLOOKUP(B85,Database!$F:$AY,MATCH($L$1,Database!$F$1:$AY$1,),))))-(((VLOOKUP(EDATE(B85,-12),Database!$F:$AY,MATCH($L$1,Database!$F$1:$AY$1,),)))))/(((VLOOKUP(EDATE(B85,-12),Database!$F:$AY,MATCH($L$1,Database!$F$1:$AY$1,),))))</f>
        <v>-7.2795488281150941E-2</v>
      </c>
      <c r="M85" s="13">
        <f>((((VLOOKUP(B85,Database!$F:$AY,MATCH($M$1,Database!$F$1:$AY$1,),))))-(((VLOOKUP(EDATE(B85,-12),Database!$F:$AY,MATCH($M$1,Database!$F$1:$AY$1,),)))))/(((VLOOKUP(EDATE(B85,-12),Database!$F:$AY,MATCH($M$1,Database!$F$1:$AY$1,),))))</f>
        <v>-4.2439608208804339E-2</v>
      </c>
      <c r="N85" s="13" t="e">
        <f>((((VLOOKUP(B85,Database!$F:$AY,MATCH($N$1,Database!$F$1:$AY$1,),))))-(((VLOOKUP(EDATE(B85,-12),Database!$F:$AY,MATCH($N$1,Database!$F$1:$AY$1,),)))))/(((VLOOKUP(EDATE(B85,-12),Database!$F:$AY,MATCH($N$1,Database!$F$1:$AY$1,),))))</f>
        <v>#DIV/0!</v>
      </c>
      <c r="O85" s="13">
        <f>((((VLOOKUP(B85,Database!$F:$AY,MATCH($O$1,Database!$F$1:$AY$1,),))))-(((VLOOKUP(EDATE(B85,-12),Database!$F:$AY,MATCH($O$1,Database!$F$1:$AY$1,),)))))/(((VLOOKUP(EDATE(B85,-12),Database!$F:$AY,MATCH($O$1,Database!$F$1:$AY$1,),))))</f>
        <v>9.9694506470080768E-2</v>
      </c>
      <c r="P85" s="13">
        <f>((((VLOOKUP(B85,Database!$F:$AY,MATCH($P$1,Database!$F$1:$AY$1,),))))-(((VLOOKUP(EDATE(B85,-12),Database!$F:$AY,MATCH($P$1,Database!$F$1:$AY$1,),)))))/(((VLOOKUP(EDATE(B85,-12),Database!$F:$AY,MATCH($P$1,Database!$F$1:$AY$1,),))))</f>
        <v>0.12858937707587401</v>
      </c>
      <c r="Q85" s="13">
        <f>((((VLOOKUP(B85,Database!$F:$AY,MATCH($Q$1,Database!$F$1:$AY$1,),))))-(((VLOOKUP(EDATE(B85,-12),Database!$F:$AY,MATCH($Q$1,Database!$F$1:$AY$1,),)))))/(((VLOOKUP(EDATE(B85,-12),Database!$F:$AY,MATCH($Q$1,Database!$F$1:$AY$1,),))))</f>
        <v>0.14958092630782269</v>
      </c>
      <c r="R85" s="13">
        <f>((((VLOOKUP(B85,Database!$F:$AY,MATCH($R$1,Database!$F$1:$AY$1,),))))-(((VLOOKUP(EDATE(B85,-12),Database!$F:$AY,MATCH($R$1,Database!$F$1:$AY$1,),)))))/(((VLOOKUP(EDATE(B85,-12),Database!$F:$AY,MATCH($R$1,Database!$F$1:$AY$1,),))))</f>
        <v>4.2289452441813619E-2</v>
      </c>
      <c r="S85" s="13">
        <f>((((VLOOKUP(B85,Database!$F:$AY,MATCH($S$1,Database!$F$1:$AY$1,),))))-(((VLOOKUP(EDATE(B85,-12),Database!$F:$AY,MATCH($S$1,Database!$F$1:$AY$1,),)))))/(((VLOOKUP(EDATE(B85,-12),Database!$F:$AY,MATCH($S$1,Database!$F$1:$AY$1,),))))</f>
        <v>0.13029323819921468</v>
      </c>
      <c r="T85" s="13">
        <f>((((VLOOKUP(B85,Database!$F:$AY,MATCH($T$1,Database!$F$1:$AY$1,),))))-(((VLOOKUP(EDATE(B85,-12),Database!$F:$AY,MATCH($T$1,Database!$F$1:$AY$1,),)))))/(((VLOOKUP(EDATE(B85,-12),Database!$F:$AY,MATCH($T$1,Database!$F$1:$AY$1,),))))</f>
        <v>-1.4662804761452318E-2</v>
      </c>
      <c r="U85" s="13">
        <f>((((VLOOKUP(B85,Database!$F:$AY,MATCH($U$1,Database!$F$1:$AY$1,),))))-(((VLOOKUP(EDATE(B85,-12),Database!$F:$AY,MATCH($U$1,Database!$F$1:$AY$1,),)))))/(((VLOOKUP(EDATE(B85,-12),Database!$F:$AY,MATCH($U$1,Database!$F$1:$AY$1,),))))</f>
        <v>0.12340412646547649</v>
      </c>
      <c r="V85" s="13">
        <f>((((VLOOKUP(B85,Database!$F:$AY,MATCH($V$1,Database!$F$1:$AY$1,),))))-(((VLOOKUP(EDATE(B85,-12),Database!$F:$AY,MATCH($V$1,Database!$F$1:$AY$1,),)))))/(((VLOOKUP(EDATE(B85,-12),Database!$F:$AY,MATCH($V$1,Database!$F$1:$AY$1,),))))</f>
        <v>0.13691188337645321</v>
      </c>
    </row>
    <row r="86" spans="1:22" s="85" customFormat="1" x14ac:dyDescent="0.2">
      <c r="A86" s="44"/>
      <c r="B86" s="91">
        <v>34759</v>
      </c>
      <c r="C86" s="13">
        <f>((((VLOOKUP(B86,Database!$F:$AY,MATCH($C$1,Database!$F$1:$AY$1,),))))-(((VLOOKUP(EDATE(B86,-12),Database!$F:$AY,MATCH($C$1,Database!$F$1:$AY$1,),)))))/(((VLOOKUP(EDATE(B86,-12),Database!$F:$AY,MATCH($C$1,Database!$F$1:$AY$1,),))))</f>
        <v>5.6587504849554854E-2</v>
      </c>
      <c r="D86" s="13">
        <f>((((VLOOKUP(B86,Database!$F:$AY,MATCH($D$1,Database!$F$1:$AY$1,),))))-(((VLOOKUP(EDATE(B86,-12),Database!$F:$AY,MATCH($D$1,Database!$F$1:$AY$1,),)))))/(((VLOOKUP(EDATE(B86,-12),Database!$F:$AY,MATCH($D$1,Database!$F$1:$AY$1,),))))</f>
        <v>5.8214745225336428E-2</v>
      </c>
      <c r="E86" s="13">
        <f>((((VLOOKUP(B86,Database!$F:$AY,MATCH($E$1,Database!$F$1:$AY$1,),))))-(((VLOOKUP(EDATE(B86,-12),Database!$F:$AY,MATCH($E$1,Database!$F$1:$AY$1,),)))))/(((VLOOKUP(EDATE(B86,-12),Database!$F:$AY,MATCH($E$1,Database!$F$1:$AY$1,),))))</f>
        <v>5.7895245459062536E-2</v>
      </c>
      <c r="F86" s="13">
        <f>((((VLOOKUP(B86,Database!$F:$AY,MATCH($F$1,Database!$F$1:$AY$1,),))))-(((VLOOKUP(EDATE(B86,-12),Database!$F:$AY,MATCH($F$1,Database!$F$1:$AY$1,),)))))/(((VLOOKUP(EDATE(B86,-12),Database!$F:$AY,MATCH($F$1,Database!$F$1:$AY$1,),))))</f>
        <v>3.2448279244509305E-2</v>
      </c>
      <c r="G86" s="13">
        <f>((((VLOOKUP(B86,Database!$F:$AY,MATCH($G$1,Database!$F$1:$AY$1,),))))-(((VLOOKUP(EDATE(B86,-12),Database!$F:$AY,MATCH($G$1,Database!$F$1:$AY$1,),)))))/(((VLOOKUP(EDATE(B86,-12),Database!$F:$AY,MATCH($G$1,Database!$F$1:$AY$1,),))))</f>
        <v>7.1159315290689085E-2</v>
      </c>
      <c r="H86" s="13">
        <f>((((VLOOKUP(B86,Database!$F:$AY,MATCH($H$1,Database!$F$1:$AY$1,),))))-(((VLOOKUP(EDATE(B86,-12),Database!$F:$AY,MATCH($H$1,Database!$F$1:$AY$1,),)))))/(((VLOOKUP(EDATE(B86,-12),Database!$F:$AY,MATCH($H$1,Database!$F$1:$AY$1,),))))</f>
        <v>3.0272545911811433E-2</v>
      </c>
      <c r="I86" s="13">
        <f>((((VLOOKUP(B86,Database!$F:$AY,MATCH($I$1,Database!$F$1:$AY$1,),))))-(((VLOOKUP(EDATE(B86,-12),Database!$F:$AY,MATCH($I$1,Database!$F$1:$AY$1,),)))))/(((VLOOKUP(EDATE(B86,-12),Database!$F:$AY,MATCH($I$1,Database!$F$1:$AY$1,),))))</f>
        <v>7.4107725345843062E-2</v>
      </c>
      <c r="J86" s="13">
        <f>((((VLOOKUP(B86,Database!$F:$AY,MATCH($J$1,Database!$F$1:$AY$1,),))))-(((VLOOKUP(EDATE(B86,-12),Database!$F:$AY,MATCH($J$1,Database!$F$1:$AY$1,),)))))/(((VLOOKUP(EDATE(B86,-12),Database!$F:$AY,MATCH($J$1,Database!$F$1:$AY$1,),))))</f>
        <v>7.5763228046795E-2</v>
      </c>
      <c r="K86" s="13">
        <f>((((VLOOKUP(B86,Database!$F:$AY,MATCH($K$1,Database!$F$1:$AY$1,),))))-(((VLOOKUP(EDATE(B86,-12),Database!$F:$AY,MATCH($K$1,Database!$F$1:$AY$1,),)))))/(((VLOOKUP(EDATE(B86,-12),Database!$F:$AY,MATCH($K$1,Database!$F$1:$AY$1,),))))</f>
        <v>0.13461532458123063</v>
      </c>
      <c r="L86" s="13">
        <f>((((VLOOKUP(B86,Database!$F:$AY,MATCH($L$1,Database!$F$1:$AY$1,),))))-(((VLOOKUP(EDATE(B86,-12),Database!$F:$AY,MATCH($L$1,Database!$F$1:$AY$1,),)))))/(((VLOOKUP(EDATE(B86,-12),Database!$F:$AY,MATCH($L$1,Database!$F$1:$AY$1,),))))</f>
        <v>-9.0511787260838722E-2</v>
      </c>
      <c r="M86" s="13">
        <f>((((VLOOKUP(B86,Database!$F:$AY,MATCH($M$1,Database!$F$1:$AY$1,),))))-(((VLOOKUP(EDATE(B86,-12),Database!$F:$AY,MATCH($M$1,Database!$F$1:$AY$1,),)))))/(((VLOOKUP(EDATE(B86,-12),Database!$F:$AY,MATCH($M$1,Database!$F$1:$AY$1,),))))</f>
        <v>-5.6998401365969585E-2</v>
      </c>
      <c r="N86" s="13" t="e">
        <f>((((VLOOKUP(B86,Database!$F:$AY,MATCH($N$1,Database!$F$1:$AY$1,),))))-(((VLOOKUP(EDATE(B86,-12),Database!$F:$AY,MATCH($N$1,Database!$F$1:$AY$1,),)))))/(((VLOOKUP(EDATE(B86,-12),Database!$F:$AY,MATCH($N$1,Database!$F$1:$AY$1,),))))</f>
        <v>#DIV/0!</v>
      </c>
      <c r="O86" s="13">
        <f>((((VLOOKUP(B86,Database!$F:$AY,MATCH($O$1,Database!$F$1:$AY$1,),))))-(((VLOOKUP(EDATE(B86,-12),Database!$F:$AY,MATCH($O$1,Database!$F$1:$AY$1,),)))))/(((VLOOKUP(EDATE(B86,-12),Database!$F:$AY,MATCH($O$1,Database!$F$1:$AY$1,),))))</f>
        <v>7.6903716899570318E-2</v>
      </c>
      <c r="P86" s="13">
        <f>((((VLOOKUP(B86,Database!$F:$AY,MATCH($P$1,Database!$F$1:$AY$1,),))))-(((VLOOKUP(EDATE(B86,-12),Database!$F:$AY,MATCH($P$1,Database!$F$1:$AY$1,),)))))/(((VLOOKUP(EDATE(B86,-12),Database!$F:$AY,MATCH($P$1,Database!$F$1:$AY$1,),))))</f>
        <v>0.14286223511614543</v>
      </c>
      <c r="Q86" s="13">
        <f>((((VLOOKUP(B86,Database!$F:$AY,MATCH($Q$1,Database!$F$1:$AY$1,),))))-(((VLOOKUP(EDATE(B86,-12),Database!$F:$AY,MATCH($Q$1,Database!$F$1:$AY$1,),)))))/(((VLOOKUP(EDATE(B86,-12),Database!$F:$AY,MATCH($Q$1,Database!$F$1:$AY$1,),))))</f>
        <v>0.13849906097477907</v>
      </c>
      <c r="R86" s="13">
        <f>((((VLOOKUP(B86,Database!$F:$AY,MATCH($R$1,Database!$F$1:$AY$1,),))))-(((VLOOKUP(EDATE(B86,-12),Database!$F:$AY,MATCH($R$1,Database!$F$1:$AY$1,),)))))/(((VLOOKUP(EDATE(B86,-12),Database!$F:$AY,MATCH($R$1,Database!$F$1:$AY$1,),))))</f>
        <v>3.7630573012907946E-2</v>
      </c>
      <c r="S86" s="13">
        <f>((((VLOOKUP(B86,Database!$F:$AY,MATCH($S$1,Database!$F$1:$AY$1,),))))-(((VLOOKUP(EDATE(B86,-12),Database!$F:$AY,MATCH($S$1,Database!$F$1:$AY$1,),)))))/(((VLOOKUP(EDATE(B86,-12),Database!$F:$AY,MATCH($S$1,Database!$F$1:$AY$1,),))))</f>
        <v>0.17880789533827213</v>
      </c>
      <c r="T86" s="13">
        <f>((((VLOOKUP(B86,Database!$F:$AY,MATCH($T$1,Database!$F$1:$AY$1,),))))-(((VLOOKUP(EDATE(B86,-12),Database!$F:$AY,MATCH($T$1,Database!$F$1:$AY$1,),)))))/(((VLOOKUP(EDATE(B86,-12),Database!$F:$AY,MATCH($T$1,Database!$F$1:$AY$1,),))))</f>
        <v>-1.7595307057831203E-2</v>
      </c>
      <c r="U86" s="13">
        <f>((((VLOOKUP(B86,Database!$F:$AY,MATCH($U$1,Database!$F$1:$AY$1,),))))-(((VLOOKUP(EDATE(B86,-12),Database!$F:$AY,MATCH($U$1,Database!$F$1:$AY$1,),)))))/(((VLOOKUP(EDATE(B86,-12),Database!$F:$AY,MATCH($U$1,Database!$F$1:$AY$1,),))))</f>
        <v>0.11561954762687435</v>
      </c>
      <c r="V86" s="13">
        <f>((((VLOOKUP(B86,Database!$F:$AY,MATCH($V$1,Database!$F$1:$AY$1,),))))-(((VLOOKUP(EDATE(B86,-12),Database!$F:$AY,MATCH($V$1,Database!$F$1:$AY$1,),)))))/(((VLOOKUP(EDATE(B86,-12),Database!$F:$AY,MATCH($V$1,Database!$F$1:$AY$1,),))))</f>
        <v>9.3091093739815639E-2</v>
      </c>
    </row>
    <row r="87" spans="1:22" s="85" customFormat="1" x14ac:dyDescent="0.2">
      <c r="A87" s="44"/>
      <c r="B87" s="91">
        <v>34790</v>
      </c>
      <c r="C87" s="13">
        <f>((((VLOOKUP(B87,Database!$F:$AY,MATCH($C$1,Database!$F$1:$AY$1,),))))-(((VLOOKUP(EDATE(B87,-12),Database!$F:$AY,MATCH($C$1,Database!$F$1:$AY$1,),)))))/(((VLOOKUP(EDATE(B87,-12),Database!$F:$AY,MATCH($C$1,Database!$F$1:$AY$1,),))))</f>
        <v>4.9962532272981898E-2</v>
      </c>
      <c r="D87" s="13">
        <f>((((VLOOKUP(B87,Database!$F:$AY,MATCH($D$1,Database!$F$1:$AY$1,),))))-(((VLOOKUP(EDATE(B87,-12),Database!$F:$AY,MATCH($D$1,Database!$F$1:$AY$1,),)))))/(((VLOOKUP(EDATE(B87,-12),Database!$F:$AY,MATCH($D$1,Database!$F$1:$AY$1,),))))</f>
        <v>4.32021195909661E-2</v>
      </c>
      <c r="E87" s="13">
        <f>((((VLOOKUP(B87,Database!$F:$AY,MATCH($E$1,Database!$F$1:$AY$1,),))))-(((VLOOKUP(EDATE(B87,-12),Database!$F:$AY,MATCH($E$1,Database!$F$1:$AY$1,),)))))/(((VLOOKUP(EDATE(B87,-12),Database!$F:$AY,MATCH($E$1,Database!$F$1:$AY$1,),))))</f>
        <v>6.0479959462174646E-2</v>
      </c>
      <c r="F87" s="13">
        <f>((((VLOOKUP(B87,Database!$F:$AY,MATCH($F$1,Database!$F$1:$AY$1,),))))-(((VLOOKUP(EDATE(B87,-12),Database!$F:$AY,MATCH($F$1,Database!$F$1:$AY$1,),)))))/(((VLOOKUP(EDATE(B87,-12),Database!$F:$AY,MATCH($F$1,Database!$F$1:$AY$1,),))))</f>
        <v>2.6239068330478961E-2</v>
      </c>
      <c r="G87" s="13">
        <f>((((VLOOKUP(B87,Database!$F:$AY,MATCH($G$1,Database!$F$1:$AY$1,),))))-(((VLOOKUP(EDATE(B87,-12),Database!$F:$AY,MATCH($G$1,Database!$F$1:$AY$1,),)))))/(((VLOOKUP(EDATE(B87,-12),Database!$F:$AY,MATCH($G$1,Database!$F$1:$AY$1,),))))</f>
        <v>4.2328721847112713E-2</v>
      </c>
      <c r="H87" s="13">
        <f>((((VLOOKUP(B87,Database!$F:$AY,MATCH($H$1,Database!$F$1:$AY$1,),))))-(((VLOOKUP(EDATE(B87,-12),Database!$F:$AY,MATCH($H$1,Database!$F$1:$AY$1,),)))))/(((VLOOKUP(EDATE(B87,-12),Database!$F:$AY,MATCH($H$1,Database!$F$1:$AY$1,),))))</f>
        <v>2.6037068854854736E-2</v>
      </c>
      <c r="I87" s="13">
        <f>((((VLOOKUP(B87,Database!$F:$AY,MATCH($I$1,Database!$F$1:$AY$1,),))))-(((VLOOKUP(EDATE(B87,-12),Database!$F:$AY,MATCH($I$1,Database!$F$1:$AY$1,),)))))/(((VLOOKUP(EDATE(B87,-12),Database!$F:$AY,MATCH($I$1,Database!$F$1:$AY$1,),))))</f>
        <v>5.7606082237307024E-2</v>
      </c>
      <c r="J87" s="13">
        <f>((((VLOOKUP(B87,Database!$F:$AY,MATCH($J$1,Database!$F$1:$AY$1,),))))-(((VLOOKUP(EDATE(B87,-12),Database!$F:$AY,MATCH($J$1,Database!$F$1:$AY$1,),)))))/(((VLOOKUP(EDATE(B87,-12),Database!$F:$AY,MATCH($J$1,Database!$F$1:$AY$1,),))))</f>
        <v>6.4510340854128004E-2</v>
      </c>
      <c r="K87" s="13">
        <f>((((VLOOKUP(B87,Database!$F:$AY,MATCH($K$1,Database!$F$1:$AY$1,),))))-(((VLOOKUP(EDATE(B87,-12),Database!$F:$AY,MATCH($K$1,Database!$F$1:$AY$1,),)))))/(((VLOOKUP(EDATE(B87,-12),Database!$F:$AY,MATCH($K$1,Database!$F$1:$AY$1,),))))</f>
        <v>0.13816697084953944</v>
      </c>
      <c r="L87" s="13">
        <f>((((VLOOKUP(B87,Database!$F:$AY,MATCH($L$1,Database!$F$1:$AY$1,),))))-(((VLOOKUP(EDATE(B87,-12),Database!$F:$AY,MATCH($L$1,Database!$F$1:$AY$1,),)))))/(((VLOOKUP(EDATE(B87,-12),Database!$F:$AY,MATCH($L$1,Database!$F$1:$AY$1,),))))</f>
        <v>-0.124164439273828</v>
      </c>
      <c r="M87" s="13">
        <f>((((VLOOKUP(B87,Database!$F:$AY,MATCH($M$1,Database!$F$1:$AY$1,),))))-(((VLOOKUP(EDATE(B87,-12),Database!$F:$AY,MATCH($M$1,Database!$F$1:$AY$1,),)))))/(((VLOOKUP(EDATE(B87,-12),Database!$F:$AY,MATCH($M$1,Database!$F$1:$AY$1,),))))</f>
        <v>-6.1093644580264513E-2</v>
      </c>
      <c r="N87" s="13">
        <f>((((VLOOKUP(B87,Database!$F:$AY,MATCH($N$1,Database!$F$1:$AY$1,),))))-(((VLOOKUP(EDATE(B87,-12),Database!$F:$AY,MATCH($N$1,Database!$F$1:$AY$1,),)))))/(((VLOOKUP(EDATE(B87,-12),Database!$F:$AY,MATCH($N$1,Database!$F$1:$AY$1,),))))</f>
        <v>0.15780937531525011</v>
      </c>
      <c r="O87" s="13">
        <f>((((VLOOKUP(B87,Database!$F:$AY,MATCH($O$1,Database!$F$1:$AY$1,),))))-(((VLOOKUP(EDATE(B87,-12),Database!$F:$AY,MATCH($O$1,Database!$F$1:$AY$1,),)))))/(((VLOOKUP(EDATE(B87,-12),Database!$F:$AY,MATCH($O$1,Database!$F$1:$AY$1,),))))</f>
        <v>6.7117208557864488E-2</v>
      </c>
      <c r="P87" s="13">
        <f>((((VLOOKUP(B87,Database!$F:$AY,MATCH($P$1,Database!$F$1:$AY$1,),))))-(((VLOOKUP(EDATE(B87,-12),Database!$F:$AY,MATCH($P$1,Database!$F$1:$AY$1,),)))))/(((VLOOKUP(EDATE(B87,-12),Database!$F:$AY,MATCH($P$1,Database!$F$1:$AY$1,),))))</f>
        <v>0.1520267800218755</v>
      </c>
      <c r="Q87" s="13">
        <f>((((VLOOKUP(B87,Database!$F:$AY,MATCH($Q$1,Database!$F$1:$AY$1,),))))-(((VLOOKUP(EDATE(B87,-12),Database!$F:$AY,MATCH($Q$1,Database!$F$1:$AY$1,),)))))/(((VLOOKUP(EDATE(B87,-12),Database!$F:$AY,MATCH($Q$1,Database!$F$1:$AY$1,),))))</f>
        <v>0.12624104147023144</v>
      </c>
      <c r="R87" s="13">
        <f>((((VLOOKUP(B87,Database!$F:$AY,MATCH($R$1,Database!$F$1:$AY$1,),))))-(((VLOOKUP(EDATE(B87,-12),Database!$F:$AY,MATCH($R$1,Database!$F$1:$AY$1,),)))))/(((VLOOKUP(EDATE(B87,-12),Database!$F:$AY,MATCH($R$1,Database!$F$1:$AY$1,),))))</f>
        <v>2.0932157908531618E-2</v>
      </c>
      <c r="S87" s="13">
        <f>((((VLOOKUP(B87,Database!$F:$AY,MATCH($S$1,Database!$F$1:$AY$1,),))))-(((VLOOKUP(EDATE(B87,-12),Database!$F:$AY,MATCH($S$1,Database!$F$1:$AY$1,),)))))/(((VLOOKUP(EDATE(B87,-12),Database!$F:$AY,MATCH($S$1,Database!$F$1:$AY$1,),))))</f>
        <v>0.16398763256238932</v>
      </c>
      <c r="T87" s="13">
        <f>((((VLOOKUP(B87,Database!$F:$AY,MATCH($T$1,Database!$F$1:$AY$1,),))))-(((VLOOKUP(EDATE(B87,-12),Database!$F:$AY,MATCH($T$1,Database!$F$1:$AY$1,),)))))/(((VLOOKUP(EDATE(B87,-12),Database!$F:$AY,MATCH($T$1,Database!$F$1:$AY$1,),))))</f>
        <v>0.1308411418772657</v>
      </c>
      <c r="U87" s="13">
        <f>((((VLOOKUP(B87,Database!$F:$AY,MATCH($U$1,Database!$F$1:$AY$1,),))))-(((VLOOKUP(EDATE(B87,-12),Database!$F:$AY,MATCH($U$1,Database!$F$1:$AY$1,),)))))/(((VLOOKUP(EDATE(B87,-12),Database!$F:$AY,MATCH($U$1,Database!$F$1:$AY$1,),))))</f>
        <v>0.10271494359546271</v>
      </c>
      <c r="V87" s="13">
        <f>((((VLOOKUP(B87,Database!$F:$AY,MATCH($V$1,Database!$F$1:$AY$1,),))))-(((VLOOKUP(EDATE(B87,-12),Database!$F:$AY,MATCH($V$1,Database!$F$1:$AY$1,),)))))/(((VLOOKUP(EDATE(B87,-12),Database!$F:$AY,MATCH($V$1,Database!$F$1:$AY$1,),))))</f>
        <v>9.2685100439180879E-2</v>
      </c>
    </row>
    <row r="88" spans="1:22" s="85" customFormat="1" x14ac:dyDescent="0.2">
      <c r="A88" s="44"/>
      <c r="B88" s="91">
        <v>34820</v>
      </c>
      <c r="C88" s="13">
        <f>((((VLOOKUP(B88,Database!$F:$AY,MATCH($C$1,Database!$F$1:$AY$1,),))))-(((VLOOKUP(EDATE(B88,-12),Database!$F:$AY,MATCH($C$1,Database!$F$1:$AY$1,),)))))/(((VLOOKUP(EDATE(B88,-12),Database!$F:$AY,MATCH($C$1,Database!$F$1:$AY$1,),))))</f>
        <v>4.8161612316165815E-2</v>
      </c>
      <c r="D88" s="13">
        <f>((((VLOOKUP(B88,Database!$F:$AY,MATCH($D$1,Database!$F$1:$AY$1,),))))-(((VLOOKUP(EDATE(B88,-12),Database!$F:$AY,MATCH($D$1,Database!$F$1:$AY$1,),)))))/(((VLOOKUP(EDATE(B88,-12),Database!$F:$AY,MATCH($D$1,Database!$F$1:$AY$1,),))))</f>
        <v>4.9681526552449735E-2</v>
      </c>
      <c r="E88" s="13">
        <f>((((VLOOKUP(B88,Database!$F:$AY,MATCH($E$1,Database!$F$1:$AY$1,),))))-(((VLOOKUP(EDATE(B88,-12),Database!$F:$AY,MATCH($E$1,Database!$F$1:$AY$1,),)))))/(((VLOOKUP(EDATE(B88,-12),Database!$F:$AY,MATCH($E$1,Database!$F$1:$AY$1,),))))</f>
        <v>4.3841353308155362E-2</v>
      </c>
      <c r="F88" s="13">
        <f>((((VLOOKUP(B88,Database!$F:$AY,MATCH($F$1,Database!$F$1:$AY$1,),))))-(((VLOOKUP(EDATE(B88,-12),Database!$F:$AY,MATCH($F$1,Database!$F$1:$AY$1,),)))))/(((VLOOKUP(EDATE(B88,-12),Database!$F:$AY,MATCH($F$1,Database!$F$1:$AY$1,),))))</f>
        <v>3.6603195786003323E-2</v>
      </c>
      <c r="G88" s="13">
        <f>((((VLOOKUP(B88,Database!$F:$AY,MATCH($G$1,Database!$F$1:$AY$1,),))))-(((VLOOKUP(EDATE(B88,-12),Database!$F:$AY,MATCH($G$1,Database!$F$1:$AY$1,),)))))/(((VLOOKUP(EDATE(B88,-12),Database!$F:$AY,MATCH($G$1,Database!$F$1:$AY$1,),))))</f>
        <v>3.8371718620965931E-2</v>
      </c>
      <c r="H88" s="13">
        <f>((((VLOOKUP(B88,Database!$F:$AY,MATCH($H$1,Database!$F$1:$AY$1,),))))-(((VLOOKUP(EDATE(B88,-12),Database!$F:$AY,MATCH($H$1,Database!$F$1:$AY$1,),)))))/(((VLOOKUP(EDATE(B88,-12),Database!$F:$AY,MATCH($H$1,Database!$F$1:$AY$1,),))))</f>
        <v>1.1417776227564473E-2</v>
      </c>
      <c r="I88" s="13">
        <f>((((VLOOKUP(B88,Database!$F:$AY,MATCH($I$1,Database!$F$1:$AY$1,),))))-(((VLOOKUP(EDATE(B88,-12),Database!$F:$AY,MATCH($I$1,Database!$F$1:$AY$1,),)))))/(((VLOOKUP(EDATE(B88,-12),Database!$F:$AY,MATCH($I$1,Database!$F$1:$AY$1,),))))</f>
        <v>6.0089316866787965E-2</v>
      </c>
      <c r="J88" s="13">
        <f>((((VLOOKUP(B88,Database!$F:$AY,MATCH($J$1,Database!$F$1:$AY$1,),))))-(((VLOOKUP(EDATE(B88,-12),Database!$F:$AY,MATCH($J$1,Database!$F$1:$AY$1,),)))))/(((VLOOKUP(EDATE(B88,-12),Database!$F:$AY,MATCH($J$1,Database!$F$1:$AY$1,),))))</f>
        <v>8.4176541952725684E-2</v>
      </c>
      <c r="K88" s="13">
        <f>((((VLOOKUP(B88,Database!$F:$AY,MATCH($K$1,Database!$F$1:$AY$1,),))))-(((VLOOKUP(EDATE(B88,-12),Database!$F:$AY,MATCH($K$1,Database!$F$1:$AY$1,),)))))/(((VLOOKUP(EDATE(B88,-12),Database!$F:$AY,MATCH($K$1,Database!$F$1:$AY$1,),))))</f>
        <v>0.12737139708044287</v>
      </c>
      <c r="L88" s="13">
        <f>((((VLOOKUP(B88,Database!$F:$AY,MATCH($L$1,Database!$F$1:$AY$1,),))))-(((VLOOKUP(EDATE(B88,-12),Database!$F:$AY,MATCH($L$1,Database!$F$1:$AY$1,),)))))/(((VLOOKUP(EDATE(B88,-12),Database!$F:$AY,MATCH($L$1,Database!$F$1:$AY$1,),))))</f>
        <v>-0.12042206659466474</v>
      </c>
      <c r="M88" s="13">
        <f>((((VLOOKUP(B88,Database!$F:$AY,MATCH($M$1,Database!$F$1:$AY$1,),))))-(((VLOOKUP(EDATE(B88,-12),Database!$F:$AY,MATCH($M$1,Database!$F$1:$AY$1,),)))))/(((VLOOKUP(EDATE(B88,-12),Database!$F:$AY,MATCH($M$1,Database!$F$1:$AY$1,),))))</f>
        <v>1.6913814958831428E-4</v>
      </c>
      <c r="N88" s="13">
        <f>((((VLOOKUP(B88,Database!$F:$AY,MATCH($N$1,Database!$F$1:$AY$1,),))))-(((VLOOKUP(EDATE(B88,-12),Database!$F:$AY,MATCH($N$1,Database!$F$1:$AY$1,),)))))/(((VLOOKUP(EDATE(B88,-12),Database!$F:$AY,MATCH($N$1,Database!$F$1:$AY$1,),))))</f>
        <v>0.12995063913650429</v>
      </c>
      <c r="O88" s="13">
        <f>((((VLOOKUP(B88,Database!$F:$AY,MATCH($O$1,Database!$F$1:$AY$1,),))))-(((VLOOKUP(EDATE(B88,-12),Database!$F:$AY,MATCH($O$1,Database!$F$1:$AY$1,),)))))/(((VLOOKUP(EDATE(B88,-12),Database!$F:$AY,MATCH($O$1,Database!$F$1:$AY$1,),))))</f>
        <v>5.592018000721391E-2</v>
      </c>
      <c r="P88" s="13">
        <f>((((VLOOKUP(B88,Database!$F:$AY,MATCH($P$1,Database!$F$1:$AY$1,),))))-(((VLOOKUP(EDATE(B88,-12),Database!$F:$AY,MATCH($P$1,Database!$F$1:$AY$1,),)))))/(((VLOOKUP(EDATE(B88,-12),Database!$F:$AY,MATCH($P$1,Database!$F$1:$AY$1,),))))</f>
        <v>0.10019115174685066</v>
      </c>
      <c r="Q88" s="13">
        <f>((((VLOOKUP(B88,Database!$F:$AY,MATCH($Q$1,Database!$F$1:$AY$1,),))))-(((VLOOKUP(EDATE(B88,-12),Database!$F:$AY,MATCH($Q$1,Database!$F$1:$AY$1,),)))))/(((VLOOKUP(EDATE(B88,-12),Database!$F:$AY,MATCH($Q$1,Database!$F$1:$AY$1,),))))</f>
        <v>-2.5092535522315239E-2</v>
      </c>
      <c r="R88" s="13">
        <f>((((VLOOKUP(B88,Database!$F:$AY,MATCH($R$1,Database!$F$1:$AY$1,),))))-(((VLOOKUP(EDATE(B88,-12),Database!$F:$AY,MATCH($R$1,Database!$F$1:$AY$1,),)))))/(((VLOOKUP(EDATE(B88,-12),Database!$F:$AY,MATCH($R$1,Database!$F$1:$AY$1,),))))</f>
        <v>2.7389667169296378E-2</v>
      </c>
      <c r="S88" s="13">
        <f>((((VLOOKUP(B88,Database!$F:$AY,MATCH($S$1,Database!$F$1:$AY$1,),))))-(((VLOOKUP(EDATE(B88,-12),Database!$F:$AY,MATCH($S$1,Database!$F$1:$AY$1,),)))))/(((VLOOKUP(EDATE(B88,-12),Database!$F:$AY,MATCH($S$1,Database!$F$1:$AY$1,),))))</f>
        <v>0.21103873389549266</v>
      </c>
      <c r="T88" s="13">
        <f>((((VLOOKUP(B88,Database!$F:$AY,MATCH($T$1,Database!$F$1:$AY$1,),))))-(((VLOOKUP(EDATE(B88,-12),Database!$F:$AY,MATCH($T$1,Database!$F$1:$AY$1,),)))))/(((VLOOKUP(EDATE(B88,-12),Database!$F:$AY,MATCH($T$1,Database!$F$1:$AY$1,),))))</f>
        <v>0.12852670473462677</v>
      </c>
      <c r="U88" s="13">
        <f>((((VLOOKUP(B88,Database!$F:$AY,MATCH($U$1,Database!$F$1:$AY$1,),))))-(((VLOOKUP(EDATE(B88,-12),Database!$F:$AY,MATCH($U$1,Database!$F$1:$AY$1,),)))))/(((VLOOKUP(EDATE(B88,-12),Database!$F:$AY,MATCH($U$1,Database!$F$1:$AY$1,),))))</f>
        <v>4.9667564274759358E-2</v>
      </c>
      <c r="V88" s="13">
        <f>((((VLOOKUP(B88,Database!$F:$AY,MATCH($V$1,Database!$F$1:$AY$1,),))))-(((VLOOKUP(EDATE(B88,-12),Database!$F:$AY,MATCH($V$1,Database!$F$1:$AY$1,),)))))/(((VLOOKUP(EDATE(B88,-12),Database!$F:$AY,MATCH($V$1,Database!$F$1:$AY$1,),))))</f>
        <v>0.11610132000373247</v>
      </c>
    </row>
    <row r="89" spans="1:22" s="85" customFormat="1" x14ac:dyDescent="0.2">
      <c r="A89" s="44"/>
      <c r="B89" s="91">
        <v>34851</v>
      </c>
      <c r="C89" s="13">
        <f>((((VLOOKUP(B89,Database!$F:$AY,MATCH($C$1,Database!$F$1:$AY$1,),))))-(((VLOOKUP(EDATE(B89,-12),Database!$F:$AY,MATCH($C$1,Database!$F$1:$AY$1,),)))))/(((VLOOKUP(EDATE(B89,-12),Database!$F:$AY,MATCH($C$1,Database!$F$1:$AY$1,),))))</f>
        <v>4.5049101970000616E-2</v>
      </c>
      <c r="D89" s="13">
        <f>((((VLOOKUP(B89,Database!$F:$AY,MATCH($D$1,Database!$F$1:$AY$1,),))))-(((VLOOKUP(EDATE(B89,-12),Database!$F:$AY,MATCH($D$1,Database!$F$1:$AY$1,),)))))/(((VLOOKUP(EDATE(B89,-12),Database!$F:$AY,MATCH($D$1,Database!$F$1:$AY$1,),))))</f>
        <v>3.6662493194188302E-2</v>
      </c>
      <c r="E89" s="13">
        <f>((((VLOOKUP(B89,Database!$F:$AY,MATCH($E$1,Database!$F$1:$AY$1,),))))-(((VLOOKUP(EDATE(B89,-12),Database!$F:$AY,MATCH($E$1,Database!$F$1:$AY$1,),)))))/(((VLOOKUP(EDATE(B89,-12),Database!$F:$AY,MATCH($E$1,Database!$F$1:$AY$1,),))))</f>
        <v>2.9896948089773178E-2</v>
      </c>
      <c r="F89" s="13">
        <f>((((VLOOKUP(B89,Database!$F:$AY,MATCH($F$1,Database!$F$1:$AY$1,),))))-(((VLOOKUP(EDATE(B89,-12),Database!$F:$AY,MATCH($F$1,Database!$F$1:$AY$1,),)))))/(((VLOOKUP(EDATE(B89,-12),Database!$F:$AY,MATCH($F$1,Database!$F$1:$AY$1,),))))</f>
        <v>1.7441714259050882E-2</v>
      </c>
      <c r="G89" s="13">
        <f>((((VLOOKUP(B89,Database!$F:$AY,MATCH($G$1,Database!$F$1:$AY$1,),))))-(((VLOOKUP(EDATE(B89,-12),Database!$F:$AY,MATCH($G$1,Database!$F$1:$AY$1,),)))))/(((VLOOKUP(EDATE(B89,-12),Database!$F:$AY,MATCH($G$1,Database!$F$1:$AY$1,),))))</f>
        <v>3.9261231520419888E-2</v>
      </c>
      <c r="H89" s="13">
        <f>((((VLOOKUP(B89,Database!$F:$AY,MATCH($H$1,Database!$F$1:$AY$1,),))))-(((VLOOKUP(EDATE(B89,-12),Database!$F:$AY,MATCH($H$1,Database!$F$1:$AY$1,),)))))/(((VLOOKUP(EDATE(B89,-12),Database!$F:$AY,MATCH($H$1,Database!$F$1:$AY$1,),))))</f>
        <v>1.830446676340914E-2</v>
      </c>
      <c r="I89" s="13">
        <f>((((VLOOKUP(B89,Database!$F:$AY,MATCH($I$1,Database!$F$1:$AY$1,),))))-(((VLOOKUP(EDATE(B89,-12),Database!$F:$AY,MATCH($I$1,Database!$F$1:$AY$1,),)))))/(((VLOOKUP(EDATE(B89,-12),Database!$F:$AY,MATCH($I$1,Database!$F$1:$AY$1,),))))</f>
        <v>4.7957822411462472E-2</v>
      </c>
      <c r="J89" s="13">
        <f>((((VLOOKUP(B89,Database!$F:$AY,MATCH($J$1,Database!$F$1:$AY$1,),))))-(((VLOOKUP(EDATE(B89,-12),Database!$F:$AY,MATCH($J$1,Database!$F$1:$AY$1,),)))))/(((VLOOKUP(EDATE(B89,-12),Database!$F:$AY,MATCH($J$1,Database!$F$1:$AY$1,),))))</f>
        <v>5.7504089729206925E-2</v>
      </c>
      <c r="K89" s="13">
        <f>((((VLOOKUP(B89,Database!$F:$AY,MATCH($K$1,Database!$F$1:$AY$1,),))))-(((VLOOKUP(EDATE(B89,-12),Database!$F:$AY,MATCH($K$1,Database!$F$1:$AY$1,),)))))/(((VLOOKUP(EDATE(B89,-12),Database!$F:$AY,MATCH($K$1,Database!$F$1:$AY$1,),))))</f>
        <v>0.11481969697609326</v>
      </c>
      <c r="L89" s="13">
        <f>((((VLOOKUP(B89,Database!$F:$AY,MATCH($L$1,Database!$F$1:$AY$1,),))))-(((VLOOKUP(EDATE(B89,-12),Database!$F:$AY,MATCH($L$1,Database!$F$1:$AY$1,),)))))/(((VLOOKUP(EDATE(B89,-12),Database!$F:$AY,MATCH($L$1,Database!$F$1:$AY$1,),))))</f>
        <v>-0.12535644836967849</v>
      </c>
      <c r="M89" s="13">
        <f>((((VLOOKUP(B89,Database!$F:$AY,MATCH($M$1,Database!$F$1:$AY$1,),))))-(((VLOOKUP(EDATE(B89,-12),Database!$F:$AY,MATCH($M$1,Database!$F$1:$AY$1,),)))))/(((VLOOKUP(EDATE(B89,-12),Database!$F:$AY,MATCH($M$1,Database!$F$1:$AY$1,),))))</f>
        <v>1.076291797222175E-2</v>
      </c>
      <c r="N89" s="13">
        <f>((((VLOOKUP(B89,Database!$F:$AY,MATCH($N$1,Database!$F$1:$AY$1,),))))-(((VLOOKUP(EDATE(B89,-12),Database!$F:$AY,MATCH($N$1,Database!$F$1:$AY$1,),)))))/(((VLOOKUP(EDATE(B89,-12),Database!$F:$AY,MATCH($N$1,Database!$F$1:$AY$1,),))))</f>
        <v>0.11132060031168393</v>
      </c>
      <c r="O89" s="13">
        <f>((((VLOOKUP(B89,Database!$F:$AY,MATCH($O$1,Database!$F$1:$AY$1,),))))-(((VLOOKUP(EDATE(B89,-12),Database!$F:$AY,MATCH($O$1,Database!$F$1:$AY$1,),)))))/(((VLOOKUP(EDATE(B89,-12),Database!$F:$AY,MATCH($O$1,Database!$F$1:$AY$1,),))))</f>
        <v>4.0474872950398172E-2</v>
      </c>
      <c r="P89" s="13">
        <f>((((VLOOKUP(B89,Database!$F:$AY,MATCH($P$1,Database!$F$1:$AY$1,),))))-(((VLOOKUP(EDATE(B89,-12),Database!$F:$AY,MATCH($P$1,Database!$F$1:$AY$1,),)))))/(((VLOOKUP(EDATE(B89,-12),Database!$F:$AY,MATCH($P$1,Database!$F$1:$AY$1,),))))</f>
        <v>0.123676566056221</v>
      </c>
      <c r="Q89" s="13">
        <f>((((VLOOKUP(B89,Database!$F:$AY,MATCH($Q$1,Database!$F$1:$AY$1,),))))-(((VLOOKUP(EDATE(B89,-12),Database!$F:$AY,MATCH($Q$1,Database!$F$1:$AY$1,),)))))/(((VLOOKUP(EDATE(B89,-12),Database!$F:$AY,MATCH($Q$1,Database!$F$1:$AY$1,),))))</f>
        <v>3.7491173283495202E-2</v>
      </c>
      <c r="R89" s="13">
        <f>((((VLOOKUP(B89,Database!$F:$AY,MATCH($R$1,Database!$F$1:$AY$1,),))))-(((VLOOKUP(EDATE(B89,-12),Database!$F:$AY,MATCH($R$1,Database!$F$1:$AY$1,),)))))/(((VLOOKUP(EDATE(B89,-12),Database!$F:$AY,MATCH($R$1,Database!$F$1:$AY$1,),))))</f>
        <v>1.5817139095954794E-2</v>
      </c>
      <c r="S89" s="13">
        <f>((((VLOOKUP(B89,Database!$F:$AY,MATCH($S$1,Database!$F$1:$AY$1,),))))-(((VLOOKUP(EDATE(B89,-12),Database!$F:$AY,MATCH($S$1,Database!$F$1:$AY$1,),)))))/(((VLOOKUP(EDATE(B89,-12),Database!$F:$AY,MATCH($S$1,Database!$F$1:$AY$1,),))))</f>
        <v>0.13749996712075105</v>
      </c>
      <c r="T89" s="13">
        <f>((((VLOOKUP(B89,Database!$F:$AY,MATCH($T$1,Database!$F$1:$AY$1,),))))-(((VLOOKUP(EDATE(B89,-12),Database!$F:$AY,MATCH($T$1,Database!$F$1:$AY$1,),)))))/(((VLOOKUP(EDATE(B89,-12),Database!$F:$AY,MATCH($T$1,Database!$F$1:$AY$1,),))))</f>
        <v>0.23178821544049374</v>
      </c>
      <c r="U89" s="13">
        <f>((((VLOOKUP(B89,Database!$F:$AY,MATCH($U$1,Database!$F$1:$AY$1,),))))-(((VLOOKUP(EDATE(B89,-12),Database!$F:$AY,MATCH($U$1,Database!$F$1:$AY$1,),)))))/(((VLOOKUP(EDATE(B89,-12),Database!$F:$AY,MATCH($U$1,Database!$F$1:$AY$1,),))))</f>
        <v>7.2145687454870169E-2</v>
      </c>
      <c r="V89" s="13">
        <f>((((VLOOKUP(B89,Database!$F:$AY,MATCH($V$1,Database!$F$1:$AY$1,),))))-(((VLOOKUP(EDATE(B89,-12),Database!$F:$AY,MATCH($V$1,Database!$F$1:$AY$1,),)))))/(((VLOOKUP(EDATE(B89,-12),Database!$F:$AY,MATCH($V$1,Database!$F$1:$AY$1,),))))</f>
        <v>0.1045954264807224</v>
      </c>
    </row>
    <row r="90" spans="1:22" s="85" customFormat="1" x14ac:dyDescent="0.2">
      <c r="A90" s="44"/>
      <c r="B90" s="91">
        <v>34881</v>
      </c>
      <c r="C90" s="13">
        <f>((((VLOOKUP(B90,Database!$F:$AY,MATCH($C$1,Database!$F$1:$AY$1,),))))-(((VLOOKUP(EDATE(B90,-12),Database!$F:$AY,MATCH($C$1,Database!$F$1:$AY$1,),)))))/(((VLOOKUP(EDATE(B90,-12),Database!$F:$AY,MATCH($C$1,Database!$F$1:$AY$1,),))))</f>
        <v>3.9299577815796988E-2</v>
      </c>
      <c r="D90" s="13">
        <f>((((VLOOKUP(B90,Database!$F:$AY,MATCH($D$1,Database!$F$1:$AY$1,),))))-(((VLOOKUP(EDATE(B90,-12),Database!$F:$AY,MATCH($D$1,Database!$F$1:$AY$1,),)))))/(((VLOOKUP(EDATE(B90,-12),Database!$F:$AY,MATCH($D$1,Database!$F$1:$AY$1,),))))</f>
        <v>3.4047916430971693E-2</v>
      </c>
      <c r="E90" s="13">
        <f>((((VLOOKUP(B90,Database!$F:$AY,MATCH($E$1,Database!$F$1:$AY$1,),))))-(((VLOOKUP(EDATE(B90,-12),Database!$F:$AY,MATCH($E$1,Database!$F$1:$AY$1,),)))))/(((VLOOKUP(EDATE(B90,-12),Database!$F:$AY,MATCH($E$1,Database!$F$1:$AY$1,),))))</f>
        <v>5.1020305487914554E-3</v>
      </c>
      <c r="F90" s="13">
        <f>((((VLOOKUP(B90,Database!$F:$AY,MATCH($F$1,Database!$F$1:$AY$1,),))))-(((VLOOKUP(EDATE(B90,-12),Database!$F:$AY,MATCH($F$1,Database!$F$1:$AY$1,),)))))/(((VLOOKUP(EDATE(B90,-12),Database!$F:$AY,MATCH($F$1,Database!$F$1:$AY$1,),))))</f>
        <v>1.8978078318645109E-2</v>
      </c>
      <c r="G90" s="13">
        <f>((((VLOOKUP(B90,Database!$F:$AY,MATCH($G$1,Database!$F$1:$AY$1,),))))-(((VLOOKUP(EDATE(B90,-12),Database!$F:$AY,MATCH($G$1,Database!$F$1:$AY$1,),)))))/(((VLOOKUP(EDATE(B90,-12),Database!$F:$AY,MATCH($G$1,Database!$F$1:$AY$1,),))))</f>
        <v>3.5083908959864081E-2</v>
      </c>
      <c r="H90" s="13">
        <f>((((VLOOKUP(B90,Database!$F:$AY,MATCH($H$1,Database!$F$1:$AY$1,),))))-(((VLOOKUP(EDATE(B90,-12),Database!$F:$AY,MATCH($H$1,Database!$F$1:$AY$1,),)))))/(((VLOOKUP(EDATE(B90,-12),Database!$F:$AY,MATCH($H$1,Database!$F$1:$AY$1,),))))</f>
        <v>1.819927693306635E-2</v>
      </c>
      <c r="I90" s="13">
        <f>((((VLOOKUP(B90,Database!$F:$AY,MATCH($I$1,Database!$F$1:$AY$1,),))))-(((VLOOKUP(EDATE(B90,-12),Database!$F:$AY,MATCH($I$1,Database!$F$1:$AY$1,),)))))/(((VLOOKUP(EDATE(B90,-12),Database!$F:$AY,MATCH($I$1,Database!$F$1:$AY$1,),))))</f>
        <v>4.5212987607123251E-2</v>
      </c>
      <c r="J90" s="13">
        <f>((((VLOOKUP(B90,Database!$F:$AY,MATCH($J$1,Database!$F$1:$AY$1,),))))-(((VLOOKUP(EDATE(B90,-12),Database!$F:$AY,MATCH($J$1,Database!$F$1:$AY$1,),)))))/(((VLOOKUP(EDATE(B90,-12),Database!$F:$AY,MATCH($J$1,Database!$F$1:$AY$1,),))))</f>
        <v>3.4414135083726385E-2</v>
      </c>
      <c r="K90" s="13">
        <f>((((VLOOKUP(B90,Database!$F:$AY,MATCH($K$1,Database!$F$1:$AY$1,),))))-(((VLOOKUP(EDATE(B90,-12),Database!$F:$AY,MATCH($K$1,Database!$F$1:$AY$1,),)))))/(((VLOOKUP(EDATE(B90,-12),Database!$F:$AY,MATCH($K$1,Database!$F$1:$AY$1,),))))</f>
        <v>0.14383550703980943</v>
      </c>
      <c r="L90" s="13">
        <f>((((VLOOKUP(B90,Database!$F:$AY,MATCH($L$1,Database!$F$1:$AY$1,),))))-(((VLOOKUP(EDATE(B90,-12),Database!$F:$AY,MATCH($L$1,Database!$F$1:$AY$1,),)))))/(((VLOOKUP(EDATE(B90,-12),Database!$F:$AY,MATCH($L$1,Database!$F$1:$AY$1,),))))</f>
        <v>-0.12638564219647944</v>
      </c>
      <c r="M90" s="13">
        <f>((((VLOOKUP(B90,Database!$F:$AY,MATCH($M$1,Database!$F$1:$AY$1,),))))-(((VLOOKUP(EDATE(B90,-12),Database!$F:$AY,MATCH($M$1,Database!$F$1:$AY$1,),)))))/(((VLOOKUP(EDATE(B90,-12),Database!$F:$AY,MATCH($M$1,Database!$F$1:$AY$1,),))))</f>
        <v>2.5613817988860112E-2</v>
      </c>
      <c r="N90" s="13">
        <f>((((VLOOKUP(B90,Database!$F:$AY,MATCH($N$1,Database!$F$1:$AY$1,),))))-(((VLOOKUP(EDATE(B90,-12),Database!$F:$AY,MATCH($N$1,Database!$F$1:$AY$1,),)))))/(((VLOOKUP(EDATE(B90,-12),Database!$F:$AY,MATCH($N$1,Database!$F$1:$AY$1,),))))</f>
        <v>0.12781123389783419</v>
      </c>
      <c r="O90" s="13">
        <f>((((VLOOKUP(B90,Database!$F:$AY,MATCH($O$1,Database!$F$1:$AY$1,),))))-(((VLOOKUP(EDATE(B90,-12),Database!$F:$AY,MATCH($O$1,Database!$F$1:$AY$1,),)))))/(((VLOOKUP(EDATE(B90,-12),Database!$F:$AY,MATCH($O$1,Database!$F$1:$AY$1,),))))</f>
        <v>3.7427761575982876E-2</v>
      </c>
      <c r="P90" s="13">
        <f>((((VLOOKUP(B90,Database!$F:$AY,MATCH($P$1,Database!$F$1:$AY$1,),))))-(((VLOOKUP(EDATE(B90,-12),Database!$F:$AY,MATCH($P$1,Database!$F$1:$AY$1,),)))))/(((VLOOKUP(EDATE(B90,-12),Database!$F:$AY,MATCH($P$1,Database!$F$1:$AY$1,),))))</f>
        <v>0.16701756677806923</v>
      </c>
      <c r="Q90" s="13">
        <f>((((VLOOKUP(B90,Database!$F:$AY,MATCH($Q$1,Database!$F$1:$AY$1,),))))-(((VLOOKUP(EDATE(B90,-12),Database!$F:$AY,MATCH($Q$1,Database!$F$1:$AY$1,),)))))/(((VLOOKUP(EDATE(B90,-12),Database!$F:$AY,MATCH($Q$1,Database!$F$1:$AY$1,),))))</f>
        <v>7.1082397494051904E-3</v>
      </c>
      <c r="R90" s="13">
        <f>((((VLOOKUP(B90,Database!$F:$AY,MATCH($R$1,Database!$F$1:$AY$1,),))))-(((VLOOKUP(EDATE(B90,-12),Database!$F:$AY,MATCH($R$1,Database!$F$1:$AY$1,),)))))/(((VLOOKUP(EDATE(B90,-12),Database!$F:$AY,MATCH($R$1,Database!$F$1:$AY$1,),))))</f>
        <v>3.4730844234314704E-3</v>
      </c>
      <c r="S90" s="13">
        <f>((((VLOOKUP(B90,Database!$F:$AY,MATCH($S$1,Database!$F$1:$AY$1,),))))-(((VLOOKUP(EDATE(B90,-12),Database!$F:$AY,MATCH($S$1,Database!$F$1:$AY$1,),)))))/(((VLOOKUP(EDATE(B90,-12),Database!$F:$AY,MATCH($S$1,Database!$F$1:$AY$1,),))))</f>
        <v>0.22903221952634065</v>
      </c>
      <c r="T90" s="13">
        <f>((((VLOOKUP(B90,Database!$F:$AY,MATCH($T$1,Database!$F$1:$AY$1,),))))-(((VLOOKUP(EDATE(B90,-12),Database!$F:$AY,MATCH($T$1,Database!$F$1:$AY$1,),)))))/(((VLOOKUP(EDATE(B90,-12),Database!$F:$AY,MATCH($T$1,Database!$F$1:$AY$1,),))))</f>
        <v>0.19230769230769235</v>
      </c>
      <c r="U90" s="13">
        <f>((((VLOOKUP(B90,Database!$F:$AY,MATCH($U$1,Database!$F$1:$AY$1,),))))-(((VLOOKUP(EDATE(B90,-12),Database!$F:$AY,MATCH($U$1,Database!$F$1:$AY$1,),)))))/(((VLOOKUP(EDATE(B90,-12),Database!$F:$AY,MATCH($U$1,Database!$F$1:$AY$1,),))))</f>
        <v>2.6229905934246615E-2</v>
      </c>
      <c r="V90" s="13">
        <f>((((VLOOKUP(B90,Database!$F:$AY,MATCH($V$1,Database!$F$1:$AY$1,),))))-(((VLOOKUP(EDATE(B90,-12),Database!$F:$AY,MATCH($V$1,Database!$F$1:$AY$1,),)))))/(((VLOOKUP(EDATE(B90,-12),Database!$F:$AY,MATCH($V$1,Database!$F$1:$AY$1,),))))</f>
        <v>0.10670857317747869</v>
      </c>
    </row>
    <row r="91" spans="1:22" s="85" customFormat="1" x14ac:dyDescent="0.2">
      <c r="A91" s="44"/>
      <c r="B91" s="91">
        <v>34912</v>
      </c>
      <c r="C91" s="13">
        <f>((((VLOOKUP(B91,Database!$F:$AY,MATCH($C$1,Database!$F$1:$AY$1,),))))-(((VLOOKUP(EDATE(B91,-12),Database!$F:$AY,MATCH($C$1,Database!$F$1:$AY$1,),)))))/(((VLOOKUP(EDATE(B91,-12),Database!$F:$AY,MATCH($C$1,Database!$F$1:$AY$1,),))))</f>
        <v>4.6200092201919535E-2</v>
      </c>
      <c r="D91" s="13">
        <f>((((VLOOKUP(B91,Database!$F:$AY,MATCH($D$1,Database!$F$1:$AY$1,),))))-(((VLOOKUP(EDATE(B91,-12),Database!$F:$AY,MATCH($D$1,Database!$F$1:$AY$1,),)))))/(((VLOOKUP(EDATE(B91,-12),Database!$F:$AY,MATCH($D$1,Database!$F$1:$AY$1,),))))</f>
        <v>3.1446494988599291E-2</v>
      </c>
      <c r="E91" s="13">
        <f>((((VLOOKUP(B91,Database!$F:$AY,MATCH($E$1,Database!$F$1:$AY$1,),))))-(((VLOOKUP(EDATE(B91,-12),Database!$F:$AY,MATCH($E$1,Database!$F$1:$AY$1,),)))))/(((VLOOKUP(EDATE(B91,-12),Database!$F:$AY,MATCH($E$1,Database!$F$1:$AY$1,),))))</f>
        <v>1.2145522704612083E-2</v>
      </c>
      <c r="F91" s="13">
        <f>((((VLOOKUP(B91,Database!$F:$AY,MATCH($F$1,Database!$F$1:$AY$1,),))))-(((VLOOKUP(EDATE(B91,-12),Database!$F:$AY,MATCH($F$1,Database!$F$1:$AY$1,),)))))/(((VLOOKUP(EDATE(B91,-12),Database!$F:$AY,MATCH($F$1,Database!$F$1:$AY$1,),))))</f>
        <v>7.2992945835337114E-3</v>
      </c>
      <c r="G91" s="13">
        <f>((((VLOOKUP(B91,Database!$F:$AY,MATCH($G$1,Database!$F$1:$AY$1,),))))-(((VLOOKUP(EDATE(B91,-12),Database!$F:$AY,MATCH($G$1,Database!$F$1:$AY$1,),)))))/(((VLOOKUP(EDATE(B91,-12),Database!$F:$AY,MATCH($G$1,Database!$F$1:$AY$1,),))))</f>
        <v>2.3225409973704307E-2</v>
      </c>
      <c r="H91" s="13">
        <f>((((VLOOKUP(B91,Database!$F:$AY,MATCH($H$1,Database!$F$1:$AY$1,),))))-(((VLOOKUP(EDATE(B91,-12),Database!$F:$AY,MATCH($H$1,Database!$F$1:$AY$1,),)))))/(((VLOOKUP(EDATE(B91,-12),Database!$F:$AY,MATCH($H$1,Database!$F$1:$AY$1,),))))</f>
        <v>1.6221571700480227E-2</v>
      </c>
      <c r="I91" s="13">
        <f>((((VLOOKUP(B91,Database!$F:$AY,MATCH($I$1,Database!$F$1:$AY$1,),))))-(((VLOOKUP(EDATE(B91,-12),Database!$F:$AY,MATCH($I$1,Database!$F$1:$AY$1,),)))))/(((VLOOKUP(EDATE(B91,-12),Database!$F:$AY,MATCH($I$1,Database!$F$1:$AY$1,),))))</f>
        <v>6.0070359199438747E-2</v>
      </c>
      <c r="J91" s="13">
        <f>((((VLOOKUP(B91,Database!$F:$AY,MATCH($J$1,Database!$F$1:$AY$1,),))))-(((VLOOKUP(EDATE(B91,-12),Database!$F:$AY,MATCH($J$1,Database!$F$1:$AY$1,),)))))/(((VLOOKUP(EDATE(B91,-12),Database!$F:$AY,MATCH($J$1,Database!$F$1:$AY$1,),))))</f>
        <v>3.303312007564127E-2</v>
      </c>
      <c r="K91" s="13">
        <f>((((VLOOKUP(B91,Database!$F:$AY,MATCH($K$1,Database!$F$1:$AY$1,),))))-(((VLOOKUP(EDATE(B91,-12),Database!$F:$AY,MATCH($K$1,Database!$F$1:$AY$1,),)))))/(((VLOOKUP(EDATE(B91,-12),Database!$F:$AY,MATCH($K$1,Database!$F$1:$AY$1,),))))</f>
        <v>0.12214764459763748</v>
      </c>
      <c r="L91" s="13">
        <f>((((VLOOKUP(B91,Database!$F:$AY,MATCH($L$1,Database!$F$1:$AY$1,),))))-(((VLOOKUP(EDATE(B91,-12),Database!$F:$AY,MATCH($L$1,Database!$F$1:$AY$1,),)))))/(((VLOOKUP(EDATE(B91,-12),Database!$F:$AY,MATCH($L$1,Database!$F$1:$AY$1,),))))</f>
        <v>-0.12585309806040029</v>
      </c>
      <c r="M91" s="13">
        <f>((((VLOOKUP(B91,Database!$F:$AY,MATCH($M$1,Database!$F$1:$AY$1,),))))-(((VLOOKUP(EDATE(B91,-12),Database!$F:$AY,MATCH($M$1,Database!$F$1:$AY$1,),)))))/(((VLOOKUP(EDATE(B91,-12),Database!$F:$AY,MATCH($M$1,Database!$F$1:$AY$1,),))))</f>
        <v>3.792905278327598E-3</v>
      </c>
      <c r="N91" s="13">
        <f>((((VLOOKUP(B91,Database!$F:$AY,MATCH($N$1,Database!$F$1:$AY$1,),))))-(((VLOOKUP(EDATE(B91,-12),Database!$F:$AY,MATCH($N$1,Database!$F$1:$AY$1,),)))))/(((VLOOKUP(EDATE(B91,-12),Database!$F:$AY,MATCH($N$1,Database!$F$1:$AY$1,),))))</f>
        <v>0.12413991589509736</v>
      </c>
      <c r="O91" s="13">
        <f>((((VLOOKUP(B91,Database!$F:$AY,MATCH($O$1,Database!$F$1:$AY$1,),))))-(((VLOOKUP(EDATE(B91,-12),Database!$F:$AY,MATCH($O$1,Database!$F$1:$AY$1,),)))))/(((VLOOKUP(EDATE(B91,-12),Database!$F:$AY,MATCH($O$1,Database!$F$1:$AY$1,),))))</f>
        <v>3.073825016166221E-2</v>
      </c>
      <c r="P91" s="13">
        <f>((((VLOOKUP(B91,Database!$F:$AY,MATCH($P$1,Database!$F$1:$AY$1,),))))-(((VLOOKUP(EDATE(B91,-12),Database!$F:$AY,MATCH($P$1,Database!$F$1:$AY$1,),)))))/(((VLOOKUP(EDATE(B91,-12),Database!$F:$AY,MATCH($P$1,Database!$F$1:$AY$1,),))))</f>
        <v>0.14344321406805227</v>
      </c>
      <c r="Q91" s="13">
        <f>((((VLOOKUP(B91,Database!$F:$AY,MATCH($Q$1,Database!$F$1:$AY$1,),))))-(((VLOOKUP(EDATE(B91,-12),Database!$F:$AY,MATCH($Q$1,Database!$F$1:$AY$1,),)))))/(((VLOOKUP(EDATE(B91,-12),Database!$F:$AY,MATCH($Q$1,Database!$F$1:$AY$1,),))))</f>
        <v>-5.9123424548654505E-2</v>
      </c>
      <c r="R91" s="13">
        <f>((((VLOOKUP(B91,Database!$F:$AY,MATCH($R$1,Database!$F$1:$AY$1,),))))-(((VLOOKUP(EDATE(B91,-12),Database!$F:$AY,MATCH($R$1,Database!$F$1:$AY$1,),)))))/(((VLOOKUP(EDATE(B91,-12),Database!$F:$AY,MATCH($R$1,Database!$F$1:$AY$1,),))))</f>
        <v>1.7319627570548631E-3</v>
      </c>
      <c r="S91" s="13">
        <f>((((VLOOKUP(B91,Database!$F:$AY,MATCH($S$1,Database!$F$1:$AY$1,),))))-(((VLOOKUP(EDATE(B91,-12),Database!$F:$AY,MATCH($S$1,Database!$F$1:$AY$1,),)))))/(((VLOOKUP(EDATE(B91,-12),Database!$F:$AY,MATCH($S$1,Database!$F$1:$AY$1,),))))</f>
        <v>0.20743038573712841</v>
      </c>
      <c r="T91" s="13">
        <f>((((VLOOKUP(B91,Database!$F:$AY,MATCH($T$1,Database!$F$1:$AY$1,),))))-(((VLOOKUP(EDATE(B91,-12),Database!$F:$AY,MATCH($T$1,Database!$F$1:$AY$1,),)))))/(((VLOOKUP(EDATE(B91,-12),Database!$F:$AY,MATCH($T$1,Database!$F$1:$AY$1,),))))</f>
        <v>0.13173641398894884</v>
      </c>
      <c r="U91" s="13">
        <f>((((VLOOKUP(B91,Database!$F:$AY,MATCH($U$1,Database!$F$1:$AY$1,),))))-(((VLOOKUP(EDATE(B91,-12),Database!$F:$AY,MATCH($U$1,Database!$F$1:$AY$1,),)))))/(((VLOOKUP(EDATE(B91,-12),Database!$F:$AY,MATCH($U$1,Database!$F$1:$AY$1,),))))</f>
        <v>7.0618966436522962E-2</v>
      </c>
      <c r="V91" s="13">
        <f>((((VLOOKUP(B91,Database!$F:$AY,MATCH($V$1,Database!$F$1:$AY$1,),))))-(((VLOOKUP(EDATE(B91,-12),Database!$F:$AY,MATCH($V$1,Database!$F$1:$AY$1,),)))))/(((VLOOKUP(EDATE(B91,-12),Database!$F:$AY,MATCH($V$1,Database!$F$1:$AY$1,),))))</f>
        <v>5.8279029842337404E-2</v>
      </c>
    </row>
    <row r="92" spans="1:22" s="85" customFormat="1" x14ac:dyDescent="0.2">
      <c r="A92" s="44"/>
      <c r="B92" s="91">
        <v>34943</v>
      </c>
      <c r="C92" s="13">
        <f>((((VLOOKUP(B92,Database!$F:$AY,MATCH($C$1,Database!$F$1:$AY$1,),))))-(((VLOOKUP(EDATE(B92,-12),Database!$F:$AY,MATCH($C$1,Database!$F$1:$AY$1,),)))))/(((VLOOKUP(EDATE(B92,-12),Database!$F:$AY,MATCH($C$1,Database!$F$1:$AY$1,),))))</f>
        <v>4.6406876214877338E-2</v>
      </c>
      <c r="D92" s="13">
        <f>((((VLOOKUP(B92,Database!$F:$AY,MATCH($D$1,Database!$F$1:$AY$1,),))))-(((VLOOKUP(EDATE(B92,-12),Database!$F:$AY,MATCH($D$1,Database!$F$1:$AY$1,),)))))/(((VLOOKUP(EDATE(B92,-12),Database!$F:$AY,MATCH($D$1,Database!$F$1:$AY$1,),))))</f>
        <v>3.1289067052346201E-2</v>
      </c>
      <c r="E92" s="13">
        <f>((((VLOOKUP(B92,Database!$F:$AY,MATCH($E$1,Database!$F$1:$AY$1,),))))-(((VLOOKUP(EDATE(B92,-12),Database!$F:$AY,MATCH($E$1,Database!$F$1:$AY$1,),)))))/(((VLOOKUP(EDATE(B92,-12),Database!$F:$AY,MATCH($E$1,Database!$F$1:$AY$1,),))))</f>
        <v>6.1349569536670277E-3</v>
      </c>
      <c r="F92" s="13">
        <f>((((VLOOKUP(B92,Database!$F:$AY,MATCH($F$1,Database!$F$1:$AY$1,),))))-(((VLOOKUP(EDATE(B92,-12),Database!$F:$AY,MATCH($F$1,Database!$F$1:$AY$1,),)))))/(((VLOOKUP(EDATE(B92,-12),Database!$F:$AY,MATCH($F$1,Database!$F$1:$AY$1,),))))</f>
        <v>1.2949568028761084E-2</v>
      </c>
      <c r="G92" s="13">
        <f>((((VLOOKUP(B92,Database!$F:$AY,MATCH($G$1,Database!$F$1:$AY$1,),))))-(((VLOOKUP(EDATE(B92,-12),Database!$F:$AY,MATCH($G$1,Database!$F$1:$AY$1,),)))))/(((VLOOKUP(EDATE(B92,-12),Database!$F:$AY,MATCH($G$1,Database!$F$1:$AY$1,),))))</f>
        <v>2.822755521945321E-2</v>
      </c>
      <c r="H92" s="13">
        <f>((((VLOOKUP(B92,Database!$F:$AY,MATCH($H$1,Database!$F$1:$AY$1,),))))-(((VLOOKUP(EDATE(B92,-12),Database!$F:$AY,MATCH($H$1,Database!$F$1:$AY$1,),)))))/(((VLOOKUP(EDATE(B92,-12),Database!$F:$AY,MATCH($H$1,Database!$F$1:$AY$1,),))))</f>
        <v>9.452022709631509E-3</v>
      </c>
      <c r="I92" s="13">
        <f>((((VLOOKUP(B92,Database!$F:$AY,MATCH($I$1,Database!$F$1:$AY$1,),))))-(((VLOOKUP(EDATE(B92,-12),Database!$F:$AY,MATCH($I$1,Database!$F$1:$AY$1,),)))))/(((VLOOKUP(EDATE(B92,-12),Database!$F:$AY,MATCH($I$1,Database!$F$1:$AY$1,),))))</f>
        <v>4.7452115949925579E-2</v>
      </c>
      <c r="J92" s="13">
        <f>((((VLOOKUP(B92,Database!$F:$AY,MATCH($J$1,Database!$F$1:$AY$1,),))))-(((VLOOKUP(EDATE(B92,-12),Database!$F:$AY,MATCH($J$1,Database!$F$1:$AY$1,),)))))/(((VLOOKUP(EDATE(B92,-12),Database!$F:$AY,MATCH($J$1,Database!$F$1:$AY$1,),))))</f>
        <v>3.9195860405586605E-2</v>
      </c>
      <c r="K92" s="13">
        <f>((((VLOOKUP(B92,Database!$F:$AY,MATCH($K$1,Database!$F$1:$AY$1,),))))-(((VLOOKUP(EDATE(B92,-12),Database!$F:$AY,MATCH($K$1,Database!$F$1:$AY$1,),)))))/(((VLOOKUP(EDATE(B92,-12),Database!$F:$AY,MATCH($K$1,Database!$F$1:$AY$1,),))))</f>
        <v>6.80360001816398E-2</v>
      </c>
      <c r="L92" s="13">
        <f>((((VLOOKUP(B92,Database!$F:$AY,MATCH($L$1,Database!$F$1:$AY$1,),))))-(((VLOOKUP(EDATE(B92,-12),Database!$F:$AY,MATCH($L$1,Database!$F$1:$AY$1,),)))))/(((VLOOKUP(EDATE(B92,-12),Database!$F:$AY,MATCH($L$1,Database!$F$1:$AY$1,),))))</f>
        <v>-0.11229788856900653</v>
      </c>
      <c r="M92" s="13">
        <f>((((VLOOKUP(B92,Database!$F:$AY,MATCH($M$1,Database!$F$1:$AY$1,),))))-(((VLOOKUP(EDATE(B92,-12),Database!$F:$AY,MATCH($M$1,Database!$F$1:$AY$1,),)))))/(((VLOOKUP(EDATE(B92,-12),Database!$F:$AY,MATCH($M$1,Database!$F$1:$AY$1,),))))</f>
        <v>9.4144881744780747E-3</v>
      </c>
      <c r="N92" s="13">
        <f>((((VLOOKUP(B92,Database!$F:$AY,MATCH($N$1,Database!$F$1:$AY$1,),))))-(((VLOOKUP(EDATE(B92,-12),Database!$F:$AY,MATCH($N$1,Database!$F$1:$AY$1,),)))))/(((VLOOKUP(EDATE(B92,-12),Database!$F:$AY,MATCH($N$1,Database!$F$1:$AY$1,),))))</f>
        <v>0.1612597371144851</v>
      </c>
      <c r="O92" s="13">
        <f>((((VLOOKUP(B92,Database!$F:$AY,MATCH($O$1,Database!$F$1:$AY$1,),))))-(((VLOOKUP(EDATE(B92,-12),Database!$F:$AY,MATCH($O$1,Database!$F$1:$AY$1,),)))))/(((VLOOKUP(EDATE(B92,-12),Database!$F:$AY,MATCH($O$1,Database!$F$1:$AY$1,),))))</f>
        <v>1.8591728981055815E-2</v>
      </c>
      <c r="P92" s="13">
        <f>((((VLOOKUP(B92,Database!$F:$AY,MATCH($P$1,Database!$F$1:$AY$1,),))))-(((VLOOKUP(EDATE(B92,-12),Database!$F:$AY,MATCH($P$1,Database!$F$1:$AY$1,),)))))/(((VLOOKUP(EDATE(B92,-12),Database!$F:$AY,MATCH($P$1,Database!$F$1:$AY$1,),))))</f>
        <v>9.7385595640480591E-2</v>
      </c>
      <c r="Q92" s="13">
        <f>((((VLOOKUP(B92,Database!$F:$AY,MATCH($Q$1,Database!$F$1:$AY$1,),))))-(((VLOOKUP(EDATE(B92,-12),Database!$F:$AY,MATCH($Q$1,Database!$F$1:$AY$1,),)))))/(((VLOOKUP(EDATE(B92,-12),Database!$F:$AY,MATCH($Q$1,Database!$F$1:$AY$1,),))))</f>
        <v>-5.5868393511653562E-2</v>
      </c>
      <c r="R92" s="13">
        <f>((((VLOOKUP(B92,Database!$F:$AY,MATCH($R$1,Database!$F$1:$AY$1,),))))-(((VLOOKUP(EDATE(B92,-12),Database!$F:$AY,MATCH($R$1,Database!$F$1:$AY$1,),)))))/(((VLOOKUP(EDATE(B92,-12),Database!$F:$AY,MATCH($R$1,Database!$F$1:$AY$1,),))))</f>
        <v>-3.0891688818816109E-2</v>
      </c>
      <c r="S92" s="13">
        <f>((((VLOOKUP(B92,Database!$F:$AY,MATCH($S$1,Database!$F$1:$AY$1,),))))-(((VLOOKUP(EDATE(B92,-12),Database!$F:$AY,MATCH($S$1,Database!$F$1:$AY$1,),)))))/(((VLOOKUP(EDATE(B92,-12),Database!$F:$AY,MATCH($S$1,Database!$F$1:$AY$1,),))))</f>
        <v>0.26384364285005357</v>
      </c>
      <c r="T92" s="13">
        <f>((((VLOOKUP(B92,Database!$F:$AY,MATCH($T$1,Database!$F$1:$AY$1,),))))-(((VLOOKUP(EDATE(B92,-12),Database!$F:$AY,MATCH($T$1,Database!$F$1:$AY$1,),)))))/(((VLOOKUP(EDATE(B92,-12),Database!$F:$AY,MATCH($T$1,Database!$F$1:$AY$1,),))))</f>
        <v>6.1764552755420567E-2</v>
      </c>
      <c r="U92" s="13">
        <f>((((VLOOKUP(B92,Database!$F:$AY,MATCH($U$1,Database!$F$1:$AY$1,),))))-(((VLOOKUP(EDATE(B92,-12),Database!$F:$AY,MATCH($U$1,Database!$F$1:$AY$1,),)))))/(((VLOOKUP(EDATE(B92,-12),Database!$F:$AY,MATCH($U$1,Database!$F$1:$AY$1,),))))</f>
        <v>6.0341673807386753E-2</v>
      </c>
      <c r="V92" s="13">
        <f>((((VLOOKUP(B92,Database!$F:$AY,MATCH($V$1,Database!$F$1:$AY$1,),))))-(((VLOOKUP(EDATE(B92,-12),Database!$F:$AY,MATCH($V$1,Database!$F$1:$AY$1,),)))))/(((VLOOKUP(EDATE(B92,-12),Database!$F:$AY,MATCH($V$1,Database!$F$1:$AY$1,),))))</f>
        <v>9.0240366154822213E-2</v>
      </c>
    </row>
    <row r="93" spans="1:22" s="85" customFormat="1" x14ac:dyDescent="0.2">
      <c r="A93" s="44"/>
      <c r="B93" s="91">
        <v>34973</v>
      </c>
      <c r="C93" s="13">
        <f>((((VLOOKUP(B93,Database!$F:$AY,MATCH($C$1,Database!$F$1:$AY$1,),))))-(((VLOOKUP(EDATE(B93,-12),Database!$F:$AY,MATCH($C$1,Database!$F$1:$AY$1,),)))))/(((VLOOKUP(EDATE(B93,-12),Database!$F:$AY,MATCH($C$1,Database!$F$1:$AY$1,),))))</f>
        <v>3.6343231682613407E-2</v>
      </c>
      <c r="D93" s="13">
        <f>((((VLOOKUP(B93,Database!$F:$AY,MATCH($D$1,Database!$F$1:$AY$1,),))))-(((VLOOKUP(EDATE(B93,-12),Database!$F:$AY,MATCH($D$1,Database!$F$1:$AY$1,),)))))/(((VLOOKUP(EDATE(B93,-12),Database!$F:$AY,MATCH($D$1,Database!$F$1:$AY$1,),))))</f>
        <v>7.4257419614702025E-3</v>
      </c>
      <c r="E93" s="13">
        <f>((((VLOOKUP(B93,Database!$F:$AY,MATCH($E$1,Database!$F$1:$AY$1,),))))-(((VLOOKUP(EDATE(B93,-12),Database!$F:$AY,MATCH($E$1,Database!$F$1:$AY$1,),)))))/(((VLOOKUP(EDATE(B93,-12),Database!$F:$AY,MATCH($E$1,Database!$F$1:$AY$1,),))))</f>
        <v>1.1133478985121875E-2</v>
      </c>
      <c r="F93" s="13">
        <f>((((VLOOKUP(B93,Database!$F:$AY,MATCH($F$1,Database!$F$1:$AY$1,),))))-(((VLOOKUP(EDATE(B93,-12),Database!$F:$AY,MATCH($F$1,Database!$F$1:$AY$1,),)))))/(((VLOOKUP(EDATE(B93,-12),Database!$F:$AY,MATCH($F$1,Database!$F$1:$AY$1,),))))</f>
        <v>-3.1073493412586677E-2</v>
      </c>
      <c r="G93" s="13">
        <f>((((VLOOKUP(B93,Database!$F:$AY,MATCH($G$1,Database!$F$1:$AY$1,),))))-(((VLOOKUP(EDATE(B93,-12),Database!$F:$AY,MATCH($G$1,Database!$F$1:$AY$1,),)))))/(((VLOOKUP(EDATE(B93,-12),Database!$F:$AY,MATCH($G$1,Database!$F$1:$AY$1,),))))</f>
        <v>-1.3002383661983787E-3</v>
      </c>
      <c r="H93" s="13">
        <f>((((VLOOKUP(B93,Database!$F:$AY,MATCH($H$1,Database!$F$1:$AY$1,),))))-(((VLOOKUP(EDATE(B93,-12),Database!$F:$AY,MATCH($H$1,Database!$F$1:$AY$1,),)))))/(((VLOOKUP(EDATE(B93,-12),Database!$F:$AY,MATCH($H$1,Database!$F$1:$AY$1,),))))</f>
        <v>3.7742556543797633E-3</v>
      </c>
      <c r="I93" s="13">
        <f>((((VLOOKUP(B93,Database!$F:$AY,MATCH($I$1,Database!$F$1:$AY$1,),))))-(((VLOOKUP(EDATE(B93,-12),Database!$F:$AY,MATCH($I$1,Database!$F$1:$AY$1,),)))))/(((VLOOKUP(EDATE(B93,-12),Database!$F:$AY,MATCH($I$1,Database!$F$1:$AY$1,),))))</f>
        <v>5.7269110630405171E-2</v>
      </c>
      <c r="J93" s="13">
        <f>((((VLOOKUP(B93,Database!$F:$AY,MATCH($J$1,Database!$F$1:$AY$1,),))))-(((VLOOKUP(EDATE(B93,-12),Database!$F:$AY,MATCH($J$1,Database!$F$1:$AY$1,),)))))/(((VLOOKUP(EDATE(B93,-12),Database!$F:$AY,MATCH($J$1,Database!$F$1:$AY$1,),))))</f>
        <v>1.638644264596463E-2</v>
      </c>
      <c r="K93" s="13">
        <f>((((VLOOKUP(B93,Database!$F:$AY,MATCH($K$1,Database!$F$1:$AY$1,),))))-(((VLOOKUP(EDATE(B93,-12),Database!$F:$AY,MATCH($K$1,Database!$F$1:$AY$1,),)))))/(((VLOOKUP(EDATE(B93,-12),Database!$F:$AY,MATCH($K$1,Database!$F$1:$AY$1,),))))</f>
        <v>6.6073800645347583E-2</v>
      </c>
      <c r="L93" s="13">
        <f>((((VLOOKUP(B93,Database!$F:$AY,MATCH($L$1,Database!$F$1:$AY$1,),))))-(((VLOOKUP(EDATE(B93,-12),Database!$F:$AY,MATCH($L$1,Database!$F$1:$AY$1,),)))))/(((VLOOKUP(EDATE(B93,-12),Database!$F:$AY,MATCH($L$1,Database!$F$1:$AY$1,),))))</f>
        <v>-0.1623783347974713</v>
      </c>
      <c r="M93" s="13">
        <f>((((VLOOKUP(B93,Database!$F:$AY,MATCH($M$1,Database!$F$1:$AY$1,),))))-(((VLOOKUP(EDATE(B93,-12),Database!$F:$AY,MATCH($M$1,Database!$F$1:$AY$1,),)))))/(((VLOOKUP(EDATE(B93,-12),Database!$F:$AY,MATCH($M$1,Database!$F$1:$AY$1,),))))</f>
        <v>-1.8810442946802831E-2</v>
      </c>
      <c r="N93" s="13">
        <f>((((VLOOKUP(B93,Database!$F:$AY,MATCH($N$1,Database!$F$1:$AY$1,),))))-(((VLOOKUP(EDATE(B93,-12),Database!$F:$AY,MATCH($N$1,Database!$F$1:$AY$1,),)))))/(((VLOOKUP(EDATE(B93,-12),Database!$F:$AY,MATCH($N$1,Database!$F$1:$AY$1,),))))</f>
        <v>0.11116171135121639</v>
      </c>
      <c r="O93" s="13">
        <f>((((VLOOKUP(B93,Database!$F:$AY,MATCH($O$1,Database!$F$1:$AY$1,),))))-(((VLOOKUP(EDATE(B93,-12),Database!$F:$AY,MATCH($O$1,Database!$F$1:$AY$1,),)))))/(((VLOOKUP(EDATE(B93,-12),Database!$F:$AY,MATCH($O$1,Database!$F$1:$AY$1,),))))</f>
        <v>2.1503431042737262E-2</v>
      </c>
      <c r="P93" s="13">
        <f>((((VLOOKUP(B93,Database!$F:$AY,MATCH($P$1,Database!$F$1:$AY$1,),))))-(((VLOOKUP(EDATE(B93,-12),Database!$F:$AY,MATCH($P$1,Database!$F$1:$AY$1,),)))))/(((VLOOKUP(EDATE(B93,-12),Database!$F:$AY,MATCH($P$1,Database!$F$1:$AY$1,),))))</f>
        <v>8.8923386812242253E-2</v>
      </c>
      <c r="Q93" s="13">
        <f>((((VLOOKUP(B93,Database!$F:$AY,MATCH($Q$1,Database!$F$1:$AY$1,),))))-(((VLOOKUP(EDATE(B93,-12),Database!$F:$AY,MATCH($Q$1,Database!$F$1:$AY$1,),)))))/(((VLOOKUP(EDATE(B93,-12),Database!$F:$AY,MATCH($Q$1,Database!$F$1:$AY$1,),))))</f>
        <v>-4.4461975018333884E-2</v>
      </c>
      <c r="R93" s="13">
        <f>((((VLOOKUP(B93,Database!$F:$AY,MATCH($R$1,Database!$F$1:$AY$1,),))))-(((VLOOKUP(EDATE(B93,-12),Database!$F:$AY,MATCH($R$1,Database!$F$1:$AY$1,),)))))/(((VLOOKUP(EDATE(B93,-12),Database!$F:$AY,MATCH($R$1,Database!$F$1:$AY$1,),))))</f>
        <v>1.2200472756063277E-2</v>
      </c>
      <c r="S93" s="13">
        <f>((((VLOOKUP(B93,Database!$F:$AY,MATCH($S$1,Database!$F$1:$AY$1,),))))-(((VLOOKUP(EDATE(B93,-12),Database!$F:$AY,MATCH($S$1,Database!$F$1:$AY$1,),)))))/(((VLOOKUP(EDATE(B93,-12),Database!$F:$AY,MATCH($S$1,Database!$F$1:$AY$1,),))))</f>
        <v>0.22392652451257067</v>
      </c>
      <c r="T93" s="13">
        <f>((((VLOOKUP(B93,Database!$F:$AY,MATCH($T$1,Database!$F$1:$AY$1,),))))-(((VLOOKUP(EDATE(B93,-12),Database!$F:$AY,MATCH($T$1,Database!$F$1:$AY$1,),)))))/(((VLOOKUP(EDATE(B93,-12),Database!$F:$AY,MATCH($T$1,Database!$F$1:$AY$1,),))))</f>
        <v>8.6208333453074507E-3</v>
      </c>
      <c r="U93" s="13">
        <f>((((VLOOKUP(B93,Database!$F:$AY,MATCH($U$1,Database!$F$1:$AY$1,),))))-(((VLOOKUP(EDATE(B93,-12),Database!$F:$AY,MATCH($U$1,Database!$F$1:$AY$1,),)))))/(((VLOOKUP(EDATE(B93,-12),Database!$F:$AY,MATCH($U$1,Database!$F$1:$AY$1,),))))</f>
        <v>0.11468488073631021</v>
      </c>
      <c r="V93" s="13">
        <f>((((VLOOKUP(B93,Database!$F:$AY,MATCH($V$1,Database!$F$1:$AY$1,),))))-(((VLOOKUP(EDATE(B93,-12),Database!$F:$AY,MATCH($V$1,Database!$F$1:$AY$1,),)))))/(((VLOOKUP(EDATE(B93,-12),Database!$F:$AY,MATCH($V$1,Database!$F$1:$AY$1,),))))</f>
        <v>0.10441326050474163</v>
      </c>
    </row>
    <row r="94" spans="1:22" s="85" customFormat="1" x14ac:dyDescent="0.2">
      <c r="A94" s="44"/>
      <c r="B94" s="91">
        <v>35004</v>
      </c>
      <c r="C94" s="13">
        <f>((((VLOOKUP(B94,Database!$F:$AY,MATCH($C$1,Database!$F$1:$AY$1,),))))-(((VLOOKUP(EDATE(B94,-12),Database!$F:$AY,MATCH($C$1,Database!$F$1:$AY$1,),)))))/(((VLOOKUP(EDATE(B94,-12),Database!$F:$AY,MATCH($C$1,Database!$F$1:$AY$1,),))))</f>
        <v>3.2586826141006227E-2</v>
      </c>
      <c r="D94" s="13">
        <f>((((VLOOKUP(B94,Database!$F:$AY,MATCH($D$1,Database!$F$1:$AY$1,),))))-(((VLOOKUP(EDATE(B94,-12),Database!$F:$AY,MATCH($D$1,Database!$F$1:$AY$1,),)))))/(((VLOOKUP(EDATE(B94,-12),Database!$F:$AY,MATCH($D$1,Database!$F$1:$AY$1,),))))</f>
        <v>3.6855033836104608E-3</v>
      </c>
      <c r="E94" s="13">
        <f>((((VLOOKUP(B94,Database!$F:$AY,MATCH($E$1,Database!$F$1:$AY$1,),))))-(((VLOOKUP(EDATE(B94,-12),Database!$F:$AY,MATCH($E$1,Database!$F$1:$AY$1,),)))))/(((VLOOKUP(EDATE(B94,-12),Database!$F:$AY,MATCH($E$1,Database!$F$1:$AY$1,),))))</f>
        <v>1.3079144498555054E-2</v>
      </c>
      <c r="F94" s="13">
        <f>((((VLOOKUP(B94,Database!$F:$AY,MATCH($F$1,Database!$F$1:$AY$1,),))))-(((VLOOKUP(EDATE(B94,-12),Database!$F:$AY,MATCH($F$1,Database!$F$1:$AY$1,),)))))/(((VLOOKUP(EDATE(B94,-12),Database!$F:$AY,MATCH($F$1,Database!$F$1:$AY$1,),))))</f>
        <v>-3.0898921778176224E-2</v>
      </c>
      <c r="G94" s="13">
        <f>((((VLOOKUP(B94,Database!$F:$AY,MATCH($G$1,Database!$F$1:$AY$1,),))))-(((VLOOKUP(EDATE(B94,-12),Database!$F:$AY,MATCH($G$1,Database!$F$1:$AY$1,),)))))/(((VLOOKUP(EDATE(B94,-12),Database!$F:$AY,MATCH($G$1,Database!$F$1:$AY$1,),))))</f>
        <v>-1.0418924524585101E-2</v>
      </c>
      <c r="H94" s="13">
        <f>((((VLOOKUP(B94,Database!$F:$AY,MATCH($H$1,Database!$F$1:$AY$1,),))))-(((VLOOKUP(EDATE(B94,-12),Database!$F:$AY,MATCH($H$1,Database!$F$1:$AY$1,),)))))/(((VLOOKUP(EDATE(B94,-12),Database!$F:$AY,MATCH($H$1,Database!$F$1:$AY$1,),))))</f>
        <v>1.03868226011536E-2</v>
      </c>
      <c r="I94" s="13">
        <f>((((VLOOKUP(B94,Database!$F:$AY,MATCH($I$1,Database!$F$1:$AY$1,),))))-(((VLOOKUP(EDATE(B94,-12),Database!$F:$AY,MATCH($I$1,Database!$F$1:$AY$1,),)))))/(((VLOOKUP(EDATE(B94,-12),Database!$F:$AY,MATCH($I$1,Database!$F$1:$AY$1,),))))</f>
        <v>3.9861201625091824E-2</v>
      </c>
      <c r="J94" s="13">
        <f>((((VLOOKUP(B94,Database!$F:$AY,MATCH($J$1,Database!$F$1:$AY$1,),))))-(((VLOOKUP(EDATE(B94,-12),Database!$F:$AY,MATCH($J$1,Database!$F$1:$AY$1,),)))))/(((VLOOKUP(EDATE(B94,-12),Database!$F:$AY,MATCH($J$1,Database!$F$1:$AY$1,),))))</f>
        <v>1.0497216528770562E-2</v>
      </c>
      <c r="K94" s="13">
        <f>((((VLOOKUP(B94,Database!$F:$AY,MATCH($K$1,Database!$F$1:$AY$1,),))))-(((VLOOKUP(EDATE(B94,-12),Database!$F:$AY,MATCH($K$1,Database!$F$1:$AY$1,),)))))/(((VLOOKUP(EDATE(B94,-12),Database!$F:$AY,MATCH($K$1,Database!$F$1:$AY$1,),))))</f>
        <v>5.7934479350057598E-2</v>
      </c>
      <c r="L94" s="13">
        <f>((((VLOOKUP(B94,Database!$F:$AY,MATCH($L$1,Database!$F$1:$AY$1,),))))-(((VLOOKUP(EDATE(B94,-12),Database!$F:$AY,MATCH($L$1,Database!$F$1:$AY$1,),)))))/(((VLOOKUP(EDATE(B94,-12),Database!$F:$AY,MATCH($L$1,Database!$F$1:$AY$1,),))))</f>
        <v>-9.8595510436849068E-2</v>
      </c>
      <c r="M94" s="13">
        <f>((((VLOOKUP(B94,Database!$F:$AY,MATCH($M$1,Database!$F$1:$AY$1,),))))-(((VLOOKUP(EDATE(B94,-12),Database!$F:$AY,MATCH($M$1,Database!$F$1:$AY$1,),)))))/(((VLOOKUP(EDATE(B94,-12),Database!$F:$AY,MATCH($M$1,Database!$F$1:$AY$1,),))))</f>
        <v>-5.9743210012354268E-2</v>
      </c>
      <c r="N94" s="13">
        <f>((((VLOOKUP(B94,Database!$F:$AY,MATCH($N$1,Database!$F$1:$AY$1,),))))-(((VLOOKUP(EDATE(B94,-12),Database!$F:$AY,MATCH($N$1,Database!$F$1:$AY$1,),)))))/(((VLOOKUP(EDATE(B94,-12),Database!$F:$AY,MATCH($N$1,Database!$F$1:$AY$1,),))))</f>
        <v>0.12181755437429641</v>
      </c>
      <c r="O94" s="13">
        <f>((((VLOOKUP(B94,Database!$F:$AY,MATCH($O$1,Database!$F$1:$AY$1,),))))-(((VLOOKUP(EDATE(B94,-12),Database!$F:$AY,MATCH($O$1,Database!$F$1:$AY$1,),)))))/(((VLOOKUP(EDATE(B94,-12),Database!$F:$AY,MATCH($O$1,Database!$F$1:$AY$1,),))))</f>
        <v>1.2117621008301483E-2</v>
      </c>
      <c r="P94" s="13">
        <f>((((VLOOKUP(B94,Database!$F:$AY,MATCH($P$1,Database!$F$1:$AY$1,),))))-(((VLOOKUP(EDATE(B94,-12),Database!$F:$AY,MATCH($P$1,Database!$F$1:$AY$1,),)))))/(((VLOOKUP(EDATE(B94,-12),Database!$F:$AY,MATCH($P$1,Database!$F$1:$AY$1,),))))</f>
        <v>7.3390409100355117E-2</v>
      </c>
      <c r="Q94" s="13">
        <f>((((VLOOKUP(B94,Database!$F:$AY,MATCH($Q$1,Database!$F$1:$AY$1,),))))-(((VLOOKUP(EDATE(B94,-12),Database!$F:$AY,MATCH($Q$1,Database!$F$1:$AY$1,),)))))/(((VLOOKUP(EDATE(B94,-12),Database!$F:$AY,MATCH($Q$1,Database!$F$1:$AY$1,),))))</f>
        <v>-5.3401274856470157E-2</v>
      </c>
      <c r="R94" s="13">
        <f>((((VLOOKUP(B94,Database!$F:$AY,MATCH($R$1,Database!$F$1:$AY$1,),))))-(((VLOOKUP(EDATE(B94,-12),Database!$F:$AY,MATCH($R$1,Database!$F$1:$AY$1,),)))))/(((VLOOKUP(EDATE(B94,-12),Database!$F:$AY,MATCH($R$1,Database!$F$1:$AY$1,),))))</f>
        <v>7.9950940874559395E-3</v>
      </c>
      <c r="S94" s="13">
        <f>((((VLOOKUP(B94,Database!$F:$AY,MATCH($S$1,Database!$F$1:$AY$1,),))))-(((VLOOKUP(EDATE(B94,-12),Database!$F:$AY,MATCH($S$1,Database!$F$1:$AY$1,),)))))/(((VLOOKUP(EDATE(B94,-12),Database!$F:$AY,MATCH($S$1,Database!$F$1:$AY$1,),))))</f>
        <v>0.2215382081294025</v>
      </c>
      <c r="T94" s="13">
        <f>((((VLOOKUP(B94,Database!$F:$AY,MATCH($T$1,Database!$F$1:$AY$1,),))))-(((VLOOKUP(EDATE(B94,-12),Database!$F:$AY,MATCH($T$1,Database!$F$1:$AY$1,),)))))/(((VLOOKUP(EDATE(B94,-12),Database!$F:$AY,MATCH($T$1,Database!$F$1:$AY$1,),))))</f>
        <v>0.11239178133279688</v>
      </c>
      <c r="U94" s="13">
        <f>((((VLOOKUP(B94,Database!$F:$AY,MATCH($U$1,Database!$F$1:$AY$1,),))))-(((VLOOKUP(EDATE(B94,-12),Database!$F:$AY,MATCH($U$1,Database!$F$1:$AY$1,),)))))/(((VLOOKUP(EDATE(B94,-12),Database!$F:$AY,MATCH($U$1,Database!$F$1:$AY$1,),))))</f>
        <v>0.10783881322407246</v>
      </c>
      <c r="V94" s="13">
        <f>((((VLOOKUP(B94,Database!$F:$AY,MATCH($V$1,Database!$F$1:$AY$1,),))))-(((VLOOKUP(EDATE(B94,-12),Database!$F:$AY,MATCH($V$1,Database!$F$1:$AY$1,),)))))/(((VLOOKUP(EDATE(B94,-12),Database!$F:$AY,MATCH($V$1,Database!$F$1:$AY$1,),))))</f>
        <v>0.12061984534345987</v>
      </c>
    </row>
    <row r="95" spans="1:22" s="85" customFormat="1" x14ac:dyDescent="0.2">
      <c r="A95" s="44"/>
      <c r="B95" s="91">
        <v>35034</v>
      </c>
      <c r="C95" s="13">
        <f>((((VLOOKUP(B95,Database!$F:$AY,MATCH($C$1,Database!$F$1:$AY$1,),))))-(((VLOOKUP(EDATE(B95,-12),Database!$F:$AY,MATCH($C$1,Database!$F$1:$AY$1,),)))))/(((VLOOKUP(EDATE(B95,-12),Database!$F:$AY,MATCH($C$1,Database!$F$1:$AY$1,),))))</f>
        <v>2.5755987074416897E-2</v>
      </c>
      <c r="D95" s="13">
        <f>((((VLOOKUP(B95,Database!$F:$AY,MATCH($D$1,Database!$F$1:$AY$1,),))))-(((VLOOKUP(EDATE(B95,-12),Database!$F:$AY,MATCH($D$1,Database!$F$1:$AY$1,),)))))/(((VLOOKUP(EDATE(B95,-12),Database!$F:$AY,MATCH($D$1,Database!$F$1:$AY$1,),))))</f>
        <v>4.8602264119577141E-3</v>
      </c>
      <c r="E95" s="13">
        <f>((((VLOOKUP(B95,Database!$F:$AY,MATCH($E$1,Database!$F$1:$AY$1,),))))-(((VLOOKUP(EDATE(B95,-12),Database!$F:$AY,MATCH($E$1,Database!$F$1:$AY$1,),)))))/(((VLOOKUP(EDATE(B95,-12),Database!$F:$AY,MATCH($E$1,Database!$F$1:$AY$1,),))))</f>
        <v>1.8981081965016806E-2</v>
      </c>
      <c r="F95" s="13">
        <f>((((VLOOKUP(B95,Database!$F:$AY,MATCH($F$1,Database!$F$1:$AY$1,),))))-(((VLOOKUP(EDATE(B95,-12),Database!$F:$AY,MATCH($F$1,Database!$F$1:$AY$1,),)))))/(((VLOOKUP(EDATE(B95,-12),Database!$F:$AY,MATCH($F$1,Database!$F$1:$AY$1,),))))</f>
        <v>-3.0898921778176224E-2</v>
      </c>
      <c r="G95" s="13">
        <f>((((VLOOKUP(B95,Database!$F:$AY,MATCH($G$1,Database!$F$1:$AY$1,),))))-(((VLOOKUP(EDATE(B95,-12),Database!$F:$AY,MATCH($G$1,Database!$F$1:$AY$1,),)))))/(((VLOOKUP(EDATE(B95,-12),Database!$F:$AY,MATCH($G$1,Database!$F$1:$AY$1,),))))</f>
        <v>1.2155663926227765E-2</v>
      </c>
      <c r="H95" s="13">
        <f>((((VLOOKUP(B95,Database!$F:$AY,MATCH($H$1,Database!$F$1:$AY$1,),))))-(((VLOOKUP(EDATE(B95,-12),Database!$F:$AY,MATCH($H$1,Database!$F$1:$AY$1,),)))))/(((VLOOKUP(EDATE(B95,-12),Database!$F:$AY,MATCH($H$1,Database!$F$1:$AY$1,),))))</f>
        <v>5.6079935919581608E-3</v>
      </c>
      <c r="I95" s="13">
        <f>((((VLOOKUP(B95,Database!$F:$AY,MATCH($I$1,Database!$F$1:$AY$1,),))))-(((VLOOKUP(EDATE(B95,-12),Database!$F:$AY,MATCH($I$1,Database!$F$1:$AY$1,),)))))/(((VLOOKUP(EDATE(B95,-12),Database!$F:$AY,MATCH($I$1,Database!$F$1:$AY$1,),))))</f>
        <v>3.2149054785468506E-2</v>
      </c>
      <c r="J95" s="13">
        <f>((((VLOOKUP(B95,Database!$F:$AY,MATCH($J$1,Database!$F$1:$AY$1,),))))-(((VLOOKUP(EDATE(B95,-12),Database!$F:$AY,MATCH($J$1,Database!$F$1:$AY$1,),)))))/(((VLOOKUP(EDATE(B95,-12),Database!$F:$AY,MATCH($J$1,Database!$F$1:$AY$1,),))))</f>
        <v>-5.4376140546664627E-3</v>
      </c>
      <c r="K95" s="13">
        <f>((((VLOOKUP(B95,Database!$F:$AY,MATCH($K$1,Database!$F$1:$AY$1,),))))-(((VLOOKUP(EDATE(B95,-12),Database!$F:$AY,MATCH($K$1,Database!$F$1:$AY$1,),)))))/(((VLOOKUP(EDATE(B95,-12),Database!$F:$AY,MATCH($K$1,Database!$F$1:$AY$1,),))))</f>
        <v>3.8798591763886461E-2</v>
      </c>
      <c r="L95" s="13">
        <f>((((VLOOKUP(B95,Database!$F:$AY,MATCH($L$1,Database!$F$1:$AY$1,),))))-(((VLOOKUP(EDATE(B95,-12),Database!$F:$AY,MATCH($L$1,Database!$F$1:$AY$1,),)))))/(((VLOOKUP(EDATE(B95,-12),Database!$F:$AY,MATCH($L$1,Database!$F$1:$AY$1,),))))</f>
        <v>-3.3040369640328561E-2</v>
      </c>
      <c r="M95" s="13">
        <f>((((VLOOKUP(B95,Database!$F:$AY,MATCH($M$1,Database!$F$1:$AY$1,),))))-(((VLOOKUP(EDATE(B95,-12),Database!$F:$AY,MATCH($M$1,Database!$F$1:$AY$1,),)))))/(((VLOOKUP(EDATE(B95,-12),Database!$F:$AY,MATCH($M$1,Database!$F$1:$AY$1,),))))</f>
        <v>-7.1546429893321259E-2</v>
      </c>
      <c r="N95" s="13">
        <f>((((VLOOKUP(B95,Database!$F:$AY,MATCH($N$1,Database!$F$1:$AY$1,),))))-(((VLOOKUP(EDATE(B95,-12),Database!$F:$AY,MATCH($N$1,Database!$F$1:$AY$1,),)))))/(((VLOOKUP(EDATE(B95,-12),Database!$F:$AY,MATCH($N$1,Database!$F$1:$AY$1,),))))</f>
        <v>0.12524917364352861</v>
      </c>
      <c r="O95" s="13">
        <f>((((VLOOKUP(B95,Database!$F:$AY,MATCH($O$1,Database!$F$1:$AY$1,),))))-(((VLOOKUP(EDATE(B95,-12),Database!$F:$AY,MATCH($O$1,Database!$F$1:$AY$1,),)))))/(((VLOOKUP(EDATE(B95,-12),Database!$F:$AY,MATCH($O$1,Database!$F$1:$AY$1,),))))</f>
        <v>-8.1624239446600969E-3</v>
      </c>
      <c r="P95" s="13">
        <f>((((VLOOKUP(B95,Database!$F:$AY,MATCH($P$1,Database!$F$1:$AY$1,),))))-(((VLOOKUP(EDATE(B95,-12),Database!$F:$AY,MATCH($P$1,Database!$F$1:$AY$1,),)))))/(((VLOOKUP(EDATE(B95,-12),Database!$F:$AY,MATCH($P$1,Database!$F$1:$AY$1,),))))</f>
        <v>0.10530359314354253</v>
      </c>
      <c r="Q95" s="13">
        <f>((((VLOOKUP(B95,Database!$F:$AY,MATCH($Q$1,Database!$F$1:$AY$1,),))))-(((VLOOKUP(EDATE(B95,-12),Database!$F:$AY,MATCH($Q$1,Database!$F$1:$AY$1,),)))))/(((VLOOKUP(EDATE(B95,-12),Database!$F:$AY,MATCH($Q$1,Database!$F$1:$AY$1,),))))</f>
        <v>-9.2637446406583376E-2</v>
      </c>
      <c r="R95" s="13">
        <f>((((VLOOKUP(B95,Database!$F:$AY,MATCH($R$1,Database!$F$1:$AY$1,),))))-(((VLOOKUP(EDATE(B95,-12),Database!$F:$AY,MATCH($R$1,Database!$F$1:$AY$1,),)))))/(((VLOOKUP(EDATE(B95,-12),Database!$F:$AY,MATCH($R$1,Database!$F$1:$AY$1,),))))</f>
        <v>2.3072644962703139E-2</v>
      </c>
      <c r="S95" s="13">
        <f>((((VLOOKUP(B95,Database!$F:$AY,MATCH($S$1,Database!$F$1:$AY$1,),))))-(((VLOOKUP(EDATE(B95,-12),Database!$F:$AY,MATCH($S$1,Database!$F$1:$AY$1,),)))))/(((VLOOKUP(EDATE(B95,-12),Database!$F:$AY,MATCH($S$1,Database!$F$1:$AY$1,),))))</f>
        <v>0.19533531417084088</v>
      </c>
      <c r="T95" s="13">
        <f>((((VLOOKUP(B95,Database!$F:$AY,MATCH($T$1,Database!$F$1:$AY$1,),))))-(((VLOOKUP(EDATE(B95,-12),Database!$F:$AY,MATCH($T$1,Database!$F$1:$AY$1,),)))))/(((VLOOKUP(EDATE(B95,-12),Database!$F:$AY,MATCH($T$1,Database!$F$1:$AY$1,),))))</f>
        <v>0.18235282524986643</v>
      </c>
      <c r="U95" s="13">
        <f>((((VLOOKUP(B95,Database!$F:$AY,MATCH($U$1,Database!$F$1:$AY$1,),))))-(((VLOOKUP(EDATE(B95,-12),Database!$F:$AY,MATCH($U$1,Database!$F$1:$AY$1,),)))))/(((VLOOKUP(EDATE(B95,-12),Database!$F:$AY,MATCH($U$1,Database!$F$1:$AY$1,),))))</f>
        <v>4.4226245989430223E-2</v>
      </c>
      <c r="V95" s="13">
        <f>((((VLOOKUP(B95,Database!$F:$AY,MATCH($V$1,Database!$F$1:$AY$1,),))))-(((VLOOKUP(EDATE(B95,-12),Database!$F:$AY,MATCH($V$1,Database!$F$1:$AY$1,),)))))/(((VLOOKUP(EDATE(B95,-12),Database!$F:$AY,MATCH($V$1,Database!$F$1:$AY$1,),))))</f>
        <v>5.596627255532003E-2</v>
      </c>
    </row>
    <row r="96" spans="1:22" s="85" customFormat="1" x14ac:dyDescent="0.2">
      <c r="A96" s="44"/>
      <c r="B96" s="91">
        <v>35065</v>
      </c>
      <c r="C96" s="13">
        <f>((((VLOOKUP(B96,Database!$F:$AY,MATCH($C$1,Database!$F$1:$AY$1,),))))-(((VLOOKUP(EDATE(B96,-12),Database!$F:$AY,MATCH($C$1,Database!$F$1:$AY$1,),)))))/(((VLOOKUP(EDATE(B96,-12),Database!$F:$AY,MATCH($C$1,Database!$F$1:$AY$1,),))))</f>
        <v>1.7190982047700004E-2</v>
      </c>
      <c r="D96" s="13">
        <f>((((VLOOKUP(B96,Database!$F:$AY,MATCH($D$1,Database!$F$1:$AY$1,),))))-(((VLOOKUP(EDATE(B96,-12),Database!$F:$AY,MATCH($D$1,Database!$F$1:$AY$1,),)))))/(((VLOOKUP(EDATE(B96,-12),Database!$F:$AY,MATCH($D$1,Database!$F$1:$AY$1,),))))</f>
        <v>2.4478986034269616E-3</v>
      </c>
      <c r="E96" s="13">
        <f>((((VLOOKUP(B96,Database!$F:$AY,MATCH($E$1,Database!$F$1:$AY$1,),))))-(((VLOOKUP(EDATE(B96,-12),Database!$F:$AY,MATCH($E$1,Database!$F$1:$AY$1,),)))))/(((VLOOKUP(EDATE(B96,-12),Database!$F:$AY,MATCH($E$1,Database!$F$1:$AY$1,),))))</f>
        <v>2.4465285216901902E-2</v>
      </c>
      <c r="F96" s="13">
        <f>((((VLOOKUP(B96,Database!$F:$AY,MATCH($F$1,Database!$F$1:$AY$1,),))))-(((VLOOKUP(EDATE(B96,-12),Database!$F:$AY,MATCH($F$1,Database!$F$1:$AY$1,),)))))/(((VLOOKUP(EDATE(B96,-12),Database!$F:$AY,MATCH($F$1,Database!$F$1:$AY$1,),))))</f>
        <v>-7.163204725666214E-3</v>
      </c>
      <c r="G96" s="13">
        <f>((((VLOOKUP(B96,Database!$F:$AY,MATCH($G$1,Database!$F$1:$AY$1,),))))-(((VLOOKUP(EDATE(B96,-12),Database!$F:$AY,MATCH($G$1,Database!$F$1:$AY$1,),)))))/(((VLOOKUP(EDATE(B96,-12),Database!$F:$AY,MATCH($G$1,Database!$F$1:$AY$1,),))))</f>
        <v>-3.9516919542911481E-3</v>
      </c>
      <c r="H96" s="13">
        <f>((((VLOOKUP(B96,Database!$F:$AY,MATCH($H$1,Database!$F$1:$AY$1,),))))-(((VLOOKUP(EDATE(B96,-12),Database!$F:$AY,MATCH($H$1,Database!$F$1:$AY$1,),)))))/(((VLOOKUP(EDATE(B96,-12),Database!$F:$AY,MATCH($H$1,Database!$F$1:$AY$1,),))))</f>
        <v>1.902995181131387E-2</v>
      </c>
      <c r="I96" s="13">
        <f>((((VLOOKUP(B96,Database!$F:$AY,MATCH($I$1,Database!$F$1:$AY$1,),))))-(((VLOOKUP(EDATE(B96,-12),Database!$F:$AY,MATCH($I$1,Database!$F$1:$AY$1,),)))))/(((VLOOKUP(EDATE(B96,-12),Database!$F:$AY,MATCH($I$1,Database!$F$1:$AY$1,),))))</f>
        <v>2.0373511548498934E-2</v>
      </c>
      <c r="J96" s="13">
        <f>((((VLOOKUP(B96,Database!$F:$AY,MATCH($J$1,Database!$F$1:$AY$1,),))))-(((VLOOKUP(EDATE(B96,-12),Database!$F:$AY,MATCH($J$1,Database!$F$1:$AY$1,),)))))/(((VLOOKUP(EDATE(B96,-12),Database!$F:$AY,MATCH($J$1,Database!$F$1:$AY$1,),))))</f>
        <v>-3.9998053994034138E-2</v>
      </c>
      <c r="K96" s="13">
        <f>((((VLOOKUP(B96,Database!$F:$AY,MATCH($K$1,Database!$F$1:$AY$1,),))))-(((VLOOKUP(EDATE(B96,-12),Database!$F:$AY,MATCH($K$1,Database!$F$1:$AY$1,),)))))/(((VLOOKUP(EDATE(B96,-12),Database!$F:$AY,MATCH($K$1,Database!$F$1:$AY$1,),))))</f>
        <v>2.5894087276310696E-2</v>
      </c>
      <c r="L96" s="13">
        <f>((((VLOOKUP(B96,Database!$F:$AY,MATCH($L$1,Database!$F$1:$AY$1,),))))-(((VLOOKUP(EDATE(B96,-12),Database!$F:$AY,MATCH($L$1,Database!$F$1:$AY$1,),)))))/(((VLOOKUP(EDATE(B96,-12),Database!$F:$AY,MATCH($L$1,Database!$F$1:$AY$1,),))))</f>
        <v>8.5058749274180782E-3</v>
      </c>
      <c r="M96" s="13">
        <f>((((VLOOKUP(B96,Database!$F:$AY,MATCH($M$1,Database!$F$1:$AY$1,),))))-(((VLOOKUP(EDATE(B96,-12),Database!$F:$AY,MATCH($M$1,Database!$F$1:$AY$1,),)))))/(((VLOOKUP(EDATE(B96,-12),Database!$F:$AY,MATCH($M$1,Database!$F$1:$AY$1,),))))</f>
        <v>-6.1708584905644716E-2</v>
      </c>
      <c r="N96" s="13">
        <f>((((VLOOKUP(B96,Database!$F:$AY,MATCH($N$1,Database!$F$1:$AY$1,),))))-(((VLOOKUP(EDATE(B96,-12),Database!$F:$AY,MATCH($N$1,Database!$F$1:$AY$1,),)))))/(((VLOOKUP(EDATE(B96,-12),Database!$F:$AY,MATCH($N$1,Database!$F$1:$AY$1,),))))</f>
        <v>0.11718131251709991</v>
      </c>
      <c r="O96" s="13">
        <f>((((VLOOKUP(B96,Database!$F:$AY,MATCH($O$1,Database!$F$1:$AY$1,),))))-(((VLOOKUP(EDATE(B96,-12),Database!$F:$AY,MATCH($O$1,Database!$F$1:$AY$1,),)))))/(((VLOOKUP(EDATE(B96,-12),Database!$F:$AY,MATCH($O$1,Database!$F$1:$AY$1,),))))</f>
        <v>-9.0664810099988034E-3</v>
      </c>
      <c r="P96" s="13">
        <f>((((VLOOKUP(B96,Database!$F:$AY,MATCH($P$1,Database!$F$1:$AY$1,),))))-(((VLOOKUP(EDATE(B96,-12),Database!$F:$AY,MATCH($P$1,Database!$F$1:$AY$1,),)))))/(((VLOOKUP(EDATE(B96,-12),Database!$F:$AY,MATCH($P$1,Database!$F$1:$AY$1,),))))</f>
        <v>7.8314446779551503E-2</v>
      </c>
      <c r="Q96" s="13">
        <f>((((VLOOKUP(B96,Database!$F:$AY,MATCH($Q$1,Database!$F$1:$AY$1,),))))-(((VLOOKUP(EDATE(B96,-12),Database!$F:$AY,MATCH($Q$1,Database!$F$1:$AY$1,),)))))/(((VLOOKUP(EDATE(B96,-12),Database!$F:$AY,MATCH($Q$1,Database!$F$1:$AY$1,),))))</f>
        <v>-8.8395498114241466E-2</v>
      </c>
      <c r="R96" s="13">
        <f>((((VLOOKUP(B96,Database!$F:$AY,MATCH($R$1,Database!$F$1:$AY$1,),))))-(((VLOOKUP(EDATE(B96,-12),Database!$F:$AY,MATCH($R$1,Database!$F$1:$AY$1,),)))))/(((VLOOKUP(EDATE(B96,-12),Database!$F:$AY,MATCH($R$1,Database!$F$1:$AY$1,),))))</f>
        <v>-9.1681554471685738E-3</v>
      </c>
      <c r="S96" s="13">
        <f>((((VLOOKUP(B96,Database!$F:$AY,MATCH($S$1,Database!$F$1:$AY$1,),))))-(((VLOOKUP(EDATE(B96,-12),Database!$F:$AY,MATCH($S$1,Database!$F$1:$AY$1,),)))))/(((VLOOKUP(EDATE(B96,-12),Database!$F:$AY,MATCH($S$1,Database!$F$1:$AY$1,),))))</f>
        <v>0.19642824934617278</v>
      </c>
      <c r="T96" s="13">
        <f>((((VLOOKUP(B96,Database!$F:$AY,MATCH($T$1,Database!$F$1:$AY$1,),))))-(((VLOOKUP(EDATE(B96,-12),Database!$F:$AY,MATCH($T$1,Database!$F$1:$AY$1,),)))))/(((VLOOKUP(EDATE(B96,-12),Database!$F:$AY,MATCH($T$1,Database!$F$1:$AY$1,),))))</f>
        <v>0.12753644362196026</v>
      </c>
      <c r="U96" s="13">
        <f>((((VLOOKUP(B96,Database!$F:$AY,MATCH($U$1,Database!$F$1:$AY$1,),))))-(((VLOOKUP(EDATE(B96,-12),Database!$F:$AY,MATCH($U$1,Database!$F$1:$AY$1,),)))))/(((VLOOKUP(EDATE(B96,-12),Database!$F:$AY,MATCH($U$1,Database!$F$1:$AY$1,),))))</f>
        <v>2.1954314633503742E-2</v>
      </c>
      <c r="V96" s="13">
        <f>((((VLOOKUP(B96,Database!$F:$AY,MATCH($V$1,Database!$F$1:$AY$1,),))))-(((VLOOKUP(EDATE(B96,-12),Database!$F:$AY,MATCH($V$1,Database!$F$1:$AY$1,),)))))/(((VLOOKUP(EDATE(B96,-12),Database!$F:$AY,MATCH($V$1,Database!$F$1:$AY$1,),))))</f>
        <v>9.0183754074374914E-2</v>
      </c>
    </row>
    <row r="97" spans="1:22" s="85" customFormat="1" x14ac:dyDescent="0.2">
      <c r="A97" s="44"/>
      <c r="B97" s="91">
        <v>35096</v>
      </c>
      <c r="C97" s="13">
        <f>((((VLOOKUP(B97,Database!$F:$AY,MATCH($C$1,Database!$F$1:$AY$1,),))))-(((VLOOKUP(EDATE(B97,-12),Database!$F:$AY,MATCH($C$1,Database!$F$1:$AY$1,),)))))/(((VLOOKUP(EDATE(B97,-12),Database!$F:$AY,MATCH($C$1,Database!$F$1:$AY$1,),))))</f>
        <v>3.454037375146915E-2</v>
      </c>
      <c r="D97" s="13">
        <f>((((VLOOKUP(B97,Database!$F:$AY,MATCH($D$1,Database!$F$1:$AY$1,),))))-(((VLOOKUP(EDATE(B97,-12),Database!$F:$AY,MATCH($D$1,Database!$F$1:$AY$1,),)))))/(((VLOOKUP(EDATE(B97,-12),Database!$F:$AY,MATCH($D$1,Database!$F$1:$AY$1,),))))</f>
        <v>-3.6630036630036084E-3</v>
      </c>
      <c r="E97" s="13">
        <f>((((VLOOKUP(B97,Database!$F:$AY,MATCH($E$1,Database!$F$1:$AY$1,),))))-(((VLOOKUP(EDATE(B97,-12),Database!$F:$AY,MATCH($E$1,Database!$F$1:$AY$1,),)))))/(((VLOOKUP(EDATE(B97,-12),Database!$F:$AY,MATCH($E$1,Database!$F$1:$AY$1,),))))</f>
        <v>9.0443117760387933E-3</v>
      </c>
      <c r="F97" s="13">
        <f>((((VLOOKUP(B97,Database!$F:$AY,MATCH($F$1,Database!$F$1:$AY$1,),))))-(((VLOOKUP(EDATE(B97,-12),Database!$F:$AY,MATCH($F$1,Database!$F$1:$AY$1,),)))))/(((VLOOKUP(EDATE(B97,-12),Database!$F:$AY,MATCH($F$1,Database!$F$1:$AY$1,),))))</f>
        <v>-2.9661087576507043E-2</v>
      </c>
      <c r="G97" s="13">
        <f>((((VLOOKUP(B97,Database!$F:$AY,MATCH($G$1,Database!$F$1:$AY$1,),))))-(((VLOOKUP(EDATE(B97,-12),Database!$F:$AY,MATCH($G$1,Database!$F$1:$AY$1,),)))))/(((VLOOKUP(EDATE(B97,-12),Database!$F:$AY,MATCH($G$1,Database!$F$1:$AY$1,),))))</f>
        <v>5.6988769341503034E-3</v>
      </c>
      <c r="H97" s="13">
        <f>((((VLOOKUP(B97,Database!$F:$AY,MATCH($H$1,Database!$F$1:$AY$1,),))))-(((VLOOKUP(EDATE(B97,-12),Database!$F:$AY,MATCH($H$1,Database!$F$1:$AY$1,),)))))/(((VLOOKUP(EDATE(B97,-12),Database!$F:$AY,MATCH($H$1,Database!$F$1:$AY$1,),))))</f>
        <v>2.6641153098943746E-2</v>
      </c>
      <c r="I97" s="13">
        <f>((((VLOOKUP(B97,Database!$F:$AY,MATCH($I$1,Database!$F$1:$AY$1,),))))-(((VLOOKUP(EDATE(B97,-12),Database!$F:$AY,MATCH($I$1,Database!$F$1:$AY$1,),)))))/(((VLOOKUP(EDATE(B97,-12),Database!$F:$AY,MATCH($I$1,Database!$F$1:$AY$1,),))))</f>
        <v>1.5371909860944879E-2</v>
      </c>
      <c r="J97" s="13">
        <f>((((VLOOKUP(B97,Database!$F:$AY,MATCH($J$1,Database!$F$1:$AY$1,),))))-(((VLOOKUP(EDATE(B97,-12),Database!$F:$AY,MATCH($J$1,Database!$F$1:$AY$1,),)))))/(((VLOOKUP(EDATE(B97,-12),Database!$F:$AY,MATCH($J$1,Database!$F$1:$AY$1,),))))</f>
        <v>-2.5329011801872126E-2</v>
      </c>
      <c r="K97" s="13">
        <f>((((VLOOKUP(B97,Database!$F:$AY,MATCH($K$1,Database!$F$1:$AY$1,),))))-(((VLOOKUP(EDATE(B97,-12),Database!$F:$AY,MATCH($K$1,Database!$F$1:$AY$1,),)))))/(((VLOOKUP(EDATE(B97,-12),Database!$F:$AY,MATCH($K$1,Database!$F$1:$AY$1,),))))</f>
        <v>3.1980368089808468E-2</v>
      </c>
      <c r="L97" s="13">
        <f>((((VLOOKUP(B97,Database!$F:$AY,MATCH($L$1,Database!$F$1:$AY$1,),))))-(((VLOOKUP(EDATE(B97,-12),Database!$F:$AY,MATCH($L$1,Database!$F$1:$AY$1,),)))))/(((VLOOKUP(EDATE(B97,-12),Database!$F:$AY,MATCH($L$1,Database!$F$1:$AY$1,),))))</f>
        <v>7.4688028232603829E-2</v>
      </c>
      <c r="M97" s="13">
        <f>((((VLOOKUP(B97,Database!$F:$AY,MATCH($M$1,Database!$F$1:$AY$1,),))))-(((VLOOKUP(EDATE(B97,-12),Database!$F:$AY,MATCH($M$1,Database!$F$1:$AY$1,),)))))/(((VLOOKUP(EDATE(B97,-12),Database!$F:$AY,MATCH($M$1,Database!$F$1:$AY$1,),))))</f>
        <v>-8.0041639231054715E-2</v>
      </c>
      <c r="N97" s="13">
        <f>((((VLOOKUP(B97,Database!$F:$AY,MATCH($N$1,Database!$F$1:$AY$1,),))))-(((VLOOKUP(EDATE(B97,-12),Database!$F:$AY,MATCH($N$1,Database!$F$1:$AY$1,),)))))/(((VLOOKUP(EDATE(B97,-12),Database!$F:$AY,MATCH($N$1,Database!$F$1:$AY$1,),))))</f>
        <v>0.10373784468883589</v>
      </c>
      <c r="O97" s="13">
        <f>((((VLOOKUP(B97,Database!$F:$AY,MATCH($O$1,Database!$F$1:$AY$1,),))))-(((VLOOKUP(EDATE(B97,-12),Database!$F:$AY,MATCH($O$1,Database!$F$1:$AY$1,),)))))/(((VLOOKUP(EDATE(B97,-12),Database!$F:$AY,MATCH($O$1,Database!$F$1:$AY$1,),))))</f>
        <v>-9.4402437972572906E-3</v>
      </c>
      <c r="P97" s="13">
        <f>((((VLOOKUP(B97,Database!$F:$AY,MATCH($P$1,Database!$F$1:$AY$1,),))))-(((VLOOKUP(EDATE(B97,-12),Database!$F:$AY,MATCH($P$1,Database!$F$1:$AY$1,),)))))/(((VLOOKUP(EDATE(B97,-12),Database!$F:$AY,MATCH($P$1,Database!$F$1:$AY$1,),))))</f>
        <v>0.10908544795035233</v>
      </c>
      <c r="Q97" s="13">
        <f>((((VLOOKUP(B97,Database!$F:$AY,MATCH($Q$1,Database!$F$1:$AY$1,),))))-(((VLOOKUP(EDATE(B97,-12),Database!$F:$AY,MATCH($Q$1,Database!$F$1:$AY$1,),)))))/(((VLOOKUP(EDATE(B97,-12),Database!$F:$AY,MATCH($Q$1,Database!$F$1:$AY$1,),))))</f>
        <v>-8.9603453797774624E-2</v>
      </c>
      <c r="R97" s="13">
        <f>((((VLOOKUP(B97,Database!$F:$AY,MATCH($R$1,Database!$F$1:$AY$1,),))))-(((VLOOKUP(EDATE(B97,-12),Database!$F:$AY,MATCH($R$1,Database!$F$1:$AY$1,),)))))/(((VLOOKUP(EDATE(B97,-12),Database!$F:$AY,MATCH($R$1,Database!$F$1:$AY$1,),))))</f>
        <v>-1.0390666470900574E-2</v>
      </c>
      <c r="S97" s="13">
        <f>((((VLOOKUP(B97,Database!$F:$AY,MATCH($S$1,Database!$F$1:$AY$1,),))))-(((VLOOKUP(EDATE(B97,-12),Database!$F:$AY,MATCH($S$1,Database!$F$1:$AY$1,),)))))/(((VLOOKUP(EDATE(B97,-12),Database!$F:$AY,MATCH($S$1,Database!$F$1:$AY$1,),))))</f>
        <v>0.11239213635391163</v>
      </c>
      <c r="T97" s="13">
        <f>((((VLOOKUP(B97,Database!$F:$AY,MATCH($T$1,Database!$F$1:$AY$1,),))))-(((VLOOKUP(EDATE(B97,-12),Database!$F:$AY,MATCH($T$1,Database!$F$1:$AY$1,),)))))/(((VLOOKUP(EDATE(B97,-12),Database!$F:$AY,MATCH($T$1,Database!$F$1:$AY$1,),))))</f>
        <v>7.7380853166335362E-2</v>
      </c>
      <c r="U97" s="13">
        <f>((((VLOOKUP(B97,Database!$F:$AY,MATCH($U$1,Database!$F$1:$AY$1,),))))-(((VLOOKUP(EDATE(B97,-12),Database!$F:$AY,MATCH($U$1,Database!$F$1:$AY$1,),)))))/(((VLOOKUP(EDATE(B97,-12),Database!$F:$AY,MATCH($U$1,Database!$F$1:$AY$1,),))))</f>
        <v>7.4330778264522696E-2</v>
      </c>
      <c r="V97" s="13">
        <f>((((VLOOKUP(B97,Database!$F:$AY,MATCH($V$1,Database!$F$1:$AY$1,),))))-(((VLOOKUP(EDATE(B97,-12),Database!$F:$AY,MATCH($V$1,Database!$F$1:$AY$1,),)))))/(((VLOOKUP(EDATE(B97,-12),Database!$F:$AY,MATCH($V$1,Database!$F$1:$AY$1,),))))</f>
        <v>5.2637257077098903E-2</v>
      </c>
    </row>
    <row r="98" spans="1:22" s="85" customFormat="1" x14ac:dyDescent="0.2">
      <c r="A98" s="44"/>
      <c r="B98" s="91">
        <v>35125</v>
      </c>
      <c r="C98" s="13">
        <f>((((VLOOKUP(B98,Database!$F:$AY,MATCH($C$1,Database!$F$1:$AY$1,),))))-(((VLOOKUP(EDATE(B98,-12),Database!$F:$AY,MATCH($C$1,Database!$F$1:$AY$1,),)))))/(((VLOOKUP(EDATE(B98,-12),Database!$F:$AY,MATCH($C$1,Database!$F$1:$AY$1,),))))</f>
        <v>3.2080929036474408E-2</v>
      </c>
      <c r="D98" s="13">
        <f>((((VLOOKUP(B98,Database!$F:$AY,MATCH($D$1,Database!$F$1:$AY$1,),))))-(((VLOOKUP(EDATE(B98,-12),Database!$F:$AY,MATCH($D$1,Database!$F$1:$AY$1,),)))))/(((VLOOKUP(EDATE(B98,-12),Database!$F:$AY,MATCH($D$1,Database!$F$1:$AY$1,),))))</f>
        <v>-2.4450284319992134E-3</v>
      </c>
      <c r="E98" s="13">
        <f>((((VLOOKUP(B98,Database!$F:$AY,MATCH($E$1,Database!$F$1:$AY$1,),))))-(((VLOOKUP(EDATE(B98,-12),Database!$F:$AY,MATCH($E$1,Database!$F$1:$AY$1,),)))))/(((VLOOKUP(EDATE(B98,-12),Database!$F:$AY,MATCH($E$1,Database!$F$1:$AY$1,),))))</f>
        <v>-1.9908298198637489E-3</v>
      </c>
      <c r="F98" s="13">
        <f>((((VLOOKUP(B98,Database!$F:$AY,MATCH($F$1,Database!$F$1:$AY$1,),))))-(((VLOOKUP(EDATE(B98,-12),Database!$F:$AY,MATCH($F$1,Database!$F$1:$AY$1,),)))))/(((VLOOKUP(EDATE(B98,-12),Database!$F:$AY,MATCH($F$1,Database!$F$1:$AY$1,),))))</f>
        <v>-1.7142715906584154E-2</v>
      </c>
      <c r="G98" s="13">
        <f>((((VLOOKUP(B98,Database!$F:$AY,MATCH($G$1,Database!$F$1:$AY$1,),))))-(((VLOOKUP(EDATE(B98,-12),Database!$F:$AY,MATCH($G$1,Database!$F$1:$AY$1,),)))))/(((VLOOKUP(EDATE(B98,-12),Database!$F:$AY,MATCH($G$1,Database!$F$1:$AY$1,),))))</f>
        <v>4.2653729260943331E-3</v>
      </c>
      <c r="H98" s="13">
        <f>((((VLOOKUP(B98,Database!$F:$AY,MATCH($H$1,Database!$F$1:$AY$1,),))))-(((VLOOKUP(EDATE(B98,-12),Database!$F:$AY,MATCH($H$1,Database!$F$1:$AY$1,),)))))/(((VLOOKUP(EDATE(B98,-12),Database!$F:$AY,MATCH($H$1,Database!$F$1:$AY$1,),))))</f>
        <v>2.369725746587353E-2</v>
      </c>
      <c r="I98" s="13">
        <f>((((VLOOKUP(B98,Database!$F:$AY,MATCH($I$1,Database!$F$1:$AY$1,),))))-(((VLOOKUP(EDATE(B98,-12),Database!$F:$AY,MATCH($I$1,Database!$F$1:$AY$1,),)))))/(((VLOOKUP(EDATE(B98,-12),Database!$F:$AY,MATCH($I$1,Database!$F$1:$AY$1,),))))</f>
        <v>2.555579596934083E-3</v>
      </c>
      <c r="J98" s="13">
        <f>((((VLOOKUP(B98,Database!$F:$AY,MATCH($J$1,Database!$F$1:$AY$1,),))))-(((VLOOKUP(EDATE(B98,-12),Database!$F:$AY,MATCH($J$1,Database!$F$1:$AY$1,),)))))/(((VLOOKUP(EDATE(B98,-12),Database!$F:$AY,MATCH($J$1,Database!$F$1:$AY$1,),))))</f>
        <v>-1.6344522847094218E-2</v>
      </c>
      <c r="K98" s="13">
        <f>((((VLOOKUP(B98,Database!$F:$AY,MATCH($K$1,Database!$F$1:$AY$1,),))))-(((VLOOKUP(EDATE(B98,-12),Database!$F:$AY,MATCH($K$1,Database!$F$1:$AY$1,),)))))/(((VLOOKUP(EDATE(B98,-12),Database!$F:$AY,MATCH($K$1,Database!$F$1:$AY$1,),))))</f>
        <v>-2.4212284312987468E-3</v>
      </c>
      <c r="L98" s="13">
        <f>((((VLOOKUP(B98,Database!$F:$AY,MATCH($L$1,Database!$F$1:$AY$1,),))))-(((VLOOKUP(EDATE(B98,-12),Database!$F:$AY,MATCH($L$1,Database!$F$1:$AY$1,),)))))/(((VLOOKUP(EDATE(B98,-12),Database!$F:$AY,MATCH($L$1,Database!$F$1:$AY$1,),))))</f>
        <v>9.2046278771491533E-2</v>
      </c>
      <c r="M98" s="13">
        <f>((((VLOOKUP(B98,Database!$F:$AY,MATCH($M$1,Database!$F$1:$AY$1,),))))-(((VLOOKUP(EDATE(B98,-12),Database!$F:$AY,MATCH($M$1,Database!$F$1:$AY$1,),)))))/(((VLOOKUP(EDATE(B98,-12),Database!$F:$AY,MATCH($M$1,Database!$F$1:$AY$1,),))))</f>
        <v>-3.0687121647307504E-2</v>
      </c>
      <c r="N98" s="13">
        <f>((((VLOOKUP(B98,Database!$F:$AY,MATCH($N$1,Database!$F$1:$AY$1,),))))-(((VLOOKUP(EDATE(B98,-12),Database!$F:$AY,MATCH($N$1,Database!$F$1:$AY$1,),)))))/(((VLOOKUP(EDATE(B98,-12),Database!$F:$AY,MATCH($N$1,Database!$F$1:$AY$1,),))))</f>
        <v>0.14404535105246055</v>
      </c>
      <c r="O98" s="13">
        <f>((((VLOOKUP(B98,Database!$F:$AY,MATCH($O$1,Database!$F$1:$AY$1,),))))-(((VLOOKUP(EDATE(B98,-12),Database!$F:$AY,MATCH($O$1,Database!$F$1:$AY$1,),)))))/(((VLOOKUP(EDATE(B98,-12),Database!$F:$AY,MATCH($O$1,Database!$F$1:$AY$1,),))))</f>
        <v>-8.6270954836056395E-3</v>
      </c>
      <c r="P98" s="13">
        <f>((((VLOOKUP(B98,Database!$F:$AY,MATCH($P$1,Database!$F$1:$AY$1,),))))-(((VLOOKUP(EDATE(B98,-12),Database!$F:$AY,MATCH($P$1,Database!$F$1:$AY$1,),)))))/(((VLOOKUP(EDATE(B98,-12),Database!$F:$AY,MATCH($P$1,Database!$F$1:$AY$1,),))))</f>
        <v>7.6472658828441897E-2</v>
      </c>
      <c r="Q98" s="13">
        <f>((((VLOOKUP(B98,Database!$F:$AY,MATCH($Q$1,Database!$F$1:$AY$1,),))))-(((VLOOKUP(EDATE(B98,-12),Database!$F:$AY,MATCH($Q$1,Database!$F$1:$AY$1,),)))))/(((VLOOKUP(EDATE(B98,-12),Database!$F:$AY,MATCH($Q$1,Database!$F$1:$AY$1,),))))</f>
        <v>-9.1103953007720062E-2</v>
      </c>
      <c r="R98" s="13">
        <f>((((VLOOKUP(B98,Database!$F:$AY,MATCH($R$1,Database!$F$1:$AY$1,),))))-(((VLOOKUP(EDATE(B98,-12),Database!$F:$AY,MATCH($R$1,Database!$F$1:$AY$1,),)))))/(((VLOOKUP(EDATE(B98,-12),Database!$F:$AY,MATCH($R$1,Database!$F$1:$AY$1,),))))</f>
        <v>-2.7825805276050857E-3</v>
      </c>
      <c r="S98" s="13">
        <f>((((VLOOKUP(B98,Database!$F:$AY,MATCH($S$1,Database!$F$1:$AY$1,),))))-(((VLOOKUP(EDATE(B98,-12),Database!$F:$AY,MATCH($S$1,Database!$F$1:$AY$1,),)))))/(((VLOOKUP(EDATE(B98,-12),Database!$F:$AY,MATCH($S$1,Database!$F$1:$AY$1,),))))</f>
        <v>9.8314407498583778E-2</v>
      </c>
      <c r="T98" s="13">
        <f>((((VLOOKUP(B98,Database!$F:$AY,MATCH($T$1,Database!$F$1:$AY$1,),))))-(((VLOOKUP(EDATE(B98,-12),Database!$F:$AY,MATCH($T$1,Database!$F$1:$AY$1,),)))))/(((VLOOKUP(EDATE(B98,-12),Database!$F:$AY,MATCH($T$1,Database!$F$1:$AY$1,),))))</f>
        <v>8.3581886372029165E-2</v>
      </c>
      <c r="U98" s="13">
        <f>((((VLOOKUP(B98,Database!$F:$AY,MATCH($U$1,Database!$F$1:$AY$1,),))))-(((VLOOKUP(EDATE(B98,-12),Database!$F:$AY,MATCH($U$1,Database!$F$1:$AY$1,),)))))/(((VLOOKUP(EDATE(B98,-12),Database!$F:$AY,MATCH($U$1,Database!$F$1:$AY$1,),))))</f>
        <v>3.9181312645158256E-2</v>
      </c>
      <c r="V98" s="13">
        <f>((((VLOOKUP(B98,Database!$F:$AY,MATCH($V$1,Database!$F$1:$AY$1,),))))-(((VLOOKUP(EDATE(B98,-12),Database!$F:$AY,MATCH($V$1,Database!$F$1:$AY$1,),)))))/(((VLOOKUP(EDATE(B98,-12),Database!$F:$AY,MATCH($V$1,Database!$F$1:$AY$1,),))))</f>
        <v>0.11955909912964328</v>
      </c>
    </row>
    <row r="99" spans="1:22" s="85" customFormat="1" x14ac:dyDescent="0.2">
      <c r="A99" s="44"/>
      <c r="B99" s="91">
        <v>35156</v>
      </c>
      <c r="C99" s="13">
        <f>((((VLOOKUP(B99,Database!$F:$AY,MATCH($C$1,Database!$F$1:$AY$1,),))))-(((VLOOKUP(EDATE(B99,-12),Database!$F:$AY,MATCH($C$1,Database!$F$1:$AY$1,),)))))/(((VLOOKUP(EDATE(B99,-12),Database!$F:$AY,MATCH($C$1,Database!$F$1:$AY$1,),))))</f>
        <v>4.2188557497268471E-2</v>
      </c>
      <c r="D99" s="13">
        <f>((((VLOOKUP(B99,Database!$F:$AY,MATCH($D$1,Database!$F$1:$AY$1,),))))-(((VLOOKUP(EDATE(B99,-12),Database!$F:$AY,MATCH($D$1,Database!$F$1:$AY$1,),)))))/(((VLOOKUP(EDATE(B99,-12),Database!$F:$AY,MATCH($D$1,Database!$F$1:$AY$1,),))))</f>
        <v>-1.3398334826070824E-2</v>
      </c>
      <c r="E99" s="13">
        <f>((((VLOOKUP(B99,Database!$F:$AY,MATCH($E$1,Database!$F$1:$AY$1,),))))-(((VLOOKUP(EDATE(B99,-12),Database!$F:$AY,MATCH($E$1,Database!$F$1:$AY$1,),)))))/(((VLOOKUP(EDATE(B99,-12),Database!$F:$AY,MATCH($E$1,Database!$F$1:$AY$1,),))))</f>
        <v>-1.08160047782405E-2</v>
      </c>
      <c r="F99" s="13">
        <f>((((VLOOKUP(B99,Database!$F:$AY,MATCH($F$1,Database!$F$1:$AY$1,),))))-(((VLOOKUP(EDATE(B99,-12),Database!$F:$AY,MATCH($F$1,Database!$F$1:$AY$1,),)))))/(((VLOOKUP(EDATE(B99,-12),Database!$F:$AY,MATCH($F$1,Database!$F$1:$AY$1,),))))</f>
        <v>-2.272717909859823E-2</v>
      </c>
      <c r="G99" s="13">
        <f>((((VLOOKUP(B99,Database!$F:$AY,MATCH($G$1,Database!$F$1:$AY$1,),))))-(((VLOOKUP(EDATE(B99,-12),Database!$F:$AY,MATCH($G$1,Database!$F$1:$AY$1,),)))))/(((VLOOKUP(EDATE(B99,-12),Database!$F:$AY,MATCH($G$1,Database!$F$1:$AY$1,),))))</f>
        <v>-5.9689328985612407E-3</v>
      </c>
      <c r="H99" s="13">
        <f>((((VLOOKUP(B99,Database!$F:$AY,MATCH($H$1,Database!$F$1:$AY$1,),))))-(((VLOOKUP(EDATE(B99,-12),Database!$F:$AY,MATCH($H$1,Database!$F$1:$AY$1,),)))))/(((VLOOKUP(EDATE(B99,-12),Database!$F:$AY,MATCH($H$1,Database!$F$1:$AY$1,),))))</f>
        <v>2.818845168505185E-3</v>
      </c>
      <c r="I99" s="13">
        <f>((((VLOOKUP(B99,Database!$F:$AY,MATCH($I$1,Database!$F$1:$AY$1,),))))-(((VLOOKUP(EDATE(B99,-12),Database!$F:$AY,MATCH($I$1,Database!$F$1:$AY$1,),)))))/(((VLOOKUP(EDATE(B99,-12),Database!$F:$AY,MATCH($I$1,Database!$F$1:$AY$1,),))))</f>
        <v>-9.361631863764E-3</v>
      </c>
      <c r="J99" s="13">
        <f>((((VLOOKUP(B99,Database!$F:$AY,MATCH($J$1,Database!$F$1:$AY$1,),))))-(((VLOOKUP(EDATE(B99,-12),Database!$F:$AY,MATCH($J$1,Database!$F$1:$AY$1,),)))))/(((VLOOKUP(EDATE(B99,-12),Database!$F:$AY,MATCH($J$1,Database!$F$1:$AY$1,),))))</f>
        <v>-3.5316808590585426E-2</v>
      </c>
      <c r="K99" s="13">
        <f>((((VLOOKUP(B99,Database!$F:$AY,MATCH($K$1,Database!$F$1:$AY$1,),))))-(((VLOOKUP(EDATE(B99,-12),Database!$F:$AY,MATCH($K$1,Database!$F$1:$AY$1,),)))))/(((VLOOKUP(EDATE(B99,-12),Database!$F:$AY,MATCH($K$1,Database!$F$1:$AY$1,),))))</f>
        <v>-9.6154257257263266E-3</v>
      </c>
      <c r="L99" s="13">
        <f>((((VLOOKUP(B99,Database!$F:$AY,MATCH($L$1,Database!$F$1:$AY$1,),))))-(((VLOOKUP(EDATE(B99,-12),Database!$F:$AY,MATCH($L$1,Database!$F$1:$AY$1,),)))))/(((VLOOKUP(EDATE(B99,-12),Database!$F:$AY,MATCH($L$1,Database!$F$1:$AY$1,),))))</f>
        <v>0.11009677289995826</v>
      </c>
      <c r="M99" s="13">
        <f>((((VLOOKUP(B99,Database!$F:$AY,MATCH($M$1,Database!$F$1:$AY$1,),))))-(((VLOOKUP(EDATE(B99,-12),Database!$F:$AY,MATCH($M$1,Database!$F$1:$AY$1,),)))))/(((VLOOKUP(EDATE(B99,-12),Database!$F:$AY,MATCH($M$1,Database!$F$1:$AY$1,),))))</f>
        <v>-6.2332587825938996E-3</v>
      </c>
      <c r="N99" s="13">
        <f>((((VLOOKUP(B99,Database!$F:$AY,MATCH($N$1,Database!$F$1:$AY$1,),))))-(((VLOOKUP(EDATE(B99,-12),Database!$F:$AY,MATCH($N$1,Database!$F$1:$AY$1,),)))))/(((VLOOKUP(EDATE(B99,-12),Database!$F:$AY,MATCH($N$1,Database!$F$1:$AY$1,),))))</f>
        <v>0.10777543117379909</v>
      </c>
      <c r="O99" s="13">
        <f>((((VLOOKUP(B99,Database!$F:$AY,MATCH($O$1,Database!$F$1:$AY$1,),))))-(((VLOOKUP(EDATE(B99,-12),Database!$F:$AY,MATCH($O$1,Database!$F$1:$AY$1,),)))))/(((VLOOKUP(EDATE(B99,-12),Database!$F:$AY,MATCH($O$1,Database!$F$1:$AY$1,),))))</f>
        <v>-1.4525887690628357E-3</v>
      </c>
      <c r="P99" s="13">
        <f>((((VLOOKUP(B99,Database!$F:$AY,MATCH($P$1,Database!$F$1:$AY$1,),))))-(((VLOOKUP(EDATE(B99,-12),Database!$F:$AY,MATCH($P$1,Database!$F$1:$AY$1,),)))))/(((VLOOKUP(EDATE(B99,-12),Database!$F:$AY,MATCH($P$1,Database!$F$1:$AY$1,),))))</f>
        <v>0.10556566942856323</v>
      </c>
      <c r="Q99" s="13">
        <f>((((VLOOKUP(B99,Database!$F:$AY,MATCH($Q$1,Database!$F$1:$AY$1,),))))-(((VLOOKUP(EDATE(B99,-12),Database!$F:$AY,MATCH($Q$1,Database!$F$1:$AY$1,),)))))/(((VLOOKUP(EDATE(B99,-12),Database!$F:$AY,MATCH($Q$1,Database!$F$1:$AY$1,),))))</f>
        <v>-5.310698223481744E-2</v>
      </c>
      <c r="R99" s="13">
        <f>((((VLOOKUP(B99,Database!$F:$AY,MATCH($R$1,Database!$F$1:$AY$1,),))))-(((VLOOKUP(EDATE(B99,-12),Database!$F:$AY,MATCH($R$1,Database!$F$1:$AY$1,),)))))/(((VLOOKUP(EDATE(B99,-12),Database!$F:$AY,MATCH($R$1,Database!$F$1:$AY$1,),))))</f>
        <v>-1.6984625816632193E-3</v>
      </c>
      <c r="S99" s="13">
        <f>((((VLOOKUP(B99,Database!$F:$AY,MATCH($S$1,Database!$F$1:$AY$1,),))))-(((VLOOKUP(EDATE(B99,-12),Database!$F:$AY,MATCH($S$1,Database!$F$1:$AY$1,),)))))/(((VLOOKUP(EDATE(B99,-12),Database!$F:$AY,MATCH($S$1,Database!$F$1:$AY$1,),))))</f>
        <v>8.5635243500242764E-2</v>
      </c>
      <c r="T99" s="13">
        <f>((((VLOOKUP(B99,Database!$F:$AY,MATCH($T$1,Database!$F$1:$AY$1,),))))-(((VLOOKUP(EDATE(B99,-12),Database!$F:$AY,MATCH($T$1,Database!$F$1:$AY$1,),)))))/(((VLOOKUP(EDATE(B99,-12),Database!$F:$AY,MATCH($T$1,Database!$F$1:$AY$1,),))))</f>
        <v>4.4077232892993423E-2</v>
      </c>
      <c r="U99" s="13">
        <f>((((VLOOKUP(B99,Database!$F:$AY,MATCH($U$1,Database!$F$1:$AY$1,),))))-(((VLOOKUP(EDATE(B99,-12),Database!$F:$AY,MATCH($U$1,Database!$F$1:$AY$1,),)))))/(((VLOOKUP(EDATE(B99,-12),Database!$F:$AY,MATCH($U$1,Database!$F$1:$AY$1,),))))</f>
        <v>4.0948773897172301E-3</v>
      </c>
      <c r="V99" s="13">
        <f>((((VLOOKUP(B99,Database!$F:$AY,MATCH($V$1,Database!$F$1:$AY$1,),))))-(((VLOOKUP(EDATE(B99,-12),Database!$F:$AY,MATCH($V$1,Database!$F$1:$AY$1,),)))))/(((VLOOKUP(EDATE(B99,-12),Database!$F:$AY,MATCH($V$1,Database!$F$1:$AY$1,),))))</f>
        <v>0.11202997438410441</v>
      </c>
    </row>
    <row r="100" spans="1:22" s="85" customFormat="1" x14ac:dyDescent="0.2">
      <c r="A100" s="44"/>
      <c r="B100" s="91">
        <v>35186</v>
      </c>
      <c r="C100" s="13">
        <f>((((VLOOKUP(B100,Database!$F:$AY,MATCH($C$1,Database!$F$1:$AY$1,),))))-(((VLOOKUP(EDATE(B100,-12),Database!$F:$AY,MATCH($C$1,Database!$F$1:$AY$1,),)))))/(((VLOOKUP(EDATE(B100,-12),Database!$F:$AY,MATCH($C$1,Database!$F$1:$AY$1,),))))</f>
        <v>4.6266598720940029E-2</v>
      </c>
      <c r="D100" s="13">
        <f>((((VLOOKUP(B100,Database!$F:$AY,MATCH($D$1,Database!$F$1:$AY$1,),))))-(((VLOOKUP(EDATE(B100,-12),Database!$F:$AY,MATCH($D$1,Database!$F$1:$AY$1,),)))))/(((VLOOKUP(EDATE(B100,-12),Database!$F:$AY,MATCH($D$1,Database!$F$1:$AY$1,),))))</f>
        <v>-6.0680013793560873E-3</v>
      </c>
      <c r="E100" s="13">
        <f>((((VLOOKUP(B100,Database!$F:$AY,MATCH($E$1,Database!$F$1:$AY$1,),))))-(((VLOOKUP(EDATE(B100,-12),Database!$F:$AY,MATCH($E$1,Database!$F$1:$AY$1,),)))))/(((VLOOKUP(EDATE(B100,-12),Database!$F:$AY,MATCH($E$1,Database!$F$1:$AY$1,),))))</f>
        <v>1.1999779114921333E-2</v>
      </c>
      <c r="F100" s="13">
        <f>((((VLOOKUP(B100,Database!$F:$AY,MATCH($F$1,Database!$F$1:$AY$1,),))))-(((VLOOKUP(EDATE(B100,-12),Database!$F:$AY,MATCH($F$1,Database!$F$1:$AY$1,),)))))/(((VLOOKUP(EDATE(B100,-12),Database!$F:$AY,MATCH($F$1,Database!$F$1:$AY$1,),))))</f>
        <v>-1.9773964214531946E-2</v>
      </c>
      <c r="G100" s="13">
        <f>((((VLOOKUP(B100,Database!$F:$AY,MATCH($G$1,Database!$F$1:$AY$1,),))))-(((VLOOKUP(EDATE(B100,-12),Database!$F:$AY,MATCH($G$1,Database!$F$1:$AY$1,),)))))/(((VLOOKUP(EDATE(B100,-12),Database!$F:$AY,MATCH($G$1,Database!$F$1:$AY$1,),))))</f>
        <v>1.8744594893058828E-2</v>
      </c>
      <c r="H100" s="13">
        <f>((((VLOOKUP(B100,Database!$F:$AY,MATCH($H$1,Database!$F$1:$AY$1,),))))-(((VLOOKUP(EDATE(B100,-12),Database!$F:$AY,MATCH($H$1,Database!$F$1:$AY$1,),)))))/(((VLOOKUP(EDATE(B100,-12),Database!$F:$AY,MATCH($H$1,Database!$F$1:$AY$1,),))))</f>
        <v>1.1288882295653252E-2</v>
      </c>
      <c r="I100" s="13">
        <f>((((VLOOKUP(B100,Database!$F:$AY,MATCH($I$1,Database!$F$1:$AY$1,),))))-(((VLOOKUP(EDATE(B100,-12),Database!$F:$AY,MATCH($I$1,Database!$F$1:$AY$1,),)))))/(((VLOOKUP(EDATE(B100,-12),Database!$F:$AY,MATCH($I$1,Database!$F$1:$AY$1,),))))</f>
        <v>-1.6074104345457012E-2</v>
      </c>
      <c r="J100" s="13">
        <f>((((VLOOKUP(B100,Database!$F:$AY,MATCH($J$1,Database!$F$1:$AY$1,),))))-(((VLOOKUP(EDATE(B100,-12),Database!$F:$AY,MATCH($J$1,Database!$F$1:$AY$1,),)))))/(((VLOOKUP(EDATE(B100,-12),Database!$F:$AY,MATCH($J$1,Database!$F$1:$AY$1,),))))</f>
        <v>-2.8622547063903696E-2</v>
      </c>
      <c r="K100" s="13">
        <f>((((VLOOKUP(B100,Database!$F:$AY,MATCH($K$1,Database!$F$1:$AY$1,),))))-(((VLOOKUP(EDATE(B100,-12),Database!$F:$AY,MATCH($K$1,Database!$F$1:$AY$1,),)))))/(((VLOOKUP(EDATE(B100,-12),Database!$F:$AY,MATCH($K$1,Database!$F$1:$AY$1,),))))</f>
        <v>8.4134232830046975E-3</v>
      </c>
      <c r="L100" s="13">
        <f>((((VLOOKUP(B100,Database!$F:$AY,MATCH($L$1,Database!$F$1:$AY$1,),))))-(((VLOOKUP(EDATE(B100,-12),Database!$F:$AY,MATCH($L$1,Database!$F$1:$AY$1,),)))))/(((VLOOKUP(EDATE(B100,-12),Database!$F:$AY,MATCH($L$1,Database!$F$1:$AY$1,),))))</f>
        <v>0.1305419233982861</v>
      </c>
      <c r="M100" s="13">
        <f>((((VLOOKUP(B100,Database!$F:$AY,MATCH($M$1,Database!$F$1:$AY$1,),))))-(((VLOOKUP(EDATE(B100,-12),Database!$F:$AY,MATCH($M$1,Database!$F$1:$AY$1,),)))))/(((VLOOKUP(EDATE(B100,-12),Database!$F:$AY,MATCH($M$1,Database!$F$1:$AY$1,),))))</f>
        <v>-4.8340644060509932E-2</v>
      </c>
      <c r="N100" s="13">
        <f>((((VLOOKUP(B100,Database!$F:$AY,MATCH($N$1,Database!$F$1:$AY$1,),))))-(((VLOOKUP(EDATE(B100,-12),Database!$F:$AY,MATCH($N$1,Database!$F$1:$AY$1,),)))))/(((VLOOKUP(EDATE(B100,-12),Database!$F:$AY,MATCH($N$1,Database!$F$1:$AY$1,),))))</f>
        <v>0.12892635977020064</v>
      </c>
      <c r="O100" s="13">
        <f>((((VLOOKUP(B100,Database!$F:$AY,MATCH($O$1,Database!$F$1:$AY$1,),))))-(((VLOOKUP(EDATE(B100,-12),Database!$F:$AY,MATCH($O$1,Database!$F$1:$AY$1,),)))))/(((VLOOKUP(EDATE(B100,-12),Database!$F:$AY,MATCH($O$1,Database!$F$1:$AY$1,),))))</f>
        <v>4.6100398661488825E-3</v>
      </c>
      <c r="P100" s="13">
        <f>((((VLOOKUP(B100,Database!$F:$AY,MATCH($P$1,Database!$F$1:$AY$1,),))))-(((VLOOKUP(EDATE(B100,-12),Database!$F:$AY,MATCH($P$1,Database!$F$1:$AY$1,),)))))/(((VLOOKUP(EDATE(B100,-12),Database!$F:$AY,MATCH($P$1,Database!$F$1:$AY$1,),))))</f>
        <v>0.12497596727491607</v>
      </c>
      <c r="Q100" s="13">
        <f>((((VLOOKUP(B100,Database!$F:$AY,MATCH($Q$1,Database!$F$1:$AY$1,),))))-(((VLOOKUP(EDATE(B100,-12),Database!$F:$AY,MATCH($Q$1,Database!$F$1:$AY$1,),)))))/(((VLOOKUP(EDATE(B100,-12),Database!$F:$AY,MATCH($Q$1,Database!$F$1:$AY$1,),))))</f>
        <v>6.6674820780535882E-2</v>
      </c>
      <c r="R100" s="13">
        <f>((((VLOOKUP(B100,Database!$F:$AY,MATCH($R$1,Database!$F$1:$AY$1,),))))-(((VLOOKUP(EDATE(B100,-12),Database!$F:$AY,MATCH($R$1,Database!$F$1:$AY$1,),)))))/(((VLOOKUP(EDATE(B100,-12),Database!$F:$AY,MATCH($R$1,Database!$F$1:$AY$1,),))))</f>
        <v>1.8055040816527316E-2</v>
      </c>
      <c r="S100" s="13">
        <f>((((VLOOKUP(B100,Database!$F:$AY,MATCH($S$1,Database!$F$1:$AY$1,),))))-(((VLOOKUP(EDATE(B100,-12),Database!$F:$AY,MATCH($S$1,Database!$F$1:$AY$1,),)))))/(((VLOOKUP(EDATE(B100,-12),Database!$F:$AY,MATCH($S$1,Database!$F$1:$AY$1,),))))</f>
        <v>0.10723864945699638</v>
      </c>
      <c r="T100" s="13">
        <f>((((VLOOKUP(B100,Database!$F:$AY,MATCH($T$1,Database!$F$1:$AY$1,),))))-(((VLOOKUP(EDATE(B100,-12),Database!$F:$AY,MATCH($T$1,Database!$F$1:$AY$1,),)))))/(((VLOOKUP(EDATE(B100,-12),Database!$F:$AY,MATCH($T$1,Database!$F$1:$AY$1,),))))</f>
        <v>4.4444537044753804E-2</v>
      </c>
      <c r="U100" s="13">
        <f>((((VLOOKUP(B100,Database!$F:$AY,MATCH($U$1,Database!$F$1:$AY$1,),))))-(((VLOOKUP(EDATE(B100,-12),Database!$F:$AY,MATCH($U$1,Database!$F$1:$AY$1,),)))))/(((VLOOKUP(EDATE(B100,-12),Database!$F:$AY,MATCH($U$1,Database!$F$1:$AY$1,),))))</f>
        <v>1.4183231524514792E-2</v>
      </c>
      <c r="V100" s="13">
        <f>((((VLOOKUP(B100,Database!$F:$AY,MATCH($V$1,Database!$F$1:$AY$1,),))))-(((VLOOKUP(EDATE(B100,-12),Database!$F:$AY,MATCH($V$1,Database!$F$1:$AY$1,),)))))/(((VLOOKUP(EDATE(B100,-12),Database!$F:$AY,MATCH($V$1,Database!$F$1:$AY$1,),))))</f>
        <v>8.352944113112086E-2</v>
      </c>
    </row>
    <row r="101" spans="1:22" s="85" customFormat="1" x14ac:dyDescent="0.2">
      <c r="A101" s="44"/>
      <c r="B101" s="91">
        <v>35217</v>
      </c>
      <c r="C101" s="13">
        <f>((((VLOOKUP(B101,Database!$F:$AY,MATCH($C$1,Database!$F$1:$AY$1,),))))-(((VLOOKUP(EDATE(B101,-12),Database!$F:$AY,MATCH($C$1,Database!$F$1:$AY$1,),)))))/(((VLOOKUP(EDATE(B101,-12),Database!$F:$AY,MATCH($C$1,Database!$F$1:$AY$1,),))))</f>
        <v>5.1539233442758479E-2</v>
      </c>
      <c r="D101" s="13">
        <f>((((VLOOKUP(B101,Database!$F:$AY,MATCH($D$1,Database!$F$1:$AY$1,),))))-(((VLOOKUP(EDATE(B101,-12),Database!$F:$AY,MATCH($D$1,Database!$F$1:$AY$1,),)))))/(((VLOOKUP(EDATE(B101,-12),Database!$F:$AY,MATCH($D$1,Database!$F$1:$AY$1,),))))</f>
        <v>-1.2195934103169546E-3</v>
      </c>
      <c r="E101" s="13">
        <f>((((VLOOKUP(B101,Database!$F:$AY,MATCH($E$1,Database!$F$1:$AY$1,),))))-(((VLOOKUP(EDATE(B101,-12),Database!$F:$AY,MATCH($E$1,Database!$F$1:$AY$1,),)))))/(((VLOOKUP(EDATE(B101,-12),Database!$F:$AY,MATCH($E$1,Database!$F$1:$AY$1,),))))</f>
        <v>1.5014490350295234E-2</v>
      </c>
      <c r="F101" s="13">
        <f>((((VLOOKUP(B101,Database!$F:$AY,MATCH($F$1,Database!$F$1:$AY$1,),))))-(((VLOOKUP(EDATE(B101,-12),Database!$F:$AY,MATCH($F$1,Database!$F$1:$AY$1,),)))))/(((VLOOKUP(EDATE(B101,-12),Database!$F:$AY,MATCH($F$1,Database!$F$1:$AY$1,),))))</f>
        <v>-2.8570955062536146E-3</v>
      </c>
      <c r="G101" s="13">
        <f>((((VLOOKUP(B101,Database!$F:$AY,MATCH($G$1,Database!$F$1:$AY$1,),))))-(((VLOOKUP(EDATE(B101,-12),Database!$F:$AY,MATCH($G$1,Database!$F$1:$AY$1,),)))))/(((VLOOKUP(EDATE(B101,-12),Database!$F:$AY,MATCH($G$1,Database!$F$1:$AY$1,),))))</f>
        <v>4.0438102141963214E-3</v>
      </c>
      <c r="H101" s="13">
        <f>((((VLOOKUP(B101,Database!$F:$AY,MATCH($H$1,Database!$F$1:$AY$1,),))))-(((VLOOKUP(EDATE(B101,-12),Database!$F:$AY,MATCH($H$1,Database!$F$1:$AY$1,),)))))/(((VLOOKUP(EDATE(B101,-12),Database!$F:$AY,MATCH($H$1,Database!$F$1:$AY$1,),))))</f>
        <v>1.0406474450758686E-2</v>
      </c>
      <c r="I101" s="13">
        <f>((((VLOOKUP(B101,Database!$F:$AY,MATCH($I$1,Database!$F$1:$AY$1,),))))-(((VLOOKUP(EDATE(B101,-12),Database!$F:$AY,MATCH($I$1,Database!$F$1:$AY$1,),)))))/(((VLOOKUP(EDATE(B101,-12),Database!$F:$AY,MATCH($I$1,Database!$F$1:$AY$1,),))))</f>
        <v>-1.271207269756299E-2</v>
      </c>
      <c r="J101" s="13">
        <f>((((VLOOKUP(B101,Database!$F:$AY,MATCH($J$1,Database!$F$1:$AY$1,),))))-(((VLOOKUP(EDATE(B101,-12),Database!$F:$AY,MATCH($J$1,Database!$F$1:$AY$1,),)))))/(((VLOOKUP(EDATE(B101,-12),Database!$F:$AY,MATCH($J$1,Database!$F$1:$AY$1,),))))</f>
        <v>-5.9800288154838637E-3</v>
      </c>
      <c r="K101" s="13">
        <f>((((VLOOKUP(B101,Database!$F:$AY,MATCH($K$1,Database!$F$1:$AY$1,),))))-(((VLOOKUP(EDATE(B101,-12),Database!$F:$AY,MATCH($K$1,Database!$F$1:$AY$1,),)))))/(((VLOOKUP(EDATE(B101,-12),Database!$F:$AY,MATCH($K$1,Database!$F$1:$AY$1,),))))</f>
        <v>7.1856307266004666E-3</v>
      </c>
      <c r="L101" s="13">
        <f>((((VLOOKUP(B101,Database!$F:$AY,MATCH($L$1,Database!$F$1:$AY$1,),))))-(((VLOOKUP(EDATE(B101,-12),Database!$F:$AY,MATCH($L$1,Database!$F$1:$AY$1,),)))))/(((VLOOKUP(EDATE(B101,-12),Database!$F:$AY,MATCH($L$1,Database!$F$1:$AY$1,),))))</f>
        <v>0.14221534835763733</v>
      </c>
      <c r="M101" s="13">
        <f>((((VLOOKUP(B101,Database!$F:$AY,MATCH($M$1,Database!$F$1:$AY$1,),))))-(((VLOOKUP(EDATE(B101,-12),Database!$F:$AY,MATCH($M$1,Database!$F$1:$AY$1,),)))))/(((VLOOKUP(EDATE(B101,-12),Database!$F:$AY,MATCH($M$1,Database!$F$1:$AY$1,),))))</f>
        <v>-5.3697777620030064E-2</v>
      </c>
      <c r="N101" s="13">
        <f>((((VLOOKUP(B101,Database!$F:$AY,MATCH($N$1,Database!$F$1:$AY$1,),))))-(((VLOOKUP(EDATE(B101,-12),Database!$F:$AY,MATCH($N$1,Database!$F$1:$AY$1,),)))))/(((VLOOKUP(EDATE(B101,-12),Database!$F:$AY,MATCH($N$1,Database!$F$1:$AY$1,),))))</f>
        <v>0.10564123645591314</v>
      </c>
      <c r="O101" s="13">
        <f>((((VLOOKUP(B101,Database!$F:$AY,MATCH($O$1,Database!$F$1:$AY$1,),))))-(((VLOOKUP(EDATE(B101,-12),Database!$F:$AY,MATCH($O$1,Database!$F$1:$AY$1,),)))))/(((VLOOKUP(EDATE(B101,-12),Database!$F:$AY,MATCH($O$1,Database!$F$1:$AY$1,),))))</f>
        <v>8.923237420688776E-3</v>
      </c>
      <c r="P101" s="13">
        <f>((((VLOOKUP(B101,Database!$F:$AY,MATCH($P$1,Database!$F$1:$AY$1,),))))-(((VLOOKUP(EDATE(B101,-12),Database!$F:$AY,MATCH($P$1,Database!$F$1:$AY$1,),)))))/(((VLOOKUP(EDATE(B101,-12),Database!$F:$AY,MATCH($P$1,Database!$F$1:$AY$1,),))))</f>
        <v>5.4596782619078493E-2</v>
      </c>
      <c r="Q101" s="13">
        <f>((((VLOOKUP(B101,Database!$F:$AY,MATCH($Q$1,Database!$F$1:$AY$1,),))))-(((VLOOKUP(EDATE(B101,-12),Database!$F:$AY,MATCH($Q$1,Database!$F$1:$AY$1,),)))))/(((VLOOKUP(EDATE(B101,-12),Database!$F:$AY,MATCH($Q$1,Database!$F$1:$AY$1,),))))</f>
        <v>-4.3593402167269018E-3</v>
      </c>
      <c r="R101" s="13">
        <f>((((VLOOKUP(B101,Database!$F:$AY,MATCH($R$1,Database!$F$1:$AY$1,),))))-(((VLOOKUP(EDATE(B101,-12),Database!$F:$AY,MATCH($R$1,Database!$F$1:$AY$1,),)))))/(((VLOOKUP(EDATE(B101,-12),Database!$F:$AY,MATCH($R$1,Database!$F$1:$AY$1,),))))</f>
        <v>3.3337658570208893E-2</v>
      </c>
      <c r="S101" s="13">
        <f>((((VLOOKUP(B101,Database!$F:$AY,MATCH($S$1,Database!$F$1:$AY$1,),))))-(((VLOOKUP(EDATE(B101,-12),Database!$F:$AY,MATCH($S$1,Database!$F$1:$AY$1,),)))))/(((VLOOKUP(EDATE(B101,-12),Database!$F:$AY,MATCH($S$1,Database!$F$1:$AY$1,),))))</f>
        <v>0.13461559806647466</v>
      </c>
      <c r="T101" s="13">
        <f>((((VLOOKUP(B101,Database!$F:$AY,MATCH($T$1,Database!$F$1:$AY$1,),))))-(((VLOOKUP(EDATE(B101,-12),Database!$F:$AY,MATCH($T$1,Database!$F$1:$AY$1,),)))))/(((VLOOKUP(EDATE(B101,-12),Database!$F:$AY,MATCH($T$1,Database!$F$1:$AY$1,),))))</f>
        <v>3.763431898894809E-2</v>
      </c>
      <c r="U101" s="13">
        <f>((((VLOOKUP(B101,Database!$F:$AY,MATCH($U$1,Database!$F$1:$AY$1,),))))-(((VLOOKUP(EDATE(B101,-12),Database!$F:$AY,MATCH($U$1,Database!$F$1:$AY$1,),)))))/(((VLOOKUP(EDATE(B101,-12),Database!$F:$AY,MATCH($U$1,Database!$F$1:$AY$1,),))))</f>
        <v>-3.6855615913533838E-3</v>
      </c>
      <c r="V101" s="13">
        <f>((((VLOOKUP(B101,Database!$F:$AY,MATCH($V$1,Database!$F$1:$AY$1,),))))-(((VLOOKUP(EDATE(B101,-12),Database!$F:$AY,MATCH($V$1,Database!$F$1:$AY$1,),)))))/(((VLOOKUP(EDATE(B101,-12),Database!$F:$AY,MATCH($V$1,Database!$F$1:$AY$1,),))))</f>
        <v>7.3692187357517744E-2</v>
      </c>
    </row>
    <row r="102" spans="1:22" s="85" customFormat="1" x14ac:dyDescent="0.2">
      <c r="A102" s="44"/>
      <c r="B102" s="91">
        <v>35247</v>
      </c>
      <c r="C102" s="13">
        <f>((((VLOOKUP(B102,Database!$F:$AY,MATCH($C$1,Database!$F$1:$AY$1,),))))-(((VLOOKUP(EDATE(B102,-12),Database!$F:$AY,MATCH($C$1,Database!$F$1:$AY$1,),)))))/(((VLOOKUP(EDATE(B102,-12),Database!$F:$AY,MATCH($C$1,Database!$F$1:$AY$1,),))))</f>
        <v>5.4369843264828396E-2</v>
      </c>
      <c r="D102" s="13">
        <f>((((VLOOKUP(B102,Database!$F:$AY,MATCH($D$1,Database!$F$1:$AY$1,),))))-(((VLOOKUP(EDATE(B102,-12),Database!$F:$AY,MATCH($D$1,Database!$F$1:$AY$1,),)))))/(((VLOOKUP(EDATE(B102,-12),Database!$F:$AY,MATCH($D$1,Database!$F$1:$AY$1,),))))</f>
        <v>-9.7561374248441701E-3</v>
      </c>
      <c r="E102" s="13">
        <f>((((VLOOKUP(B102,Database!$F:$AY,MATCH($E$1,Database!$F$1:$AY$1,),))))-(((VLOOKUP(EDATE(B102,-12),Database!$F:$AY,MATCH($E$1,Database!$F$1:$AY$1,),)))))/(((VLOOKUP(EDATE(B102,-12),Database!$F:$AY,MATCH($E$1,Database!$F$1:$AY$1,),))))</f>
        <v>3.5532923778932766E-2</v>
      </c>
      <c r="F102" s="13">
        <f>((((VLOOKUP(B102,Database!$F:$AY,MATCH($F$1,Database!$F$1:$AY$1,),))))-(((VLOOKUP(EDATE(B102,-12),Database!$F:$AY,MATCH($F$1,Database!$F$1:$AY$1,),)))))/(((VLOOKUP(EDATE(B102,-12),Database!$F:$AY,MATCH($F$1,Database!$F$1:$AY$1,),))))</f>
        <v>-1.1461270839488384E-2</v>
      </c>
      <c r="G102" s="13">
        <f>((((VLOOKUP(B102,Database!$F:$AY,MATCH($G$1,Database!$F$1:$AY$1,),))))-(((VLOOKUP(EDATE(B102,-12),Database!$F:$AY,MATCH($G$1,Database!$F$1:$AY$1,),)))))/(((VLOOKUP(EDATE(B102,-12),Database!$F:$AY,MATCH($G$1,Database!$F$1:$AY$1,),))))</f>
        <v>-1.8112442444343606E-2</v>
      </c>
      <c r="H102" s="13">
        <f>((((VLOOKUP(B102,Database!$F:$AY,MATCH($H$1,Database!$F$1:$AY$1,),))))-(((VLOOKUP(EDATE(B102,-12),Database!$F:$AY,MATCH($H$1,Database!$F$1:$AY$1,),)))))/(((VLOOKUP(EDATE(B102,-12),Database!$F:$AY,MATCH($H$1,Database!$F$1:$AY$1,),))))</f>
        <v>4.7037812313059637E-3</v>
      </c>
      <c r="I102" s="13">
        <f>((((VLOOKUP(B102,Database!$F:$AY,MATCH($I$1,Database!$F$1:$AY$1,),))))-(((VLOOKUP(EDATE(B102,-12),Database!$F:$AY,MATCH($I$1,Database!$F$1:$AY$1,),)))))/(((VLOOKUP(EDATE(B102,-12),Database!$F:$AY,MATCH($I$1,Database!$F$1:$AY$1,),))))</f>
        <v>-1.2722855674178149E-2</v>
      </c>
      <c r="J102" s="13">
        <f>((((VLOOKUP(B102,Database!$F:$AY,MATCH($J$1,Database!$F$1:$AY$1,),))))-(((VLOOKUP(EDATE(B102,-12),Database!$F:$AY,MATCH($J$1,Database!$F$1:$AY$1,),)))))/(((VLOOKUP(EDATE(B102,-12),Database!$F:$AY,MATCH($J$1,Database!$F$1:$AY$1,),))))</f>
        <v>-1.5721462453533709E-2</v>
      </c>
      <c r="K102" s="13">
        <f>((((VLOOKUP(B102,Database!$F:$AY,MATCH($K$1,Database!$F$1:$AY$1,),))))-(((VLOOKUP(EDATE(B102,-12),Database!$F:$AY,MATCH($K$1,Database!$F$1:$AY$1,),)))))/(((VLOOKUP(EDATE(B102,-12),Database!$F:$AY,MATCH($K$1,Database!$F$1:$AY$1,),))))</f>
        <v>1.6766511140910836E-2</v>
      </c>
      <c r="L102" s="13">
        <f>((((VLOOKUP(B102,Database!$F:$AY,MATCH($L$1,Database!$F$1:$AY$1,),))))-(((VLOOKUP(EDATE(B102,-12),Database!$F:$AY,MATCH($L$1,Database!$F$1:$AY$1,),)))))/(((VLOOKUP(EDATE(B102,-12),Database!$F:$AY,MATCH($L$1,Database!$F$1:$AY$1,),))))</f>
        <v>0.14880232643262678</v>
      </c>
      <c r="M102" s="13">
        <f>((((VLOOKUP(B102,Database!$F:$AY,MATCH($M$1,Database!$F$1:$AY$1,),))))-(((VLOOKUP(EDATE(B102,-12),Database!$F:$AY,MATCH($M$1,Database!$F$1:$AY$1,),)))))/(((VLOOKUP(EDATE(B102,-12),Database!$F:$AY,MATCH($M$1,Database!$F$1:$AY$1,),))))</f>
        <v>-6.1244290152567812E-2</v>
      </c>
      <c r="N102" s="13">
        <f>((((VLOOKUP(B102,Database!$F:$AY,MATCH($N$1,Database!$F$1:$AY$1,),))))-(((VLOOKUP(EDATE(B102,-12),Database!$F:$AY,MATCH($N$1,Database!$F$1:$AY$1,),)))))/(((VLOOKUP(EDATE(B102,-12),Database!$F:$AY,MATCH($N$1,Database!$F$1:$AY$1,),))))</f>
        <v>6.636820319696525E-2</v>
      </c>
      <c r="O102" s="13">
        <f>((((VLOOKUP(B102,Database!$F:$AY,MATCH($O$1,Database!$F$1:$AY$1,),))))-(((VLOOKUP(EDATE(B102,-12),Database!$F:$AY,MATCH($O$1,Database!$F$1:$AY$1,),)))))/(((VLOOKUP(EDATE(B102,-12),Database!$F:$AY,MATCH($O$1,Database!$F$1:$AY$1,),))))</f>
        <v>2.2409470945445424E-2</v>
      </c>
      <c r="P102" s="13">
        <f>((((VLOOKUP(B102,Database!$F:$AY,MATCH($P$1,Database!$F$1:$AY$1,),))))-(((VLOOKUP(EDATE(B102,-12),Database!$F:$AY,MATCH($P$1,Database!$F$1:$AY$1,),)))))/(((VLOOKUP(EDATE(B102,-12),Database!$F:$AY,MATCH($P$1,Database!$F$1:$AY$1,),))))</f>
        <v>7.757354404433793E-2</v>
      </c>
      <c r="Q102" s="13">
        <f>((((VLOOKUP(B102,Database!$F:$AY,MATCH($Q$1,Database!$F$1:$AY$1,),))))-(((VLOOKUP(EDATE(B102,-12),Database!$F:$AY,MATCH($Q$1,Database!$F$1:$AY$1,),)))))/(((VLOOKUP(EDATE(B102,-12),Database!$F:$AY,MATCH($Q$1,Database!$F$1:$AY$1,),))))</f>
        <v>7.7873142363840187E-2</v>
      </c>
      <c r="R102" s="13">
        <f>((((VLOOKUP(B102,Database!$F:$AY,MATCH($R$1,Database!$F$1:$AY$1,),))))-(((VLOOKUP(EDATE(B102,-12),Database!$F:$AY,MATCH($R$1,Database!$F$1:$AY$1,),)))))/(((VLOOKUP(EDATE(B102,-12),Database!$F:$AY,MATCH($R$1,Database!$F$1:$AY$1,),))))</f>
        <v>3.0494645084233541E-2</v>
      </c>
      <c r="S102" s="13">
        <f>((((VLOOKUP(B102,Database!$F:$AY,MATCH($S$1,Database!$F$1:$AY$1,),))))-(((VLOOKUP(EDATE(B102,-12),Database!$F:$AY,MATCH($S$1,Database!$F$1:$AY$1,),)))))/(((VLOOKUP(EDATE(B102,-12),Database!$F:$AY,MATCH($S$1,Database!$F$1:$AY$1,),))))</f>
        <v>8.1364743579264029E-2</v>
      </c>
      <c r="T102" s="13">
        <f>((((VLOOKUP(B102,Database!$F:$AY,MATCH($T$1,Database!$F$1:$AY$1,),))))-(((VLOOKUP(EDATE(B102,-12),Database!$F:$AY,MATCH($T$1,Database!$F$1:$AY$1,),)))))/(((VLOOKUP(EDATE(B102,-12),Database!$F:$AY,MATCH($T$1,Database!$F$1:$AY$1,),))))</f>
        <v>2.6881810043310143E-2</v>
      </c>
      <c r="U102" s="13">
        <f>((((VLOOKUP(B102,Database!$F:$AY,MATCH($U$1,Database!$F$1:$AY$1,),))))-(((VLOOKUP(EDATE(B102,-12),Database!$F:$AY,MATCH($U$1,Database!$F$1:$AY$1,),)))))/(((VLOOKUP(EDATE(B102,-12),Database!$F:$AY,MATCH($U$1,Database!$F$1:$AY$1,),))))</f>
        <v>5.3837233420184379E-2</v>
      </c>
      <c r="V102" s="13">
        <f>((((VLOOKUP(B102,Database!$F:$AY,MATCH($V$1,Database!$F$1:$AY$1,),))))-(((VLOOKUP(EDATE(B102,-12),Database!$F:$AY,MATCH($V$1,Database!$F$1:$AY$1,),)))))/(((VLOOKUP(EDATE(B102,-12),Database!$F:$AY,MATCH($V$1,Database!$F$1:$AY$1,),))))</f>
        <v>8.2148546819453924E-2</v>
      </c>
    </row>
    <row r="103" spans="1:22" s="85" customFormat="1" x14ac:dyDescent="0.2">
      <c r="A103" s="44"/>
      <c r="B103" s="91">
        <v>35278</v>
      </c>
      <c r="C103" s="13">
        <f>((((VLOOKUP(B103,Database!$F:$AY,MATCH($C$1,Database!$F$1:$AY$1,),))))-(((VLOOKUP(EDATE(B103,-12),Database!$F:$AY,MATCH($C$1,Database!$F$1:$AY$1,),)))))/(((VLOOKUP(EDATE(B103,-12),Database!$F:$AY,MATCH($C$1,Database!$F$1:$AY$1,),))))</f>
        <v>4.7265005104596962E-2</v>
      </c>
      <c r="D103" s="13">
        <f>((((VLOOKUP(B103,Database!$F:$AY,MATCH($D$1,Database!$F$1:$AY$1,),))))-(((VLOOKUP(EDATE(B103,-12),Database!$F:$AY,MATCH($D$1,Database!$F$1:$AY$1,),)))))/(((VLOOKUP(EDATE(B103,-12),Database!$F:$AY,MATCH($D$1,Database!$F$1:$AY$1,),))))</f>
        <v>2.4389428775574611E-3</v>
      </c>
      <c r="E103" s="13">
        <f>((((VLOOKUP(B103,Database!$F:$AY,MATCH($E$1,Database!$F$1:$AY$1,),))))-(((VLOOKUP(EDATE(B103,-12),Database!$F:$AY,MATCH($E$1,Database!$F$1:$AY$1,),)))))/(((VLOOKUP(EDATE(B103,-12),Database!$F:$AY,MATCH($E$1,Database!$F$1:$AY$1,),))))</f>
        <v>2.0999859974637623E-2</v>
      </c>
      <c r="F103" s="13">
        <f>((((VLOOKUP(B103,Database!$F:$AY,MATCH($F$1,Database!$F$1:$AY$1,),))))-(((VLOOKUP(EDATE(B103,-12),Database!$F:$AY,MATCH($F$1,Database!$F$1:$AY$1,),)))))/(((VLOOKUP(EDATE(B103,-12),Database!$F:$AY,MATCH($F$1,Database!$F$1:$AY$1,),))))</f>
        <v>1.3043405791062427E-2</v>
      </c>
      <c r="G103" s="13">
        <f>((((VLOOKUP(B103,Database!$F:$AY,MATCH($G$1,Database!$F$1:$AY$1,),))))-(((VLOOKUP(EDATE(B103,-12),Database!$F:$AY,MATCH($G$1,Database!$F$1:$AY$1,),)))))/(((VLOOKUP(EDATE(B103,-12),Database!$F:$AY,MATCH($G$1,Database!$F$1:$AY$1,),))))</f>
        <v>9.697383163268675E-3</v>
      </c>
      <c r="H103" s="13">
        <f>((((VLOOKUP(B103,Database!$F:$AY,MATCH($H$1,Database!$F$1:$AY$1,),))))-(((VLOOKUP(EDATE(B103,-12),Database!$F:$AY,MATCH($H$1,Database!$F$1:$AY$1,),)))))/(((VLOOKUP(EDATE(B103,-12),Database!$F:$AY,MATCH($H$1,Database!$F$1:$AY$1,),))))</f>
        <v>9.3898970630371583E-3</v>
      </c>
      <c r="I103" s="13">
        <f>((((VLOOKUP(B103,Database!$F:$AY,MATCH($I$1,Database!$F$1:$AY$1,),))))-(((VLOOKUP(EDATE(B103,-12),Database!$F:$AY,MATCH($I$1,Database!$F$1:$AY$1,),)))))/(((VLOOKUP(EDATE(B103,-12),Database!$F:$AY,MATCH($I$1,Database!$F$1:$AY$1,),))))</f>
        <v>-2.5000416701391727E-2</v>
      </c>
      <c r="J103" s="13">
        <f>((((VLOOKUP(B103,Database!$F:$AY,MATCH($J$1,Database!$F$1:$AY$1,),))))-(((VLOOKUP(EDATE(B103,-12),Database!$F:$AY,MATCH($J$1,Database!$F$1:$AY$1,),)))))/(((VLOOKUP(EDATE(B103,-12),Database!$F:$AY,MATCH($J$1,Database!$F$1:$AY$1,),))))</f>
        <v>-5.5342645475206856E-3</v>
      </c>
      <c r="K103" s="13">
        <f>((((VLOOKUP(B103,Database!$F:$AY,MATCH($K$1,Database!$F$1:$AY$1,),))))-(((VLOOKUP(EDATE(B103,-12),Database!$F:$AY,MATCH($K$1,Database!$F$1:$AY$1,),)))))/(((VLOOKUP(EDATE(B103,-12),Database!$F:$AY,MATCH($K$1,Database!$F$1:$AY$1,),))))</f>
        <v>2.1531225459766636E-2</v>
      </c>
      <c r="L103" s="13">
        <f>((((VLOOKUP(B103,Database!$F:$AY,MATCH($L$1,Database!$F$1:$AY$1,),))))-(((VLOOKUP(EDATE(B103,-12),Database!$F:$AY,MATCH($L$1,Database!$F$1:$AY$1,),)))))/(((VLOOKUP(EDATE(B103,-12),Database!$F:$AY,MATCH($L$1,Database!$F$1:$AY$1,),))))</f>
        <v>0.13340998192925074</v>
      </c>
      <c r="M103" s="13">
        <f>((((VLOOKUP(B103,Database!$F:$AY,MATCH($M$1,Database!$F$1:$AY$1,),))))-(((VLOOKUP(EDATE(B103,-12),Database!$F:$AY,MATCH($M$1,Database!$F$1:$AY$1,),)))))/(((VLOOKUP(EDATE(B103,-12),Database!$F:$AY,MATCH($M$1,Database!$F$1:$AY$1,),))))</f>
        <v>-5.4610529077658752E-2</v>
      </c>
      <c r="N103" s="13">
        <f>((((VLOOKUP(B103,Database!$F:$AY,MATCH($N$1,Database!$F$1:$AY$1,),))))-(((VLOOKUP(EDATE(B103,-12),Database!$F:$AY,MATCH($N$1,Database!$F$1:$AY$1,),)))))/(((VLOOKUP(EDATE(B103,-12),Database!$F:$AY,MATCH($N$1,Database!$F$1:$AY$1,),))))</f>
        <v>8.9053007824425587E-2</v>
      </c>
      <c r="O103" s="13">
        <f>((((VLOOKUP(B103,Database!$F:$AY,MATCH($O$1,Database!$F$1:$AY$1,),))))-(((VLOOKUP(EDATE(B103,-12),Database!$F:$AY,MATCH($O$1,Database!$F$1:$AY$1,),)))))/(((VLOOKUP(EDATE(B103,-12),Database!$F:$AY,MATCH($O$1,Database!$F$1:$AY$1,),))))</f>
        <v>2.3630403045115426E-2</v>
      </c>
      <c r="P103" s="13">
        <f>((((VLOOKUP(B103,Database!$F:$AY,MATCH($P$1,Database!$F$1:$AY$1,),))))-(((VLOOKUP(EDATE(B103,-12),Database!$F:$AY,MATCH($P$1,Database!$F$1:$AY$1,),)))))/(((VLOOKUP(EDATE(B103,-12),Database!$F:$AY,MATCH($P$1,Database!$F$1:$AY$1,),))))</f>
        <v>6.5691749437553695E-2</v>
      </c>
      <c r="Q103" s="13">
        <f>((((VLOOKUP(B103,Database!$F:$AY,MATCH($Q$1,Database!$F$1:$AY$1,),))))-(((VLOOKUP(EDATE(B103,-12),Database!$F:$AY,MATCH($Q$1,Database!$F$1:$AY$1,),)))))/(((VLOOKUP(EDATE(B103,-12),Database!$F:$AY,MATCH($Q$1,Database!$F$1:$AY$1,),))))</f>
        <v>8.0053138093216458E-2</v>
      </c>
      <c r="R103" s="13">
        <f>((((VLOOKUP(B103,Database!$F:$AY,MATCH($R$1,Database!$F$1:$AY$1,),))))-(((VLOOKUP(EDATE(B103,-12),Database!$F:$AY,MATCH($R$1,Database!$F$1:$AY$1,),)))))/(((VLOOKUP(EDATE(B103,-12),Database!$F:$AY,MATCH($R$1,Database!$F$1:$AY$1,),))))</f>
        <v>3.3800919548894509E-3</v>
      </c>
      <c r="S103" s="13">
        <f>((((VLOOKUP(B103,Database!$F:$AY,MATCH($S$1,Database!$F$1:$AY$1,),))))-(((VLOOKUP(EDATE(B103,-12),Database!$F:$AY,MATCH($S$1,Database!$F$1:$AY$1,),)))))/(((VLOOKUP(EDATE(B103,-12),Database!$F:$AY,MATCH($S$1,Database!$F$1:$AY$1,),))))</f>
        <v>1.5384708354412019E-2</v>
      </c>
      <c r="T103" s="13">
        <f>((((VLOOKUP(B103,Database!$F:$AY,MATCH($T$1,Database!$F$1:$AY$1,),))))-(((VLOOKUP(EDATE(B103,-12),Database!$F:$AY,MATCH($T$1,Database!$F$1:$AY$1,),)))))/(((VLOOKUP(EDATE(B103,-12),Database!$F:$AY,MATCH($T$1,Database!$F$1:$AY$1,),))))</f>
        <v>7.9363756503518634E-3</v>
      </c>
      <c r="U103" s="13">
        <f>((((VLOOKUP(B103,Database!$F:$AY,MATCH($U$1,Database!$F$1:$AY$1,),))))-(((VLOOKUP(EDATE(B103,-12),Database!$F:$AY,MATCH($U$1,Database!$F$1:$AY$1,),)))))/(((VLOOKUP(EDATE(B103,-12),Database!$F:$AY,MATCH($U$1,Database!$F$1:$AY$1,),))))</f>
        <v>8.1143283008623286E-3</v>
      </c>
      <c r="V103" s="13">
        <f>((((VLOOKUP(B103,Database!$F:$AY,MATCH($V$1,Database!$F$1:$AY$1,),))))-(((VLOOKUP(EDATE(B103,-12),Database!$F:$AY,MATCH($V$1,Database!$F$1:$AY$1,),)))))/(((VLOOKUP(EDATE(B103,-12),Database!$F:$AY,MATCH($V$1,Database!$F$1:$AY$1,),))))</f>
        <v>9.9833379741357128E-2</v>
      </c>
    </row>
    <row r="104" spans="1:22" s="85" customFormat="1" x14ac:dyDescent="0.2">
      <c r="A104" s="44"/>
      <c r="B104" s="91">
        <v>35309</v>
      </c>
      <c r="C104" s="13">
        <f>((((VLOOKUP(B104,Database!$F:$AY,MATCH($C$1,Database!$F$1:$AY$1,),))))-(((VLOOKUP(EDATE(B104,-12),Database!$F:$AY,MATCH($C$1,Database!$F$1:$AY$1,),)))))/(((VLOOKUP(EDATE(B104,-12),Database!$F:$AY,MATCH($C$1,Database!$F$1:$AY$1,),))))</f>
        <v>5.0264845231915836E-2</v>
      </c>
      <c r="D104" s="13">
        <f>((((VLOOKUP(B104,Database!$F:$AY,MATCH($D$1,Database!$F$1:$AY$1,),))))-(((VLOOKUP(EDATE(B104,-12),Database!$F:$AY,MATCH($D$1,Database!$F$1:$AY$1,),)))))/(((VLOOKUP(EDATE(B104,-12),Database!$F:$AY,MATCH($D$1,Database!$F$1:$AY$1,),))))</f>
        <v>-2.4272248276319989E-3</v>
      </c>
      <c r="E104" s="13">
        <f>((((VLOOKUP(B104,Database!$F:$AY,MATCH($E$1,Database!$F$1:$AY$1,),))))-(((VLOOKUP(EDATE(B104,-12),Database!$F:$AY,MATCH($E$1,Database!$F$1:$AY$1,),)))))/(((VLOOKUP(EDATE(B104,-12),Database!$F:$AY,MATCH($E$1,Database!$F$1:$AY$1,),))))</f>
        <v>4.87801896106572E-2</v>
      </c>
      <c r="F104" s="13">
        <f>((((VLOOKUP(B104,Database!$F:$AY,MATCH($F$1,Database!$F$1:$AY$1,),))))-(((VLOOKUP(EDATE(B104,-12),Database!$F:$AY,MATCH($F$1,Database!$F$1:$AY$1,),)))))/(((VLOOKUP(EDATE(B104,-12),Database!$F:$AY,MATCH($F$1,Database!$F$1:$AY$1,),))))</f>
        <v>1.4205729937992601E-3</v>
      </c>
      <c r="G104" s="13">
        <f>((((VLOOKUP(B104,Database!$F:$AY,MATCH($G$1,Database!$F$1:$AY$1,),))))-(((VLOOKUP(EDATE(B104,-12),Database!$F:$AY,MATCH($G$1,Database!$F$1:$AY$1,),)))))/(((VLOOKUP(EDATE(B104,-12),Database!$F:$AY,MATCH($G$1,Database!$F$1:$AY$1,),))))</f>
        <v>9.1509136229769809E-3</v>
      </c>
      <c r="H104" s="13">
        <f>((((VLOOKUP(B104,Database!$F:$AY,MATCH($H$1,Database!$F$1:$AY$1,),))))-(((VLOOKUP(EDATE(B104,-12),Database!$F:$AY,MATCH($H$1,Database!$F$1:$AY$1,),)))))/(((VLOOKUP(EDATE(B104,-12),Database!$F:$AY,MATCH($H$1,Database!$F$1:$AY$1,),))))</f>
        <v>1.2171807045937365E-2</v>
      </c>
      <c r="I104" s="13">
        <f>((((VLOOKUP(B104,Database!$F:$AY,MATCH($I$1,Database!$F$1:$AY$1,),))))-(((VLOOKUP(EDATE(B104,-12),Database!$F:$AY,MATCH($I$1,Database!$F$1:$AY$1,),)))))/(((VLOOKUP(EDATE(B104,-12),Database!$F:$AY,MATCH($I$1,Database!$F$1:$AY$1,),))))</f>
        <v>-3.187932554801113E-2</v>
      </c>
      <c r="J104" s="13">
        <f>((((VLOOKUP(B104,Database!$F:$AY,MATCH($J$1,Database!$F$1:$AY$1,),))))-(((VLOOKUP(EDATE(B104,-12),Database!$F:$AY,MATCH($J$1,Database!$F$1:$AY$1,),)))))/(((VLOOKUP(EDATE(B104,-12),Database!$F:$AY,MATCH($J$1,Database!$F$1:$AY$1,),))))</f>
        <v>-7.7973196833768348E-3</v>
      </c>
      <c r="K104" s="13">
        <f>((((VLOOKUP(B104,Database!$F:$AY,MATCH($K$1,Database!$F$1:$AY$1,),))))-(((VLOOKUP(EDATE(B104,-12),Database!$F:$AY,MATCH($K$1,Database!$F$1:$AY$1,),)))))/(((VLOOKUP(EDATE(B104,-12),Database!$F:$AY,MATCH($K$1,Database!$F$1:$AY$1,),))))</f>
        <v>1.0817190642029172E-2</v>
      </c>
      <c r="L104" s="13">
        <f>((((VLOOKUP(B104,Database!$F:$AY,MATCH($L$1,Database!$F$1:$AY$1,),))))-(((VLOOKUP(EDATE(B104,-12),Database!$F:$AY,MATCH($L$1,Database!$F$1:$AY$1,),)))))/(((VLOOKUP(EDATE(B104,-12),Database!$F:$AY,MATCH($L$1,Database!$F$1:$AY$1,),))))</f>
        <v>0.13018436743902317</v>
      </c>
      <c r="M104" s="13">
        <f>((((VLOOKUP(B104,Database!$F:$AY,MATCH($M$1,Database!$F$1:$AY$1,),))))-(((VLOOKUP(EDATE(B104,-12),Database!$F:$AY,MATCH($M$1,Database!$F$1:$AY$1,),)))))/(((VLOOKUP(EDATE(B104,-12),Database!$F:$AY,MATCH($M$1,Database!$F$1:$AY$1,),))))</f>
        <v>-4.2259452174392129E-2</v>
      </c>
      <c r="N104" s="13">
        <f>((((VLOOKUP(B104,Database!$F:$AY,MATCH($N$1,Database!$F$1:$AY$1,),))))-(((VLOOKUP(EDATE(B104,-12),Database!$F:$AY,MATCH($N$1,Database!$F$1:$AY$1,),)))))/(((VLOOKUP(EDATE(B104,-12),Database!$F:$AY,MATCH($N$1,Database!$F$1:$AY$1,),))))</f>
        <v>3.7425116860519948E-2</v>
      </c>
      <c r="O104" s="13">
        <f>((((VLOOKUP(B104,Database!$F:$AY,MATCH($O$1,Database!$F$1:$AY$1,),))))-(((VLOOKUP(EDATE(B104,-12),Database!$F:$AY,MATCH($O$1,Database!$F$1:$AY$1,),)))))/(((VLOOKUP(EDATE(B104,-12),Database!$F:$AY,MATCH($O$1,Database!$F$1:$AY$1,),))))</f>
        <v>2.662623337240284E-2</v>
      </c>
      <c r="P104" s="13">
        <f>((((VLOOKUP(B104,Database!$F:$AY,MATCH($P$1,Database!$F$1:$AY$1,),))))-(((VLOOKUP(EDATE(B104,-12),Database!$F:$AY,MATCH($P$1,Database!$F$1:$AY$1,),)))))/(((VLOOKUP(EDATE(B104,-12),Database!$F:$AY,MATCH($P$1,Database!$F$1:$AY$1,),))))</f>
        <v>8.9335781931330238E-2</v>
      </c>
      <c r="Q104" s="13">
        <f>((((VLOOKUP(B104,Database!$F:$AY,MATCH($Q$1,Database!$F$1:$AY$1,),))))-(((VLOOKUP(EDATE(B104,-12),Database!$F:$AY,MATCH($Q$1,Database!$F$1:$AY$1,),)))))/(((VLOOKUP(EDATE(B104,-12),Database!$F:$AY,MATCH($Q$1,Database!$F$1:$AY$1,),))))</f>
        <v>8.3273759204542663E-2</v>
      </c>
      <c r="R104" s="13">
        <f>((((VLOOKUP(B104,Database!$F:$AY,MATCH($R$1,Database!$F$1:$AY$1,),))))-(((VLOOKUP(EDATE(B104,-12),Database!$F:$AY,MATCH($R$1,Database!$F$1:$AY$1,),)))))/(((VLOOKUP(EDATE(B104,-12),Database!$F:$AY,MATCH($R$1,Database!$F$1:$AY$1,),))))</f>
        <v>9.5267500942980109E-3</v>
      </c>
      <c r="S104" s="13">
        <f>((((VLOOKUP(B104,Database!$F:$AY,MATCH($S$1,Database!$F$1:$AY$1,),))))-(((VLOOKUP(EDATE(B104,-12),Database!$F:$AY,MATCH($S$1,Database!$F$1:$AY$1,),)))))/(((VLOOKUP(EDATE(B104,-12),Database!$F:$AY,MATCH($S$1,Database!$F$1:$AY$1,),))))</f>
        <v>0</v>
      </c>
      <c r="T104" s="13">
        <f>((((VLOOKUP(B104,Database!$F:$AY,MATCH($T$1,Database!$F$1:$AY$1,),))))-(((VLOOKUP(EDATE(B104,-12),Database!$F:$AY,MATCH($T$1,Database!$F$1:$AY$1,),)))))/(((VLOOKUP(EDATE(B104,-12),Database!$F:$AY,MATCH($T$1,Database!$F$1:$AY$1,),))))</f>
        <v>4.4321424030092336E-2</v>
      </c>
      <c r="U104" s="13">
        <f>((((VLOOKUP(B104,Database!$F:$AY,MATCH($U$1,Database!$F$1:$AY$1,),))))-(((VLOOKUP(EDATE(B104,-12),Database!$F:$AY,MATCH($U$1,Database!$F$1:$AY$1,),)))))/(((VLOOKUP(EDATE(B104,-12),Database!$F:$AY,MATCH($U$1,Database!$F$1:$AY$1,),))))</f>
        <v>3.2080402459776405E-2</v>
      </c>
      <c r="V104" s="13">
        <f>((((VLOOKUP(B104,Database!$F:$AY,MATCH($V$1,Database!$F$1:$AY$1,),))))-(((VLOOKUP(EDATE(B104,-12),Database!$F:$AY,MATCH($V$1,Database!$F$1:$AY$1,),)))))/(((VLOOKUP(EDATE(B104,-12),Database!$F:$AY,MATCH($V$1,Database!$F$1:$AY$1,),))))</f>
        <v>8.1742752274558253E-2</v>
      </c>
    </row>
    <row r="105" spans="1:22" s="85" customFormat="1" x14ac:dyDescent="0.2">
      <c r="A105" s="44"/>
      <c r="B105" s="91">
        <v>35339</v>
      </c>
      <c r="C105" s="13">
        <f>((((VLOOKUP(B105,Database!$F:$AY,MATCH($C$1,Database!$F$1:$AY$1,),))))-(((VLOOKUP(EDATE(B105,-12),Database!$F:$AY,MATCH($C$1,Database!$F$1:$AY$1,),)))))/(((VLOOKUP(EDATE(B105,-12),Database!$F:$AY,MATCH($C$1,Database!$F$1:$AY$1,),))))</f>
        <v>5.0933295090331676E-2</v>
      </c>
      <c r="D105" s="13">
        <f>((((VLOOKUP(B105,Database!$F:$AY,MATCH($D$1,Database!$F$1:$AY$1,),))))-(((VLOOKUP(EDATE(B105,-12),Database!$F:$AY,MATCH($D$1,Database!$F$1:$AY$1,),)))))/(((VLOOKUP(EDATE(B105,-12),Database!$F:$AY,MATCH($D$1,Database!$F$1:$AY$1,),))))</f>
        <v>4.9139635546168615E-3</v>
      </c>
      <c r="E105" s="13">
        <f>((((VLOOKUP(B105,Database!$F:$AY,MATCH($E$1,Database!$F$1:$AY$1,),))))-(((VLOOKUP(EDATE(B105,-12),Database!$F:$AY,MATCH($E$1,Database!$F$1:$AY$1,),)))))/(((VLOOKUP(EDATE(B105,-12),Database!$F:$AY,MATCH($E$1,Database!$F$1:$AY$1,),))))</f>
        <v>3.9039056824283755E-2</v>
      </c>
      <c r="F105" s="13">
        <f>((((VLOOKUP(B105,Database!$F:$AY,MATCH($F$1,Database!$F$1:$AY$1,),))))-(((VLOOKUP(EDATE(B105,-12),Database!$F:$AY,MATCH($F$1,Database!$F$1:$AY$1,),)))))/(((VLOOKUP(EDATE(B105,-12),Database!$F:$AY,MATCH($F$1,Database!$F$1:$AY$1,),))))</f>
        <v>1.3119607057614682E-2</v>
      </c>
      <c r="G105" s="13">
        <f>((((VLOOKUP(B105,Database!$F:$AY,MATCH($G$1,Database!$F$1:$AY$1,),))))-(((VLOOKUP(EDATE(B105,-12),Database!$F:$AY,MATCH($G$1,Database!$F$1:$AY$1,),)))))/(((VLOOKUP(EDATE(B105,-12),Database!$F:$AY,MATCH($G$1,Database!$F$1:$AY$1,),))))</f>
        <v>1.8444133644538195E-2</v>
      </c>
      <c r="H105" s="13">
        <f>((((VLOOKUP(B105,Database!$F:$AY,MATCH($H$1,Database!$F$1:$AY$1,),))))-(((VLOOKUP(EDATE(B105,-12),Database!$F:$AY,MATCH($H$1,Database!$F$1:$AY$1,),)))))/(((VLOOKUP(EDATE(B105,-12),Database!$F:$AY,MATCH($H$1,Database!$F$1:$AY$1,),))))</f>
        <v>1.5037369668109613E-2</v>
      </c>
      <c r="I105" s="13">
        <f>((((VLOOKUP(B105,Database!$F:$AY,MATCH($I$1,Database!$F$1:$AY$1,),))))-(((VLOOKUP(EDATE(B105,-12),Database!$F:$AY,MATCH($I$1,Database!$F$1:$AY$1,),)))))/(((VLOOKUP(EDATE(B105,-12),Database!$F:$AY,MATCH($I$1,Database!$F$1:$AY$1,),))))</f>
        <v>-3.4167013917826478E-2</v>
      </c>
      <c r="J105" s="13">
        <f>((((VLOOKUP(B105,Database!$F:$AY,MATCH($J$1,Database!$F$1:$AY$1,),))))-(((VLOOKUP(EDATE(B105,-12),Database!$F:$AY,MATCH($J$1,Database!$F$1:$AY$1,),)))))/(((VLOOKUP(EDATE(B105,-12),Database!$F:$AY,MATCH($J$1,Database!$F$1:$AY$1,),))))</f>
        <v>7.5932512664353569E-3</v>
      </c>
      <c r="K105" s="13">
        <f>((((VLOOKUP(B105,Database!$F:$AY,MATCH($K$1,Database!$F$1:$AY$1,),))))-(((VLOOKUP(EDATE(B105,-12),Database!$F:$AY,MATCH($K$1,Database!$F$1:$AY$1,),)))))/(((VLOOKUP(EDATE(B105,-12),Database!$F:$AY,MATCH($K$1,Database!$F$1:$AY$1,),))))</f>
        <v>-2.3838299518146294E-3</v>
      </c>
      <c r="L105" s="13">
        <f>((((VLOOKUP(B105,Database!$F:$AY,MATCH($L$1,Database!$F$1:$AY$1,),))))-(((VLOOKUP(EDATE(B105,-12),Database!$F:$AY,MATCH($L$1,Database!$F$1:$AY$1,),)))))/(((VLOOKUP(EDATE(B105,-12),Database!$F:$AY,MATCH($L$1,Database!$F$1:$AY$1,),))))</f>
        <v>0.21232524738573336</v>
      </c>
      <c r="M105" s="13">
        <f>((((VLOOKUP(B105,Database!$F:$AY,MATCH($M$1,Database!$F$1:$AY$1,),))))-(((VLOOKUP(EDATE(B105,-12),Database!$F:$AY,MATCH($M$1,Database!$F$1:$AY$1,),)))))/(((VLOOKUP(EDATE(B105,-12),Database!$F:$AY,MATCH($M$1,Database!$F$1:$AY$1,),))))</f>
        <v>-3.5576067672846046E-2</v>
      </c>
      <c r="N105" s="13">
        <f>((((VLOOKUP(B105,Database!$F:$AY,MATCH($N$1,Database!$F$1:$AY$1,),))))-(((VLOOKUP(EDATE(B105,-12),Database!$F:$AY,MATCH($N$1,Database!$F$1:$AY$1,),)))))/(((VLOOKUP(EDATE(B105,-12),Database!$F:$AY,MATCH($N$1,Database!$F$1:$AY$1,),))))</f>
        <v>8.3996253037920895E-2</v>
      </c>
      <c r="O105" s="13">
        <f>((((VLOOKUP(B105,Database!$F:$AY,MATCH($O$1,Database!$F$1:$AY$1,),))))-(((VLOOKUP(EDATE(B105,-12),Database!$F:$AY,MATCH($O$1,Database!$F$1:$AY$1,),)))))/(((VLOOKUP(EDATE(B105,-12),Database!$F:$AY,MATCH($O$1,Database!$F$1:$AY$1,),))))</f>
        <v>2.3905751730701218E-2</v>
      </c>
      <c r="P105" s="13">
        <f>((((VLOOKUP(B105,Database!$F:$AY,MATCH($P$1,Database!$F$1:$AY$1,),))))-(((VLOOKUP(EDATE(B105,-12),Database!$F:$AY,MATCH($P$1,Database!$F$1:$AY$1,),)))))/(((VLOOKUP(EDATE(B105,-12),Database!$F:$AY,MATCH($P$1,Database!$F$1:$AY$1,),))))</f>
        <v>6.8764686932501762E-2</v>
      </c>
      <c r="Q105" s="13">
        <f>((((VLOOKUP(B105,Database!$F:$AY,MATCH($Q$1,Database!$F$1:$AY$1,),))))-(((VLOOKUP(EDATE(B105,-12),Database!$F:$AY,MATCH($Q$1,Database!$F$1:$AY$1,),)))))/(((VLOOKUP(EDATE(B105,-12),Database!$F:$AY,MATCH($Q$1,Database!$F$1:$AY$1,),))))</f>
        <v>7.6923200797669788E-2</v>
      </c>
      <c r="R105" s="13">
        <f>((((VLOOKUP(B105,Database!$F:$AY,MATCH($R$1,Database!$F$1:$AY$1,),))))-(((VLOOKUP(EDATE(B105,-12),Database!$F:$AY,MATCH($R$1,Database!$F$1:$AY$1,),)))))/(((VLOOKUP(EDATE(B105,-12),Database!$F:$AY,MATCH($R$1,Database!$F$1:$AY$1,),))))</f>
        <v>-8.8285697910671247E-3</v>
      </c>
      <c r="S105" s="13">
        <f>((((VLOOKUP(B105,Database!$F:$AY,MATCH($S$1,Database!$F$1:$AY$1,),))))-(((VLOOKUP(EDATE(B105,-12),Database!$F:$AY,MATCH($S$1,Database!$F$1:$AY$1,),)))))/(((VLOOKUP(EDATE(B105,-12),Database!$F:$AY,MATCH($S$1,Database!$F$1:$AY$1,),))))</f>
        <v>2.255610230282187E-2</v>
      </c>
      <c r="T105" s="13">
        <f>((((VLOOKUP(B105,Database!$F:$AY,MATCH($T$1,Database!$F$1:$AY$1,),))))-(((VLOOKUP(EDATE(B105,-12),Database!$F:$AY,MATCH($T$1,Database!$F$1:$AY$1,),)))))/(((VLOOKUP(EDATE(B105,-12),Database!$F:$AY,MATCH($T$1,Database!$F$1:$AY$1,),))))</f>
        <v>0.15954404184051785</v>
      </c>
      <c r="U105" s="13">
        <f>((((VLOOKUP(B105,Database!$F:$AY,MATCH($U$1,Database!$F$1:$AY$1,),))))-(((VLOOKUP(EDATE(B105,-12),Database!$F:$AY,MATCH($U$1,Database!$F$1:$AY$1,),)))))/(((VLOOKUP(EDATE(B105,-12),Database!$F:$AY,MATCH($U$1,Database!$F$1:$AY$1,),))))</f>
        <v>-5.6330025883336303E-4</v>
      </c>
      <c r="V105" s="13">
        <f>((((VLOOKUP(B105,Database!$F:$AY,MATCH($V$1,Database!$F$1:$AY$1,),))))-(((VLOOKUP(EDATE(B105,-12),Database!$F:$AY,MATCH($V$1,Database!$F$1:$AY$1,),)))))/(((VLOOKUP(EDATE(B105,-12),Database!$F:$AY,MATCH($V$1,Database!$F$1:$AY$1,),))))</f>
        <v>0.11636807041493726</v>
      </c>
    </row>
    <row r="106" spans="1:22" s="85" customFormat="1" x14ac:dyDescent="0.2">
      <c r="A106" s="44"/>
      <c r="B106" s="91">
        <v>35370</v>
      </c>
      <c r="C106" s="13">
        <f>((((VLOOKUP(B106,Database!$F:$AY,MATCH($C$1,Database!$F$1:$AY$1,),))))-(((VLOOKUP(EDATE(B106,-12),Database!$F:$AY,MATCH($C$1,Database!$F$1:$AY$1,),)))))/(((VLOOKUP(EDATE(B106,-12),Database!$F:$AY,MATCH($C$1,Database!$F$1:$AY$1,),))))</f>
        <v>5.7549970270644742E-2</v>
      </c>
      <c r="D106" s="13">
        <f>((((VLOOKUP(B106,Database!$F:$AY,MATCH($D$1,Database!$F$1:$AY$1,),))))-(((VLOOKUP(EDATE(B106,-12),Database!$F:$AY,MATCH($D$1,Database!$F$1:$AY$1,),)))))/(((VLOOKUP(EDATE(B106,-12),Database!$F:$AY,MATCH($D$1,Database!$F$1:$AY$1,),))))</f>
        <v>9.7918392525363808E-3</v>
      </c>
      <c r="E106" s="13">
        <f>((((VLOOKUP(B106,Database!$F:$AY,MATCH($E$1,Database!$F$1:$AY$1,),))))-(((VLOOKUP(EDATE(B106,-12),Database!$F:$AY,MATCH($E$1,Database!$F$1:$AY$1,),)))))/(((VLOOKUP(EDATE(B106,-12),Database!$F:$AY,MATCH($E$1,Database!$F$1:$AY$1,),))))</f>
        <v>3.574908367696468E-2</v>
      </c>
      <c r="F106" s="13">
        <f>((((VLOOKUP(B106,Database!$F:$AY,MATCH($F$1,Database!$F$1:$AY$1,),))))-(((VLOOKUP(EDATE(B106,-12),Database!$F:$AY,MATCH($F$1,Database!$F$1:$AY$1,),)))))/(((VLOOKUP(EDATE(B106,-12),Database!$F:$AY,MATCH($F$1,Database!$F$1:$AY$1,),))))</f>
        <v>2.1739202904589944E-2</v>
      </c>
      <c r="G106" s="13">
        <f>((((VLOOKUP(B106,Database!$F:$AY,MATCH($G$1,Database!$F$1:$AY$1,),))))-(((VLOOKUP(EDATE(B106,-12),Database!$F:$AY,MATCH($G$1,Database!$F$1:$AY$1,),)))))/(((VLOOKUP(EDATE(B106,-12),Database!$F:$AY,MATCH($G$1,Database!$F$1:$AY$1,),))))</f>
        <v>3.158575576867536E-2</v>
      </c>
      <c r="H106" s="13">
        <f>((((VLOOKUP(B106,Database!$F:$AY,MATCH($H$1,Database!$F$1:$AY$1,),))))-(((VLOOKUP(EDATE(B106,-12),Database!$F:$AY,MATCH($H$1,Database!$F$1:$AY$1,),)))))/(((VLOOKUP(EDATE(B106,-12),Database!$F:$AY,MATCH($H$1,Database!$F$1:$AY$1,),))))</f>
        <v>1.4953054586065953E-2</v>
      </c>
      <c r="I106" s="13">
        <f>((((VLOOKUP(B106,Database!$F:$AY,MATCH($I$1,Database!$F$1:$AY$1,),))))-(((VLOOKUP(EDATE(B106,-12),Database!$F:$AY,MATCH($I$1,Database!$F$1:$AY$1,),)))))/(((VLOOKUP(EDATE(B106,-12),Database!$F:$AY,MATCH($I$1,Database!$F$1:$AY$1,),))))</f>
        <v>-3.8333194432869366E-2</v>
      </c>
      <c r="J106" s="13">
        <f>((((VLOOKUP(B106,Database!$F:$AY,MATCH($J$1,Database!$F$1:$AY$1,),))))-(((VLOOKUP(EDATE(B106,-12),Database!$F:$AY,MATCH($J$1,Database!$F$1:$AY$1,),)))))/(((VLOOKUP(EDATE(B106,-12),Database!$F:$AY,MATCH($J$1,Database!$F$1:$AY$1,),))))</f>
        <v>1.2407823113146071E-2</v>
      </c>
      <c r="K106" s="13">
        <f>((((VLOOKUP(B106,Database!$F:$AY,MATCH($K$1,Database!$F$1:$AY$1,),))))-(((VLOOKUP(EDATE(B106,-12),Database!$F:$AY,MATCH($K$1,Database!$F$1:$AY$1,),)))))/(((VLOOKUP(EDATE(B106,-12),Database!$F:$AY,MATCH($K$1,Database!$F$1:$AY$1,),))))</f>
        <v>9.5237333429949653E-3</v>
      </c>
      <c r="L106" s="13">
        <f>((((VLOOKUP(B106,Database!$F:$AY,MATCH($L$1,Database!$F$1:$AY$1,),))))-(((VLOOKUP(EDATE(B106,-12),Database!$F:$AY,MATCH($L$1,Database!$F$1:$AY$1,),)))))/(((VLOOKUP(EDATE(B106,-12),Database!$F:$AY,MATCH($L$1,Database!$F$1:$AY$1,),))))</f>
        <v>0.13776711302529437</v>
      </c>
      <c r="M106" s="13">
        <f>((((VLOOKUP(B106,Database!$F:$AY,MATCH($M$1,Database!$F$1:$AY$1,),))))-(((VLOOKUP(EDATE(B106,-12),Database!$F:$AY,MATCH($M$1,Database!$F$1:$AY$1,),)))))/(((VLOOKUP(EDATE(B106,-12),Database!$F:$AY,MATCH($M$1,Database!$F$1:$AY$1,),))))</f>
        <v>-1.6932452381111789E-2</v>
      </c>
      <c r="N106" s="13">
        <f>((((VLOOKUP(B106,Database!$F:$AY,MATCH($N$1,Database!$F$1:$AY$1,),))))-(((VLOOKUP(EDATE(B106,-12),Database!$F:$AY,MATCH($N$1,Database!$F$1:$AY$1,),)))))/(((VLOOKUP(EDATE(B106,-12),Database!$F:$AY,MATCH($N$1,Database!$F$1:$AY$1,),))))</f>
        <v>2.3711187385207208E-2</v>
      </c>
      <c r="O106" s="13">
        <f>((((VLOOKUP(B106,Database!$F:$AY,MATCH($O$1,Database!$F$1:$AY$1,),))))-(((VLOOKUP(EDATE(B106,-12),Database!$F:$AY,MATCH($O$1,Database!$F$1:$AY$1,),)))))/(((VLOOKUP(EDATE(B106,-12),Database!$F:$AY,MATCH($O$1,Database!$F$1:$AY$1,),))))</f>
        <v>3.7293027308024244E-2</v>
      </c>
      <c r="P106" s="13">
        <f>((((VLOOKUP(B106,Database!$F:$AY,MATCH($P$1,Database!$F$1:$AY$1,),))))-(((VLOOKUP(EDATE(B106,-12),Database!$F:$AY,MATCH($P$1,Database!$F$1:$AY$1,),)))))/(((VLOOKUP(EDATE(B106,-12),Database!$F:$AY,MATCH($P$1,Database!$F$1:$AY$1,),))))</f>
        <v>7.6911148585116579E-2</v>
      </c>
      <c r="Q106" s="13">
        <f>((((VLOOKUP(B106,Database!$F:$AY,MATCH($Q$1,Database!$F$1:$AY$1,),))))-(((VLOOKUP(EDATE(B106,-12),Database!$F:$AY,MATCH($Q$1,Database!$F$1:$AY$1,),)))))/(((VLOOKUP(EDATE(B106,-12),Database!$F:$AY,MATCH($Q$1,Database!$F$1:$AY$1,),))))</f>
        <v>7.666201999070664E-2</v>
      </c>
      <c r="R106" s="13">
        <f>((((VLOOKUP(B106,Database!$F:$AY,MATCH($R$1,Database!$F$1:$AY$1,),))))-(((VLOOKUP(EDATE(B106,-12),Database!$F:$AY,MATCH($R$1,Database!$F$1:$AY$1,),)))))/(((VLOOKUP(EDATE(B106,-12),Database!$F:$AY,MATCH($R$1,Database!$F$1:$AY$1,),))))</f>
        <v>1.8335137283454726E-2</v>
      </c>
      <c r="S106" s="13">
        <f>((((VLOOKUP(B106,Database!$F:$AY,MATCH($S$1,Database!$F$1:$AY$1,),))))-(((VLOOKUP(EDATE(B106,-12),Database!$F:$AY,MATCH($S$1,Database!$F$1:$AY$1,),)))))/(((VLOOKUP(EDATE(B106,-12),Database!$F:$AY,MATCH($S$1,Database!$F$1:$AY$1,),))))</f>
        <v>9.8236524815778187E-2</v>
      </c>
      <c r="T106" s="13">
        <f>((((VLOOKUP(B106,Database!$F:$AY,MATCH($T$1,Database!$F$1:$AY$1,),))))-(((VLOOKUP(EDATE(B106,-12),Database!$F:$AY,MATCH($T$1,Database!$F$1:$AY$1,),)))))/(((VLOOKUP(EDATE(B106,-12),Database!$F:$AY,MATCH($T$1,Database!$F$1:$AY$1,),))))</f>
        <v>5.9585540555455681E-2</v>
      </c>
      <c r="U106" s="13">
        <f>((((VLOOKUP(B106,Database!$F:$AY,MATCH($U$1,Database!$F$1:$AY$1,),))))-(((VLOOKUP(EDATE(B106,-12),Database!$F:$AY,MATCH($U$1,Database!$F$1:$AY$1,),)))))/(((VLOOKUP(EDATE(B106,-12),Database!$F:$AY,MATCH($U$1,Database!$F$1:$AY$1,),))))</f>
        <v>-1.5077815245172686E-2</v>
      </c>
      <c r="V106" s="13">
        <f>((((VLOOKUP(B106,Database!$F:$AY,MATCH($V$1,Database!$F$1:$AY$1,),))))-(((VLOOKUP(EDATE(B106,-12),Database!$F:$AY,MATCH($V$1,Database!$F$1:$AY$1,),)))))/(((VLOOKUP(EDATE(B106,-12),Database!$F:$AY,MATCH($V$1,Database!$F$1:$AY$1,),))))</f>
        <v>6.712332100796059E-2</v>
      </c>
    </row>
    <row r="107" spans="1:22" s="85" customFormat="1" x14ac:dyDescent="0.2">
      <c r="A107" s="44"/>
      <c r="B107" s="91">
        <v>35400</v>
      </c>
      <c r="C107" s="13">
        <f>((((VLOOKUP(B107,Database!$F:$AY,MATCH($C$1,Database!$F$1:$AY$1,),))))-(((VLOOKUP(EDATE(B107,-12),Database!$F:$AY,MATCH($C$1,Database!$F$1:$AY$1,),)))))/(((VLOOKUP(EDATE(B107,-12),Database!$F:$AY,MATCH($C$1,Database!$F$1:$AY$1,),))))</f>
        <v>6.0376039427871009E-2</v>
      </c>
      <c r="D107" s="13">
        <f>((((VLOOKUP(B107,Database!$F:$AY,MATCH($D$1,Database!$F$1:$AY$1,),))))-(((VLOOKUP(EDATE(B107,-12),Database!$F:$AY,MATCH($D$1,Database!$F$1:$AY$1,),)))))/(((VLOOKUP(EDATE(B107,-12),Database!$F:$AY,MATCH($D$1,Database!$F$1:$AY$1,),))))</f>
        <v>-4.8367188631916157E-3</v>
      </c>
      <c r="E107" s="13">
        <f>((((VLOOKUP(B107,Database!$F:$AY,MATCH($E$1,Database!$F$1:$AY$1,),))))-(((VLOOKUP(EDATE(B107,-12),Database!$F:$AY,MATCH($E$1,Database!$F$1:$AY$1,),)))))/(((VLOOKUP(EDATE(B107,-12),Database!$F:$AY,MATCH($E$1,Database!$F$1:$AY$1,),))))</f>
        <v>3.2352588593791011E-2</v>
      </c>
      <c r="F107" s="13">
        <f>((((VLOOKUP(B107,Database!$F:$AY,MATCH($F$1,Database!$F$1:$AY$1,),))))-(((VLOOKUP(EDATE(B107,-12),Database!$F:$AY,MATCH($F$1,Database!$F$1:$AY$1,),)))))/(((VLOOKUP(EDATE(B107,-12),Database!$F:$AY,MATCH($F$1,Database!$F$1:$AY$1,),))))</f>
        <v>2.1739202904589944E-2</v>
      </c>
      <c r="G107" s="13">
        <f>((((VLOOKUP(B107,Database!$F:$AY,MATCH($G$1,Database!$F$1:$AY$1,),))))-(((VLOOKUP(EDATE(B107,-12),Database!$F:$AY,MATCH($G$1,Database!$F$1:$AY$1,),)))))/(((VLOOKUP(EDATE(B107,-12),Database!$F:$AY,MATCH($G$1,Database!$F$1:$AY$1,),))))</f>
        <v>1.1691049856319618E-2</v>
      </c>
      <c r="H107" s="13">
        <f>((((VLOOKUP(B107,Database!$F:$AY,MATCH($H$1,Database!$F$1:$AY$1,),))))-(((VLOOKUP(EDATE(B107,-12),Database!$F:$AY,MATCH($H$1,Database!$F$1:$AY$1,),)))))/(((VLOOKUP(EDATE(B107,-12),Database!$F:$AY,MATCH($H$1,Database!$F$1:$AY$1,),))))</f>
        <v>1.3939895146255621E-2</v>
      </c>
      <c r="I107" s="13">
        <f>((((VLOOKUP(B107,Database!$F:$AY,MATCH($I$1,Database!$F$1:$AY$1,),))))-(((VLOOKUP(EDATE(B107,-12),Database!$F:$AY,MATCH($I$1,Database!$F$1:$AY$1,),)))))/(((VLOOKUP(EDATE(B107,-12),Database!$F:$AY,MATCH($I$1,Database!$F$1:$AY$1,),))))</f>
        <v>-5.6557187568140939E-2</v>
      </c>
      <c r="J107" s="13">
        <f>((((VLOOKUP(B107,Database!$F:$AY,MATCH($J$1,Database!$F$1:$AY$1,),))))-(((VLOOKUP(EDATE(B107,-12),Database!$F:$AY,MATCH($J$1,Database!$F$1:$AY$1,),)))))/(((VLOOKUP(EDATE(B107,-12),Database!$F:$AY,MATCH($J$1,Database!$F$1:$AY$1,),))))</f>
        <v>-1.5132995751120409E-2</v>
      </c>
      <c r="K107" s="13">
        <f>((((VLOOKUP(B107,Database!$F:$AY,MATCH($K$1,Database!$F$1:$AY$1,),))))-(((VLOOKUP(EDATE(B107,-12),Database!$F:$AY,MATCH($K$1,Database!$F$1:$AY$1,),)))))/(((VLOOKUP(EDATE(B107,-12),Database!$F:$AY,MATCH($K$1,Database!$F$1:$AY$1,),))))</f>
        <v>4.9397520796440324E-2</v>
      </c>
      <c r="L107" s="13">
        <f>((((VLOOKUP(B107,Database!$F:$AY,MATCH($L$1,Database!$F$1:$AY$1,),))))-(((VLOOKUP(EDATE(B107,-12),Database!$F:$AY,MATCH($L$1,Database!$F$1:$AY$1,),)))))/(((VLOOKUP(EDATE(B107,-12),Database!$F:$AY,MATCH($L$1,Database!$F$1:$AY$1,),))))</f>
        <v>0.10202099651410552</v>
      </c>
      <c r="M107" s="13">
        <f>((((VLOOKUP(B107,Database!$F:$AY,MATCH($M$1,Database!$F$1:$AY$1,),))))-(((VLOOKUP(EDATE(B107,-12),Database!$F:$AY,MATCH($M$1,Database!$F$1:$AY$1,),)))))/(((VLOOKUP(EDATE(B107,-12),Database!$F:$AY,MATCH($M$1,Database!$F$1:$AY$1,),))))</f>
        <v>-2.608660631946021E-2</v>
      </c>
      <c r="N107" s="13">
        <f>((((VLOOKUP(B107,Database!$F:$AY,MATCH($N$1,Database!$F$1:$AY$1,),))))-(((VLOOKUP(EDATE(B107,-12),Database!$F:$AY,MATCH($N$1,Database!$F$1:$AY$1,),)))))/(((VLOOKUP(EDATE(B107,-12),Database!$F:$AY,MATCH($N$1,Database!$F$1:$AY$1,),))))</f>
        <v>3.6921745214925812E-2</v>
      </c>
      <c r="O107" s="13">
        <f>((((VLOOKUP(B107,Database!$F:$AY,MATCH($O$1,Database!$F$1:$AY$1,),))))-(((VLOOKUP(EDATE(B107,-12),Database!$F:$AY,MATCH($O$1,Database!$F$1:$AY$1,),)))))/(((VLOOKUP(EDATE(B107,-12),Database!$F:$AY,MATCH($O$1,Database!$F$1:$AY$1,),))))</f>
        <v>2.4787498429230063E-2</v>
      </c>
      <c r="P107" s="13">
        <f>((((VLOOKUP(B107,Database!$F:$AY,MATCH($P$1,Database!$F$1:$AY$1,),))))-(((VLOOKUP(EDATE(B107,-12),Database!$F:$AY,MATCH($P$1,Database!$F$1:$AY$1,),)))))/(((VLOOKUP(EDATE(B107,-12),Database!$F:$AY,MATCH($P$1,Database!$F$1:$AY$1,),))))</f>
        <v>8.0803912679676862E-2</v>
      </c>
      <c r="Q107" s="13">
        <f>((((VLOOKUP(B107,Database!$F:$AY,MATCH($Q$1,Database!$F$1:$AY$1,),))))-(((VLOOKUP(EDATE(B107,-12),Database!$F:$AY,MATCH($Q$1,Database!$F$1:$AY$1,),)))))/(((VLOOKUP(EDATE(B107,-12),Database!$F:$AY,MATCH($Q$1,Database!$F$1:$AY$1,),))))</f>
        <v>5.5330633744126681E-2</v>
      </c>
      <c r="R107" s="13">
        <f>((((VLOOKUP(B107,Database!$F:$AY,MATCH($R$1,Database!$F$1:$AY$1,),))))-(((VLOOKUP(EDATE(B107,-12),Database!$F:$AY,MATCH($R$1,Database!$F$1:$AY$1,),)))))/(((VLOOKUP(EDATE(B107,-12),Database!$F:$AY,MATCH($R$1,Database!$F$1:$AY$1,),))))</f>
        <v>-6.1718807543640897E-3</v>
      </c>
      <c r="S107" s="13">
        <f>((((VLOOKUP(B107,Database!$F:$AY,MATCH($S$1,Database!$F$1:$AY$1,),))))-(((VLOOKUP(EDATE(B107,-12),Database!$F:$AY,MATCH($S$1,Database!$F$1:$AY$1,),)))))/(((VLOOKUP(EDATE(B107,-12),Database!$F:$AY,MATCH($S$1,Database!$F$1:$AY$1,),))))</f>
        <v>3.1707371150825163E-2</v>
      </c>
      <c r="T107" s="13">
        <f>((((VLOOKUP(B107,Database!$F:$AY,MATCH($T$1,Database!$F$1:$AY$1,),))))-(((VLOOKUP(EDATE(B107,-12),Database!$F:$AY,MATCH($T$1,Database!$F$1:$AY$1,),)))))/(((VLOOKUP(EDATE(B107,-12),Database!$F:$AY,MATCH($T$1,Database!$F$1:$AY$1,),))))</f>
        <v>2.4875207262296298E-3</v>
      </c>
      <c r="U107" s="13">
        <f>((((VLOOKUP(B107,Database!$F:$AY,MATCH($U$1,Database!$F$1:$AY$1,),))))-(((VLOOKUP(EDATE(B107,-12),Database!$F:$AY,MATCH($U$1,Database!$F$1:$AY$1,),)))))/(((VLOOKUP(EDATE(B107,-12),Database!$F:$AY,MATCH($U$1,Database!$F$1:$AY$1,),))))</f>
        <v>-4.4321753161037439E-2</v>
      </c>
      <c r="V107" s="13">
        <f>((((VLOOKUP(B107,Database!$F:$AY,MATCH($V$1,Database!$F$1:$AY$1,),))))-(((VLOOKUP(EDATE(B107,-12),Database!$F:$AY,MATCH($V$1,Database!$F$1:$AY$1,),)))))/(((VLOOKUP(EDATE(B107,-12),Database!$F:$AY,MATCH($V$1,Database!$F$1:$AY$1,),))))</f>
        <v>8.7099014057931343E-2</v>
      </c>
    </row>
    <row r="108" spans="1:22" s="85" customFormat="1" x14ac:dyDescent="0.2">
      <c r="A108" s="44"/>
      <c r="B108" s="91">
        <v>35431</v>
      </c>
      <c r="C108" s="13">
        <f>((((VLOOKUP(B108,Database!$F:$AY,MATCH($C$1,Database!$F$1:$AY$1,),))))-(((VLOOKUP(EDATE(B108,-12),Database!$F:$AY,MATCH($C$1,Database!$F$1:$AY$1,),)))))/(((VLOOKUP(EDATE(B108,-12),Database!$F:$AY,MATCH($C$1,Database!$F$1:$AY$1,),))))</f>
        <v>6.8866027209391667E-2</v>
      </c>
      <c r="D108" s="13">
        <f>((((VLOOKUP(B108,Database!$F:$AY,MATCH($D$1,Database!$F$1:$AY$1,),))))-(((VLOOKUP(EDATE(B108,-12),Database!$F:$AY,MATCH($D$1,Database!$F$1:$AY$1,),)))))/(((VLOOKUP(EDATE(B108,-12),Database!$F:$AY,MATCH($D$1,Database!$F$1:$AY$1,),))))</f>
        <v>8.5470899606590184E-3</v>
      </c>
      <c r="E108" s="13">
        <f>((((VLOOKUP(B108,Database!$F:$AY,MATCH($E$1,Database!$F$1:$AY$1,),))))-(((VLOOKUP(EDATE(B108,-12),Database!$F:$AY,MATCH($E$1,Database!$F$1:$AY$1,),)))))/(((VLOOKUP(EDATE(B108,-12),Database!$F:$AY,MATCH($E$1,Database!$F$1:$AY$1,),))))</f>
        <v>6.3681043355740402E-2</v>
      </c>
      <c r="F108" s="13">
        <f>((((VLOOKUP(B108,Database!$F:$AY,MATCH($F$1,Database!$F$1:$AY$1,),))))-(((VLOOKUP(EDATE(B108,-12),Database!$F:$AY,MATCH($F$1,Database!$F$1:$AY$1,),)))))/(((VLOOKUP(EDATE(B108,-12),Database!$F:$AY,MATCH($F$1,Database!$F$1:$AY$1,),))))</f>
        <v>4.3289318605604227E-3</v>
      </c>
      <c r="G108" s="13">
        <f>((((VLOOKUP(B108,Database!$F:$AY,MATCH($G$1,Database!$F$1:$AY$1,),))))-(((VLOOKUP(EDATE(B108,-12),Database!$F:$AY,MATCH($G$1,Database!$F$1:$AY$1,),)))))/(((VLOOKUP(EDATE(B108,-12),Database!$F:$AY,MATCH($G$1,Database!$F$1:$AY$1,),))))</f>
        <v>1.1473311717959001E-2</v>
      </c>
      <c r="H108" s="13">
        <f>((((VLOOKUP(B108,Database!$F:$AY,MATCH($H$1,Database!$F$1:$AY$1,),))))-(((VLOOKUP(EDATE(B108,-12),Database!$F:$AY,MATCH($H$1,Database!$F$1:$AY$1,),)))))/(((VLOOKUP(EDATE(B108,-12),Database!$F:$AY,MATCH($H$1,Database!$F$1:$AY$1,),))))</f>
        <v>2.0459617138694115E-2</v>
      </c>
      <c r="I108" s="13">
        <f>((((VLOOKUP(B108,Database!$F:$AY,MATCH($I$1,Database!$F$1:$AY$1,),))))-(((VLOOKUP(EDATE(B108,-12),Database!$F:$AY,MATCH($I$1,Database!$F$1:$AY$1,),)))))/(((VLOOKUP(EDATE(B108,-12),Database!$F:$AY,MATCH($I$1,Database!$F$1:$AY$1,),))))</f>
        <v>-3.4942174889757822E-2</v>
      </c>
      <c r="J108" s="13">
        <f>((((VLOOKUP(B108,Database!$F:$AY,MATCH($J$1,Database!$F$1:$AY$1,),))))-(((VLOOKUP(EDATE(B108,-12),Database!$F:$AY,MATCH($J$1,Database!$F$1:$AY$1,),)))))/(((VLOOKUP(EDATE(B108,-12),Database!$F:$AY,MATCH($J$1,Database!$F$1:$AY$1,),))))</f>
        <v>5.4234472177755504E-2</v>
      </c>
      <c r="K108" s="13">
        <f>((((VLOOKUP(B108,Database!$F:$AY,MATCH($K$1,Database!$F$1:$AY$1,),))))-(((VLOOKUP(EDATE(B108,-12),Database!$F:$AY,MATCH($K$1,Database!$F$1:$AY$1,),)))))/(((VLOOKUP(EDATE(B108,-12),Database!$F:$AY,MATCH($K$1,Database!$F$1:$AY$1,),))))</f>
        <v>5.0480658461237324E-2</v>
      </c>
      <c r="L108" s="13">
        <f>((((VLOOKUP(B108,Database!$F:$AY,MATCH($L$1,Database!$F$1:$AY$1,),))))-(((VLOOKUP(EDATE(B108,-12),Database!$F:$AY,MATCH($L$1,Database!$F$1:$AY$1,),)))))/(((VLOOKUP(EDATE(B108,-12),Database!$F:$AY,MATCH($L$1,Database!$F$1:$AY$1,),))))</f>
        <v>6.1111645452997708E-2</v>
      </c>
      <c r="M108" s="13">
        <f>((((VLOOKUP(B108,Database!$F:$AY,MATCH($M$1,Database!$F$1:$AY$1,),))))-(((VLOOKUP(EDATE(B108,-12),Database!$F:$AY,MATCH($M$1,Database!$F$1:$AY$1,),)))))/(((VLOOKUP(EDATE(B108,-12),Database!$F:$AY,MATCH($M$1,Database!$F$1:$AY$1,),))))</f>
        <v>-9.630353485516675E-3</v>
      </c>
      <c r="N108" s="13">
        <f>((((VLOOKUP(B108,Database!$F:$AY,MATCH($N$1,Database!$F$1:$AY$1,),))))-(((VLOOKUP(EDATE(B108,-12),Database!$F:$AY,MATCH($N$1,Database!$F$1:$AY$1,),)))))/(((VLOOKUP(EDATE(B108,-12),Database!$F:$AY,MATCH($N$1,Database!$F$1:$AY$1,),))))</f>
        <v>1.604807097687239E-2</v>
      </c>
      <c r="O108" s="13">
        <f>((((VLOOKUP(B108,Database!$F:$AY,MATCH($O$1,Database!$F$1:$AY$1,),))))-(((VLOOKUP(EDATE(B108,-12),Database!$F:$AY,MATCH($O$1,Database!$F$1:$AY$1,),)))))/(((VLOOKUP(EDATE(B108,-12),Database!$F:$AY,MATCH($O$1,Database!$F$1:$AY$1,),))))</f>
        <v>3.9892446077957118E-2</v>
      </c>
      <c r="P108" s="13">
        <f>((((VLOOKUP(B108,Database!$F:$AY,MATCH($P$1,Database!$F$1:$AY$1,),))))-(((VLOOKUP(EDATE(B108,-12),Database!$F:$AY,MATCH($P$1,Database!$F$1:$AY$1,),)))))/(((VLOOKUP(EDATE(B108,-12),Database!$F:$AY,MATCH($P$1,Database!$F$1:$AY$1,),))))</f>
        <v>2.5145809606023889E-2</v>
      </c>
      <c r="Q108" s="13">
        <f>((((VLOOKUP(B108,Database!$F:$AY,MATCH($Q$1,Database!$F$1:$AY$1,),))))-(((VLOOKUP(EDATE(B108,-12),Database!$F:$AY,MATCH($Q$1,Database!$F$1:$AY$1,),)))))/(((VLOOKUP(EDATE(B108,-12),Database!$F:$AY,MATCH($Q$1,Database!$F$1:$AY$1,),))))</f>
        <v>6.8509161913208799E-2</v>
      </c>
      <c r="R108" s="13">
        <f>((((VLOOKUP(B108,Database!$F:$AY,MATCH($R$1,Database!$F$1:$AY$1,),))))-(((VLOOKUP(EDATE(B108,-12),Database!$F:$AY,MATCH($R$1,Database!$F$1:$AY$1,),)))))/(((VLOOKUP(EDATE(B108,-12),Database!$F:$AY,MATCH($R$1,Database!$F$1:$AY$1,),))))</f>
        <v>2.354450770095522E-2</v>
      </c>
      <c r="S108" s="13">
        <f>((((VLOOKUP(B108,Database!$F:$AY,MATCH($S$1,Database!$F$1:$AY$1,),))))-(((VLOOKUP(EDATE(B108,-12),Database!$F:$AY,MATCH($S$1,Database!$F$1:$AY$1,),)))))/(((VLOOKUP(EDATE(B108,-12),Database!$F:$AY,MATCH($S$1,Database!$F$1:$AY$1,),))))</f>
        <v>0.13930365967489938</v>
      </c>
      <c r="T108" s="13">
        <f>((((VLOOKUP(B108,Database!$F:$AY,MATCH($T$1,Database!$F$1:$AY$1,),))))-(((VLOOKUP(EDATE(B108,-12),Database!$F:$AY,MATCH($T$1,Database!$F$1:$AY$1,),)))))/(((VLOOKUP(EDATE(B108,-12),Database!$F:$AY,MATCH($T$1,Database!$F$1:$AY$1,),))))</f>
        <v>0</v>
      </c>
      <c r="U108" s="13">
        <f>((((VLOOKUP(B108,Database!$F:$AY,MATCH($U$1,Database!$F$1:$AY$1,),))))-(((VLOOKUP(EDATE(B108,-12),Database!$F:$AY,MATCH($U$1,Database!$F$1:$AY$1,),)))))/(((VLOOKUP(EDATE(B108,-12),Database!$F:$AY,MATCH($U$1,Database!$F$1:$AY$1,),))))</f>
        <v>-1.5676903012637428E-2</v>
      </c>
      <c r="V108" s="13">
        <f>((((VLOOKUP(B108,Database!$F:$AY,MATCH($V$1,Database!$F$1:$AY$1,),))))-(((VLOOKUP(EDATE(B108,-12),Database!$F:$AY,MATCH($V$1,Database!$F$1:$AY$1,),)))))/(((VLOOKUP(EDATE(B108,-12),Database!$F:$AY,MATCH($V$1,Database!$F$1:$AY$1,),))))</f>
        <v>9.7201110128710438E-2</v>
      </c>
    </row>
    <row r="109" spans="1:22" s="85" customFormat="1" x14ac:dyDescent="0.2">
      <c r="A109" s="44"/>
      <c r="B109" s="91">
        <v>35462</v>
      </c>
      <c r="C109" s="13">
        <f>((((VLOOKUP(B109,Database!$F:$AY,MATCH($C$1,Database!$F$1:$AY$1,),))))-(((VLOOKUP(EDATE(B109,-12),Database!$F:$AY,MATCH($C$1,Database!$F$1:$AY$1,),)))))/(((VLOOKUP(EDATE(B109,-12),Database!$F:$AY,MATCH($C$1,Database!$F$1:$AY$1,),))))</f>
        <v>6.5387317843054321E-2</v>
      </c>
      <c r="D109" s="13">
        <f>((((VLOOKUP(B109,Database!$F:$AY,MATCH($D$1,Database!$F$1:$AY$1,),))))-(((VLOOKUP(EDATE(B109,-12),Database!$F:$AY,MATCH($D$1,Database!$F$1:$AY$1,),)))))/(((VLOOKUP(EDATE(B109,-12),Database!$F:$AY,MATCH($D$1,Database!$F$1:$AY$1,),))))</f>
        <v>1.8382352941176544E-2</v>
      </c>
      <c r="E109" s="13">
        <f>((((VLOOKUP(B109,Database!$F:$AY,MATCH($E$1,Database!$F$1:$AY$1,),))))-(((VLOOKUP(EDATE(B109,-12),Database!$F:$AY,MATCH($E$1,Database!$F$1:$AY$1,),)))))/(((VLOOKUP(EDATE(B109,-12),Database!$F:$AY,MATCH($E$1,Database!$F$1:$AY$1,),))))</f>
        <v>6.4741425201196703E-2</v>
      </c>
      <c r="F109" s="13">
        <f>((((VLOOKUP(B109,Database!$F:$AY,MATCH($F$1,Database!$F$1:$AY$1,),))))-(((VLOOKUP(EDATE(B109,-12),Database!$F:$AY,MATCH($F$1,Database!$F$1:$AY$1,),)))))/(((VLOOKUP(EDATE(B109,-12),Database!$F:$AY,MATCH($F$1,Database!$F$1:$AY$1,),))))</f>
        <v>2.7656600761606472E-2</v>
      </c>
      <c r="G109" s="13">
        <f>((((VLOOKUP(B109,Database!$F:$AY,MATCH($G$1,Database!$F$1:$AY$1,),))))-(((VLOOKUP(EDATE(B109,-12),Database!$F:$AY,MATCH($G$1,Database!$F$1:$AY$1,),)))))/(((VLOOKUP(EDATE(B109,-12),Database!$F:$AY,MATCH($G$1,Database!$F$1:$AY$1,),))))</f>
        <v>1.667910820373791E-2</v>
      </c>
      <c r="H109" s="13">
        <f>((((VLOOKUP(B109,Database!$F:$AY,MATCH($H$1,Database!$F$1:$AY$1,),))))-(((VLOOKUP(EDATE(B109,-12),Database!$F:$AY,MATCH($H$1,Database!$F$1:$AY$1,),)))))/(((VLOOKUP(EDATE(B109,-12),Database!$F:$AY,MATCH($H$1,Database!$F$1:$AY$1,),))))</f>
        <v>1.4864395488011098E-2</v>
      </c>
      <c r="I109" s="13">
        <f>((((VLOOKUP(B109,Database!$F:$AY,MATCH($I$1,Database!$F$1:$AY$1,),))))-(((VLOOKUP(EDATE(B109,-12),Database!$F:$AY,MATCH($I$1,Database!$F$1:$AY$1,),)))))/(((VLOOKUP(EDATE(B109,-12),Database!$F:$AY,MATCH($I$1,Database!$F$1:$AY$1,),))))</f>
        <v>-7.5691752298972107E-3</v>
      </c>
      <c r="J109" s="13">
        <f>((((VLOOKUP(B109,Database!$F:$AY,MATCH($J$1,Database!$F$1:$AY$1,),))))-(((VLOOKUP(EDATE(B109,-12),Database!$F:$AY,MATCH($J$1,Database!$F$1:$AY$1,),)))))/(((VLOOKUP(EDATE(B109,-12),Database!$F:$AY,MATCH($J$1,Database!$F$1:$AY$1,),))))</f>
        <v>3.8104723144288137E-2</v>
      </c>
      <c r="K109" s="13">
        <f>((((VLOOKUP(B109,Database!$F:$AY,MATCH($K$1,Database!$F$1:$AY$1,),))))-(((VLOOKUP(EDATE(B109,-12),Database!$F:$AY,MATCH($K$1,Database!$F$1:$AY$1,),)))))/(((VLOOKUP(EDATE(B109,-12),Database!$F:$AY,MATCH($K$1,Database!$F$1:$AY$1,),))))</f>
        <v>3.0989200511885577E-2</v>
      </c>
      <c r="L109" s="13">
        <f>((((VLOOKUP(B109,Database!$F:$AY,MATCH($L$1,Database!$F$1:$AY$1,),))))-(((VLOOKUP(EDATE(B109,-12),Database!$F:$AY,MATCH($L$1,Database!$F$1:$AY$1,),)))))/(((VLOOKUP(EDATE(B109,-12),Database!$F:$AY,MATCH($L$1,Database!$F$1:$AY$1,),))))</f>
        <v>6.978612931141058E-2</v>
      </c>
      <c r="M109" s="13">
        <f>((((VLOOKUP(B109,Database!$F:$AY,MATCH($M$1,Database!$F$1:$AY$1,),))))-(((VLOOKUP(EDATE(B109,-12),Database!$F:$AY,MATCH($M$1,Database!$F$1:$AY$1,),)))))/(((VLOOKUP(EDATE(B109,-12),Database!$F:$AY,MATCH($M$1,Database!$F$1:$AY$1,),))))</f>
        <v>5.1398804538371222E-2</v>
      </c>
      <c r="N109" s="13">
        <f>((((VLOOKUP(B109,Database!$F:$AY,MATCH($N$1,Database!$F$1:$AY$1,),))))-(((VLOOKUP(EDATE(B109,-12),Database!$F:$AY,MATCH($N$1,Database!$F$1:$AY$1,),)))))/(((VLOOKUP(EDATE(B109,-12),Database!$F:$AY,MATCH($N$1,Database!$F$1:$AY$1,),))))</f>
        <v>5.9939700220884178E-2</v>
      </c>
      <c r="O109" s="13">
        <f>((((VLOOKUP(B109,Database!$F:$AY,MATCH($O$1,Database!$F$1:$AY$1,),))))-(((VLOOKUP(EDATE(B109,-12),Database!$F:$AY,MATCH($O$1,Database!$F$1:$AY$1,),)))))/(((VLOOKUP(EDATE(B109,-12),Database!$F:$AY,MATCH($O$1,Database!$F$1:$AY$1,),))))</f>
        <v>5.1608723817749801E-2</v>
      </c>
      <c r="P109" s="13">
        <f>((((VLOOKUP(B109,Database!$F:$AY,MATCH($P$1,Database!$F$1:$AY$1,),))))-(((VLOOKUP(EDATE(B109,-12),Database!$F:$AY,MATCH($P$1,Database!$F$1:$AY$1,),)))))/(((VLOOKUP(EDATE(B109,-12),Database!$F:$AY,MATCH($P$1,Database!$F$1:$AY$1,),))))</f>
        <v>4.6443592825985001E-2</v>
      </c>
      <c r="Q109" s="13">
        <f>((((VLOOKUP(B109,Database!$F:$AY,MATCH($Q$1,Database!$F$1:$AY$1,),))))-(((VLOOKUP(EDATE(B109,-12),Database!$F:$AY,MATCH($Q$1,Database!$F$1:$AY$1,),)))))/(((VLOOKUP(EDATE(B109,-12),Database!$F:$AY,MATCH($Q$1,Database!$F$1:$AY$1,),))))</f>
        <v>7.9114748285094072E-2</v>
      </c>
      <c r="R109" s="13">
        <f>((((VLOOKUP(B109,Database!$F:$AY,MATCH($R$1,Database!$F$1:$AY$1,),))))-(((VLOOKUP(EDATE(B109,-12),Database!$F:$AY,MATCH($R$1,Database!$F$1:$AY$1,),)))))/(((VLOOKUP(EDATE(B109,-12),Database!$F:$AY,MATCH($R$1,Database!$F$1:$AY$1,),))))</f>
        <v>3.3375071533732106E-2</v>
      </c>
      <c r="S109" s="13">
        <f>((((VLOOKUP(B109,Database!$F:$AY,MATCH($S$1,Database!$F$1:$AY$1,),))))-(((VLOOKUP(EDATE(B109,-12),Database!$F:$AY,MATCH($S$1,Database!$F$1:$AY$1,),)))))/(((VLOOKUP(EDATE(B109,-12),Database!$F:$AY,MATCH($S$1,Database!$F$1:$AY$1,),))))</f>
        <v>0.12435220054471198</v>
      </c>
      <c r="T109" s="13">
        <f>((((VLOOKUP(B109,Database!$F:$AY,MATCH($T$1,Database!$F$1:$AY$1,),))))-(((VLOOKUP(EDATE(B109,-12),Database!$F:$AY,MATCH($T$1,Database!$F$1:$AY$1,),)))))/(((VLOOKUP(EDATE(B109,-12),Database!$F:$AY,MATCH($T$1,Database!$F$1:$AY$1,),))))</f>
        <v>9.6685137820889833E-2</v>
      </c>
      <c r="U109" s="13">
        <f>((((VLOOKUP(B109,Database!$F:$AY,MATCH($U$1,Database!$F$1:$AY$1,),))))-(((VLOOKUP(EDATE(B109,-12),Database!$F:$AY,MATCH($U$1,Database!$F$1:$AY$1,),)))))/(((VLOOKUP(EDATE(B109,-12),Database!$F:$AY,MATCH($U$1,Database!$F$1:$AY$1,),))))</f>
        <v>-2.4958822611649237E-2</v>
      </c>
      <c r="V109" s="13">
        <f>((((VLOOKUP(B109,Database!$F:$AY,MATCH($V$1,Database!$F$1:$AY$1,),))))-(((VLOOKUP(EDATE(B109,-12),Database!$F:$AY,MATCH($V$1,Database!$F$1:$AY$1,),)))))/(((VLOOKUP(EDATE(B109,-12),Database!$F:$AY,MATCH($V$1,Database!$F$1:$AY$1,),))))</f>
        <v>0.1359708118630947</v>
      </c>
    </row>
    <row r="110" spans="1:22" s="85" customFormat="1" x14ac:dyDescent="0.2">
      <c r="A110" s="44"/>
      <c r="B110" s="91">
        <v>35490</v>
      </c>
      <c r="C110" s="13">
        <f>((((VLOOKUP(B110,Database!$F:$AY,MATCH($C$1,Database!$F$1:$AY$1,),))))-(((VLOOKUP(EDATE(B110,-12),Database!$F:$AY,MATCH($C$1,Database!$F$1:$AY$1,),)))))/(((VLOOKUP(EDATE(B110,-12),Database!$F:$AY,MATCH($C$1,Database!$F$1:$AY$1,),))))</f>
        <v>7.3530620226303856E-2</v>
      </c>
      <c r="D110" s="13">
        <f>((((VLOOKUP(B110,Database!$F:$AY,MATCH($D$1,Database!$F$1:$AY$1,),))))-(((VLOOKUP(EDATE(B110,-12),Database!$F:$AY,MATCH($D$1,Database!$F$1:$AY$1,),)))))/(((VLOOKUP(EDATE(B110,-12),Database!$F:$AY,MATCH($D$1,Database!$F$1:$AY$1,),))))</f>
        <v>2.9411764705882436E-2</v>
      </c>
      <c r="E110" s="13">
        <f>((((VLOOKUP(B110,Database!$F:$AY,MATCH($E$1,Database!$F$1:$AY$1,),))))-(((VLOOKUP(EDATE(B110,-12),Database!$F:$AY,MATCH($E$1,Database!$F$1:$AY$1,),)))))/(((VLOOKUP(EDATE(B110,-12),Database!$F:$AY,MATCH($E$1,Database!$F$1:$AY$1,),))))</f>
        <v>6.9790511471335512E-2</v>
      </c>
      <c r="F110" s="13">
        <f>((((VLOOKUP(B110,Database!$F:$AY,MATCH($F$1,Database!$F$1:$AY$1,),))))-(((VLOOKUP(EDATE(B110,-12),Database!$F:$AY,MATCH($F$1,Database!$F$1:$AY$1,),)))))/(((VLOOKUP(EDATE(B110,-12),Database!$F:$AY,MATCH($F$1,Database!$F$1:$AY$1,),))))</f>
        <v>3.7790647389673526E-2</v>
      </c>
      <c r="G110" s="13">
        <f>((((VLOOKUP(B110,Database!$F:$AY,MATCH($G$1,Database!$F$1:$AY$1,),))))-(((VLOOKUP(EDATE(B110,-12),Database!$F:$AY,MATCH($G$1,Database!$F$1:$AY$1,),)))))/(((VLOOKUP(EDATE(B110,-12),Database!$F:$AY,MATCH($G$1,Database!$F$1:$AY$1,),))))</f>
        <v>1.3166166900914664E-2</v>
      </c>
      <c r="H110" s="13">
        <f>((((VLOOKUP(B110,Database!$F:$AY,MATCH($H$1,Database!$F$1:$AY$1,),))))-(((VLOOKUP(EDATE(B110,-12),Database!$F:$AY,MATCH($H$1,Database!$F$1:$AY$1,),)))))/(((VLOOKUP(EDATE(B110,-12),Database!$F:$AY,MATCH($H$1,Database!$F$1:$AY$1,),))))</f>
        <v>6.0490962858738935E-3</v>
      </c>
      <c r="I110" s="13">
        <f>((((VLOOKUP(B110,Database!$F:$AY,MATCH($I$1,Database!$F$1:$AY$1,),))))-(((VLOOKUP(EDATE(B110,-12),Database!$F:$AY,MATCH($I$1,Database!$F$1:$AY$1,),)))))/(((VLOOKUP(EDATE(B110,-12),Database!$F:$AY,MATCH($I$1,Database!$F$1:$AY$1,),))))</f>
        <v>7.64634608489069E-3</v>
      </c>
      <c r="J110" s="13">
        <f>((((VLOOKUP(B110,Database!$F:$AY,MATCH($J$1,Database!$F$1:$AY$1,),))))-(((VLOOKUP(EDATE(B110,-12),Database!$F:$AY,MATCH($J$1,Database!$F$1:$AY$1,),)))))/(((VLOOKUP(EDATE(B110,-12),Database!$F:$AY,MATCH($J$1,Database!$F$1:$AY$1,),))))</f>
        <v>7.4826453467544574E-2</v>
      </c>
      <c r="K110" s="13">
        <f>((((VLOOKUP(B110,Database!$F:$AY,MATCH($K$1,Database!$F$1:$AY$1,),))))-(((VLOOKUP(EDATE(B110,-12),Database!$F:$AY,MATCH($K$1,Database!$F$1:$AY$1,),)))))/(((VLOOKUP(EDATE(B110,-12),Database!$F:$AY,MATCH($K$1,Database!$F$1:$AY$1,),))))</f>
        <v>5.0970883973468301E-2</v>
      </c>
      <c r="L110" s="13">
        <f>((((VLOOKUP(B110,Database!$F:$AY,MATCH($L$1,Database!$F$1:$AY$1,),))))-(((VLOOKUP(EDATE(B110,-12),Database!$F:$AY,MATCH($L$1,Database!$F$1:$AY$1,),)))))/(((VLOOKUP(EDATE(B110,-12),Database!$F:$AY,MATCH($L$1,Database!$F$1:$AY$1,),))))</f>
        <v>7.1649007160236283E-2</v>
      </c>
      <c r="M110" s="13">
        <f>((((VLOOKUP(B110,Database!$F:$AY,MATCH($M$1,Database!$F$1:$AY$1,),))))-(((VLOOKUP(EDATE(B110,-12),Database!$F:$AY,MATCH($M$1,Database!$F$1:$AY$1,),)))))/(((VLOOKUP(EDATE(B110,-12),Database!$F:$AY,MATCH($M$1,Database!$F$1:$AY$1,),))))</f>
        <v>1.287975096304904E-3</v>
      </c>
      <c r="N110" s="13">
        <f>((((VLOOKUP(B110,Database!$F:$AY,MATCH($N$1,Database!$F$1:$AY$1,),))))-(((VLOOKUP(EDATE(B110,-12),Database!$F:$AY,MATCH($N$1,Database!$F$1:$AY$1,),)))))/(((VLOOKUP(EDATE(B110,-12),Database!$F:$AY,MATCH($N$1,Database!$F$1:$AY$1,),))))</f>
        <v>3.2298089744755773E-2</v>
      </c>
      <c r="O110" s="13">
        <f>((((VLOOKUP(B110,Database!$F:$AY,MATCH($O$1,Database!$F$1:$AY$1,),))))-(((VLOOKUP(EDATE(B110,-12),Database!$F:$AY,MATCH($O$1,Database!$F$1:$AY$1,),)))))/(((VLOOKUP(EDATE(B110,-12),Database!$F:$AY,MATCH($O$1,Database!$F$1:$AY$1,),))))</f>
        <v>5.1939502809551112E-2</v>
      </c>
      <c r="P110" s="13">
        <f>((((VLOOKUP(B110,Database!$F:$AY,MATCH($P$1,Database!$F$1:$AY$1,),))))-(((VLOOKUP(EDATE(B110,-12),Database!$F:$AY,MATCH($P$1,Database!$F$1:$AY$1,),)))))/(((VLOOKUP(EDATE(B110,-12),Database!$F:$AY,MATCH($P$1,Database!$F$1:$AY$1,),))))</f>
        <v>6.2851275367957732E-2</v>
      </c>
      <c r="Q110" s="13">
        <f>((((VLOOKUP(B110,Database!$F:$AY,MATCH($Q$1,Database!$F$1:$AY$1,),))))-(((VLOOKUP(EDATE(B110,-12),Database!$F:$AY,MATCH($Q$1,Database!$F$1:$AY$1,),)))))/(((VLOOKUP(EDATE(B110,-12),Database!$F:$AY,MATCH($Q$1,Database!$F$1:$AY$1,),))))</f>
        <v>9.4339655592804952E-2</v>
      </c>
      <c r="R110" s="13">
        <f>((((VLOOKUP(B110,Database!$F:$AY,MATCH($R$1,Database!$F$1:$AY$1,),))))-(((VLOOKUP(EDATE(B110,-12),Database!$F:$AY,MATCH($R$1,Database!$F$1:$AY$1,),)))))/(((VLOOKUP(EDATE(B110,-12),Database!$F:$AY,MATCH($R$1,Database!$F$1:$AY$1,),))))</f>
        <v>3.1780371596627839E-2</v>
      </c>
      <c r="S110" s="13">
        <f>((((VLOOKUP(B110,Database!$F:$AY,MATCH($S$1,Database!$F$1:$AY$1,),))))-(((VLOOKUP(EDATE(B110,-12),Database!$F:$AY,MATCH($S$1,Database!$F$1:$AY$1,),)))))/(((VLOOKUP(EDATE(B110,-12),Database!$F:$AY,MATCH($S$1,Database!$F$1:$AY$1,),))))</f>
        <v>0.17391296860146319</v>
      </c>
      <c r="T110" s="13">
        <f>((((VLOOKUP(B110,Database!$F:$AY,MATCH($T$1,Database!$F$1:$AY$1,),))))-(((VLOOKUP(EDATE(B110,-12),Database!$F:$AY,MATCH($T$1,Database!$F$1:$AY$1,),)))))/(((VLOOKUP(EDATE(B110,-12),Database!$F:$AY,MATCH($T$1,Database!$F$1:$AY$1,),))))</f>
        <v>0.14049602487480348</v>
      </c>
      <c r="U110" s="13">
        <f>((((VLOOKUP(B110,Database!$F:$AY,MATCH($U$1,Database!$F$1:$AY$1,),))))-(((VLOOKUP(EDATE(B110,-12),Database!$F:$AY,MATCH($U$1,Database!$F$1:$AY$1,),)))))/(((VLOOKUP(EDATE(B110,-12),Database!$F:$AY,MATCH($U$1,Database!$F$1:$AY$1,),))))</f>
        <v>7.5258769113744914E-3</v>
      </c>
      <c r="V110" s="13">
        <f>((((VLOOKUP(B110,Database!$F:$AY,MATCH($V$1,Database!$F$1:$AY$1,),))))-(((VLOOKUP(EDATE(B110,-12),Database!$F:$AY,MATCH($V$1,Database!$F$1:$AY$1,),)))))/(((VLOOKUP(EDATE(B110,-12),Database!$F:$AY,MATCH($V$1,Database!$F$1:$AY$1,),))))</f>
        <v>5.8926917739060135E-2</v>
      </c>
    </row>
    <row r="111" spans="1:22" s="85" customFormat="1" x14ac:dyDescent="0.2">
      <c r="A111" s="44"/>
      <c r="B111" s="91">
        <v>35521</v>
      </c>
      <c r="C111" s="13">
        <f>((((VLOOKUP(B111,Database!$F:$AY,MATCH($C$1,Database!$F$1:$AY$1,),))))-(((VLOOKUP(EDATE(B111,-12),Database!$F:$AY,MATCH($C$1,Database!$F$1:$AY$1,),)))))/(((VLOOKUP(EDATE(B111,-12),Database!$F:$AY,MATCH($C$1,Database!$F$1:$AY$1,),))))</f>
        <v>6.4048446482838098E-2</v>
      </c>
      <c r="D111" s="13">
        <f>((((VLOOKUP(B111,Database!$F:$AY,MATCH($D$1,Database!$F$1:$AY$1,),))))-(((VLOOKUP(EDATE(B111,-12),Database!$F:$AY,MATCH($D$1,Database!$F$1:$AY$1,),)))))/(((VLOOKUP(EDATE(B111,-12),Database!$F:$AY,MATCH($D$1,Database!$F$1:$AY$1,),))))</f>
        <v>4.814814814814812E-2</v>
      </c>
      <c r="E111" s="13">
        <f>((((VLOOKUP(B111,Database!$F:$AY,MATCH($E$1,Database!$F$1:$AY$1,),))))-(((VLOOKUP(EDATE(B111,-12),Database!$F:$AY,MATCH($E$1,Database!$F$1:$AY$1,),)))))/(((VLOOKUP(EDATE(B111,-12),Database!$F:$AY,MATCH($E$1,Database!$F$1:$AY$1,),))))</f>
        <v>3.9761337872370565E-2</v>
      </c>
      <c r="F111" s="13">
        <f>((((VLOOKUP(B111,Database!$F:$AY,MATCH($F$1,Database!$F$1:$AY$1,),))))-(((VLOOKUP(EDATE(B111,-12),Database!$F:$AY,MATCH($F$1,Database!$F$1:$AY$1,),)))))/(((VLOOKUP(EDATE(B111,-12),Database!$F:$AY,MATCH($F$1,Database!$F$1:$AY$1,),))))</f>
        <v>3.3430255165146867E-2</v>
      </c>
      <c r="G111" s="13">
        <f>((((VLOOKUP(B111,Database!$F:$AY,MATCH($G$1,Database!$F$1:$AY$1,),))))-(((VLOOKUP(EDATE(B111,-12),Database!$F:$AY,MATCH($G$1,Database!$F$1:$AY$1,),)))))/(((VLOOKUP(EDATE(B111,-12),Database!$F:$AY,MATCH($G$1,Database!$F$1:$AY$1,),))))</f>
        <v>5.9082070726837195E-2</v>
      </c>
      <c r="H111" s="13">
        <f>((((VLOOKUP(B111,Database!$F:$AY,MATCH($H$1,Database!$F$1:$AY$1,),))))-(((VLOOKUP(EDATE(B111,-12),Database!$F:$AY,MATCH($H$1,Database!$F$1:$AY$1,),)))))/(((VLOOKUP(EDATE(B111,-12),Database!$F:$AY,MATCH($H$1,Database!$F$1:$AY$1,),))))</f>
        <v>2.0300247503135822E-2</v>
      </c>
      <c r="I111" s="13">
        <f>((((VLOOKUP(B111,Database!$F:$AY,MATCH($I$1,Database!$F$1:$AY$1,),))))-(((VLOOKUP(EDATE(B111,-12),Database!$F:$AY,MATCH($I$1,Database!$F$1:$AY$1,),)))))/(((VLOOKUP(EDATE(B111,-12),Database!$F:$AY,MATCH($I$1,Database!$F$1:$AY$1,),))))</f>
        <v>3.6941222765127318E-2</v>
      </c>
      <c r="J111" s="13">
        <f>((((VLOOKUP(B111,Database!$F:$AY,MATCH($J$1,Database!$F$1:$AY$1,),))))-(((VLOOKUP(EDATE(B111,-12),Database!$F:$AY,MATCH($J$1,Database!$F$1:$AY$1,),)))))/(((VLOOKUP(EDATE(B111,-12),Database!$F:$AY,MATCH($J$1,Database!$F$1:$AY$1,),))))</f>
        <v>8.5064119358736701E-2</v>
      </c>
      <c r="K111" s="13">
        <f>((((VLOOKUP(B111,Database!$F:$AY,MATCH($K$1,Database!$F$1:$AY$1,),))))-(((VLOOKUP(EDATE(B111,-12),Database!$F:$AY,MATCH($K$1,Database!$F$1:$AY$1,),)))))/(((VLOOKUP(EDATE(B111,-12),Database!$F:$AY,MATCH($K$1,Database!$F$1:$AY$1,),))))</f>
        <v>7.1601876113797175E-2</v>
      </c>
      <c r="L111" s="13">
        <f>((((VLOOKUP(B111,Database!$F:$AY,MATCH($L$1,Database!$F$1:$AY$1,),))))-(((VLOOKUP(EDATE(B111,-12),Database!$F:$AY,MATCH($L$1,Database!$F$1:$AY$1,),)))))/(((VLOOKUP(EDATE(B111,-12),Database!$F:$AY,MATCH($L$1,Database!$F$1:$AY$1,),))))</f>
        <v>7.6070711550600981E-2</v>
      </c>
      <c r="M111" s="13">
        <f>((((VLOOKUP(B111,Database!$F:$AY,MATCH($M$1,Database!$F$1:$AY$1,),))))-(((VLOOKUP(EDATE(B111,-12),Database!$F:$AY,MATCH($M$1,Database!$F$1:$AY$1,),)))))/(((VLOOKUP(EDATE(B111,-12),Database!$F:$AY,MATCH($M$1,Database!$F$1:$AY$1,),))))</f>
        <v>-6.8618910383077712E-3</v>
      </c>
      <c r="N111" s="13">
        <f>((((VLOOKUP(B111,Database!$F:$AY,MATCH($N$1,Database!$F$1:$AY$1,),))))-(((VLOOKUP(EDATE(B111,-12),Database!$F:$AY,MATCH($N$1,Database!$F$1:$AY$1,),)))))/(((VLOOKUP(EDATE(B111,-12),Database!$F:$AY,MATCH($N$1,Database!$F$1:$AY$1,),))))</f>
        <v>4.3331842199698843E-2</v>
      </c>
      <c r="O111" s="13">
        <f>((((VLOOKUP(B111,Database!$F:$AY,MATCH($O$1,Database!$F$1:$AY$1,),))))-(((VLOOKUP(EDATE(B111,-12),Database!$F:$AY,MATCH($O$1,Database!$F$1:$AY$1,),)))))/(((VLOOKUP(EDATE(B111,-12),Database!$F:$AY,MATCH($O$1,Database!$F$1:$AY$1,),))))</f>
        <v>6.1051497711327639E-2</v>
      </c>
      <c r="P111" s="13">
        <f>((((VLOOKUP(B111,Database!$F:$AY,MATCH($P$1,Database!$F$1:$AY$1,),))))-(((VLOOKUP(EDATE(B111,-12),Database!$F:$AY,MATCH($P$1,Database!$F$1:$AY$1,),)))))/(((VLOOKUP(EDATE(B111,-12),Database!$F:$AY,MATCH($P$1,Database!$F$1:$AY$1,),))))</f>
        <v>5.039738691909617E-2</v>
      </c>
      <c r="Q111" s="13">
        <f>((((VLOOKUP(B111,Database!$F:$AY,MATCH($Q$1,Database!$F$1:$AY$1,),))))-(((VLOOKUP(EDATE(B111,-12),Database!$F:$AY,MATCH($Q$1,Database!$F$1:$AY$1,),)))))/(((VLOOKUP(EDATE(B111,-12),Database!$F:$AY,MATCH($Q$1,Database!$F$1:$AY$1,),))))</f>
        <v>4.5856785218677414E-2</v>
      </c>
      <c r="R111" s="13">
        <f>((((VLOOKUP(B111,Database!$F:$AY,MATCH($R$1,Database!$F$1:$AY$1,),))))-(((VLOOKUP(EDATE(B111,-12),Database!$F:$AY,MATCH($R$1,Database!$F$1:$AY$1,),)))))/(((VLOOKUP(EDATE(B111,-12),Database!$F:$AY,MATCH($R$1,Database!$F$1:$AY$1,),))))</f>
        <v>2.9243012536451785E-2</v>
      </c>
      <c r="S111" s="13">
        <f>((((VLOOKUP(B111,Database!$F:$AY,MATCH($S$1,Database!$F$1:$AY$1,),))))-(((VLOOKUP(EDATE(B111,-12),Database!$F:$AY,MATCH($S$1,Database!$F$1:$AY$1,),)))))/(((VLOOKUP(EDATE(B111,-12),Database!$F:$AY,MATCH($S$1,Database!$F$1:$AY$1,),))))</f>
        <v>0.17302788518665588</v>
      </c>
      <c r="T111" s="13">
        <f>((((VLOOKUP(B111,Database!$F:$AY,MATCH($T$1,Database!$F$1:$AY$1,),))))-(((VLOOKUP(EDATE(B111,-12),Database!$F:$AY,MATCH($T$1,Database!$F$1:$AY$1,),)))))/(((VLOOKUP(EDATE(B111,-12),Database!$F:$AY,MATCH($T$1,Database!$F$1:$AY$1,),))))</f>
        <v>0.10290251113285445</v>
      </c>
      <c r="U111" s="13">
        <f>((((VLOOKUP(B111,Database!$F:$AY,MATCH($U$1,Database!$F$1:$AY$1,),))))-(((VLOOKUP(EDATE(B111,-12),Database!$F:$AY,MATCH($U$1,Database!$F$1:$AY$1,),)))))/(((VLOOKUP(EDATE(B111,-12),Database!$F:$AY,MATCH($U$1,Database!$F$1:$AY$1,),))))</f>
        <v>9.0397141612961543E-2</v>
      </c>
      <c r="V111" s="13">
        <f>((((VLOOKUP(B111,Database!$F:$AY,MATCH($V$1,Database!$F$1:$AY$1,),))))-(((VLOOKUP(EDATE(B111,-12),Database!$F:$AY,MATCH($V$1,Database!$F$1:$AY$1,),)))))/(((VLOOKUP(EDATE(B111,-12),Database!$F:$AY,MATCH($V$1,Database!$F$1:$AY$1,),))))</f>
        <v>0.15050249734664758</v>
      </c>
    </row>
    <row r="112" spans="1:22" s="85" customFormat="1" x14ac:dyDescent="0.2">
      <c r="A112" s="44"/>
      <c r="B112" s="91">
        <v>35551</v>
      </c>
      <c r="C112" s="13">
        <f>((((VLOOKUP(B112,Database!$F:$AY,MATCH($C$1,Database!$F$1:$AY$1,),))))-(((VLOOKUP(EDATE(B112,-12),Database!$F:$AY,MATCH($C$1,Database!$F$1:$AY$1,),)))))/(((VLOOKUP(EDATE(B112,-12),Database!$F:$AY,MATCH($C$1,Database!$F$1:$AY$1,),))))</f>
        <v>6.2495961457092769E-2</v>
      </c>
      <c r="D112" s="13">
        <f>((((VLOOKUP(B112,Database!$F:$AY,MATCH($D$1,Database!$F$1:$AY$1,),))))-(((VLOOKUP(EDATE(B112,-12),Database!$F:$AY,MATCH($D$1,Database!$F$1:$AY$1,),)))))/(((VLOOKUP(EDATE(B112,-12),Database!$F:$AY,MATCH($D$1,Database!$F$1:$AY$1,),))))</f>
        <v>2.808306878985331E-2</v>
      </c>
      <c r="E112" s="13">
        <f>((((VLOOKUP(B112,Database!$F:$AY,MATCH($E$1,Database!$F$1:$AY$1,),))))-(((VLOOKUP(EDATE(B112,-12),Database!$F:$AY,MATCH($E$1,Database!$F$1:$AY$1,),)))))/(((VLOOKUP(EDATE(B112,-12),Database!$F:$AY,MATCH($E$1,Database!$F$1:$AY$1,),))))</f>
        <v>6.4229623559469221E-2</v>
      </c>
      <c r="F112" s="13">
        <f>((((VLOOKUP(B112,Database!$F:$AY,MATCH($F$1,Database!$F$1:$AY$1,),))))-(((VLOOKUP(EDATE(B112,-12),Database!$F:$AY,MATCH($F$1,Database!$F$1:$AY$1,),)))))/(((VLOOKUP(EDATE(B112,-12),Database!$F:$AY,MATCH($F$1,Database!$F$1:$AY$1,),))))</f>
        <v>1.152732893315883E-2</v>
      </c>
      <c r="G112" s="13">
        <f>((((VLOOKUP(B112,Database!$F:$AY,MATCH($G$1,Database!$F$1:$AY$1,),))))-(((VLOOKUP(EDATE(B112,-12),Database!$F:$AY,MATCH($G$1,Database!$F$1:$AY$1,),)))))/(((VLOOKUP(EDATE(B112,-12),Database!$F:$AY,MATCH($G$1,Database!$F$1:$AY$1,),))))</f>
        <v>1.9135788904707865E-2</v>
      </c>
      <c r="H112" s="13">
        <f>((((VLOOKUP(B112,Database!$F:$AY,MATCH($H$1,Database!$F$1:$AY$1,),))))-(((VLOOKUP(EDATE(B112,-12),Database!$F:$AY,MATCH($H$1,Database!$F$1:$AY$1,),)))))/(((VLOOKUP(EDATE(B112,-12),Database!$F:$AY,MATCH($H$1,Database!$F$1:$AY$1,),))))</f>
        <v>8.7510239850641172E-3</v>
      </c>
      <c r="I112" s="13">
        <f>((((VLOOKUP(B112,Database!$F:$AY,MATCH($I$1,Database!$F$1:$AY$1,),))))-(((VLOOKUP(EDATE(B112,-12),Database!$F:$AY,MATCH($I$1,Database!$F$1:$AY$1,),)))))/(((VLOOKUP(EDATE(B112,-12),Database!$F:$AY,MATCH($I$1,Database!$F$1:$AY$1,),))))</f>
        <v>3.5254015167215137E-2</v>
      </c>
      <c r="J112" s="13">
        <f>((((VLOOKUP(B112,Database!$F:$AY,MATCH($J$1,Database!$F$1:$AY$1,),))))-(((VLOOKUP(EDATE(B112,-12),Database!$F:$AY,MATCH($J$1,Database!$F$1:$AY$1,),)))))/(((VLOOKUP(EDATE(B112,-12),Database!$F:$AY,MATCH($J$1,Database!$F$1:$AY$1,),))))</f>
        <v>5.5383414970774279E-2</v>
      </c>
      <c r="K112" s="13">
        <f>((((VLOOKUP(B112,Database!$F:$AY,MATCH($K$1,Database!$F$1:$AY$1,),))))-(((VLOOKUP(EDATE(B112,-12),Database!$F:$AY,MATCH($K$1,Database!$F$1:$AY$1,),)))))/(((VLOOKUP(EDATE(B112,-12),Database!$F:$AY,MATCH($K$1,Database!$F$1:$AY$1,),))))</f>
        <v>4.7675774629906312E-2</v>
      </c>
      <c r="L112" s="13">
        <f>((((VLOOKUP(B112,Database!$F:$AY,MATCH($L$1,Database!$F$1:$AY$1,),))))-(((VLOOKUP(EDATE(B112,-12),Database!$F:$AY,MATCH($L$1,Database!$F$1:$AY$1,),)))))/(((VLOOKUP(EDATE(B112,-12),Database!$F:$AY,MATCH($L$1,Database!$F$1:$AY$1,),))))</f>
        <v>8.059304524105726E-2</v>
      </c>
      <c r="M112" s="13">
        <f>((((VLOOKUP(B112,Database!$F:$AY,MATCH($M$1,Database!$F$1:$AY$1,),))))-(((VLOOKUP(EDATE(B112,-12),Database!$F:$AY,MATCH($M$1,Database!$F$1:$AY$1,),)))))/(((VLOOKUP(EDATE(B112,-12),Database!$F:$AY,MATCH($M$1,Database!$F$1:$AY$1,),))))</f>
        <v>1.1189431899295298E-2</v>
      </c>
      <c r="N112" s="13">
        <f>((((VLOOKUP(B112,Database!$F:$AY,MATCH($N$1,Database!$F$1:$AY$1,),))))-(((VLOOKUP(EDATE(B112,-12),Database!$F:$AY,MATCH($N$1,Database!$F$1:$AY$1,),)))))/(((VLOOKUP(EDATE(B112,-12),Database!$F:$AY,MATCH($N$1,Database!$F$1:$AY$1,),))))</f>
        <v>3.9791592101419547E-2</v>
      </c>
      <c r="O112" s="13">
        <f>((((VLOOKUP(B112,Database!$F:$AY,MATCH($O$1,Database!$F$1:$AY$1,),))))-(((VLOOKUP(EDATE(B112,-12),Database!$F:$AY,MATCH($O$1,Database!$F$1:$AY$1,),)))))/(((VLOOKUP(EDATE(B112,-12),Database!$F:$AY,MATCH($O$1,Database!$F$1:$AY$1,),))))</f>
        <v>5.7422038496052791E-2</v>
      </c>
      <c r="P112" s="13">
        <f>((((VLOOKUP(B112,Database!$F:$AY,MATCH($P$1,Database!$F$1:$AY$1,),))))-(((VLOOKUP(EDATE(B112,-12),Database!$F:$AY,MATCH($P$1,Database!$F$1:$AY$1,),)))))/(((VLOOKUP(EDATE(B112,-12),Database!$F:$AY,MATCH($P$1,Database!$F$1:$AY$1,),))))</f>
        <v>3.9702176422882166E-2</v>
      </c>
      <c r="Q112" s="13">
        <f>((((VLOOKUP(B112,Database!$F:$AY,MATCH($Q$1,Database!$F$1:$AY$1,),))))-(((VLOOKUP(EDATE(B112,-12),Database!$F:$AY,MATCH($Q$1,Database!$F$1:$AY$1,),)))))/(((VLOOKUP(EDATE(B112,-12),Database!$F:$AY,MATCH($Q$1,Database!$F$1:$AY$1,),))))</f>
        <v>3.9526511750159282E-2</v>
      </c>
      <c r="R112" s="13">
        <f>((((VLOOKUP(B112,Database!$F:$AY,MATCH($R$1,Database!$F$1:$AY$1,),))))-(((VLOOKUP(EDATE(B112,-12),Database!$F:$AY,MATCH($R$1,Database!$F$1:$AY$1,),)))))/(((VLOOKUP(EDATE(B112,-12),Database!$F:$AY,MATCH($R$1,Database!$F$1:$AY$1,),))))</f>
        <v>2.577994626392523E-2</v>
      </c>
      <c r="S112" s="13">
        <f>((((VLOOKUP(B112,Database!$F:$AY,MATCH($S$1,Database!$F$1:$AY$1,),))))-(((VLOOKUP(EDATE(B112,-12),Database!$F:$AY,MATCH($S$1,Database!$F$1:$AY$1,),)))))/(((VLOOKUP(EDATE(B112,-12),Database!$F:$AY,MATCH($S$1,Database!$F$1:$AY$1,),))))</f>
        <v>0.10169470799639514</v>
      </c>
      <c r="T112" s="13">
        <f>((((VLOOKUP(B112,Database!$F:$AY,MATCH($T$1,Database!$F$1:$AY$1,),))))-(((VLOOKUP(EDATE(B112,-12),Database!$F:$AY,MATCH($T$1,Database!$F$1:$AY$1,),)))))/(((VLOOKUP(EDATE(B112,-12),Database!$F:$AY,MATCH($T$1,Database!$F$1:$AY$1,),))))</f>
        <v>0.10904258785372292</v>
      </c>
      <c r="U112" s="13">
        <f>((((VLOOKUP(B112,Database!$F:$AY,MATCH($U$1,Database!$F$1:$AY$1,),))))-(((VLOOKUP(EDATE(B112,-12),Database!$F:$AY,MATCH($U$1,Database!$F$1:$AY$1,),)))))/(((VLOOKUP(EDATE(B112,-12),Database!$F:$AY,MATCH($U$1,Database!$F$1:$AY$1,),))))</f>
        <v>8.6216560167734282E-3</v>
      </c>
      <c r="V112" s="13">
        <f>((((VLOOKUP(B112,Database!$F:$AY,MATCH($V$1,Database!$F$1:$AY$1,),))))-(((VLOOKUP(EDATE(B112,-12),Database!$F:$AY,MATCH($V$1,Database!$F$1:$AY$1,),)))))/(((VLOOKUP(EDATE(B112,-12),Database!$F:$AY,MATCH($V$1,Database!$F$1:$AY$1,),))))</f>
        <v>9.2537816348230842E-2</v>
      </c>
    </row>
    <row r="113" spans="1:22" s="85" customFormat="1" x14ac:dyDescent="0.2">
      <c r="A113" s="44"/>
      <c r="B113" s="91">
        <v>35582</v>
      </c>
      <c r="C113" s="13">
        <f>((((VLOOKUP(B113,Database!$F:$AY,MATCH($C$1,Database!$F$1:$AY$1,),))))-(((VLOOKUP(EDATE(B113,-12),Database!$F:$AY,MATCH($C$1,Database!$F$1:$AY$1,),)))))/(((VLOOKUP(EDATE(B113,-12),Database!$F:$AY,MATCH($C$1,Database!$F$1:$AY$1,),))))</f>
        <v>5.8732731186946892E-2</v>
      </c>
      <c r="D113" s="13">
        <f>((((VLOOKUP(B113,Database!$F:$AY,MATCH($D$1,Database!$F$1:$AY$1,),))))-(((VLOOKUP(EDATE(B113,-12),Database!$F:$AY,MATCH($D$1,Database!$F$1:$AY$1,),)))))/(((VLOOKUP(EDATE(B113,-12),Database!$F:$AY,MATCH($D$1,Database!$F$1:$AY$1,),))))</f>
        <v>4.5177126590695622E-2</v>
      </c>
      <c r="E113" s="13">
        <f>((((VLOOKUP(B113,Database!$F:$AY,MATCH($E$1,Database!$F$1:$AY$1,),))))-(((VLOOKUP(EDATE(B113,-12),Database!$F:$AY,MATCH($E$1,Database!$F$1:$AY$1,),)))))/(((VLOOKUP(EDATE(B113,-12),Database!$F:$AY,MATCH($E$1,Database!$F$1:$AY$1,),))))</f>
        <v>5.6213222029779283E-2</v>
      </c>
      <c r="F113" s="13">
        <f>((((VLOOKUP(B113,Database!$F:$AY,MATCH($F$1,Database!$F$1:$AY$1,),))))-(((VLOOKUP(EDATE(B113,-12),Database!$F:$AY,MATCH($F$1,Database!$F$1:$AY$1,),)))))/(((VLOOKUP(EDATE(B113,-12),Database!$F:$AY,MATCH($F$1,Database!$F$1:$AY$1,),))))</f>
        <v>4.5845369914798137E-2</v>
      </c>
      <c r="G113" s="13">
        <f>((((VLOOKUP(B113,Database!$F:$AY,MATCH($G$1,Database!$F$1:$AY$1,),))))-(((VLOOKUP(EDATE(B113,-12),Database!$F:$AY,MATCH($G$1,Database!$F$1:$AY$1,),)))))/(((VLOOKUP(EDATE(B113,-12),Database!$F:$AY,MATCH($G$1,Database!$F$1:$AY$1,),))))</f>
        <v>3.4976181436973883E-2</v>
      </c>
      <c r="H113" s="13">
        <f>((((VLOOKUP(B113,Database!$F:$AY,MATCH($H$1,Database!$F$1:$AY$1,),))))-(((VLOOKUP(EDATE(B113,-12),Database!$F:$AY,MATCH($H$1,Database!$F$1:$AY$1,),)))))/(((VLOOKUP(EDATE(B113,-12),Database!$F:$AY,MATCH($H$1,Database!$F$1:$AY$1,),))))</f>
        <v>1.6357873179262503E-2</v>
      </c>
      <c r="I113" s="13">
        <f>((((VLOOKUP(B113,Database!$F:$AY,MATCH($I$1,Database!$F$1:$AY$1,),))))-(((VLOOKUP(EDATE(B113,-12),Database!$F:$AY,MATCH($I$1,Database!$F$1:$AY$1,),)))))/(((VLOOKUP(EDATE(B113,-12),Database!$F:$AY,MATCH($I$1,Database!$F$1:$AY$1,),))))</f>
        <v>4.2060154364783955E-2</v>
      </c>
      <c r="J113" s="13">
        <f>((((VLOOKUP(B113,Database!$F:$AY,MATCH($J$1,Database!$F$1:$AY$1,),))))-(((VLOOKUP(EDATE(B113,-12),Database!$F:$AY,MATCH($J$1,Database!$F$1:$AY$1,),)))))/(((VLOOKUP(EDATE(B113,-12),Database!$F:$AY,MATCH($J$1,Database!$F$1:$AY$1,),))))</f>
        <v>5.306251333805205E-2</v>
      </c>
      <c r="K113" s="13">
        <f>((((VLOOKUP(B113,Database!$F:$AY,MATCH($K$1,Database!$F$1:$AY$1,),))))-(((VLOOKUP(EDATE(B113,-12),Database!$F:$AY,MATCH($K$1,Database!$F$1:$AY$1,),)))))/(((VLOOKUP(EDATE(B113,-12),Database!$F:$AY,MATCH($K$1,Database!$F$1:$AY$1,),))))</f>
        <v>3.8049990142398175E-2</v>
      </c>
      <c r="L113" s="13">
        <f>((((VLOOKUP(B113,Database!$F:$AY,MATCH($L$1,Database!$F$1:$AY$1,),))))-(((VLOOKUP(EDATE(B113,-12),Database!$F:$AY,MATCH($L$1,Database!$F$1:$AY$1,),)))))/(((VLOOKUP(EDATE(B113,-12),Database!$F:$AY,MATCH($L$1,Database!$F$1:$AY$1,),))))</f>
        <v>8.1301387955796764E-2</v>
      </c>
      <c r="M113" s="13">
        <f>((((VLOOKUP(B113,Database!$F:$AY,MATCH($M$1,Database!$F$1:$AY$1,),))))-(((VLOOKUP(EDATE(B113,-12),Database!$F:$AY,MATCH($M$1,Database!$F$1:$AY$1,),)))))/(((VLOOKUP(EDATE(B113,-12),Database!$F:$AY,MATCH($M$1,Database!$F$1:$AY$1,),))))</f>
        <v>2.1799179828283756E-2</v>
      </c>
      <c r="N113" s="13">
        <f>((((VLOOKUP(B113,Database!$F:$AY,MATCH($N$1,Database!$F$1:$AY$1,),))))-(((VLOOKUP(EDATE(B113,-12),Database!$F:$AY,MATCH($N$1,Database!$F$1:$AY$1,),)))))/(((VLOOKUP(EDATE(B113,-12),Database!$F:$AY,MATCH($N$1,Database!$F$1:$AY$1,),))))</f>
        <v>6.1558384095313119E-2</v>
      </c>
      <c r="O113" s="13">
        <f>((((VLOOKUP(B113,Database!$F:$AY,MATCH($O$1,Database!$F$1:$AY$1,),))))-(((VLOOKUP(EDATE(B113,-12),Database!$F:$AY,MATCH($O$1,Database!$F$1:$AY$1,),)))))/(((VLOOKUP(EDATE(B113,-12),Database!$F:$AY,MATCH($O$1,Database!$F$1:$AY$1,),))))</f>
        <v>4.5931687031252888E-2</v>
      </c>
      <c r="P113" s="13">
        <f>((((VLOOKUP(B113,Database!$F:$AY,MATCH($P$1,Database!$F$1:$AY$1,),))))-(((VLOOKUP(EDATE(B113,-12),Database!$F:$AY,MATCH($P$1,Database!$F$1:$AY$1,),)))))/(((VLOOKUP(EDATE(B113,-12),Database!$F:$AY,MATCH($P$1,Database!$F$1:$AY$1,),))))</f>
        <v>9.5344786867149242E-2</v>
      </c>
      <c r="Q113" s="13">
        <f>((((VLOOKUP(B113,Database!$F:$AY,MATCH($Q$1,Database!$F$1:$AY$1,),))))-(((VLOOKUP(EDATE(B113,-12),Database!$F:$AY,MATCH($Q$1,Database!$F$1:$AY$1,),)))))/(((VLOOKUP(EDATE(B113,-12),Database!$F:$AY,MATCH($Q$1,Database!$F$1:$AY$1,),))))</f>
        <v>8.053919878338095E-2</v>
      </c>
      <c r="R113" s="13">
        <f>((((VLOOKUP(B113,Database!$F:$AY,MATCH($R$1,Database!$F$1:$AY$1,),))))-(((VLOOKUP(EDATE(B113,-12),Database!$F:$AY,MATCH($R$1,Database!$F$1:$AY$1,),)))))/(((VLOOKUP(EDATE(B113,-12),Database!$F:$AY,MATCH($R$1,Database!$F$1:$AY$1,),))))</f>
        <v>9.9632885170640364E-3</v>
      </c>
      <c r="S113" s="13">
        <f>((((VLOOKUP(B113,Database!$F:$AY,MATCH($S$1,Database!$F$1:$AY$1,),))))-(((VLOOKUP(EDATE(B113,-12),Database!$F:$AY,MATCH($S$1,Database!$F$1:$AY$1,),)))))/(((VLOOKUP(EDATE(B113,-12),Database!$F:$AY,MATCH($S$1,Database!$F$1:$AY$1,),))))</f>
        <v>0.15254206199459272</v>
      </c>
      <c r="T113" s="13">
        <f>((((VLOOKUP(B113,Database!$F:$AY,MATCH($T$1,Database!$F$1:$AY$1,),))))-(((VLOOKUP(EDATE(B113,-12),Database!$F:$AY,MATCH($T$1,Database!$F$1:$AY$1,),)))))/(((VLOOKUP(EDATE(B113,-12),Database!$F:$AY,MATCH($T$1,Database!$F$1:$AY$1,),))))</f>
        <v>9.3264256759242561E-2</v>
      </c>
      <c r="U113" s="13">
        <f>((((VLOOKUP(B113,Database!$F:$AY,MATCH($U$1,Database!$F$1:$AY$1,),))))-(((VLOOKUP(EDATE(B113,-12),Database!$F:$AY,MATCH($U$1,Database!$F$1:$AY$1,),)))))/(((VLOOKUP(EDATE(B113,-12),Database!$F:$AY,MATCH($U$1,Database!$F$1:$AY$1,),))))</f>
        <v>7.146833792255386E-2</v>
      </c>
      <c r="V113" s="13">
        <f>((((VLOOKUP(B113,Database!$F:$AY,MATCH($V$1,Database!$F$1:$AY$1,),))))-(((VLOOKUP(EDATE(B113,-12),Database!$F:$AY,MATCH($V$1,Database!$F$1:$AY$1,),)))))/(((VLOOKUP(EDATE(B113,-12),Database!$F:$AY,MATCH($V$1,Database!$F$1:$AY$1,),))))</f>
        <v>0.17617985426797078</v>
      </c>
    </row>
    <row r="114" spans="1:22" s="85" customFormat="1" x14ac:dyDescent="0.2">
      <c r="A114" s="44"/>
      <c r="B114" s="91">
        <v>35612</v>
      </c>
      <c r="C114" s="13">
        <f>((((VLOOKUP(B114,Database!$F:$AY,MATCH($C$1,Database!$F$1:$AY$1,),))))-(((VLOOKUP(EDATE(B114,-12),Database!$F:$AY,MATCH($C$1,Database!$F$1:$AY$1,),)))))/(((VLOOKUP(EDATE(B114,-12),Database!$F:$AY,MATCH($C$1,Database!$F$1:$AY$1,),))))</f>
        <v>6.8193431492152082E-2</v>
      </c>
      <c r="D114" s="13">
        <f>((((VLOOKUP(B114,Database!$F:$AY,MATCH($D$1,Database!$F$1:$AY$1,),))))-(((VLOOKUP(EDATE(B114,-12),Database!$F:$AY,MATCH($D$1,Database!$F$1:$AY$1,),)))))/(((VLOOKUP(EDATE(B114,-12),Database!$F:$AY,MATCH($D$1,Database!$F$1:$AY$1,),))))</f>
        <v>6.2807879194648988E-2</v>
      </c>
      <c r="E114" s="13">
        <f>((((VLOOKUP(B114,Database!$F:$AY,MATCH($E$1,Database!$F$1:$AY$1,),))))-(((VLOOKUP(EDATE(B114,-12),Database!$F:$AY,MATCH($E$1,Database!$F$1:$AY$1,),)))))/(((VLOOKUP(EDATE(B114,-12),Database!$F:$AY,MATCH($E$1,Database!$F$1:$AY$1,),))))</f>
        <v>5.2941654163250702E-2</v>
      </c>
      <c r="F114" s="13">
        <f>((((VLOOKUP(B114,Database!$F:$AY,MATCH($F$1,Database!$F$1:$AY$1,),))))-(((VLOOKUP(EDATE(B114,-12),Database!$F:$AY,MATCH($F$1,Database!$F$1:$AY$1,),)))))/(((VLOOKUP(EDATE(B114,-12),Database!$F:$AY,MATCH($F$1,Database!$F$1:$AY$1,),))))</f>
        <v>6.9565217391304529E-2</v>
      </c>
      <c r="G114" s="13">
        <f>((((VLOOKUP(B114,Database!$F:$AY,MATCH($G$1,Database!$F$1:$AY$1,),))))-(((VLOOKUP(EDATE(B114,-12),Database!$F:$AY,MATCH($G$1,Database!$F$1:$AY$1,),)))))/(((VLOOKUP(EDATE(B114,-12),Database!$F:$AY,MATCH($G$1,Database!$F$1:$AY$1,),))))</f>
        <v>5.5231897725132449E-2</v>
      </c>
      <c r="H114" s="13">
        <f>((((VLOOKUP(B114,Database!$F:$AY,MATCH($H$1,Database!$F$1:$AY$1,),))))-(((VLOOKUP(EDATE(B114,-12),Database!$F:$AY,MATCH($H$1,Database!$F$1:$AY$1,),)))))/(((VLOOKUP(EDATE(B114,-12),Database!$F:$AY,MATCH($H$1,Database!$F$1:$AY$1,),))))</f>
        <v>3.1290029377248292E-2</v>
      </c>
      <c r="I114" s="13">
        <f>((((VLOOKUP(B114,Database!$F:$AY,MATCH($I$1,Database!$F$1:$AY$1,),))))-(((VLOOKUP(EDATE(B114,-12),Database!$F:$AY,MATCH($I$1,Database!$F$1:$AY$1,),)))))/(((VLOOKUP(EDATE(B114,-12),Database!$F:$AY,MATCH($I$1,Database!$F$1:$AY$1,),))))</f>
        <v>4.982803549780359E-2</v>
      </c>
      <c r="J114" s="13">
        <f>((((VLOOKUP(B114,Database!$F:$AY,MATCH($J$1,Database!$F$1:$AY$1,),))))-(((VLOOKUP(EDATE(B114,-12),Database!$F:$AY,MATCH($J$1,Database!$F$1:$AY$1,),)))))/(((VLOOKUP(EDATE(B114,-12),Database!$F:$AY,MATCH($J$1,Database!$F$1:$AY$1,),))))</f>
        <v>8.3662127523387073E-2</v>
      </c>
      <c r="K114" s="13">
        <f>((((VLOOKUP(B114,Database!$F:$AY,MATCH($K$1,Database!$F$1:$AY$1,),))))-(((VLOOKUP(EDATE(B114,-12),Database!$F:$AY,MATCH($K$1,Database!$F$1:$AY$1,),)))))/(((VLOOKUP(EDATE(B114,-12),Database!$F:$AY,MATCH($K$1,Database!$F$1:$AY$1,),))))</f>
        <v>4.8292158398800897E-2</v>
      </c>
      <c r="L114" s="13">
        <f>((((VLOOKUP(B114,Database!$F:$AY,MATCH($L$1,Database!$F$1:$AY$1,),))))-(((VLOOKUP(EDATE(B114,-12),Database!$F:$AY,MATCH($L$1,Database!$F$1:$AY$1,),)))))/(((VLOOKUP(EDATE(B114,-12),Database!$F:$AY,MATCH($L$1,Database!$F$1:$AY$1,),))))</f>
        <v>7.3833617913974317E-2</v>
      </c>
      <c r="M114" s="13">
        <f>((((VLOOKUP(B114,Database!$F:$AY,MATCH($M$1,Database!$F$1:$AY$1,),))))-(((VLOOKUP(EDATE(B114,-12),Database!$F:$AY,MATCH($M$1,Database!$F$1:$AY$1,),)))))/(((VLOOKUP(EDATE(B114,-12),Database!$F:$AY,MATCH($M$1,Database!$F$1:$AY$1,),))))</f>
        <v>3.302502021455949E-2</v>
      </c>
      <c r="N114" s="13">
        <f>((((VLOOKUP(B114,Database!$F:$AY,MATCH($N$1,Database!$F$1:$AY$1,),))))-(((VLOOKUP(EDATE(B114,-12),Database!$F:$AY,MATCH($N$1,Database!$F$1:$AY$1,),)))))/(((VLOOKUP(EDATE(B114,-12),Database!$F:$AY,MATCH($N$1,Database!$F$1:$AY$1,),))))</f>
        <v>8.2431341180279019E-2</v>
      </c>
      <c r="O114" s="13">
        <f>((((VLOOKUP(B114,Database!$F:$AY,MATCH($O$1,Database!$F$1:$AY$1,),))))-(((VLOOKUP(EDATE(B114,-12),Database!$F:$AY,MATCH($O$1,Database!$F$1:$AY$1,),)))))/(((VLOOKUP(EDATE(B114,-12),Database!$F:$AY,MATCH($O$1,Database!$F$1:$AY$1,),))))</f>
        <v>6.1082287763453487E-2</v>
      </c>
      <c r="P114" s="13">
        <f>((((VLOOKUP(B114,Database!$F:$AY,MATCH($P$1,Database!$F$1:$AY$1,),))))-(((VLOOKUP(EDATE(B114,-12),Database!$F:$AY,MATCH($P$1,Database!$F$1:$AY$1,),)))))/(((VLOOKUP(EDATE(B114,-12),Database!$F:$AY,MATCH($P$1,Database!$F$1:$AY$1,),))))</f>
        <v>4.8011967066328737E-2</v>
      </c>
      <c r="Q114" s="13">
        <f>((((VLOOKUP(B114,Database!$F:$AY,MATCH($Q$1,Database!$F$1:$AY$1,),))))-(((VLOOKUP(EDATE(B114,-12),Database!$F:$AY,MATCH($Q$1,Database!$F$1:$AY$1,),)))))/(((VLOOKUP(EDATE(B114,-12),Database!$F:$AY,MATCH($Q$1,Database!$F$1:$AY$1,),))))</f>
        <v>1.0586140321933085E-2</v>
      </c>
      <c r="R114" s="13">
        <f>((((VLOOKUP(B114,Database!$F:$AY,MATCH($R$1,Database!$F$1:$AY$1,),))))-(((VLOOKUP(EDATE(B114,-12),Database!$F:$AY,MATCH($R$1,Database!$F$1:$AY$1,),)))))/(((VLOOKUP(EDATE(B114,-12),Database!$F:$AY,MATCH($R$1,Database!$F$1:$AY$1,),))))</f>
        <v>9.845403157261036E-5</v>
      </c>
      <c r="S114" s="13">
        <f>((((VLOOKUP(B114,Database!$F:$AY,MATCH($S$1,Database!$F$1:$AY$1,),))))-(((VLOOKUP(EDATE(B114,-12),Database!$F:$AY,MATCH($S$1,Database!$F$1:$AY$1,),)))))/(((VLOOKUP(EDATE(B114,-12),Database!$F:$AY,MATCH($S$1,Database!$F$1:$AY$1,),))))</f>
        <v>0.17475755924037001</v>
      </c>
      <c r="T114" s="13">
        <f>((((VLOOKUP(B114,Database!$F:$AY,MATCH($T$1,Database!$F$1:$AY$1,),))))-(((VLOOKUP(EDATE(B114,-12),Database!$F:$AY,MATCH($T$1,Database!$F$1:$AY$1,),)))))/(((VLOOKUP(EDATE(B114,-12),Database!$F:$AY,MATCH($T$1,Database!$F$1:$AY$1,),))))</f>
        <v>9.9476343842235943E-2</v>
      </c>
      <c r="U114" s="13">
        <f>((((VLOOKUP(B114,Database!$F:$AY,MATCH($U$1,Database!$F$1:$AY$1,),))))-(((VLOOKUP(EDATE(B114,-12),Database!$F:$AY,MATCH($U$1,Database!$F$1:$AY$1,),)))))/(((VLOOKUP(EDATE(B114,-12),Database!$F:$AY,MATCH($U$1,Database!$F$1:$AY$1,),))))</f>
        <v>3.2932739661196912E-2</v>
      </c>
      <c r="V114" s="13">
        <f>((((VLOOKUP(B114,Database!$F:$AY,MATCH($V$1,Database!$F$1:$AY$1,),))))-(((VLOOKUP(EDATE(B114,-12),Database!$F:$AY,MATCH($V$1,Database!$F$1:$AY$1,),)))))/(((VLOOKUP(EDATE(B114,-12),Database!$F:$AY,MATCH($V$1,Database!$F$1:$AY$1,),))))</f>
        <v>9.7452529805215668E-2</v>
      </c>
    </row>
    <row r="115" spans="1:22" s="85" customFormat="1" x14ac:dyDescent="0.2">
      <c r="A115" s="44"/>
      <c r="B115" s="91">
        <v>35643</v>
      </c>
      <c r="C115" s="13">
        <f>((((VLOOKUP(B115,Database!$F:$AY,MATCH($C$1,Database!$F$1:$AY$1,),))))-(((VLOOKUP(EDATE(B115,-12),Database!$F:$AY,MATCH($C$1,Database!$F$1:$AY$1,),)))))/(((VLOOKUP(EDATE(B115,-12),Database!$F:$AY,MATCH($C$1,Database!$F$1:$AY$1,),))))</f>
        <v>7.313113972876005E-2</v>
      </c>
      <c r="D115" s="13">
        <f>((((VLOOKUP(B115,Database!$F:$AY,MATCH($D$1,Database!$F$1:$AY$1,),))))-(((VLOOKUP(EDATE(B115,-12),Database!$F:$AY,MATCH($D$1,Database!$F$1:$AY$1,),)))))/(((VLOOKUP(EDATE(B115,-12),Database!$F:$AY,MATCH($D$1,Database!$F$1:$AY$1,),))))</f>
        <v>5.1094890510948829E-2</v>
      </c>
      <c r="E115" s="13">
        <f>((((VLOOKUP(B115,Database!$F:$AY,MATCH($E$1,Database!$F$1:$AY$1,),))))-(((VLOOKUP(EDATE(B115,-12),Database!$F:$AY,MATCH($E$1,Database!$F$1:$AY$1,),)))))/(((VLOOKUP(EDATE(B115,-12),Database!$F:$AY,MATCH($E$1,Database!$F$1:$AY$1,),))))</f>
        <v>4.7012839507126723E-2</v>
      </c>
      <c r="F115" s="13">
        <f>((((VLOOKUP(B115,Database!$F:$AY,MATCH($F$1,Database!$F$1:$AY$1,),))))-(((VLOOKUP(EDATE(B115,-12),Database!$F:$AY,MATCH($F$1,Database!$F$1:$AY$1,),)))))/(((VLOOKUP(EDATE(B115,-12),Database!$F:$AY,MATCH($F$1,Database!$F$1:$AY$1,),))))</f>
        <v>2.1459300539658607E-2</v>
      </c>
      <c r="G115" s="13">
        <f>((((VLOOKUP(B115,Database!$F:$AY,MATCH($G$1,Database!$F$1:$AY$1,),))))-(((VLOOKUP(EDATE(B115,-12),Database!$F:$AY,MATCH($G$1,Database!$F$1:$AY$1,),)))))/(((VLOOKUP(EDATE(B115,-12),Database!$F:$AY,MATCH($G$1,Database!$F$1:$AY$1,),))))</f>
        <v>7.2400557293506501E-2</v>
      </c>
      <c r="H115" s="13">
        <f>((((VLOOKUP(B115,Database!$F:$AY,MATCH($H$1,Database!$F$1:$AY$1,),))))-(((VLOOKUP(EDATE(B115,-12),Database!$F:$AY,MATCH($H$1,Database!$F$1:$AY$1,),)))))/(((VLOOKUP(EDATE(B115,-12),Database!$F:$AY,MATCH($H$1,Database!$F$1:$AY$1,),))))</f>
        <v>7.7622830580479935E-3</v>
      </c>
      <c r="I115" s="13">
        <f>((((VLOOKUP(B115,Database!$F:$AY,MATCH($I$1,Database!$F$1:$AY$1,),))))-(((VLOOKUP(EDATE(B115,-12),Database!$F:$AY,MATCH($I$1,Database!$F$1:$AY$1,),)))))/(((VLOOKUP(EDATE(B115,-12),Database!$F:$AY,MATCH($I$1,Database!$F$1:$AY$1,),))))</f>
        <v>5.0428155520718762E-2</v>
      </c>
      <c r="J115" s="13">
        <f>((((VLOOKUP(B115,Database!$F:$AY,MATCH($J$1,Database!$F$1:$AY$1,),))))-(((VLOOKUP(EDATE(B115,-12),Database!$F:$AY,MATCH($J$1,Database!$F$1:$AY$1,),)))))/(((VLOOKUP(EDATE(B115,-12),Database!$F:$AY,MATCH($J$1,Database!$F$1:$AY$1,),))))</f>
        <v>9.0480920687149191E-2</v>
      </c>
      <c r="K115" s="13">
        <f>((((VLOOKUP(B115,Database!$F:$AY,MATCH($K$1,Database!$F$1:$AY$1,),))))-(((VLOOKUP(EDATE(B115,-12),Database!$F:$AY,MATCH($K$1,Database!$F$1:$AY$1,),)))))/(((VLOOKUP(EDATE(B115,-12),Database!$F:$AY,MATCH($K$1,Database!$F$1:$AY$1,),))))</f>
        <v>3.6299734240080525E-2</v>
      </c>
      <c r="L115" s="13">
        <f>((((VLOOKUP(B115,Database!$F:$AY,MATCH($L$1,Database!$F$1:$AY$1,),))))-(((VLOOKUP(EDATE(B115,-12),Database!$F:$AY,MATCH($L$1,Database!$F$1:$AY$1,),)))))/(((VLOOKUP(EDATE(B115,-12),Database!$F:$AY,MATCH($L$1,Database!$F$1:$AY$1,),))))</f>
        <v>9.182260376574633E-2</v>
      </c>
      <c r="M115" s="13">
        <f>((((VLOOKUP(B115,Database!$F:$AY,MATCH($M$1,Database!$F$1:$AY$1,),))))-(((VLOOKUP(EDATE(B115,-12),Database!$F:$AY,MATCH($M$1,Database!$F$1:$AY$1,),)))))/(((VLOOKUP(EDATE(B115,-12),Database!$F:$AY,MATCH($M$1,Database!$F$1:$AY$1,),))))</f>
        <v>4.3263435128953719E-2</v>
      </c>
      <c r="N115" s="13">
        <f>((((VLOOKUP(B115,Database!$F:$AY,MATCH($N$1,Database!$F$1:$AY$1,),))))-(((VLOOKUP(EDATE(B115,-12),Database!$F:$AY,MATCH($N$1,Database!$F$1:$AY$1,),)))))/(((VLOOKUP(EDATE(B115,-12),Database!$F:$AY,MATCH($N$1,Database!$F$1:$AY$1,),))))</f>
        <v>5.4508974539590249E-2</v>
      </c>
      <c r="O115" s="13">
        <f>((((VLOOKUP(B115,Database!$F:$AY,MATCH($O$1,Database!$F$1:$AY$1,),))))-(((VLOOKUP(EDATE(B115,-12),Database!$F:$AY,MATCH($O$1,Database!$F$1:$AY$1,),)))))/(((VLOOKUP(EDATE(B115,-12),Database!$F:$AY,MATCH($O$1,Database!$F$1:$AY$1,),))))</f>
        <v>5.5140187034085658E-2</v>
      </c>
      <c r="P115" s="13">
        <f>((((VLOOKUP(B115,Database!$F:$AY,MATCH($P$1,Database!$F$1:$AY$1,),))))-(((VLOOKUP(EDATE(B115,-12),Database!$F:$AY,MATCH($P$1,Database!$F$1:$AY$1,),)))))/(((VLOOKUP(EDATE(B115,-12),Database!$F:$AY,MATCH($P$1,Database!$F$1:$AY$1,),))))</f>
        <v>8.5806174795395443E-2</v>
      </c>
      <c r="Q115" s="13">
        <f>((((VLOOKUP(B115,Database!$F:$AY,MATCH($Q$1,Database!$F$1:$AY$1,),))))-(((VLOOKUP(EDATE(B115,-12),Database!$F:$AY,MATCH($Q$1,Database!$F$1:$AY$1,),)))))/(((VLOOKUP(EDATE(B115,-12),Database!$F:$AY,MATCH($Q$1,Database!$F$1:$AY$1,),))))</f>
        <v>4.0570555940072132E-2</v>
      </c>
      <c r="R115" s="13">
        <f>((((VLOOKUP(B115,Database!$F:$AY,MATCH($R$1,Database!$F$1:$AY$1,),))))-(((VLOOKUP(EDATE(B115,-12),Database!$F:$AY,MATCH($R$1,Database!$F$1:$AY$1,),)))))/(((VLOOKUP(EDATE(B115,-12),Database!$F:$AY,MATCH($R$1,Database!$F$1:$AY$1,),))))</f>
        <v>-1.722817201385702E-2</v>
      </c>
      <c r="S115" s="13">
        <f>((((VLOOKUP(B115,Database!$F:$AY,MATCH($S$1,Database!$F$1:$AY$1,),))))-(((VLOOKUP(EDATE(B115,-12),Database!$F:$AY,MATCH($S$1,Database!$F$1:$AY$1,),)))))/(((VLOOKUP(EDATE(B115,-12),Database!$F:$AY,MATCH($S$1,Database!$F$1:$AY$1,),))))</f>
        <v>0.23737373307974385</v>
      </c>
      <c r="T115" s="13">
        <f>((((VLOOKUP(B115,Database!$F:$AY,MATCH($T$1,Database!$F$1:$AY$1,),))))-(((VLOOKUP(EDATE(B115,-12),Database!$F:$AY,MATCH($T$1,Database!$F$1:$AY$1,),)))))/(((VLOOKUP(EDATE(B115,-12),Database!$F:$AY,MATCH($T$1,Database!$F$1:$AY$1,),))))</f>
        <v>0.13910793604295571</v>
      </c>
      <c r="U115" s="13">
        <f>((((VLOOKUP(B115,Database!$F:$AY,MATCH($U$1,Database!$F$1:$AY$1,),))))-(((VLOOKUP(EDATE(B115,-12),Database!$F:$AY,MATCH($U$1,Database!$F$1:$AY$1,),)))))/(((VLOOKUP(EDATE(B115,-12),Database!$F:$AY,MATCH($U$1,Database!$F$1:$AY$1,),))))</f>
        <v>5.4175305086759273E-2</v>
      </c>
      <c r="V115" s="13">
        <f>((((VLOOKUP(B115,Database!$F:$AY,MATCH($V$1,Database!$F$1:$AY$1,),))))-(((VLOOKUP(EDATE(B115,-12),Database!$F:$AY,MATCH($V$1,Database!$F$1:$AY$1,),)))))/(((VLOOKUP(EDATE(B115,-12),Database!$F:$AY,MATCH($V$1,Database!$F$1:$AY$1,),))))</f>
        <v>9.447895169507653E-2</v>
      </c>
    </row>
    <row r="116" spans="1:22" s="85" customFormat="1" x14ac:dyDescent="0.2">
      <c r="A116" s="44"/>
      <c r="B116" s="91">
        <v>35674</v>
      </c>
      <c r="C116" s="13">
        <f>((((VLOOKUP(B116,Database!$F:$AY,MATCH($C$1,Database!$F$1:$AY$1,),))))-(((VLOOKUP(EDATE(B116,-12),Database!$F:$AY,MATCH($C$1,Database!$F$1:$AY$1,),)))))/(((VLOOKUP(EDATE(B116,-12),Database!$F:$AY,MATCH($C$1,Database!$F$1:$AY$1,),))))</f>
        <v>7.5259737763929302E-2</v>
      </c>
      <c r="D116" s="13">
        <f>((((VLOOKUP(B116,Database!$F:$AY,MATCH($D$1,Database!$F$1:$AY$1,),))))-(((VLOOKUP(EDATE(B116,-12),Database!$F:$AY,MATCH($D$1,Database!$F$1:$AY$1,),)))))/(((VLOOKUP(EDATE(B116,-12),Database!$F:$AY,MATCH($D$1,Database!$F$1:$AY$1,),))))</f>
        <v>4.7445377149232915E-2</v>
      </c>
      <c r="E116" s="13">
        <f>((((VLOOKUP(B116,Database!$F:$AY,MATCH($E$1,Database!$F$1:$AY$1,),))))-(((VLOOKUP(EDATE(B116,-12),Database!$F:$AY,MATCH($E$1,Database!$F$1:$AY$1,),)))))/(((VLOOKUP(EDATE(B116,-12),Database!$F:$AY,MATCH($E$1,Database!$F$1:$AY$1,),))))</f>
        <v>2.9069717443837028E-2</v>
      </c>
      <c r="F116" s="13">
        <f>((((VLOOKUP(B116,Database!$F:$AY,MATCH($F$1,Database!$F$1:$AY$1,),))))-(((VLOOKUP(EDATE(B116,-12),Database!$F:$AY,MATCH($F$1,Database!$F$1:$AY$1,),)))))/(((VLOOKUP(EDATE(B116,-12),Database!$F:$AY,MATCH($F$1,Database!$F$1:$AY$1,),))))</f>
        <v>2.1276523307685355E-2</v>
      </c>
      <c r="G116" s="13">
        <f>((((VLOOKUP(B116,Database!$F:$AY,MATCH($G$1,Database!$F$1:$AY$1,),))))-(((VLOOKUP(EDATE(B116,-12),Database!$F:$AY,MATCH($G$1,Database!$F$1:$AY$1,),)))))/(((VLOOKUP(EDATE(B116,-12),Database!$F:$AY,MATCH($G$1,Database!$F$1:$AY$1,),))))</f>
        <v>4.6288522058915781E-2</v>
      </c>
      <c r="H116" s="13">
        <f>((((VLOOKUP(B116,Database!$F:$AY,MATCH($H$1,Database!$F$1:$AY$1,),))))-(((VLOOKUP(EDATE(B116,-12),Database!$F:$AY,MATCH($H$1,Database!$F$1:$AY$1,),)))))/(((VLOOKUP(EDATE(B116,-12),Database!$F:$AY,MATCH($H$1,Database!$F$1:$AY$1,),))))</f>
        <v>7.0864344180381345E-3</v>
      </c>
      <c r="I116" s="13">
        <f>((((VLOOKUP(B116,Database!$F:$AY,MATCH($I$1,Database!$F$1:$AY$1,),))))-(((VLOOKUP(EDATE(B116,-12),Database!$F:$AY,MATCH($I$1,Database!$F$1:$AY$1,),)))))/(((VLOOKUP(EDATE(B116,-12),Database!$F:$AY,MATCH($I$1,Database!$F$1:$AY$1,),))))</f>
        <v>6.4124918537417322E-2</v>
      </c>
      <c r="J116" s="13">
        <f>((((VLOOKUP(B116,Database!$F:$AY,MATCH($J$1,Database!$F$1:$AY$1,),))))-(((VLOOKUP(EDATE(B116,-12),Database!$F:$AY,MATCH($J$1,Database!$F$1:$AY$1,),)))))/(((VLOOKUP(EDATE(B116,-12),Database!$F:$AY,MATCH($J$1,Database!$F$1:$AY$1,),))))</f>
        <v>8.096969837915248E-2</v>
      </c>
      <c r="K116" s="13">
        <f>((((VLOOKUP(B116,Database!$F:$AY,MATCH($K$1,Database!$F$1:$AY$1,),))))-(((VLOOKUP(EDATE(B116,-12),Database!$F:$AY,MATCH($K$1,Database!$F$1:$AY$1,),)))))/(((VLOOKUP(EDATE(B116,-12),Database!$F:$AY,MATCH($K$1,Database!$F$1:$AY$1,),))))</f>
        <v>5.5885904663479723E-2</v>
      </c>
      <c r="L116" s="13">
        <f>((((VLOOKUP(B116,Database!$F:$AY,MATCH($L$1,Database!$F$1:$AY$1,),))))-(((VLOOKUP(EDATE(B116,-12),Database!$F:$AY,MATCH($L$1,Database!$F$1:$AY$1,),)))))/(((VLOOKUP(EDATE(B116,-12),Database!$F:$AY,MATCH($L$1,Database!$F$1:$AY$1,),))))</f>
        <v>8.5380576506018921E-2</v>
      </c>
      <c r="M116" s="13">
        <f>((((VLOOKUP(B116,Database!$F:$AY,MATCH($M$1,Database!$F$1:$AY$1,),))))-(((VLOOKUP(EDATE(B116,-12),Database!$F:$AY,MATCH($M$1,Database!$F$1:$AY$1,),)))))/(((VLOOKUP(EDATE(B116,-12),Database!$F:$AY,MATCH($M$1,Database!$F$1:$AY$1,),))))</f>
        <v>2.6808055090224058E-2</v>
      </c>
      <c r="N116" s="13">
        <f>((((VLOOKUP(B116,Database!$F:$AY,MATCH($N$1,Database!$F$1:$AY$1,),))))-(((VLOOKUP(EDATE(B116,-12),Database!$F:$AY,MATCH($N$1,Database!$F$1:$AY$1,),)))))/(((VLOOKUP(EDATE(B116,-12),Database!$F:$AY,MATCH($N$1,Database!$F$1:$AY$1,),))))</f>
        <v>8.0916533805454258E-2</v>
      </c>
      <c r="O116" s="13">
        <f>((((VLOOKUP(B116,Database!$F:$AY,MATCH($O$1,Database!$F$1:$AY$1,),))))-(((VLOOKUP(EDATE(B116,-12),Database!$F:$AY,MATCH($O$1,Database!$F$1:$AY$1,),)))))/(((VLOOKUP(EDATE(B116,-12),Database!$F:$AY,MATCH($O$1,Database!$F$1:$AY$1,),))))</f>
        <v>5.3681967426718429E-2</v>
      </c>
      <c r="P116" s="13">
        <f>((((VLOOKUP(B116,Database!$F:$AY,MATCH($P$1,Database!$F$1:$AY$1,),))))-(((VLOOKUP(EDATE(B116,-12),Database!$F:$AY,MATCH($P$1,Database!$F$1:$AY$1,),)))))/(((VLOOKUP(EDATE(B116,-12),Database!$F:$AY,MATCH($P$1,Database!$F$1:$AY$1,),))))</f>
        <v>7.6742616888940754E-2</v>
      </c>
      <c r="Q116" s="13">
        <f>((((VLOOKUP(B116,Database!$F:$AY,MATCH($Q$1,Database!$F$1:$AY$1,),))))-(((VLOOKUP(EDATE(B116,-12),Database!$F:$AY,MATCH($Q$1,Database!$F$1:$AY$1,),)))))/(((VLOOKUP(EDATE(B116,-12),Database!$F:$AY,MATCH($Q$1,Database!$F$1:$AY$1,),))))</f>
        <v>5.3414031006876687E-2</v>
      </c>
      <c r="R116" s="13">
        <f>((((VLOOKUP(B116,Database!$F:$AY,MATCH($R$1,Database!$F$1:$AY$1,),))))-(((VLOOKUP(EDATE(B116,-12),Database!$F:$AY,MATCH($R$1,Database!$F$1:$AY$1,),)))))/(((VLOOKUP(EDATE(B116,-12),Database!$F:$AY,MATCH($R$1,Database!$F$1:$AY$1,),))))</f>
        <v>1.6942587265016976E-2</v>
      </c>
      <c r="S116" s="13">
        <f>((((VLOOKUP(B116,Database!$F:$AY,MATCH($S$1,Database!$F$1:$AY$1,),))))-(((VLOOKUP(EDATE(B116,-12),Database!$F:$AY,MATCH($S$1,Database!$F$1:$AY$1,),)))))/(((VLOOKUP(EDATE(B116,-12),Database!$F:$AY,MATCH($S$1,Database!$F$1:$AY$1,),))))</f>
        <v>0.26804131315256846</v>
      </c>
      <c r="T116" s="13">
        <f>((((VLOOKUP(B116,Database!$F:$AY,MATCH($T$1,Database!$F$1:$AY$1,),))))-(((VLOOKUP(EDATE(B116,-12),Database!$F:$AY,MATCH($T$1,Database!$F$1:$AY$1,),)))))/(((VLOOKUP(EDATE(B116,-12),Database!$F:$AY,MATCH($T$1,Database!$F$1:$AY$1,),))))</f>
        <v>0.14854101906630954</v>
      </c>
      <c r="U116" s="13">
        <f>((((VLOOKUP(B116,Database!$F:$AY,MATCH($U$1,Database!$F$1:$AY$1,),))))-(((VLOOKUP(EDATE(B116,-12),Database!$F:$AY,MATCH($U$1,Database!$F$1:$AY$1,),)))))/(((VLOOKUP(EDATE(B116,-12),Database!$F:$AY,MATCH($U$1,Database!$F$1:$AY$1,),))))</f>
        <v>5.5300098137858154E-2</v>
      </c>
      <c r="V116" s="13">
        <f>((((VLOOKUP(B116,Database!$F:$AY,MATCH($V$1,Database!$F$1:$AY$1,),))))-(((VLOOKUP(EDATE(B116,-12),Database!$F:$AY,MATCH($V$1,Database!$F$1:$AY$1,),)))))/(((VLOOKUP(EDATE(B116,-12),Database!$F:$AY,MATCH($V$1,Database!$F$1:$AY$1,),))))</f>
        <v>0.13337723443733993</v>
      </c>
    </row>
    <row r="117" spans="1:22" s="85" customFormat="1" x14ac:dyDescent="0.2">
      <c r="A117" s="44"/>
      <c r="B117" s="91">
        <v>35704</v>
      </c>
      <c r="C117" s="13">
        <f>((((VLOOKUP(B117,Database!$F:$AY,MATCH($C$1,Database!$F$1:$AY$1,),))))-(((VLOOKUP(EDATE(B117,-12),Database!$F:$AY,MATCH($C$1,Database!$F$1:$AY$1,),)))))/(((VLOOKUP(EDATE(B117,-12),Database!$F:$AY,MATCH($C$1,Database!$F$1:$AY$1,),))))</f>
        <v>8.5156082573537711E-2</v>
      </c>
      <c r="D117" s="13">
        <f>((((VLOOKUP(B117,Database!$F:$AY,MATCH($D$1,Database!$F$1:$AY$1,),))))-(((VLOOKUP(EDATE(B117,-12),Database!$F:$AY,MATCH($D$1,Database!$F$1:$AY$1,),)))))/(((VLOOKUP(EDATE(B117,-12),Database!$F:$AY,MATCH($D$1,Database!$F$1:$AY$1,),))))</f>
        <v>6.8459695668116799E-2</v>
      </c>
      <c r="E117" s="13">
        <f>((((VLOOKUP(B117,Database!$F:$AY,MATCH($E$1,Database!$F$1:$AY$1,),))))-(((VLOOKUP(EDATE(B117,-12),Database!$F:$AY,MATCH($E$1,Database!$F$1:$AY$1,),)))))/(((VLOOKUP(EDATE(B117,-12),Database!$F:$AY,MATCH($E$1,Database!$F$1:$AY$1,),))))</f>
        <v>1.6377900094809321E-2</v>
      </c>
      <c r="F117" s="13">
        <f>((((VLOOKUP(B117,Database!$F:$AY,MATCH($F$1,Database!$F$1:$AY$1,),))))-(((VLOOKUP(EDATE(B117,-12),Database!$F:$AY,MATCH($F$1,Database!$F$1:$AY$1,),)))))/(((VLOOKUP(EDATE(B117,-12),Database!$F:$AY,MATCH($F$1,Database!$F$1:$AY$1,),))))</f>
        <v>5.0359735005261697E-2</v>
      </c>
      <c r="G117" s="13">
        <f>((((VLOOKUP(B117,Database!$F:$AY,MATCH($G$1,Database!$F$1:$AY$1,),))))-(((VLOOKUP(EDATE(B117,-12),Database!$F:$AY,MATCH($G$1,Database!$F$1:$AY$1,),)))))/(((VLOOKUP(EDATE(B117,-12),Database!$F:$AY,MATCH($G$1,Database!$F$1:$AY$1,),))))</f>
        <v>8.3625809863303591E-2</v>
      </c>
      <c r="H117" s="13">
        <f>((((VLOOKUP(B117,Database!$F:$AY,MATCH($H$1,Database!$F$1:$AY$1,),))))-(((VLOOKUP(EDATE(B117,-12),Database!$F:$AY,MATCH($H$1,Database!$F$1:$AY$1,),)))))/(((VLOOKUP(EDATE(B117,-12),Database!$F:$AY,MATCH($H$1,Database!$F$1:$AY$1,),))))</f>
        <v>1.4908462382301008E-2</v>
      </c>
      <c r="I117" s="13">
        <f>((((VLOOKUP(B117,Database!$F:$AY,MATCH($I$1,Database!$F$1:$AY$1,),))))-(((VLOOKUP(EDATE(B117,-12),Database!$F:$AY,MATCH($I$1,Database!$F$1:$AY$1,),)))))/(((VLOOKUP(EDATE(B117,-12),Database!$F:$AY,MATCH($I$1,Database!$F$1:$AY$1,),))))</f>
        <v>7.2476298706621672E-2</v>
      </c>
      <c r="J117" s="13">
        <f>((((VLOOKUP(B117,Database!$F:$AY,MATCH($J$1,Database!$F$1:$AY$1,),))))-(((VLOOKUP(EDATE(B117,-12),Database!$F:$AY,MATCH($J$1,Database!$F$1:$AY$1,),)))))/(((VLOOKUP(EDATE(B117,-12),Database!$F:$AY,MATCH($J$1,Database!$F$1:$AY$1,),))))</f>
        <v>9.2038219949482594E-2</v>
      </c>
      <c r="K117" s="13">
        <f>((((VLOOKUP(B117,Database!$F:$AY,MATCH($K$1,Database!$F$1:$AY$1,),))))-(((VLOOKUP(EDATE(B117,-12),Database!$F:$AY,MATCH($K$1,Database!$F$1:$AY$1,),)))))/(((VLOOKUP(EDATE(B117,-12),Database!$F:$AY,MATCH($K$1,Database!$F$1:$AY$1,),))))</f>
        <v>7.7658361151718341E-2</v>
      </c>
      <c r="L117" s="13">
        <f>((((VLOOKUP(B117,Database!$F:$AY,MATCH($L$1,Database!$F$1:$AY$1,),))))-(((VLOOKUP(EDATE(B117,-12),Database!$F:$AY,MATCH($L$1,Database!$F$1:$AY$1,),)))))/(((VLOOKUP(EDATE(B117,-12),Database!$F:$AY,MATCH($L$1,Database!$F$1:$AY$1,),))))</f>
        <v>8.0988431935923949E-2</v>
      </c>
      <c r="M117" s="13">
        <f>((((VLOOKUP(B117,Database!$F:$AY,MATCH($M$1,Database!$F$1:$AY$1,),))))-(((VLOOKUP(EDATE(B117,-12),Database!$F:$AY,MATCH($M$1,Database!$F$1:$AY$1,),)))))/(((VLOOKUP(EDATE(B117,-12),Database!$F:$AY,MATCH($M$1,Database!$F$1:$AY$1,),))))</f>
        <v>2.2602370502920122E-2</v>
      </c>
      <c r="N117" s="13">
        <f>((((VLOOKUP(B117,Database!$F:$AY,MATCH($N$1,Database!$F$1:$AY$1,),))))-(((VLOOKUP(EDATE(B117,-12),Database!$F:$AY,MATCH($N$1,Database!$F$1:$AY$1,),)))))/(((VLOOKUP(EDATE(B117,-12),Database!$F:$AY,MATCH($N$1,Database!$F$1:$AY$1,),))))</f>
        <v>6.9291934441624251E-2</v>
      </c>
      <c r="O117" s="13">
        <f>((((VLOOKUP(B117,Database!$F:$AY,MATCH($O$1,Database!$F$1:$AY$1,),))))-(((VLOOKUP(EDATE(B117,-12),Database!$F:$AY,MATCH($O$1,Database!$F$1:$AY$1,),)))))/(((VLOOKUP(EDATE(B117,-12),Database!$F:$AY,MATCH($O$1,Database!$F$1:$AY$1,),))))</f>
        <v>6.9396762154484065E-2</v>
      </c>
      <c r="P117" s="13">
        <f>((((VLOOKUP(B117,Database!$F:$AY,MATCH($P$1,Database!$F$1:$AY$1,),))))-(((VLOOKUP(EDATE(B117,-12),Database!$F:$AY,MATCH($P$1,Database!$F$1:$AY$1,),)))))/(((VLOOKUP(EDATE(B117,-12),Database!$F:$AY,MATCH($P$1,Database!$F$1:$AY$1,),))))</f>
        <v>6.7037751235635046E-2</v>
      </c>
      <c r="Q117" s="13">
        <f>((((VLOOKUP(B117,Database!$F:$AY,MATCH($Q$1,Database!$F$1:$AY$1,),))))-(((VLOOKUP(EDATE(B117,-12),Database!$F:$AY,MATCH($Q$1,Database!$F$1:$AY$1,),)))))/(((VLOOKUP(EDATE(B117,-12),Database!$F:$AY,MATCH($Q$1,Database!$F$1:$AY$1,),))))</f>
        <v>5.1739121441052298E-2</v>
      </c>
      <c r="R117" s="13">
        <f>((((VLOOKUP(B117,Database!$F:$AY,MATCH($R$1,Database!$F$1:$AY$1,),))))-(((VLOOKUP(EDATE(B117,-12),Database!$F:$AY,MATCH($R$1,Database!$F$1:$AY$1,),)))))/(((VLOOKUP(EDATE(B117,-12),Database!$F:$AY,MATCH($R$1,Database!$F$1:$AY$1,),))))</f>
        <v>3.3506477006748178E-2</v>
      </c>
      <c r="S117" s="13">
        <f>((((VLOOKUP(B117,Database!$F:$AY,MATCH($S$1,Database!$F$1:$AY$1,),))))-(((VLOOKUP(EDATE(B117,-12),Database!$F:$AY,MATCH($S$1,Database!$F$1:$AY$1,),)))))/(((VLOOKUP(EDATE(B117,-12),Database!$F:$AY,MATCH($S$1,Database!$F$1:$AY$1,),))))</f>
        <v>0.20343153132002639</v>
      </c>
      <c r="T117" s="13">
        <f>((((VLOOKUP(B117,Database!$F:$AY,MATCH($T$1,Database!$F$1:$AY$1,),))))-(((VLOOKUP(EDATE(B117,-12),Database!$F:$AY,MATCH($T$1,Database!$F$1:$AY$1,),)))))/(((VLOOKUP(EDATE(B117,-12),Database!$F:$AY,MATCH($T$1,Database!$F$1:$AY$1,),))))</f>
        <v>5.4054133747258128E-2</v>
      </c>
      <c r="U117" s="13">
        <f>((((VLOOKUP(B117,Database!$F:$AY,MATCH($U$1,Database!$F$1:$AY$1,),))))-(((VLOOKUP(EDATE(B117,-12),Database!$F:$AY,MATCH($U$1,Database!$F$1:$AY$1,),)))))/(((VLOOKUP(EDATE(B117,-12),Database!$F:$AY,MATCH($U$1,Database!$F$1:$AY$1,),))))</f>
        <v>9.1274974920400279E-2</v>
      </c>
      <c r="V117" s="13">
        <f>((((VLOOKUP(B117,Database!$F:$AY,MATCH($V$1,Database!$F$1:$AY$1,),))))-(((VLOOKUP(EDATE(B117,-12),Database!$F:$AY,MATCH($V$1,Database!$F$1:$AY$1,),)))))/(((VLOOKUP(EDATE(B117,-12),Database!$F:$AY,MATCH($V$1,Database!$F$1:$AY$1,),))))</f>
        <v>0.10003632887901205</v>
      </c>
    </row>
    <row r="118" spans="1:22" s="85" customFormat="1" x14ac:dyDescent="0.2">
      <c r="A118" s="44"/>
      <c r="B118" s="91">
        <v>35735</v>
      </c>
      <c r="C118" s="13">
        <f>((((VLOOKUP(B118,Database!$F:$AY,MATCH($C$1,Database!$F$1:$AY$1,),))))-(((VLOOKUP(EDATE(B118,-12),Database!$F:$AY,MATCH($C$1,Database!$F$1:$AY$1,),)))))/(((VLOOKUP(EDATE(B118,-12),Database!$F:$AY,MATCH($C$1,Database!$F$1:$AY$1,),))))</f>
        <v>8.5102699456843442E-2</v>
      </c>
      <c r="D118" s="13">
        <f>((((VLOOKUP(B118,Database!$F:$AY,MATCH($D$1,Database!$F$1:$AY$1,),))))-(((VLOOKUP(EDATE(B118,-12),Database!$F:$AY,MATCH($D$1,Database!$F$1:$AY$1,),)))))/(((VLOOKUP(EDATE(B118,-12),Database!$F:$AY,MATCH($D$1,Database!$F$1:$AY$1,),))))</f>
        <v>5.4545454545454591E-2</v>
      </c>
      <c r="E118" s="13">
        <f>((((VLOOKUP(B118,Database!$F:$AY,MATCH($E$1,Database!$F$1:$AY$1,),))))-(((VLOOKUP(EDATE(B118,-12),Database!$F:$AY,MATCH($E$1,Database!$F$1:$AY$1,),)))))/(((VLOOKUP(EDATE(B118,-12),Database!$F:$AY,MATCH($E$1,Database!$F$1:$AY$1,),))))</f>
        <v>-9.5867668581497132E-4</v>
      </c>
      <c r="F118" s="13">
        <f>((((VLOOKUP(B118,Database!$F:$AY,MATCH($F$1,Database!$F$1:$AY$1,),))))-(((VLOOKUP(EDATE(B118,-12),Database!$F:$AY,MATCH($F$1,Database!$F$1:$AY$1,),)))))/(((VLOOKUP(EDATE(B118,-12),Database!$F:$AY,MATCH($F$1,Database!$F$1:$AY$1,),))))</f>
        <v>4.1134630642296E-2</v>
      </c>
      <c r="G118" s="13">
        <f>((((VLOOKUP(B118,Database!$F:$AY,MATCH($G$1,Database!$F$1:$AY$1,),))))-(((VLOOKUP(EDATE(B118,-12),Database!$F:$AY,MATCH($G$1,Database!$F$1:$AY$1,),)))))/(((VLOOKUP(EDATE(B118,-12),Database!$F:$AY,MATCH($G$1,Database!$F$1:$AY$1,),))))</f>
        <v>4.5665024459497883E-2</v>
      </c>
      <c r="H118" s="13">
        <f>((((VLOOKUP(B118,Database!$F:$AY,MATCH($H$1,Database!$F$1:$AY$1,),))))-(((VLOOKUP(EDATE(B118,-12),Database!$F:$AY,MATCH($H$1,Database!$F$1:$AY$1,),)))))/(((VLOOKUP(EDATE(B118,-12),Database!$F:$AY,MATCH($H$1,Database!$F$1:$AY$1,),))))</f>
        <v>1.2238794148762654E-2</v>
      </c>
      <c r="I118" s="13">
        <f>((((VLOOKUP(B118,Database!$F:$AY,MATCH($I$1,Database!$F$1:$AY$1,),))))-(((VLOOKUP(EDATE(B118,-12),Database!$F:$AY,MATCH($I$1,Database!$F$1:$AY$1,),)))))/(((VLOOKUP(EDATE(B118,-12),Database!$F:$AY,MATCH($I$1,Database!$F$1:$AY$1,),))))</f>
        <v>7.1057037673844567E-2</v>
      </c>
      <c r="J118" s="13">
        <f>((((VLOOKUP(B118,Database!$F:$AY,MATCH($J$1,Database!$F$1:$AY$1,),))))-(((VLOOKUP(EDATE(B118,-12),Database!$F:$AY,MATCH($J$1,Database!$F$1:$AY$1,),)))))/(((VLOOKUP(EDATE(B118,-12),Database!$F:$AY,MATCH($J$1,Database!$F$1:$AY$1,),))))</f>
        <v>6.7053492938145706E-2</v>
      </c>
      <c r="K118" s="13">
        <f>((((VLOOKUP(B118,Database!$F:$AY,MATCH($K$1,Database!$F$1:$AY$1,),))))-(((VLOOKUP(EDATE(B118,-12),Database!$F:$AY,MATCH($K$1,Database!$F$1:$AY$1,),)))))/(((VLOOKUP(EDATE(B118,-12),Database!$F:$AY,MATCH($K$1,Database!$F$1:$AY$1,),))))</f>
        <v>6.0141528121518781E-2</v>
      </c>
      <c r="L118" s="13">
        <f>((((VLOOKUP(B118,Database!$F:$AY,MATCH($L$1,Database!$F$1:$AY$1,),))))-(((VLOOKUP(EDATE(B118,-12),Database!$F:$AY,MATCH($L$1,Database!$F$1:$AY$1,),)))))/(((VLOOKUP(EDATE(B118,-12),Database!$F:$AY,MATCH($L$1,Database!$F$1:$AY$1,),))))</f>
        <v>7.3229737293598496E-2</v>
      </c>
      <c r="M118" s="13">
        <f>((((VLOOKUP(B118,Database!$F:$AY,MATCH($M$1,Database!$F$1:$AY$1,),))))-(((VLOOKUP(EDATE(B118,-12),Database!$F:$AY,MATCH($M$1,Database!$F$1:$AY$1,),)))))/(((VLOOKUP(EDATE(B118,-12),Database!$F:$AY,MATCH($M$1,Database!$F$1:$AY$1,),))))</f>
        <v>4.2394031053491502E-2</v>
      </c>
      <c r="N118" s="13">
        <f>((((VLOOKUP(B118,Database!$F:$AY,MATCH($N$1,Database!$F$1:$AY$1,),))))-(((VLOOKUP(EDATE(B118,-12),Database!$F:$AY,MATCH($N$1,Database!$F$1:$AY$1,),)))))/(((VLOOKUP(EDATE(B118,-12),Database!$F:$AY,MATCH($N$1,Database!$F$1:$AY$1,),))))</f>
        <v>0.10706496882322909</v>
      </c>
      <c r="O118" s="13">
        <f>((((VLOOKUP(B118,Database!$F:$AY,MATCH($O$1,Database!$F$1:$AY$1,),))))-(((VLOOKUP(EDATE(B118,-12),Database!$F:$AY,MATCH($O$1,Database!$F$1:$AY$1,),)))))/(((VLOOKUP(EDATE(B118,-12),Database!$F:$AY,MATCH($O$1,Database!$F$1:$AY$1,),))))</f>
        <v>5.4176473028402734E-2</v>
      </c>
      <c r="P118" s="13">
        <f>((((VLOOKUP(B118,Database!$F:$AY,MATCH($P$1,Database!$F$1:$AY$1,),))))-(((VLOOKUP(EDATE(B118,-12),Database!$F:$AY,MATCH($P$1,Database!$F$1:$AY$1,),)))))/(((VLOOKUP(EDATE(B118,-12),Database!$F:$AY,MATCH($P$1,Database!$F$1:$AY$1,),))))</f>
        <v>3.9702176422882166E-2</v>
      </c>
      <c r="Q118" s="13">
        <f>((((VLOOKUP(B118,Database!$F:$AY,MATCH($Q$1,Database!$F$1:$AY$1,),))))-(((VLOOKUP(EDATE(B118,-12),Database!$F:$AY,MATCH($Q$1,Database!$F$1:$AY$1,),)))))/(((VLOOKUP(EDATE(B118,-12),Database!$F:$AY,MATCH($Q$1,Database!$F$1:$AY$1,),))))</f>
        <v>-1.5219910367235924E-3</v>
      </c>
      <c r="R118" s="13">
        <f>((((VLOOKUP(B118,Database!$F:$AY,MATCH($R$1,Database!$F$1:$AY$1,),))))-(((VLOOKUP(EDATE(B118,-12),Database!$F:$AY,MATCH($R$1,Database!$F$1:$AY$1,),)))))/(((VLOOKUP(EDATE(B118,-12),Database!$F:$AY,MATCH($R$1,Database!$F$1:$AY$1,),))))</f>
        <v>2.432632156458792E-2</v>
      </c>
      <c r="S118" s="13">
        <f>((((VLOOKUP(B118,Database!$F:$AY,MATCH($S$1,Database!$F$1:$AY$1,),))))-(((VLOOKUP(EDATE(B118,-12),Database!$F:$AY,MATCH($S$1,Database!$F$1:$AY$1,),)))))/(((VLOOKUP(EDATE(B118,-12),Database!$F:$AY,MATCH($S$1,Database!$F$1:$AY$1,),))))</f>
        <v>0.1697251974830587</v>
      </c>
      <c r="T118" s="13">
        <f>((((VLOOKUP(B118,Database!$F:$AY,MATCH($T$1,Database!$F$1:$AY$1,),))))-(((VLOOKUP(EDATE(B118,-12),Database!$F:$AY,MATCH($T$1,Database!$F$1:$AY$1,),)))))/(((VLOOKUP(EDATE(B118,-12),Database!$F:$AY,MATCH($T$1,Database!$F$1:$AY$1,),))))</f>
        <v>3.4229748739442477E-2</v>
      </c>
      <c r="U118" s="13">
        <f>((((VLOOKUP(B118,Database!$F:$AY,MATCH($U$1,Database!$F$1:$AY$1,),))))-(((VLOOKUP(EDATE(B118,-12),Database!$F:$AY,MATCH($U$1,Database!$F$1:$AY$1,),)))))/(((VLOOKUP(EDATE(B118,-12),Database!$F:$AY,MATCH($U$1,Database!$F$1:$AY$1,),))))</f>
        <v>0.1174419813667674</v>
      </c>
      <c r="V118" s="13">
        <f>((((VLOOKUP(B118,Database!$F:$AY,MATCH($V$1,Database!$F$1:$AY$1,),))))-(((VLOOKUP(EDATE(B118,-12),Database!$F:$AY,MATCH($V$1,Database!$F$1:$AY$1,),)))))/(((VLOOKUP(EDATE(B118,-12),Database!$F:$AY,MATCH($V$1,Database!$F$1:$AY$1,),))))</f>
        <v>0.13544810467146889</v>
      </c>
    </row>
    <row r="119" spans="1:22" s="85" customFormat="1" x14ac:dyDescent="0.2">
      <c r="A119" s="44"/>
      <c r="B119" s="91">
        <v>35765</v>
      </c>
      <c r="C119" s="13">
        <f>((((VLOOKUP(B119,Database!$F:$AY,MATCH($C$1,Database!$F$1:$AY$1,),))))-(((VLOOKUP(EDATE(B119,-12),Database!$F:$AY,MATCH($C$1,Database!$F$1:$AY$1,),)))))/(((VLOOKUP(EDATE(B119,-12),Database!$F:$AY,MATCH($C$1,Database!$F$1:$AY$1,),))))</f>
        <v>8.1420754678785068E-2</v>
      </c>
      <c r="D119" s="13">
        <f>((((VLOOKUP(B119,Database!$F:$AY,MATCH($D$1,Database!$F$1:$AY$1,),))))-(((VLOOKUP(EDATE(B119,-12),Database!$F:$AY,MATCH($D$1,Database!$F$1:$AY$1,),)))))/(((VLOOKUP(EDATE(B119,-12),Database!$F:$AY,MATCH($D$1,Database!$F$1:$AY$1,),))))</f>
        <v>6.9258803623301043E-2</v>
      </c>
      <c r="E119" s="13">
        <f>((((VLOOKUP(B119,Database!$F:$AY,MATCH($E$1,Database!$F$1:$AY$1,),))))-(((VLOOKUP(EDATE(B119,-12),Database!$F:$AY,MATCH($E$1,Database!$F$1:$AY$1,),)))))/(((VLOOKUP(EDATE(B119,-12),Database!$F:$AY,MATCH($E$1,Database!$F$1:$AY$1,),))))</f>
        <v>-1.9942894547824615E-2</v>
      </c>
      <c r="F119" s="13">
        <f>((((VLOOKUP(B119,Database!$F:$AY,MATCH($F$1,Database!$F$1:$AY$1,),))))-(((VLOOKUP(EDATE(B119,-12),Database!$F:$AY,MATCH($F$1,Database!$F$1:$AY$1,),)))))/(((VLOOKUP(EDATE(B119,-12),Database!$F:$AY,MATCH($F$1,Database!$F$1:$AY$1,),))))</f>
        <v>5.1063826165384248E-2</v>
      </c>
      <c r="G119" s="13">
        <f>((((VLOOKUP(B119,Database!$F:$AY,MATCH($G$1,Database!$F$1:$AY$1,),))))-(((VLOOKUP(EDATE(B119,-12),Database!$F:$AY,MATCH($G$1,Database!$F$1:$AY$1,),)))))/(((VLOOKUP(EDATE(B119,-12),Database!$F:$AY,MATCH($G$1,Database!$F$1:$AY$1,),))))</f>
        <v>6.4922240384575058E-2</v>
      </c>
      <c r="H119" s="13">
        <f>((((VLOOKUP(B119,Database!$F:$AY,MATCH($H$1,Database!$F$1:$AY$1,),))))-(((VLOOKUP(EDATE(B119,-12),Database!$F:$AY,MATCH($H$1,Database!$F$1:$AY$1,),)))))/(((VLOOKUP(EDATE(B119,-12),Database!$F:$AY,MATCH($H$1,Database!$F$1:$AY$1,),))))</f>
        <v>5.651159844008909E-3</v>
      </c>
      <c r="I119" s="13">
        <f>((((VLOOKUP(B119,Database!$F:$AY,MATCH($I$1,Database!$F$1:$AY$1,),))))-(((VLOOKUP(EDATE(B119,-12),Database!$F:$AY,MATCH($I$1,Database!$F$1:$AY$1,),)))))/(((VLOOKUP(EDATE(B119,-12),Database!$F:$AY,MATCH($I$1,Database!$F$1:$AY$1,),))))</f>
        <v>8.1667975782515251E-2</v>
      </c>
      <c r="J119" s="13">
        <f>((((VLOOKUP(B119,Database!$F:$AY,MATCH($J$1,Database!$F$1:$AY$1,),))))-(((VLOOKUP(EDATE(B119,-12),Database!$F:$AY,MATCH($J$1,Database!$F$1:$AY$1,),)))))/(((VLOOKUP(EDATE(B119,-12),Database!$F:$AY,MATCH($J$1,Database!$F$1:$AY$1,),))))</f>
        <v>8.0741652869021893E-2</v>
      </c>
      <c r="K119" s="13">
        <f>((((VLOOKUP(B119,Database!$F:$AY,MATCH($K$1,Database!$F$1:$AY$1,),))))-(((VLOOKUP(EDATE(B119,-12),Database!$F:$AY,MATCH($K$1,Database!$F$1:$AY$1,),)))))/(((VLOOKUP(EDATE(B119,-12),Database!$F:$AY,MATCH($K$1,Database!$F$1:$AY$1,),))))</f>
        <v>5.0516698718792302E-2</v>
      </c>
      <c r="L119" s="13">
        <f>((((VLOOKUP(B119,Database!$F:$AY,MATCH($L$1,Database!$F$1:$AY$1,),))))-(((VLOOKUP(EDATE(B119,-12),Database!$F:$AY,MATCH($L$1,Database!$F$1:$AY$1,),)))))/(((VLOOKUP(EDATE(B119,-12),Database!$F:$AY,MATCH($L$1,Database!$F$1:$AY$1,),))))</f>
        <v>3.8555429715689059E-2</v>
      </c>
      <c r="M119" s="13">
        <f>((((VLOOKUP(B119,Database!$F:$AY,MATCH($M$1,Database!$F$1:$AY$1,),))))-(((VLOOKUP(EDATE(B119,-12),Database!$F:$AY,MATCH($M$1,Database!$F$1:$AY$1,),)))))/(((VLOOKUP(EDATE(B119,-12),Database!$F:$AY,MATCH($M$1,Database!$F$1:$AY$1,),))))</f>
        <v>2.0233148743127018E-2</v>
      </c>
      <c r="N119" s="13">
        <f>((((VLOOKUP(B119,Database!$F:$AY,MATCH($N$1,Database!$F$1:$AY$1,),))))-(((VLOOKUP(EDATE(B119,-12),Database!$F:$AY,MATCH($N$1,Database!$F$1:$AY$1,),)))))/(((VLOOKUP(EDATE(B119,-12),Database!$F:$AY,MATCH($N$1,Database!$F$1:$AY$1,),))))</f>
        <v>6.8983752194105241E-2</v>
      </c>
      <c r="O119" s="13">
        <f>((((VLOOKUP(B119,Database!$F:$AY,MATCH($O$1,Database!$F$1:$AY$1,),))))-(((VLOOKUP(EDATE(B119,-12),Database!$F:$AY,MATCH($O$1,Database!$F$1:$AY$1,),)))))/(((VLOOKUP(EDATE(B119,-12),Database!$F:$AY,MATCH($O$1,Database!$F$1:$AY$1,),))))</f>
        <v>7.5570920238834799E-2</v>
      </c>
      <c r="P119" s="13">
        <f>((((VLOOKUP(B119,Database!$F:$AY,MATCH($P$1,Database!$F$1:$AY$1,),))))-(((VLOOKUP(EDATE(B119,-12),Database!$F:$AY,MATCH($P$1,Database!$F$1:$AY$1,),)))))/(((VLOOKUP(EDATE(B119,-12),Database!$F:$AY,MATCH($P$1,Database!$F$1:$AY$1,),))))</f>
        <v>-2.5933562223955748E-3</v>
      </c>
      <c r="Q119" s="13">
        <f>((((VLOOKUP(B119,Database!$F:$AY,MATCH($Q$1,Database!$F$1:$AY$1,),))))-(((VLOOKUP(EDATE(B119,-12),Database!$F:$AY,MATCH($Q$1,Database!$F$1:$AY$1,),)))))/(((VLOOKUP(EDATE(B119,-12),Database!$F:$AY,MATCH($Q$1,Database!$F$1:$AY$1,),))))</f>
        <v>-3.6634903871300847E-2</v>
      </c>
      <c r="R119" s="13">
        <f>((((VLOOKUP(B119,Database!$F:$AY,MATCH($R$1,Database!$F$1:$AY$1,),))))-(((VLOOKUP(EDATE(B119,-12),Database!$F:$AY,MATCH($R$1,Database!$F$1:$AY$1,),)))))/(((VLOOKUP(EDATE(B119,-12),Database!$F:$AY,MATCH($R$1,Database!$F$1:$AY$1,),))))</f>
        <v>3.8078113784828185E-2</v>
      </c>
      <c r="S119" s="13">
        <f>((((VLOOKUP(B119,Database!$F:$AY,MATCH($S$1,Database!$F$1:$AY$1,),))))-(((VLOOKUP(EDATE(B119,-12),Database!$F:$AY,MATCH($S$1,Database!$F$1:$AY$1,),)))))/(((VLOOKUP(EDATE(B119,-12),Database!$F:$AY,MATCH($S$1,Database!$F$1:$AY$1,),))))</f>
        <v>0.18676101762772684</v>
      </c>
      <c r="T119" s="13">
        <f>((((VLOOKUP(B119,Database!$F:$AY,MATCH($T$1,Database!$F$1:$AY$1,),))))-(((VLOOKUP(EDATE(B119,-12),Database!$F:$AY,MATCH($T$1,Database!$F$1:$AY$1,),)))))/(((VLOOKUP(EDATE(B119,-12),Database!$F:$AY,MATCH($T$1,Database!$F$1:$AY$1,),))))</f>
        <v>6.4516297140406895E-2</v>
      </c>
      <c r="U119" s="13">
        <f>((((VLOOKUP(B119,Database!$F:$AY,MATCH($U$1,Database!$F$1:$AY$1,),))))-(((VLOOKUP(EDATE(B119,-12),Database!$F:$AY,MATCH($U$1,Database!$F$1:$AY$1,),)))))/(((VLOOKUP(EDATE(B119,-12),Database!$F:$AY,MATCH($U$1,Database!$F$1:$AY$1,),))))</f>
        <v>9.0936341750531613E-2</v>
      </c>
      <c r="V119" s="13">
        <f>((((VLOOKUP(B119,Database!$F:$AY,MATCH($V$1,Database!$F$1:$AY$1,),))))-(((VLOOKUP(EDATE(B119,-12),Database!$F:$AY,MATCH($V$1,Database!$F$1:$AY$1,),)))))/(((VLOOKUP(EDATE(B119,-12),Database!$F:$AY,MATCH($V$1,Database!$F$1:$AY$1,),))))</f>
        <v>0.12018301096253005</v>
      </c>
    </row>
    <row r="120" spans="1:22" s="85" customFormat="1" x14ac:dyDescent="0.2">
      <c r="A120" s="44"/>
      <c r="B120" s="91">
        <v>35796</v>
      </c>
      <c r="C120" s="13">
        <f>((((VLOOKUP(B120,Database!$F:$AY,MATCH($C$1,Database!$F$1:$AY$1,),))))-(((VLOOKUP(EDATE(B120,-12),Database!$F:$AY,MATCH($C$1,Database!$F$1:$AY$1,),)))))/(((VLOOKUP(EDATE(B120,-12),Database!$F:$AY,MATCH($C$1,Database!$F$1:$AY$1,),))))</f>
        <v>8.5435673326127143E-2</v>
      </c>
      <c r="D120" s="13">
        <f>((((VLOOKUP(B120,Database!$F:$AY,MATCH($D$1,Database!$F$1:$AY$1,),))))-(((VLOOKUP(EDATE(B120,-12),Database!$F:$AY,MATCH($D$1,Database!$F$1:$AY$1,),)))))/(((VLOOKUP(EDATE(B120,-12),Database!$F:$AY,MATCH($D$1,Database!$F$1:$AY$1,),))))</f>
        <v>6.9007258351996642E-2</v>
      </c>
      <c r="E120" s="13">
        <f>((((VLOOKUP(B120,Database!$F:$AY,MATCH($E$1,Database!$F$1:$AY$1,),))))-(((VLOOKUP(EDATE(B120,-12),Database!$F:$AY,MATCH($E$1,Database!$F$1:$AY$1,),)))))/(((VLOOKUP(EDATE(B120,-12),Database!$F:$AY,MATCH($E$1,Database!$F$1:$AY$1,),))))</f>
        <v>-2.0415561653944612E-2</v>
      </c>
      <c r="F120" s="13">
        <f>((((VLOOKUP(B120,Database!$F:$AY,MATCH($F$1,Database!$F$1:$AY$1,),))))-(((VLOOKUP(EDATE(B120,-12),Database!$F:$AY,MATCH($F$1,Database!$F$1:$AY$1,),)))))/(((VLOOKUP(EDATE(B120,-12),Database!$F:$AY,MATCH($F$1,Database!$F$1:$AY$1,),))))</f>
        <v>7.6149449235712166E-2</v>
      </c>
      <c r="G120" s="13">
        <f>((((VLOOKUP(B120,Database!$F:$AY,MATCH($G$1,Database!$F$1:$AY$1,),))))-(((VLOOKUP(EDATE(B120,-12),Database!$F:$AY,MATCH($G$1,Database!$F$1:$AY$1,),)))))/(((VLOOKUP(EDATE(B120,-12),Database!$F:$AY,MATCH($G$1,Database!$F$1:$AY$1,),))))</f>
        <v>7.4631093410751775E-2</v>
      </c>
      <c r="H120" s="13">
        <f>((((VLOOKUP(B120,Database!$F:$AY,MATCH($H$1,Database!$F$1:$AY$1,),))))-(((VLOOKUP(EDATE(B120,-12),Database!$F:$AY,MATCH($H$1,Database!$F$1:$AY$1,),)))))/(((VLOOKUP(EDATE(B120,-12),Database!$F:$AY,MATCH($H$1,Database!$F$1:$AY$1,),))))</f>
        <v>1.945071408293531E-3</v>
      </c>
      <c r="I120" s="13">
        <f>((((VLOOKUP(B120,Database!$F:$AY,MATCH($I$1,Database!$F$1:$AY$1,),))))-(((VLOOKUP(EDATE(B120,-12),Database!$F:$AY,MATCH($I$1,Database!$F$1:$AY$1,),)))))/(((VLOOKUP(EDATE(B120,-12),Database!$F:$AY,MATCH($I$1,Database!$F$1:$AY$1,),))))</f>
        <v>6.5517547588030967E-2</v>
      </c>
      <c r="J120" s="13">
        <f>((((VLOOKUP(B120,Database!$F:$AY,MATCH($J$1,Database!$F$1:$AY$1,),))))-(((VLOOKUP(EDATE(B120,-12),Database!$F:$AY,MATCH($J$1,Database!$F$1:$AY$1,),)))))/(((VLOOKUP(EDATE(B120,-12),Database!$F:$AY,MATCH($J$1,Database!$F$1:$AY$1,),))))</f>
        <v>6.923976696379007E-2</v>
      </c>
      <c r="K120" s="13">
        <f>((((VLOOKUP(B120,Database!$F:$AY,MATCH($K$1,Database!$F$1:$AY$1,),))))-(((VLOOKUP(EDATE(B120,-12),Database!$F:$AY,MATCH($K$1,Database!$F$1:$AY$1,),)))))/(((VLOOKUP(EDATE(B120,-12),Database!$F:$AY,MATCH($K$1,Database!$F$1:$AY$1,),))))</f>
        <v>3.318082447039733E-2</v>
      </c>
      <c r="L120" s="13">
        <f>((((VLOOKUP(B120,Database!$F:$AY,MATCH($L$1,Database!$F$1:$AY$1,),))))-(((VLOOKUP(EDATE(B120,-12),Database!$F:$AY,MATCH($L$1,Database!$F$1:$AY$1,),)))))/(((VLOOKUP(EDATE(B120,-12),Database!$F:$AY,MATCH($L$1,Database!$F$1:$AY$1,),))))</f>
        <v>6.2817836334508076E-2</v>
      </c>
      <c r="M120" s="13">
        <f>((((VLOOKUP(B120,Database!$F:$AY,MATCH($M$1,Database!$F$1:$AY$1,),))))-(((VLOOKUP(EDATE(B120,-12),Database!$F:$AY,MATCH($M$1,Database!$F$1:$AY$1,),)))))/(((VLOOKUP(EDATE(B120,-12),Database!$F:$AY,MATCH($M$1,Database!$F$1:$AY$1,),))))</f>
        <v>-3.8733601594328072E-2</v>
      </c>
      <c r="N120" s="13">
        <f>((((VLOOKUP(B120,Database!$F:$AY,MATCH($N$1,Database!$F$1:$AY$1,),))))-(((VLOOKUP(EDATE(B120,-12),Database!$F:$AY,MATCH($N$1,Database!$F$1:$AY$1,),)))))/(((VLOOKUP(EDATE(B120,-12),Database!$F:$AY,MATCH($N$1,Database!$F$1:$AY$1,),))))</f>
        <v>8.4449289456438301E-2</v>
      </c>
      <c r="O120" s="13">
        <f>((((VLOOKUP(B120,Database!$F:$AY,MATCH($O$1,Database!$F$1:$AY$1,),))))-(((VLOOKUP(EDATE(B120,-12),Database!$F:$AY,MATCH($O$1,Database!$F$1:$AY$1,),)))))/(((VLOOKUP(EDATE(B120,-12),Database!$F:$AY,MATCH($O$1,Database!$F$1:$AY$1,),))))</f>
        <v>4.1992979302260952E-2</v>
      </c>
      <c r="P120" s="13">
        <f>((((VLOOKUP(B120,Database!$F:$AY,MATCH($P$1,Database!$F$1:$AY$1,),))))-(((VLOOKUP(EDATE(B120,-12),Database!$F:$AY,MATCH($P$1,Database!$F$1:$AY$1,),)))))/(((VLOOKUP(EDATE(B120,-12),Database!$F:$AY,MATCH($P$1,Database!$F$1:$AY$1,),))))</f>
        <v>-5.4540356414065332E-3</v>
      </c>
      <c r="Q120" s="13">
        <f>((((VLOOKUP(B120,Database!$F:$AY,MATCH($Q$1,Database!$F$1:$AY$1,),))))-(((VLOOKUP(EDATE(B120,-12),Database!$F:$AY,MATCH($Q$1,Database!$F$1:$AY$1,),)))))/(((VLOOKUP(EDATE(B120,-12),Database!$F:$AY,MATCH($Q$1,Database!$F$1:$AY$1,),))))</f>
        <v>-1.9728152168660872E-2</v>
      </c>
      <c r="R120" s="13">
        <f>((((VLOOKUP(B120,Database!$F:$AY,MATCH($R$1,Database!$F$1:$AY$1,),))))-(((VLOOKUP(EDATE(B120,-12),Database!$F:$AY,MATCH($R$1,Database!$F$1:$AY$1,),)))))/(((VLOOKUP(EDATE(B120,-12),Database!$F:$AY,MATCH($R$1,Database!$F$1:$AY$1,),))))</f>
        <v>4.7390221462889688E-2</v>
      </c>
      <c r="S120" s="13">
        <f>((((VLOOKUP(B120,Database!$F:$AY,MATCH($S$1,Database!$F$1:$AY$1,),))))-(((VLOOKUP(EDATE(B120,-12),Database!$F:$AY,MATCH($S$1,Database!$F$1:$AY$1,),)))))/(((VLOOKUP(EDATE(B120,-12),Database!$F:$AY,MATCH($S$1,Database!$F$1:$AY$1,),))))</f>
        <v>0.16375535900165256</v>
      </c>
      <c r="T120" s="13">
        <f>((((VLOOKUP(B120,Database!$F:$AY,MATCH($T$1,Database!$F$1:$AY$1,),))))-(((VLOOKUP(EDATE(B120,-12),Database!$F:$AY,MATCH($T$1,Database!$F$1:$AY$1,),)))))/(((VLOOKUP(EDATE(B120,-12),Database!$F:$AY,MATCH($T$1,Database!$F$1:$AY$1,),))))</f>
        <v>0.11568135752180891</v>
      </c>
      <c r="U120" s="13">
        <f>((((VLOOKUP(B120,Database!$F:$AY,MATCH($U$1,Database!$F$1:$AY$1,),))))-(((VLOOKUP(EDATE(B120,-12),Database!$F:$AY,MATCH($U$1,Database!$F$1:$AY$1,),)))))/(((VLOOKUP(EDATE(B120,-12),Database!$F:$AY,MATCH($U$1,Database!$F$1:$AY$1,),))))</f>
        <v>9.156310207498515E-2</v>
      </c>
      <c r="V120" s="13">
        <f>((((VLOOKUP(B120,Database!$F:$AY,MATCH($V$1,Database!$F$1:$AY$1,),))))-(((VLOOKUP(EDATE(B120,-12),Database!$F:$AY,MATCH($V$1,Database!$F$1:$AY$1,),)))))/(((VLOOKUP(EDATE(B120,-12),Database!$F:$AY,MATCH($V$1,Database!$F$1:$AY$1,),))))</f>
        <v>0.11831578596559469</v>
      </c>
    </row>
    <row r="121" spans="1:22" s="85" customFormat="1" x14ac:dyDescent="0.2">
      <c r="A121" s="44"/>
      <c r="B121" s="91">
        <v>35827</v>
      </c>
      <c r="C121" s="13">
        <f>((((VLOOKUP(B121,Database!$F:$AY,MATCH($C$1,Database!$F$1:$AY$1,),))))-(((VLOOKUP(EDATE(B121,-12),Database!$F:$AY,MATCH($C$1,Database!$F$1:$AY$1,),)))))/(((VLOOKUP(EDATE(B121,-12),Database!$F:$AY,MATCH($C$1,Database!$F$1:$AY$1,),))))</f>
        <v>7.3870219303643E-2</v>
      </c>
      <c r="D121" s="13">
        <f>((((VLOOKUP(B121,Database!$F:$AY,MATCH($D$1,Database!$F$1:$AY$1,),))))-(((VLOOKUP(EDATE(B121,-12),Database!$F:$AY,MATCH($D$1,Database!$F$1:$AY$1,),)))))/(((VLOOKUP(EDATE(B121,-12),Database!$F:$AY,MATCH($D$1,Database!$F$1:$AY$1,),))))</f>
        <v>6.7388728446317436E-2</v>
      </c>
      <c r="E121" s="13">
        <f>((((VLOOKUP(B121,Database!$F:$AY,MATCH($E$1,Database!$F$1:$AY$1,),))))-(((VLOOKUP(EDATE(B121,-12),Database!$F:$AY,MATCH($E$1,Database!$F$1:$AY$1,),)))))/(((VLOOKUP(EDATE(B121,-12),Database!$F:$AY,MATCH($E$1,Database!$F$1:$AY$1,),))))</f>
        <v>-4.5910107695500808E-2</v>
      </c>
      <c r="F121" s="13">
        <f>((((VLOOKUP(B121,Database!$F:$AY,MATCH($F$1,Database!$F$1:$AY$1,),))))-(((VLOOKUP(EDATE(B121,-12),Database!$F:$AY,MATCH($F$1,Database!$F$1:$AY$1,),)))))/(((VLOOKUP(EDATE(B121,-12),Database!$F:$AY,MATCH($F$1,Database!$F$1:$AY$1,),))))</f>
        <v>5.8073675257939328E-2</v>
      </c>
      <c r="G121" s="13">
        <f>((((VLOOKUP(B121,Database!$F:$AY,MATCH($G$1,Database!$F$1:$AY$1,),))))-(((VLOOKUP(EDATE(B121,-12),Database!$F:$AY,MATCH($G$1,Database!$F$1:$AY$1,),)))))/(((VLOOKUP(EDATE(B121,-12),Database!$F:$AY,MATCH($G$1,Database!$F$1:$AY$1,),))))</f>
        <v>7.340469040166768E-2</v>
      </c>
      <c r="H121" s="13">
        <f>((((VLOOKUP(B121,Database!$F:$AY,MATCH($H$1,Database!$F$1:$AY$1,),))))-(((VLOOKUP(EDATE(B121,-12),Database!$F:$AY,MATCH($H$1,Database!$F$1:$AY$1,),)))))/(((VLOOKUP(EDATE(B121,-12),Database!$F:$AY,MATCH($H$1,Database!$F$1:$AY$1,),))))</f>
        <v>1.1650578040357547E-2</v>
      </c>
      <c r="I121" s="13">
        <f>((((VLOOKUP(B121,Database!$F:$AY,MATCH($I$1,Database!$F$1:$AY$1,),))))-(((VLOOKUP(EDATE(B121,-12),Database!$F:$AY,MATCH($I$1,Database!$F$1:$AY$1,),)))))/(((VLOOKUP(EDATE(B121,-12),Database!$F:$AY,MATCH($I$1,Database!$F$1:$AY$1,),))))</f>
        <v>4.660980318704433E-2</v>
      </c>
      <c r="J121" s="13">
        <f>((((VLOOKUP(B121,Database!$F:$AY,MATCH($J$1,Database!$F$1:$AY$1,),))))-(((VLOOKUP(EDATE(B121,-12),Database!$F:$AY,MATCH($J$1,Database!$F$1:$AY$1,),)))))/(((VLOOKUP(EDATE(B121,-12),Database!$F:$AY,MATCH($J$1,Database!$F$1:$AY$1,),))))</f>
        <v>0.10933615359893804</v>
      </c>
      <c r="K121" s="13">
        <f>((((VLOOKUP(B121,Database!$F:$AY,MATCH($K$1,Database!$F$1:$AY$1,),))))-(((VLOOKUP(EDATE(B121,-12),Database!$F:$AY,MATCH($K$1,Database!$F$1:$AY$1,),)))))/(((VLOOKUP(EDATE(B121,-12),Database!$F:$AY,MATCH($K$1,Database!$F$1:$AY$1,),))))</f>
        <v>4.2774654030129609E-2</v>
      </c>
      <c r="L121" s="13">
        <f>((((VLOOKUP(B121,Database!$F:$AY,MATCH($L$1,Database!$F$1:$AY$1,),))))-(((VLOOKUP(EDATE(B121,-12),Database!$F:$AY,MATCH($L$1,Database!$F$1:$AY$1,),)))))/(((VLOOKUP(EDATE(B121,-12),Database!$F:$AY,MATCH($L$1,Database!$F$1:$AY$1,),))))</f>
        <v>8.168228605046067E-2</v>
      </c>
      <c r="M121" s="13">
        <f>((((VLOOKUP(B121,Database!$F:$AY,MATCH($M$1,Database!$F$1:$AY$1,),))))-(((VLOOKUP(EDATE(B121,-12),Database!$F:$AY,MATCH($M$1,Database!$F$1:$AY$1,),)))))/(((VLOOKUP(EDATE(B121,-12),Database!$F:$AY,MATCH($M$1,Database!$F$1:$AY$1,),))))</f>
        <v>-3.7427269864739036E-2</v>
      </c>
      <c r="N121" s="13">
        <f>((((VLOOKUP(B121,Database!$F:$AY,MATCH($N$1,Database!$F$1:$AY$1,),))))-(((VLOOKUP(EDATE(B121,-12),Database!$F:$AY,MATCH($N$1,Database!$F$1:$AY$1,),)))))/(((VLOOKUP(EDATE(B121,-12),Database!$F:$AY,MATCH($N$1,Database!$F$1:$AY$1,),))))</f>
        <v>7.0326364358510682E-2</v>
      </c>
      <c r="O121" s="13">
        <f>((((VLOOKUP(B121,Database!$F:$AY,MATCH($O$1,Database!$F$1:$AY$1,),))))-(((VLOOKUP(EDATE(B121,-12),Database!$F:$AY,MATCH($O$1,Database!$F$1:$AY$1,),)))))/(((VLOOKUP(EDATE(B121,-12),Database!$F:$AY,MATCH($O$1,Database!$F$1:$AY$1,),))))</f>
        <v>4.333716043658422E-2</v>
      </c>
      <c r="P121" s="13">
        <f>((((VLOOKUP(B121,Database!$F:$AY,MATCH($P$1,Database!$F$1:$AY$1,),))))-(((VLOOKUP(EDATE(B121,-12),Database!$F:$AY,MATCH($P$1,Database!$F$1:$AY$1,),)))))/(((VLOOKUP(EDATE(B121,-12),Database!$F:$AY,MATCH($P$1,Database!$F$1:$AY$1,),))))</f>
        <v>-3.9155733802715434E-2</v>
      </c>
      <c r="Q121" s="13">
        <f>((((VLOOKUP(B121,Database!$F:$AY,MATCH($Q$1,Database!$F$1:$AY$1,),))))-(((VLOOKUP(EDATE(B121,-12),Database!$F:$AY,MATCH($Q$1,Database!$F$1:$AY$1,),)))))/(((VLOOKUP(EDATE(B121,-12),Database!$F:$AY,MATCH($Q$1,Database!$F$1:$AY$1,),))))</f>
        <v>-6.0005113111750753E-3</v>
      </c>
      <c r="R121" s="13">
        <f>((((VLOOKUP(B121,Database!$F:$AY,MATCH($R$1,Database!$F$1:$AY$1,),))))-(((VLOOKUP(EDATE(B121,-12),Database!$F:$AY,MATCH($R$1,Database!$F$1:$AY$1,),)))))/(((VLOOKUP(EDATE(B121,-12),Database!$F:$AY,MATCH($R$1,Database!$F$1:$AY$1,),))))</f>
        <v>5.773191809945287E-2</v>
      </c>
      <c r="S121" s="13">
        <f>((((VLOOKUP(B121,Database!$F:$AY,MATCH($S$1,Database!$F$1:$AY$1,),))))-(((VLOOKUP(EDATE(B121,-12),Database!$F:$AY,MATCH($S$1,Database!$F$1:$AY$1,),)))))/(((VLOOKUP(EDATE(B121,-12),Database!$F:$AY,MATCH($S$1,Database!$F$1:$AY$1,),))))</f>
        <v>0.27880185672410834</v>
      </c>
      <c r="T121" s="13">
        <f>((((VLOOKUP(B121,Database!$F:$AY,MATCH($T$1,Database!$F$1:$AY$1,),))))-(((VLOOKUP(EDATE(B121,-12),Database!$F:$AY,MATCH($T$1,Database!$F$1:$AY$1,),)))))/(((VLOOKUP(EDATE(B121,-12),Database!$F:$AY,MATCH($T$1,Database!$F$1:$AY$1,),))))</f>
        <v>9.5718056089815193E-2</v>
      </c>
      <c r="U121" s="13">
        <f>((((VLOOKUP(B121,Database!$F:$AY,MATCH($U$1,Database!$F$1:$AY$1,),))))-(((VLOOKUP(EDATE(B121,-12),Database!$F:$AY,MATCH($U$1,Database!$F$1:$AY$1,),)))))/(((VLOOKUP(EDATE(B121,-12),Database!$F:$AY,MATCH($U$1,Database!$F$1:$AY$1,),))))</f>
        <v>8.7207977698325861E-2</v>
      </c>
      <c r="V121" s="13">
        <f>((((VLOOKUP(B121,Database!$F:$AY,MATCH($V$1,Database!$F$1:$AY$1,),))))-(((VLOOKUP(EDATE(B121,-12),Database!$F:$AY,MATCH($V$1,Database!$F$1:$AY$1,),)))))/(((VLOOKUP(EDATE(B121,-12),Database!$F:$AY,MATCH($V$1,Database!$F$1:$AY$1,),))))</f>
        <v>0.10932524562588412</v>
      </c>
    </row>
    <row r="122" spans="1:22" s="85" customFormat="1" x14ac:dyDescent="0.2">
      <c r="A122" s="44"/>
      <c r="B122" s="91">
        <v>35855</v>
      </c>
      <c r="C122" s="13">
        <f>((((VLOOKUP(B122,Database!$F:$AY,MATCH($C$1,Database!$F$1:$AY$1,),))))-(((VLOOKUP(EDATE(B122,-12),Database!$F:$AY,MATCH($C$1,Database!$F$1:$AY$1,),)))))/(((VLOOKUP(EDATE(B122,-12),Database!$F:$AY,MATCH($C$1,Database!$F$1:$AY$1,),))))</f>
        <v>6.7447632289407464E-2</v>
      </c>
      <c r="D122" s="13">
        <f>((((VLOOKUP(B122,Database!$F:$AY,MATCH($D$1,Database!$F$1:$AY$1,),))))-(((VLOOKUP(EDATE(B122,-12),Database!$F:$AY,MATCH($D$1,Database!$F$1:$AY$1,),)))))/(((VLOOKUP(EDATE(B122,-12),Database!$F:$AY,MATCH($D$1,Database!$F$1:$AY$1,),))))</f>
        <v>5.5952420641535452E-2</v>
      </c>
      <c r="E122" s="13">
        <f>((((VLOOKUP(B122,Database!$F:$AY,MATCH($E$1,Database!$F$1:$AY$1,),))))-(((VLOOKUP(EDATE(B122,-12),Database!$F:$AY,MATCH($E$1,Database!$F$1:$AY$1,),)))))/(((VLOOKUP(EDATE(B122,-12),Database!$F:$AY,MATCH($E$1,Database!$F$1:$AY$1,),))))</f>
        <v>-6.9982382635914317E-2</v>
      </c>
      <c r="F122" s="13">
        <f>((((VLOOKUP(B122,Database!$F:$AY,MATCH($F$1,Database!$F$1:$AY$1,),))))-(((VLOOKUP(EDATE(B122,-12),Database!$F:$AY,MATCH($F$1,Database!$F$1:$AY$1,),)))))/(((VLOOKUP(EDATE(B122,-12),Database!$F:$AY,MATCH($F$1,Database!$F$1:$AY$1,),))))</f>
        <v>6.0224206358933476E-2</v>
      </c>
      <c r="G122" s="13">
        <f>((((VLOOKUP(B122,Database!$F:$AY,MATCH($G$1,Database!$F$1:$AY$1,),))))-(((VLOOKUP(EDATE(B122,-12),Database!$F:$AY,MATCH($G$1,Database!$F$1:$AY$1,),)))))/(((VLOOKUP(EDATE(B122,-12),Database!$F:$AY,MATCH($G$1,Database!$F$1:$AY$1,),))))</f>
        <v>5.6905942614811827E-2</v>
      </c>
      <c r="H122" s="13">
        <f>((((VLOOKUP(B122,Database!$F:$AY,MATCH($H$1,Database!$F$1:$AY$1,),))))-(((VLOOKUP(EDATE(B122,-12),Database!$F:$AY,MATCH($H$1,Database!$F$1:$AY$1,),)))))/(((VLOOKUP(EDATE(B122,-12),Database!$F:$AY,MATCH($H$1,Database!$F$1:$AY$1,),))))</f>
        <v>2.2505308255810385E-2</v>
      </c>
      <c r="I122" s="13">
        <f>((((VLOOKUP(B122,Database!$F:$AY,MATCH($I$1,Database!$F$1:$AY$1,),))))-(((VLOOKUP(EDATE(B122,-12),Database!$F:$AY,MATCH($I$1,Database!$F$1:$AY$1,),)))))/(((VLOOKUP(EDATE(B122,-12),Database!$F:$AY,MATCH($I$1,Database!$F$1:$AY$1,),))))</f>
        <v>3.6256820763284514E-2</v>
      </c>
      <c r="J122" s="13">
        <f>((((VLOOKUP(B122,Database!$F:$AY,MATCH($J$1,Database!$F$1:$AY$1,),))))-(((VLOOKUP(EDATE(B122,-12),Database!$F:$AY,MATCH($J$1,Database!$F$1:$AY$1,),)))))/(((VLOOKUP(EDATE(B122,-12),Database!$F:$AY,MATCH($J$1,Database!$F$1:$AY$1,),))))</f>
        <v>4.3720796872702999E-2</v>
      </c>
      <c r="K122" s="13">
        <f>((((VLOOKUP(B122,Database!$F:$AY,MATCH($K$1,Database!$F$1:$AY$1,),))))-(((VLOOKUP(EDATE(B122,-12),Database!$F:$AY,MATCH($K$1,Database!$F$1:$AY$1,),)))))/(((VLOOKUP(EDATE(B122,-12),Database!$F:$AY,MATCH($K$1,Database!$F$1:$AY$1,),))))</f>
        <v>4.9653436985228547E-2</v>
      </c>
      <c r="L122" s="13">
        <f>((((VLOOKUP(B122,Database!$F:$AY,MATCH($L$1,Database!$F$1:$AY$1,),))))-(((VLOOKUP(EDATE(B122,-12),Database!$F:$AY,MATCH($L$1,Database!$F$1:$AY$1,),)))))/(((VLOOKUP(EDATE(B122,-12),Database!$F:$AY,MATCH($L$1,Database!$F$1:$AY$1,),))))</f>
        <v>9.2291825393046145E-2</v>
      </c>
      <c r="M122" s="13">
        <f>((((VLOOKUP(B122,Database!$F:$AY,MATCH($M$1,Database!$F$1:$AY$1,),))))-(((VLOOKUP(EDATE(B122,-12),Database!$F:$AY,MATCH($M$1,Database!$F$1:$AY$1,),)))))/(((VLOOKUP(EDATE(B122,-12),Database!$F:$AY,MATCH($M$1,Database!$F$1:$AY$1,),))))</f>
        <v>-1.5736458074149962E-2</v>
      </c>
      <c r="N122" s="13">
        <f>((((VLOOKUP(B122,Database!$F:$AY,MATCH($N$1,Database!$F$1:$AY$1,),))))-(((VLOOKUP(EDATE(B122,-12),Database!$F:$AY,MATCH($N$1,Database!$F$1:$AY$1,),)))))/(((VLOOKUP(EDATE(B122,-12),Database!$F:$AY,MATCH($N$1,Database!$F$1:$AY$1,),))))</f>
        <v>3.8487690289717512E-2</v>
      </c>
      <c r="O122" s="13">
        <f>((((VLOOKUP(B122,Database!$F:$AY,MATCH($O$1,Database!$F$1:$AY$1,),))))-(((VLOOKUP(EDATE(B122,-12),Database!$F:$AY,MATCH($O$1,Database!$F$1:$AY$1,),)))))/(((VLOOKUP(EDATE(B122,-12),Database!$F:$AY,MATCH($O$1,Database!$F$1:$AY$1,),))))</f>
        <v>5.9973776682225845E-2</v>
      </c>
      <c r="P122" s="13">
        <f>((((VLOOKUP(B122,Database!$F:$AY,MATCH($P$1,Database!$F$1:$AY$1,),))))-(((VLOOKUP(EDATE(B122,-12),Database!$F:$AY,MATCH($P$1,Database!$F$1:$AY$1,),)))))/(((VLOOKUP(EDATE(B122,-12),Database!$F:$AY,MATCH($P$1,Database!$F$1:$AY$1,),))))</f>
        <v>-9.2540239633859114E-2</v>
      </c>
      <c r="Q122" s="13">
        <f>((((VLOOKUP(B122,Database!$F:$AY,MATCH($Q$1,Database!$F$1:$AY$1,),))))-(((VLOOKUP(EDATE(B122,-12),Database!$F:$AY,MATCH($Q$1,Database!$F$1:$AY$1,),)))))/(((VLOOKUP(EDATE(B122,-12),Database!$F:$AY,MATCH($Q$1,Database!$F$1:$AY$1,),))))</f>
        <v>-2.2306022881516431E-2</v>
      </c>
      <c r="R122" s="13">
        <f>((((VLOOKUP(B122,Database!$F:$AY,MATCH($R$1,Database!$F$1:$AY$1,),))))-(((VLOOKUP(EDATE(B122,-12),Database!$F:$AY,MATCH($R$1,Database!$F$1:$AY$1,),)))))/(((VLOOKUP(EDATE(B122,-12),Database!$F:$AY,MATCH($R$1,Database!$F$1:$AY$1,),))))</f>
        <v>0.13086421890827632</v>
      </c>
      <c r="S122" s="13">
        <f>((((VLOOKUP(B122,Database!$F:$AY,MATCH($S$1,Database!$F$1:$AY$1,),))))-(((VLOOKUP(EDATE(B122,-12),Database!$F:$AY,MATCH($S$1,Database!$F$1:$AY$1,),)))))/(((VLOOKUP(EDATE(B122,-12),Database!$F:$AY,MATCH($S$1,Database!$F$1:$AY$1,),))))</f>
        <v>0.22004360015198426</v>
      </c>
      <c r="T122" s="13">
        <f>((((VLOOKUP(B122,Database!$F:$AY,MATCH($T$1,Database!$F$1:$AY$1,),))))-(((VLOOKUP(EDATE(B122,-12),Database!$F:$AY,MATCH($T$1,Database!$F$1:$AY$1,),)))))/(((VLOOKUP(EDATE(B122,-12),Database!$F:$AY,MATCH($T$1,Database!$F$1:$AY$1,),))))</f>
        <v>6.7632930763554033E-2</v>
      </c>
      <c r="U122" s="13">
        <f>((((VLOOKUP(B122,Database!$F:$AY,MATCH($U$1,Database!$F$1:$AY$1,),))))-(((VLOOKUP(EDATE(B122,-12),Database!$F:$AY,MATCH($U$1,Database!$F$1:$AY$1,),)))))/(((VLOOKUP(EDATE(B122,-12),Database!$F:$AY,MATCH($U$1,Database!$F$1:$AY$1,),))))</f>
        <v>8.2267918070843174E-2</v>
      </c>
      <c r="V122" s="13">
        <f>((((VLOOKUP(B122,Database!$F:$AY,MATCH($V$1,Database!$F$1:$AY$1,),))))-(((VLOOKUP(EDATE(B122,-12),Database!$F:$AY,MATCH($V$1,Database!$F$1:$AY$1,),)))))/(((VLOOKUP(EDATE(B122,-12),Database!$F:$AY,MATCH($V$1,Database!$F$1:$AY$1,),))))</f>
        <v>0.11609953713761609</v>
      </c>
    </row>
    <row r="123" spans="1:22" s="85" customFormat="1" x14ac:dyDescent="0.2">
      <c r="A123" s="44"/>
      <c r="B123" s="91">
        <v>35886</v>
      </c>
      <c r="C123" s="13">
        <f>((((VLOOKUP(B123,Database!$F:$AY,MATCH($C$1,Database!$F$1:$AY$1,),))))-(((VLOOKUP(EDATE(B123,-12),Database!$F:$AY,MATCH($C$1,Database!$F$1:$AY$1,),)))))/(((VLOOKUP(EDATE(B123,-12),Database!$F:$AY,MATCH($C$1,Database!$F$1:$AY$1,),))))</f>
        <v>7.1146652251593778E-2</v>
      </c>
      <c r="D123" s="13">
        <f>((((VLOOKUP(B123,Database!$F:$AY,MATCH($D$1,Database!$F$1:$AY$1,),))))-(((VLOOKUP(EDATE(B123,-12),Database!$F:$AY,MATCH($D$1,Database!$F$1:$AY$1,),)))))/(((VLOOKUP(EDATE(B123,-12),Database!$F:$AY,MATCH($D$1,Database!$F$1:$AY$1,),))))</f>
        <v>4.8292147631201092E-2</v>
      </c>
      <c r="E123" s="13">
        <f>((((VLOOKUP(B123,Database!$F:$AY,MATCH($E$1,Database!$F$1:$AY$1,),))))-(((VLOOKUP(EDATE(B123,-12),Database!$F:$AY,MATCH($E$1,Database!$F$1:$AY$1,),)))))/(((VLOOKUP(EDATE(B123,-12),Database!$F:$AY,MATCH($E$1,Database!$F$1:$AY$1,),))))</f>
        <v>-4.7981100182795056E-2</v>
      </c>
      <c r="F123" s="13">
        <f>((((VLOOKUP(B123,Database!$F:$AY,MATCH($F$1,Database!$F$1:$AY$1,),))))-(((VLOOKUP(EDATE(B123,-12),Database!$F:$AY,MATCH($F$1,Database!$F$1:$AY$1,),)))))/(((VLOOKUP(EDATE(B123,-12),Database!$F:$AY,MATCH($F$1,Database!$F$1:$AY$1,),))))</f>
        <v>5.4852246488033884E-2</v>
      </c>
      <c r="G123" s="13">
        <f>((((VLOOKUP(B123,Database!$F:$AY,MATCH($G$1,Database!$F$1:$AY$1,),))))-(((VLOOKUP(EDATE(B123,-12),Database!$F:$AY,MATCH($G$1,Database!$F$1:$AY$1,),)))))/(((VLOOKUP(EDATE(B123,-12),Database!$F:$AY,MATCH($G$1,Database!$F$1:$AY$1,),))))</f>
        <v>3.4220430689954819E-2</v>
      </c>
      <c r="H123" s="13">
        <f>((((VLOOKUP(B123,Database!$F:$AY,MATCH($H$1,Database!$F$1:$AY$1,),))))-(((VLOOKUP(EDATE(B123,-12),Database!$F:$AY,MATCH($H$1,Database!$F$1:$AY$1,),)))))/(((VLOOKUP(EDATE(B123,-12),Database!$F:$AY,MATCH($H$1,Database!$F$1:$AY$1,),))))</f>
        <v>1.9531396967530718E-2</v>
      </c>
      <c r="I123" s="13">
        <f>((((VLOOKUP(B123,Database!$F:$AY,MATCH($I$1,Database!$F$1:$AY$1,),))))-(((VLOOKUP(EDATE(B123,-12),Database!$F:$AY,MATCH($I$1,Database!$F$1:$AY$1,),)))))/(((VLOOKUP(EDATE(B123,-12),Database!$F:$AY,MATCH($I$1,Database!$F$1:$AY$1,),))))</f>
        <v>2.6512574788776944E-2</v>
      </c>
      <c r="J123" s="13">
        <f>((((VLOOKUP(B123,Database!$F:$AY,MATCH($J$1,Database!$F$1:$AY$1,),))))-(((VLOOKUP(EDATE(B123,-12),Database!$F:$AY,MATCH($J$1,Database!$F$1:$AY$1,),)))))/(((VLOOKUP(EDATE(B123,-12),Database!$F:$AY,MATCH($J$1,Database!$F$1:$AY$1,),))))</f>
        <v>5.7545713863394118E-2</v>
      </c>
      <c r="K123" s="13">
        <f>((((VLOOKUP(B123,Database!$F:$AY,MATCH($K$1,Database!$F$1:$AY$1,),))))-(((VLOOKUP(EDATE(B123,-12),Database!$F:$AY,MATCH($K$1,Database!$F$1:$AY$1,),)))))/(((VLOOKUP(EDATE(B123,-12),Database!$F:$AY,MATCH($K$1,Database!$F$1:$AY$1,),))))</f>
        <v>4.1902690300139225E-2</v>
      </c>
      <c r="L123" s="13">
        <f>((((VLOOKUP(B123,Database!$F:$AY,MATCH($L$1,Database!$F$1:$AY$1,),))))-(((VLOOKUP(EDATE(B123,-12),Database!$F:$AY,MATCH($L$1,Database!$F$1:$AY$1,),)))))/(((VLOOKUP(EDATE(B123,-12),Database!$F:$AY,MATCH($L$1,Database!$F$1:$AY$1,),))))</f>
        <v>6.3480426060001136E-2</v>
      </c>
      <c r="M123" s="13">
        <f>((((VLOOKUP(B123,Database!$F:$AY,MATCH($M$1,Database!$F$1:$AY$1,),))))-(((VLOOKUP(EDATE(B123,-12),Database!$F:$AY,MATCH($M$1,Database!$F$1:$AY$1,),)))))/(((VLOOKUP(EDATE(B123,-12),Database!$F:$AY,MATCH($M$1,Database!$F$1:$AY$1,),))))</f>
        <v>-2.5972898587436316E-2</v>
      </c>
      <c r="N123" s="13">
        <f>((((VLOOKUP(B123,Database!$F:$AY,MATCH($N$1,Database!$F$1:$AY$1,),))))-(((VLOOKUP(EDATE(B123,-12),Database!$F:$AY,MATCH($N$1,Database!$F$1:$AY$1,),)))))/(((VLOOKUP(EDATE(B123,-12),Database!$F:$AY,MATCH($N$1,Database!$F$1:$AY$1,),))))</f>
        <v>5.1198840377265437E-2</v>
      </c>
      <c r="O123" s="13">
        <f>((((VLOOKUP(B123,Database!$F:$AY,MATCH($O$1,Database!$F$1:$AY$1,),))))-(((VLOOKUP(EDATE(B123,-12),Database!$F:$AY,MATCH($O$1,Database!$F$1:$AY$1,),)))))/(((VLOOKUP(EDATE(B123,-12),Database!$F:$AY,MATCH($O$1,Database!$F$1:$AY$1,),))))</f>
        <v>4.097711915882439E-2</v>
      </c>
      <c r="P123" s="13">
        <f>((((VLOOKUP(B123,Database!$F:$AY,MATCH($P$1,Database!$F$1:$AY$1,),))))-(((VLOOKUP(EDATE(B123,-12),Database!$F:$AY,MATCH($P$1,Database!$F$1:$AY$1,),)))))/(((VLOOKUP(EDATE(B123,-12),Database!$F:$AY,MATCH($P$1,Database!$F$1:$AY$1,),))))</f>
        <v>-0.11869182245576355</v>
      </c>
      <c r="Q123" s="13">
        <f>((((VLOOKUP(B123,Database!$F:$AY,MATCH($Q$1,Database!$F$1:$AY$1,),))))-(((VLOOKUP(EDATE(B123,-12),Database!$F:$AY,MATCH($Q$1,Database!$F$1:$AY$1,),)))))/(((VLOOKUP(EDATE(B123,-12),Database!$F:$AY,MATCH($Q$1,Database!$F$1:$AY$1,),))))</f>
        <v>5.2746316182956474E-3</v>
      </c>
      <c r="R123" s="13">
        <f>((((VLOOKUP(B123,Database!$F:$AY,MATCH($R$1,Database!$F$1:$AY$1,),))))-(((VLOOKUP(EDATE(B123,-12),Database!$F:$AY,MATCH($R$1,Database!$F$1:$AY$1,),)))))/(((VLOOKUP(EDATE(B123,-12),Database!$F:$AY,MATCH($R$1,Database!$F$1:$AY$1,),))))</f>
        <v>9.86985297383733E-2</v>
      </c>
      <c r="S123" s="13">
        <f>((((VLOOKUP(B123,Database!$F:$AY,MATCH($S$1,Database!$F$1:$AY$1,),))))-(((VLOOKUP(EDATE(B123,-12),Database!$F:$AY,MATCH($S$1,Database!$F$1:$AY$1,),)))))/(((VLOOKUP(EDATE(B123,-12),Database!$F:$AY,MATCH($S$1,Database!$F$1:$AY$1,),))))</f>
        <v>0.18438168368768471</v>
      </c>
      <c r="T123" s="13">
        <f>((((VLOOKUP(B123,Database!$F:$AY,MATCH($T$1,Database!$F$1:$AY$1,),))))-(((VLOOKUP(EDATE(B123,-12),Database!$F:$AY,MATCH($T$1,Database!$F$1:$AY$1,),)))))/(((VLOOKUP(EDATE(B123,-12),Database!$F:$AY,MATCH($T$1,Database!$F$1:$AY$1,),))))</f>
        <v>3.588504497503623E-2</v>
      </c>
      <c r="U123" s="13">
        <f>((((VLOOKUP(B123,Database!$F:$AY,MATCH($U$1,Database!$F$1:$AY$1,),))))-(((VLOOKUP(EDATE(B123,-12),Database!$F:$AY,MATCH($U$1,Database!$F$1:$AY$1,),)))))/(((VLOOKUP(EDATE(B123,-12),Database!$F:$AY,MATCH($U$1,Database!$F$1:$AY$1,),))))</f>
        <v>3.091028269776382E-2</v>
      </c>
      <c r="V123" s="13">
        <f>((((VLOOKUP(B123,Database!$F:$AY,MATCH($V$1,Database!$F$1:$AY$1,),))))-(((VLOOKUP(EDATE(B123,-12),Database!$F:$AY,MATCH($V$1,Database!$F$1:$AY$1,),)))))/(((VLOOKUP(EDATE(B123,-12),Database!$F:$AY,MATCH($V$1,Database!$F$1:$AY$1,),))))</f>
        <v>4.5762942924702656E-2</v>
      </c>
    </row>
    <row r="124" spans="1:22" s="85" customFormat="1" x14ac:dyDescent="0.2">
      <c r="A124" s="44"/>
      <c r="B124" s="91">
        <v>35916</v>
      </c>
      <c r="C124" s="13">
        <f>((((VLOOKUP(B124,Database!$F:$AY,MATCH($C$1,Database!$F$1:$AY$1,),))))-(((VLOOKUP(EDATE(B124,-12),Database!$F:$AY,MATCH($C$1,Database!$F$1:$AY$1,),)))))/(((VLOOKUP(EDATE(B124,-12),Database!$F:$AY,MATCH($C$1,Database!$F$1:$AY$1,),))))</f>
        <v>7.1684685402215967E-2</v>
      </c>
      <c r="D124" s="13">
        <f>((((VLOOKUP(B124,Database!$F:$AY,MATCH($D$1,Database!$F$1:$AY$1,),))))-(((VLOOKUP(EDATE(B124,-12),Database!$F:$AY,MATCH($D$1,Database!$F$1:$AY$1,),)))))/(((VLOOKUP(EDATE(B124,-12),Database!$F:$AY,MATCH($D$1,Database!$F$1:$AY$1,),))))</f>
        <v>6.0570068860642798E-2</v>
      </c>
      <c r="E124" s="13">
        <f>((((VLOOKUP(B124,Database!$F:$AY,MATCH($E$1,Database!$F$1:$AY$1,),))))-(((VLOOKUP(EDATE(B124,-12),Database!$F:$AY,MATCH($E$1,Database!$F$1:$AY$1,),)))))/(((VLOOKUP(EDATE(B124,-12),Database!$F:$AY,MATCH($E$1,Database!$F$1:$AY$1,),))))</f>
        <v>-8.219647166971257E-2</v>
      </c>
      <c r="F124" s="13">
        <f>((((VLOOKUP(B124,Database!$F:$AY,MATCH($F$1,Database!$F$1:$AY$1,),))))-(((VLOOKUP(EDATE(B124,-12),Database!$F:$AY,MATCH($F$1,Database!$F$1:$AY$1,),)))))/(((VLOOKUP(EDATE(B124,-12),Database!$F:$AY,MATCH($F$1,Database!$F$1:$AY$1,),))))</f>
        <v>7.407397909939796E-2</v>
      </c>
      <c r="G124" s="13">
        <f>((((VLOOKUP(B124,Database!$F:$AY,MATCH($G$1,Database!$F$1:$AY$1,),))))-(((VLOOKUP(EDATE(B124,-12),Database!$F:$AY,MATCH($G$1,Database!$F$1:$AY$1,),)))))/(((VLOOKUP(EDATE(B124,-12),Database!$F:$AY,MATCH($G$1,Database!$F$1:$AY$1,),))))</f>
        <v>6.7162236651071058E-2</v>
      </c>
      <c r="H124" s="13">
        <f>((((VLOOKUP(B124,Database!$F:$AY,MATCH($H$1,Database!$F$1:$AY$1,),))))-(((VLOOKUP(EDATE(B124,-12),Database!$F:$AY,MATCH($H$1,Database!$F$1:$AY$1,),)))))/(((VLOOKUP(EDATE(B124,-12),Database!$F:$AY,MATCH($H$1,Database!$F$1:$AY$1,),))))</f>
        <v>1.372512174140497E-2</v>
      </c>
      <c r="I124" s="13">
        <f>((((VLOOKUP(B124,Database!$F:$AY,MATCH($I$1,Database!$F$1:$AY$1,),))))-(((VLOOKUP(EDATE(B124,-12),Database!$F:$AY,MATCH($I$1,Database!$F$1:$AY$1,),)))))/(((VLOOKUP(EDATE(B124,-12),Database!$F:$AY,MATCH($I$1,Database!$F$1:$AY$1,),))))</f>
        <v>2.7408422626464004E-2</v>
      </c>
      <c r="J124" s="13">
        <f>((((VLOOKUP(B124,Database!$F:$AY,MATCH($J$1,Database!$F$1:$AY$1,),))))-(((VLOOKUP(EDATE(B124,-12),Database!$F:$AY,MATCH($J$1,Database!$F$1:$AY$1,),)))))/(((VLOOKUP(EDATE(B124,-12),Database!$F:$AY,MATCH($J$1,Database!$F$1:$AY$1,),))))</f>
        <v>7.7303812434926067E-2</v>
      </c>
      <c r="K124" s="13">
        <f>((((VLOOKUP(B124,Database!$F:$AY,MATCH($K$1,Database!$F$1:$AY$1,),))))-(((VLOOKUP(EDATE(B124,-12),Database!$F:$AY,MATCH($K$1,Database!$F$1:$AY$1,),)))))/(((VLOOKUP(EDATE(B124,-12),Database!$F:$AY,MATCH($K$1,Database!$F$1:$AY$1,),))))</f>
        <v>2.9579111242859023E-2</v>
      </c>
      <c r="L124" s="13">
        <f>((((VLOOKUP(B124,Database!$F:$AY,MATCH($L$1,Database!$F$1:$AY$1,),))))-(((VLOOKUP(EDATE(B124,-12),Database!$F:$AY,MATCH($L$1,Database!$F$1:$AY$1,),)))))/(((VLOOKUP(EDATE(B124,-12),Database!$F:$AY,MATCH($L$1,Database!$F$1:$AY$1,),))))</f>
        <v>6.0736050349500303E-2</v>
      </c>
      <c r="M124" s="13">
        <f>((((VLOOKUP(B124,Database!$F:$AY,MATCH($M$1,Database!$F$1:$AY$1,),))))-(((VLOOKUP(EDATE(B124,-12),Database!$F:$AY,MATCH($M$1,Database!$F$1:$AY$1,),)))))/(((VLOOKUP(EDATE(B124,-12),Database!$F:$AY,MATCH($M$1,Database!$F$1:$AY$1,),))))</f>
        <v>-8.6241076779225601E-2</v>
      </c>
      <c r="N124" s="13">
        <f>((((VLOOKUP(B124,Database!$F:$AY,MATCH($N$1,Database!$F$1:$AY$1,),))))-(((VLOOKUP(EDATE(B124,-12),Database!$F:$AY,MATCH($N$1,Database!$F$1:$AY$1,),)))))/(((VLOOKUP(EDATE(B124,-12),Database!$F:$AY,MATCH($N$1,Database!$F$1:$AY$1,),))))</f>
        <v>4.5136080991805112E-2</v>
      </c>
      <c r="O124" s="13">
        <f>((((VLOOKUP(B124,Database!$F:$AY,MATCH($O$1,Database!$F$1:$AY$1,),))))-(((VLOOKUP(EDATE(B124,-12),Database!$F:$AY,MATCH($O$1,Database!$F$1:$AY$1,),)))))/(((VLOOKUP(EDATE(B124,-12),Database!$F:$AY,MATCH($O$1,Database!$F$1:$AY$1,),))))</f>
        <v>3.09944769778474E-2</v>
      </c>
      <c r="P124" s="13">
        <f>((((VLOOKUP(B124,Database!$F:$AY,MATCH($P$1,Database!$F$1:$AY$1,),))))-(((VLOOKUP(EDATE(B124,-12),Database!$F:$AY,MATCH($P$1,Database!$F$1:$AY$1,),)))))/(((VLOOKUP(EDATE(B124,-12),Database!$F:$AY,MATCH($P$1,Database!$F$1:$AY$1,),))))</f>
        <v>-0.10178399883036321</v>
      </c>
      <c r="Q124" s="13">
        <f>((((VLOOKUP(B124,Database!$F:$AY,MATCH($Q$1,Database!$F$1:$AY$1,),))))-(((VLOOKUP(EDATE(B124,-12),Database!$F:$AY,MATCH($Q$1,Database!$F$1:$AY$1,),)))))/(((VLOOKUP(EDATE(B124,-12),Database!$F:$AY,MATCH($Q$1,Database!$F$1:$AY$1,),))))</f>
        <v>3.1060170967249237E-2</v>
      </c>
      <c r="R124" s="13">
        <f>((((VLOOKUP(B124,Database!$F:$AY,MATCH($R$1,Database!$F$1:$AY$1,),))))-(((VLOOKUP(EDATE(B124,-12),Database!$F:$AY,MATCH($R$1,Database!$F$1:$AY$1,),)))))/(((VLOOKUP(EDATE(B124,-12),Database!$F:$AY,MATCH($R$1,Database!$F$1:$AY$1,),))))</f>
        <v>5.4748895482450592E-2</v>
      </c>
      <c r="S124" s="13">
        <f>((((VLOOKUP(B124,Database!$F:$AY,MATCH($S$1,Database!$F$1:$AY$1,),))))-(((VLOOKUP(EDATE(B124,-12),Database!$F:$AY,MATCH($S$1,Database!$F$1:$AY$1,),)))))/(((VLOOKUP(EDATE(B124,-12),Database!$F:$AY,MATCH($S$1,Database!$F$1:$AY$1,),))))</f>
        <v>0.21318689450151404</v>
      </c>
      <c r="T124" s="13">
        <f>((((VLOOKUP(B124,Database!$F:$AY,MATCH($T$1,Database!$F$1:$AY$1,),))))-(((VLOOKUP(EDATE(B124,-12),Database!$F:$AY,MATCH($T$1,Database!$F$1:$AY$1,),)))))/(((VLOOKUP(EDATE(B124,-12),Database!$F:$AY,MATCH($T$1,Database!$F$1:$AY$1,),))))</f>
        <v>6.2350032484717439E-2</v>
      </c>
      <c r="U124" s="13">
        <f>((((VLOOKUP(B124,Database!$F:$AY,MATCH($U$1,Database!$F$1:$AY$1,),))))-(((VLOOKUP(EDATE(B124,-12),Database!$F:$AY,MATCH($U$1,Database!$F$1:$AY$1,),)))))/(((VLOOKUP(EDATE(B124,-12),Database!$F:$AY,MATCH($U$1,Database!$F$1:$AY$1,),))))</f>
        <v>9.6212707805054976E-2</v>
      </c>
      <c r="V124" s="13">
        <f>((((VLOOKUP(B124,Database!$F:$AY,MATCH($V$1,Database!$F$1:$AY$1,),))))-(((VLOOKUP(EDATE(B124,-12),Database!$F:$AY,MATCH($V$1,Database!$F$1:$AY$1,),)))))/(((VLOOKUP(EDATE(B124,-12),Database!$F:$AY,MATCH($V$1,Database!$F$1:$AY$1,),))))</f>
        <v>0.10232618401915529</v>
      </c>
    </row>
    <row r="125" spans="1:22" s="85" customFormat="1" x14ac:dyDescent="0.2">
      <c r="A125" s="44"/>
      <c r="B125" s="91">
        <v>35947</v>
      </c>
      <c r="C125" s="13">
        <f>((((VLOOKUP(B125,Database!$F:$AY,MATCH($C$1,Database!$F$1:$AY$1,),))))-(((VLOOKUP(EDATE(B125,-12),Database!$F:$AY,MATCH($C$1,Database!$F$1:$AY$1,),)))))/(((VLOOKUP(EDATE(B125,-12),Database!$F:$AY,MATCH($C$1,Database!$F$1:$AY$1,),))))</f>
        <v>5.9790899738862001E-2</v>
      </c>
      <c r="D125" s="13">
        <f>((((VLOOKUP(B125,Database!$F:$AY,MATCH($D$1,Database!$F$1:$AY$1,),))))-(((VLOOKUP(EDATE(B125,-12),Database!$F:$AY,MATCH($D$1,Database!$F$1:$AY$1,),)))))/(((VLOOKUP(EDATE(B125,-12),Database!$F:$AY,MATCH($D$1,Database!$F$1:$AY$1,),))))</f>
        <v>3.8551398866212915E-2</v>
      </c>
      <c r="E125" s="13">
        <f>((((VLOOKUP(B125,Database!$F:$AY,MATCH($E$1,Database!$F$1:$AY$1,),))))-(((VLOOKUP(EDATE(B125,-12),Database!$F:$AY,MATCH($E$1,Database!$F$1:$AY$1,),)))))/(((VLOOKUP(EDATE(B125,-12),Database!$F:$AY,MATCH($E$1,Database!$F$1:$AY$1,),))))</f>
        <v>-7.7054386186208829E-2</v>
      </c>
      <c r="F125" s="13">
        <f>((((VLOOKUP(B125,Database!$F:$AY,MATCH($F$1,Database!$F$1:$AY$1,),))))-(((VLOOKUP(EDATE(B125,-12),Database!$F:$AY,MATCH($F$1,Database!$F$1:$AY$1,),)))))/(((VLOOKUP(EDATE(B125,-12),Database!$F:$AY,MATCH($F$1,Database!$F$1:$AY$1,),))))</f>
        <v>2.4657533120566646E-2</v>
      </c>
      <c r="G125" s="13">
        <f>((((VLOOKUP(B125,Database!$F:$AY,MATCH($G$1,Database!$F$1:$AY$1,),))))-(((VLOOKUP(EDATE(B125,-12),Database!$F:$AY,MATCH($G$1,Database!$F$1:$AY$1,),)))))/(((VLOOKUP(EDATE(B125,-12),Database!$F:$AY,MATCH($G$1,Database!$F$1:$AY$1,),))))</f>
        <v>5.2330236687232794E-2</v>
      </c>
      <c r="H125" s="13">
        <f>((((VLOOKUP(B125,Database!$F:$AY,MATCH($H$1,Database!$F$1:$AY$1,),))))-(((VLOOKUP(EDATE(B125,-12),Database!$F:$AY,MATCH($H$1,Database!$F$1:$AY$1,),)))))/(((VLOOKUP(EDATE(B125,-12),Database!$F:$AY,MATCH($H$1,Database!$F$1:$AY$1,),))))</f>
        <v>1.1753274625133895E-2</v>
      </c>
      <c r="I125" s="13">
        <f>((((VLOOKUP(B125,Database!$F:$AY,MATCH($I$1,Database!$F$1:$AY$1,),))))-(((VLOOKUP(EDATE(B125,-12),Database!$F:$AY,MATCH($I$1,Database!$F$1:$AY$1,),)))))/(((VLOOKUP(EDATE(B125,-12),Database!$F:$AY,MATCH($I$1,Database!$F$1:$AY$1,),))))</f>
        <v>1.7297979485937479E-2</v>
      </c>
      <c r="J125" s="13">
        <f>((((VLOOKUP(B125,Database!$F:$AY,MATCH($J$1,Database!$F$1:$AY$1,),))))-(((VLOOKUP(EDATE(B125,-12),Database!$F:$AY,MATCH($J$1,Database!$F$1:$AY$1,),)))))/(((VLOOKUP(EDATE(B125,-12),Database!$F:$AY,MATCH($J$1,Database!$F$1:$AY$1,),))))</f>
        <v>5.9861295655929653E-2</v>
      </c>
      <c r="K125" s="13">
        <f>((((VLOOKUP(B125,Database!$F:$AY,MATCH($K$1,Database!$F$1:$AY$1,),))))-(((VLOOKUP(EDATE(B125,-12),Database!$F:$AY,MATCH($K$1,Database!$F$1:$AY$1,),)))))/(((VLOOKUP(EDATE(B125,-12),Database!$F:$AY,MATCH($K$1,Database!$F$1:$AY$1,),))))</f>
        <v>6.071013301680616E-2</v>
      </c>
      <c r="L125" s="13">
        <f>((((VLOOKUP(B125,Database!$F:$AY,MATCH($L$1,Database!$F$1:$AY$1,),))))-(((VLOOKUP(EDATE(B125,-12),Database!$F:$AY,MATCH($L$1,Database!$F$1:$AY$1,),)))))/(((VLOOKUP(EDATE(B125,-12),Database!$F:$AY,MATCH($L$1,Database!$F$1:$AY$1,),))))</f>
        <v>4.199427449713105E-2</v>
      </c>
      <c r="M125" s="13">
        <f>((((VLOOKUP(B125,Database!$F:$AY,MATCH($M$1,Database!$F$1:$AY$1,),))))-(((VLOOKUP(EDATE(B125,-12),Database!$F:$AY,MATCH($M$1,Database!$F$1:$AY$1,),)))))/(((VLOOKUP(EDATE(B125,-12),Database!$F:$AY,MATCH($M$1,Database!$F$1:$AY$1,),))))</f>
        <v>-0.11347783590701664</v>
      </c>
      <c r="N125" s="13">
        <f>((((VLOOKUP(B125,Database!$F:$AY,MATCH($N$1,Database!$F$1:$AY$1,),))))-(((VLOOKUP(EDATE(B125,-12),Database!$F:$AY,MATCH($N$1,Database!$F$1:$AY$1,),)))))/(((VLOOKUP(EDATE(B125,-12),Database!$F:$AY,MATCH($N$1,Database!$F$1:$AY$1,),))))</f>
        <v>5.1048621423715961E-2</v>
      </c>
      <c r="O125" s="13">
        <f>((((VLOOKUP(B125,Database!$F:$AY,MATCH($O$1,Database!$F$1:$AY$1,),))))-(((VLOOKUP(EDATE(B125,-12),Database!$F:$AY,MATCH($O$1,Database!$F$1:$AY$1,),)))))/(((VLOOKUP(EDATE(B125,-12),Database!$F:$AY,MATCH($O$1,Database!$F$1:$AY$1,),))))</f>
        <v>3.9131071581557403E-2</v>
      </c>
      <c r="P125" s="13">
        <f>((((VLOOKUP(B125,Database!$F:$AY,MATCH($P$1,Database!$F$1:$AY$1,),))))-(((VLOOKUP(EDATE(B125,-12),Database!$F:$AY,MATCH($P$1,Database!$F$1:$AY$1,),)))))/(((VLOOKUP(EDATE(B125,-12),Database!$F:$AY,MATCH($P$1,Database!$F$1:$AY$1,),))))</f>
        <v>-0.13430937902928416</v>
      </c>
      <c r="Q125" s="13">
        <f>((((VLOOKUP(B125,Database!$F:$AY,MATCH($Q$1,Database!$F$1:$AY$1,),))))-(((VLOOKUP(EDATE(B125,-12),Database!$F:$AY,MATCH($Q$1,Database!$F$1:$AY$1,),)))))/(((VLOOKUP(EDATE(B125,-12),Database!$F:$AY,MATCH($Q$1,Database!$F$1:$AY$1,),))))</f>
        <v>-1.9513789717198974E-2</v>
      </c>
      <c r="R125" s="13">
        <f>((((VLOOKUP(B125,Database!$F:$AY,MATCH($R$1,Database!$F$1:$AY$1,),))))-(((VLOOKUP(EDATE(B125,-12),Database!$F:$AY,MATCH($R$1,Database!$F$1:$AY$1,),)))))/(((VLOOKUP(EDATE(B125,-12),Database!$F:$AY,MATCH($R$1,Database!$F$1:$AY$1,),))))</f>
        <v>7.6574325656683373E-2</v>
      </c>
      <c r="S125" s="13">
        <f>((((VLOOKUP(B125,Database!$F:$AY,MATCH($S$1,Database!$F$1:$AY$1,),))))-(((VLOOKUP(EDATE(B125,-12),Database!$F:$AY,MATCH($S$1,Database!$F$1:$AY$1,),)))))/(((VLOOKUP(EDATE(B125,-12),Database!$F:$AY,MATCH($S$1,Database!$F$1:$AY$1,),))))</f>
        <v>0.16176477349366827</v>
      </c>
      <c r="T125" s="13">
        <f>((((VLOOKUP(B125,Database!$F:$AY,MATCH($T$1,Database!$F$1:$AY$1,),))))-(((VLOOKUP(EDATE(B125,-12),Database!$F:$AY,MATCH($T$1,Database!$F$1:$AY$1,),)))))/(((VLOOKUP(EDATE(B125,-12),Database!$F:$AY,MATCH($T$1,Database!$F$1:$AY$1,),))))</f>
        <v>2.3696289358732824E-3</v>
      </c>
      <c r="U125" s="13">
        <f>((((VLOOKUP(B125,Database!$F:$AY,MATCH($U$1,Database!$F$1:$AY$1,),))))-(((VLOOKUP(EDATE(B125,-12),Database!$F:$AY,MATCH($U$1,Database!$F$1:$AY$1,),)))))/(((VLOOKUP(EDATE(B125,-12),Database!$F:$AY,MATCH($U$1,Database!$F$1:$AY$1,),))))</f>
        <v>1.9581435630179077E-2</v>
      </c>
      <c r="V125" s="13">
        <f>((((VLOOKUP(B125,Database!$F:$AY,MATCH($V$1,Database!$F$1:$AY$1,),))))-(((VLOOKUP(EDATE(B125,-12),Database!$F:$AY,MATCH($V$1,Database!$F$1:$AY$1,),)))))/(((VLOOKUP(EDATE(B125,-12),Database!$F:$AY,MATCH($V$1,Database!$F$1:$AY$1,),))))</f>
        <v>2.62044792527318E-2</v>
      </c>
    </row>
    <row r="126" spans="1:22" s="85" customFormat="1" x14ac:dyDescent="0.2">
      <c r="A126" s="44"/>
      <c r="B126" s="91">
        <v>35977</v>
      </c>
      <c r="C126" s="13">
        <f>((((VLOOKUP(B126,Database!$F:$AY,MATCH($C$1,Database!$F$1:$AY$1,),))))-(((VLOOKUP(EDATE(B126,-12),Database!$F:$AY,MATCH($C$1,Database!$F$1:$AY$1,),)))))/(((VLOOKUP(EDATE(B126,-12),Database!$F:$AY,MATCH($C$1,Database!$F$1:$AY$1,),))))</f>
        <v>4.811500949503586E-2</v>
      </c>
      <c r="D126" s="13">
        <f>((((VLOOKUP(B126,Database!$F:$AY,MATCH($D$1,Database!$F$1:$AY$1,),))))-(((VLOOKUP(EDATE(B126,-12),Database!$F:$AY,MATCH($D$1,Database!$F$1:$AY$1,),)))))/(((VLOOKUP(EDATE(B126,-12),Database!$F:$AY,MATCH($D$1,Database!$F$1:$AY$1,),))))</f>
        <v>4.0556120475231119E-2</v>
      </c>
      <c r="E126" s="13">
        <f>((((VLOOKUP(B126,Database!$F:$AY,MATCH($E$1,Database!$F$1:$AY$1,),))))-(((VLOOKUP(EDATE(B126,-12),Database!$F:$AY,MATCH($E$1,Database!$F$1:$AY$1,),)))))/(((VLOOKUP(EDATE(B126,-12),Database!$F:$AY,MATCH($E$1,Database!$F$1:$AY$1,),))))</f>
        <v>-8.1585021659171406E-2</v>
      </c>
      <c r="F126" s="13">
        <f>((((VLOOKUP(B126,Database!$F:$AY,MATCH($F$1,Database!$F$1:$AY$1,),))))-(((VLOOKUP(EDATE(B126,-12),Database!$F:$AY,MATCH($F$1,Database!$F$1:$AY$1,),)))))/(((VLOOKUP(EDATE(B126,-12),Database!$F:$AY,MATCH($F$1,Database!$F$1:$AY$1,),))))</f>
        <v>3.5230307132640394E-2</v>
      </c>
      <c r="G126" s="13">
        <f>((((VLOOKUP(B126,Database!$F:$AY,MATCH($G$1,Database!$F$1:$AY$1,),))))-(((VLOOKUP(EDATE(B126,-12),Database!$F:$AY,MATCH($G$1,Database!$F$1:$AY$1,),)))))/(((VLOOKUP(EDATE(B126,-12),Database!$F:$AY,MATCH($G$1,Database!$F$1:$AY$1,),))))</f>
        <v>5.6634978116110693E-2</v>
      </c>
      <c r="H126" s="13">
        <f>((((VLOOKUP(B126,Database!$F:$AY,MATCH($H$1,Database!$F$1:$AY$1,),))))-(((VLOOKUP(EDATE(B126,-12),Database!$F:$AY,MATCH($H$1,Database!$F$1:$AY$1,),)))))/(((VLOOKUP(EDATE(B126,-12),Database!$F:$AY,MATCH($H$1,Database!$F$1:$AY$1,),))))</f>
        <v>9.6502572007380668E-4</v>
      </c>
      <c r="I126" s="13">
        <f>((((VLOOKUP(B126,Database!$F:$AY,MATCH($I$1,Database!$F$1:$AY$1,),))))-(((VLOOKUP(EDATE(B126,-12),Database!$F:$AY,MATCH($I$1,Database!$F$1:$AY$1,),)))))/(((VLOOKUP(EDATE(B126,-12),Database!$F:$AY,MATCH($I$1,Database!$F$1:$AY$1,),))))</f>
        <v>9.0015696891229124E-3</v>
      </c>
      <c r="J126" s="13">
        <f>((((VLOOKUP(B126,Database!$F:$AY,MATCH($J$1,Database!$F$1:$AY$1,),))))-(((VLOOKUP(EDATE(B126,-12),Database!$F:$AY,MATCH($J$1,Database!$F$1:$AY$1,),)))))/(((VLOOKUP(EDATE(B126,-12),Database!$F:$AY,MATCH($J$1,Database!$F$1:$AY$1,),))))</f>
        <v>4.6184187758925417E-2</v>
      </c>
      <c r="K126" s="13">
        <f>((((VLOOKUP(B126,Database!$F:$AY,MATCH($K$1,Database!$F$1:$AY$1,),))))-(((VLOOKUP(EDATE(B126,-12),Database!$F:$AY,MATCH($K$1,Database!$F$1:$AY$1,),)))))/(((VLOOKUP(EDATE(B126,-12),Database!$F:$AY,MATCH($K$1,Database!$F$1:$AY$1,),))))</f>
        <v>4.8314467650224666E-2</v>
      </c>
      <c r="L126" s="13">
        <f>((((VLOOKUP(B126,Database!$F:$AY,MATCH($L$1,Database!$F$1:$AY$1,),))))-(((VLOOKUP(EDATE(B126,-12),Database!$F:$AY,MATCH($L$1,Database!$F$1:$AY$1,),)))))/(((VLOOKUP(EDATE(B126,-12),Database!$F:$AY,MATCH($L$1,Database!$F$1:$AY$1,),))))</f>
        <v>5.1367603198268157E-2</v>
      </c>
      <c r="M126" s="13">
        <f>((((VLOOKUP(B126,Database!$F:$AY,MATCH($M$1,Database!$F$1:$AY$1,),))))-(((VLOOKUP(EDATE(B126,-12),Database!$F:$AY,MATCH($M$1,Database!$F$1:$AY$1,),)))))/(((VLOOKUP(EDATE(B126,-12),Database!$F:$AY,MATCH($M$1,Database!$F$1:$AY$1,),))))</f>
        <v>-0.14380488888843027</v>
      </c>
      <c r="N126" s="13">
        <f>((((VLOOKUP(B126,Database!$F:$AY,MATCH($N$1,Database!$F$1:$AY$1,),))))-(((VLOOKUP(EDATE(B126,-12),Database!$F:$AY,MATCH($N$1,Database!$F$1:$AY$1,),)))))/(((VLOOKUP(EDATE(B126,-12),Database!$F:$AY,MATCH($N$1,Database!$F$1:$AY$1,),))))</f>
        <v>3.7997431423587823E-2</v>
      </c>
      <c r="O126" s="13">
        <f>((((VLOOKUP(B126,Database!$F:$AY,MATCH($O$1,Database!$F$1:$AY$1,),))))-(((VLOOKUP(EDATE(B126,-12),Database!$F:$AY,MATCH($O$1,Database!$F$1:$AY$1,),)))))/(((VLOOKUP(EDATE(B126,-12),Database!$F:$AY,MATCH($O$1,Database!$F$1:$AY$1,),))))</f>
        <v>-1.8430102133382953E-3</v>
      </c>
      <c r="P126" s="13">
        <f>((((VLOOKUP(B126,Database!$F:$AY,MATCH($P$1,Database!$F$1:$AY$1,),))))-(((VLOOKUP(EDATE(B126,-12),Database!$F:$AY,MATCH($P$1,Database!$F$1:$AY$1,),)))))/(((VLOOKUP(EDATE(B126,-12),Database!$F:$AY,MATCH($P$1,Database!$F$1:$AY$1,),))))</f>
        <v>-0.13231652769888577</v>
      </c>
      <c r="Q126" s="13">
        <f>((((VLOOKUP(B126,Database!$F:$AY,MATCH($Q$1,Database!$F$1:$AY$1,),))))-(((VLOOKUP(EDATE(B126,-12),Database!$F:$AY,MATCH($Q$1,Database!$F$1:$AY$1,),)))))/(((VLOOKUP(EDATE(B126,-12),Database!$F:$AY,MATCH($Q$1,Database!$F$1:$AY$1,),))))</f>
        <v>1.5118419830485001E-3</v>
      </c>
      <c r="R126" s="13">
        <f>((((VLOOKUP(B126,Database!$F:$AY,MATCH($R$1,Database!$F$1:$AY$1,),))))-(((VLOOKUP(EDATE(B126,-12),Database!$F:$AY,MATCH($R$1,Database!$F$1:$AY$1,),)))))/(((VLOOKUP(EDATE(B126,-12),Database!$F:$AY,MATCH($R$1,Database!$F$1:$AY$1,),))))</f>
        <v>9.5871980740125345E-2</v>
      </c>
      <c r="S126" s="13">
        <f>((((VLOOKUP(B126,Database!$F:$AY,MATCH($S$1,Database!$F$1:$AY$1,),))))-(((VLOOKUP(EDATE(B126,-12),Database!$F:$AY,MATCH($S$1,Database!$F$1:$AY$1,),)))))/(((VLOOKUP(EDATE(B126,-12),Database!$F:$AY,MATCH($S$1,Database!$F$1:$AY$1,),))))</f>
        <v>0.18388413080013805</v>
      </c>
      <c r="T126" s="13">
        <f>((((VLOOKUP(B126,Database!$F:$AY,MATCH($T$1,Database!$F$1:$AY$1,),))))-(((VLOOKUP(EDATE(B126,-12),Database!$F:$AY,MATCH($T$1,Database!$F$1:$AY$1,),)))))/(((VLOOKUP(EDATE(B126,-12),Database!$F:$AY,MATCH($T$1,Database!$F$1:$AY$1,),))))</f>
        <v>1.6666626980819953E-2</v>
      </c>
      <c r="U126" s="13">
        <f>((((VLOOKUP(B126,Database!$F:$AY,MATCH($U$1,Database!$F$1:$AY$1,),))))-(((VLOOKUP(EDATE(B126,-12),Database!$F:$AY,MATCH($U$1,Database!$F$1:$AY$1,),)))))/(((VLOOKUP(EDATE(B126,-12),Database!$F:$AY,MATCH($U$1,Database!$F$1:$AY$1,),))))</f>
        <v>4.1866202706271768E-2</v>
      </c>
      <c r="V126" s="13">
        <f>((((VLOOKUP(B126,Database!$F:$AY,MATCH($V$1,Database!$F$1:$AY$1,),))))-(((VLOOKUP(EDATE(B126,-12),Database!$F:$AY,MATCH($V$1,Database!$F$1:$AY$1,),)))))/(((VLOOKUP(EDATE(B126,-12),Database!$F:$AY,MATCH($V$1,Database!$F$1:$AY$1,),))))</f>
        <v>5.6707164616890716E-2</v>
      </c>
    </row>
    <row r="127" spans="1:22" s="85" customFormat="1" x14ac:dyDescent="0.2">
      <c r="A127" s="44"/>
      <c r="B127" s="91">
        <v>36008</v>
      </c>
      <c r="C127" s="13">
        <f>((((VLOOKUP(B127,Database!$F:$AY,MATCH($C$1,Database!$F$1:$AY$1,),))))-(((VLOOKUP(EDATE(B127,-12),Database!$F:$AY,MATCH($C$1,Database!$F$1:$AY$1,),)))))/(((VLOOKUP(EDATE(B127,-12),Database!$F:$AY,MATCH($C$1,Database!$F$1:$AY$1,),))))</f>
        <v>5.856691272296783E-2</v>
      </c>
      <c r="D127" s="13">
        <f>((((VLOOKUP(B127,Database!$F:$AY,MATCH($D$1,Database!$F$1:$AY$1,),))))-(((VLOOKUP(EDATE(B127,-12),Database!$F:$AY,MATCH($D$1,Database!$F$1:$AY$1,),)))))/(((VLOOKUP(EDATE(B127,-12),Database!$F:$AY,MATCH($D$1,Database!$F$1:$AY$1,),))))</f>
        <v>2.4305555555555521E-2</v>
      </c>
      <c r="E127" s="13">
        <f>((((VLOOKUP(B127,Database!$F:$AY,MATCH($E$1,Database!$F$1:$AY$1,),))))-(((VLOOKUP(EDATE(B127,-12),Database!$F:$AY,MATCH($E$1,Database!$F$1:$AY$1,),)))))/(((VLOOKUP(EDATE(B127,-12),Database!$F:$AY,MATCH($E$1,Database!$F$1:$AY$1,),))))</f>
        <v>-9.3958167100984757E-2</v>
      </c>
      <c r="F127" s="13">
        <f>((((VLOOKUP(B127,Database!$F:$AY,MATCH($F$1,Database!$F$1:$AY$1,),))))-(((VLOOKUP(EDATE(B127,-12),Database!$F:$AY,MATCH($F$1,Database!$F$1:$AY$1,),)))))/(((VLOOKUP(EDATE(B127,-12),Database!$F:$AY,MATCH($F$1,Database!$F$1:$AY$1,),))))</f>
        <v>4.6218557428805498E-2</v>
      </c>
      <c r="G127" s="13">
        <f>((((VLOOKUP(B127,Database!$F:$AY,MATCH($G$1,Database!$F$1:$AY$1,),))))-(((VLOOKUP(EDATE(B127,-12),Database!$F:$AY,MATCH($G$1,Database!$F$1:$AY$1,),)))))/(((VLOOKUP(EDATE(B127,-12),Database!$F:$AY,MATCH($G$1,Database!$F$1:$AY$1,),))))</f>
        <v>-8.857326189735653E-3</v>
      </c>
      <c r="H127" s="13">
        <f>((((VLOOKUP(B127,Database!$F:$AY,MATCH($H$1,Database!$F$1:$AY$1,),))))-(((VLOOKUP(EDATE(B127,-12),Database!$F:$AY,MATCH($H$1,Database!$F$1:$AY$1,),)))))/(((VLOOKUP(EDATE(B127,-12),Database!$F:$AY,MATCH($H$1,Database!$F$1:$AY$1,),))))</f>
        <v>1.0794267128810108E-2</v>
      </c>
      <c r="I127" s="13">
        <f>((((VLOOKUP(B127,Database!$F:$AY,MATCH($I$1,Database!$F$1:$AY$1,),))))-(((VLOOKUP(EDATE(B127,-12),Database!$F:$AY,MATCH($I$1,Database!$F$1:$AY$1,),)))))/(((VLOOKUP(EDATE(B127,-12),Database!$F:$AY,MATCH($I$1,Database!$F$1:$AY$1,),))))</f>
        <v>-1.0577769676571969E-2</v>
      </c>
      <c r="J127" s="13">
        <f>((((VLOOKUP(B127,Database!$F:$AY,MATCH($J$1,Database!$F$1:$AY$1,),))))-(((VLOOKUP(EDATE(B127,-12),Database!$F:$AY,MATCH($J$1,Database!$F$1:$AY$1,),)))))/(((VLOOKUP(EDATE(B127,-12),Database!$F:$AY,MATCH($J$1,Database!$F$1:$AY$1,),))))</f>
        <v>2.9656302722687676E-2</v>
      </c>
      <c r="K127" s="13">
        <f>((((VLOOKUP(B127,Database!$F:$AY,MATCH($K$1,Database!$F$1:$AY$1,),))))-(((VLOOKUP(EDATE(B127,-12),Database!$F:$AY,MATCH($K$1,Database!$F$1:$AY$1,),)))))/(((VLOOKUP(EDATE(B127,-12),Database!$F:$AY,MATCH($K$1,Database!$F$1:$AY$1,),))))</f>
        <v>6.666671877039361E-2</v>
      </c>
      <c r="L127" s="13">
        <f>((((VLOOKUP(B127,Database!$F:$AY,MATCH($L$1,Database!$F$1:$AY$1,),))))-(((VLOOKUP(EDATE(B127,-12),Database!$F:$AY,MATCH($L$1,Database!$F$1:$AY$1,),)))))/(((VLOOKUP(EDATE(B127,-12),Database!$F:$AY,MATCH($L$1,Database!$F$1:$AY$1,),))))</f>
        <v>4.1322031487457639E-2</v>
      </c>
      <c r="M127" s="13">
        <f>((((VLOOKUP(B127,Database!$F:$AY,MATCH($M$1,Database!$F$1:$AY$1,),))))-(((VLOOKUP(EDATE(B127,-12),Database!$F:$AY,MATCH($M$1,Database!$F$1:$AY$1,),)))))/(((VLOOKUP(EDATE(B127,-12),Database!$F:$AY,MATCH($M$1,Database!$F$1:$AY$1,),))))</f>
        <v>-0.15953058235366044</v>
      </c>
      <c r="N127" s="13">
        <f>((((VLOOKUP(B127,Database!$F:$AY,MATCH($N$1,Database!$F$1:$AY$1,),))))-(((VLOOKUP(EDATE(B127,-12),Database!$F:$AY,MATCH($N$1,Database!$F$1:$AY$1,),)))))/(((VLOOKUP(EDATE(B127,-12),Database!$F:$AY,MATCH($N$1,Database!$F$1:$AY$1,),))))</f>
        <v>4.5408420536418061E-2</v>
      </c>
      <c r="O127" s="13">
        <f>((((VLOOKUP(B127,Database!$F:$AY,MATCH($O$1,Database!$F$1:$AY$1,),))))-(((VLOOKUP(EDATE(B127,-12),Database!$F:$AY,MATCH($O$1,Database!$F$1:$AY$1,),)))))/(((VLOOKUP(EDATE(B127,-12),Database!$F:$AY,MATCH($O$1,Database!$F$1:$AY$1,),))))</f>
        <v>2.605428407353861E-2</v>
      </c>
      <c r="P127" s="13">
        <f>((((VLOOKUP(B127,Database!$F:$AY,MATCH($P$1,Database!$F$1:$AY$1,),))))-(((VLOOKUP(EDATE(B127,-12),Database!$F:$AY,MATCH($P$1,Database!$F$1:$AY$1,),)))))/(((VLOOKUP(EDATE(B127,-12),Database!$F:$AY,MATCH($P$1,Database!$F$1:$AY$1,),))))</f>
        <v>-0.12345369280867628</v>
      </c>
      <c r="Q127" s="13">
        <f>((((VLOOKUP(B127,Database!$F:$AY,MATCH($Q$1,Database!$F$1:$AY$1,),))))-(((VLOOKUP(EDATE(B127,-12),Database!$F:$AY,MATCH($Q$1,Database!$F$1:$AY$1,),)))))/(((VLOOKUP(EDATE(B127,-12),Database!$F:$AY,MATCH($Q$1,Database!$F$1:$AY$1,),))))</f>
        <v>-2.3136203498434593E-2</v>
      </c>
      <c r="R127" s="13">
        <f>((((VLOOKUP(B127,Database!$F:$AY,MATCH($R$1,Database!$F$1:$AY$1,),))))-(((VLOOKUP(EDATE(B127,-12),Database!$F:$AY,MATCH($R$1,Database!$F$1:$AY$1,),)))))/(((VLOOKUP(EDATE(B127,-12),Database!$F:$AY,MATCH($R$1,Database!$F$1:$AY$1,),))))</f>
        <v>0.16276913105259225</v>
      </c>
      <c r="S127" s="13">
        <f>((((VLOOKUP(B127,Database!$F:$AY,MATCH($S$1,Database!$F$1:$AY$1,),))))-(((VLOOKUP(EDATE(B127,-12),Database!$F:$AY,MATCH($S$1,Database!$F$1:$AY$1,),)))))/(((VLOOKUP(EDATE(B127,-12),Database!$F:$AY,MATCH($S$1,Database!$F$1:$AY$1,),))))</f>
        <v>0.22448952948831666</v>
      </c>
      <c r="T127" s="13">
        <f>((((VLOOKUP(B127,Database!$F:$AY,MATCH($T$1,Database!$F$1:$AY$1,),))))-(((VLOOKUP(EDATE(B127,-12),Database!$F:$AY,MATCH($T$1,Database!$F$1:$AY$1,),)))))/(((VLOOKUP(EDATE(B127,-12),Database!$F:$AY,MATCH($T$1,Database!$F$1:$AY$1,),))))</f>
        <v>-9.216665257179138E-3</v>
      </c>
      <c r="U127" s="13">
        <f>((((VLOOKUP(B127,Database!$F:$AY,MATCH($U$1,Database!$F$1:$AY$1,),))))-(((VLOOKUP(EDATE(B127,-12),Database!$F:$AY,MATCH($U$1,Database!$F$1:$AY$1,),)))))/(((VLOOKUP(EDATE(B127,-12),Database!$F:$AY,MATCH($U$1,Database!$F$1:$AY$1,),))))</f>
        <v>6.844202842872355E-3</v>
      </c>
      <c r="V127" s="13">
        <f>((((VLOOKUP(B127,Database!$F:$AY,MATCH($V$1,Database!$F$1:$AY$1,),))))-(((VLOOKUP(EDATE(B127,-12),Database!$F:$AY,MATCH($V$1,Database!$F$1:$AY$1,),)))))/(((VLOOKUP(EDATE(B127,-12),Database!$F:$AY,MATCH($V$1,Database!$F$1:$AY$1,),))))</f>
        <v>6.880117234406935E-2</v>
      </c>
    </row>
    <row r="128" spans="1:22" s="85" customFormat="1" x14ac:dyDescent="0.2">
      <c r="A128" s="44"/>
      <c r="B128" s="91">
        <v>36039</v>
      </c>
      <c r="C128" s="13">
        <f>((((VLOOKUP(B128,Database!$F:$AY,MATCH($C$1,Database!$F$1:$AY$1,),))))-(((VLOOKUP(EDATE(B128,-12),Database!$F:$AY,MATCH($C$1,Database!$F$1:$AY$1,),)))))/(((VLOOKUP(EDATE(B128,-12),Database!$F:$AY,MATCH($C$1,Database!$F$1:$AY$1,),))))</f>
        <v>4.7195885394627594E-2</v>
      </c>
      <c r="D128" s="13">
        <f>((((VLOOKUP(B128,Database!$F:$AY,MATCH($D$1,Database!$F$1:$AY$1,),))))-(((VLOOKUP(EDATE(B128,-12),Database!$F:$AY,MATCH($D$1,Database!$F$1:$AY$1,),)))))/(((VLOOKUP(EDATE(B128,-12),Database!$F:$AY,MATCH($D$1,Database!$F$1:$AY$1,),))))</f>
        <v>3.2520282704459606E-2</v>
      </c>
      <c r="E128" s="13">
        <f>((((VLOOKUP(B128,Database!$F:$AY,MATCH($E$1,Database!$F$1:$AY$1,),))))-(((VLOOKUP(EDATE(B128,-12),Database!$F:$AY,MATCH($E$1,Database!$F$1:$AY$1,),)))))/(((VLOOKUP(EDATE(B128,-12),Database!$F:$AY,MATCH($E$1,Database!$F$1:$AY$1,),))))</f>
        <v>-7.6141622468838571E-2</v>
      </c>
      <c r="F128" s="13">
        <f>((((VLOOKUP(B128,Database!$F:$AY,MATCH($F$1,Database!$F$1:$AY$1,),))))-(((VLOOKUP(EDATE(B128,-12),Database!$F:$AY,MATCH($F$1,Database!$F$1:$AY$1,),)))))/(((VLOOKUP(EDATE(B128,-12),Database!$F:$AY,MATCH($F$1,Database!$F$1:$AY$1,),))))</f>
        <v>3.0555601855710234E-2</v>
      </c>
      <c r="G128" s="13">
        <f>((((VLOOKUP(B128,Database!$F:$AY,MATCH($G$1,Database!$F$1:$AY$1,),))))-(((VLOOKUP(EDATE(B128,-12),Database!$F:$AY,MATCH($G$1,Database!$F$1:$AY$1,),)))))/(((VLOOKUP(EDATE(B128,-12),Database!$F:$AY,MATCH($G$1,Database!$F$1:$AY$1,),))))</f>
        <v>3.32564990134619E-2</v>
      </c>
      <c r="H128" s="13">
        <f>((((VLOOKUP(B128,Database!$F:$AY,MATCH($H$1,Database!$F$1:$AY$1,),))))-(((VLOOKUP(EDATE(B128,-12),Database!$F:$AY,MATCH($H$1,Database!$F$1:$AY$1,),)))))/(((VLOOKUP(EDATE(B128,-12),Database!$F:$AY,MATCH($H$1,Database!$F$1:$AY$1,),))))</f>
        <v>5.8589487941608162E-3</v>
      </c>
      <c r="I128" s="13">
        <f>((((VLOOKUP(B128,Database!$F:$AY,MATCH($I$1,Database!$F$1:$AY$1,),))))-(((VLOOKUP(EDATE(B128,-12),Database!$F:$AY,MATCH($I$1,Database!$F$1:$AY$1,),)))))/(((VLOOKUP(EDATE(B128,-12),Database!$F:$AY,MATCH($I$1,Database!$F$1:$AY$1,),))))</f>
        <v>4.8855849590112958E-3</v>
      </c>
      <c r="J128" s="13">
        <f>((((VLOOKUP(B128,Database!$F:$AY,MATCH($J$1,Database!$F$1:$AY$1,),))))-(((VLOOKUP(EDATE(B128,-12),Database!$F:$AY,MATCH($J$1,Database!$F$1:$AY$1,),)))))/(((VLOOKUP(EDATE(B128,-12),Database!$F:$AY,MATCH($J$1,Database!$F$1:$AY$1,),))))</f>
        <v>3.7425451637800491E-2</v>
      </c>
      <c r="K128" s="13">
        <f>((((VLOOKUP(B128,Database!$F:$AY,MATCH($K$1,Database!$F$1:$AY$1,),))))-(((VLOOKUP(EDATE(B128,-12),Database!$F:$AY,MATCH($K$1,Database!$F$1:$AY$1,),)))))/(((VLOOKUP(EDATE(B128,-12),Database!$F:$AY,MATCH($K$1,Database!$F$1:$AY$1,),))))</f>
        <v>4.8423397108710201E-2</v>
      </c>
      <c r="L128" s="13">
        <f>((((VLOOKUP(B128,Database!$F:$AY,MATCH($L$1,Database!$F$1:$AY$1,),))))-(((VLOOKUP(EDATE(B128,-12),Database!$F:$AY,MATCH($L$1,Database!$F$1:$AY$1,),)))))/(((VLOOKUP(EDATE(B128,-12),Database!$F:$AY,MATCH($L$1,Database!$F$1:$AY$1,),))))</f>
        <v>3.8502740848679884E-2</v>
      </c>
      <c r="M128" s="13">
        <f>((((VLOOKUP(B128,Database!$F:$AY,MATCH($M$1,Database!$F$1:$AY$1,),))))-(((VLOOKUP(EDATE(B128,-12),Database!$F:$AY,MATCH($M$1,Database!$F$1:$AY$1,),)))))/(((VLOOKUP(EDATE(B128,-12),Database!$F:$AY,MATCH($M$1,Database!$F$1:$AY$1,),))))</f>
        <v>-0.19216066063684761</v>
      </c>
      <c r="N128" s="13">
        <f>((((VLOOKUP(B128,Database!$F:$AY,MATCH($N$1,Database!$F$1:$AY$1,),))))-(((VLOOKUP(EDATE(B128,-12),Database!$F:$AY,MATCH($N$1,Database!$F$1:$AY$1,),)))))/(((VLOOKUP(EDATE(B128,-12),Database!$F:$AY,MATCH($N$1,Database!$F$1:$AY$1,),))))</f>
        <v>2.8573258519345425E-2</v>
      </c>
      <c r="O128" s="13">
        <f>((((VLOOKUP(B128,Database!$F:$AY,MATCH($O$1,Database!$F$1:$AY$1,),))))-(((VLOOKUP(EDATE(B128,-12),Database!$F:$AY,MATCH($O$1,Database!$F$1:$AY$1,),)))))/(((VLOOKUP(EDATE(B128,-12),Database!$F:$AY,MATCH($O$1,Database!$F$1:$AY$1,),))))</f>
        <v>3.0651322596454054E-2</v>
      </c>
      <c r="P128" s="13">
        <f>((((VLOOKUP(B128,Database!$F:$AY,MATCH($P$1,Database!$F$1:$AY$1,),))))-(((VLOOKUP(EDATE(B128,-12),Database!$F:$AY,MATCH($P$1,Database!$F$1:$AY$1,),)))))/(((VLOOKUP(EDATE(B128,-12),Database!$F:$AY,MATCH($P$1,Database!$F$1:$AY$1,),))))</f>
        <v>-7.8636913375661047E-2</v>
      </c>
      <c r="Q128" s="13">
        <f>((((VLOOKUP(B128,Database!$F:$AY,MATCH($Q$1,Database!$F$1:$AY$1,),))))-(((VLOOKUP(EDATE(B128,-12),Database!$F:$AY,MATCH($Q$1,Database!$F$1:$AY$1,),)))))/(((VLOOKUP(EDATE(B128,-12),Database!$F:$AY,MATCH($Q$1,Database!$F$1:$AY$1,),))))</f>
        <v>-5.0705638461851853E-2</v>
      </c>
      <c r="R128" s="13">
        <f>((((VLOOKUP(B128,Database!$F:$AY,MATCH($R$1,Database!$F$1:$AY$1,),))))-(((VLOOKUP(EDATE(B128,-12),Database!$F:$AY,MATCH($R$1,Database!$F$1:$AY$1,),)))))/(((VLOOKUP(EDATE(B128,-12),Database!$F:$AY,MATCH($R$1,Database!$F$1:$AY$1,),))))</f>
        <v>7.4421114443968317E-2</v>
      </c>
      <c r="S128" s="13">
        <f>((((VLOOKUP(B128,Database!$F:$AY,MATCH($S$1,Database!$F$1:$AY$1,),))))-(((VLOOKUP(EDATE(B128,-12),Database!$F:$AY,MATCH($S$1,Database!$F$1:$AY$1,),)))))/(((VLOOKUP(EDATE(B128,-12),Database!$F:$AY,MATCH($S$1,Database!$F$1:$AY$1,),))))</f>
        <v>0.20528456258173303</v>
      </c>
      <c r="T128" s="13">
        <f>((((VLOOKUP(B128,Database!$F:$AY,MATCH($T$1,Database!$F$1:$AY$1,),))))-(((VLOOKUP(EDATE(B128,-12),Database!$F:$AY,MATCH($T$1,Database!$F$1:$AY$1,),)))))/(((VLOOKUP(EDATE(B128,-12),Database!$F:$AY,MATCH($T$1,Database!$F$1:$AY$1,),))))</f>
        <v>4.6190917995703488E-3</v>
      </c>
      <c r="U128" s="13">
        <f>((((VLOOKUP(B128,Database!$F:$AY,MATCH($U$1,Database!$F$1:$AY$1,),))))-(((VLOOKUP(EDATE(B128,-12),Database!$F:$AY,MATCH($U$1,Database!$F$1:$AY$1,),)))))/(((VLOOKUP(EDATE(B128,-12),Database!$F:$AY,MATCH($U$1,Database!$F$1:$AY$1,),))))</f>
        <v>-1.4919503871186606E-2</v>
      </c>
      <c r="V128" s="13">
        <f>((((VLOOKUP(B128,Database!$F:$AY,MATCH($V$1,Database!$F$1:$AY$1,),))))-(((VLOOKUP(EDATE(B128,-12),Database!$F:$AY,MATCH($V$1,Database!$F$1:$AY$1,),)))))/(((VLOOKUP(EDATE(B128,-12),Database!$F:$AY,MATCH($V$1,Database!$F$1:$AY$1,),))))</f>
        <v>8.0367837780901438E-4</v>
      </c>
    </row>
    <row r="129" spans="1:22" s="85" customFormat="1" x14ac:dyDescent="0.2">
      <c r="A129" s="44"/>
      <c r="B129" s="91">
        <v>36069</v>
      </c>
      <c r="C129" s="13">
        <f>((((VLOOKUP(B129,Database!$F:$AY,MATCH($C$1,Database!$F$1:$AY$1,),))))-(((VLOOKUP(EDATE(B129,-12),Database!$F:$AY,MATCH($C$1,Database!$F$1:$AY$1,),)))))/(((VLOOKUP(EDATE(B129,-12),Database!$F:$AY,MATCH($C$1,Database!$F$1:$AY$1,),))))</f>
        <v>4.6669862004894772E-2</v>
      </c>
      <c r="D129" s="13">
        <f>((((VLOOKUP(B129,Database!$F:$AY,MATCH($D$1,Database!$F$1:$AY$1,),))))-(((VLOOKUP(EDATE(B129,-12),Database!$F:$AY,MATCH($D$1,Database!$F$1:$AY$1,),)))))/(((VLOOKUP(EDATE(B129,-12),Database!$F:$AY,MATCH($D$1,Database!$F$1:$AY$1,),))))</f>
        <v>1.9450723141063272E-2</v>
      </c>
      <c r="E129" s="13">
        <f>((((VLOOKUP(B129,Database!$F:$AY,MATCH($E$1,Database!$F$1:$AY$1,),))))-(((VLOOKUP(EDATE(B129,-12),Database!$F:$AY,MATCH($E$1,Database!$F$1:$AY$1,),)))))/(((VLOOKUP(EDATE(B129,-12),Database!$F:$AY,MATCH($E$1,Database!$F$1:$AY$1,),))))</f>
        <v>-7.4980231390868832E-2</v>
      </c>
      <c r="F129" s="13">
        <f>((((VLOOKUP(B129,Database!$F:$AY,MATCH($F$1,Database!$F$1:$AY$1,),))))-(((VLOOKUP(EDATE(B129,-12),Database!$F:$AY,MATCH($F$1,Database!$F$1:$AY$1,),)))))/(((VLOOKUP(EDATE(B129,-12),Database!$F:$AY,MATCH($F$1,Database!$F$1:$AY$1,),))))</f>
        <v>2.3287693002376101E-2</v>
      </c>
      <c r="G129" s="13">
        <f>((((VLOOKUP(B129,Database!$F:$AY,MATCH($G$1,Database!$F$1:$AY$1,),))))-(((VLOOKUP(EDATE(B129,-12),Database!$F:$AY,MATCH($G$1,Database!$F$1:$AY$1,),)))))/(((VLOOKUP(EDATE(B129,-12),Database!$F:$AY,MATCH($G$1,Database!$F$1:$AY$1,),))))</f>
        <v>9.0453476575096253E-3</v>
      </c>
      <c r="H129" s="13">
        <f>((((VLOOKUP(B129,Database!$F:$AY,MATCH($H$1,Database!$F$1:$AY$1,),))))-(((VLOOKUP(EDATE(B129,-12),Database!$F:$AY,MATCH($H$1,Database!$F$1:$AY$1,),)))))/(((VLOOKUP(EDATE(B129,-12),Database!$F:$AY,MATCH($H$1,Database!$F$1:$AY$1,),))))</f>
        <v>0</v>
      </c>
      <c r="I129" s="13">
        <f>((((VLOOKUP(B129,Database!$F:$AY,MATCH($I$1,Database!$F$1:$AY$1,),))))-(((VLOOKUP(EDATE(B129,-12),Database!$F:$AY,MATCH($I$1,Database!$F$1:$AY$1,),)))))/(((VLOOKUP(EDATE(B129,-12),Database!$F:$AY,MATCH($I$1,Database!$F$1:$AY$1,),))))</f>
        <v>-1.3676124148762216E-2</v>
      </c>
      <c r="J129" s="13">
        <f>((((VLOOKUP(B129,Database!$F:$AY,MATCH($J$1,Database!$F$1:$AY$1,),))))-(((VLOOKUP(EDATE(B129,-12),Database!$F:$AY,MATCH($J$1,Database!$F$1:$AY$1,),)))))/(((VLOOKUP(EDATE(B129,-12),Database!$F:$AY,MATCH($J$1,Database!$F$1:$AY$1,),))))</f>
        <v>3.8854010440797206E-2</v>
      </c>
      <c r="K129" s="13">
        <f>((((VLOOKUP(B129,Database!$F:$AY,MATCH($K$1,Database!$F$1:$AY$1,),))))-(((VLOOKUP(EDATE(B129,-12),Database!$F:$AY,MATCH($K$1,Database!$F$1:$AY$1,),)))))/(((VLOOKUP(EDATE(B129,-12),Database!$F:$AY,MATCH($K$1,Database!$F$1:$AY$1,),))))</f>
        <v>3.21507088921896E-2</v>
      </c>
      <c r="L129" s="13">
        <f>((((VLOOKUP(B129,Database!$F:$AY,MATCH($L$1,Database!$F$1:$AY$1,),))))-(((VLOOKUP(EDATE(B129,-12),Database!$F:$AY,MATCH($L$1,Database!$F$1:$AY$1,),)))))/(((VLOOKUP(EDATE(B129,-12),Database!$F:$AY,MATCH($L$1,Database!$F$1:$AY$1,),))))</f>
        <v>2.6057996549312495E-2</v>
      </c>
      <c r="M129" s="13">
        <f>((((VLOOKUP(B129,Database!$F:$AY,MATCH($M$1,Database!$F$1:$AY$1,),))))-(((VLOOKUP(EDATE(B129,-12),Database!$F:$AY,MATCH($M$1,Database!$F$1:$AY$1,),)))))/(((VLOOKUP(EDATE(B129,-12),Database!$F:$AY,MATCH($M$1,Database!$F$1:$AY$1,),))))</f>
        <v>-0.13751755214283448</v>
      </c>
      <c r="N129" s="13">
        <f>((((VLOOKUP(B129,Database!$F:$AY,MATCH($N$1,Database!$F$1:$AY$1,),))))-(((VLOOKUP(EDATE(B129,-12),Database!$F:$AY,MATCH($N$1,Database!$F$1:$AY$1,),)))))/(((VLOOKUP(EDATE(B129,-12),Database!$F:$AY,MATCH($N$1,Database!$F$1:$AY$1,),))))</f>
        <v>2.0620902598143449E-3</v>
      </c>
      <c r="O129" s="13">
        <f>((((VLOOKUP(B129,Database!$F:$AY,MATCH($O$1,Database!$F$1:$AY$1,),))))-(((VLOOKUP(EDATE(B129,-12),Database!$F:$AY,MATCH($O$1,Database!$F$1:$AY$1,),)))))/(((VLOOKUP(EDATE(B129,-12),Database!$F:$AY,MATCH($O$1,Database!$F$1:$AY$1,),))))</f>
        <v>2.0785136633083918E-2</v>
      </c>
      <c r="P129" s="13">
        <f>((((VLOOKUP(B129,Database!$F:$AY,MATCH($P$1,Database!$F$1:$AY$1,),))))-(((VLOOKUP(EDATE(B129,-12),Database!$F:$AY,MATCH($P$1,Database!$F$1:$AY$1,),)))))/(((VLOOKUP(EDATE(B129,-12),Database!$F:$AY,MATCH($P$1,Database!$F$1:$AY$1,),))))</f>
        <v>-3.517828396399976E-2</v>
      </c>
      <c r="Q129" s="13">
        <f>((((VLOOKUP(B129,Database!$F:$AY,MATCH($Q$1,Database!$F$1:$AY$1,),))))-(((VLOOKUP(EDATE(B129,-12),Database!$F:$AY,MATCH($Q$1,Database!$F$1:$AY$1,),)))))/(((VLOOKUP(EDATE(B129,-12),Database!$F:$AY,MATCH($Q$1,Database!$F$1:$AY$1,),))))</f>
        <v>-8.3827402372194895E-2</v>
      </c>
      <c r="R129" s="13">
        <f>((((VLOOKUP(B129,Database!$F:$AY,MATCH($R$1,Database!$F$1:$AY$1,),))))-(((VLOOKUP(EDATE(B129,-12),Database!$F:$AY,MATCH($R$1,Database!$F$1:$AY$1,),)))))/(((VLOOKUP(EDATE(B129,-12),Database!$F:$AY,MATCH($R$1,Database!$F$1:$AY$1,),))))</f>
        <v>9.917227727765579E-2</v>
      </c>
      <c r="S129" s="13">
        <f>((((VLOOKUP(B129,Database!$F:$AY,MATCH($S$1,Database!$F$1:$AY$1,),))))-(((VLOOKUP(EDATE(B129,-12),Database!$F:$AY,MATCH($S$1,Database!$F$1:$AY$1,),)))))/(((VLOOKUP(EDATE(B129,-12),Database!$F:$AY,MATCH($S$1,Database!$F$1:$AY$1,),))))</f>
        <v>0.22199578562793518</v>
      </c>
      <c r="T129" s="13">
        <f>((((VLOOKUP(B129,Database!$F:$AY,MATCH($T$1,Database!$F$1:$AY$1,),))))-(((VLOOKUP(EDATE(B129,-12),Database!$F:$AY,MATCH($T$1,Database!$F$1:$AY$1,),)))))/(((VLOOKUP(EDATE(B129,-12),Database!$F:$AY,MATCH($T$1,Database!$F$1:$AY$1,),))))</f>
        <v>-2.097913509352654E-2</v>
      </c>
      <c r="U129" s="13">
        <f>((((VLOOKUP(B129,Database!$F:$AY,MATCH($U$1,Database!$F$1:$AY$1,),))))-(((VLOOKUP(EDATE(B129,-12),Database!$F:$AY,MATCH($U$1,Database!$F$1:$AY$1,),)))))/(((VLOOKUP(EDATE(B129,-12),Database!$F:$AY,MATCH($U$1,Database!$F$1:$AY$1,),))))</f>
        <v>-5.3896475144255947E-2</v>
      </c>
      <c r="V129" s="13">
        <f>((((VLOOKUP(B129,Database!$F:$AY,MATCH($V$1,Database!$F$1:$AY$1,),))))-(((VLOOKUP(EDATE(B129,-12),Database!$F:$AY,MATCH($V$1,Database!$F$1:$AY$1,),)))))/(((VLOOKUP(EDATE(B129,-12),Database!$F:$AY,MATCH($V$1,Database!$F$1:$AY$1,),))))</f>
        <v>1.2145088292748966E-2</v>
      </c>
    </row>
    <row r="130" spans="1:22" s="85" customFormat="1" x14ac:dyDescent="0.2">
      <c r="A130" s="44"/>
      <c r="B130" s="91">
        <v>36100</v>
      </c>
      <c r="C130" s="13">
        <f>((((VLOOKUP(B130,Database!$F:$AY,MATCH($C$1,Database!$F$1:$AY$1,),))))-(((VLOOKUP(EDATE(B130,-12),Database!$F:$AY,MATCH($C$1,Database!$F$1:$AY$1,),)))))/(((VLOOKUP(EDATE(B130,-12),Database!$F:$AY,MATCH($C$1,Database!$F$1:$AY$1,),))))</f>
        <v>3.6887477149077079E-2</v>
      </c>
      <c r="D130" s="13">
        <f>((((VLOOKUP(B130,Database!$F:$AY,MATCH($D$1,Database!$F$1:$AY$1,),))))-(((VLOOKUP(EDATE(B130,-12),Database!$F:$AY,MATCH($D$1,Database!$F$1:$AY$1,),)))))/(((VLOOKUP(EDATE(B130,-12),Database!$F:$AY,MATCH($D$1,Database!$F$1:$AY$1,),))))</f>
        <v>1.8390881238827126E-2</v>
      </c>
      <c r="E130" s="13">
        <f>((((VLOOKUP(B130,Database!$F:$AY,MATCH($E$1,Database!$F$1:$AY$1,),))))-(((VLOOKUP(EDATE(B130,-12),Database!$F:$AY,MATCH($E$1,Database!$F$1:$AY$1,),)))))/(((VLOOKUP(EDATE(B130,-12),Database!$F:$AY,MATCH($E$1,Database!$F$1:$AY$1,),))))</f>
        <v>-6.8468922885906364E-2</v>
      </c>
      <c r="F130" s="13">
        <f>((((VLOOKUP(B130,Database!$F:$AY,MATCH($F$1,Database!$F$1:$AY$1,),))))-(((VLOOKUP(EDATE(B130,-12),Database!$F:$AY,MATCH($F$1,Database!$F$1:$AY$1,),)))))/(((VLOOKUP(EDATE(B130,-12),Database!$F:$AY,MATCH($F$1,Database!$F$1:$AY$1,),))))</f>
        <v>4.0872617716900244E-3</v>
      </c>
      <c r="G130" s="13">
        <f>((((VLOOKUP(B130,Database!$F:$AY,MATCH($G$1,Database!$F$1:$AY$1,),))))-(((VLOOKUP(EDATE(B130,-12),Database!$F:$AY,MATCH($G$1,Database!$F$1:$AY$1,),)))))/(((VLOOKUP(EDATE(B130,-12),Database!$F:$AY,MATCH($G$1,Database!$F$1:$AY$1,),))))</f>
        <v>3.8740569987189707E-2</v>
      </c>
      <c r="H130" s="13">
        <f>((((VLOOKUP(B130,Database!$F:$AY,MATCH($H$1,Database!$F$1:$AY$1,),))))-(((VLOOKUP(EDATE(B130,-12),Database!$F:$AY,MATCH($H$1,Database!$F$1:$AY$1,),)))))/(((VLOOKUP(EDATE(B130,-12),Database!$F:$AY,MATCH($H$1,Database!$F$1:$AY$1,),))))</f>
        <v>-3.868502583038223E-3</v>
      </c>
      <c r="I130" s="13">
        <f>((((VLOOKUP(B130,Database!$F:$AY,MATCH($I$1,Database!$F$1:$AY$1,),))))-(((VLOOKUP(EDATE(B130,-12),Database!$F:$AY,MATCH($I$1,Database!$F$1:$AY$1,),)))))/(((VLOOKUP(EDATE(B130,-12),Database!$F:$AY,MATCH($I$1,Database!$F$1:$AY$1,),))))</f>
        <v>-1.13269956962432E-2</v>
      </c>
      <c r="J130" s="13">
        <f>((((VLOOKUP(B130,Database!$F:$AY,MATCH($J$1,Database!$F$1:$AY$1,),))))-(((VLOOKUP(EDATE(B130,-12),Database!$F:$AY,MATCH($J$1,Database!$F$1:$AY$1,),)))))/(((VLOOKUP(EDATE(B130,-12),Database!$F:$AY,MATCH($J$1,Database!$F$1:$AY$1,),))))</f>
        <v>3.9340883658147544E-2</v>
      </c>
      <c r="K130" s="13">
        <f>((((VLOOKUP(B130,Database!$F:$AY,MATCH($K$1,Database!$F$1:$AY$1,),))))-(((VLOOKUP(EDATE(B130,-12),Database!$F:$AY,MATCH($K$1,Database!$F$1:$AY$1,),)))))/(((VLOOKUP(EDATE(B130,-12),Database!$F:$AY,MATCH($K$1,Database!$F$1:$AY$1,),))))</f>
        <v>4.1156926272153178E-2</v>
      </c>
      <c r="L130" s="13">
        <f>((((VLOOKUP(B130,Database!$F:$AY,MATCH($L$1,Database!$F$1:$AY$1,),))))-(((VLOOKUP(EDATE(B130,-12),Database!$F:$AY,MATCH($L$1,Database!$F$1:$AY$1,),)))))/(((VLOOKUP(EDATE(B130,-12),Database!$F:$AY,MATCH($L$1,Database!$F$1:$AY$1,),))))</f>
        <v>3.6021890514602355E-2</v>
      </c>
      <c r="M130" s="13">
        <f>((((VLOOKUP(B130,Database!$F:$AY,MATCH($M$1,Database!$F$1:$AY$1,),))))-(((VLOOKUP(EDATE(B130,-12),Database!$F:$AY,MATCH($M$1,Database!$F$1:$AY$1,),)))))/(((VLOOKUP(EDATE(B130,-12),Database!$F:$AY,MATCH($M$1,Database!$F$1:$AY$1,),))))</f>
        <v>-0.1331802103372122</v>
      </c>
      <c r="N130" s="13">
        <f>((((VLOOKUP(B130,Database!$F:$AY,MATCH($N$1,Database!$F$1:$AY$1,),))))-(((VLOOKUP(EDATE(B130,-12),Database!$F:$AY,MATCH($N$1,Database!$F$1:$AY$1,),)))))/(((VLOOKUP(EDATE(B130,-12),Database!$F:$AY,MATCH($N$1,Database!$F$1:$AY$1,),))))</f>
        <v>4.8043612400269234E-2</v>
      </c>
      <c r="O130" s="13">
        <f>((((VLOOKUP(B130,Database!$F:$AY,MATCH($O$1,Database!$F$1:$AY$1,),))))-(((VLOOKUP(EDATE(B130,-12),Database!$F:$AY,MATCH($O$1,Database!$F$1:$AY$1,),)))))/(((VLOOKUP(EDATE(B130,-12),Database!$F:$AY,MATCH($O$1,Database!$F$1:$AY$1,),))))</f>
        <v>2.2437746380512585E-2</v>
      </c>
      <c r="P130" s="13">
        <f>((((VLOOKUP(B130,Database!$F:$AY,MATCH($P$1,Database!$F$1:$AY$1,),))))-(((VLOOKUP(EDATE(B130,-12),Database!$F:$AY,MATCH($P$1,Database!$F$1:$AY$1,),)))))/(((VLOOKUP(EDATE(B130,-12),Database!$F:$AY,MATCH($P$1,Database!$F$1:$AY$1,),))))</f>
        <v>1.5252635193123495E-2</v>
      </c>
      <c r="Q130" s="13">
        <f>((((VLOOKUP(B130,Database!$F:$AY,MATCH($Q$1,Database!$F$1:$AY$1,),))))-(((VLOOKUP(EDATE(B130,-12),Database!$F:$AY,MATCH($Q$1,Database!$F$1:$AY$1,),)))))/(((VLOOKUP(EDATE(B130,-12),Database!$F:$AY,MATCH($Q$1,Database!$F$1:$AY$1,),))))</f>
        <v>-3.2553032442522986E-2</v>
      </c>
      <c r="R130" s="13">
        <f>((((VLOOKUP(B130,Database!$F:$AY,MATCH($R$1,Database!$F$1:$AY$1,),))))-(((VLOOKUP(EDATE(B130,-12),Database!$F:$AY,MATCH($R$1,Database!$F$1:$AY$1,),)))))/(((VLOOKUP(EDATE(B130,-12),Database!$F:$AY,MATCH($R$1,Database!$F$1:$AY$1,),))))</f>
        <v>9.3574205315308912E-2</v>
      </c>
      <c r="S130" s="13">
        <f>((((VLOOKUP(B130,Database!$F:$AY,MATCH($S$1,Database!$F$1:$AY$1,),))))-(((VLOOKUP(EDATE(B130,-12),Database!$F:$AY,MATCH($S$1,Database!$F$1:$AY$1,),)))))/(((VLOOKUP(EDATE(B130,-12),Database!$F:$AY,MATCH($S$1,Database!$F$1:$AY$1,),))))</f>
        <v>0.15294109492096522</v>
      </c>
      <c r="T130" s="13">
        <f>((((VLOOKUP(B130,Database!$F:$AY,MATCH($T$1,Database!$F$1:$AY$1,),))))-(((VLOOKUP(EDATE(B130,-12),Database!$F:$AY,MATCH($T$1,Database!$F$1:$AY$1,),)))))/(((VLOOKUP(EDATE(B130,-12),Database!$F:$AY,MATCH($T$1,Database!$F$1:$AY$1,),))))</f>
        <v>-2.1276480046680056E-2</v>
      </c>
      <c r="U130" s="13">
        <f>((((VLOOKUP(B130,Database!$F:$AY,MATCH($U$1,Database!$F$1:$AY$1,),))))-(((VLOOKUP(EDATE(B130,-12),Database!$F:$AY,MATCH($U$1,Database!$F$1:$AY$1,),)))))/(((VLOOKUP(EDATE(B130,-12),Database!$F:$AY,MATCH($U$1,Database!$F$1:$AY$1,),))))</f>
        <v>-8.6421653514049929E-2</v>
      </c>
      <c r="V130" s="13">
        <f>((((VLOOKUP(B130,Database!$F:$AY,MATCH($V$1,Database!$F$1:$AY$1,),))))-(((VLOOKUP(EDATE(B130,-12),Database!$F:$AY,MATCH($V$1,Database!$F$1:$AY$1,),)))))/(((VLOOKUP(EDATE(B130,-12),Database!$F:$AY,MATCH($V$1,Database!$F$1:$AY$1,),))))</f>
        <v>-3.5873992312547141E-2</v>
      </c>
    </row>
    <row r="131" spans="1:22" s="85" customFormat="1" x14ac:dyDescent="0.2">
      <c r="A131" s="44"/>
      <c r="B131" s="91">
        <v>36130</v>
      </c>
      <c r="C131" s="13">
        <f>((((VLOOKUP(B131,Database!$F:$AY,MATCH($C$1,Database!$F$1:$AY$1,),))))-(((VLOOKUP(EDATE(B131,-12),Database!$F:$AY,MATCH($C$1,Database!$F$1:$AY$1,),)))))/(((VLOOKUP(EDATE(B131,-12),Database!$F:$AY,MATCH($C$1,Database!$F$1:$AY$1,),))))</f>
        <v>3.7538568635625609E-2</v>
      </c>
      <c r="D131" s="13">
        <f>((((VLOOKUP(B131,Database!$F:$AY,MATCH($D$1,Database!$F$1:$AY$1,),))))-(((VLOOKUP(EDATE(B131,-12),Database!$F:$AY,MATCH($D$1,Database!$F$1:$AY$1,),)))))/(((VLOOKUP(EDATE(B131,-12),Database!$F:$AY,MATCH($D$1,Database!$F$1:$AY$1,),))))</f>
        <v>1.1363256651619712E-3</v>
      </c>
      <c r="E131" s="13">
        <f>((((VLOOKUP(B131,Database!$F:$AY,MATCH($E$1,Database!$F$1:$AY$1,),))))-(((VLOOKUP(EDATE(B131,-12),Database!$F:$AY,MATCH($E$1,Database!$F$1:$AY$1,),)))))/(((VLOOKUP(EDATE(B131,-12),Database!$F:$AY,MATCH($E$1,Database!$F$1:$AY$1,),))))</f>
        <v>-6.0458189886226484E-2</v>
      </c>
      <c r="F131" s="13">
        <f>((((VLOOKUP(B131,Database!$F:$AY,MATCH($F$1,Database!$F$1:$AY$1,),))))-(((VLOOKUP(EDATE(B131,-12),Database!$F:$AY,MATCH($F$1,Database!$F$1:$AY$1,),)))))/(((VLOOKUP(EDATE(B131,-12),Database!$F:$AY,MATCH($F$1,Database!$F$1:$AY$1,),))))</f>
        <v>-1.349505080247453E-3</v>
      </c>
      <c r="G131" s="13">
        <f>((((VLOOKUP(B131,Database!$F:$AY,MATCH($G$1,Database!$F$1:$AY$1,),))))-(((VLOOKUP(EDATE(B131,-12),Database!$F:$AY,MATCH($G$1,Database!$F$1:$AY$1,),)))))/(((VLOOKUP(EDATE(B131,-12),Database!$F:$AY,MATCH($G$1,Database!$F$1:$AY$1,),))))</f>
        <v>1.0753589791142937E-2</v>
      </c>
      <c r="H131" s="13">
        <f>((((VLOOKUP(B131,Database!$F:$AY,MATCH($H$1,Database!$F$1:$AY$1,),))))-(((VLOOKUP(EDATE(B131,-12),Database!$F:$AY,MATCH($H$1,Database!$F$1:$AY$1,),)))))/(((VLOOKUP(EDATE(B131,-12),Database!$F:$AY,MATCH($H$1,Database!$F$1:$AY$1,),))))</f>
        <v>0</v>
      </c>
      <c r="I131" s="13">
        <f>((((VLOOKUP(B131,Database!$F:$AY,MATCH($I$1,Database!$F$1:$AY$1,),))))-(((VLOOKUP(EDATE(B131,-12),Database!$F:$AY,MATCH($I$1,Database!$F$1:$AY$1,),)))))/(((VLOOKUP(EDATE(B131,-12),Database!$F:$AY,MATCH($I$1,Database!$F$1:$AY$1,),))))</f>
        <v>-4.1766541140786061E-2</v>
      </c>
      <c r="J131" s="13">
        <f>((((VLOOKUP(B131,Database!$F:$AY,MATCH($J$1,Database!$F$1:$AY$1,),))))-(((VLOOKUP(EDATE(B131,-12),Database!$F:$AY,MATCH($J$1,Database!$F$1:$AY$1,),)))))/(((VLOOKUP(EDATE(B131,-12),Database!$F:$AY,MATCH($J$1,Database!$F$1:$AY$1,),))))</f>
        <v>5.0209722631846455E-2</v>
      </c>
      <c r="K131" s="13">
        <f>((((VLOOKUP(B131,Database!$F:$AY,MATCH($K$1,Database!$F$1:$AY$1,),))))-(((VLOOKUP(EDATE(B131,-12),Database!$F:$AY,MATCH($K$1,Database!$F$1:$AY$1,),)))))/(((VLOOKUP(EDATE(B131,-12),Database!$F:$AY,MATCH($K$1,Database!$F$1:$AY$1,),))))</f>
        <v>1.2021788526542324E-2</v>
      </c>
      <c r="L131" s="13">
        <f>((((VLOOKUP(B131,Database!$F:$AY,MATCH($L$1,Database!$F$1:$AY$1,),))))-(((VLOOKUP(EDATE(B131,-12),Database!$F:$AY,MATCH($L$1,Database!$F$1:$AY$1,),)))))/(((VLOOKUP(EDATE(B131,-12),Database!$F:$AY,MATCH($L$1,Database!$F$1:$AY$1,),))))</f>
        <v>5.1763290388883915E-2</v>
      </c>
      <c r="M131" s="13">
        <f>((((VLOOKUP(B131,Database!$F:$AY,MATCH($M$1,Database!$F$1:$AY$1,),))))-(((VLOOKUP(EDATE(B131,-12),Database!$F:$AY,MATCH($M$1,Database!$F$1:$AY$1,),)))))/(((VLOOKUP(EDATE(B131,-12),Database!$F:$AY,MATCH($M$1,Database!$F$1:$AY$1,),))))</f>
        <v>-7.5192937234823981E-2</v>
      </c>
      <c r="N131" s="13">
        <f>((((VLOOKUP(B131,Database!$F:$AY,MATCH($N$1,Database!$F$1:$AY$1,),))))-(((VLOOKUP(EDATE(B131,-12),Database!$F:$AY,MATCH($N$1,Database!$F$1:$AY$1,),)))))/(((VLOOKUP(EDATE(B131,-12),Database!$F:$AY,MATCH($N$1,Database!$F$1:$AY$1,),))))</f>
        <v>4.2363855852513933E-2</v>
      </c>
      <c r="O131" s="13">
        <f>((((VLOOKUP(B131,Database!$F:$AY,MATCH($O$1,Database!$F$1:$AY$1,),))))-(((VLOOKUP(EDATE(B131,-12),Database!$F:$AY,MATCH($O$1,Database!$F$1:$AY$1,),)))))/(((VLOOKUP(EDATE(B131,-12),Database!$F:$AY,MATCH($O$1,Database!$F$1:$AY$1,),))))</f>
        <v>3.5256960068654433E-2</v>
      </c>
      <c r="P131" s="13">
        <f>((((VLOOKUP(B131,Database!$F:$AY,MATCH($P$1,Database!$F$1:$AY$1,),))))-(((VLOOKUP(EDATE(B131,-12),Database!$F:$AY,MATCH($P$1,Database!$F$1:$AY$1,),)))))/(((VLOOKUP(EDATE(B131,-12),Database!$F:$AY,MATCH($P$1,Database!$F$1:$AY$1,),))))</f>
        <v>4.6523293522372472E-2</v>
      </c>
      <c r="Q131" s="13">
        <f>((((VLOOKUP(B131,Database!$F:$AY,MATCH($Q$1,Database!$F$1:$AY$1,),))))-(((VLOOKUP(EDATE(B131,-12),Database!$F:$AY,MATCH($Q$1,Database!$F$1:$AY$1,),)))))/(((VLOOKUP(EDATE(B131,-12),Database!$F:$AY,MATCH($Q$1,Database!$F$1:$AY$1,),))))</f>
        <v>-2.2657452915977663E-2</v>
      </c>
      <c r="R131" s="13">
        <f>((((VLOOKUP(B131,Database!$F:$AY,MATCH($R$1,Database!$F$1:$AY$1,),))))-(((VLOOKUP(EDATE(B131,-12),Database!$F:$AY,MATCH($R$1,Database!$F$1:$AY$1,),)))))/(((VLOOKUP(EDATE(B131,-12),Database!$F:$AY,MATCH($R$1,Database!$F$1:$AY$1,),))))</f>
        <v>8.4546849281901246E-2</v>
      </c>
      <c r="S131" s="13">
        <f>((((VLOOKUP(B131,Database!$F:$AY,MATCH($S$1,Database!$F$1:$AY$1,),))))-(((VLOOKUP(EDATE(B131,-12),Database!$F:$AY,MATCH($S$1,Database!$F$1:$AY$1,),)))))/(((VLOOKUP(EDATE(B131,-12),Database!$F:$AY,MATCH($S$1,Database!$F$1:$AY$1,),))))</f>
        <v>0.1792829647196589</v>
      </c>
      <c r="T131" s="13">
        <f>((((VLOOKUP(B131,Database!$F:$AY,MATCH($T$1,Database!$F$1:$AY$1,),))))-(((VLOOKUP(EDATE(B131,-12),Database!$F:$AY,MATCH($T$1,Database!$F$1:$AY$1,),)))))/(((VLOOKUP(EDATE(B131,-12),Database!$F:$AY,MATCH($T$1,Database!$F$1:$AY$1,),))))</f>
        <v>-8.857823366653135E-2</v>
      </c>
      <c r="U131" s="13">
        <f>((((VLOOKUP(B131,Database!$F:$AY,MATCH($U$1,Database!$F$1:$AY$1,),))))-(((VLOOKUP(EDATE(B131,-12),Database!$F:$AY,MATCH($U$1,Database!$F$1:$AY$1,),)))))/(((VLOOKUP(EDATE(B131,-12),Database!$F:$AY,MATCH($U$1,Database!$F$1:$AY$1,),))))</f>
        <v>-6.9869483084320796E-2</v>
      </c>
      <c r="V131" s="13">
        <f>((((VLOOKUP(B131,Database!$F:$AY,MATCH($V$1,Database!$F$1:$AY$1,),))))-(((VLOOKUP(EDATE(B131,-12),Database!$F:$AY,MATCH($V$1,Database!$F$1:$AY$1,),)))))/(((VLOOKUP(EDATE(B131,-12),Database!$F:$AY,MATCH($V$1,Database!$F$1:$AY$1,),))))</f>
        <v>-2.1123884727556927E-2</v>
      </c>
    </row>
    <row r="132" spans="1:22" s="85" customFormat="1" x14ac:dyDescent="0.2">
      <c r="A132" s="44"/>
      <c r="B132" s="91">
        <v>36161</v>
      </c>
      <c r="C132" s="13">
        <f>((((VLOOKUP(B132,Database!$F:$AY,MATCH($C$1,Database!$F$1:$AY$1,),))))-(((VLOOKUP(EDATE(B132,-12),Database!$F:$AY,MATCH($C$1,Database!$F$1:$AY$1,),)))))/(((VLOOKUP(EDATE(B132,-12),Database!$F:$AY,MATCH($C$1,Database!$F$1:$AY$1,),))))</f>
        <v>3.7069821623501913E-2</v>
      </c>
      <c r="D132" s="13">
        <f>((((VLOOKUP(B132,Database!$F:$AY,MATCH($D$1,Database!$F$1:$AY$1,),))))-(((VLOOKUP(EDATE(B132,-12),Database!$F:$AY,MATCH($D$1,Database!$F$1:$AY$1,),)))))/(((VLOOKUP(EDATE(B132,-12),Database!$F:$AY,MATCH($D$1,Database!$F$1:$AY$1,),))))</f>
        <v>1.2457454690356579E-2</v>
      </c>
      <c r="E132" s="13">
        <f>((((VLOOKUP(B132,Database!$F:$AY,MATCH($E$1,Database!$F$1:$AY$1,),))))-(((VLOOKUP(EDATE(B132,-12),Database!$F:$AY,MATCH($E$1,Database!$F$1:$AY$1,),)))))/(((VLOOKUP(EDATE(B132,-12),Database!$F:$AY,MATCH($E$1,Database!$F$1:$AY$1,),))))</f>
        <v>-6.2062370579211906E-2</v>
      </c>
      <c r="F132" s="13">
        <f>((((VLOOKUP(B132,Database!$F:$AY,MATCH($F$1,Database!$F$1:$AY$1,),))))-(((VLOOKUP(EDATE(B132,-12),Database!$F:$AY,MATCH($F$1,Database!$F$1:$AY$1,),)))))/(((VLOOKUP(EDATE(B132,-12),Database!$F:$AY,MATCH($F$1,Database!$F$1:$AY$1,),))))</f>
        <v>4.0052736035685998E-3</v>
      </c>
      <c r="G132" s="13">
        <f>((((VLOOKUP(B132,Database!$F:$AY,MATCH($G$1,Database!$F$1:$AY$1,),))))-(((VLOOKUP(EDATE(B132,-12),Database!$F:$AY,MATCH($G$1,Database!$F$1:$AY$1,),)))))/(((VLOOKUP(EDATE(B132,-12),Database!$F:$AY,MATCH($G$1,Database!$F$1:$AY$1,),))))</f>
        <v>1.3515726422204359E-2</v>
      </c>
      <c r="H132" s="13">
        <f>((((VLOOKUP(B132,Database!$F:$AY,MATCH($H$1,Database!$F$1:$AY$1,),))))-(((VLOOKUP(EDATE(B132,-12),Database!$F:$AY,MATCH($H$1,Database!$F$1:$AY$1,),)))))/(((VLOOKUP(EDATE(B132,-12),Database!$F:$AY,MATCH($H$1,Database!$F$1:$AY$1,),))))</f>
        <v>-9.7064772500939111E-4</v>
      </c>
      <c r="I132" s="13">
        <f>((((VLOOKUP(B132,Database!$F:$AY,MATCH($I$1,Database!$F$1:$AY$1,),))))-(((VLOOKUP(EDATE(B132,-12),Database!$F:$AY,MATCH($I$1,Database!$F$1:$AY$1,),)))))/(((VLOOKUP(EDATE(B132,-12),Database!$F:$AY,MATCH($I$1,Database!$F$1:$AY$1,),))))</f>
        <v>-1.6180960063824038E-2</v>
      </c>
      <c r="J132" s="13">
        <f>((((VLOOKUP(B132,Database!$F:$AY,MATCH($J$1,Database!$F$1:$AY$1,),))))-(((VLOOKUP(EDATE(B132,-12),Database!$F:$AY,MATCH($J$1,Database!$F$1:$AY$1,),)))))/(((VLOOKUP(EDATE(B132,-12),Database!$F:$AY,MATCH($J$1,Database!$F$1:$AY$1,),))))</f>
        <v>4.6746725833934938E-2</v>
      </c>
      <c r="K132" s="13">
        <f>((((VLOOKUP(B132,Database!$F:$AY,MATCH($K$1,Database!$F$1:$AY$1,),))))-(((VLOOKUP(EDATE(B132,-12),Database!$F:$AY,MATCH($K$1,Database!$F$1:$AY$1,),)))))/(((VLOOKUP(EDATE(B132,-12),Database!$F:$AY,MATCH($K$1,Database!$F$1:$AY$1,),))))</f>
        <v>1.8826175700395461E-2</v>
      </c>
      <c r="L132" s="13">
        <f>((((VLOOKUP(B132,Database!$F:$AY,MATCH($L$1,Database!$F$1:$AY$1,),))))-(((VLOOKUP(EDATE(B132,-12),Database!$F:$AY,MATCH($L$1,Database!$F$1:$AY$1,),)))))/(((VLOOKUP(EDATE(B132,-12),Database!$F:$AY,MATCH($L$1,Database!$F$1:$AY$1,),))))</f>
        <v>5.1160741949708231E-2</v>
      </c>
      <c r="M132" s="13">
        <f>((((VLOOKUP(B132,Database!$F:$AY,MATCH($M$1,Database!$F$1:$AY$1,),))))-(((VLOOKUP(EDATE(B132,-12),Database!$F:$AY,MATCH($M$1,Database!$F$1:$AY$1,),)))))/(((VLOOKUP(EDATE(B132,-12),Database!$F:$AY,MATCH($M$1,Database!$F$1:$AY$1,),))))</f>
        <v>-2.2439187392750762E-2</v>
      </c>
      <c r="N132" s="13">
        <f>((((VLOOKUP(B132,Database!$F:$AY,MATCH($N$1,Database!$F$1:$AY$1,),))))-(((VLOOKUP(EDATE(B132,-12),Database!$F:$AY,MATCH($N$1,Database!$F$1:$AY$1,),)))))/(((VLOOKUP(EDATE(B132,-12),Database!$F:$AY,MATCH($N$1,Database!$F$1:$AY$1,),))))</f>
        <v>5.5846308661488452E-2</v>
      </c>
      <c r="O132" s="13">
        <f>((((VLOOKUP(B132,Database!$F:$AY,MATCH($O$1,Database!$F$1:$AY$1,),))))-(((VLOOKUP(EDATE(B132,-12),Database!$F:$AY,MATCH($O$1,Database!$F$1:$AY$1,),)))))/(((VLOOKUP(EDATE(B132,-12),Database!$F:$AY,MATCH($O$1,Database!$F$1:$AY$1,),))))</f>
        <v>5.4555592582894837E-2</v>
      </c>
      <c r="P132" s="13">
        <f>((((VLOOKUP(B132,Database!$F:$AY,MATCH($P$1,Database!$F$1:$AY$1,),))))-(((VLOOKUP(EDATE(B132,-12),Database!$F:$AY,MATCH($P$1,Database!$F$1:$AY$1,),)))))/(((VLOOKUP(EDATE(B132,-12),Database!$F:$AY,MATCH($P$1,Database!$F$1:$AY$1,),))))</f>
        <v>0.10135159773491551</v>
      </c>
      <c r="Q132" s="13">
        <f>((((VLOOKUP(B132,Database!$F:$AY,MATCH($Q$1,Database!$F$1:$AY$1,),))))-(((VLOOKUP(EDATE(B132,-12),Database!$F:$AY,MATCH($Q$1,Database!$F$1:$AY$1,),)))))/(((VLOOKUP(EDATE(B132,-12),Database!$F:$AY,MATCH($Q$1,Database!$F$1:$AY$1,),))))</f>
        <v>-1.0621685499677321E-2</v>
      </c>
      <c r="R132" s="13">
        <f>((((VLOOKUP(B132,Database!$F:$AY,MATCH($R$1,Database!$F$1:$AY$1,),))))-(((VLOOKUP(EDATE(B132,-12),Database!$F:$AY,MATCH($R$1,Database!$F$1:$AY$1,),)))))/(((VLOOKUP(EDATE(B132,-12),Database!$F:$AY,MATCH($R$1,Database!$F$1:$AY$1,),))))</f>
        <v>5.3072110037602267E-2</v>
      </c>
      <c r="S132" s="13">
        <f>((((VLOOKUP(B132,Database!$F:$AY,MATCH($S$1,Database!$F$1:$AY$1,),))))-(((VLOOKUP(EDATE(B132,-12),Database!$F:$AY,MATCH($S$1,Database!$F$1:$AY$1,),)))))/(((VLOOKUP(EDATE(B132,-12),Database!$F:$AY,MATCH($S$1,Database!$F$1:$AY$1,),))))</f>
        <v>0.24202650640614648</v>
      </c>
      <c r="T132" s="13">
        <f>((((VLOOKUP(B132,Database!$F:$AY,MATCH($T$1,Database!$F$1:$AY$1,),))))-(((VLOOKUP(EDATE(B132,-12),Database!$F:$AY,MATCH($T$1,Database!$F$1:$AY$1,),)))))/(((VLOOKUP(EDATE(B132,-12),Database!$F:$AY,MATCH($T$1,Database!$F$1:$AY$1,),))))</f>
        <v>-5.9907978520793985E-2</v>
      </c>
      <c r="U132" s="13">
        <f>((((VLOOKUP(B132,Database!$F:$AY,MATCH($U$1,Database!$F$1:$AY$1,),))))-(((VLOOKUP(EDATE(B132,-12),Database!$F:$AY,MATCH($U$1,Database!$F$1:$AY$1,),)))))/(((VLOOKUP(EDATE(B132,-12),Database!$F:$AY,MATCH($U$1,Database!$F$1:$AY$1,),))))</f>
        <v>-8.7027275704871815E-2</v>
      </c>
      <c r="V132" s="13">
        <f>((((VLOOKUP(B132,Database!$F:$AY,MATCH($V$1,Database!$F$1:$AY$1,),))))-(((VLOOKUP(EDATE(B132,-12),Database!$F:$AY,MATCH($V$1,Database!$F$1:$AY$1,),)))))/(((VLOOKUP(EDATE(B132,-12),Database!$F:$AY,MATCH($V$1,Database!$F$1:$AY$1,),))))</f>
        <v>-4.1234941217665994E-2</v>
      </c>
    </row>
    <row r="133" spans="1:22" s="85" customFormat="1" x14ac:dyDescent="0.2">
      <c r="A133" s="44"/>
      <c r="B133" s="91">
        <v>36192</v>
      </c>
      <c r="C133" s="13">
        <f>((((VLOOKUP(B133,Database!$F:$AY,MATCH($C$1,Database!$F$1:$AY$1,),))))-(((VLOOKUP(EDATE(B133,-12),Database!$F:$AY,MATCH($C$1,Database!$F$1:$AY$1,),)))))/(((VLOOKUP(EDATE(B133,-12),Database!$F:$AY,MATCH($C$1,Database!$F$1:$AY$1,),))))</f>
        <v>4.1232755136619802E-2</v>
      </c>
      <c r="D133" s="13">
        <f>((((VLOOKUP(B133,Database!$F:$AY,MATCH($D$1,Database!$F$1:$AY$1,),))))-(((VLOOKUP(EDATE(B133,-12),Database!$F:$AY,MATCH($D$1,Database!$F$1:$AY$1,),)))))/(((VLOOKUP(EDATE(B133,-12),Database!$F:$AY,MATCH($D$1,Database!$F$1:$AY$1,),))))</f>
        <v>-3.3821870205654955E-3</v>
      </c>
      <c r="E133" s="13">
        <f>((((VLOOKUP(B133,Database!$F:$AY,MATCH($E$1,Database!$F$1:$AY$1,),))))-(((VLOOKUP(EDATE(B133,-12),Database!$F:$AY,MATCH($E$1,Database!$F$1:$AY$1,),)))))/(((VLOOKUP(EDATE(B133,-12),Database!$F:$AY,MATCH($E$1,Database!$F$1:$AY$1,),))))</f>
        <v>-3.6999434402811546E-2</v>
      </c>
      <c r="F133" s="13">
        <f>((((VLOOKUP(B133,Database!$F:$AY,MATCH($F$1,Database!$F$1:$AY$1,),))))-(((VLOOKUP(EDATE(B133,-12),Database!$F:$AY,MATCH($F$1,Database!$F$1:$AY$1,),)))))/(((VLOOKUP(EDATE(B133,-12),Database!$F:$AY,MATCH($F$1,Database!$F$1:$AY$1,),))))</f>
        <v>-1.204825890455668E-2</v>
      </c>
      <c r="G133" s="13">
        <f>((((VLOOKUP(B133,Database!$F:$AY,MATCH($G$1,Database!$F$1:$AY$1,),))))-(((VLOOKUP(EDATE(B133,-12),Database!$F:$AY,MATCH($G$1,Database!$F$1:$AY$1,),)))))/(((VLOOKUP(EDATE(B133,-12),Database!$F:$AY,MATCH($G$1,Database!$F$1:$AY$1,),))))</f>
        <v>3.5269601815992556E-3</v>
      </c>
      <c r="H133" s="13">
        <f>((((VLOOKUP(B133,Database!$F:$AY,MATCH($H$1,Database!$F$1:$AY$1,),))))-(((VLOOKUP(EDATE(B133,-12),Database!$F:$AY,MATCH($H$1,Database!$F$1:$AY$1,),)))))/(((VLOOKUP(EDATE(B133,-12),Database!$F:$AY,MATCH($H$1,Database!$F$1:$AY$1,),))))</f>
        <v>-1.4395737663701383E-2</v>
      </c>
      <c r="I133" s="13">
        <f>((((VLOOKUP(B133,Database!$F:$AY,MATCH($I$1,Database!$F$1:$AY$1,),))))-(((VLOOKUP(EDATE(B133,-12),Database!$F:$AY,MATCH($I$1,Database!$F$1:$AY$1,),)))))/(((VLOOKUP(EDATE(B133,-12),Database!$F:$AY,MATCH($I$1,Database!$F$1:$AY$1,),))))</f>
        <v>-2.0242983827800969E-2</v>
      </c>
      <c r="J133" s="13">
        <f>((((VLOOKUP(B133,Database!$F:$AY,MATCH($J$1,Database!$F$1:$AY$1,),))))-(((VLOOKUP(EDATE(B133,-12),Database!$F:$AY,MATCH($J$1,Database!$F$1:$AY$1,),)))))/(((VLOOKUP(EDATE(B133,-12),Database!$F:$AY,MATCH($J$1,Database!$F$1:$AY$1,),))))</f>
        <v>-1.7193193902270647E-4</v>
      </c>
      <c r="K133" s="13">
        <f>((((VLOOKUP(B133,Database!$F:$AY,MATCH($K$1,Database!$F$1:$AY$1,),))))-(((VLOOKUP(EDATE(B133,-12),Database!$F:$AY,MATCH($K$1,Database!$F$1:$AY$1,),)))))/(((VLOOKUP(EDATE(B133,-12),Database!$F:$AY,MATCH($K$1,Database!$F$1:$AY$1,),))))</f>
        <v>3.5476651849764652E-2</v>
      </c>
      <c r="L133" s="13">
        <f>((((VLOOKUP(B133,Database!$F:$AY,MATCH($L$1,Database!$F$1:$AY$1,),))))-(((VLOOKUP(EDATE(B133,-12),Database!$F:$AY,MATCH($L$1,Database!$F$1:$AY$1,),)))))/(((VLOOKUP(EDATE(B133,-12),Database!$F:$AY,MATCH($L$1,Database!$F$1:$AY$1,),))))</f>
        <v>2.2172744165998372E-2</v>
      </c>
      <c r="M133" s="13">
        <f>((((VLOOKUP(B133,Database!$F:$AY,MATCH($M$1,Database!$F$1:$AY$1,),))))-(((VLOOKUP(EDATE(B133,-12),Database!$F:$AY,MATCH($M$1,Database!$F$1:$AY$1,),)))))/(((VLOOKUP(EDATE(B133,-12),Database!$F:$AY,MATCH($M$1,Database!$F$1:$AY$1,),))))</f>
        <v>-9.3602045081320973E-2</v>
      </c>
      <c r="N133" s="13">
        <f>((((VLOOKUP(B133,Database!$F:$AY,MATCH($N$1,Database!$F$1:$AY$1,),))))-(((VLOOKUP(EDATE(B133,-12),Database!$F:$AY,MATCH($N$1,Database!$F$1:$AY$1,),)))))/(((VLOOKUP(EDATE(B133,-12),Database!$F:$AY,MATCH($N$1,Database!$F$1:$AY$1,),))))</f>
        <v>3.546982903823484E-2</v>
      </c>
      <c r="O133" s="13">
        <f>((((VLOOKUP(B133,Database!$F:$AY,MATCH($O$1,Database!$F$1:$AY$1,),))))-(((VLOOKUP(EDATE(B133,-12),Database!$F:$AY,MATCH($O$1,Database!$F$1:$AY$1,),)))))/(((VLOOKUP(EDATE(B133,-12),Database!$F:$AY,MATCH($O$1,Database!$F$1:$AY$1,),))))</f>
        <v>4.073818427942464E-2</v>
      </c>
      <c r="P133" s="13">
        <f>((((VLOOKUP(B133,Database!$F:$AY,MATCH($P$1,Database!$F$1:$AY$1,),))))-(((VLOOKUP(EDATE(B133,-12),Database!$F:$AY,MATCH($P$1,Database!$F$1:$AY$1,),)))))/(((VLOOKUP(EDATE(B133,-12),Database!$F:$AY,MATCH($P$1,Database!$F$1:$AY$1,),))))</f>
        <v>0.13586764592155354</v>
      </c>
      <c r="Q133" s="13">
        <f>((((VLOOKUP(B133,Database!$F:$AY,MATCH($Q$1,Database!$F$1:$AY$1,),))))-(((VLOOKUP(EDATE(B133,-12),Database!$F:$AY,MATCH($Q$1,Database!$F$1:$AY$1,),)))))/(((VLOOKUP(EDATE(B133,-12),Database!$F:$AY,MATCH($Q$1,Database!$F$1:$AY$1,),))))</f>
        <v>-4.3902991622217578E-2</v>
      </c>
      <c r="R133" s="13">
        <f>((((VLOOKUP(B133,Database!$F:$AY,MATCH($R$1,Database!$F$1:$AY$1,),))))-(((VLOOKUP(EDATE(B133,-12),Database!$F:$AY,MATCH($R$1,Database!$F$1:$AY$1,),)))))/(((VLOOKUP(EDATE(B133,-12),Database!$F:$AY,MATCH($R$1,Database!$F$1:$AY$1,),))))</f>
        <v>2.6222798321621724E-2</v>
      </c>
      <c r="S133" s="13">
        <f>((((VLOOKUP(B133,Database!$F:$AY,MATCH($S$1,Database!$F$1:$AY$1,),))))-(((VLOOKUP(EDATE(B133,-12),Database!$F:$AY,MATCH($S$1,Database!$F$1:$AY$1,),)))))/(((VLOOKUP(EDATE(B133,-12),Database!$F:$AY,MATCH($S$1,Database!$F$1:$AY$1,),))))</f>
        <v>0.12072074531410915</v>
      </c>
      <c r="T133" s="13">
        <f>((((VLOOKUP(B133,Database!$F:$AY,MATCH($T$1,Database!$F$1:$AY$1,),))))-(((VLOOKUP(EDATE(B133,-12),Database!$F:$AY,MATCH($T$1,Database!$F$1:$AY$1,),)))))/(((VLOOKUP(EDATE(B133,-12),Database!$F:$AY,MATCH($T$1,Database!$F$1:$AY$1,),))))</f>
        <v>-5.5172407450918878E-2</v>
      </c>
      <c r="U133" s="13">
        <f>((((VLOOKUP(B133,Database!$F:$AY,MATCH($U$1,Database!$F$1:$AY$1,),))))-(((VLOOKUP(EDATE(B133,-12),Database!$F:$AY,MATCH($U$1,Database!$F$1:$AY$1,),)))))/(((VLOOKUP(EDATE(B133,-12),Database!$F:$AY,MATCH($U$1,Database!$F$1:$AY$1,),))))</f>
        <v>-7.6562323178398548E-2</v>
      </c>
      <c r="V133" s="13">
        <f>((((VLOOKUP(B133,Database!$F:$AY,MATCH($V$1,Database!$F$1:$AY$1,),))))-(((VLOOKUP(EDATE(B133,-12),Database!$F:$AY,MATCH($V$1,Database!$F$1:$AY$1,),)))))/(((VLOOKUP(EDATE(B133,-12),Database!$F:$AY,MATCH($V$1,Database!$F$1:$AY$1,),))))</f>
        <v>-5.1702612964561037E-2</v>
      </c>
    </row>
    <row r="134" spans="1:22" s="85" customFormat="1" x14ac:dyDescent="0.2">
      <c r="A134" s="44"/>
      <c r="B134" s="91">
        <v>36220</v>
      </c>
      <c r="C134" s="13">
        <f>((((VLOOKUP(B134,Database!$F:$AY,MATCH($C$1,Database!$F$1:$AY$1,),))))-(((VLOOKUP(EDATE(B134,-12),Database!$F:$AY,MATCH($C$1,Database!$F$1:$AY$1,),)))))/(((VLOOKUP(EDATE(B134,-12),Database!$F:$AY,MATCH($C$1,Database!$F$1:$AY$1,),))))</f>
        <v>4.2180569565820218E-2</v>
      </c>
      <c r="D134" s="13">
        <f>((((VLOOKUP(B134,Database!$F:$AY,MATCH($D$1,Database!$F$1:$AY$1,),))))-(((VLOOKUP(EDATE(B134,-12),Database!$F:$AY,MATCH($D$1,Database!$F$1:$AY$1,),)))))/(((VLOOKUP(EDATE(B134,-12),Database!$F:$AY,MATCH($D$1,Database!$F$1:$AY$1,),))))</f>
        <v>-2.2548289331639198E-3</v>
      </c>
      <c r="E134" s="13">
        <f>((((VLOOKUP(B134,Database!$F:$AY,MATCH($E$1,Database!$F$1:$AY$1,),))))-(((VLOOKUP(EDATE(B134,-12),Database!$F:$AY,MATCH($E$1,Database!$F$1:$AY$1,),)))))/(((VLOOKUP(EDATE(B134,-12),Database!$F:$AY,MATCH($E$1,Database!$F$1:$AY$1,),))))</f>
        <v>-3.1512449344404617E-3</v>
      </c>
      <c r="F134" s="13">
        <f>((((VLOOKUP(B134,Database!$F:$AY,MATCH($F$1,Database!$F$1:$AY$1,),))))-(((VLOOKUP(EDATE(B134,-12),Database!$F:$AY,MATCH($F$1,Database!$F$1:$AY$1,),)))))/(((VLOOKUP(EDATE(B134,-12),Database!$F:$AY,MATCH($F$1,Database!$F$1:$AY$1,),))))</f>
        <v>-1.8494141520364486E-2</v>
      </c>
      <c r="G134" s="13">
        <f>((((VLOOKUP(B134,Database!$F:$AY,MATCH($G$1,Database!$F$1:$AY$1,),))))-(((VLOOKUP(EDATE(B134,-12),Database!$F:$AY,MATCH($G$1,Database!$F$1:$AY$1,),)))))/(((VLOOKUP(EDATE(B134,-12),Database!$F:$AY,MATCH($G$1,Database!$F$1:$AY$1,),))))</f>
        <v>1.5071769386063333E-2</v>
      </c>
      <c r="H134" s="13">
        <f>((((VLOOKUP(B134,Database!$F:$AY,MATCH($H$1,Database!$F$1:$AY$1,),))))-(((VLOOKUP(EDATE(B134,-12),Database!$F:$AY,MATCH($H$1,Database!$F$1:$AY$1,),)))))/(((VLOOKUP(EDATE(B134,-12),Database!$F:$AY,MATCH($H$1,Database!$F$1:$AY$1,),))))</f>
        <v>-8.6122752573130207E-3</v>
      </c>
      <c r="I134" s="13">
        <f>((((VLOOKUP(B134,Database!$F:$AY,MATCH($I$1,Database!$F$1:$AY$1,),))))-(((VLOOKUP(EDATE(B134,-12),Database!$F:$AY,MATCH($I$1,Database!$F$1:$AY$1,),)))))/(((VLOOKUP(EDATE(B134,-12),Database!$F:$AY,MATCH($I$1,Database!$F$1:$AY$1,),))))</f>
        <v>-1.2205244047919329E-2</v>
      </c>
      <c r="J134" s="13">
        <f>((((VLOOKUP(B134,Database!$F:$AY,MATCH($J$1,Database!$F$1:$AY$1,),))))-(((VLOOKUP(EDATE(B134,-12),Database!$F:$AY,MATCH($J$1,Database!$F$1:$AY$1,),)))))/(((VLOOKUP(EDATE(B134,-12),Database!$F:$AY,MATCH($J$1,Database!$F$1:$AY$1,),))))</f>
        <v>5.3017862470264463E-3</v>
      </c>
      <c r="K134" s="13">
        <f>((((VLOOKUP(B134,Database!$F:$AY,MATCH($K$1,Database!$F$1:$AY$1,),))))-(((VLOOKUP(EDATE(B134,-12),Database!$F:$AY,MATCH($K$1,Database!$F$1:$AY$1,),)))))/(((VLOOKUP(EDATE(B134,-12),Database!$F:$AY,MATCH($K$1,Database!$F$1:$AY$1,),))))</f>
        <v>3.7403825040383219E-2</v>
      </c>
      <c r="L134" s="13">
        <f>((((VLOOKUP(B134,Database!$F:$AY,MATCH($L$1,Database!$F$1:$AY$1,),))))-(((VLOOKUP(EDATE(B134,-12),Database!$F:$AY,MATCH($L$1,Database!$F$1:$AY$1,),)))))/(((VLOOKUP(EDATE(B134,-12),Database!$F:$AY,MATCH($L$1,Database!$F$1:$AY$1,),))))</f>
        <v>8.5112581088321593E-3</v>
      </c>
      <c r="M134" s="13">
        <f>((((VLOOKUP(B134,Database!$F:$AY,MATCH($M$1,Database!$F$1:$AY$1,),))))-(((VLOOKUP(EDATE(B134,-12),Database!$F:$AY,MATCH($M$1,Database!$F$1:$AY$1,),)))))/(((VLOOKUP(EDATE(B134,-12),Database!$F:$AY,MATCH($M$1,Database!$F$1:$AY$1,),))))</f>
        <v>-5.8612885357705473E-2</v>
      </c>
      <c r="N134" s="13">
        <f>((((VLOOKUP(B134,Database!$F:$AY,MATCH($N$1,Database!$F$1:$AY$1,),))))-(((VLOOKUP(EDATE(B134,-12),Database!$F:$AY,MATCH($N$1,Database!$F$1:$AY$1,),)))))/(((VLOOKUP(EDATE(B134,-12),Database!$F:$AY,MATCH($N$1,Database!$F$1:$AY$1,),))))</f>
        <v>4.6088215393350271E-2</v>
      </c>
      <c r="O134" s="13">
        <f>((((VLOOKUP(B134,Database!$F:$AY,MATCH($O$1,Database!$F$1:$AY$1,),))))-(((VLOOKUP(EDATE(B134,-12),Database!$F:$AY,MATCH($O$1,Database!$F$1:$AY$1,),)))))/(((VLOOKUP(EDATE(B134,-12),Database!$F:$AY,MATCH($O$1,Database!$F$1:$AY$1,),))))</f>
        <v>2.6732961785423E-2</v>
      </c>
      <c r="P134" s="13">
        <f>((((VLOOKUP(B134,Database!$F:$AY,MATCH($P$1,Database!$F$1:$AY$1,),))))-(((VLOOKUP(EDATE(B134,-12),Database!$F:$AY,MATCH($P$1,Database!$F$1:$AY$1,),)))))/(((VLOOKUP(EDATE(B134,-12),Database!$F:$AY,MATCH($P$1,Database!$F$1:$AY$1,),))))</f>
        <v>0.20395416874602262</v>
      </c>
      <c r="Q134" s="13">
        <f>((((VLOOKUP(B134,Database!$F:$AY,MATCH($Q$1,Database!$F$1:$AY$1,),))))-(((VLOOKUP(EDATE(B134,-12),Database!$F:$AY,MATCH($Q$1,Database!$F$1:$AY$1,),)))))/(((VLOOKUP(EDATE(B134,-12),Database!$F:$AY,MATCH($Q$1,Database!$F$1:$AY$1,),))))</f>
        <v>-3.8576053649107468E-2</v>
      </c>
      <c r="R134" s="13">
        <f>((((VLOOKUP(B134,Database!$F:$AY,MATCH($R$1,Database!$F$1:$AY$1,),))))-(((VLOOKUP(EDATE(B134,-12),Database!$F:$AY,MATCH($R$1,Database!$F$1:$AY$1,),)))))/(((VLOOKUP(EDATE(B134,-12),Database!$F:$AY,MATCH($R$1,Database!$F$1:$AY$1,),))))</f>
        <v>-5.5785505039362027E-2</v>
      </c>
      <c r="S134" s="13">
        <f>((((VLOOKUP(B134,Database!$F:$AY,MATCH($S$1,Database!$F$1:$AY$1,),))))-(((VLOOKUP(EDATE(B134,-12),Database!$F:$AY,MATCH($S$1,Database!$F$1:$AY$1,),)))))/(((VLOOKUP(EDATE(B134,-12),Database!$F:$AY,MATCH($S$1,Database!$F$1:$AY$1,),))))</f>
        <v>6.4285813057669797E-2</v>
      </c>
      <c r="T134" s="13">
        <f>((((VLOOKUP(B134,Database!$F:$AY,MATCH($T$1,Database!$F$1:$AY$1,),))))-(((VLOOKUP(EDATE(B134,-12),Database!$F:$AY,MATCH($T$1,Database!$F$1:$AY$1,),)))))/(((VLOOKUP(EDATE(B134,-12),Database!$F:$AY,MATCH($T$1,Database!$F$1:$AY$1,),))))</f>
        <v>-4.9773827323179906E-2</v>
      </c>
      <c r="U134" s="13">
        <f>((((VLOOKUP(B134,Database!$F:$AY,MATCH($U$1,Database!$F$1:$AY$1,),))))-(((VLOOKUP(EDATE(B134,-12),Database!$F:$AY,MATCH($U$1,Database!$F$1:$AY$1,),)))))/(((VLOOKUP(EDATE(B134,-12),Database!$F:$AY,MATCH($U$1,Database!$F$1:$AY$1,),))))</f>
        <v>-9.6097212987047487E-2</v>
      </c>
      <c r="V134" s="13">
        <f>((((VLOOKUP(B134,Database!$F:$AY,MATCH($V$1,Database!$F$1:$AY$1,),))))-(((VLOOKUP(EDATE(B134,-12),Database!$F:$AY,MATCH($V$1,Database!$F$1:$AY$1,),)))))/(((VLOOKUP(EDATE(B134,-12),Database!$F:$AY,MATCH($V$1,Database!$F$1:$AY$1,),))))</f>
        <v>1.8322503621700938E-2</v>
      </c>
    </row>
    <row r="135" spans="1:22" s="85" customFormat="1" x14ac:dyDescent="0.2">
      <c r="A135" s="44"/>
      <c r="B135" s="91">
        <v>36251</v>
      </c>
      <c r="C135" s="13">
        <f>((((VLOOKUP(B135,Database!$F:$AY,MATCH($C$1,Database!$F$1:$AY$1,),))))-(((VLOOKUP(EDATE(B135,-12),Database!$F:$AY,MATCH($C$1,Database!$F$1:$AY$1,),)))))/(((VLOOKUP(EDATE(B135,-12),Database!$F:$AY,MATCH($C$1,Database!$F$1:$AY$1,),))))</f>
        <v>4.1155027021550598E-2</v>
      </c>
      <c r="D135" s="13">
        <f>((((VLOOKUP(B135,Database!$F:$AY,MATCH($D$1,Database!$F$1:$AY$1,),))))-(((VLOOKUP(EDATE(B135,-12),Database!$F:$AY,MATCH($D$1,Database!$F$1:$AY$1,),)))))/(((VLOOKUP(EDATE(B135,-12),Database!$F:$AY,MATCH($D$1,Database!$F$1:$AY$1,),))))</f>
        <v>1.1235580041034049E-3</v>
      </c>
      <c r="E135" s="13">
        <f>((((VLOOKUP(B135,Database!$F:$AY,MATCH($E$1,Database!$F$1:$AY$1,),))))-(((VLOOKUP(EDATE(B135,-12),Database!$F:$AY,MATCH($E$1,Database!$F$1:$AY$1,),)))))/(((VLOOKUP(EDATE(B135,-12),Database!$F:$AY,MATCH($E$1,Database!$F$1:$AY$1,),))))</f>
        <v>-1.7894351169227225E-2</v>
      </c>
      <c r="F135" s="13">
        <f>((((VLOOKUP(B135,Database!$F:$AY,MATCH($F$1,Database!$F$1:$AY$1,),))))-(((VLOOKUP(EDATE(B135,-12),Database!$F:$AY,MATCH($F$1,Database!$F$1:$AY$1,),)))))/(((VLOOKUP(EDATE(B135,-12),Database!$F:$AY,MATCH($F$1,Database!$F$1:$AY$1,),))))</f>
        <v>-2.6666222185183523E-3</v>
      </c>
      <c r="G135" s="13">
        <f>((((VLOOKUP(B135,Database!$F:$AY,MATCH($G$1,Database!$F$1:$AY$1,),))))-(((VLOOKUP(EDATE(B135,-12),Database!$F:$AY,MATCH($G$1,Database!$F$1:$AY$1,),)))))/(((VLOOKUP(EDATE(B135,-12),Database!$F:$AY,MATCH($G$1,Database!$F$1:$AY$1,),))))</f>
        <v>1.0182005427270225E-2</v>
      </c>
      <c r="H135" s="13">
        <f>((((VLOOKUP(B135,Database!$F:$AY,MATCH($H$1,Database!$F$1:$AY$1,),))))-(((VLOOKUP(EDATE(B135,-12),Database!$F:$AY,MATCH($H$1,Database!$F$1:$AY$1,),)))))/(((VLOOKUP(EDATE(B135,-12),Database!$F:$AY,MATCH($H$1,Database!$F$1:$AY$1,),))))</f>
        <v>-1.6284337015937487E-2</v>
      </c>
      <c r="I135" s="13">
        <f>((((VLOOKUP(B135,Database!$F:$AY,MATCH($I$1,Database!$F$1:$AY$1,),))))-(((VLOOKUP(EDATE(B135,-12),Database!$F:$AY,MATCH($I$1,Database!$F$1:$AY$1,),)))))/(((VLOOKUP(EDATE(B135,-12),Database!$F:$AY,MATCH($I$1,Database!$F$1:$AY$1,),))))</f>
        <v>-2.7441345002853425E-2</v>
      </c>
      <c r="J135" s="13">
        <f>((((VLOOKUP(B135,Database!$F:$AY,MATCH($J$1,Database!$F$1:$AY$1,),))))-(((VLOOKUP(EDATE(B135,-12),Database!$F:$AY,MATCH($J$1,Database!$F$1:$AY$1,),)))))/(((VLOOKUP(EDATE(B135,-12),Database!$F:$AY,MATCH($J$1,Database!$F$1:$AY$1,),))))</f>
        <v>2.1520946678577405E-2</v>
      </c>
      <c r="K135" s="13">
        <f>((((VLOOKUP(B135,Database!$F:$AY,MATCH($K$1,Database!$F$1:$AY$1,),))))-(((VLOOKUP(EDATE(B135,-12),Database!$F:$AY,MATCH($K$1,Database!$F$1:$AY$1,),)))))/(((VLOOKUP(EDATE(B135,-12),Database!$F:$AY,MATCH($K$1,Database!$F$1:$AY$1,),))))</f>
        <v>7.6086612130875572E-3</v>
      </c>
      <c r="L135" s="13">
        <f>((((VLOOKUP(B135,Database!$F:$AY,MATCH($L$1,Database!$F$1:$AY$1,),))))-(((VLOOKUP(EDATE(B135,-12),Database!$F:$AY,MATCH($L$1,Database!$F$1:$AY$1,),)))))/(((VLOOKUP(EDATE(B135,-12),Database!$F:$AY,MATCH($L$1,Database!$F$1:$AY$1,),))))</f>
        <v>2.3399342378802607E-2</v>
      </c>
      <c r="M135" s="13">
        <f>((((VLOOKUP(B135,Database!$F:$AY,MATCH($M$1,Database!$F$1:$AY$1,),))))-(((VLOOKUP(EDATE(B135,-12),Database!$F:$AY,MATCH($M$1,Database!$F$1:$AY$1,),)))))/(((VLOOKUP(EDATE(B135,-12),Database!$F:$AY,MATCH($M$1,Database!$F$1:$AY$1,),))))</f>
        <v>-5.7711708644839654E-2</v>
      </c>
      <c r="N135" s="13">
        <f>((((VLOOKUP(B135,Database!$F:$AY,MATCH($N$1,Database!$F$1:$AY$1,),))))-(((VLOOKUP(EDATE(B135,-12),Database!$F:$AY,MATCH($N$1,Database!$F$1:$AY$1,),)))))/(((VLOOKUP(EDATE(B135,-12),Database!$F:$AY,MATCH($N$1,Database!$F$1:$AY$1,),))))</f>
        <v>4.9979975210919431E-2</v>
      </c>
      <c r="O135" s="13">
        <f>((((VLOOKUP(B135,Database!$F:$AY,MATCH($O$1,Database!$F$1:$AY$1,),))))-(((VLOOKUP(EDATE(B135,-12),Database!$F:$AY,MATCH($O$1,Database!$F$1:$AY$1,),)))))/(((VLOOKUP(EDATE(B135,-12),Database!$F:$AY,MATCH($O$1,Database!$F$1:$AY$1,),))))</f>
        <v>3.7552661403371816E-2</v>
      </c>
      <c r="P135" s="13">
        <f>((((VLOOKUP(B135,Database!$F:$AY,MATCH($P$1,Database!$F$1:$AY$1,),))))-(((VLOOKUP(EDATE(B135,-12),Database!$F:$AY,MATCH($P$1,Database!$F$1:$AY$1,),)))))/(((VLOOKUP(EDATE(B135,-12),Database!$F:$AY,MATCH($P$1,Database!$F$1:$AY$1,),))))</f>
        <v>0.20629375074219489</v>
      </c>
      <c r="Q135" s="13">
        <f>((((VLOOKUP(B135,Database!$F:$AY,MATCH($Q$1,Database!$F$1:$AY$1,),))))-(((VLOOKUP(EDATE(B135,-12),Database!$F:$AY,MATCH($Q$1,Database!$F$1:$AY$1,),)))))/(((VLOOKUP(EDATE(B135,-12),Database!$F:$AY,MATCH($Q$1,Database!$F$1:$AY$1,),))))</f>
        <v>-2.9951881526939679E-2</v>
      </c>
      <c r="R135" s="13">
        <f>((((VLOOKUP(B135,Database!$F:$AY,MATCH($R$1,Database!$F$1:$AY$1,),))))-(((VLOOKUP(EDATE(B135,-12),Database!$F:$AY,MATCH($R$1,Database!$F$1:$AY$1,),)))))/(((VLOOKUP(EDATE(B135,-12),Database!$F:$AY,MATCH($R$1,Database!$F$1:$AY$1,),))))</f>
        <v>-2.1619885067428995E-2</v>
      </c>
      <c r="S135" s="13">
        <f>((((VLOOKUP(B135,Database!$F:$AY,MATCH($S$1,Database!$F$1:$AY$1,),))))-(((VLOOKUP(EDATE(B135,-12),Database!$F:$AY,MATCH($S$1,Database!$F$1:$AY$1,),)))))/(((VLOOKUP(EDATE(B135,-12),Database!$F:$AY,MATCH($S$1,Database!$F$1:$AY$1,),))))</f>
        <v>0.11904783927493429</v>
      </c>
      <c r="T135" s="13">
        <f>((((VLOOKUP(B135,Database!$F:$AY,MATCH($T$1,Database!$F$1:$AY$1,),))))-(((VLOOKUP(EDATE(B135,-12),Database!$F:$AY,MATCH($T$1,Database!$F$1:$AY$1,),)))))/(((VLOOKUP(EDATE(B135,-12),Database!$F:$AY,MATCH($T$1,Database!$F$1:$AY$1,),))))</f>
        <v>-4.3879870816019642E-2</v>
      </c>
      <c r="U135" s="13">
        <f>((((VLOOKUP(B135,Database!$F:$AY,MATCH($U$1,Database!$F$1:$AY$1,),))))-(((VLOOKUP(EDATE(B135,-12),Database!$F:$AY,MATCH($U$1,Database!$F$1:$AY$1,),)))))/(((VLOOKUP(EDATE(B135,-12),Database!$F:$AY,MATCH($U$1,Database!$F$1:$AY$1,),))))</f>
        <v>-7.0477668328534415E-2</v>
      </c>
      <c r="V135" s="13">
        <f>((((VLOOKUP(B135,Database!$F:$AY,MATCH($V$1,Database!$F$1:$AY$1,),))))-(((VLOOKUP(EDATE(B135,-12),Database!$F:$AY,MATCH($V$1,Database!$F$1:$AY$1,),)))))/(((VLOOKUP(EDATE(B135,-12),Database!$F:$AY,MATCH($V$1,Database!$F$1:$AY$1,),))))</f>
        <v>-3.6997166179432726E-4</v>
      </c>
    </row>
    <row r="136" spans="1:22" s="85" customFormat="1" x14ac:dyDescent="0.2">
      <c r="A136" s="44"/>
      <c r="B136" s="91">
        <v>36281</v>
      </c>
      <c r="C136" s="13">
        <f>((((VLOOKUP(B136,Database!$F:$AY,MATCH($C$1,Database!$F$1:$AY$1,),))))-(((VLOOKUP(EDATE(B136,-12),Database!$F:$AY,MATCH($C$1,Database!$F$1:$AY$1,),)))))/(((VLOOKUP(EDATE(B136,-12),Database!$F:$AY,MATCH($C$1,Database!$F$1:$AY$1,),))))</f>
        <v>4.1698958401597236E-2</v>
      </c>
      <c r="D136" s="13">
        <f>((((VLOOKUP(B136,Database!$F:$AY,MATCH($D$1,Database!$F$1:$AY$1,),))))-(((VLOOKUP(EDATE(B136,-12),Database!$F:$AY,MATCH($D$1,Database!$F$1:$AY$1,),)))))/(((VLOOKUP(EDATE(B136,-12),Database!$F:$AY,MATCH($D$1,Database!$F$1:$AY$1,),))))</f>
        <v>-1.1198954540242018E-3</v>
      </c>
      <c r="E136" s="13">
        <f>((((VLOOKUP(B136,Database!$F:$AY,MATCH($E$1,Database!$F$1:$AY$1,),))))-(((VLOOKUP(EDATE(B136,-12),Database!$F:$AY,MATCH($E$1,Database!$F$1:$AY$1,),)))))/(((VLOOKUP(EDATE(B136,-12),Database!$F:$AY,MATCH($E$1,Database!$F$1:$AY$1,),))))</f>
        <v>5.3022004880219978E-3</v>
      </c>
      <c r="F136" s="13">
        <f>((((VLOOKUP(B136,Database!$F:$AY,MATCH($F$1,Database!$F$1:$AY$1,),))))-(((VLOOKUP(EDATE(B136,-12),Database!$F:$AY,MATCH($F$1,Database!$F$1:$AY$1,),)))))/(((VLOOKUP(EDATE(B136,-12),Database!$F:$AY,MATCH($F$1,Database!$F$1:$AY$1,),))))</f>
        <v>-1.3262379580472343E-3</v>
      </c>
      <c r="G136" s="13">
        <f>((((VLOOKUP(B136,Database!$F:$AY,MATCH($G$1,Database!$F$1:$AY$1,),))))-(((VLOOKUP(EDATE(B136,-12),Database!$F:$AY,MATCH($G$1,Database!$F$1:$AY$1,),)))))/(((VLOOKUP(EDATE(B136,-12),Database!$F:$AY,MATCH($G$1,Database!$F$1:$AY$1,),))))</f>
        <v>1.5467769518633016E-3</v>
      </c>
      <c r="H136" s="13">
        <f>((((VLOOKUP(B136,Database!$F:$AY,MATCH($H$1,Database!$F$1:$AY$1,),))))-(((VLOOKUP(EDATE(B136,-12),Database!$F:$AY,MATCH($H$1,Database!$F$1:$AY$1,),)))))/(((VLOOKUP(EDATE(B136,-12),Database!$F:$AY,MATCH($H$1,Database!$F$1:$AY$1,),))))</f>
        <v>9.6689277177783967E-4</v>
      </c>
      <c r="I136" s="13">
        <f>((((VLOOKUP(B136,Database!$F:$AY,MATCH($I$1,Database!$F$1:$AY$1,),))))-(((VLOOKUP(EDATE(B136,-12),Database!$F:$AY,MATCH($I$1,Database!$F$1:$AY$1,),)))))/(((VLOOKUP(EDATE(B136,-12),Database!$F:$AY,MATCH($I$1,Database!$F$1:$AY$1,),))))</f>
        <v>-3.3145039562712163E-2</v>
      </c>
      <c r="J136" s="13">
        <f>((((VLOOKUP(B136,Database!$F:$AY,MATCH($J$1,Database!$F$1:$AY$1,),))))-(((VLOOKUP(EDATE(B136,-12),Database!$F:$AY,MATCH($J$1,Database!$F$1:$AY$1,),)))))/(((VLOOKUP(EDATE(B136,-12),Database!$F:$AY,MATCH($J$1,Database!$F$1:$AY$1,),))))</f>
        <v>7.6127843047321675E-3</v>
      </c>
      <c r="K136" s="13">
        <f>((((VLOOKUP(B136,Database!$F:$AY,MATCH($K$1,Database!$F$1:$AY$1,),))))-(((VLOOKUP(EDATE(B136,-12),Database!$F:$AY,MATCH($K$1,Database!$F$1:$AY$1,),)))))/(((VLOOKUP(EDATE(B136,-12),Database!$F:$AY,MATCH($K$1,Database!$F$1:$AY$1,),))))</f>
        <v>3.5359049667536516E-2</v>
      </c>
      <c r="L136" s="13">
        <f>((((VLOOKUP(B136,Database!$F:$AY,MATCH($L$1,Database!$F$1:$AY$1,),))))-(((VLOOKUP(EDATE(B136,-12),Database!$F:$AY,MATCH($L$1,Database!$F$1:$AY$1,),)))))/(((VLOOKUP(EDATE(B136,-12),Database!$F:$AY,MATCH($L$1,Database!$F$1:$AY$1,),))))</f>
        <v>1.3619232049450538E-2</v>
      </c>
      <c r="M136" s="13">
        <f>((((VLOOKUP(B136,Database!$F:$AY,MATCH($M$1,Database!$F$1:$AY$1,),))))-(((VLOOKUP(EDATE(B136,-12),Database!$F:$AY,MATCH($M$1,Database!$F$1:$AY$1,),)))))/(((VLOOKUP(EDATE(B136,-12),Database!$F:$AY,MATCH($M$1,Database!$F$1:$AY$1,),))))</f>
        <v>-1.1373565269803409E-2</v>
      </c>
      <c r="N136" s="13">
        <f>((((VLOOKUP(B136,Database!$F:$AY,MATCH($N$1,Database!$F$1:$AY$1,),))))-(((VLOOKUP(EDATE(B136,-12),Database!$F:$AY,MATCH($N$1,Database!$F$1:$AY$1,),)))))/(((VLOOKUP(EDATE(B136,-12),Database!$F:$AY,MATCH($N$1,Database!$F$1:$AY$1,),))))</f>
        <v>7.442877666628156E-2</v>
      </c>
      <c r="O136" s="13">
        <f>((((VLOOKUP(B136,Database!$F:$AY,MATCH($O$1,Database!$F$1:$AY$1,),))))-(((VLOOKUP(EDATE(B136,-12),Database!$F:$AY,MATCH($O$1,Database!$F$1:$AY$1,),)))))/(((VLOOKUP(EDATE(B136,-12),Database!$F:$AY,MATCH($O$1,Database!$F$1:$AY$1,),))))</f>
        <v>4.3957077636443367E-2</v>
      </c>
      <c r="P136" s="13">
        <f>((((VLOOKUP(B136,Database!$F:$AY,MATCH($P$1,Database!$F$1:$AY$1,),))))-(((VLOOKUP(EDATE(B136,-12),Database!$F:$AY,MATCH($P$1,Database!$F$1:$AY$1,),)))))/(((VLOOKUP(EDATE(B136,-12),Database!$F:$AY,MATCH($P$1,Database!$F$1:$AY$1,),))))</f>
        <v>0.25777781320005816</v>
      </c>
      <c r="Q136" s="13">
        <f>((((VLOOKUP(B136,Database!$F:$AY,MATCH($Q$1,Database!$F$1:$AY$1,),))))-(((VLOOKUP(EDATE(B136,-12),Database!$F:$AY,MATCH($Q$1,Database!$F$1:$AY$1,),)))))/(((VLOOKUP(EDATE(B136,-12),Database!$F:$AY,MATCH($Q$1,Database!$F$1:$AY$1,),))))</f>
        <v>-3.1410864384370317E-2</v>
      </c>
      <c r="R136" s="13">
        <f>((((VLOOKUP(B136,Database!$F:$AY,MATCH($R$1,Database!$F$1:$AY$1,),))))-(((VLOOKUP(EDATE(B136,-12),Database!$F:$AY,MATCH($R$1,Database!$F$1:$AY$1,),)))))/(((VLOOKUP(EDATE(B136,-12),Database!$F:$AY,MATCH($R$1,Database!$F$1:$AY$1,),))))</f>
        <v>3.5667946787279491E-2</v>
      </c>
      <c r="S136" s="13">
        <f>((((VLOOKUP(B136,Database!$F:$AY,MATCH($S$1,Database!$F$1:$AY$1,),))))-(((VLOOKUP(EDATE(B136,-12),Database!$F:$AY,MATCH($S$1,Database!$F$1:$AY$1,),)))))/(((VLOOKUP(EDATE(B136,-12),Database!$F:$AY,MATCH($S$1,Database!$F$1:$AY$1,),))))</f>
        <v>0.11956533672619217</v>
      </c>
      <c r="T136" s="13">
        <f>((((VLOOKUP(B136,Database!$F:$AY,MATCH($T$1,Database!$F$1:$AY$1,),))))-(((VLOOKUP(EDATE(B136,-12),Database!$F:$AY,MATCH($T$1,Database!$F$1:$AY$1,),)))))/(((VLOOKUP(EDATE(B136,-12),Database!$F:$AY,MATCH($T$1,Database!$F$1:$AY$1,),))))</f>
        <v>-3.3860156748948107E-2</v>
      </c>
      <c r="U136" s="13">
        <f>((((VLOOKUP(B136,Database!$F:$AY,MATCH($U$1,Database!$F$1:$AY$1,),))))-(((VLOOKUP(EDATE(B136,-12),Database!$F:$AY,MATCH($U$1,Database!$F$1:$AY$1,),)))))/(((VLOOKUP(EDATE(B136,-12),Database!$F:$AY,MATCH($U$1,Database!$F$1:$AY$1,),))))</f>
        <v>-1.845242447920745E-2</v>
      </c>
      <c r="V136" s="13">
        <f>((((VLOOKUP(B136,Database!$F:$AY,MATCH($V$1,Database!$F$1:$AY$1,),))))-(((VLOOKUP(EDATE(B136,-12),Database!$F:$AY,MATCH($V$1,Database!$F$1:$AY$1,),)))))/(((VLOOKUP(EDATE(B136,-12),Database!$F:$AY,MATCH($V$1,Database!$F$1:$AY$1,),))))</f>
        <v>3.2203295691531124E-2</v>
      </c>
    </row>
    <row r="137" spans="1:22" s="85" customFormat="1" x14ac:dyDescent="0.2">
      <c r="A137" s="44"/>
      <c r="B137" s="91">
        <v>36312</v>
      </c>
      <c r="C137" s="13">
        <f>((((VLOOKUP(B137,Database!$F:$AY,MATCH($C$1,Database!$F$1:$AY$1,),))))-(((VLOOKUP(EDATE(B137,-12),Database!$F:$AY,MATCH($C$1,Database!$F$1:$AY$1,),)))))/(((VLOOKUP(EDATE(B137,-12),Database!$F:$AY,MATCH($C$1,Database!$F$1:$AY$1,),))))</f>
        <v>4.6524636153685718E-2</v>
      </c>
      <c r="D137" s="13">
        <f>((((VLOOKUP(B137,Database!$F:$AY,MATCH($D$1,Database!$F$1:$AY$1,),))))-(((VLOOKUP(EDATE(B137,-12),Database!$F:$AY,MATCH($D$1,Database!$F$1:$AY$1,),)))))/(((VLOOKUP(EDATE(B137,-12),Database!$F:$AY,MATCH($D$1,Database!$F$1:$AY$1,),))))</f>
        <v>1.1248555580519128E-2</v>
      </c>
      <c r="E137" s="13">
        <f>((((VLOOKUP(B137,Database!$F:$AY,MATCH($E$1,Database!$F$1:$AY$1,),))))-(((VLOOKUP(EDATE(B137,-12),Database!$F:$AY,MATCH($E$1,Database!$F$1:$AY$1,),)))))/(((VLOOKUP(EDATE(B137,-12),Database!$F:$AY,MATCH($E$1,Database!$F$1:$AY$1,),))))</f>
        <v>-2.1208801952087141E-3</v>
      </c>
      <c r="F137" s="13">
        <f>((((VLOOKUP(B137,Database!$F:$AY,MATCH($F$1,Database!$F$1:$AY$1,),))))-(((VLOOKUP(EDATE(B137,-12),Database!$F:$AY,MATCH($F$1,Database!$F$1:$AY$1,),)))))/(((VLOOKUP(EDATE(B137,-12),Database!$F:$AY,MATCH($F$1,Database!$F$1:$AY$1,),))))</f>
        <v>6.6843802632224362E-3</v>
      </c>
      <c r="G137" s="13">
        <f>((((VLOOKUP(B137,Database!$F:$AY,MATCH($G$1,Database!$F$1:$AY$1,),))))-(((VLOOKUP(EDATE(B137,-12),Database!$F:$AY,MATCH($G$1,Database!$F$1:$AY$1,),)))))/(((VLOOKUP(EDATE(B137,-12),Database!$F:$AY,MATCH($G$1,Database!$F$1:$AY$1,),))))</f>
        <v>2.2090114041430114E-2</v>
      </c>
      <c r="H137" s="13">
        <f>((((VLOOKUP(B137,Database!$F:$AY,MATCH($H$1,Database!$F$1:$AY$1,),))))-(((VLOOKUP(EDATE(B137,-12),Database!$F:$AY,MATCH($H$1,Database!$F$1:$AY$1,),)))))/(((VLOOKUP(EDATE(B137,-12),Database!$F:$AY,MATCH($H$1,Database!$F$1:$AY$1,),))))</f>
        <v>8.7123218188463313E-3</v>
      </c>
      <c r="I137" s="13">
        <f>((((VLOOKUP(B137,Database!$F:$AY,MATCH($I$1,Database!$F$1:$AY$1,),))))-(((VLOOKUP(EDATE(B137,-12),Database!$F:$AY,MATCH($I$1,Database!$F$1:$AY$1,),)))))/(((VLOOKUP(EDATE(B137,-12),Database!$F:$AY,MATCH($I$1,Database!$F$1:$AY$1,),))))</f>
        <v>-1.6194063148586426E-2</v>
      </c>
      <c r="J137" s="13">
        <f>((((VLOOKUP(B137,Database!$F:$AY,MATCH($J$1,Database!$F$1:$AY$1,),))))-(((VLOOKUP(EDATE(B137,-12),Database!$F:$AY,MATCH($J$1,Database!$F$1:$AY$1,),)))))/(((VLOOKUP(EDATE(B137,-12),Database!$F:$AY,MATCH($J$1,Database!$F$1:$AY$1,),))))</f>
        <v>2.1491588950000862E-2</v>
      </c>
      <c r="K137" s="13">
        <f>((((VLOOKUP(B137,Database!$F:$AY,MATCH($K$1,Database!$F$1:$AY$1,),))))-(((VLOOKUP(EDATE(B137,-12),Database!$F:$AY,MATCH($K$1,Database!$F$1:$AY$1,),)))))/(((VLOOKUP(EDATE(B137,-12),Database!$F:$AY,MATCH($K$1,Database!$F$1:$AY$1,),))))</f>
        <v>1.727869376549521E-2</v>
      </c>
      <c r="L137" s="13">
        <f>((((VLOOKUP(B137,Database!$F:$AY,MATCH($L$1,Database!$F$1:$AY$1,),))))-(((VLOOKUP(EDATE(B137,-12),Database!$F:$AY,MATCH($L$1,Database!$F$1:$AY$1,),)))))/(((VLOOKUP(EDATE(B137,-12),Database!$F:$AY,MATCH($L$1,Database!$F$1:$AY$1,),))))</f>
        <v>2.1095570355969491E-2</v>
      </c>
      <c r="M137" s="13">
        <f>((((VLOOKUP(B137,Database!$F:$AY,MATCH($M$1,Database!$F$1:$AY$1,),))))-(((VLOOKUP(EDATE(B137,-12),Database!$F:$AY,MATCH($M$1,Database!$F$1:$AY$1,),)))))/(((VLOOKUP(EDATE(B137,-12),Database!$F:$AY,MATCH($M$1,Database!$F$1:$AY$1,),))))</f>
        <v>4.0288590368081538E-3</v>
      </c>
      <c r="N137" s="13">
        <f>((((VLOOKUP(B137,Database!$F:$AY,MATCH($N$1,Database!$F$1:$AY$1,),))))-(((VLOOKUP(EDATE(B137,-12),Database!$F:$AY,MATCH($N$1,Database!$F$1:$AY$1,),)))))/(((VLOOKUP(EDATE(B137,-12),Database!$F:$AY,MATCH($N$1,Database!$F$1:$AY$1,),))))</f>
        <v>4.7279358064601498E-2</v>
      </c>
      <c r="O137" s="13">
        <f>((((VLOOKUP(B137,Database!$F:$AY,MATCH($O$1,Database!$F$1:$AY$1,),))))-(((VLOOKUP(EDATE(B137,-12),Database!$F:$AY,MATCH($O$1,Database!$F$1:$AY$1,),)))))/(((VLOOKUP(EDATE(B137,-12),Database!$F:$AY,MATCH($O$1,Database!$F$1:$AY$1,),))))</f>
        <v>5.8937974019748873E-2</v>
      </c>
      <c r="P137" s="13">
        <f>((((VLOOKUP(B137,Database!$F:$AY,MATCH($P$1,Database!$F$1:$AY$1,),))))-(((VLOOKUP(EDATE(B137,-12),Database!$F:$AY,MATCH($P$1,Database!$F$1:$AY$1,),)))))/(((VLOOKUP(EDATE(B137,-12),Database!$F:$AY,MATCH($P$1,Database!$F$1:$AY$1,),))))</f>
        <v>0.28445736858339721</v>
      </c>
      <c r="Q137" s="13">
        <f>((((VLOOKUP(B137,Database!$F:$AY,MATCH($Q$1,Database!$F$1:$AY$1,),))))-(((VLOOKUP(EDATE(B137,-12),Database!$F:$AY,MATCH($Q$1,Database!$F$1:$AY$1,),)))))/(((VLOOKUP(EDATE(B137,-12),Database!$F:$AY,MATCH($Q$1,Database!$F$1:$AY$1,),))))</f>
        <v>-2.4360965711557898E-2</v>
      </c>
      <c r="R137" s="13">
        <f>((((VLOOKUP(B137,Database!$F:$AY,MATCH($R$1,Database!$F$1:$AY$1,),))))-(((VLOOKUP(EDATE(B137,-12),Database!$F:$AY,MATCH($R$1,Database!$F$1:$AY$1,),)))))/(((VLOOKUP(EDATE(B137,-12),Database!$F:$AY,MATCH($R$1,Database!$F$1:$AY$1,),))))</f>
        <v>2.3785511839057531E-2</v>
      </c>
      <c r="S137" s="13">
        <f>((((VLOOKUP(B137,Database!$F:$AY,MATCH($S$1,Database!$F$1:$AY$1,),))))-(((VLOOKUP(EDATE(B137,-12),Database!$F:$AY,MATCH($S$1,Database!$F$1:$AY$1,),)))))/(((VLOOKUP(EDATE(B137,-12),Database!$F:$AY,MATCH($S$1,Database!$F$1:$AY$1,),))))</f>
        <v>0.14285731680884889</v>
      </c>
      <c r="T137" s="13">
        <f>((((VLOOKUP(B137,Database!$F:$AY,MATCH($T$1,Database!$F$1:$AY$1,),))))-(((VLOOKUP(EDATE(B137,-12),Database!$F:$AY,MATCH($T$1,Database!$F$1:$AY$1,),)))))/(((VLOOKUP(EDATE(B137,-12),Database!$F:$AY,MATCH($T$1,Database!$F$1:$AY$1,),))))</f>
        <v>1.1820371770977615E-2</v>
      </c>
      <c r="U137" s="13">
        <f>((((VLOOKUP(B137,Database!$F:$AY,MATCH($U$1,Database!$F$1:$AY$1,),))))-(((VLOOKUP(EDATE(B137,-12),Database!$F:$AY,MATCH($U$1,Database!$F$1:$AY$1,),)))))/(((VLOOKUP(EDATE(B137,-12),Database!$F:$AY,MATCH($U$1,Database!$F$1:$AY$1,),))))</f>
        <v>-3.8157709492893516E-2</v>
      </c>
      <c r="V137" s="13">
        <f>((((VLOOKUP(B137,Database!$F:$AY,MATCH($V$1,Database!$F$1:$AY$1,),))))-(((VLOOKUP(EDATE(B137,-12),Database!$F:$AY,MATCH($V$1,Database!$F$1:$AY$1,),)))))/(((VLOOKUP(EDATE(B137,-12),Database!$F:$AY,MATCH($V$1,Database!$F$1:$AY$1,),))))</f>
        <v>1.2159353482809512E-3</v>
      </c>
    </row>
    <row r="138" spans="1:22" s="85" customFormat="1" x14ac:dyDescent="0.2">
      <c r="A138" s="44"/>
      <c r="B138" s="91">
        <v>36342</v>
      </c>
      <c r="C138" s="13">
        <f>((((VLOOKUP(B138,Database!$F:$AY,MATCH($C$1,Database!$F$1:$AY$1,),))))-(((VLOOKUP(EDATE(B138,-12),Database!$F:$AY,MATCH($C$1,Database!$F$1:$AY$1,),)))))/(((VLOOKUP(EDATE(B138,-12),Database!$F:$AY,MATCH($C$1,Database!$F$1:$AY$1,),))))</f>
        <v>5.6819056438060053E-2</v>
      </c>
      <c r="D138" s="13">
        <f>((((VLOOKUP(B138,Database!$F:$AY,MATCH($D$1,Database!$F$1:$AY$1,),))))-(((VLOOKUP(EDATE(B138,-12),Database!$F:$AY,MATCH($D$1,Database!$F$1:$AY$1,),)))))/(((VLOOKUP(EDATE(B138,-12),Database!$F:$AY,MATCH($D$1,Database!$F$1:$AY$1,),))))</f>
        <v>8.9087234252747758E-3</v>
      </c>
      <c r="E138" s="13">
        <f>((((VLOOKUP(B138,Database!$F:$AY,MATCH($E$1,Database!$F$1:$AY$1,),))))-(((VLOOKUP(EDATE(B138,-12),Database!$F:$AY,MATCH($E$1,Database!$F$1:$AY$1,),)))))/(((VLOOKUP(EDATE(B138,-12),Database!$F:$AY,MATCH($E$1,Database!$F$1:$AY$1,),))))</f>
        <v>5.3134697207203735E-3</v>
      </c>
      <c r="F138" s="13">
        <f>((((VLOOKUP(B138,Database!$F:$AY,MATCH($F$1,Database!$F$1:$AY$1,),))))-(((VLOOKUP(EDATE(B138,-12),Database!$F:$AY,MATCH($F$1,Database!$F$1:$AY$1,),)))))/(((VLOOKUP(EDATE(B138,-12),Database!$F:$AY,MATCH($F$1,Database!$F$1:$AY$1,),))))</f>
        <v>-6.5443938192228639E-3</v>
      </c>
      <c r="G138" s="13">
        <f>((((VLOOKUP(B138,Database!$F:$AY,MATCH($G$1,Database!$F$1:$AY$1,),))))-(((VLOOKUP(EDATE(B138,-12),Database!$F:$AY,MATCH($G$1,Database!$F$1:$AY$1,),)))))/(((VLOOKUP(EDATE(B138,-12),Database!$F:$AY,MATCH($G$1,Database!$F$1:$AY$1,),))))</f>
        <v>1.8575689646665245E-2</v>
      </c>
      <c r="H138" s="13">
        <f>((((VLOOKUP(B138,Database!$F:$AY,MATCH($H$1,Database!$F$1:$AY$1,),))))-(((VLOOKUP(EDATE(B138,-12),Database!$F:$AY,MATCH($H$1,Database!$F$1:$AY$1,),)))))/(((VLOOKUP(EDATE(B138,-12),Database!$F:$AY,MATCH($H$1,Database!$F$1:$AY$1,),))))</f>
        <v>8.6787156912554002E-3</v>
      </c>
      <c r="I138" s="13">
        <f>((((VLOOKUP(B138,Database!$F:$AY,MATCH($I$1,Database!$F$1:$AY$1,),))))-(((VLOOKUP(EDATE(B138,-12),Database!$F:$AY,MATCH($I$1,Database!$F$1:$AY$1,),)))))/(((VLOOKUP(EDATE(B138,-12),Database!$F:$AY,MATCH($I$1,Database!$F$1:$AY$1,),))))</f>
        <v>-7.2990687786571177E-3</v>
      </c>
      <c r="J138" s="13">
        <f>((((VLOOKUP(B138,Database!$F:$AY,MATCH($J$1,Database!$F$1:$AY$1,),))))-(((VLOOKUP(EDATE(B138,-12),Database!$F:$AY,MATCH($J$1,Database!$F$1:$AY$1,),)))))/(((VLOOKUP(EDATE(B138,-12),Database!$F:$AY,MATCH($J$1,Database!$F$1:$AY$1,),))))</f>
        <v>4.0084134251108967E-2</v>
      </c>
      <c r="K138" s="13">
        <f>((((VLOOKUP(B138,Database!$F:$AY,MATCH($K$1,Database!$F$1:$AY$1,),))))-(((VLOOKUP(EDATE(B138,-12),Database!$F:$AY,MATCH($K$1,Database!$F$1:$AY$1,),)))))/(((VLOOKUP(EDATE(B138,-12),Database!$F:$AY,MATCH($K$1,Database!$F$1:$AY$1,),))))</f>
        <v>6.4309761171786406E-3</v>
      </c>
      <c r="L138" s="13">
        <f>((((VLOOKUP(B138,Database!$F:$AY,MATCH($L$1,Database!$F$1:$AY$1,),))))-(((VLOOKUP(EDATE(B138,-12),Database!$F:$AY,MATCH($L$1,Database!$F$1:$AY$1,),)))))/(((VLOOKUP(EDATE(B138,-12),Database!$F:$AY,MATCH($L$1,Database!$F$1:$AY$1,),))))</f>
        <v>2.3143181145561346E-2</v>
      </c>
      <c r="M138" s="13">
        <f>((((VLOOKUP(B138,Database!$F:$AY,MATCH($M$1,Database!$F$1:$AY$1,),))))-(((VLOOKUP(EDATE(B138,-12),Database!$F:$AY,MATCH($M$1,Database!$F$1:$AY$1,),)))))/(((VLOOKUP(EDATE(B138,-12),Database!$F:$AY,MATCH($M$1,Database!$F$1:$AY$1,),))))</f>
        <v>6.0987772715411816E-2</v>
      </c>
      <c r="N138" s="13">
        <f>((((VLOOKUP(B138,Database!$F:$AY,MATCH($N$1,Database!$F$1:$AY$1,),))))-(((VLOOKUP(EDATE(B138,-12),Database!$F:$AY,MATCH($N$1,Database!$F$1:$AY$1,),)))))/(((VLOOKUP(EDATE(B138,-12),Database!$F:$AY,MATCH($N$1,Database!$F$1:$AY$1,),))))</f>
        <v>6.457421666221265E-2</v>
      </c>
      <c r="O138" s="13">
        <f>((((VLOOKUP(B138,Database!$F:$AY,MATCH($O$1,Database!$F$1:$AY$1,),))))-(((VLOOKUP(EDATE(B138,-12),Database!$F:$AY,MATCH($O$1,Database!$F$1:$AY$1,),)))))/(((VLOOKUP(EDATE(B138,-12),Database!$F:$AY,MATCH($O$1,Database!$F$1:$AY$1,),))))</f>
        <v>8.1850141943761501E-2</v>
      </c>
      <c r="P138" s="13">
        <f>((((VLOOKUP(B138,Database!$F:$AY,MATCH($P$1,Database!$F$1:$AY$1,),))))-(((VLOOKUP(EDATE(B138,-12),Database!$F:$AY,MATCH($P$1,Database!$F$1:$AY$1,),)))))/(((VLOOKUP(EDATE(B138,-12),Database!$F:$AY,MATCH($P$1,Database!$F$1:$AY$1,),))))</f>
        <v>0.35188493011061656</v>
      </c>
      <c r="Q138" s="13">
        <f>((((VLOOKUP(B138,Database!$F:$AY,MATCH($Q$1,Database!$F$1:$AY$1,),))))-(((VLOOKUP(EDATE(B138,-12),Database!$F:$AY,MATCH($Q$1,Database!$F$1:$AY$1,),)))))/(((VLOOKUP(EDATE(B138,-12),Database!$F:$AY,MATCH($Q$1,Database!$F$1:$AY$1,),))))</f>
        <v>-4.4748761298666048E-2</v>
      </c>
      <c r="R138" s="13">
        <f>((((VLOOKUP(B138,Database!$F:$AY,MATCH($R$1,Database!$F$1:$AY$1,),))))-(((VLOOKUP(EDATE(B138,-12),Database!$F:$AY,MATCH($R$1,Database!$F$1:$AY$1,),)))))/(((VLOOKUP(EDATE(B138,-12),Database!$F:$AY,MATCH($R$1,Database!$F$1:$AY$1,),))))</f>
        <v>4.1032760916227706E-2</v>
      </c>
      <c r="S138" s="13">
        <f>((((VLOOKUP(B138,Database!$F:$AY,MATCH($S$1,Database!$F$1:$AY$1,),))))-(((VLOOKUP(EDATE(B138,-12),Database!$F:$AY,MATCH($S$1,Database!$F$1:$AY$1,),)))))/(((VLOOKUP(EDATE(B138,-12),Database!$F:$AY,MATCH($S$1,Database!$F$1:$AY$1,),))))</f>
        <v>0.17277505369015117</v>
      </c>
      <c r="T138" s="13">
        <f>((((VLOOKUP(B138,Database!$F:$AY,MATCH($T$1,Database!$F$1:$AY$1,),))))-(((VLOOKUP(EDATE(B138,-12),Database!$F:$AY,MATCH($T$1,Database!$F$1:$AY$1,),)))))/(((VLOOKUP(EDATE(B138,-12),Database!$F:$AY,MATCH($T$1,Database!$F$1:$AY$1,),))))</f>
        <v>-1.4051522796748388E-2</v>
      </c>
      <c r="U138" s="13">
        <f>((((VLOOKUP(B138,Database!$F:$AY,MATCH($U$1,Database!$F$1:$AY$1,),))))-(((VLOOKUP(EDATE(B138,-12),Database!$F:$AY,MATCH($U$1,Database!$F$1:$AY$1,),)))))/(((VLOOKUP(EDATE(B138,-12),Database!$F:$AY,MATCH($U$1,Database!$F$1:$AY$1,),))))</f>
        <v>-5.1069495105275087E-2</v>
      </c>
      <c r="V138" s="13">
        <f>((((VLOOKUP(B138,Database!$F:$AY,MATCH($V$1,Database!$F$1:$AY$1,),))))-(((VLOOKUP(EDATE(B138,-12),Database!$F:$AY,MATCH($V$1,Database!$F$1:$AY$1,),)))))/(((VLOOKUP(EDATE(B138,-12),Database!$F:$AY,MATCH($V$1,Database!$F$1:$AY$1,),))))</f>
        <v>4.0403702711394554E-2</v>
      </c>
    </row>
    <row r="139" spans="1:22" s="85" customFormat="1" x14ac:dyDescent="0.2">
      <c r="A139" s="44"/>
      <c r="B139" s="91">
        <v>36373</v>
      </c>
      <c r="C139" s="13">
        <f>((((VLOOKUP(B139,Database!$F:$AY,MATCH($C$1,Database!$F$1:$AY$1,),))))-(((VLOOKUP(EDATE(B139,-12),Database!$F:$AY,MATCH($C$1,Database!$F$1:$AY$1,),)))))/(((VLOOKUP(EDATE(B139,-12),Database!$F:$AY,MATCH($C$1,Database!$F$1:$AY$1,),))))</f>
        <v>3.9923467724532112E-2</v>
      </c>
      <c r="D139" s="13">
        <f>((((VLOOKUP(B139,Database!$F:$AY,MATCH($D$1,Database!$F$1:$AY$1,),))))-(((VLOOKUP(EDATE(B139,-12),Database!$F:$AY,MATCH($D$1,Database!$F$1:$AY$1,),)))))/(((VLOOKUP(EDATE(B139,-12),Database!$F:$AY,MATCH($D$1,Database!$F$1:$AY$1,),))))</f>
        <v>2.2598907727559216E-2</v>
      </c>
      <c r="E139" s="13">
        <f>((((VLOOKUP(B139,Database!$F:$AY,MATCH($E$1,Database!$F$1:$AY$1,),))))-(((VLOOKUP(EDATE(B139,-12),Database!$F:$AY,MATCH($E$1,Database!$F$1:$AY$1,),)))))/(((VLOOKUP(EDATE(B139,-12),Database!$F:$AY,MATCH($E$1,Database!$F$1:$AY$1,),))))</f>
        <v>3.3549297085278401E-2</v>
      </c>
      <c r="F139" s="13">
        <f>((((VLOOKUP(B139,Database!$F:$AY,MATCH($F$1,Database!$F$1:$AY$1,),))))-(((VLOOKUP(EDATE(B139,-12),Database!$F:$AY,MATCH($F$1,Database!$F$1:$AY$1,),)))))/(((VLOOKUP(EDATE(B139,-12),Database!$F:$AY,MATCH($F$1,Database!$F$1:$AY$1,),))))</f>
        <v>2.5435049611895362E-2</v>
      </c>
      <c r="G139" s="13">
        <f>((((VLOOKUP(B139,Database!$F:$AY,MATCH($G$1,Database!$F$1:$AY$1,),))))-(((VLOOKUP(EDATE(B139,-12),Database!$F:$AY,MATCH($G$1,Database!$F$1:$AY$1,),)))))/(((VLOOKUP(EDATE(B139,-12),Database!$F:$AY,MATCH($G$1,Database!$F$1:$AY$1,),))))</f>
        <v>2.6115371936276929E-2</v>
      </c>
      <c r="H139" s="13">
        <f>((((VLOOKUP(B139,Database!$F:$AY,MATCH($H$1,Database!$F$1:$AY$1,),))))-(((VLOOKUP(EDATE(B139,-12),Database!$F:$AY,MATCH($H$1,Database!$F$1:$AY$1,),)))))/(((VLOOKUP(EDATE(B139,-12),Database!$F:$AY,MATCH($H$1,Database!$F$1:$AY$1,),))))</f>
        <v>3.0097560382610956E-2</v>
      </c>
      <c r="I139" s="13">
        <f>((((VLOOKUP(B139,Database!$F:$AY,MATCH($I$1,Database!$F$1:$AY$1,),))))-(((VLOOKUP(EDATE(B139,-12),Database!$F:$AY,MATCH($I$1,Database!$F$1:$AY$1,),)))))/(((VLOOKUP(EDATE(B139,-12),Database!$F:$AY,MATCH($I$1,Database!$F$1:$AY$1,),))))</f>
        <v>1.3157342838508806E-2</v>
      </c>
      <c r="J139" s="13">
        <f>((((VLOOKUP(B139,Database!$F:$AY,MATCH($J$1,Database!$F$1:$AY$1,),))))-(((VLOOKUP(EDATE(B139,-12),Database!$F:$AY,MATCH($J$1,Database!$F$1:$AY$1,),)))))/(((VLOOKUP(EDATE(B139,-12),Database!$F:$AY,MATCH($J$1,Database!$F$1:$AY$1,),))))</f>
        <v>2.5414160704491214E-2</v>
      </c>
      <c r="K139" s="13">
        <f>((((VLOOKUP(B139,Database!$F:$AY,MATCH($K$1,Database!$F$1:$AY$1,),))))-(((VLOOKUP(EDATE(B139,-12),Database!$F:$AY,MATCH($K$1,Database!$F$1:$AY$1,),)))))/(((VLOOKUP(EDATE(B139,-12),Database!$F:$AY,MATCH($K$1,Database!$F$1:$AY$1,),))))</f>
        <v>-2.118647926492153E-2</v>
      </c>
      <c r="L139" s="13">
        <f>((((VLOOKUP(B139,Database!$F:$AY,MATCH($L$1,Database!$F$1:$AY$1,),))))-(((VLOOKUP(EDATE(B139,-12),Database!$F:$AY,MATCH($L$1,Database!$F$1:$AY$1,),)))))/(((VLOOKUP(EDATE(B139,-12),Database!$F:$AY,MATCH($L$1,Database!$F$1:$AY$1,),))))</f>
        <v>1.4085477039527224E-2</v>
      </c>
      <c r="M139" s="13">
        <f>((((VLOOKUP(B139,Database!$F:$AY,MATCH($M$1,Database!$F$1:$AY$1,),))))-(((VLOOKUP(EDATE(B139,-12),Database!$F:$AY,MATCH($M$1,Database!$F$1:$AY$1,),)))))/(((VLOOKUP(EDATE(B139,-12),Database!$F:$AY,MATCH($M$1,Database!$F$1:$AY$1,),))))</f>
        <v>7.3834798485820821E-2</v>
      </c>
      <c r="N139" s="13">
        <f>((((VLOOKUP(B139,Database!$F:$AY,MATCH($N$1,Database!$F$1:$AY$1,),))))-(((VLOOKUP(EDATE(B139,-12),Database!$F:$AY,MATCH($N$1,Database!$F$1:$AY$1,),)))))/(((VLOOKUP(EDATE(B139,-12),Database!$F:$AY,MATCH($N$1,Database!$F$1:$AY$1,),))))</f>
        <v>6.7912980868134132E-2</v>
      </c>
      <c r="O139" s="13">
        <f>((((VLOOKUP(B139,Database!$F:$AY,MATCH($O$1,Database!$F$1:$AY$1,),))))-(((VLOOKUP(EDATE(B139,-12),Database!$F:$AY,MATCH($O$1,Database!$F$1:$AY$1,),)))))/(((VLOOKUP(EDATE(B139,-12),Database!$F:$AY,MATCH($O$1,Database!$F$1:$AY$1,),))))</f>
        <v>6.4824338801977618E-2</v>
      </c>
      <c r="P139" s="13">
        <f>((((VLOOKUP(B139,Database!$F:$AY,MATCH($P$1,Database!$F$1:$AY$1,),))))-(((VLOOKUP(EDATE(B139,-12),Database!$F:$AY,MATCH($P$1,Database!$F$1:$AY$1,),)))))/(((VLOOKUP(EDATE(B139,-12),Database!$F:$AY,MATCH($P$1,Database!$F$1:$AY$1,),))))</f>
        <v>0.29856736022229202</v>
      </c>
      <c r="Q139" s="13">
        <f>((((VLOOKUP(B139,Database!$F:$AY,MATCH($Q$1,Database!$F$1:$AY$1,),))))-(((VLOOKUP(EDATE(B139,-12),Database!$F:$AY,MATCH($Q$1,Database!$F$1:$AY$1,),)))))/(((VLOOKUP(EDATE(B139,-12),Database!$F:$AY,MATCH($Q$1,Database!$F$1:$AY$1,),))))</f>
        <v>-1.2390448588376122E-2</v>
      </c>
      <c r="R139" s="13">
        <f>((((VLOOKUP(B139,Database!$F:$AY,MATCH($R$1,Database!$F$1:$AY$1,),))))-(((VLOOKUP(EDATE(B139,-12),Database!$F:$AY,MATCH($R$1,Database!$F$1:$AY$1,),)))))/(((VLOOKUP(EDATE(B139,-12),Database!$F:$AY,MATCH($R$1,Database!$F$1:$AY$1,),))))</f>
        <v>7.3737500786114369E-3</v>
      </c>
      <c r="S139" s="13">
        <f>((((VLOOKUP(B139,Database!$F:$AY,MATCH($S$1,Database!$F$1:$AY$1,),))))-(((VLOOKUP(EDATE(B139,-12),Database!$F:$AY,MATCH($S$1,Database!$F$1:$AY$1,),)))))/(((VLOOKUP(EDATE(B139,-12),Database!$F:$AY,MATCH($S$1,Database!$F$1:$AY$1,),))))</f>
        <v>8.1666796663915228E-2</v>
      </c>
      <c r="T139" s="13">
        <f>((((VLOOKUP(B139,Database!$F:$AY,MATCH($T$1,Database!$F$1:$AY$1,),))))-(((VLOOKUP(EDATE(B139,-12),Database!$F:$AY,MATCH($T$1,Database!$F$1:$AY$1,),)))))/(((VLOOKUP(EDATE(B139,-12),Database!$F:$AY,MATCH($T$1,Database!$F$1:$AY$1,),))))</f>
        <v>-7.9069838837745141E-2</v>
      </c>
      <c r="U139" s="13">
        <f>((((VLOOKUP(B139,Database!$F:$AY,MATCH($U$1,Database!$F$1:$AY$1,),))))-(((VLOOKUP(EDATE(B139,-12),Database!$F:$AY,MATCH($U$1,Database!$F$1:$AY$1,),)))))/(((VLOOKUP(EDATE(B139,-12),Database!$F:$AY,MATCH($U$1,Database!$F$1:$AY$1,),))))</f>
        <v>-1.6573894716733574E-2</v>
      </c>
      <c r="V139" s="13">
        <f>((((VLOOKUP(B139,Database!$F:$AY,MATCH($V$1,Database!$F$1:$AY$1,),))))-(((VLOOKUP(EDATE(B139,-12),Database!$F:$AY,MATCH($V$1,Database!$F$1:$AY$1,),)))))/(((VLOOKUP(EDATE(B139,-12),Database!$F:$AY,MATCH($V$1,Database!$F$1:$AY$1,),))))</f>
        <v>3.7370413549172317E-2</v>
      </c>
    </row>
    <row r="140" spans="1:22" s="85" customFormat="1" x14ac:dyDescent="0.2">
      <c r="A140" s="44"/>
      <c r="B140" s="91">
        <v>36404</v>
      </c>
      <c r="C140" s="13">
        <f>((((VLOOKUP(B140,Database!$F:$AY,MATCH($C$1,Database!$F$1:$AY$1,),))))-(((VLOOKUP(EDATE(B140,-12),Database!$F:$AY,MATCH($C$1,Database!$F$1:$AY$1,),)))))/(((VLOOKUP(EDATE(B140,-12),Database!$F:$AY,MATCH($C$1,Database!$F$1:$AY$1,),))))</f>
        <v>3.7562923361061713E-2</v>
      </c>
      <c r="D140" s="13">
        <f>((((VLOOKUP(B140,Database!$F:$AY,MATCH($D$1,Database!$F$1:$AY$1,),))))-(((VLOOKUP(EDATE(B140,-12),Database!$F:$AY,MATCH($D$1,Database!$F$1:$AY$1,),)))))/(((VLOOKUP(EDATE(B140,-12),Database!$F:$AY,MATCH($D$1,Database!$F$1:$AY$1,),))))</f>
        <v>2.6996510892309547E-2</v>
      </c>
      <c r="E140" s="13">
        <f>((((VLOOKUP(B140,Database!$F:$AY,MATCH($E$1,Database!$F$1:$AY$1,),))))-(((VLOOKUP(EDATE(B140,-12),Database!$F:$AY,MATCH($E$1,Database!$F$1:$AY$1,),)))))/(((VLOOKUP(EDATE(B140,-12),Database!$F:$AY,MATCH($E$1,Database!$F$1:$AY$1,),))))</f>
        <v>2.7777328296146174E-2</v>
      </c>
      <c r="F140" s="13">
        <f>((((VLOOKUP(B140,Database!$F:$AY,MATCH($F$1,Database!$F$1:$AY$1,),))))-(((VLOOKUP(EDATE(B140,-12),Database!$F:$AY,MATCH($F$1,Database!$F$1:$AY$1,),)))))/(((VLOOKUP(EDATE(B140,-12),Database!$F:$AY,MATCH($F$1,Database!$F$1:$AY$1,),))))</f>
        <v>2.8301818129865722E-2</v>
      </c>
      <c r="G140" s="13">
        <f>((((VLOOKUP(B140,Database!$F:$AY,MATCH($G$1,Database!$F$1:$AY$1,),))))-(((VLOOKUP(EDATE(B140,-12),Database!$F:$AY,MATCH($G$1,Database!$F$1:$AY$1,),)))))/(((VLOOKUP(EDATE(B140,-12),Database!$F:$AY,MATCH($G$1,Database!$F$1:$AY$1,),))))</f>
        <v>3.5208898000505209E-2</v>
      </c>
      <c r="H140" s="13">
        <f>((((VLOOKUP(B140,Database!$F:$AY,MATCH($H$1,Database!$F$1:$AY$1,),))))-(((VLOOKUP(EDATE(B140,-12),Database!$F:$AY,MATCH($H$1,Database!$F$1:$AY$1,),)))))/(((VLOOKUP(EDATE(B140,-12),Database!$F:$AY,MATCH($H$1,Database!$F$1:$AY$1,),))))</f>
        <v>3.3009503557639E-2</v>
      </c>
      <c r="I140" s="13">
        <f>((((VLOOKUP(B140,Database!$F:$AY,MATCH($I$1,Database!$F$1:$AY$1,),))))-(((VLOOKUP(EDATE(B140,-12),Database!$F:$AY,MATCH($I$1,Database!$F$1:$AY$1,),)))))/(((VLOOKUP(EDATE(B140,-12),Database!$F:$AY,MATCH($I$1,Database!$F$1:$AY$1,),))))</f>
        <v>2.4313212529084448E-3</v>
      </c>
      <c r="J140" s="13">
        <f>((((VLOOKUP(B140,Database!$F:$AY,MATCH($J$1,Database!$F$1:$AY$1,),))))-(((VLOOKUP(EDATE(B140,-12),Database!$F:$AY,MATCH($J$1,Database!$F$1:$AY$1,),)))))/(((VLOOKUP(EDATE(B140,-12),Database!$F:$AY,MATCH($J$1,Database!$F$1:$AY$1,),))))</f>
        <v>3.6351822041111238E-2</v>
      </c>
      <c r="K140" s="13">
        <f>((((VLOOKUP(B140,Database!$F:$AY,MATCH($K$1,Database!$F$1:$AY$1,),))))-(((VLOOKUP(EDATE(B140,-12),Database!$F:$AY,MATCH($K$1,Database!$F$1:$AY$1,),)))))/(((VLOOKUP(EDATE(B140,-12),Database!$F:$AY,MATCH($K$1,Database!$F$1:$AY$1,),))))</f>
        <v>2.6852923807910583E-2</v>
      </c>
      <c r="L140" s="13">
        <f>((((VLOOKUP(B140,Database!$F:$AY,MATCH($L$1,Database!$F$1:$AY$1,),))))-(((VLOOKUP(EDATE(B140,-12),Database!$F:$AY,MATCH($L$1,Database!$F$1:$AY$1,),)))))/(((VLOOKUP(EDATE(B140,-12),Database!$F:$AY,MATCH($L$1,Database!$F$1:$AY$1,),))))</f>
        <v>1.9433707698359552E-2</v>
      </c>
      <c r="M140" s="13">
        <f>((((VLOOKUP(B140,Database!$F:$AY,MATCH($M$1,Database!$F$1:$AY$1,),))))-(((VLOOKUP(EDATE(B140,-12),Database!$F:$AY,MATCH($M$1,Database!$F$1:$AY$1,),)))))/(((VLOOKUP(EDATE(B140,-12),Database!$F:$AY,MATCH($M$1,Database!$F$1:$AY$1,),))))</f>
        <v>0.14274916702836435</v>
      </c>
      <c r="N140" s="13">
        <f>((((VLOOKUP(B140,Database!$F:$AY,MATCH($N$1,Database!$F$1:$AY$1,),))))-(((VLOOKUP(EDATE(B140,-12),Database!$F:$AY,MATCH($N$1,Database!$F$1:$AY$1,),)))))/(((VLOOKUP(EDATE(B140,-12),Database!$F:$AY,MATCH($N$1,Database!$F$1:$AY$1,),))))</f>
        <v>7.0478551212564092E-2</v>
      </c>
      <c r="O140" s="13">
        <f>((((VLOOKUP(B140,Database!$F:$AY,MATCH($O$1,Database!$F$1:$AY$1,),))))-(((VLOOKUP(EDATE(B140,-12),Database!$F:$AY,MATCH($O$1,Database!$F$1:$AY$1,),)))))/(((VLOOKUP(EDATE(B140,-12),Database!$F:$AY,MATCH($O$1,Database!$F$1:$AY$1,),))))</f>
        <v>7.5934329861768915E-2</v>
      </c>
      <c r="P140" s="13">
        <f>((((VLOOKUP(B140,Database!$F:$AY,MATCH($P$1,Database!$F$1:$AY$1,),))))-(((VLOOKUP(EDATE(B140,-12),Database!$F:$AY,MATCH($P$1,Database!$F$1:$AY$1,),)))))/(((VLOOKUP(EDATE(B140,-12),Database!$F:$AY,MATCH($P$1,Database!$F$1:$AY$1,),))))</f>
        <v>0.29066882200056504</v>
      </c>
      <c r="Q140" s="13">
        <f>((((VLOOKUP(B140,Database!$F:$AY,MATCH($Q$1,Database!$F$1:$AY$1,),))))-(((VLOOKUP(EDATE(B140,-12),Database!$F:$AY,MATCH($Q$1,Database!$F$1:$AY$1,),)))))/(((VLOOKUP(EDATE(B140,-12),Database!$F:$AY,MATCH($Q$1,Database!$F$1:$AY$1,),))))</f>
        <v>4.8457497594252283E-3</v>
      </c>
      <c r="R140" s="13">
        <f>((((VLOOKUP(B140,Database!$F:$AY,MATCH($R$1,Database!$F$1:$AY$1,),))))-(((VLOOKUP(EDATE(B140,-12),Database!$F:$AY,MATCH($R$1,Database!$F$1:$AY$1,),)))))/(((VLOOKUP(EDATE(B140,-12),Database!$F:$AY,MATCH($R$1,Database!$F$1:$AY$1,),))))</f>
        <v>4.2036568180542425E-2</v>
      </c>
      <c r="S140" s="13">
        <f>((((VLOOKUP(B140,Database!$F:$AY,MATCH($S$1,Database!$F$1:$AY$1,),))))-(((VLOOKUP(EDATE(B140,-12),Database!$F:$AY,MATCH($S$1,Database!$F$1:$AY$1,),)))))/(((VLOOKUP(EDATE(B140,-12),Database!$F:$AY,MATCH($S$1,Database!$F$1:$AY$1,),))))</f>
        <v>0.16863415503793228</v>
      </c>
      <c r="T140" s="13">
        <f>((((VLOOKUP(B140,Database!$F:$AY,MATCH($T$1,Database!$F$1:$AY$1,),))))-(((VLOOKUP(EDATE(B140,-12),Database!$F:$AY,MATCH($T$1,Database!$F$1:$AY$1,),)))))/(((VLOOKUP(EDATE(B140,-12),Database!$F:$AY,MATCH($T$1,Database!$F$1:$AY$1,),))))</f>
        <v>-6.4367885327468677E-2</v>
      </c>
      <c r="U140" s="13">
        <f>((((VLOOKUP(B140,Database!$F:$AY,MATCH($U$1,Database!$F$1:$AY$1,),))))-(((VLOOKUP(EDATE(B140,-12),Database!$F:$AY,MATCH($U$1,Database!$F$1:$AY$1,),)))))/(((VLOOKUP(EDATE(B140,-12),Database!$F:$AY,MATCH($U$1,Database!$F$1:$AY$1,),))))</f>
        <v>-1.8586632744899238E-2</v>
      </c>
      <c r="V140" s="13">
        <f>((((VLOOKUP(B140,Database!$F:$AY,MATCH($V$1,Database!$F$1:$AY$1,),))))-(((VLOOKUP(EDATE(B140,-12),Database!$F:$AY,MATCH($V$1,Database!$F$1:$AY$1,),)))))/(((VLOOKUP(EDATE(B140,-12),Database!$F:$AY,MATCH($V$1,Database!$F$1:$AY$1,),))))</f>
        <v>9.1548401697937293E-2</v>
      </c>
    </row>
    <row r="141" spans="1:22" s="85" customFormat="1" x14ac:dyDescent="0.2">
      <c r="A141" s="44"/>
      <c r="B141" s="91">
        <v>36434</v>
      </c>
      <c r="C141" s="13">
        <f>((((VLOOKUP(B141,Database!$F:$AY,MATCH($C$1,Database!$F$1:$AY$1,),))))-(((VLOOKUP(EDATE(B141,-12),Database!$F:$AY,MATCH($C$1,Database!$F$1:$AY$1,),)))))/(((VLOOKUP(EDATE(B141,-12),Database!$F:$AY,MATCH($C$1,Database!$F$1:$AY$1,),))))</f>
        <v>4.2955093744723949E-2</v>
      </c>
      <c r="D141" s="13">
        <f>((((VLOOKUP(B141,Database!$F:$AY,MATCH($D$1,Database!$F$1:$AY$1,),))))-(((VLOOKUP(EDATE(B141,-12),Database!$F:$AY,MATCH($D$1,Database!$F$1:$AY$1,),)))))/(((VLOOKUP(EDATE(B141,-12),Database!$F:$AY,MATCH($D$1,Database!$F$1:$AY$1,),))))</f>
        <v>3.591473999875406E-2</v>
      </c>
      <c r="E141" s="13">
        <f>((((VLOOKUP(B141,Database!$F:$AY,MATCH($E$1,Database!$F$1:$AY$1,),))))-(((VLOOKUP(EDATE(B141,-12),Database!$F:$AY,MATCH($E$1,Database!$F$1:$AY$1,),)))))/(((VLOOKUP(EDATE(B141,-12),Database!$F:$AY,MATCH($E$1,Database!$F$1:$AY$1,),))))</f>
        <v>3.2222939978374332E-2</v>
      </c>
      <c r="F141" s="13">
        <f>((((VLOOKUP(B141,Database!$F:$AY,MATCH($F$1,Database!$F$1:$AY$1,),))))-(((VLOOKUP(EDATE(B141,-12),Database!$F:$AY,MATCH($F$1,Database!$F$1:$AY$1,),)))))/(((VLOOKUP(EDATE(B141,-12),Database!$F:$AY,MATCH($F$1,Database!$F$1:$AY$1,),))))</f>
        <v>3.2128378025586546E-2</v>
      </c>
      <c r="G141" s="13">
        <f>((((VLOOKUP(B141,Database!$F:$AY,MATCH($G$1,Database!$F$1:$AY$1,),))))-(((VLOOKUP(EDATE(B141,-12),Database!$F:$AY,MATCH($G$1,Database!$F$1:$AY$1,),)))))/(((VLOOKUP(EDATE(B141,-12),Database!$F:$AY,MATCH($G$1,Database!$F$1:$AY$1,),))))</f>
        <v>4.7057264696626765E-2</v>
      </c>
      <c r="H141" s="13">
        <f>((((VLOOKUP(B141,Database!$F:$AY,MATCH($H$1,Database!$F$1:$AY$1,),))))-(((VLOOKUP(EDATE(B141,-12),Database!$F:$AY,MATCH($H$1,Database!$F$1:$AY$1,),)))))/(((VLOOKUP(EDATE(B141,-12),Database!$F:$AY,MATCH($H$1,Database!$F$1:$AY$1,),))))</f>
        <v>3.0068374583227156E-2</v>
      </c>
      <c r="I141" s="13">
        <f>((((VLOOKUP(B141,Database!$F:$AY,MATCH($I$1,Database!$F$1:$AY$1,),))))-(((VLOOKUP(EDATE(B141,-12),Database!$F:$AY,MATCH($I$1,Database!$F$1:$AY$1,),)))))/(((VLOOKUP(EDATE(B141,-12),Database!$F:$AY,MATCH($I$1,Database!$F$1:$AY$1,),))))</f>
        <v>1.8760125230647288E-2</v>
      </c>
      <c r="J141" s="13">
        <f>((((VLOOKUP(B141,Database!$F:$AY,MATCH($J$1,Database!$F$1:$AY$1,),))))-(((VLOOKUP(EDATE(B141,-12),Database!$F:$AY,MATCH($J$1,Database!$F$1:$AY$1,),)))))/(((VLOOKUP(EDATE(B141,-12),Database!$F:$AY,MATCH($J$1,Database!$F$1:$AY$1,),))))</f>
        <v>2.8080474050930344E-2</v>
      </c>
      <c r="K141" s="13">
        <f>((((VLOOKUP(B141,Database!$F:$AY,MATCH($K$1,Database!$F$1:$AY$1,),))))-(((VLOOKUP(EDATE(B141,-12),Database!$F:$AY,MATCH($K$1,Database!$F$1:$AY$1,),)))))/(((VLOOKUP(EDATE(B141,-12),Database!$F:$AY,MATCH($K$1,Database!$F$1:$AY$1,),))))</f>
        <v>2.6852923807910583E-2</v>
      </c>
      <c r="L141" s="13">
        <f>((((VLOOKUP(B141,Database!$F:$AY,MATCH($L$1,Database!$F$1:$AY$1,),))))-(((VLOOKUP(EDATE(B141,-12),Database!$F:$AY,MATCH($L$1,Database!$F$1:$AY$1,),)))))/(((VLOOKUP(EDATE(B141,-12),Database!$F:$AY,MATCH($L$1,Database!$F$1:$AY$1,),))))</f>
        <v>2.3424479807200364E-2</v>
      </c>
      <c r="M141" s="13">
        <f>((((VLOOKUP(B141,Database!$F:$AY,MATCH($M$1,Database!$F$1:$AY$1,),))))-(((VLOOKUP(EDATE(B141,-12),Database!$F:$AY,MATCH($M$1,Database!$F$1:$AY$1,),)))))/(((VLOOKUP(EDATE(B141,-12),Database!$F:$AY,MATCH($M$1,Database!$F$1:$AY$1,),))))</f>
        <v>4.5835303164586796E-2</v>
      </c>
      <c r="N141" s="13">
        <f>((((VLOOKUP(B141,Database!$F:$AY,MATCH($N$1,Database!$F$1:$AY$1,),))))-(((VLOOKUP(EDATE(B141,-12),Database!$F:$AY,MATCH($N$1,Database!$F$1:$AY$1,),)))))/(((VLOOKUP(EDATE(B141,-12),Database!$F:$AY,MATCH($N$1,Database!$F$1:$AY$1,),))))</f>
        <v>8.5137262024071389E-2</v>
      </c>
      <c r="O141" s="13">
        <f>((((VLOOKUP(B141,Database!$F:$AY,MATCH($O$1,Database!$F$1:$AY$1,),))))-(((VLOOKUP(EDATE(B141,-12),Database!$F:$AY,MATCH($O$1,Database!$F$1:$AY$1,),)))))/(((VLOOKUP(EDATE(B141,-12),Database!$F:$AY,MATCH($O$1,Database!$F$1:$AY$1,),))))</f>
        <v>6.7787786828911331E-2</v>
      </c>
      <c r="P141" s="13">
        <f>((((VLOOKUP(B141,Database!$F:$AY,MATCH($P$1,Database!$F$1:$AY$1,),))))-(((VLOOKUP(EDATE(B141,-12),Database!$F:$AY,MATCH($P$1,Database!$F$1:$AY$1,),)))))/(((VLOOKUP(EDATE(B141,-12),Database!$F:$AY,MATCH($P$1,Database!$F$1:$AY$1,),))))</f>
        <v>0.26300390226967368</v>
      </c>
      <c r="Q141" s="13">
        <f>((((VLOOKUP(B141,Database!$F:$AY,MATCH($Q$1,Database!$F$1:$AY$1,),))))-(((VLOOKUP(EDATE(B141,-12),Database!$F:$AY,MATCH($Q$1,Database!$F$1:$AY$1,),)))))/(((VLOOKUP(EDATE(B141,-12),Database!$F:$AY,MATCH($Q$1,Database!$F$1:$AY$1,),))))</f>
        <v>5.255992063733262E-2</v>
      </c>
      <c r="R141" s="13">
        <f>((((VLOOKUP(B141,Database!$F:$AY,MATCH($R$1,Database!$F$1:$AY$1,),))))-(((VLOOKUP(EDATE(B141,-12),Database!$F:$AY,MATCH($R$1,Database!$F$1:$AY$1,),)))))/(((VLOOKUP(EDATE(B141,-12),Database!$F:$AY,MATCH($R$1,Database!$F$1:$AY$1,),))))</f>
        <v>2.8499307465323115E-2</v>
      </c>
      <c r="S141" s="13">
        <f>((((VLOOKUP(B141,Database!$F:$AY,MATCH($S$1,Database!$F$1:$AY$1,),))))-(((VLOOKUP(EDATE(B141,-12),Database!$F:$AY,MATCH($S$1,Database!$F$1:$AY$1,),)))))/(((VLOOKUP(EDATE(B141,-12),Database!$F:$AY,MATCH($S$1,Database!$F$1:$AY$1,),))))</f>
        <v>0.19000005050252824</v>
      </c>
      <c r="T141" s="13">
        <f>((((VLOOKUP(B141,Database!$F:$AY,MATCH($T$1,Database!$F$1:$AY$1,),))))-(((VLOOKUP(EDATE(B141,-12),Database!$F:$AY,MATCH($T$1,Database!$F$1:$AY$1,),)))))/(((VLOOKUP(EDATE(B141,-12),Database!$F:$AY,MATCH($T$1,Database!$F$1:$AY$1,),))))</f>
        <v>-3.809531746693167E-2</v>
      </c>
      <c r="U141" s="13">
        <f>((((VLOOKUP(B141,Database!$F:$AY,MATCH($U$1,Database!$F$1:$AY$1,),))))-(((VLOOKUP(EDATE(B141,-12),Database!$F:$AY,MATCH($U$1,Database!$F$1:$AY$1,),)))))/(((VLOOKUP(EDATE(B141,-12),Database!$F:$AY,MATCH($U$1,Database!$F$1:$AY$1,),))))</f>
        <v>5.749097433436331E-3</v>
      </c>
      <c r="V141" s="13">
        <f>((((VLOOKUP(B141,Database!$F:$AY,MATCH($V$1,Database!$F$1:$AY$1,),))))-(((VLOOKUP(EDATE(B141,-12),Database!$F:$AY,MATCH($V$1,Database!$F$1:$AY$1,),)))))/(((VLOOKUP(EDATE(B141,-12),Database!$F:$AY,MATCH($V$1,Database!$F$1:$AY$1,),))))</f>
        <v>9.6003917376790704E-2</v>
      </c>
    </row>
    <row r="142" spans="1:22" s="85" customFormat="1" x14ac:dyDescent="0.2">
      <c r="A142" s="44"/>
      <c r="B142" s="91">
        <v>36465</v>
      </c>
      <c r="C142" s="13">
        <f>((((VLOOKUP(B142,Database!$F:$AY,MATCH($C$1,Database!$F$1:$AY$1,),))))-(((VLOOKUP(EDATE(B142,-12),Database!$F:$AY,MATCH($C$1,Database!$F$1:$AY$1,),)))))/(((VLOOKUP(EDATE(B142,-12),Database!$F:$AY,MATCH($C$1,Database!$F$1:$AY$1,),))))</f>
        <v>4.8561405132163067E-2</v>
      </c>
      <c r="D142" s="13">
        <f>((((VLOOKUP(B142,Database!$F:$AY,MATCH($D$1,Database!$F$1:$AY$1,),))))-(((VLOOKUP(EDATE(B142,-12),Database!$F:$AY,MATCH($D$1,Database!$F$1:$AY$1,),)))))/(((VLOOKUP(EDATE(B142,-12),Database!$F:$AY,MATCH($D$1,Database!$F$1:$AY$1,),))))</f>
        <v>4.6275429179849892E-2</v>
      </c>
      <c r="E142" s="13">
        <f>((((VLOOKUP(B142,Database!$F:$AY,MATCH($E$1,Database!$F$1:$AY$1,),))))-(((VLOOKUP(EDATE(B142,-12),Database!$F:$AY,MATCH($E$1,Database!$F$1:$AY$1,),)))))/(((VLOOKUP(EDATE(B142,-12),Database!$F:$AY,MATCH($E$1,Database!$F$1:$AY$1,),))))</f>
        <v>4.8595545883229903E-2</v>
      </c>
      <c r="F142" s="13">
        <f>((((VLOOKUP(B142,Database!$F:$AY,MATCH($F$1,Database!$F$1:$AY$1,),))))-(((VLOOKUP(EDATE(B142,-12),Database!$F:$AY,MATCH($F$1,Database!$F$1:$AY$1,),)))))/(((VLOOKUP(EDATE(B142,-12),Database!$F:$AY,MATCH($F$1,Database!$F$1:$AY$1,),))))</f>
        <v>4.4776050542066778E-2</v>
      </c>
      <c r="G142" s="13">
        <f>((((VLOOKUP(B142,Database!$F:$AY,MATCH($G$1,Database!$F$1:$AY$1,),))))-(((VLOOKUP(EDATE(B142,-12),Database!$F:$AY,MATCH($G$1,Database!$F$1:$AY$1,),)))))/(((VLOOKUP(EDATE(B142,-12),Database!$F:$AY,MATCH($G$1,Database!$F$1:$AY$1,),))))</f>
        <v>4.1847935065954023E-2</v>
      </c>
      <c r="H142" s="13">
        <f>((((VLOOKUP(B142,Database!$F:$AY,MATCH($H$1,Database!$F$1:$AY$1,),))))-(((VLOOKUP(EDATE(B142,-12),Database!$F:$AY,MATCH($H$1,Database!$F$1:$AY$1,),)))))/(((VLOOKUP(EDATE(B142,-12),Database!$F:$AY,MATCH($H$1,Database!$F$1:$AY$1,),))))</f>
        <v>3.6893029571091557E-2</v>
      </c>
      <c r="I142" s="13">
        <f>((((VLOOKUP(B142,Database!$F:$AY,MATCH($I$1,Database!$F$1:$AY$1,),))))-(((VLOOKUP(EDATE(B142,-12),Database!$F:$AY,MATCH($I$1,Database!$F$1:$AY$1,),)))))/(((VLOOKUP(EDATE(B142,-12),Database!$F:$AY,MATCH($I$1,Database!$F$1:$AY$1,),))))</f>
        <v>2.8641506901557985E-2</v>
      </c>
      <c r="J142" s="13">
        <f>((((VLOOKUP(B142,Database!$F:$AY,MATCH($J$1,Database!$F$1:$AY$1,),))))-(((VLOOKUP(EDATE(B142,-12),Database!$F:$AY,MATCH($J$1,Database!$F$1:$AY$1,),)))))/(((VLOOKUP(EDATE(B142,-12),Database!$F:$AY,MATCH($J$1,Database!$F$1:$AY$1,),))))</f>
        <v>4.2129234762686291E-2</v>
      </c>
      <c r="K142" s="13">
        <f>((((VLOOKUP(B142,Database!$F:$AY,MATCH($K$1,Database!$F$1:$AY$1,),))))-(((VLOOKUP(EDATE(B142,-12),Database!$F:$AY,MATCH($K$1,Database!$F$1:$AY$1,),)))))/(((VLOOKUP(EDATE(B142,-12),Database!$F:$AY,MATCH($K$1,Database!$F$1:$AY$1,),))))</f>
        <v>2.4572584382584479E-2</v>
      </c>
      <c r="L142" s="13">
        <f>((((VLOOKUP(B142,Database!$F:$AY,MATCH($L$1,Database!$F$1:$AY$1,),))))-(((VLOOKUP(EDATE(B142,-12),Database!$F:$AY,MATCH($L$1,Database!$F$1:$AY$1,),)))))/(((VLOOKUP(EDATE(B142,-12),Database!$F:$AY,MATCH($L$1,Database!$F$1:$AY$1,),))))</f>
        <v>2.7219440555885922E-2</v>
      </c>
      <c r="M142" s="13">
        <f>((((VLOOKUP(B142,Database!$F:$AY,MATCH($M$1,Database!$F$1:$AY$1,),))))-(((VLOOKUP(EDATE(B142,-12),Database!$F:$AY,MATCH($M$1,Database!$F$1:$AY$1,),)))))/(((VLOOKUP(EDATE(B142,-12),Database!$F:$AY,MATCH($M$1,Database!$F$1:$AY$1,),))))</f>
        <v>5.9034716362238428E-2</v>
      </c>
      <c r="N142" s="13">
        <f>((((VLOOKUP(B142,Database!$F:$AY,MATCH($N$1,Database!$F$1:$AY$1,),))))-(((VLOOKUP(EDATE(B142,-12),Database!$F:$AY,MATCH($N$1,Database!$F$1:$AY$1,),)))))/(((VLOOKUP(EDATE(B142,-12),Database!$F:$AY,MATCH($N$1,Database!$F$1:$AY$1,),))))</f>
        <v>3.436215427113945E-2</v>
      </c>
      <c r="O142" s="13">
        <f>((((VLOOKUP(B142,Database!$F:$AY,MATCH($O$1,Database!$F$1:$AY$1,),))))-(((VLOOKUP(EDATE(B142,-12),Database!$F:$AY,MATCH($O$1,Database!$F$1:$AY$1,),)))))/(((VLOOKUP(EDATE(B142,-12),Database!$F:$AY,MATCH($O$1,Database!$F$1:$AY$1,),))))</f>
        <v>7.8439832862751663E-2</v>
      </c>
      <c r="P142" s="13">
        <f>((((VLOOKUP(B142,Database!$F:$AY,MATCH($P$1,Database!$F$1:$AY$1,),))))-(((VLOOKUP(EDATE(B142,-12),Database!$F:$AY,MATCH($P$1,Database!$F$1:$AY$1,),)))))/(((VLOOKUP(EDATE(B142,-12),Database!$F:$AY,MATCH($P$1,Database!$F$1:$AY$1,),))))</f>
        <v>0.27069099200958552</v>
      </c>
      <c r="Q142" s="13">
        <f>((((VLOOKUP(B142,Database!$F:$AY,MATCH($Q$1,Database!$F$1:$AY$1,),))))-(((VLOOKUP(EDATE(B142,-12),Database!$F:$AY,MATCH($Q$1,Database!$F$1:$AY$1,),)))))/(((VLOOKUP(EDATE(B142,-12),Database!$F:$AY,MATCH($Q$1,Database!$F$1:$AY$1,),))))</f>
        <v>3.5448985570232551E-2</v>
      </c>
      <c r="R142" s="13">
        <f>((((VLOOKUP(B142,Database!$F:$AY,MATCH($R$1,Database!$F$1:$AY$1,),))))-(((VLOOKUP(EDATE(B142,-12),Database!$F:$AY,MATCH($R$1,Database!$F$1:$AY$1,),)))))/(((VLOOKUP(EDATE(B142,-12),Database!$F:$AY,MATCH($R$1,Database!$F$1:$AY$1,),))))</f>
        <v>1.8268077450308545E-2</v>
      </c>
      <c r="S142" s="13">
        <f>((((VLOOKUP(B142,Database!$F:$AY,MATCH($S$1,Database!$F$1:$AY$1,),))))-(((VLOOKUP(EDATE(B142,-12),Database!$F:$AY,MATCH($S$1,Database!$F$1:$AY$1,),)))))/(((VLOOKUP(EDATE(B142,-12),Database!$F:$AY,MATCH($S$1,Database!$F$1:$AY$1,),))))</f>
        <v>0.17687076193243706</v>
      </c>
      <c r="T142" s="13">
        <f>((((VLOOKUP(B142,Database!$F:$AY,MATCH($T$1,Database!$F$1:$AY$1,),))))-(((VLOOKUP(EDATE(B142,-12),Database!$F:$AY,MATCH($T$1,Database!$F$1:$AY$1,),)))))/(((VLOOKUP(EDATE(B142,-12),Database!$F:$AY,MATCH($T$1,Database!$F$1:$AY$1,),))))</f>
        <v>-9.6619162708002516E-3</v>
      </c>
      <c r="U142" s="13">
        <f>((((VLOOKUP(B142,Database!$F:$AY,MATCH($U$1,Database!$F$1:$AY$1,),))))-(((VLOOKUP(EDATE(B142,-12),Database!$F:$AY,MATCH($U$1,Database!$F$1:$AY$1,),)))))/(((VLOOKUP(EDATE(B142,-12),Database!$F:$AY,MATCH($U$1,Database!$F$1:$AY$1,),))))</f>
        <v>1.0883737844251267E-2</v>
      </c>
      <c r="V142" s="13">
        <f>((((VLOOKUP(B142,Database!$F:$AY,MATCH($V$1,Database!$F$1:$AY$1,),))))-(((VLOOKUP(EDATE(B142,-12),Database!$F:$AY,MATCH($V$1,Database!$F$1:$AY$1,),)))))/(((VLOOKUP(EDATE(B142,-12),Database!$F:$AY,MATCH($V$1,Database!$F$1:$AY$1,),))))</f>
        <v>0.13555895456892678</v>
      </c>
    </row>
    <row r="143" spans="1:22" s="85" customFormat="1" x14ac:dyDescent="0.2">
      <c r="A143" s="44"/>
      <c r="B143" s="91">
        <v>36495</v>
      </c>
      <c r="C143" s="13">
        <f>((((VLOOKUP(B143,Database!$F:$AY,MATCH($C$1,Database!$F$1:$AY$1,),))))-(((VLOOKUP(EDATE(B143,-12),Database!$F:$AY,MATCH($C$1,Database!$F$1:$AY$1,),)))))/(((VLOOKUP(EDATE(B143,-12),Database!$F:$AY,MATCH($C$1,Database!$F$1:$AY$1,),))))</f>
        <v>5.2756619967837988E-2</v>
      </c>
      <c r="D143" s="13">
        <f>((((VLOOKUP(B143,Database!$F:$AY,MATCH($D$1,Database!$F$1:$AY$1,),))))-(((VLOOKUP(EDATE(B143,-12),Database!$F:$AY,MATCH($D$1,Database!$F$1:$AY$1,),)))))/(((VLOOKUP(EDATE(B143,-12),Database!$F:$AY,MATCH($D$1,Database!$F$1:$AY$1,),))))</f>
        <v>4.7673096947368848E-2</v>
      </c>
      <c r="E143" s="13">
        <f>((((VLOOKUP(B143,Database!$F:$AY,MATCH($E$1,Database!$F$1:$AY$1,),))))-(((VLOOKUP(EDATE(B143,-12),Database!$F:$AY,MATCH($E$1,Database!$F$1:$AY$1,),)))))/(((VLOOKUP(EDATE(B143,-12),Database!$F:$AY,MATCH($E$1,Database!$F$1:$AY$1,),))))</f>
        <v>4.8648081325335289E-2</v>
      </c>
      <c r="F143" s="13">
        <f>((((VLOOKUP(B143,Database!$F:$AY,MATCH($F$1,Database!$F$1:$AY$1,),))))-(((VLOOKUP(EDATE(B143,-12),Database!$F:$AY,MATCH($F$1,Database!$F$1:$AY$1,),)))))/(((VLOOKUP(EDATE(B143,-12),Database!$F:$AY,MATCH($F$1,Database!$F$1:$AY$1,),))))</f>
        <v>4.1891730446750618E-2</v>
      </c>
      <c r="G143" s="13">
        <f>((((VLOOKUP(B143,Database!$F:$AY,MATCH($G$1,Database!$F$1:$AY$1,),))))-(((VLOOKUP(EDATE(B143,-12),Database!$F:$AY,MATCH($G$1,Database!$F$1:$AY$1,),)))))/(((VLOOKUP(EDATE(B143,-12),Database!$F:$AY,MATCH($G$1,Database!$F$1:$AY$1,),))))</f>
        <v>4.0503255388153005E-2</v>
      </c>
      <c r="H143" s="13">
        <f>((((VLOOKUP(B143,Database!$F:$AY,MATCH($H$1,Database!$F$1:$AY$1,),))))-(((VLOOKUP(EDATE(B143,-12),Database!$F:$AY,MATCH($H$1,Database!$F$1:$AY$1,),)))))/(((VLOOKUP(EDATE(B143,-12),Database!$F:$AY,MATCH($H$1,Database!$F$1:$AY$1,),))))</f>
        <v>2.6162286064140061E-2</v>
      </c>
      <c r="I143" s="13">
        <f>((((VLOOKUP(B143,Database!$F:$AY,MATCH($I$1,Database!$F$1:$AY$1,),))))-(((VLOOKUP(EDATE(B143,-12),Database!$F:$AY,MATCH($I$1,Database!$F$1:$AY$1,),)))))/(((VLOOKUP(EDATE(B143,-12),Database!$F:$AY,MATCH($I$1,Database!$F$1:$AY$1,),))))</f>
        <v>4.1910435149270543E-2</v>
      </c>
      <c r="J143" s="13">
        <f>((((VLOOKUP(B143,Database!$F:$AY,MATCH($J$1,Database!$F$1:$AY$1,),))))-(((VLOOKUP(EDATE(B143,-12),Database!$F:$AY,MATCH($J$1,Database!$F$1:$AY$1,),)))))/(((VLOOKUP(EDATE(B143,-12),Database!$F:$AY,MATCH($J$1,Database!$F$1:$AY$1,),))))</f>
        <v>4.1953648687059981E-2</v>
      </c>
      <c r="K143" s="13">
        <f>((((VLOOKUP(B143,Database!$F:$AY,MATCH($K$1,Database!$F$1:$AY$1,),))))-(((VLOOKUP(EDATE(B143,-12),Database!$F:$AY,MATCH($K$1,Database!$F$1:$AY$1,),)))))/(((VLOOKUP(EDATE(B143,-12),Database!$F:$AY,MATCH($K$1,Database!$F$1:$AY$1,),))))</f>
        <v>3.1317539081032054E-2</v>
      </c>
      <c r="L143" s="13">
        <f>((((VLOOKUP(B143,Database!$F:$AY,MATCH($L$1,Database!$F$1:$AY$1,),))))-(((VLOOKUP(EDATE(B143,-12),Database!$F:$AY,MATCH($L$1,Database!$F$1:$AY$1,),)))))/(((VLOOKUP(EDATE(B143,-12),Database!$F:$AY,MATCH($L$1,Database!$F$1:$AY$1,),))))</f>
        <v>2.2624377068426939E-2</v>
      </c>
      <c r="M143" s="13">
        <f>((((VLOOKUP(B143,Database!$F:$AY,MATCH($M$1,Database!$F$1:$AY$1,),))))-(((VLOOKUP(EDATE(B143,-12),Database!$F:$AY,MATCH($M$1,Database!$F$1:$AY$1,),)))))/(((VLOOKUP(EDATE(B143,-12),Database!$F:$AY,MATCH($M$1,Database!$F$1:$AY$1,),))))</f>
        <v>0.1975799927636489</v>
      </c>
      <c r="N143" s="13">
        <f>((((VLOOKUP(B143,Database!$F:$AY,MATCH($N$1,Database!$F$1:$AY$1,),))))-(((VLOOKUP(EDATE(B143,-12),Database!$F:$AY,MATCH($N$1,Database!$F$1:$AY$1,),)))))/(((VLOOKUP(EDATE(B143,-12),Database!$F:$AY,MATCH($N$1,Database!$F$1:$AY$1,),))))</f>
        <v>7.9098707626607992E-2</v>
      </c>
      <c r="O143" s="13">
        <f>((((VLOOKUP(B143,Database!$F:$AY,MATCH($O$1,Database!$F$1:$AY$1,),))))-(((VLOOKUP(EDATE(B143,-12),Database!$F:$AY,MATCH($O$1,Database!$F$1:$AY$1,),)))))/(((VLOOKUP(EDATE(B143,-12),Database!$F:$AY,MATCH($O$1,Database!$F$1:$AY$1,),))))</f>
        <v>7.8172326882393936E-2</v>
      </c>
      <c r="P143" s="13">
        <f>((((VLOOKUP(B143,Database!$F:$AY,MATCH($P$1,Database!$F$1:$AY$1,),))))-(((VLOOKUP(EDATE(B143,-12),Database!$F:$AY,MATCH($P$1,Database!$F$1:$AY$1,),)))))/(((VLOOKUP(EDATE(B143,-12),Database!$F:$AY,MATCH($P$1,Database!$F$1:$AY$1,),))))</f>
        <v>0.24690765279786087</v>
      </c>
      <c r="Q143" s="13">
        <f>((((VLOOKUP(B143,Database!$F:$AY,MATCH($Q$1,Database!$F$1:$AY$1,),))))-(((VLOOKUP(EDATE(B143,-12),Database!$F:$AY,MATCH($Q$1,Database!$F$1:$AY$1,),)))))/(((VLOOKUP(EDATE(B143,-12),Database!$F:$AY,MATCH($Q$1,Database!$F$1:$AY$1,),))))</f>
        <v>8.1314148975122666E-2</v>
      </c>
      <c r="R143" s="13">
        <f>((((VLOOKUP(B143,Database!$F:$AY,MATCH($R$1,Database!$F$1:$AY$1,),))))-(((VLOOKUP(EDATE(B143,-12),Database!$F:$AY,MATCH($R$1,Database!$F$1:$AY$1,),)))))/(((VLOOKUP(EDATE(B143,-12),Database!$F:$AY,MATCH($R$1,Database!$F$1:$AY$1,),))))</f>
        <v>3.9101748119399565E-2</v>
      </c>
      <c r="S143" s="13">
        <f>((((VLOOKUP(B143,Database!$F:$AY,MATCH($S$1,Database!$F$1:$AY$1,),))))-(((VLOOKUP(EDATE(B143,-12),Database!$F:$AY,MATCH($S$1,Database!$F$1:$AY$1,),)))))/(((VLOOKUP(EDATE(B143,-12),Database!$F:$AY,MATCH($S$1,Database!$F$1:$AY$1,),))))</f>
        <v>0.17567569873197733</v>
      </c>
      <c r="T143" s="13">
        <f>((((VLOOKUP(B143,Database!$F:$AY,MATCH($T$1,Database!$F$1:$AY$1,),))))-(((VLOOKUP(EDATE(B143,-12),Database!$F:$AY,MATCH($T$1,Database!$F$1:$AY$1,),)))))/(((VLOOKUP(EDATE(B143,-12),Database!$F:$AY,MATCH($T$1,Database!$F$1:$AY$1,),))))</f>
        <v>5.3708570075152159E-2</v>
      </c>
      <c r="U143" s="13">
        <f>((((VLOOKUP(B143,Database!$F:$AY,MATCH($U$1,Database!$F$1:$AY$1,),))))-(((VLOOKUP(EDATE(B143,-12),Database!$F:$AY,MATCH($U$1,Database!$F$1:$AY$1,),)))))/(((VLOOKUP(EDATE(B143,-12),Database!$F:$AY,MATCH($U$1,Database!$F$1:$AY$1,),))))</f>
        <v>7.040852584490874E-2</v>
      </c>
      <c r="V143" s="13">
        <f>((((VLOOKUP(B143,Database!$F:$AY,MATCH($V$1,Database!$F$1:$AY$1,),))))-(((VLOOKUP(EDATE(B143,-12),Database!$F:$AY,MATCH($V$1,Database!$F$1:$AY$1,),)))))/(((VLOOKUP(EDATE(B143,-12),Database!$F:$AY,MATCH($V$1,Database!$F$1:$AY$1,),))))</f>
        <v>0.18922111474882114</v>
      </c>
    </row>
    <row r="144" spans="1:22" s="85" customFormat="1" x14ac:dyDescent="0.2">
      <c r="A144" s="44"/>
      <c r="B144" s="91">
        <v>36526</v>
      </c>
      <c r="C144" s="13">
        <f>((((VLOOKUP(B144,Database!$F:$AY,MATCH($C$1,Database!$F$1:$AY$1,),))))-(((VLOOKUP(EDATE(B144,-12),Database!$F:$AY,MATCH($C$1,Database!$F$1:$AY$1,),)))))/(((VLOOKUP(EDATE(B144,-12),Database!$F:$AY,MATCH($C$1,Database!$F$1:$AY$1,),))))</f>
        <v>4.8035118660107567E-2</v>
      </c>
      <c r="D144" s="13">
        <f>((((VLOOKUP(B144,Database!$F:$AY,MATCH($D$1,Database!$F$1:$AY$1,),))))-(((VLOOKUP(EDATE(B144,-12),Database!$F:$AY,MATCH($D$1,Database!$F$1:$AY$1,),)))))/(((VLOOKUP(EDATE(B144,-12),Database!$F:$AY,MATCH($D$1,Database!$F$1:$AY$1,),))))</f>
        <v>3.0201454157348432E-2</v>
      </c>
      <c r="E144" s="13">
        <f>((((VLOOKUP(B144,Database!$F:$AY,MATCH($E$1,Database!$F$1:$AY$1,),))))-(((VLOOKUP(EDATE(B144,-12),Database!$F:$AY,MATCH($E$1,Database!$F$1:$AY$1,),)))))/(((VLOOKUP(EDATE(B144,-12),Database!$F:$AY,MATCH($E$1,Database!$F$1:$AY$1,),))))</f>
        <v>3.4151064574654624E-2</v>
      </c>
      <c r="F144" s="13">
        <f>((((VLOOKUP(B144,Database!$F:$AY,MATCH($F$1,Database!$F$1:$AY$1,),))))-(((VLOOKUP(EDATE(B144,-12),Database!$F:$AY,MATCH($F$1,Database!$F$1:$AY$1,),)))))/(((VLOOKUP(EDATE(B144,-12),Database!$F:$AY,MATCH($F$1,Database!$F$1:$AY$1,),))))</f>
        <v>1.7287212643926627E-2</v>
      </c>
      <c r="G144" s="13">
        <f>((((VLOOKUP(B144,Database!$F:$AY,MATCH($G$1,Database!$F$1:$AY$1,),))))-(((VLOOKUP(EDATE(B144,-12),Database!$F:$AY,MATCH($G$1,Database!$F$1:$AY$1,),)))))/(((VLOOKUP(EDATE(B144,-12),Database!$F:$AY,MATCH($G$1,Database!$F$1:$AY$1,),))))</f>
        <v>4.5356815056126591E-2</v>
      </c>
      <c r="H144" s="13">
        <f>((((VLOOKUP(B144,Database!$F:$AY,MATCH($H$1,Database!$F$1:$AY$1,),))))-(((VLOOKUP(EDATE(B144,-12),Database!$F:$AY,MATCH($H$1,Database!$F$1:$AY$1,),)))))/(((VLOOKUP(EDATE(B144,-12),Database!$F:$AY,MATCH($H$1,Database!$F$1:$AY$1,),))))</f>
        <v>2.8182685278527436E-2</v>
      </c>
      <c r="I144" s="13">
        <f>((((VLOOKUP(B144,Database!$F:$AY,MATCH($I$1,Database!$F$1:$AY$1,),))))-(((VLOOKUP(EDATE(B144,-12),Database!$F:$AY,MATCH($I$1,Database!$F$1:$AY$1,),)))))/(((VLOOKUP(EDATE(B144,-12),Database!$F:$AY,MATCH($I$1,Database!$F$1:$AY$1,),))))</f>
        <v>2.4670634649753016E-2</v>
      </c>
      <c r="J144" s="13">
        <f>((((VLOOKUP(B144,Database!$F:$AY,MATCH($J$1,Database!$F$1:$AY$1,),))))-(((VLOOKUP(EDATE(B144,-12),Database!$F:$AY,MATCH($J$1,Database!$F$1:$AY$1,),)))))/(((VLOOKUP(EDATE(B144,-12),Database!$F:$AY,MATCH($J$1,Database!$F$1:$AY$1,),))))</f>
        <v>3.0468882243412473E-2</v>
      </c>
      <c r="K144" s="13">
        <f>((((VLOOKUP(B144,Database!$F:$AY,MATCH($K$1,Database!$F$1:$AY$1,),))))-(((VLOOKUP(EDATE(B144,-12),Database!$F:$AY,MATCH($K$1,Database!$F$1:$AY$1,),)))))/(((VLOOKUP(EDATE(B144,-12),Database!$F:$AY,MATCH($K$1,Database!$F$1:$AY$1,),))))</f>
        <v>-2.2237843428612042E-3</v>
      </c>
      <c r="L144" s="13">
        <f>((((VLOOKUP(B144,Database!$F:$AY,MATCH($L$1,Database!$F$1:$AY$1,),))))-(((VLOOKUP(EDATE(B144,-12),Database!$F:$AY,MATCH($L$1,Database!$F$1:$AY$1,),)))))/(((VLOOKUP(EDATE(B144,-12),Database!$F:$AY,MATCH($L$1,Database!$F$1:$AY$1,),))))</f>
        <v>2.9224857153099189E-2</v>
      </c>
      <c r="M144" s="13">
        <f>((((VLOOKUP(B144,Database!$F:$AY,MATCH($M$1,Database!$F$1:$AY$1,),))))-(((VLOOKUP(EDATE(B144,-12),Database!$F:$AY,MATCH($M$1,Database!$F$1:$AY$1,),)))))/(((VLOOKUP(EDATE(B144,-12),Database!$F:$AY,MATCH($M$1,Database!$F$1:$AY$1,),))))</f>
        <v>0.10455842093402837</v>
      </c>
      <c r="N144" s="13">
        <f>((((VLOOKUP(B144,Database!$F:$AY,MATCH($N$1,Database!$F$1:$AY$1,),))))-(((VLOOKUP(EDATE(B144,-12),Database!$F:$AY,MATCH($N$1,Database!$F$1:$AY$1,),)))))/(((VLOOKUP(EDATE(B144,-12),Database!$F:$AY,MATCH($N$1,Database!$F$1:$AY$1,),))))</f>
        <v>4.885908102010398E-2</v>
      </c>
      <c r="O144" s="13">
        <f>((((VLOOKUP(B144,Database!$F:$AY,MATCH($O$1,Database!$F$1:$AY$1,),))))-(((VLOOKUP(EDATE(B144,-12),Database!$F:$AY,MATCH($O$1,Database!$F$1:$AY$1,),)))))/(((VLOOKUP(EDATE(B144,-12),Database!$F:$AY,MATCH($O$1,Database!$F$1:$AY$1,),))))</f>
        <v>7.0371635648970074E-2</v>
      </c>
      <c r="P144" s="13">
        <f>((((VLOOKUP(B144,Database!$F:$AY,MATCH($P$1,Database!$F$1:$AY$1,),))))-(((VLOOKUP(EDATE(B144,-12),Database!$F:$AY,MATCH($P$1,Database!$F$1:$AY$1,),)))))/(((VLOOKUP(EDATE(B144,-12),Database!$F:$AY,MATCH($P$1,Database!$F$1:$AY$1,),))))</f>
        <v>0.28116199505247641</v>
      </c>
      <c r="Q144" s="13">
        <f>((((VLOOKUP(B144,Database!$F:$AY,MATCH($Q$1,Database!$F$1:$AY$1,),))))-(((VLOOKUP(EDATE(B144,-12),Database!$F:$AY,MATCH($Q$1,Database!$F$1:$AY$1,),)))))/(((VLOOKUP(EDATE(B144,-12),Database!$F:$AY,MATCH($Q$1,Database!$F$1:$AY$1,),))))</f>
        <v>3.8987522200863205E-2</v>
      </c>
      <c r="R144" s="13">
        <f>((((VLOOKUP(B144,Database!$F:$AY,MATCH($R$1,Database!$F$1:$AY$1,),))))-(((VLOOKUP(EDATE(B144,-12),Database!$F:$AY,MATCH($R$1,Database!$F$1:$AY$1,),)))))/(((VLOOKUP(EDATE(B144,-12),Database!$F:$AY,MATCH($R$1,Database!$F$1:$AY$1,),))))</f>
        <v>7.1402142574379754E-2</v>
      </c>
      <c r="S144" s="13">
        <f>((((VLOOKUP(B144,Database!$F:$AY,MATCH($S$1,Database!$F$1:$AY$1,),))))-(((VLOOKUP(EDATE(B144,-12),Database!$F:$AY,MATCH($S$1,Database!$F$1:$AY$1,),)))))/(((VLOOKUP(EDATE(B144,-12),Database!$F:$AY,MATCH($S$1,Database!$F$1:$AY$1,),))))</f>
        <v>-1.3595247982378534E-2</v>
      </c>
      <c r="T144" s="13">
        <f>((((VLOOKUP(B144,Database!$F:$AY,MATCH($T$1,Database!$F$1:$AY$1,),))))-(((VLOOKUP(EDATE(B144,-12),Database!$F:$AY,MATCH($T$1,Database!$F$1:$AY$1,),)))))/(((VLOOKUP(EDATE(B144,-12),Database!$F:$AY,MATCH($T$1,Database!$F$1:$AY$1,),))))</f>
        <v>1.715682189202054E-2</v>
      </c>
      <c r="U144" s="13">
        <f>((((VLOOKUP(B144,Database!$F:$AY,MATCH($U$1,Database!$F$1:$AY$1,),))))-(((VLOOKUP(EDATE(B144,-12),Database!$F:$AY,MATCH($U$1,Database!$F$1:$AY$1,),)))))/(((VLOOKUP(EDATE(B144,-12),Database!$F:$AY,MATCH($U$1,Database!$F$1:$AY$1,),))))</f>
        <v>3.5304424093686882E-3</v>
      </c>
      <c r="V144" s="13">
        <f>((((VLOOKUP(B144,Database!$F:$AY,MATCH($V$1,Database!$F$1:$AY$1,),))))-(((VLOOKUP(EDATE(B144,-12),Database!$F:$AY,MATCH($V$1,Database!$F$1:$AY$1,),)))))/(((VLOOKUP(EDATE(B144,-12),Database!$F:$AY,MATCH($V$1,Database!$F$1:$AY$1,),))))</f>
        <v>8.3035033269330608E-2</v>
      </c>
    </row>
    <row r="145" spans="1:22" s="85" customFormat="1" x14ac:dyDescent="0.2">
      <c r="A145" s="44"/>
      <c r="B145" s="91">
        <v>36557</v>
      </c>
      <c r="C145" s="13">
        <f>((((VLOOKUP(B145,Database!$F:$AY,MATCH($C$1,Database!$F$1:$AY$1,),))))-(((VLOOKUP(EDATE(B145,-12),Database!$F:$AY,MATCH($C$1,Database!$F$1:$AY$1,),)))))/(((VLOOKUP(EDATE(B145,-12),Database!$F:$AY,MATCH($C$1,Database!$F$1:$AY$1,),))))</f>
        <v>4.557405006667542E-2</v>
      </c>
      <c r="D145" s="13">
        <f>((((VLOOKUP(B145,Database!$F:$AY,MATCH($D$1,Database!$F$1:$AY$1,),))))-(((VLOOKUP(EDATE(B145,-12),Database!$F:$AY,MATCH($D$1,Database!$F$1:$AY$1,),)))))/(((VLOOKUP(EDATE(B145,-12),Database!$F:$AY,MATCH($D$1,Database!$F$1:$AY$1,),))))</f>
        <v>5.4298640486135287E-2</v>
      </c>
      <c r="E145" s="13">
        <f>((((VLOOKUP(B145,Database!$F:$AY,MATCH($E$1,Database!$F$1:$AY$1,),))))-(((VLOOKUP(EDATE(B145,-12),Database!$F:$AY,MATCH($E$1,Database!$F$1:$AY$1,),)))))/(((VLOOKUP(EDATE(B145,-12),Database!$F:$AY,MATCH($E$1,Database!$F$1:$AY$1,),))))</f>
        <v>3.3083834394389063E-2</v>
      </c>
      <c r="F145" s="13">
        <f>((((VLOOKUP(B145,Database!$F:$AY,MATCH($F$1,Database!$F$1:$AY$1,),))))-(((VLOOKUP(EDATE(B145,-12),Database!$F:$AY,MATCH($F$1,Database!$F$1:$AY$1,),)))))/(((VLOOKUP(EDATE(B145,-12),Database!$F:$AY,MATCH($F$1,Database!$F$1:$AY$1,),))))</f>
        <v>6.2330668477115464E-2</v>
      </c>
      <c r="G145" s="13">
        <f>((((VLOOKUP(B145,Database!$F:$AY,MATCH($G$1,Database!$F$1:$AY$1,),))))-(((VLOOKUP(EDATE(B145,-12),Database!$F:$AY,MATCH($G$1,Database!$F$1:$AY$1,),)))))/(((VLOOKUP(EDATE(B145,-12),Database!$F:$AY,MATCH($G$1,Database!$F$1:$AY$1,),))))</f>
        <v>5.1742198887249957E-2</v>
      </c>
      <c r="H145" s="13">
        <f>((((VLOOKUP(B145,Database!$F:$AY,MATCH($H$1,Database!$F$1:$AY$1,),))))-(((VLOOKUP(EDATE(B145,-12),Database!$F:$AY,MATCH($H$1,Database!$F$1:$AY$1,),)))))/(((VLOOKUP(EDATE(B145,-12),Database!$F:$AY,MATCH($H$1,Database!$F$1:$AY$1,),))))</f>
        <v>3.7001746267844915E-2</v>
      </c>
      <c r="I145" s="13">
        <f>((((VLOOKUP(B145,Database!$F:$AY,MATCH($I$1,Database!$F$1:$AY$1,),))))-(((VLOOKUP(EDATE(B145,-12),Database!$F:$AY,MATCH($I$1,Database!$F$1:$AY$1,),)))))/(((VLOOKUP(EDATE(B145,-12),Database!$F:$AY,MATCH($I$1,Database!$F$1:$AY$1,),))))</f>
        <v>3.4711161840781692E-2</v>
      </c>
      <c r="J145" s="13">
        <f>((((VLOOKUP(B145,Database!$F:$AY,MATCH($J$1,Database!$F$1:$AY$1,),))))-(((VLOOKUP(EDATE(B145,-12),Database!$F:$AY,MATCH($J$1,Database!$F$1:$AY$1,),)))))/(((VLOOKUP(EDATE(B145,-12),Database!$F:$AY,MATCH($J$1,Database!$F$1:$AY$1,),))))</f>
        <v>5.5105064180332647E-2</v>
      </c>
      <c r="K145" s="13">
        <f>((((VLOOKUP(B145,Database!$F:$AY,MATCH($K$1,Database!$F$1:$AY$1,),))))-(((VLOOKUP(EDATE(B145,-12),Database!$F:$AY,MATCH($K$1,Database!$F$1:$AY$1,),)))))/(((VLOOKUP(EDATE(B145,-12),Database!$F:$AY,MATCH($K$1,Database!$F$1:$AY$1,),))))</f>
        <v>3.4659068728551089E-2</v>
      </c>
      <c r="L145" s="13">
        <f>((((VLOOKUP(B145,Database!$F:$AY,MATCH($L$1,Database!$F$1:$AY$1,),))))-(((VLOOKUP(EDATE(B145,-12),Database!$F:$AY,MATCH($L$1,Database!$F$1:$AY$1,),)))))/(((VLOOKUP(EDATE(B145,-12),Database!$F:$AY,MATCH($L$1,Database!$F$1:$AY$1,),))))</f>
        <v>4.324589742264294E-2</v>
      </c>
      <c r="M145" s="13">
        <f>((((VLOOKUP(B145,Database!$F:$AY,MATCH($M$1,Database!$F$1:$AY$1,),))))-(((VLOOKUP(EDATE(B145,-12),Database!$F:$AY,MATCH($M$1,Database!$F$1:$AY$1,),)))))/(((VLOOKUP(EDATE(B145,-12),Database!$F:$AY,MATCH($M$1,Database!$F$1:$AY$1,),))))</f>
        <v>9.9822117839232893E-2</v>
      </c>
      <c r="N145" s="13">
        <f>((((VLOOKUP(B145,Database!$F:$AY,MATCH($N$1,Database!$F$1:$AY$1,),))))-(((VLOOKUP(EDATE(B145,-12),Database!$F:$AY,MATCH($N$1,Database!$F$1:$AY$1,),)))))/(((VLOOKUP(EDATE(B145,-12),Database!$F:$AY,MATCH($N$1,Database!$F$1:$AY$1,),))))</f>
        <v>4.4302716463326189E-2</v>
      </c>
      <c r="O145" s="13">
        <f>((((VLOOKUP(B145,Database!$F:$AY,MATCH($O$1,Database!$F$1:$AY$1,),))))-(((VLOOKUP(EDATE(B145,-12),Database!$F:$AY,MATCH($O$1,Database!$F$1:$AY$1,),)))))/(((VLOOKUP(EDATE(B145,-12),Database!$F:$AY,MATCH($O$1,Database!$F$1:$AY$1,),))))</f>
        <v>6.7255922180586403E-2</v>
      </c>
      <c r="P145" s="13">
        <f>((((VLOOKUP(B145,Database!$F:$AY,MATCH($P$1,Database!$F$1:$AY$1,),))))-(((VLOOKUP(EDATE(B145,-12),Database!$F:$AY,MATCH($P$1,Database!$F$1:$AY$1,),)))))/(((VLOOKUP(EDATE(B145,-12),Database!$F:$AY,MATCH($P$1,Database!$F$1:$AY$1,),))))</f>
        <v>0.23845511041249556</v>
      </c>
      <c r="Q145" s="13">
        <f>((((VLOOKUP(B145,Database!$F:$AY,MATCH($Q$1,Database!$F$1:$AY$1,),))))-(((VLOOKUP(EDATE(B145,-12),Database!$F:$AY,MATCH($Q$1,Database!$F$1:$AY$1,),)))))/(((VLOOKUP(EDATE(B145,-12),Database!$F:$AY,MATCH($Q$1,Database!$F$1:$AY$1,),))))</f>
        <v>5.6824765274087363E-2</v>
      </c>
      <c r="R145" s="13">
        <f>((((VLOOKUP(B145,Database!$F:$AY,MATCH($R$1,Database!$F$1:$AY$1,),))))-(((VLOOKUP(EDATE(B145,-12),Database!$F:$AY,MATCH($R$1,Database!$F$1:$AY$1,),)))))/(((VLOOKUP(EDATE(B145,-12),Database!$F:$AY,MATCH($R$1,Database!$F$1:$AY$1,),))))</f>
        <v>8.6685978990943102E-2</v>
      </c>
      <c r="S145" s="13">
        <f>((((VLOOKUP(B145,Database!$F:$AY,MATCH($S$1,Database!$F$1:$AY$1,),))))-(((VLOOKUP(EDATE(B145,-12),Database!$F:$AY,MATCH($S$1,Database!$F$1:$AY$1,),)))))/(((VLOOKUP(EDATE(B145,-12),Database!$F:$AY,MATCH($S$1,Database!$F$1:$AY$1,),))))</f>
        <v>4.9839168684106191E-2</v>
      </c>
      <c r="T145" s="13">
        <f>((((VLOOKUP(B145,Database!$F:$AY,MATCH($T$1,Database!$F$1:$AY$1,),))))-(((VLOOKUP(EDATE(B145,-12),Database!$F:$AY,MATCH($T$1,Database!$F$1:$AY$1,),)))))/(((VLOOKUP(EDATE(B145,-12),Database!$F:$AY,MATCH($T$1,Database!$F$1:$AY$1,),))))</f>
        <v>4.6228664283013268E-2</v>
      </c>
      <c r="U145" s="13">
        <f>((((VLOOKUP(B145,Database!$F:$AY,MATCH($U$1,Database!$F$1:$AY$1,),))))-(((VLOOKUP(EDATE(B145,-12),Database!$F:$AY,MATCH($U$1,Database!$F$1:$AY$1,),)))))/(((VLOOKUP(EDATE(B145,-12),Database!$F:$AY,MATCH($U$1,Database!$F$1:$AY$1,),))))</f>
        <v>1.9935164758877483E-2</v>
      </c>
      <c r="V145" s="13">
        <f>((((VLOOKUP(B145,Database!$F:$AY,MATCH($V$1,Database!$F$1:$AY$1,),))))-(((VLOOKUP(EDATE(B145,-12),Database!$F:$AY,MATCH($V$1,Database!$F$1:$AY$1,),)))))/(((VLOOKUP(EDATE(B145,-12),Database!$F:$AY,MATCH($V$1,Database!$F$1:$AY$1,),))))</f>
        <v>0.11203632748912613</v>
      </c>
    </row>
    <row r="146" spans="1:22" s="85" customFormat="1" x14ac:dyDescent="0.2">
      <c r="A146" s="44"/>
      <c r="B146" s="91">
        <v>36586</v>
      </c>
      <c r="C146" s="13">
        <f>((((VLOOKUP(B146,Database!$F:$AY,MATCH($C$1,Database!$F$1:$AY$1,),))))-(((VLOOKUP(EDATE(B146,-12),Database!$F:$AY,MATCH($C$1,Database!$F$1:$AY$1,),)))))/(((VLOOKUP(EDATE(B146,-12),Database!$F:$AY,MATCH($C$1,Database!$F$1:$AY$1,),))))</f>
        <v>4.7701191813526549E-2</v>
      </c>
      <c r="D146" s="13">
        <f>((((VLOOKUP(B146,Database!$F:$AY,MATCH($D$1,Database!$F$1:$AY$1,),))))-(((VLOOKUP(EDATE(B146,-12),Database!$F:$AY,MATCH($D$1,Database!$F$1:$AY$1,),)))))/(((VLOOKUP(EDATE(B146,-12),Database!$F:$AY,MATCH($D$1,Database!$F$1:$AY$1,),))))</f>
        <v>5.7627118644067901E-2</v>
      </c>
      <c r="E146" s="13">
        <f>((((VLOOKUP(B146,Database!$F:$AY,MATCH($E$1,Database!$F$1:$AY$1,),))))-(((VLOOKUP(EDATE(B146,-12),Database!$F:$AY,MATCH($E$1,Database!$F$1:$AY$1,),)))))/(((VLOOKUP(EDATE(B146,-12),Database!$F:$AY,MATCH($E$1,Database!$F$1:$AY$1,),))))</f>
        <v>3.477426466506485E-2</v>
      </c>
      <c r="F146" s="13">
        <f>((((VLOOKUP(B146,Database!$F:$AY,MATCH($F$1,Database!$F$1:$AY$1,),))))-(((VLOOKUP(EDATE(B146,-12),Database!$F:$AY,MATCH($F$1,Database!$F$1:$AY$1,),)))))/(((VLOOKUP(EDATE(B146,-12),Database!$F:$AY,MATCH($F$1,Database!$F$1:$AY$1,),))))</f>
        <v>5.6527589579804909E-2</v>
      </c>
      <c r="G146" s="13">
        <f>((((VLOOKUP(B146,Database!$F:$AY,MATCH($G$1,Database!$F$1:$AY$1,),))))-(((VLOOKUP(EDATE(B146,-12),Database!$F:$AY,MATCH($G$1,Database!$F$1:$AY$1,),)))))/(((VLOOKUP(EDATE(B146,-12),Database!$F:$AY,MATCH($G$1,Database!$F$1:$AY$1,),))))</f>
        <v>5.9392912822797142E-2</v>
      </c>
      <c r="H146" s="13">
        <f>((((VLOOKUP(B146,Database!$F:$AY,MATCH($H$1,Database!$F$1:$AY$1,),))))-(((VLOOKUP(EDATE(B146,-12),Database!$F:$AY,MATCH($H$1,Database!$F$1:$AY$1,),)))))/(((VLOOKUP(EDATE(B146,-12),Database!$F:$AY,MATCH($H$1,Database!$F$1:$AY$1,),))))</f>
        <v>2.7026298345417948E-2</v>
      </c>
      <c r="I146" s="13">
        <f>((((VLOOKUP(B146,Database!$F:$AY,MATCH($I$1,Database!$F$1:$AY$1,),))))-(((VLOOKUP(EDATE(B146,-12),Database!$F:$AY,MATCH($I$1,Database!$F$1:$AY$1,),)))))/(((VLOOKUP(EDATE(B146,-12),Database!$F:$AY,MATCH($I$1,Database!$F$1:$AY$1,),))))</f>
        <v>4.0362501328364275E-2</v>
      </c>
      <c r="J146" s="13">
        <f>((((VLOOKUP(B146,Database!$F:$AY,MATCH($J$1,Database!$F$1:$AY$1,),))))-(((VLOOKUP(EDATE(B146,-12),Database!$F:$AY,MATCH($J$1,Database!$F$1:$AY$1,),)))))/(((VLOOKUP(EDATE(B146,-12),Database!$F:$AY,MATCH($J$1,Database!$F$1:$AY$1,),))))</f>
        <v>8.0804406342166818E-2</v>
      </c>
      <c r="K146" s="13">
        <f>((((VLOOKUP(B146,Database!$F:$AY,MATCH($K$1,Database!$F$1:$AY$1,),))))-(((VLOOKUP(EDATE(B146,-12),Database!$F:$AY,MATCH($K$1,Database!$F$1:$AY$1,),)))))/(((VLOOKUP(EDATE(B146,-12),Database!$F:$AY,MATCH($K$1,Database!$F$1:$AY$1,),))))</f>
        <v>3.1071291454514743E-2</v>
      </c>
      <c r="L146" s="13">
        <f>((((VLOOKUP(B146,Database!$F:$AY,MATCH($L$1,Database!$F$1:$AY$1,),))))-(((VLOOKUP(EDATE(B146,-12),Database!$F:$AY,MATCH($L$1,Database!$F$1:$AY$1,),)))))/(((VLOOKUP(EDATE(B146,-12),Database!$F:$AY,MATCH($L$1,Database!$F$1:$AY$1,),))))</f>
        <v>3.9200884524004283E-2</v>
      </c>
      <c r="M146" s="13">
        <f>((((VLOOKUP(B146,Database!$F:$AY,MATCH($M$1,Database!$F$1:$AY$1,),))))-(((VLOOKUP(EDATE(B146,-12),Database!$F:$AY,MATCH($M$1,Database!$F$1:$AY$1,),)))))/(((VLOOKUP(EDATE(B146,-12),Database!$F:$AY,MATCH($M$1,Database!$F$1:$AY$1,),))))</f>
        <v>7.4177141775784855E-2</v>
      </c>
      <c r="N146" s="13">
        <f>((((VLOOKUP(B146,Database!$F:$AY,MATCH($N$1,Database!$F$1:$AY$1,),))))-(((VLOOKUP(EDATE(B146,-12),Database!$F:$AY,MATCH($N$1,Database!$F$1:$AY$1,),)))))/(((VLOOKUP(EDATE(B146,-12),Database!$F:$AY,MATCH($N$1,Database!$F$1:$AY$1,),))))</f>
        <v>8.6258052355839318E-2</v>
      </c>
      <c r="O146" s="13">
        <f>((((VLOOKUP(B146,Database!$F:$AY,MATCH($O$1,Database!$F$1:$AY$1,),))))-(((VLOOKUP(EDATE(B146,-12),Database!$F:$AY,MATCH($O$1,Database!$F$1:$AY$1,),)))))/(((VLOOKUP(EDATE(B146,-12),Database!$F:$AY,MATCH($O$1,Database!$F$1:$AY$1,),))))</f>
        <v>8.3658943158894022E-2</v>
      </c>
      <c r="P146" s="13">
        <f>((((VLOOKUP(B146,Database!$F:$AY,MATCH($P$1,Database!$F$1:$AY$1,),))))-(((VLOOKUP(EDATE(B146,-12),Database!$F:$AY,MATCH($P$1,Database!$F$1:$AY$1,),)))))/(((VLOOKUP(EDATE(B146,-12),Database!$F:$AY,MATCH($P$1,Database!$F$1:$AY$1,),))))</f>
        <v>0.22375828533295233</v>
      </c>
      <c r="Q146" s="13">
        <f>((((VLOOKUP(B146,Database!$F:$AY,MATCH($Q$1,Database!$F$1:$AY$1,),))))-(((VLOOKUP(EDATE(B146,-12),Database!$F:$AY,MATCH($Q$1,Database!$F$1:$AY$1,),)))))/(((VLOOKUP(EDATE(B146,-12),Database!$F:$AY,MATCH($Q$1,Database!$F$1:$AY$1,),))))</f>
        <v>7.2681449611811971E-2</v>
      </c>
      <c r="R146" s="13">
        <f>((((VLOOKUP(B146,Database!$F:$AY,MATCH($R$1,Database!$F$1:$AY$1,),))))-(((VLOOKUP(EDATE(B146,-12),Database!$F:$AY,MATCH($R$1,Database!$F$1:$AY$1,),)))))/(((VLOOKUP(EDATE(B146,-12),Database!$F:$AY,MATCH($R$1,Database!$F$1:$AY$1,),))))</f>
        <v>0.11911218697411317</v>
      </c>
      <c r="S146" s="13">
        <f>((((VLOOKUP(B146,Database!$F:$AY,MATCH($S$1,Database!$F$1:$AY$1,),))))-(((VLOOKUP(EDATE(B146,-12),Database!$F:$AY,MATCH($S$1,Database!$F$1:$AY$1,),)))))/(((VLOOKUP(EDATE(B146,-12),Database!$F:$AY,MATCH($S$1,Database!$F$1:$AY$1,),))))</f>
        <v>0.12919466831167065</v>
      </c>
      <c r="T146" s="13">
        <f>((((VLOOKUP(B146,Database!$F:$AY,MATCH($T$1,Database!$F$1:$AY$1,),))))-(((VLOOKUP(EDATE(B146,-12),Database!$F:$AY,MATCH($T$1,Database!$F$1:$AY$1,),)))))/(((VLOOKUP(EDATE(B146,-12),Database!$F:$AY,MATCH($T$1,Database!$F$1:$AY$1,),))))</f>
        <v>4.7618253902111749E-3</v>
      </c>
      <c r="U146" s="13">
        <f>((((VLOOKUP(B146,Database!$F:$AY,MATCH($U$1,Database!$F$1:$AY$1,),))))-(((VLOOKUP(EDATE(B146,-12),Database!$F:$AY,MATCH($U$1,Database!$F$1:$AY$1,),)))))/(((VLOOKUP(EDATE(B146,-12),Database!$F:$AY,MATCH($U$1,Database!$F$1:$AY$1,),))))</f>
        <v>4.7506096343404143E-2</v>
      </c>
      <c r="V146" s="13">
        <f>((((VLOOKUP(B146,Database!$F:$AY,MATCH($V$1,Database!$F$1:$AY$1,),))))-(((VLOOKUP(EDATE(B146,-12),Database!$F:$AY,MATCH($V$1,Database!$F$1:$AY$1,),)))))/(((VLOOKUP(EDATE(B146,-12),Database!$F:$AY,MATCH($V$1,Database!$F$1:$AY$1,),))))</f>
        <v>5.6534562002707602E-2</v>
      </c>
    </row>
    <row r="147" spans="1:22" s="85" customFormat="1" x14ac:dyDescent="0.2">
      <c r="A147" s="44"/>
      <c r="B147" s="91">
        <v>36617</v>
      </c>
      <c r="C147" s="13">
        <f>((((VLOOKUP(B147,Database!$F:$AY,MATCH($C$1,Database!$F$1:$AY$1,),))))-(((VLOOKUP(EDATE(B147,-12),Database!$F:$AY,MATCH($C$1,Database!$F$1:$AY$1,),)))))/(((VLOOKUP(EDATE(B147,-12),Database!$F:$AY,MATCH($C$1,Database!$F$1:$AY$1,),))))</f>
        <v>5.2392158176766845E-2</v>
      </c>
      <c r="D147" s="13">
        <f>((((VLOOKUP(B147,Database!$F:$AY,MATCH($D$1,Database!$F$1:$AY$1,),))))-(((VLOOKUP(EDATE(B147,-12),Database!$F:$AY,MATCH($D$1,Database!$F$1:$AY$1,),)))))/(((VLOOKUP(EDATE(B147,-12),Database!$F:$AY,MATCH($D$1,Database!$F$1:$AY$1,),))))</f>
        <v>6.2850766934780908E-2</v>
      </c>
      <c r="E147" s="13">
        <f>((((VLOOKUP(B147,Database!$F:$AY,MATCH($E$1,Database!$F$1:$AY$1,),))))-(((VLOOKUP(EDATE(B147,-12),Database!$F:$AY,MATCH($E$1,Database!$F$1:$AY$1,),)))))/(((VLOOKUP(EDATE(B147,-12),Database!$F:$AY,MATCH($E$1,Database!$F$1:$AY$1,),))))</f>
        <v>6.8596266345413992E-2</v>
      </c>
      <c r="F147" s="13">
        <f>((((VLOOKUP(B147,Database!$F:$AY,MATCH($F$1,Database!$F$1:$AY$1,),))))-(((VLOOKUP(EDATE(B147,-12),Database!$F:$AY,MATCH($F$1,Database!$F$1:$AY$1,),)))))/(((VLOOKUP(EDATE(B147,-12),Database!$F:$AY,MATCH($F$1,Database!$F$1:$AY$1,),))))</f>
        <v>6.2834244082094107E-2</v>
      </c>
      <c r="G147" s="13">
        <f>((((VLOOKUP(B147,Database!$F:$AY,MATCH($G$1,Database!$F$1:$AY$1,),))))-(((VLOOKUP(EDATE(B147,-12),Database!$F:$AY,MATCH($G$1,Database!$F$1:$AY$1,),)))))/(((VLOOKUP(EDATE(B147,-12),Database!$F:$AY,MATCH($G$1,Database!$F$1:$AY$1,),))))</f>
        <v>5.688486097126786E-2</v>
      </c>
      <c r="H147" s="13">
        <f>((((VLOOKUP(B147,Database!$F:$AY,MATCH($H$1,Database!$F$1:$AY$1,),))))-(((VLOOKUP(EDATE(B147,-12),Database!$F:$AY,MATCH($H$1,Database!$F$1:$AY$1,),)))))/(((VLOOKUP(EDATE(B147,-12),Database!$F:$AY,MATCH($H$1,Database!$F$1:$AY$1,),))))</f>
        <v>3.3106874968347764E-2</v>
      </c>
      <c r="I147" s="13">
        <f>((((VLOOKUP(B147,Database!$F:$AY,MATCH($I$1,Database!$F$1:$AY$1,),))))-(((VLOOKUP(EDATE(B147,-12),Database!$F:$AY,MATCH($I$1,Database!$F$1:$AY$1,),)))))/(((VLOOKUP(EDATE(B147,-12),Database!$F:$AY,MATCH($I$1,Database!$F$1:$AY$1,),))))</f>
        <v>5.6431239106979884E-2</v>
      </c>
      <c r="J147" s="13">
        <f>((((VLOOKUP(B147,Database!$F:$AY,MATCH($J$1,Database!$F$1:$AY$1,),))))-(((VLOOKUP(EDATE(B147,-12),Database!$F:$AY,MATCH($J$1,Database!$F$1:$AY$1,),)))))/(((VLOOKUP(EDATE(B147,-12),Database!$F:$AY,MATCH($J$1,Database!$F$1:$AY$1,),))))</f>
        <v>5.0421053615605053E-2</v>
      </c>
      <c r="K147" s="13">
        <f>((((VLOOKUP(B147,Database!$F:$AY,MATCH($K$1,Database!$F$1:$AY$1,),))))-(((VLOOKUP(EDATE(B147,-12),Database!$F:$AY,MATCH($K$1,Database!$F$1:$AY$1,),)))))/(((VLOOKUP(EDATE(B147,-12),Database!$F:$AY,MATCH($K$1,Database!$F$1:$AY$1,),))))</f>
        <v>5.8460827409381334E-2</v>
      </c>
      <c r="L147" s="13">
        <f>((((VLOOKUP(B147,Database!$F:$AY,MATCH($L$1,Database!$F$1:$AY$1,),))))-(((VLOOKUP(EDATE(B147,-12),Database!$F:$AY,MATCH($L$1,Database!$F$1:$AY$1,),)))))/(((VLOOKUP(EDATE(B147,-12),Database!$F:$AY,MATCH($L$1,Database!$F$1:$AY$1,),))))</f>
        <v>3.7735356287347886E-2</v>
      </c>
      <c r="M147" s="13">
        <f>((((VLOOKUP(B147,Database!$F:$AY,MATCH($M$1,Database!$F$1:$AY$1,),))))-(((VLOOKUP(EDATE(B147,-12),Database!$F:$AY,MATCH($M$1,Database!$F$1:$AY$1,),)))))/(((VLOOKUP(EDATE(B147,-12),Database!$F:$AY,MATCH($M$1,Database!$F$1:$AY$1,),))))</f>
        <v>0.19298499614597492</v>
      </c>
      <c r="N147" s="13">
        <f>((((VLOOKUP(B147,Database!$F:$AY,MATCH($N$1,Database!$F$1:$AY$1,),))))-(((VLOOKUP(EDATE(B147,-12),Database!$F:$AY,MATCH($N$1,Database!$F$1:$AY$1,),)))))/(((VLOOKUP(EDATE(B147,-12),Database!$F:$AY,MATCH($N$1,Database!$F$1:$AY$1,),))))</f>
        <v>7.4692839402133795E-2</v>
      </c>
      <c r="O147" s="13">
        <f>((((VLOOKUP(B147,Database!$F:$AY,MATCH($O$1,Database!$F$1:$AY$1,),))))-(((VLOOKUP(EDATE(B147,-12),Database!$F:$AY,MATCH($O$1,Database!$F$1:$AY$1,),)))))/(((VLOOKUP(EDATE(B147,-12),Database!$F:$AY,MATCH($O$1,Database!$F$1:$AY$1,),))))</f>
        <v>7.4051608783417724E-2</v>
      </c>
      <c r="P147" s="13">
        <f>((((VLOOKUP(B147,Database!$F:$AY,MATCH($P$1,Database!$F$1:$AY$1,),))))-(((VLOOKUP(EDATE(B147,-12),Database!$F:$AY,MATCH($P$1,Database!$F$1:$AY$1,),)))))/(((VLOOKUP(EDATE(B147,-12),Database!$F:$AY,MATCH($P$1,Database!$F$1:$AY$1,),))))</f>
        <v>0.22750513034573791</v>
      </c>
      <c r="Q147" s="13">
        <f>((((VLOOKUP(B147,Database!$F:$AY,MATCH($Q$1,Database!$F$1:$AY$1,),))))-(((VLOOKUP(EDATE(B147,-12),Database!$F:$AY,MATCH($Q$1,Database!$F$1:$AY$1,),)))))/(((VLOOKUP(EDATE(B147,-12),Database!$F:$AY,MATCH($Q$1,Database!$F$1:$AY$1,),))))</f>
        <v>6.4232705377037666E-2</v>
      </c>
      <c r="R147" s="13">
        <f>((((VLOOKUP(B147,Database!$F:$AY,MATCH($R$1,Database!$F$1:$AY$1,),))))-(((VLOOKUP(EDATE(B147,-12),Database!$F:$AY,MATCH($R$1,Database!$F$1:$AY$1,),)))))/(((VLOOKUP(EDATE(B147,-12),Database!$F:$AY,MATCH($R$1,Database!$F$1:$AY$1,),))))</f>
        <v>0.12028810231306819</v>
      </c>
      <c r="S147" s="13">
        <f>((((VLOOKUP(B147,Database!$F:$AY,MATCH($S$1,Database!$F$1:$AY$1,),))))-(((VLOOKUP(EDATE(B147,-12),Database!$F:$AY,MATCH($S$1,Database!$F$1:$AY$1,),)))))/(((VLOOKUP(EDATE(B147,-12),Database!$F:$AY,MATCH($S$1,Database!$F$1:$AY$1,),))))</f>
        <v>0.1882159689347522</v>
      </c>
      <c r="T147" s="13">
        <f>((((VLOOKUP(B147,Database!$F:$AY,MATCH($T$1,Database!$F$1:$AY$1,),))))-(((VLOOKUP(EDATE(B147,-12),Database!$F:$AY,MATCH($T$1,Database!$F$1:$AY$1,),)))))/(((VLOOKUP(EDATE(B147,-12),Database!$F:$AY,MATCH($T$1,Database!$F$1:$AY$1,),))))</f>
        <v>4.5893679545759361E-2</v>
      </c>
      <c r="U147" s="13">
        <f>((((VLOOKUP(B147,Database!$F:$AY,MATCH($U$1,Database!$F$1:$AY$1,),))))-(((VLOOKUP(EDATE(B147,-12),Database!$F:$AY,MATCH($U$1,Database!$F$1:$AY$1,),)))))/(((VLOOKUP(EDATE(B147,-12),Database!$F:$AY,MATCH($U$1,Database!$F$1:$AY$1,),))))</f>
        <v>1.940134485656651E-2</v>
      </c>
      <c r="V147" s="13">
        <f>((((VLOOKUP(B147,Database!$F:$AY,MATCH($V$1,Database!$F$1:$AY$1,),))))-(((VLOOKUP(EDATE(B147,-12),Database!$F:$AY,MATCH($V$1,Database!$F$1:$AY$1,),)))))/(((VLOOKUP(EDATE(B147,-12),Database!$F:$AY,MATCH($V$1,Database!$F$1:$AY$1,),))))</f>
        <v>8.5961259028213041E-2</v>
      </c>
    </row>
    <row r="148" spans="1:22" s="85" customFormat="1" x14ac:dyDescent="0.2">
      <c r="A148" s="44"/>
      <c r="B148" s="91">
        <v>36647</v>
      </c>
      <c r="C148" s="13">
        <f>((((VLOOKUP(B148,Database!$F:$AY,MATCH($C$1,Database!$F$1:$AY$1,),))))-(((VLOOKUP(EDATE(B148,-12),Database!$F:$AY,MATCH($C$1,Database!$F$1:$AY$1,),)))))/(((VLOOKUP(EDATE(B148,-12),Database!$F:$AY,MATCH($C$1,Database!$F$1:$AY$1,),))))</f>
        <v>4.6977547416948234E-2</v>
      </c>
      <c r="D148" s="13">
        <f>((((VLOOKUP(B148,Database!$F:$AY,MATCH($D$1,Database!$F$1:$AY$1,),))))-(((VLOOKUP(EDATE(B148,-12),Database!$F:$AY,MATCH($D$1,Database!$F$1:$AY$1,),)))))/(((VLOOKUP(EDATE(B148,-12),Database!$F:$AY,MATCH($D$1,Database!$F$1:$AY$1,),))))</f>
        <v>7.6233224081189252E-2</v>
      </c>
      <c r="E148" s="13">
        <f>((((VLOOKUP(B148,Database!$F:$AY,MATCH($E$1,Database!$F$1:$AY$1,),))))-(((VLOOKUP(EDATE(B148,-12),Database!$F:$AY,MATCH($E$1,Database!$F$1:$AY$1,),)))))/(((VLOOKUP(EDATE(B148,-12),Database!$F:$AY,MATCH($E$1,Database!$F$1:$AY$1,),))))</f>
        <v>4.5359417065500722E-2</v>
      </c>
      <c r="F148" s="13">
        <f>((((VLOOKUP(B148,Database!$F:$AY,MATCH($F$1,Database!$F$1:$AY$1,),))))-(((VLOOKUP(EDATE(B148,-12),Database!$F:$AY,MATCH($F$1,Database!$F$1:$AY$1,),)))))/(((VLOOKUP(EDATE(B148,-12),Database!$F:$AY,MATCH($F$1,Database!$F$1:$AY$1,),))))</f>
        <v>8.1009412205958295E-2</v>
      </c>
      <c r="G148" s="13">
        <f>((((VLOOKUP(B148,Database!$F:$AY,MATCH($G$1,Database!$F$1:$AY$1,),))))-(((VLOOKUP(EDATE(B148,-12),Database!$F:$AY,MATCH($G$1,Database!$F$1:$AY$1,),)))))/(((VLOOKUP(EDATE(B148,-12),Database!$F:$AY,MATCH($G$1,Database!$F$1:$AY$1,),))))</f>
        <v>6.5829543951838335E-2</v>
      </c>
      <c r="H148" s="13">
        <f>((((VLOOKUP(B148,Database!$F:$AY,MATCH($H$1,Database!$F$1:$AY$1,),))))-(((VLOOKUP(EDATE(B148,-12),Database!$F:$AY,MATCH($H$1,Database!$F$1:$AY$1,),)))))/(((VLOOKUP(EDATE(B148,-12),Database!$F:$AY,MATCH($H$1,Database!$F$1:$AY$1,),))))</f>
        <v>2.705336038266113E-2</v>
      </c>
      <c r="I148" s="13">
        <f>((((VLOOKUP(B148,Database!$F:$AY,MATCH($I$1,Database!$F$1:$AY$1,),))))-(((VLOOKUP(EDATE(B148,-12),Database!$F:$AY,MATCH($I$1,Database!$F$1:$AY$1,),)))))/(((VLOOKUP(EDATE(B148,-12),Database!$F:$AY,MATCH($I$1,Database!$F$1:$AY$1,),))))</f>
        <v>7.0234133288736483E-2</v>
      </c>
      <c r="J148" s="13">
        <f>((((VLOOKUP(B148,Database!$F:$AY,MATCH($J$1,Database!$F$1:$AY$1,),))))-(((VLOOKUP(EDATE(B148,-12),Database!$F:$AY,MATCH($J$1,Database!$F$1:$AY$1,),)))))/(((VLOOKUP(EDATE(B148,-12),Database!$F:$AY,MATCH($J$1,Database!$F$1:$AY$1,),))))</f>
        <v>6.8082972753976304E-2</v>
      </c>
      <c r="K148" s="13">
        <f>((((VLOOKUP(B148,Database!$F:$AY,MATCH($K$1,Database!$F$1:$AY$1,),))))-(((VLOOKUP(EDATE(B148,-12),Database!$F:$AY,MATCH($K$1,Database!$F$1:$AY$1,),)))))/(((VLOOKUP(EDATE(B148,-12),Database!$F:$AY,MATCH($K$1,Database!$F$1:$AY$1,),))))</f>
        <v>6.7200970182700187E-2</v>
      </c>
      <c r="L148" s="13">
        <f>((((VLOOKUP(B148,Database!$F:$AY,MATCH($L$1,Database!$F$1:$AY$1,),))))-(((VLOOKUP(EDATE(B148,-12),Database!$F:$AY,MATCH($L$1,Database!$F$1:$AY$1,),)))))/(((VLOOKUP(EDATE(B148,-12),Database!$F:$AY,MATCH($L$1,Database!$F$1:$AY$1,),))))</f>
        <v>5.1527745240226394E-2</v>
      </c>
      <c r="M148" s="13">
        <f>((((VLOOKUP(B148,Database!$F:$AY,MATCH($M$1,Database!$F$1:$AY$1,),))))-(((VLOOKUP(EDATE(B148,-12),Database!$F:$AY,MATCH($M$1,Database!$F$1:$AY$1,),)))))/(((VLOOKUP(EDATE(B148,-12),Database!$F:$AY,MATCH($M$1,Database!$F$1:$AY$1,),))))</f>
        <v>9.6118524047741502E-2</v>
      </c>
      <c r="N148" s="13">
        <f>((((VLOOKUP(B148,Database!$F:$AY,MATCH($N$1,Database!$F$1:$AY$1,),))))-(((VLOOKUP(EDATE(B148,-12),Database!$F:$AY,MATCH($N$1,Database!$F$1:$AY$1,),)))))/(((VLOOKUP(EDATE(B148,-12),Database!$F:$AY,MATCH($N$1,Database!$F$1:$AY$1,),))))</f>
        <v>5.5565275176349745E-2</v>
      </c>
      <c r="O148" s="13">
        <f>((((VLOOKUP(B148,Database!$F:$AY,MATCH($O$1,Database!$F$1:$AY$1,),))))-(((VLOOKUP(EDATE(B148,-12),Database!$F:$AY,MATCH($O$1,Database!$F$1:$AY$1,),)))))/(((VLOOKUP(EDATE(B148,-12),Database!$F:$AY,MATCH($O$1,Database!$F$1:$AY$1,),))))</f>
        <v>9.2404904784815153E-2</v>
      </c>
      <c r="P148" s="13">
        <f>((((VLOOKUP(B148,Database!$F:$AY,MATCH($P$1,Database!$F$1:$AY$1,),))))-(((VLOOKUP(EDATE(B148,-12),Database!$F:$AY,MATCH($P$1,Database!$F$1:$AY$1,),)))))/(((VLOOKUP(EDATE(B148,-12),Database!$F:$AY,MATCH($P$1,Database!$F$1:$AY$1,),))))</f>
        <v>0.2126479165559797</v>
      </c>
      <c r="Q148" s="13">
        <f>((((VLOOKUP(B148,Database!$F:$AY,MATCH($Q$1,Database!$F$1:$AY$1,),))))-(((VLOOKUP(EDATE(B148,-12),Database!$F:$AY,MATCH($Q$1,Database!$F$1:$AY$1,),)))))/(((VLOOKUP(EDATE(B148,-12),Database!$F:$AY,MATCH($Q$1,Database!$F$1:$AY$1,),))))</f>
        <v>4.2279978232220156E-2</v>
      </c>
      <c r="R148" s="13">
        <f>((((VLOOKUP(B148,Database!$F:$AY,MATCH($R$1,Database!$F$1:$AY$1,),))))-(((VLOOKUP(EDATE(B148,-12),Database!$F:$AY,MATCH($R$1,Database!$F$1:$AY$1,),)))))/(((VLOOKUP(EDATE(B148,-12),Database!$F:$AY,MATCH($R$1,Database!$F$1:$AY$1,),))))</f>
        <v>6.4684412461060839E-2</v>
      </c>
      <c r="S148" s="13">
        <f>((((VLOOKUP(B148,Database!$F:$AY,MATCH($S$1,Database!$F$1:$AY$1,),))))-(((VLOOKUP(EDATE(B148,-12),Database!$F:$AY,MATCH($S$1,Database!$F$1:$AY$1,),)))))/(((VLOOKUP(EDATE(B148,-12),Database!$F:$AY,MATCH($S$1,Database!$F$1:$AY$1,),))))</f>
        <v>0.1844660352852984</v>
      </c>
      <c r="T148" s="13">
        <f>((((VLOOKUP(B148,Database!$F:$AY,MATCH($T$1,Database!$F$1:$AY$1,),))))-(((VLOOKUP(EDATE(B148,-12),Database!$F:$AY,MATCH($T$1,Database!$F$1:$AY$1,),)))))/(((VLOOKUP(EDATE(B148,-12),Database!$F:$AY,MATCH($T$1,Database!$F$1:$AY$1,),))))</f>
        <v>2.5700975525295013E-2</v>
      </c>
      <c r="U148" s="13">
        <f>((((VLOOKUP(B148,Database!$F:$AY,MATCH($U$1,Database!$F$1:$AY$1,),))))-(((VLOOKUP(EDATE(B148,-12),Database!$F:$AY,MATCH($U$1,Database!$F$1:$AY$1,),)))))/(((VLOOKUP(EDATE(B148,-12),Database!$F:$AY,MATCH($U$1,Database!$F$1:$AY$1,),))))</f>
        <v>-1.4140316575223196E-3</v>
      </c>
      <c r="V148" s="13">
        <f>((((VLOOKUP(B148,Database!$F:$AY,MATCH($V$1,Database!$F$1:$AY$1,),))))-(((VLOOKUP(EDATE(B148,-12),Database!$F:$AY,MATCH($V$1,Database!$F$1:$AY$1,),)))))/(((VLOOKUP(EDATE(B148,-12),Database!$F:$AY,MATCH($V$1,Database!$F$1:$AY$1,),))))</f>
        <v>6.9485046299325018E-2</v>
      </c>
    </row>
    <row r="149" spans="1:22" s="85" customFormat="1" x14ac:dyDescent="0.2">
      <c r="A149" s="44"/>
      <c r="B149" s="91">
        <v>36678</v>
      </c>
      <c r="C149" s="13">
        <f>((((VLOOKUP(B149,Database!$F:$AY,MATCH($C$1,Database!$F$1:$AY$1,),))))-(((VLOOKUP(EDATE(B149,-12),Database!$F:$AY,MATCH($C$1,Database!$F$1:$AY$1,),)))))/(((VLOOKUP(EDATE(B149,-12),Database!$F:$AY,MATCH($C$1,Database!$F$1:$AY$1,),))))</f>
        <v>4.9736129488963561E-2</v>
      </c>
      <c r="D149" s="13">
        <f>((((VLOOKUP(B149,Database!$F:$AY,MATCH($D$1,Database!$F$1:$AY$1,),))))-(((VLOOKUP(EDATE(B149,-12),Database!$F:$AY,MATCH($D$1,Database!$F$1:$AY$1,),)))))/(((VLOOKUP(EDATE(B149,-12),Database!$F:$AY,MATCH($D$1,Database!$F$1:$AY$1,),))))</f>
        <v>5.2280346602804305E-2</v>
      </c>
      <c r="E149" s="13">
        <f>((((VLOOKUP(B149,Database!$F:$AY,MATCH($E$1,Database!$F$1:$AY$1,),))))-(((VLOOKUP(EDATE(B149,-12),Database!$F:$AY,MATCH($E$1,Database!$F$1:$AY$1,),)))))/(((VLOOKUP(EDATE(B149,-12),Database!$F:$AY,MATCH($E$1,Database!$F$1:$AY$1,),))))</f>
        <v>6.6950718193160397E-2</v>
      </c>
      <c r="F149" s="13">
        <f>((((VLOOKUP(B149,Database!$F:$AY,MATCH($F$1,Database!$F$1:$AY$1,),))))-(((VLOOKUP(EDATE(B149,-12),Database!$F:$AY,MATCH($F$1,Database!$F$1:$AY$1,),)))))/(((VLOOKUP(EDATE(B149,-12),Database!$F:$AY,MATCH($F$1,Database!$F$1:$AY$1,),))))</f>
        <v>5.7105028148429909E-2</v>
      </c>
      <c r="G149" s="13">
        <f>((((VLOOKUP(B149,Database!$F:$AY,MATCH($G$1,Database!$F$1:$AY$1,),))))-(((VLOOKUP(EDATE(B149,-12),Database!$F:$AY,MATCH($G$1,Database!$F$1:$AY$1,),)))))/(((VLOOKUP(EDATE(B149,-12),Database!$F:$AY,MATCH($G$1,Database!$F$1:$AY$1,),))))</f>
        <v>3.7607980127752905E-2</v>
      </c>
      <c r="H149" s="13">
        <f>((((VLOOKUP(B149,Database!$F:$AY,MATCH($H$1,Database!$F$1:$AY$1,),))))-(((VLOOKUP(EDATE(B149,-12),Database!$F:$AY,MATCH($H$1,Database!$F$1:$AY$1,),)))))/(((VLOOKUP(EDATE(B149,-12),Database!$F:$AY,MATCH($H$1,Database!$F$1:$AY$1,),))))</f>
        <v>2.5912142925808498E-2</v>
      </c>
      <c r="I149" s="13">
        <f>((((VLOOKUP(B149,Database!$F:$AY,MATCH($I$1,Database!$F$1:$AY$1,),))))-(((VLOOKUP(EDATE(B149,-12),Database!$F:$AY,MATCH($I$1,Database!$F$1:$AY$1,),)))))/(((VLOOKUP(EDATE(B149,-12),Database!$F:$AY,MATCH($I$1,Database!$F$1:$AY$1,),))))</f>
        <v>5.1852046960282248E-2</v>
      </c>
      <c r="J149" s="13">
        <f>((((VLOOKUP(B149,Database!$F:$AY,MATCH($J$1,Database!$F$1:$AY$1,),))))-(((VLOOKUP(EDATE(B149,-12),Database!$F:$AY,MATCH($J$1,Database!$F$1:$AY$1,),)))))/(((VLOOKUP(EDATE(B149,-12),Database!$F:$AY,MATCH($J$1,Database!$F$1:$AY$1,),))))</f>
        <v>4.6898252728814316E-2</v>
      </c>
      <c r="K149" s="13">
        <f>((((VLOOKUP(B149,Database!$F:$AY,MATCH($K$1,Database!$F$1:$AY$1,),))))-(((VLOOKUP(EDATE(B149,-12),Database!$F:$AY,MATCH($K$1,Database!$F$1:$AY$1,),)))))/(((VLOOKUP(EDATE(B149,-12),Database!$F:$AY,MATCH($K$1,Database!$F$1:$AY$1,),))))</f>
        <v>9.3004852857630882E-2</v>
      </c>
      <c r="L149" s="13">
        <f>((((VLOOKUP(B149,Database!$F:$AY,MATCH($L$1,Database!$F$1:$AY$1,),))))-(((VLOOKUP(EDATE(B149,-12),Database!$F:$AY,MATCH($L$1,Database!$F$1:$AY$1,),)))))/(((VLOOKUP(EDATE(B149,-12),Database!$F:$AY,MATCH($L$1,Database!$F$1:$AY$1,),))))</f>
        <v>5.7658326868183396E-2</v>
      </c>
      <c r="M149" s="13">
        <f>((((VLOOKUP(B149,Database!$F:$AY,MATCH($M$1,Database!$F$1:$AY$1,),))))-(((VLOOKUP(EDATE(B149,-12),Database!$F:$AY,MATCH($M$1,Database!$F$1:$AY$1,),)))))/(((VLOOKUP(EDATE(B149,-12),Database!$F:$AY,MATCH($M$1,Database!$F$1:$AY$1,),))))</f>
        <v>0.11723528056944903</v>
      </c>
      <c r="N149" s="13">
        <f>((((VLOOKUP(B149,Database!$F:$AY,MATCH($N$1,Database!$F$1:$AY$1,),))))-(((VLOOKUP(EDATE(B149,-12),Database!$F:$AY,MATCH($N$1,Database!$F$1:$AY$1,),)))))/(((VLOOKUP(EDATE(B149,-12),Database!$F:$AY,MATCH($N$1,Database!$F$1:$AY$1,),))))</f>
        <v>5.9158371063150673E-2</v>
      </c>
      <c r="O149" s="13">
        <f>((((VLOOKUP(B149,Database!$F:$AY,MATCH($O$1,Database!$F$1:$AY$1,),))))-(((VLOOKUP(EDATE(B149,-12),Database!$F:$AY,MATCH($O$1,Database!$F$1:$AY$1,),)))))/(((VLOOKUP(EDATE(B149,-12),Database!$F:$AY,MATCH($O$1,Database!$F$1:$AY$1,),))))</f>
        <v>8.1254701085845676E-2</v>
      </c>
      <c r="P149" s="13">
        <f>((((VLOOKUP(B149,Database!$F:$AY,MATCH($P$1,Database!$F$1:$AY$1,),))))-(((VLOOKUP(EDATE(B149,-12),Database!$F:$AY,MATCH($P$1,Database!$F$1:$AY$1,),)))))/(((VLOOKUP(EDATE(B149,-12),Database!$F:$AY,MATCH($P$1,Database!$F$1:$AY$1,),))))</f>
        <v>0.19476181207962709</v>
      </c>
      <c r="Q149" s="13">
        <f>((((VLOOKUP(B149,Database!$F:$AY,MATCH($Q$1,Database!$F$1:$AY$1,),))))-(((VLOOKUP(EDATE(B149,-12),Database!$F:$AY,MATCH($Q$1,Database!$F$1:$AY$1,),)))))/(((VLOOKUP(EDATE(B149,-12),Database!$F:$AY,MATCH($Q$1,Database!$F$1:$AY$1,),))))</f>
        <v>7.5353827629343159E-2</v>
      </c>
      <c r="R149" s="13">
        <f>((((VLOOKUP(B149,Database!$F:$AY,MATCH($R$1,Database!$F$1:$AY$1,),))))-(((VLOOKUP(EDATE(B149,-12),Database!$F:$AY,MATCH($R$1,Database!$F$1:$AY$1,),)))))/(((VLOOKUP(EDATE(B149,-12),Database!$F:$AY,MATCH($R$1,Database!$F$1:$AY$1,),))))</f>
        <v>7.8656335502264585E-2</v>
      </c>
      <c r="S149" s="13">
        <f>((((VLOOKUP(B149,Database!$F:$AY,MATCH($S$1,Database!$F$1:$AY$1,),))))-(((VLOOKUP(EDATE(B149,-12),Database!$F:$AY,MATCH($S$1,Database!$F$1:$AY$1,),)))))/(((VLOOKUP(EDATE(B149,-12),Database!$F:$AY,MATCH($S$1,Database!$F$1:$AY$1,),))))</f>
        <v>0.16930384298616946</v>
      </c>
      <c r="T149" s="13">
        <f>((((VLOOKUP(B149,Database!$F:$AY,MATCH($T$1,Database!$F$1:$AY$1,),))))-(((VLOOKUP(EDATE(B149,-12),Database!$F:$AY,MATCH($T$1,Database!$F$1:$AY$1,),)))))/(((VLOOKUP(EDATE(B149,-12),Database!$F:$AY,MATCH($T$1,Database!$F$1:$AY$1,),))))</f>
        <v>3.971966820596954E-2</v>
      </c>
      <c r="U149" s="13">
        <f>((((VLOOKUP(B149,Database!$F:$AY,MATCH($U$1,Database!$F$1:$AY$1,),))))-(((VLOOKUP(EDATE(B149,-12),Database!$F:$AY,MATCH($U$1,Database!$F$1:$AY$1,),)))))/(((VLOOKUP(EDATE(B149,-12),Database!$F:$AY,MATCH($U$1,Database!$F$1:$AY$1,),))))</f>
        <v>3.3527628456191817E-2</v>
      </c>
      <c r="V149" s="13">
        <f>((((VLOOKUP(B149,Database!$F:$AY,MATCH($V$1,Database!$F$1:$AY$1,),))))-(((VLOOKUP(EDATE(B149,-12),Database!$F:$AY,MATCH($V$1,Database!$F$1:$AY$1,),)))))/(((VLOOKUP(EDATE(B149,-12),Database!$F:$AY,MATCH($V$1,Database!$F$1:$AY$1,),))))</f>
        <v>0.11333107265273852</v>
      </c>
    </row>
    <row r="150" spans="1:22" s="85" customFormat="1" x14ac:dyDescent="0.2">
      <c r="A150" s="44"/>
      <c r="B150" s="91">
        <v>36708</v>
      </c>
      <c r="C150" s="13">
        <f>((((VLOOKUP(B150,Database!$F:$AY,MATCH($C$1,Database!$F$1:$AY$1,),))))-(((VLOOKUP(EDATE(B150,-12),Database!$F:$AY,MATCH($C$1,Database!$F$1:$AY$1,),)))))/(((VLOOKUP(EDATE(B150,-12),Database!$F:$AY,MATCH($C$1,Database!$F$1:$AY$1,),))))</f>
        <v>4.1557395552923787E-2</v>
      </c>
      <c r="D150" s="13">
        <f>((((VLOOKUP(B150,Database!$F:$AY,MATCH($D$1,Database!$F$1:$AY$1,),))))-(((VLOOKUP(EDATE(B150,-12),Database!$F:$AY,MATCH($D$1,Database!$F$1:$AY$1,),)))))/(((VLOOKUP(EDATE(B150,-12),Database!$F:$AY,MATCH($D$1,Database!$F$1:$AY$1,),))))</f>
        <v>5.739510668996705E-2</v>
      </c>
      <c r="E150" s="13">
        <f>((((VLOOKUP(B150,Database!$F:$AY,MATCH($E$1,Database!$F$1:$AY$1,),))))-(((VLOOKUP(EDATE(B150,-12),Database!$F:$AY,MATCH($E$1,Database!$F$1:$AY$1,),)))))/(((VLOOKUP(EDATE(B150,-12),Database!$F:$AY,MATCH($E$1,Database!$F$1:$AY$1,),))))</f>
        <v>5.9197317430437255E-2</v>
      </c>
      <c r="F150" s="13">
        <f>((((VLOOKUP(B150,Database!$F:$AY,MATCH($F$1,Database!$F$1:$AY$1,),))))-(((VLOOKUP(EDATE(B150,-12),Database!$F:$AY,MATCH($F$1,Database!$F$1:$AY$1,),)))))/(((VLOOKUP(EDATE(B150,-12),Database!$F:$AY,MATCH($F$1,Database!$F$1:$AY$1,),))))</f>
        <v>6.5876104571553185E-2</v>
      </c>
      <c r="G150" s="13">
        <f>((((VLOOKUP(B150,Database!$F:$AY,MATCH($G$1,Database!$F$1:$AY$1,),))))-(((VLOOKUP(EDATE(B150,-12),Database!$F:$AY,MATCH($G$1,Database!$F$1:$AY$1,),)))))/(((VLOOKUP(EDATE(B150,-12),Database!$F:$AY,MATCH($G$1,Database!$F$1:$AY$1,),))))</f>
        <v>4.7397011233756503E-2</v>
      </c>
      <c r="H150" s="13">
        <f>((((VLOOKUP(B150,Database!$F:$AY,MATCH($H$1,Database!$F$1:$AY$1,),))))-(((VLOOKUP(EDATE(B150,-12),Database!$F:$AY,MATCH($H$1,Database!$F$1:$AY$1,),)))))/(((VLOOKUP(EDATE(B150,-12),Database!$F:$AY,MATCH($H$1,Database!$F$1:$AY$1,),))))</f>
        <v>1.1472365126735667E-2</v>
      </c>
      <c r="I150" s="13">
        <f>((((VLOOKUP(B150,Database!$F:$AY,MATCH($I$1,Database!$F$1:$AY$1,),))))-(((VLOOKUP(EDATE(B150,-12),Database!$F:$AY,MATCH($I$1,Database!$F$1:$AY$1,),)))))/(((VLOOKUP(EDATE(B150,-12),Database!$F:$AY,MATCH($I$1,Database!$F$1:$AY$1,),))))</f>
        <v>3.5947440064449873E-2</v>
      </c>
      <c r="J150" s="13">
        <f>((((VLOOKUP(B150,Database!$F:$AY,MATCH($J$1,Database!$F$1:$AY$1,),))))-(((VLOOKUP(EDATE(B150,-12),Database!$F:$AY,MATCH($J$1,Database!$F$1:$AY$1,),)))))/(((VLOOKUP(EDATE(B150,-12),Database!$F:$AY,MATCH($J$1,Database!$F$1:$AY$1,),))))</f>
        <v>3.6391307714274616E-2</v>
      </c>
      <c r="K150" s="13">
        <f>((((VLOOKUP(B150,Database!$F:$AY,MATCH($K$1,Database!$F$1:$AY$1,),))))-(((VLOOKUP(EDATE(B150,-12),Database!$F:$AY,MATCH($K$1,Database!$F$1:$AY$1,),)))))/(((VLOOKUP(EDATE(B150,-12),Database!$F:$AY,MATCH($K$1,Database!$F$1:$AY$1,),))))</f>
        <v>5.756177186740468E-2</v>
      </c>
      <c r="L150" s="13">
        <f>((((VLOOKUP(B150,Database!$F:$AY,MATCH($L$1,Database!$F$1:$AY$1,),))))-(((VLOOKUP(EDATE(B150,-12),Database!$F:$AY,MATCH($L$1,Database!$F$1:$AY$1,),)))))/(((VLOOKUP(EDATE(B150,-12),Database!$F:$AY,MATCH($L$1,Database!$F$1:$AY$1,),))))</f>
        <v>3.8131225844526155E-2</v>
      </c>
      <c r="M150" s="13">
        <f>((((VLOOKUP(B150,Database!$F:$AY,MATCH($M$1,Database!$F$1:$AY$1,),))))-(((VLOOKUP(EDATE(B150,-12),Database!$F:$AY,MATCH($M$1,Database!$F$1:$AY$1,),)))))/(((VLOOKUP(EDATE(B150,-12),Database!$F:$AY,MATCH($M$1,Database!$F$1:$AY$1,),))))</f>
        <v>8.7741639393426413E-2</v>
      </c>
      <c r="N150" s="13">
        <f>((((VLOOKUP(B150,Database!$F:$AY,MATCH($N$1,Database!$F$1:$AY$1,),))))-(((VLOOKUP(EDATE(B150,-12),Database!$F:$AY,MATCH($N$1,Database!$F$1:$AY$1,),)))))/(((VLOOKUP(EDATE(B150,-12),Database!$F:$AY,MATCH($N$1,Database!$F$1:$AY$1,),))))</f>
        <v>5.0817749563399524E-2</v>
      </c>
      <c r="O150" s="13">
        <f>((((VLOOKUP(B150,Database!$F:$AY,MATCH($O$1,Database!$F$1:$AY$1,),))))-(((VLOOKUP(EDATE(B150,-12),Database!$F:$AY,MATCH($O$1,Database!$F$1:$AY$1,),)))))/(((VLOOKUP(EDATE(B150,-12),Database!$F:$AY,MATCH($O$1,Database!$F$1:$AY$1,),))))</f>
        <v>7.5195162268351198E-2</v>
      </c>
      <c r="P150" s="13">
        <f>((((VLOOKUP(B150,Database!$F:$AY,MATCH($P$1,Database!$F$1:$AY$1,),))))-(((VLOOKUP(EDATE(B150,-12),Database!$F:$AY,MATCH($P$1,Database!$F$1:$AY$1,),)))))/(((VLOOKUP(EDATE(B150,-12),Database!$F:$AY,MATCH($P$1,Database!$F$1:$AY$1,),))))</f>
        <v>0.19823484330126556</v>
      </c>
      <c r="Q150" s="13">
        <f>((((VLOOKUP(B150,Database!$F:$AY,MATCH($Q$1,Database!$F$1:$AY$1,),))))-(((VLOOKUP(EDATE(B150,-12),Database!$F:$AY,MATCH($Q$1,Database!$F$1:$AY$1,),)))))/(((VLOOKUP(EDATE(B150,-12),Database!$F:$AY,MATCH($Q$1,Database!$F$1:$AY$1,),))))</f>
        <v>9.6624905773733075E-2</v>
      </c>
      <c r="R150" s="13">
        <f>((((VLOOKUP(B150,Database!$F:$AY,MATCH($R$1,Database!$F$1:$AY$1,),))))-(((VLOOKUP(EDATE(B150,-12),Database!$F:$AY,MATCH($R$1,Database!$F$1:$AY$1,),)))))/(((VLOOKUP(EDATE(B150,-12),Database!$F:$AY,MATCH($R$1,Database!$F$1:$AY$1,),))))</f>
        <v>3.8492190996810623E-2</v>
      </c>
      <c r="S150" s="13">
        <f>((((VLOOKUP(B150,Database!$F:$AY,MATCH($S$1,Database!$F$1:$AY$1,),))))-(((VLOOKUP(EDATE(B150,-12),Database!$F:$AY,MATCH($S$1,Database!$F$1:$AY$1,),)))))/(((VLOOKUP(EDATE(B150,-12),Database!$F:$AY,MATCH($S$1,Database!$F$1:$AY$1,),))))</f>
        <v>0.15327364550036587</v>
      </c>
      <c r="T150" s="13">
        <f>((((VLOOKUP(B150,Database!$F:$AY,MATCH($T$1,Database!$F$1:$AY$1,),))))-(((VLOOKUP(EDATE(B150,-12),Database!$F:$AY,MATCH($T$1,Database!$F$1:$AY$1,),)))))/(((VLOOKUP(EDATE(B150,-12),Database!$F:$AY,MATCH($T$1,Database!$F$1:$AY$1,),))))</f>
        <v>6.1757642976884658E-2</v>
      </c>
      <c r="U150" s="13">
        <f>((((VLOOKUP(B150,Database!$F:$AY,MATCH($U$1,Database!$F$1:$AY$1,),))))-(((VLOOKUP(EDATE(B150,-12),Database!$F:$AY,MATCH($U$1,Database!$F$1:$AY$1,),)))))/(((VLOOKUP(EDATE(B150,-12),Database!$F:$AY,MATCH($U$1,Database!$F$1:$AY$1,),))))</f>
        <v>4.7371811170438274E-2</v>
      </c>
      <c r="V150" s="13">
        <f>((((VLOOKUP(B150,Database!$F:$AY,MATCH($V$1,Database!$F$1:$AY$1,),))))-(((VLOOKUP(EDATE(B150,-12),Database!$F:$AY,MATCH($V$1,Database!$F$1:$AY$1,),)))))/(((VLOOKUP(EDATE(B150,-12),Database!$F:$AY,MATCH($V$1,Database!$F$1:$AY$1,),))))</f>
        <v>7.7143379550930882E-2</v>
      </c>
    </row>
    <row r="151" spans="1:22" s="85" customFormat="1" x14ac:dyDescent="0.2">
      <c r="A151" s="44"/>
      <c r="B151" s="91">
        <v>36739</v>
      </c>
      <c r="C151" s="13">
        <f>((((VLOOKUP(B151,Database!$F:$AY,MATCH($C$1,Database!$F$1:$AY$1,),))))-(((VLOOKUP(EDATE(B151,-12),Database!$F:$AY,MATCH($C$1,Database!$F$1:$AY$1,),)))))/(((VLOOKUP(EDATE(B151,-12),Database!$F:$AY,MATCH($C$1,Database!$F$1:$AY$1,),))))</f>
        <v>3.416013966936414E-2</v>
      </c>
      <c r="D151" s="13">
        <f>((((VLOOKUP(B151,Database!$F:$AY,MATCH($D$1,Database!$F$1:$AY$1,),))))-(((VLOOKUP(EDATE(B151,-12),Database!$F:$AY,MATCH($D$1,Database!$F$1:$AY$1,),)))))/(((VLOOKUP(EDATE(B151,-12),Database!$F:$AY,MATCH($D$1,Database!$F$1:$AY$1,),))))</f>
        <v>5.9668506089191484E-2</v>
      </c>
      <c r="E151" s="13">
        <f>((((VLOOKUP(B151,Database!$F:$AY,MATCH($E$1,Database!$F$1:$AY$1,),))))-(((VLOOKUP(EDATE(B151,-12),Database!$F:$AY,MATCH($E$1,Database!$F$1:$AY$1,),)))))/(((VLOOKUP(EDATE(B151,-12),Database!$F:$AY,MATCH($E$1,Database!$F$1:$AY$1,),))))</f>
        <v>6.3875016007171298E-2</v>
      </c>
      <c r="F151" s="13">
        <f>((((VLOOKUP(B151,Database!$F:$AY,MATCH($F$1,Database!$F$1:$AY$1,),))))-(((VLOOKUP(EDATE(B151,-12),Database!$F:$AY,MATCH($F$1,Database!$F$1:$AY$1,),)))))/(((VLOOKUP(EDATE(B151,-12),Database!$F:$AY,MATCH($F$1,Database!$F$1:$AY$1,),))))</f>
        <v>6.6579566287635963E-2</v>
      </c>
      <c r="G151" s="13">
        <f>((((VLOOKUP(B151,Database!$F:$AY,MATCH($G$1,Database!$F$1:$AY$1,),))))-(((VLOOKUP(EDATE(B151,-12),Database!$F:$AY,MATCH($G$1,Database!$F$1:$AY$1,),)))))/(((VLOOKUP(EDATE(B151,-12),Database!$F:$AY,MATCH($G$1,Database!$F$1:$AY$1,),))))</f>
        <v>5.7576429080838161E-2</v>
      </c>
      <c r="H151" s="13">
        <f>((((VLOOKUP(B151,Database!$F:$AY,MATCH($H$1,Database!$F$1:$AY$1,),))))-(((VLOOKUP(EDATE(B151,-12),Database!$F:$AY,MATCH($H$1,Database!$F$1:$AY$1,),)))))/(((VLOOKUP(EDATE(B151,-12),Database!$F:$AY,MATCH($H$1,Database!$F$1:$AY$1,),))))</f>
        <v>7.5401130199941359E-3</v>
      </c>
      <c r="I151" s="13">
        <f>((((VLOOKUP(B151,Database!$F:$AY,MATCH($I$1,Database!$F$1:$AY$1,),))))-(((VLOOKUP(EDATE(B151,-12),Database!$F:$AY,MATCH($I$1,Database!$F$1:$AY$1,),)))))/(((VLOOKUP(EDATE(B151,-12),Database!$F:$AY,MATCH($I$1,Database!$F$1:$AY$1,),))))</f>
        <v>3.8961049503326968E-2</v>
      </c>
      <c r="J151" s="13">
        <f>((((VLOOKUP(B151,Database!$F:$AY,MATCH($J$1,Database!$F$1:$AY$1,),))))-(((VLOOKUP(EDATE(B151,-12),Database!$F:$AY,MATCH($J$1,Database!$F$1:$AY$1,),)))))/(((VLOOKUP(EDATE(B151,-12),Database!$F:$AY,MATCH($J$1,Database!$F$1:$AY$1,),))))</f>
        <v>4.607866582277842E-2</v>
      </c>
      <c r="K151" s="13">
        <f>((((VLOOKUP(B151,Database!$F:$AY,MATCH($K$1,Database!$F$1:$AY$1,),))))-(((VLOOKUP(EDATE(B151,-12),Database!$F:$AY,MATCH($K$1,Database!$F$1:$AY$1,),)))))/(((VLOOKUP(EDATE(B151,-12),Database!$F:$AY,MATCH($K$1,Database!$F$1:$AY$1,),))))</f>
        <v>9.9325796749203776E-2</v>
      </c>
      <c r="L151" s="13">
        <f>((((VLOOKUP(B151,Database!$F:$AY,MATCH($L$1,Database!$F$1:$AY$1,),))))-(((VLOOKUP(EDATE(B151,-12),Database!$F:$AY,MATCH($L$1,Database!$F$1:$AY$1,),)))))/(((VLOOKUP(EDATE(B151,-12),Database!$F:$AY,MATCH($L$1,Database!$F$1:$AY$1,),))))</f>
        <v>5.5548836935403745E-2</v>
      </c>
      <c r="M151" s="13">
        <f>((((VLOOKUP(B151,Database!$F:$AY,MATCH($M$1,Database!$F$1:$AY$1,),))))-(((VLOOKUP(EDATE(B151,-12),Database!$F:$AY,MATCH($M$1,Database!$F$1:$AY$1,),)))))/(((VLOOKUP(EDATE(B151,-12),Database!$F:$AY,MATCH($M$1,Database!$F$1:$AY$1,),))))</f>
        <v>8.7681959839879503E-2</v>
      </c>
      <c r="N151" s="13">
        <f>((((VLOOKUP(B151,Database!$F:$AY,MATCH($N$1,Database!$F$1:$AY$1,),))))-(((VLOOKUP(EDATE(B151,-12),Database!$F:$AY,MATCH($N$1,Database!$F$1:$AY$1,),)))))/(((VLOOKUP(EDATE(B151,-12),Database!$F:$AY,MATCH($N$1,Database!$F$1:$AY$1,),))))</f>
        <v>4.3778097379195448E-2</v>
      </c>
      <c r="O151" s="13">
        <f>((((VLOOKUP(B151,Database!$F:$AY,MATCH($O$1,Database!$F$1:$AY$1,),))))-(((VLOOKUP(EDATE(B151,-12),Database!$F:$AY,MATCH($O$1,Database!$F$1:$AY$1,),)))))/(((VLOOKUP(EDATE(B151,-12),Database!$F:$AY,MATCH($O$1,Database!$F$1:$AY$1,),))))</f>
        <v>7.5831608187230642E-2</v>
      </c>
      <c r="P151" s="13">
        <f>((((VLOOKUP(B151,Database!$F:$AY,MATCH($P$1,Database!$F$1:$AY$1,),))))-(((VLOOKUP(EDATE(B151,-12),Database!$F:$AY,MATCH($P$1,Database!$F$1:$AY$1,),)))))/(((VLOOKUP(EDATE(B151,-12),Database!$F:$AY,MATCH($P$1,Database!$F$1:$AY$1,),))))</f>
        <v>0.21914749034386533</v>
      </c>
      <c r="Q151" s="13">
        <f>((((VLOOKUP(B151,Database!$F:$AY,MATCH($Q$1,Database!$F$1:$AY$1,),))))-(((VLOOKUP(EDATE(B151,-12),Database!$F:$AY,MATCH($Q$1,Database!$F$1:$AY$1,),)))))/(((VLOOKUP(EDATE(B151,-12),Database!$F:$AY,MATCH($Q$1,Database!$F$1:$AY$1,),))))</f>
        <v>7.8383498753985606E-2</v>
      </c>
      <c r="R151" s="13">
        <f>((((VLOOKUP(B151,Database!$F:$AY,MATCH($R$1,Database!$F$1:$AY$1,),))))-(((VLOOKUP(EDATE(B151,-12),Database!$F:$AY,MATCH($R$1,Database!$F$1:$AY$1,),)))))/(((VLOOKUP(EDATE(B151,-12),Database!$F:$AY,MATCH($R$1,Database!$F$1:$AY$1,),))))</f>
        <v>8.910504069931606E-2</v>
      </c>
      <c r="S151" s="13">
        <f>((((VLOOKUP(B151,Database!$F:$AY,MATCH($S$1,Database!$F$1:$AY$1,),))))-(((VLOOKUP(EDATE(B151,-12),Database!$F:$AY,MATCH($S$1,Database!$F$1:$AY$1,),)))))/(((VLOOKUP(EDATE(B151,-12),Database!$F:$AY,MATCH($S$1,Database!$F$1:$AY$1,),))))</f>
        <v>0.15870579699957438</v>
      </c>
      <c r="T151" s="13">
        <f>((((VLOOKUP(B151,Database!$F:$AY,MATCH($T$1,Database!$F$1:$AY$1,),))))-(((VLOOKUP(EDATE(B151,-12),Database!$F:$AY,MATCH($T$1,Database!$F$1:$AY$1,),)))))/(((VLOOKUP(EDATE(B151,-12),Database!$F:$AY,MATCH($T$1,Database!$F$1:$AY$1,),))))</f>
        <v>0.15656557238355726</v>
      </c>
      <c r="U151" s="13">
        <f>((((VLOOKUP(B151,Database!$F:$AY,MATCH($U$1,Database!$F$1:$AY$1,),))))-(((VLOOKUP(EDATE(B151,-12),Database!$F:$AY,MATCH($U$1,Database!$F$1:$AY$1,),)))))/(((VLOOKUP(EDATE(B151,-12),Database!$F:$AY,MATCH($U$1,Database!$F$1:$AY$1,),))))</f>
        <v>7.7876189783234004E-2</v>
      </c>
      <c r="V151" s="13">
        <f>((((VLOOKUP(B151,Database!$F:$AY,MATCH($V$1,Database!$F$1:$AY$1,),))))-(((VLOOKUP(EDATE(B151,-12),Database!$F:$AY,MATCH($V$1,Database!$F$1:$AY$1,),)))))/(((VLOOKUP(EDATE(B151,-12),Database!$F:$AY,MATCH($V$1,Database!$F$1:$AY$1,),))))</f>
        <v>7.7890471986052395E-2</v>
      </c>
    </row>
    <row r="152" spans="1:22" s="85" customFormat="1" x14ac:dyDescent="0.2">
      <c r="A152" s="44"/>
      <c r="B152" s="91">
        <v>36770</v>
      </c>
      <c r="C152" s="13">
        <f>((((VLOOKUP(B152,Database!$F:$AY,MATCH($C$1,Database!$F$1:$AY$1,),))))-(((VLOOKUP(EDATE(B152,-12),Database!$F:$AY,MATCH($C$1,Database!$F$1:$AY$1,),)))))/(((VLOOKUP(EDATE(B152,-12),Database!$F:$AY,MATCH($C$1,Database!$F$1:$AY$1,),))))</f>
        <v>4.2550181622646843E-2</v>
      </c>
      <c r="D152" s="13">
        <f>((((VLOOKUP(B152,Database!$F:$AY,MATCH($D$1,Database!$F$1:$AY$1,),))))-(((VLOOKUP(EDATE(B152,-12),Database!$F:$AY,MATCH($D$1,Database!$F$1:$AY$1,),)))))/(((VLOOKUP(EDATE(B152,-12),Database!$F:$AY,MATCH($D$1,Database!$F$1:$AY$1,),))))</f>
        <v>5.1478680235631798E-2</v>
      </c>
      <c r="E152" s="13">
        <f>((((VLOOKUP(B152,Database!$F:$AY,MATCH($E$1,Database!$F$1:$AY$1,),))))-(((VLOOKUP(EDATE(B152,-12),Database!$F:$AY,MATCH($E$1,Database!$F$1:$AY$1,),)))))/(((VLOOKUP(EDATE(B152,-12),Database!$F:$AY,MATCH($E$1,Database!$F$1:$AY$1,),))))</f>
        <v>3.4304344467250947E-2</v>
      </c>
      <c r="F152" s="13">
        <f>((((VLOOKUP(B152,Database!$F:$AY,MATCH($F$1,Database!$F$1:$AY$1,),))))-(((VLOOKUP(EDATE(B152,-12),Database!$F:$AY,MATCH($F$1,Database!$F$1:$AY$1,),)))))/(((VLOOKUP(EDATE(B152,-12),Database!$F:$AY,MATCH($F$1,Database!$F$1:$AY$1,),))))</f>
        <v>7.2083859152611021E-2</v>
      </c>
      <c r="G152" s="13">
        <f>((((VLOOKUP(B152,Database!$F:$AY,MATCH($G$1,Database!$F$1:$AY$1,),))))-(((VLOOKUP(EDATE(B152,-12),Database!$F:$AY,MATCH($G$1,Database!$F$1:$AY$1,),)))))/(((VLOOKUP(EDATE(B152,-12),Database!$F:$AY,MATCH($G$1,Database!$F$1:$AY$1,),))))</f>
        <v>3.2315535293180972E-2</v>
      </c>
      <c r="H152" s="13">
        <f>((((VLOOKUP(B152,Database!$F:$AY,MATCH($H$1,Database!$F$1:$AY$1,),))))-(((VLOOKUP(EDATE(B152,-12),Database!$F:$AY,MATCH($H$1,Database!$F$1:$AY$1,),)))))/(((VLOOKUP(EDATE(B152,-12),Database!$F:$AY,MATCH($H$1,Database!$F$1:$AY$1,),))))</f>
        <v>-4.6990600974573726E-3</v>
      </c>
      <c r="I152" s="13">
        <f>((((VLOOKUP(B152,Database!$F:$AY,MATCH($I$1,Database!$F$1:$AY$1,),))))-(((VLOOKUP(EDATE(B152,-12),Database!$F:$AY,MATCH($I$1,Database!$F$1:$AY$1,),)))))/(((VLOOKUP(EDATE(B152,-12),Database!$F:$AY,MATCH($I$1,Database!$F$1:$AY$1,),))))</f>
        <v>3.3952705843736414E-2</v>
      </c>
      <c r="J152" s="13">
        <f>((((VLOOKUP(B152,Database!$F:$AY,MATCH($J$1,Database!$F$1:$AY$1,),))))-(((VLOOKUP(EDATE(B152,-12),Database!$F:$AY,MATCH($J$1,Database!$F$1:$AY$1,),)))))/(((VLOOKUP(EDATE(B152,-12),Database!$F:$AY,MATCH($J$1,Database!$F$1:$AY$1,),))))</f>
        <v>3.2366965684513006E-2</v>
      </c>
      <c r="K152" s="13">
        <f>((((VLOOKUP(B152,Database!$F:$AY,MATCH($K$1,Database!$F$1:$AY$1,),))))-(((VLOOKUP(EDATE(B152,-12),Database!$F:$AY,MATCH($K$1,Database!$F$1:$AY$1,),)))))/(((VLOOKUP(EDATE(B152,-12),Database!$F:$AY,MATCH($K$1,Database!$F$1:$AY$1,),))))</f>
        <v>6.3561824104652026E-2</v>
      </c>
      <c r="L152" s="13">
        <f>((((VLOOKUP(B152,Database!$F:$AY,MATCH($L$1,Database!$F$1:$AY$1,),))))-(((VLOOKUP(EDATE(B152,-12),Database!$F:$AY,MATCH($L$1,Database!$F$1:$AY$1,),)))))/(((VLOOKUP(EDATE(B152,-12),Database!$F:$AY,MATCH($L$1,Database!$F$1:$AY$1,),))))</f>
        <v>5.0307805972958461E-2</v>
      </c>
      <c r="M152" s="13">
        <f>((((VLOOKUP(B152,Database!$F:$AY,MATCH($M$1,Database!$F$1:$AY$1,),))))-(((VLOOKUP(EDATE(B152,-12),Database!$F:$AY,MATCH($M$1,Database!$F$1:$AY$1,),)))))/(((VLOOKUP(EDATE(B152,-12),Database!$F:$AY,MATCH($M$1,Database!$F$1:$AY$1,),))))</f>
        <v>7.1923685247395494E-2</v>
      </c>
      <c r="N152" s="13">
        <f>((((VLOOKUP(B152,Database!$F:$AY,MATCH($N$1,Database!$F$1:$AY$1,),))))-(((VLOOKUP(EDATE(B152,-12),Database!$F:$AY,MATCH($N$1,Database!$F$1:$AY$1,),)))))/(((VLOOKUP(EDATE(B152,-12),Database!$F:$AY,MATCH($N$1,Database!$F$1:$AY$1,),))))</f>
        <v>5.733712788403332E-2</v>
      </c>
      <c r="O152" s="13">
        <f>((((VLOOKUP(B152,Database!$F:$AY,MATCH($O$1,Database!$F$1:$AY$1,),))))-(((VLOOKUP(EDATE(B152,-12),Database!$F:$AY,MATCH($O$1,Database!$F$1:$AY$1,),)))))/(((VLOOKUP(EDATE(B152,-12),Database!$F:$AY,MATCH($O$1,Database!$F$1:$AY$1,),))))</f>
        <v>6.1283274082690464E-2</v>
      </c>
      <c r="P152" s="13">
        <f>((((VLOOKUP(B152,Database!$F:$AY,MATCH($P$1,Database!$F$1:$AY$1,),))))-(((VLOOKUP(EDATE(B152,-12),Database!$F:$AY,MATCH($P$1,Database!$F$1:$AY$1,),)))))/(((VLOOKUP(EDATE(B152,-12),Database!$F:$AY,MATCH($P$1,Database!$F$1:$AY$1,),))))</f>
        <v>0.1438121796349377</v>
      </c>
      <c r="Q152" s="13">
        <f>((((VLOOKUP(B152,Database!$F:$AY,MATCH($Q$1,Database!$F$1:$AY$1,),))))-(((VLOOKUP(EDATE(B152,-12),Database!$F:$AY,MATCH($Q$1,Database!$F$1:$AY$1,),)))))/(((VLOOKUP(EDATE(B152,-12),Database!$F:$AY,MATCH($Q$1,Database!$F$1:$AY$1,),))))</f>
        <v>5.1841321254925431E-2</v>
      </c>
      <c r="R152" s="13">
        <f>((((VLOOKUP(B152,Database!$F:$AY,MATCH($R$1,Database!$F$1:$AY$1,),))))-(((VLOOKUP(EDATE(B152,-12),Database!$F:$AY,MATCH($R$1,Database!$F$1:$AY$1,),)))))/(((VLOOKUP(EDATE(B152,-12),Database!$F:$AY,MATCH($R$1,Database!$F$1:$AY$1,),))))</f>
        <v>4.0688789975051064E-2</v>
      </c>
      <c r="S152" s="13">
        <f>((((VLOOKUP(B152,Database!$F:$AY,MATCH($S$1,Database!$F$1:$AY$1,),))))-(((VLOOKUP(EDATE(B152,-12),Database!$F:$AY,MATCH($S$1,Database!$F$1:$AY$1,),)))))/(((VLOOKUP(EDATE(B152,-12),Database!$F:$AY,MATCH($S$1,Database!$F$1:$AY$1,),))))</f>
        <v>0.10966820886813611</v>
      </c>
      <c r="T152" s="13">
        <f>((((VLOOKUP(B152,Database!$F:$AY,MATCH($T$1,Database!$F$1:$AY$1,),))))-(((VLOOKUP(EDATE(B152,-12),Database!$F:$AY,MATCH($T$1,Database!$F$1:$AY$1,),)))))/(((VLOOKUP(EDATE(B152,-12),Database!$F:$AY,MATCH($T$1,Database!$F$1:$AY$1,),))))</f>
        <v>8.1080954900174751E-2</v>
      </c>
      <c r="U152" s="13">
        <f>((((VLOOKUP(B152,Database!$F:$AY,MATCH($U$1,Database!$F$1:$AY$1,),))))-(((VLOOKUP(EDATE(B152,-12),Database!$F:$AY,MATCH($U$1,Database!$F$1:$AY$1,),)))))/(((VLOOKUP(EDATE(B152,-12),Database!$F:$AY,MATCH($U$1,Database!$F$1:$AY$1,),))))</f>
        <v>8.585264176827849E-2</v>
      </c>
      <c r="V152" s="13">
        <f>((((VLOOKUP(B152,Database!$F:$AY,MATCH($V$1,Database!$F$1:$AY$1,),))))-(((VLOOKUP(EDATE(B152,-12),Database!$F:$AY,MATCH($V$1,Database!$F$1:$AY$1,),)))))/(((VLOOKUP(EDATE(B152,-12),Database!$F:$AY,MATCH($V$1,Database!$F$1:$AY$1,),))))</f>
        <v>5.757099907259159E-2</v>
      </c>
    </row>
    <row r="153" spans="1:22" s="85" customFormat="1" x14ac:dyDescent="0.2">
      <c r="A153" s="44"/>
      <c r="B153" s="91">
        <v>36800</v>
      </c>
      <c r="C153" s="13">
        <f>((((VLOOKUP(B153,Database!$F:$AY,MATCH($C$1,Database!$F$1:$AY$1,),))))-(((VLOOKUP(EDATE(B153,-12),Database!$F:$AY,MATCH($C$1,Database!$F$1:$AY$1,),)))))/(((VLOOKUP(EDATE(B153,-12),Database!$F:$AY,MATCH($C$1,Database!$F$1:$AY$1,),))))</f>
        <v>2.5797374251010526E-2</v>
      </c>
      <c r="D153" s="13">
        <f>((((VLOOKUP(B153,Database!$F:$AY,MATCH($D$1,Database!$F$1:$AY$1,),))))-(((VLOOKUP(EDATE(B153,-12),Database!$F:$AY,MATCH($D$1,Database!$F$1:$AY$1,),)))))/(((VLOOKUP(EDATE(B153,-12),Database!$F:$AY,MATCH($D$1,Database!$F$1:$AY$1,),))))</f>
        <v>4.2253519600557475E-2</v>
      </c>
      <c r="E153" s="13">
        <f>((((VLOOKUP(B153,Database!$F:$AY,MATCH($E$1,Database!$F$1:$AY$1,),))))-(((VLOOKUP(EDATE(B153,-12),Database!$F:$AY,MATCH($E$1,Database!$F$1:$AY$1,),)))))/(((VLOOKUP(EDATE(B153,-12),Database!$F:$AY,MATCH($E$1,Database!$F$1:$AY$1,),))))</f>
        <v>5.0989282931394424E-2</v>
      </c>
      <c r="F153" s="13">
        <f>((((VLOOKUP(B153,Database!$F:$AY,MATCH($F$1,Database!$F$1:$AY$1,),))))-(((VLOOKUP(EDATE(B153,-12),Database!$F:$AY,MATCH($F$1,Database!$F$1:$AY$1,),)))))/(((VLOOKUP(EDATE(B153,-12),Database!$F:$AY,MATCH($F$1,Database!$F$1:$AY$1,),))))</f>
        <v>5.7068832069911993E-2</v>
      </c>
      <c r="G153" s="13">
        <f>((((VLOOKUP(B153,Database!$F:$AY,MATCH($G$1,Database!$F$1:$AY$1,),))))-(((VLOOKUP(EDATE(B153,-12),Database!$F:$AY,MATCH($G$1,Database!$F$1:$AY$1,),)))))/(((VLOOKUP(EDATE(B153,-12),Database!$F:$AY,MATCH($G$1,Database!$F$1:$AY$1,),))))</f>
        <v>3.079903490154081E-2</v>
      </c>
      <c r="H153" s="13">
        <f>((((VLOOKUP(B153,Database!$F:$AY,MATCH($H$1,Database!$F$1:$AY$1,),))))-(((VLOOKUP(EDATE(B153,-12),Database!$F:$AY,MATCH($H$1,Database!$F$1:$AY$1,),)))))/(((VLOOKUP(EDATE(B153,-12),Database!$F:$AY,MATCH($H$1,Database!$F$1:$AY$1,),))))</f>
        <v>-9.4140011046492985E-4</v>
      </c>
      <c r="I153" s="13">
        <f>((((VLOOKUP(B153,Database!$F:$AY,MATCH($I$1,Database!$F$1:$AY$1,),))))-(((VLOOKUP(EDATE(B153,-12),Database!$F:$AY,MATCH($I$1,Database!$F$1:$AY$1,),)))))/(((VLOOKUP(EDATE(B153,-12),Database!$F:$AY,MATCH($I$1,Database!$F$1:$AY$1,),))))</f>
        <v>2.8022349338936069E-2</v>
      </c>
      <c r="J153" s="13">
        <f>((((VLOOKUP(B153,Database!$F:$AY,MATCH($J$1,Database!$F$1:$AY$1,),))))-(((VLOOKUP(EDATE(B153,-12),Database!$F:$AY,MATCH($J$1,Database!$F$1:$AY$1,),)))))/(((VLOOKUP(EDATE(B153,-12),Database!$F:$AY,MATCH($J$1,Database!$F$1:$AY$1,),))))</f>
        <v>1.0052827108791903E-2</v>
      </c>
      <c r="K153" s="13">
        <f>((((VLOOKUP(B153,Database!$F:$AY,MATCH($K$1,Database!$F$1:$AY$1,),))))-(((VLOOKUP(EDATE(B153,-12),Database!$F:$AY,MATCH($K$1,Database!$F$1:$AY$1,),)))))/(((VLOOKUP(EDATE(B153,-12),Database!$F:$AY,MATCH($K$1,Database!$F$1:$AY$1,),))))</f>
        <v>6.7696175218761367E-2</v>
      </c>
      <c r="L153" s="13">
        <f>((((VLOOKUP(B153,Database!$F:$AY,MATCH($L$1,Database!$F$1:$AY$1,),))))-(((VLOOKUP(EDATE(B153,-12),Database!$F:$AY,MATCH($L$1,Database!$F$1:$AY$1,),)))))/(((VLOOKUP(EDATE(B153,-12),Database!$F:$AY,MATCH($L$1,Database!$F$1:$AY$1,),))))</f>
        <v>3.9041215350320554E-2</v>
      </c>
      <c r="M153" s="13">
        <f>((((VLOOKUP(B153,Database!$F:$AY,MATCH($M$1,Database!$F$1:$AY$1,),))))-(((VLOOKUP(EDATE(B153,-12),Database!$F:$AY,MATCH($M$1,Database!$F$1:$AY$1,),)))))/(((VLOOKUP(EDATE(B153,-12),Database!$F:$AY,MATCH($M$1,Database!$F$1:$AY$1,),))))</f>
        <v>0.11091572804758559</v>
      </c>
      <c r="N153" s="13">
        <f>((((VLOOKUP(B153,Database!$F:$AY,MATCH($N$1,Database!$F$1:$AY$1,),))))-(((VLOOKUP(EDATE(B153,-12),Database!$F:$AY,MATCH($N$1,Database!$F$1:$AY$1,),)))))/(((VLOOKUP(EDATE(B153,-12),Database!$F:$AY,MATCH($N$1,Database!$F$1:$AY$1,),))))</f>
        <v>6.1694158526111209E-2</v>
      </c>
      <c r="O153" s="13">
        <f>((((VLOOKUP(B153,Database!$F:$AY,MATCH($O$1,Database!$F$1:$AY$1,),))))-(((VLOOKUP(EDATE(B153,-12),Database!$F:$AY,MATCH($O$1,Database!$F$1:$AY$1,),)))))/(((VLOOKUP(EDATE(B153,-12),Database!$F:$AY,MATCH($O$1,Database!$F$1:$AY$1,),))))</f>
        <v>6.9583331790980668E-2</v>
      </c>
      <c r="P153" s="13">
        <f>((((VLOOKUP(B153,Database!$F:$AY,MATCH($P$1,Database!$F$1:$AY$1,),))))-(((VLOOKUP(EDATE(B153,-12),Database!$F:$AY,MATCH($P$1,Database!$F$1:$AY$1,),)))))/(((VLOOKUP(EDATE(B153,-12),Database!$F:$AY,MATCH($P$1,Database!$F$1:$AY$1,),))))</f>
        <v>0.12477680299560882</v>
      </c>
      <c r="Q153" s="13">
        <f>((((VLOOKUP(B153,Database!$F:$AY,MATCH($Q$1,Database!$F$1:$AY$1,),))))-(((VLOOKUP(EDATE(B153,-12),Database!$F:$AY,MATCH($Q$1,Database!$F$1:$AY$1,),)))))/(((VLOOKUP(EDATE(B153,-12),Database!$F:$AY,MATCH($Q$1,Database!$F$1:$AY$1,),))))</f>
        <v>5.7484996979983334E-2</v>
      </c>
      <c r="R153" s="13">
        <f>((((VLOOKUP(B153,Database!$F:$AY,MATCH($R$1,Database!$F$1:$AY$1,),))))-(((VLOOKUP(EDATE(B153,-12),Database!$F:$AY,MATCH($R$1,Database!$F$1:$AY$1,),)))))/(((VLOOKUP(EDATE(B153,-12),Database!$F:$AY,MATCH($R$1,Database!$F$1:$AY$1,),))))</f>
        <v>4.2955356402247714E-2</v>
      </c>
      <c r="S153" s="13">
        <f>((((VLOOKUP(B153,Database!$F:$AY,MATCH($S$1,Database!$F$1:$AY$1,),))))-(((VLOOKUP(EDATE(B153,-12),Database!$F:$AY,MATCH($S$1,Database!$F$1:$AY$1,),)))))/(((VLOOKUP(EDATE(B153,-12),Database!$F:$AY,MATCH($S$1,Database!$F$1:$AY$1,),))))</f>
        <v>0.14005609505603378</v>
      </c>
      <c r="T153" s="13">
        <f>((((VLOOKUP(B153,Database!$F:$AY,MATCH($T$1,Database!$F$1:$AY$1,),))))-(((VLOOKUP(EDATE(B153,-12),Database!$F:$AY,MATCH($T$1,Database!$F$1:$AY$1,),)))))/(((VLOOKUP(EDATE(B153,-12),Database!$F:$AY,MATCH($T$1,Database!$F$1:$AY$1,),))))</f>
        <v>0.10396040461790991</v>
      </c>
      <c r="U153" s="13">
        <f>((((VLOOKUP(B153,Database!$F:$AY,MATCH($U$1,Database!$F$1:$AY$1,),))))-(((VLOOKUP(EDATE(B153,-12),Database!$F:$AY,MATCH($U$1,Database!$F$1:$AY$1,),)))))/(((VLOOKUP(EDATE(B153,-12),Database!$F:$AY,MATCH($U$1,Database!$F$1:$AY$1,),))))</f>
        <v>9.407391617595233E-2</v>
      </c>
      <c r="V153" s="13">
        <f>((((VLOOKUP(B153,Database!$F:$AY,MATCH($V$1,Database!$F$1:$AY$1,),))))-(((VLOOKUP(EDATE(B153,-12),Database!$F:$AY,MATCH($V$1,Database!$F$1:$AY$1,),)))))/(((VLOOKUP(EDATE(B153,-12),Database!$F:$AY,MATCH($V$1,Database!$F$1:$AY$1,),))))</f>
        <v>4.1759064665995216E-2</v>
      </c>
    </row>
    <row r="154" spans="1:22" s="85" customFormat="1" x14ac:dyDescent="0.2">
      <c r="A154" s="44"/>
      <c r="B154" s="91">
        <v>36831</v>
      </c>
      <c r="C154" s="13">
        <f>((((VLOOKUP(B154,Database!$F:$AY,MATCH($C$1,Database!$F$1:$AY$1,),))))-(((VLOOKUP(EDATE(B154,-12),Database!$F:$AY,MATCH($C$1,Database!$F$1:$AY$1,),)))))/(((VLOOKUP(EDATE(B154,-12),Database!$F:$AY,MATCH($C$1,Database!$F$1:$AY$1,),))))</f>
        <v>2.1252803150894294E-2</v>
      </c>
      <c r="D154" s="13">
        <f>((((VLOOKUP(B154,Database!$F:$AY,MATCH($D$1,Database!$F$1:$AY$1,),))))-(((VLOOKUP(EDATE(B154,-12),Database!$F:$AY,MATCH($D$1,Database!$F$1:$AY$1,),)))))/(((VLOOKUP(EDATE(B154,-12),Database!$F:$AY,MATCH($D$1,Database!$F$1:$AY$1,),))))</f>
        <v>4.7464863619139992E-2</v>
      </c>
      <c r="E154" s="13">
        <f>((((VLOOKUP(B154,Database!$F:$AY,MATCH($E$1,Database!$F$1:$AY$1,),))))-(((VLOOKUP(EDATE(B154,-12),Database!$F:$AY,MATCH($E$1,Database!$F$1:$AY$1,),)))))/(((VLOOKUP(EDATE(B154,-12),Database!$F:$AY,MATCH($E$1,Database!$F$1:$AY$1,),))))</f>
        <v>4.4284997355107339E-2</v>
      </c>
      <c r="F154" s="13">
        <f>((((VLOOKUP(B154,Database!$F:$AY,MATCH($F$1,Database!$F$1:$AY$1,),))))-(((VLOOKUP(EDATE(B154,-12),Database!$F:$AY,MATCH($F$1,Database!$F$1:$AY$1,),)))))/(((VLOOKUP(EDATE(B154,-12),Database!$F:$AY,MATCH($F$1,Database!$F$1:$AY$1,),))))</f>
        <v>6.7532513749847825E-2</v>
      </c>
      <c r="G154" s="13">
        <f>((((VLOOKUP(B154,Database!$F:$AY,MATCH($G$1,Database!$F$1:$AY$1,),))))-(((VLOOKUP(EDATE(B154,-12),Database!$F:$AY,MATCH($G$1,Database!$F$1:$AY$1,),)))))/(((VLOOKUP(EDATE(B154,-12),Database!$F:$AY,MATCH($G$1,Database!$F$1:$AY$1,),))))</f>
        <v>2.8172707062423478E-2</v>
      </c>
      <c r="H154" s="13">
        <f>((((VLOOKUP(B154,Database!$F:$AY,MATCH($H$1,Database!$F$1:$AY$1,),))))-(((VLOOKUP(EDATE(B154,-12),Database!$F:$AY,MATCH($H$1,Database!$F$1:$AY$1,),)))))/(((VLOOKUP(EDATE(B154,-12),Database!$F:$AY,MATCH($H$1,Database!$F$1:$AY$1,),))))</f>
        <v>3.7453487512196307E-3</v>
      </c>
      <c r="I154" s="13">
        <f>((((VLOOKUP(B154,Database!$F:$AY,MATCH($I$1,Database!$F$1:$AY$1,),))))-(((VLOOKUP(EDATE(B154,-12),Database!$F:$AY,MATCH($I$1,Database!$F$1:$AY$1,),)))))/(((VLOOKUP(EDATE(B154,-12),Database!$F:$AY,MATCH($I$1,Database!$F$1:$AY$1,),))))</f>
        <v>3.4208903687261191E-2</v>
      </c>
      <c r="J154" s="13">
        <f>((((VLOOKUP(B154,Database!$F:$AY,MATCH($J$1,Database!$F$1:$AY$1,),))))-(((VLOOKUP(EDATE(B154,-12),Database!$F:$AY,MATCH($J$1,Database!$F$1:$AY$1,),)))))/(((VLOOKUP(EDATE(B154,-12),Database!$F:$AY,MATCH($J$1,Database!$F$1:$AY$1,),))))</f>
        <v>3.7329118116101782E-2</v>
      </c>
      <c r="K154" s="13">
        <f>((((VLOOKUP(B154,Database!$F:$AY,MATCH($K$1,Database!$F$1:$AY$1,),))))-(((VLOOKUP(EDATE(B154,-12),Database!$F:$AY,MATCH($K$1,Database!$F$1:$AY$1,),)))))/(((VLOOKUP(EDATE(B154,-12),Database!$F:$AY,MATCH($K$1,Database!$F$1:$AY$1,),))))</f>
        <v>9.9388309411763326E-2</v>
      </c>
      <c r="L154" s="13">
        <f>((((VLOOKUP(B154,Database!$F:$AY,MATCH($L$1,Database!$F$1:$AY$1,),))))-(((VLOOKUP(EDATE(B154,-12),Database!$F:$AY,MATCH($L$1,Database!$F$1:$AY$1,),)))))/(((VLOOKUP(EDATE(B154,-12),Database!$F:$AY,MATCH($L$1,Database!$F$1:$AY$1,),))))</f>
        <v>1.696011016793349E-2</v>
      </c>
      <c r="M154" s="13">
        <f>((((VLOOKUP(B154,Database!$F:$AY,MATCH($M$1,Database!$F$1:$AY$1,),))))-(((VLOOKUP(EDATE(B154,-12),Database!$F:$AY,MATCH($M$1,Database!$F$1:$AY$1,),)))))/(((VLOOKUP(EDATE(B154,-12),Database!$F:$AY,MATCH($M$1,Database!$F$1:$AY$1,),))))</f>
        <v>7.9905403079269952E-2</v>
      </c>
      <c r="N154" s="13">
        <f>((((VLOOKUP(B154,Database!$F:$AY,MATCH($N$1,Database!$F$1:$AY$1,),))))-(((VLOOKUP(EDATE(B154,-12),Database!$F:$AY,MATCH($N$1,Database!$F$1:$AY$1,),)))))/(((VLOOKUP(EDATE(B154,-12),Database!$F:$AY,MATCH($N$1,Database!$F$1:$AY$1,),))))</f>
        <v>7.3260321192600217E-2</v>
      </c>
      <c r="O154" s="13">
        <f>((((VLOOKUP(B154,Database!$F:$AY,MATCH($O$1,Database!$F$1:$AY$1,),))))-(((VLOOKUP(EDATE(B154,-12),Database!$F:$AY,MATCH($O$1,Database!$F$1:$AY$1,),)))))/(((VLOOKUP(EDATE(B154,-12),Database!$F:$AY,MATCH($O$1,Database!$F$1:$AY$1,),))))</f>
        <v>5.5965800558582052E-2</v>
      </c>
      <c r="P154" s="13">
        <f>((((VLOOKUP(B154,Database!$F:$AY,MATCH($P$1,Database!$F$1:$AY$1,),))))-(((VLOOKUP(EDATE(B154,-12),Database!$F:$AY,MATCH($P$1,Database!$F$1:$AY$1,),)))))/(((VLOOKUP(EDATE(B154,-12),Database!$F:$AY,MATCH($P$1,Database!$F$1:$AY$1,),))))</f>
        <v>5.4163456346402933E-2</v>
      </c>
      <c r="Q154" s="13">
        <f>((((VLOOKUP(B154,Database!$F:$AY,MATCH($Q$1,Database!$F$1:$AY$1,),))))-(((VLOOKUP(EDATE(B154,-12),Database!$F:$AY,MATCH($Q$1,Database!$F$1:$AY$1,),)))))/(((VLOOKUP(EDATE(B154,-12),Database!$F:$AY,MATCH($Q$1,Database!$F$1:$AY$1,),))))</f>
        <v>5.6733043578172507E-2</v>
      </c>
      <c r="R154" s="13">
        <f>((((VLOOKUP(B154,Database!$F:$AY,MATCH($R$1,Database!$F$1:$AY$1,),))))-(((VLOOKUP(EDATE(B154,-12),Database!$F:$AY,MATCH($R$1,Database!$F$1:$AY$1,),)))))/(((VLOOKUP(EDATE(B154,-12),Database!$F:$AY,MATCH($R$1,Database!$F$1:$AY$1,),))))</f>
        <v>4.4197732899461224E-2</v>
      </c>
      <c r="S154" s="13">
        <f>((((VLOOKUP(B154,Database!$F:$AY,MATCH($S$1,Database!$F$1:$AY$1,),))))-(((VLOOKUP(EDATE(B154,-12),Database!$F:$AY,MATCH($S$1,Database!$F$1:$AY$1,),)))))/(((VLOOKUP(EDATE(B154,-12),Database!$F:$AY,MATCH($S$1,Database!$F$1:$AY$1,),))))</f>
        <v>0.22543341914220646</v>
      </c>
      <c r="T154" s="13">
        <f>((((VLOOKUP(B154,Database!$F:$AY,MATCH($T$1,Database!$F$1:$AY$1,),))))-(((VLOOKUP(EDATE(B154,-12),Database!$F:$AY,MATCH($T$1,Database!$F$1:$AY$1,),)))))/(((VLOOKUP(EDATE(B154,-12),Database!$F:$AY,MATCH($T$1,Database!$F$1:$AY$1,),))))</f>
        <v>0.10243903271931459</v>
      </c>
      <c r="U154" s="13">
        <f>((((VLOOKUP(B154,Database!$F:$AY,MATCH($U$1,Database!$F$1:$AY$1,),))))-(((VLOOKUP(EDATE(B154,-12),Database!$F:$AY,MATCH($U$1,Database!$F$1:$AY$1,),)))))/(((VLOOKUP(EDATE(B154,-12),Database!$F:$AY,MATCH($U$1,Database!$F$1:$AY$1,),))))</f>
        <v>9.6944660310539374E-2</v>
      </c>
      <c r="V154" s="13">
        <f>((((VLOOKUP(B154,Database!$F:$AY,MATCH($V$1,Database!$F$1:$AY$1,),))))-(((VLOOKUP(EDATE(B154,-12),Database!$F:$AY,MATCH($V$1,Database!$F$1:$AY$1,),)))))/(((VLOOKUP(EDATE(B154,-12),Database!$F:$AY,MATCH($V$1,Database!$F$1:$AY$1,),))))</f>
        <v>2.7326451972704197E-2</v>
      </c>
    </row>
    <row r="155" spans="1:22" s="85" customFormat="1" x14ac:dyDescent="0.2">
      <c r="A155" s="44"/>
      <c r="B155" s="91">
        <v>36861</v>
      </c>
      <c r="C155" s="13">
        <f>((((VLOOKUP(B155,Database!$F:$AY,MATCH($C$1,Database!$F$1:$AY$1,),))))-(((VLOOKUP(EDATE(B155,-12),Database!$F:$AY,MATCH($C$1,Database!$F$1:$AY$1,),)))))/(((VLOOKUP(EDATE(B155,-12),Database!$F:$AY,MATCH($C$1,Database!$F$1:$AY$1,),))))</f>
        <v>1.0599076302867407E-2</v>
      </c>
      <c r="D155" s="13">
        <f>((((VLOOKUP(B155,Database!$F:$AY,MATCH($D$1,Database!$F$1:$AY$1,),))))-(((VLOOKUP(EDATE(B155,-12),Database!$F:$AY,MATCH($D$1,Database!$F$1:$AY$1,),)))))/(((VLOOKUP(EDATE(B155,-12),Database!$F:$AY,MATCH($D$1,Database!$F$1:$AY$1,),))))</f>
        <v>5.8504873293079497E-2</v>
      </c>
      <c r="E155" s="13">
        <f>((((VLOOKUP(B155,Database!$F:$AY,MATCH($E$1,Database!$F$1:$AY$1,),))))-(((VLOOKUP(EDATE(B155,-12),Database!$F:$AY,MATCH($E$1,Database!$F$1:$AY$1,),)))))/(((VLOOKUP(EDATE(B155,-12),Database!$F:$AY,MATCH($E$1,Database!$F$1:$AY$1,),))))</f>
        <v>5.567080296572148E-2</v>
      </c>
      <c r="F155" s="13">
        <f>((((VLOOKUP(B155,Database!$F:$AY,MATCH($F$1,Database!$F$1:$AY$1,),))))-(((VLOOKUP(EDATE(B155,-12),Database!$F:$AY,MATCH($F$1,Database!$F$1:$AY$1,),)))))/(((VLOOKUP(EDATE(B155,-12),Database!$F:$AY,MATCH($F$1,Database!$F$1:$AY$1,),))))</f>
        <v>7.263303541397817E-2</v>
      </c>
      <c r="G155" s="13">
        <f>((((VLOOKUP(B155,Database!$F:$AY,MATCH($G$1,Database!$F$1:$AY$1,),))))-(((VLOOKUP(EDATE(B155,-12),Database!$F:$AY,MATCH($G$1,Database!$F$1:$AY$1,),)))))/(((VLOOKUP(EDATE(B155,-12),Database!$F:$AY,MATCH($G$1,Database!$F$1:$AY$1,),))))</f>
        <v>4.6805720615809406E-2</v>
      </c>
      <c r="H155" s="13">
        <f>((((VLOOKUP(B155,Database!$F:$AY,MATCH($H$1,Database!$F$1:$AY$1,),))))-(((VLOOKUP(EDATE(B155,-12),Database!$F:$AY,MATCH($H$1,Database!$F$1:$AY$1,),)))))/(((VLOOKUP(EDATE(B155,-12),Database!$F:$AY,MATCH($H$1,Database!$F$1:$AY$1,),))))</f>
        <v>9.4434005336981666E-3</v>
      </c>
      <c r="I155" s="13">
        <f>((((VLOOKUP(B155,Database!$F:$AY,MATCH($I$1,Database!$F$1:$AY$1,),))))-(((VLOOKUP(EDATE(B155,-12),Database!$F:$AY,MATCH($I$1,Database!$F$1:$AY$1,),)))))/(((VLOOKUP(EDATE(B155,-12),Database!$F:$AY,MATCH($I$1,Database!$F$1:$AY$1,),))))</f>
        <v>6.0338113567024072E-2</v>
      </c>
      <c r="J155" s="13">
        <f>((((VLOOKUP(B155,Database!$F:$AY,MATCH($J$1,Database!$F$1:$AY$1,),))))-(((VLOOKUP(EDATE(B155,-12),Database!$F:$AY,MATCH($J$1,Database!$F$1:$AY$1,),)))))/(((VLOOKUP(EDATE(B155,-12),Database!$F:$AY,MATCH($J$1,Database!$F$1:$AY$1,),))))</f>
        <v>3.8650556533607092E-2</v>
      </c>
      <c r="K155" s="13">
        <f>((((VLOOKUP(B155,Database!$F:$AY,MATCH($K$1,Database!$F$1:$AY$1,),))))-(((VLOOKUP(EDATE(B155,-12),Database!$F:$AY,MATCH($K$1,Database!$F$1:$AY$1,),)))))/(((VLOOKUP(EDATE(B155,-12),Database!$F:$AY,MATCH($K$1,Database!$F$1:$AY$1,),))))</f>
        <v>4.6051512501505444E-2</v>
      </c>
      <c r="L155" s="13">
        <f>((((VLOOKUP(B155,Database!$F:$AY,MATCH($L$1,Database!$F$1:$AY$1,),))))-(((VLOOKUP(EDATE(B155,-12),Database!$F:$AY,MATCH($L$1,Database!$F$1:$AY$1,),)))))/(((VLOOKUP(EDATE(B155,-12),Database!$F:$AY,MATCH($L$1,Database!$F$1:$AY$1,),))))</f>
        <v>2.3490016024265126E-3</v>
      </c>
      <c r="M155" s="13">
        <f>((((VLOOKUP(B155,Database!$F:$AY,MATCH($M$1,Database!$F$1:$AY$1,),))))-(((VLOOKUP(EDATE(B155,-12),Database!$F:$AY,MATCH($M$1,Database!$F$1:$AY$1,),)))))/(((VLOOKUP(EDATE(B155,-12),Database!$F:$AY,MATCH($M$1,Database!$F$1:$AY$1,),))))</f>
        <v>-5.3361789515074982E-2</v>
      </c>
      <c r="N155" s="13">
        <f>((((VLOOKUP(B155,Database!$F:$AY,MATCH($N$1,Database!$F$1:$AY$1,),))))-(((VLOOKUP(EDATE(B155,-12),Database!$F:$AY,MATCH($N$1,Database!$F$1:$AY$1,),)))))/(((VLOOKUP(EDATE(B155,-12),Database!$F:$AY,MATCH($N$1,Database!$F$1:$AY$1,),))))</f>
        <v>3.8356081061174122E-2</v>
      </c>
      <c r="O155" s="13">
        <f>((((VLOOKUP(B155,Database!$F:$AY,MATCH($O$1,Database!$F$1:$AY$1,),))))-(((VLOOKUP(EDATE(B155,-12),Database!$F:$AY,MATCH($O$1,Database!$F$1:$AY$1,),)))))/(((VLOOKUP(EDATE(B155,-12),Database!$F:$AY,MATCH($O$1,Database!$F$1:$AY$1,),))))</f>
        <v>4.0792682287893192E-2</v>
      </c>
      <c r="P155" s="13">
        <f>((((VLOOKUP(B155,Database!$F:$AY,MATCH($P$1,Database!$F$1:$AY$1,),))))-(((VLOOKUP(EDATE(B155,-12),Database!$F:$AY,MATCH($P$1,Database!$F$1:$AY$1,),)))))/(((VLOOKUP(EDATE(B155,-12),Database!$F:$AY,MATCH($P$1,Database!$F$1:$AY$1,),))))</f>
        <v>4.8379109865176323E-2</v>
      </c>
      <c r="Q155" s="13">
        <f>((((VLOOKUP(B155,Database!$F:$AY,MATCH($Q$1,Database!$F$1:$AY$1,),))))-(((VLOOKUP(EDATE(B155,-12),Database!$F:$AY,MATCH($Q$1,Database!$F$1:$AY$1,),)))))/(((VLOOKUP(EDATE(B155,-12),Database!$F:$AY,MATCH($Q$1,Database!$F$1:$AY$1,),))))</f>
        <v>9.4591587650517436E-2</v>
      </c>
      <c r="R155" s="13">
        <f>((((VLOOKUP(B155,Database!$F:$AY,MATCH($R$1,Database!$F$1:$AY$1,),))))-(((VLOOKUP(EDATE(B155,-12),Database!$F:$AY,MATCH($R$1,Database!$F$1:$AY$1,),)))))/(((VLOOKUP(EDATE(B155,-12),Database!$F:$AY,MATCH($R$1,Database!$F$1:$AY$1,),))))</f>
        <v>3.927335378038662E-2</v>
      </c>
      <c r="S155" s="13">
        <f>((((VLOOKUP(B155,Database!$F:$AY,MATCH($S$1,Database!$F$1:$AY$1,),))))-(((VLOOKUP(EDATE(B155,-12),Database!$F:$AY,MATCH($S$1,Database!$F$1:$AY$1,),)))))/(((VLOOKUP(EDATE(B155,-12),Database!$F:$AY,MATCH($S$1,Database!$F$1:$AY$1,),))))</f>
        <v>0.20833330309954393</v>
      </c>
      <c r="T155" s="13">
        <f>((((VLOOKUP(B155,Database!$F:$AY,MATCH($T$1,Database!$F$1:$AY$1,),))))-(((VLOOKUP(EDATE(B155,-12),Database!$F:$AY,MATCH($T$1,Database!$F$1:$AY$1,),)))))/(((VLOOKUP(EDATE(B155,-12),Database!$F:$AY,MATCH($T$1,Database!$F$1:$AY$1,),))))</f>
        <v>5.0970748292879751E-2</v>
      </c>
      <c r="U155" s="13">
        <f>((((VLOOKUP(B155,Database!$F:$AY,MATCH($U$1,Database!$F$1:$AY$1,),))))-(((VLOOKUP(EDATE(B155,-12),Database!$F:$AY,MATCH($U$1,Database!$F$1:$AY$1,),)))))/(((VLOOKUP(EDATE(B155,-12),Database!$F:$AY,MATCH($U$1,Database!$F$1:$AY$1,),))))</f>
        <v>0.12098738416857993</v>
      </c>
      <c r="V155" s="13">
        <f>((((VLOOKUP(B155,Database!$F:$AY,MATCH($V$1,Database!$F$1:$AY$1,),))))-(((VLOOKUP(EDATE(B155,-12),Database!$F:$AY,MATCH($V$1,Database!$F$1:$AY$1,),)))))/(((VLOOKUP(EDATE(B155,-12),Database!$F:$AY,MATCH($V$1,Database!$F$1:$AY$1,),))))</f>
        <v>5.1794563322822874E-2</v>
      </c>
    </row>
    <row r="156" spans="1:22" s="85" customFormat="1" x14ac:dyDescent="0.2">
      <c r="A156" s="44"/>
      <c r="B156" s="91">
        <v>36892</v>
      </c>
      <c r="C156" s="13">
        <f>((((VLOOKUP(B156,Database!$F:$AY,MATCH($C$1,Database!$F$1:$AY$1,),))))-(((VLOOKUP(EDATE(B156,-12),Database!$F:$AY,MATCH($C$1,Database!$F$1:$AY$1,),)))))/(((VLOOKUP(EDATE(B156,-12),Database!$F:$AY,MATCH($C$1,Database!$F$1:$AY$1,),))))</f>
        <v>3.9181151303671544E-3</v>
      </c>
      <c r="D156" s="13">
        <f>((((VLOOKUP(B156,Database!$F:$AY,MATCH($D$1,Database!$F$1:$AY$1,),))))-(((VLOOKUP(EDATE(B156,-12),Database!$F:$AY,MATCH($D$1,Database!$F$1:$AY$1,),)))))/(((VLOOKUP(EDATE(B156,-12),Database!$F:$AY,MATCH($D$1,Database!$F$1:$AY$1,),))))</f>
        <v>5.2117149588215846E-2</v>
      </c>
      <c r="E156" s="13">
        <f>((((VLOOKUP(B156,Database!$F:$AY,MATCH($E$1,Database!$F$1:$AY$1,),))))-(((VLOOKUP(EDATE(B156,-12),Database!$F:$AY,MATCH($E$1,Database!$F$1:$AY$1,),)))))/(((VLOOKUP(EDATE(B156,-12),Database!$F:$AY,MATCH($E$1,Database!$F$1:$AY$1,),))))</f>
        <v>1.7544745313828762E-2</v>
      </c>
      <c r="F156" s="13">
        <f>((((VLOOKUP(B156,Database!$F:$AY,MATCH($F$1,Database!$F$1:$AY$1,),))))-(((VLOOKUP(EDATE(B156,-12),Database!$F:$AY,MATCH($F$1,Database!$F$1:$AY$1,),)))))/(((VLOOKUP(EDATE(B156,-12),Database!$F:$AY,MATCH($F$1,Database!$F$1:$AY$1,),))))</f>
        <v>7.8431508405537434E-2</v>
      </c>
      <c r="G156" s="13">
        <f>((((VLOOKUP(B156,Database!$F:$AY,MATCH($G$1,Database!$F$1:$AY$1,),))))-(((VLOOKUP(EDATE(B156,-12),Database!$F:$AY,MATCH($G$1,Database!$F$1:$AY$1,),)))))/(((VLOOKUP(EDATE(B156,-12),Database!$F:$AY,MATCH($G$1,Database!$F$1:$AY$1,),))))</f>
        <v>3.4450363078894153E-2</v>
      </c>
      <c r="H156" s="13">
        <f>((((VLOOKUP(B156,Database!$F:$AY,MATCH($H$1,Database!$F$1:$AY$1,),))))-(((VLOOKUP(EDATE(B156,-12),Database!$F:$AY,MATCH($H$1,Database!$F$1:$AY$1,),)))))/(((VLOOKUP(EDATE(B156,-12),Database!$F:$AY,MATCH($H$1,Database!$F$1:$AY$1,),))))</f>
        <v>9.4514137974983457E-3</v>
      </c>
      <c r="I156" s="13">
        <f>((((VLOOKUP(B156,Database!$F:$AY,MATCH($I$1,Database!$F$1:$AY$1,),))))-(((VLOOKUP(EDATE(B156,-12),Database!$F:$AY,MATCH($I$1,Database!$F$1:$AY$1,),)))))/(((VLOOKUP(EDATE(B156,-12),Database!$F:$AY,MATCH($I$1,Database!$F$1:$AY$1,),))))</f>
        <v>2.8892459723765054E-2</v>
      </c>
      <c r="J156" s="13">
        <f>((((VLOOKUP(B156,Database!$F:$AY,MATCH($J$1,Database!$F$1:$AY$1,),))))-(((VLOOKUP(EDATE(B156,-12),Database!$F:$AY,MATCH($J$1,Database!$F$1:$AY$1,),)))))/(((VLOOKUP(EDATE(B156,-12),Database!$F:$AY,MATCH($J$1,Database!$F$1:$AY$1,),))))</f>
        <v>3.9227832801169973E-3</v>
      </c>
      <c r="K156" s="13">
        <f>((((VLOOKUP(B156,Database!$F:$AY,MATCH($K$1,Database!$F$1:$AY$1,),))))-(((VLOOKUP(EDATE(B156,-12),Database!$F:$AY,MATCH($K$1,Database!$F$1:$AY$1,),)))))/(((VLOOKUP(EDATE(B156,-12),Database!$F:$AY,MATCH($K$1,Database!$F$1:$AY$1,),))))</f>
        <v>9.9031216361679095E-2</v>
      </c>
      <c r="L156" s="13">
        <f>((((VLOOKUP(B156,Database!$F:$AY,MATCH($L$1,Database!$F$1:$AY$1,),))))-(((VLOOKUP(EDATE(B156,-12),Database!$F:$AY,MATCH($L$1,Database!$F$1:$AY$1,),)))))/(((VLOOKUP(EDATE(B156,-12),Database!$F:$AY,MATCH($L$1,Database!$F$1:$AY$1,),))))</f>
        <v>-5.5412580354628673E-3</v>
      </c>
      <c r="M156" s="13">
        <f>((((VLOOKUP(B156,Database!$F:$AY,MATCH($M$1,Database!$F$1:$AY$1,),))))-(((VLOOKUP(EDATE(B156,-12),Database!$F:$AY,MATCH($M$1,Database!$F$1:$AY$1,),)))))/(((VLOOKUP(EDATE(B156,-12),Database!$F:$AY,MATCH($M$1,Database!$F$1:$AY$1,),))))</f>
        <v>-4.4933160265624422E-3</v>
      </c>
      <c r="N156" s="13">
        <f>((((VLOOKUP(B156,Database!$F:$AY,MATCH($N$1,Database!$F$1:$AY$1,),))))-(((VLOOKUP(EDATE(B156,-12),Database!$F:$AY,MATCH($N$1,Database!$F$1:$AY$1,),)))))/(((VLOOKUP(EDATE(B156,-12),Database!$F:$AY,MATCH($N$1,Database!$F$1:$AY$1,),))))</f>
        <v>3.7804559805463822E-2</v>
      </c>
      <c r="O156" s="13">
        <f>((((VLOOKUP(B156,Database!$F:$AY,MATCH($O$1,Database!$F$1:$AY$1,),))))-(((VLOOKUP(EDATE(B156,-12),Database!$F:$AY,MATCH($O$1,Database!$F$1:$AY$1,),)))))/(((VLOOKUP(EDATE(B156,-12),Database!$F:$AY,MATCH($O$1,Database!$F$1:$AY$1,),))))</f>
        <v>1.0281817366100622E-2</v>
      </c>
      <c r="P156" s="13">
        <f>((((VLOOKUP(B156,Database!$F:$AY,MATCH($P$1,Database!$F$1:$AY$1,),))))-(((VLOOKUP(EDATE(B156,-12),Database!$F:$AY,MATCH($P$1,Database!$F$1:$AY$1,),)))))/(((VLOOKUP(EDATE(B156,-12),Database!$F:$AY,MATCH($P$1,Database!$F$1:$AY$1,),))))</f>
        <v>1.6197696230531584E-2</v>
      </c>
      <c r="Q156" s="13">
        <f>((((VLOOKUP(B156,Database!$F:$AY,MATCH($Q$1,Database!$F$1:$AY$1,),))))-(((VLOOKUP(EDATE(B156,-12),Database!$F:$AY,MATCH($Q$1,Database!$F$1:$AY$1,),)))))/(((VLOOKUP(EDATE(B156,-12),Database!$F:$AY,MATCH($Q$1,Database!$F$1:$AY$1,),))))</f>
        <v>7.8311913919232409E-2</v>
      </c>
      <c r="R156" s="13">
        <f>((((VLOOKUP(B156,Database!$F:$AY,MATCH($R$1,Database!$F$1:$AY$1,),))))-(((VLOOKUP(EDATE(B156,-12),Database!$F:$AY,MATCH($R$1,Database!$F$1:$AY$1,),)))))/(((VLOOKUP(EDATE(B156,-12),Database!$F:$AY,MATCH($R$1,Database!$F$1:$AY$1,),))))</f>
        <v>2.7461341415983834E-2</v>
      </c>
      <c r="S156" s="13">
        <f>((((VLOOKUP(B156,Database!$F:$AY,MATCH($S$1,Database!$F$1:$AY$1,),))))-(((VLOOKUP(EDATE(B156,-12),Database!$F:$AY,MATCH($S$1,Database!$F$1:$AY$1,),)))))/(((VLOOKUP(EDATE(B156,-12),Database!$F:$AY,MATCH($S$1,Database!$F$1:$AY$1,),))))</f>
        <v>0.28483913695593771</v>
      </c>
      <c r="T156" s="13">
        <f>((((VLOOKUP(B156,Database!$F:$AY,MATCH($T$1,Database!$F$1:$AY$1,),))))-(((VLOOKUP(EDATE(B156,-12),Database!$F:$AY,MATCH($T$1,Database!$F$1:$AY$1,),)))))/(((VLOOKUP(EDATE(B156,-12),Database!$F:$AY,MATCH($T$1,Database!$F$1:$AY$1,),))))</f>
        <v>7.229036444966204E-3</v>
      </c>
      <c r="U156" s="13">
        <f>((((VLOOKUP(B156,Database!$F:$AY,MATCH($U$1,Database!$F$1:$AY$1,),))))-(((VLOOKUP(EDATE(B156,-12),Database!$F:$AY,MATCH($U$1,Database!$F$1:$AY$1,),)))))/(((VLOOKUP(EDATE(B156,-12),Database!$F:$AY,MATCH($U$1,Database!$F$1:$AY$1,),))))</f>
        <v>0.14358974358974361</v>
      </c>
      <c r="V156" s="13">
        <f>((((VLOOKUP(B156,Database!$F:$AY,MATCH($V$1,Database!$F$1:$AY$1,),))))-(((VLOOKUP(EDATE(B156,-12),Database!$F:$AY,MATCH($V$1,Database!$F$1:$AY$1,),)))))/(((VLOOKUP(EDATE(B156,-12),Database!$F:$AY,MATCH($V$1,Database!$F$1:$AY$1,),))))</f>
        <v>7.8475336322869946E-2</v>
      </c>
    </row>
    <row r="157" spans="1:22" s="85" customFormat="1" x14ac:dyDescent="0.2">
      <c r="A157" s="44"/>
      <c r="B157" s="91">
        <v>36923</v>
      </c>
      <c r="C157" s="13">
        <f>((((VLOOKUP(B157,Database!$F:$AY,MATCH($C$1,Database!$F$1:$AY$1,),))))-(((VLOOKUP(EDATE(B157,-12),Database!$F:$AY,MATCH($C$1,Database!$F$1:$AY$1,),)))))/(((VLOOKUP(EDATE(B157,-12),Database!$F:$AY,MATCH($C$1,Database!$F$1:$AY$1,),))))</f>
        <v>-5.4618542065304858E-3</v>
      </c>
      <c r="D157" s="13">
        <f>((((VLOOKUP(B157,Database!$F:$AY,MATCH($D$1,Database!$F$1:$AY$1,),))))-(((VLOOKUP(EDATE(B157,-12),Database!$F:$AY,MATCH($D$1,Database!$F$1:$AY$1,),)))))/(((VLOOKUP(EDATE(B157,-12),Database!$F:$AY,MATCH($D$1,Database!$F$1:$AY$1,),))))</f>
        <v>4.3991343192701406E-2</v>
      </c>
      <c r="E157" s="13">
        <f>((((VLOOKUP(B157,Database!$F:$AY,MATCH($E$1,Database!$F$1:$AY$1,),))))-(((VLOOKUP(EDATE(B157,-12),Database!$F:$AY,MATCH($E$1,Database!$F$1:$AY$1,),)))))/(((VLOOKUP(EDATE(B157,-12),Database!$F:$AY,MATCH($E$1,Database!$F$1:$AY$1,),))))</f>
        <v>2.7893398277338215E-2</v>
      </c>
      <c r="F157" s="13">
        <f>((((VLOOKUP(B157,Database!$F:$AY,MATCH($F$1,Database!$F$1:$AY$1,),))))-(((VLOOKUP(EDATE(B157,-12),Database!$F:$AY,MATCH($F$1,Database!$F$1:$AY$1,),)))))/(((VLOOKUP(EDATE(B157,-12),Database!$F:$AY,MATCH($F$1,Database!$F$1:$AY$1,),))))</f>
        <v>6.3775464971763715E-2</v>
      </c>
      <c r="G157" s="13">
        <f>((((VLOOKUP(B157,Database!$F:$AY,MATCH($G$1,Database!$F$1:$AY$1,),))))-(((VLOOKUP(EDATE(B157,-12),Database!$F:$AY,MATCH($G$1,Database!$F$1:$AY$1,),)))))/(((VLOOKUP(EDATE(B157,-12),Database!$F:$AY,MATCH($G$1,Database!$F$1:$AY$1,),))))</f>
        <v>3.815061416919379E-2</v>
      </c>
      <c r="H157" s="13">
        <f>((((VLOOKUP(B157,Database!$F:$AY,MATCH($H$1,Database!$F$1:$AY$1,),))))-(((VLOOKUP(EDATE(B157,-12),Database!$F:$AY,MATCH($H$1,Database!$F$1:$AY$1,),)))))/(((VLOOKUP(EDATE(B157,-12),Database!$F:$AY,MATCH($H$1,Database!$F$1:$AY$1,),))))</f>
        <v>-4.69554899577471E-3</v>
      </c>
      <c r="I157" s="13">
        <f>((((VLOOKUP(B157,Database!$F:$AY,MATCH($I$1,Database!$F$1:$AY$1,),))))-(((VLOOKUP(EDATE(B157,-12),Database!$F:$AY,MATCH($I$1,Database!$F$1:$AY$1,),)))))/(((VLOOKUP(EDATE(B157,-12),Database!$F:$AY,MATCH($I$1,Database!$F$1:$AY$1,),))))</f>
        <v>1.7571747173886619E-2</v>
      </c>
      <c r="J157" s="13">
        <f>((((VLOOKUP(B157,Database!$F:$AY,MATCH($J$1,Database!$F$1:$AY$1,),))))-(((VLOOKUP(EDATE(B157,-12),Database!$F:$AY,MATCH($J$1,Database!$F$1:$AY$1,),)))))/(((VLOOKUP(EDATE(B157,-12),Database!$F:$AY,MATCH($J$1,Database!$F$1:$AY$1,),))))</f>
        <v>6.0302768793479714E-3</v>
      </c>
      <c r="K157" s="13">
        <f>((((VLOOKUP(B157,Database!$F:$AY,MATCH($K$1,Database!$F$1:$AY$1,),))))-(((VLOOKUP(EDATE(B157,-12),Database!$F:$AY,MATCH($K$1,Database!$F$1:$AY$1,),)))))/(((VLOOKUP(EDATE(B157,-12),Database!$F:$AY,MATCH($K$1,Database!$F$1:$AY$1,),))))</f>
        <v>3.2719836400818027E-2</v>
      </c>
      <c r="L157" s="13">
        <f>((((VLOOKUP(B157,Database!$F:$AY,MATCH($L$1,Database!$F$1:$AY$1,),))))-(((VLOOKUP(EDATE(B157,-12),Database!$F:$AY,MATCH($L$1,Database!$F$1:$AY$1,),)))))/(((VLOOKUP(EDATE(B157,-12),Database!$F:$AY,MATCH($L$1,Database!$F$1:$AY$1,),))))</f>
        <v>-1.8989926106857576E-2</v>
      </c>
      <c r="M157" s="13">
        <f>((((VLOOKUP(B157,Database!$F:$AY,MATCH($M$1,Database!$F$1:$AY$1,),))))-(((VLOOKUP(EDATE(B157,-12),Database!$F:$AY,MATCH($M$1,Database!$F$1:$AY$1,),)))))/(((VLOOKUP(EDATE(B157,-12),Database!$F:$AY,MATCH($M$1,Database!$F$1:$AY$1,),))))</f>
        <v>4.2934282866948503E-2</v>
      </c>
      <c r="N157" s="13">
        <f>((((VLOOKUP(B157,Database!$F:$AY,MATCH($N$1,Database!$F$1:$AY$1,),))))-(((VLOOKUP(EDATE(B157,-12),Database!$F:$AY,MATCH($N$1,Database!$F$1:$AY$1,),)))))/(((VLOOKUP(EDATE(B157,-12),Database!$F:$AY,MATCH($N$1,Database!$F$1:$AY$1,),))))</f>
        <v>6.9307268054773719E-2</v>
      </c>
      <c r="O157" s="13">
        <f>((((VLOOKUP(B157,Database!$F:$AY,MATCH($O$1,Database!$F$1:$AY$1,),))))-(((VLOOKUP(EDATE(B157,-12),Database!$F:$AY,MATCH($O$1,Database!$F$1:$AY$1,),)))))/(((VLOOKUP(EDATE(B157,-12),Database!$F:$AY,MATCH($O$1,Database!$F$1:$AY$1,),))))</f>
        <v>1.1808353679880366E-2</v>
      </c>
      <c r="P157" s="13">
        <f>((((VLOOKUP(B157,Database!$F:$AY,MATCH($P$1,Database!$F$1:$AY$1,),))))-(((VLOOKUP(EDATE(B157,-12),Database!$F:$AY,MATCH($P$1,Database!$F$1:$AY$1,),)))))/(((VLOOKUP(EDATE(B157,-12),Database!$F:$AY,MATCH($P$1,Database!$F$1:$AY$1,),))))</f>
        <v>1.1349495955372935E-2</v>
      </c>
      <c r="Q157" s="13">
        <f>((((VLOOKUP(B157,Database!$F:$AY,MATCH($Q$1,Database!$F$1:$AY$1,),))))-(((VLOOKUP(EDATE(B157,-12),Database!$F:$AY,MATCH($Q$1,Database!$F$1:$AY$1,),)))))/(((VLOOKUP(EDATE(B157,-12),Database!$F:$AY,MATCH($Q$1,Database!$F$1:$AY$1,),))))</f>
        <v>8.7986117719471915E-2</v>
      </c>
      <c r="R157" s="13">
        <f>((((VLOOKUP(B157,Database!$F:$AY,MATCH($R$1,Database!$F$1:$AY$1,),))))-(((VLOOKUP(EDATE(B157,-12),Database!$F:$AY,MATCH($R$1,Database!$F$1:$AY$1,),)))))/(((VLOOKUP(EDATE(B157,-12),Database!$F:$AY,MATCH($R$1,Database!$F$1:$AY$1,),))))</f>
        <v>6.0116796053652187E-3</v>
      </c>
      <c r="S157" s="13">
        <f>((((VLOOKUP(B157,Database!$F:$AY,MATCH($S$1,Database!$F$1:$AY$1,),))))-(((VLOOKUP(EDATE(B157,-12),Database!$F:$AY,MATCH($S$1,Database!$F$1:$AY$1,),)))))/(((VLOOKUP(EDATE(B157,-12),Database!$F:$AY,MATCH($S$1,Database!$F$1:$AY$1,),))))</f>
        <v>0.39050542225421198</v>
      </c>
      <c r="T157" s="13">
        <f>((((VLOOKUP(B157,Database!$F:$AY,MATCH($T$1,Database!$F$1:$AY$1,),))))-(((VLOOKUP(EDATE(B157,-12),Database!$F:$AY,MATCH($T$1,Database!$F$1:$AY$1,),)))))/(((VLOOKUP(EDATE(B157,-12),Database!$F:$AY,MATCH($T$1,Database!$F$1:$AY$1,),))))</f>
        <v>-1.8604804772118223E-2</v>
      </c>
      <c r="U157" s="13">
        <f>((((VLOOKUP(B157,Database!$F:$AY,MATCH($U$1,Database!$F$1:$AY$1,),))))-(((VLOOKUP(EDATE(B157,-12),Database!$F:$AY,MATCH($U$1,Database!$F$1:$AY$1,),)))))/(((VLOOKUP(EDATE(B157,-12),Database!$F:$AY,MATCH($U$1,Database!$F$1:$AY$1,),))))</f>
        <v>9.8169778056175216E-2</v>
      </c>
      <c r="V157" s="13">
        <f>((((VLOOKUP(B157,Database!$F:$AY,MATCH($V$1,Database!$F$1:$AY$1,),))))-(((VLOOKUP(EDATE(B157,-12),Database!$F:$AY,MATCH($V$1,Database!$F$1:$AY$1,),)))))/(((VLOOKUP(EDATE(B157,-12),Database!$F:$AY,MATCH($V$1,Database!$F$1:$AY$1,),))))</f>
        <v>3.4858387799564301E-2</v>
      </c>
    </row>
    <row r="158" spans="1:22" s="85" customFormat="1" x14ac:dyDescent="0.2">
      <c r="A158" s="44"/>
      <c r="B158" s="91">
        <v>36951</v>
      </c>
      <c r="C158" s="13">
        <f>((((VLOOKUP(B158,Database!$F:$AY,MATCH($C$1,Database!$F$1:$AY$1,),))))-(((VLOOKUP(EDATE(B158,-12),Database!$F:$AY,MATCH($C$1,Database!$F$1:$AY$1,),)))))/(((VLOOKUP(EDATE(B158,-12),Database!$F:$AY,MATCH($C$1,Database!$F$1:$AY$1,),))))</f>
        <v>-1.1370457961495118E-2</v>
      </c>
      <c r="D158" s="13">
        <f>((((VLOOKUP(B158,Database!$F:$AY,MATCH($D$1,Database!$F$1:$AY$1,),))))-(((VLOOKUP(EDATE(B158,-12),Database!$F:$AY,MATCH($D$1,Database!$F$1:$AY$1,),)))))/(((VLOOKUP(EDATE(B158,-12),Database!$F:$AY,MATCH($D$1,Database!$F$1:$AY$1,),))))</f>
        <v>3.3119622501186094E-2</v>
      </c>
      <c r="E158" s="13">
        <f>((((VLOOKUP(B158,Database!$F:$AY,MATCH($E$1,Database!$F$1:$AY$1,),))))-(((VLOOKUP(EDATE(B158,-12),Database!$F:$AY,MATCH($E$1,Database!$F$1:$AY$1,),)))))/(((VLOOKUP(EDATE(B158,-12),Database!$F:$AY,MATCH($E$1,Database!$F$1:$AY$1,),))))</f>
        <v>-4.0732963428466683E-3</v>
      </c>
      <c r="F158" s="13">
        <f>((((VLOOKUP(B158,Database!$F:$AY,MATCH($F$1,Database!$F$1:$AY$1,),))))-(((VLOOKUP(EDATE(B158,-12),Database!$F:$AY,MATCH($F$1,Database!$F$1:$AY$1,),)))))/(((VLOOKUP(EDATE(B158,-12),Database!$F:$AY,MATCH($F$1,Database!$F$1:$AY$1,),))))</f>
        <v>4.4585880148486308E-2</v>
      </c>
      <c r="G158" s="13">
        <f>((((VLOOKUP(B158,Database!$F:$AY,MATCH($G$1,Database!$F$1:$AY$1,),))))-(((VLOOKUP(EDATE(B158,-12),Database!$F:$AY,MATCH($G$1,Database!$F$1:$AY$1,),)))))/(((VLOOKUP(EDATE(B158,-12),Database!$F:$AY,MATCH($G$1,Database!$F$1:$AY$1,),))))</f>
        <v>3.5499935915700047E-2</v>
      </c>
      <c r="H158" s="13">
        <f>((((VLOOKUP(B158,Database!$F:$AY,MATCH($H$1,Database!$F$1:$AY$1,),))))-(((VLOOKUP(EDATE(B158,-12),Database!$F:$AY,MATCH($H$1,Database!$F$1:$AY$1,),)))))/(((VLOOKUP(EDATE(B158,-12),Database!$F:$AY,MATCH($H$1,Database!$F$1:$AY$1,),))))</f>
        <v>-5.638691070518502E-3</v>
      </c>
      <c r="I158" s="13">
        <f>((((VLOOKUP(B158,Database!$F:$AY,MATCH($I$1,Database!$F$1:$AY$1,),))))-(((VLOOKUP(EDATE(B158,-12),Database!$F:$AY,MATCH($I$1,Database!$F$1:$AY$1,),)))))/(((VLOOKUP(EDATE(B158,-12),Database!$F:$AY,MATCH($I$1,Database!$F$1:$AY$1,),))))</f>
        <v>8.7093543010304964E-3</v>
      </c>
      <c r="J158" s="13">
        <f>((((VLOOKUP(B158,Database!$F:$AY,MATCH($J$1,Database!$F$1:$AY$1,),))))-(((VLOOKUP(EDATE(B158,-12),Database!$F:$AY,MATCH($J$1,Database!$F$1:$AY$1,),)))))/(((VLOOKUP(EDATE(B158,-12),Database!$F:$AY,MATCH($J$1,Database!$F$1:$AY$1,),))))</f>
        <v>-9.7590748525872694E-3</v>
      </c>
      <c r="K158" s="13">
        <f>((((VLOOKUP(B158,Database!$F:$AY,MATCH($K$1,Database!$F$1:$AY$1,),))))-(((VLOOKUP(EDATE(B158,-12),Database!$F:$AY,MATCH($K$1,Database!$F$1:$AY$1,),)))))/(((VLOOKUP(EDATE(B158,-12),Database!$F:$AY,MATCH($K$1,Database!$F$1:$AY$1,),))))</f>
        <v>3.048780487804878E-2</v>
      </c>
      <c r="L158" s="13">
        <f>((((VLOOKUP(B158,Database!$F:$AY,MATCH($L$1,Database!$F$1:$AY$1,),))))-(((VLOOKUP(EDATE(B158,-12),Database!$F:$AY,MATCH($L$1,Database!$F$1:$AY$1,),)))))/(((VLOOKUP(EDATE(B158,-12),Database!$F:$AY,MATCH($L$1,Database!$F$1:$AY$1,),))))</f>
        <v>-1.8014528264689075E-2</v>
      </c>
      <c r="M158" s="13">
        <f>((((VLOOKUP(B158,Database!$F:$AY,MATCH($M$1,Database!$F$1:$AY$1,),))))-(((VLOOKUP(EDATE(B158,-12),Database!$F:$AY,MATCH($M$1,Database!$F$1:$AY$1,),)))))/(((VLOOKUP(EDATE(B158,-12),Database!$F:$AY,MATCH($M$1,Database!$F$1:$AY$1,),))))</f>
        <v>3.6517984395413622E-2</v>
      </c>
      <c r="N158" s="13">
        <f>((((VLOOKUP(B158,Database!$F:$AY,MATCH($N$1,Database!$F$1:$AY$1,),))))-(((VLOOKUP(EDATE(B158,-12),Database!$F:$AY,MATCH($N$1,Database!$F$1:$AY$1,),)))))/(((VLOOKUP(EDATE(B158,-12),Database!$F:$AY,MATCH($N$1,Database!$F$1:$AY$1,),))))</f>
        <v>2.8435224420707134E-2</v>
      </c>
      <c r="O158" s="13">
        <f>((((VLOOKUP(B158,Database!$F:$AY,MATCH($O$1,Database!$F$1:$AY$1,),))))-(((VLOOKUP(EDATE(B158,-12),Database!$F:$AY,MATCH($O$1,Database!$F$1:$AY$1,),)))))/(((VLOOKUP(EDATE(B158,-12),Database!$F:$AY,MATCH($O$1,Database!$F$1:$AY$1,),))))</f>
        <v>-7.3399408531374648E-3</v>
      </c>
      <c r="P158" s="13">
        <f>((((VLOOKUP(B158,Database!$F:$AY,MATCH($P$1,Database!$F$1:$AY$1,),))))-(((VLOOKUP(EDATE(B158,-12),Database!$F:$AY,MATCH($P$1,Database!$F$1:$AY$1,),)))))/(((VLOOKUP(EDATE(B158,-12),Database!$F:$AY,MATCH($P$1,Database!$F$1:$AY$1,),))))</f>
        <v>1.3813665113182353E-2</v>
      </c>
      <c r="Q158" s="13">
        <f>((((VLOOKUP(B158,Database!$F:$AY,MATCH($Q$1,Database!$F$1:$AY$1,),))))-(((VLOOKUP(EDATE(B158,-12),Database!$F:$AY,MATCH($Q$1,Database!$F$1:$AY$1,),)))))/(((VLOOKUP(EDATE(B158,-12),Database!$F:$AY,MATCH($Q$1,Database!$F$1:$AY$1,),))))</f>
        <v>5.5359607832919863E-2</v>
      </c>
      <c r="R158" s="13">
        <f>((((VLOOKUP(B158,Database!$F:$AY,MATCH($R$1,Database!$F$1:$AY$1,),))))-(((VLOOKUP(EDATE(B158,-12),Database!$F:$AY,MATCH($R$1,Database!$F$1:$AY$1,),)))))/(((VLOOKUP(EDATE(B158,-12),Database!$F:$AY,MATCH($R$1,Database!$F$1:$AY$1,),))))</f>
        <v>-6.3157797670838803E-2</v>
      </c>
      <c r="S158" s="13">
        <f>((((VLOOKUP(B158,Database!$F:$AY,MATCH($S$1,Database!$F$1:$AY$1,),))))-(((VLOOKUP(EDATE(B158,-12),Database!$F:$AY,MATCH($S$1,Database!$F$1:$AY$1,),)))))/(((VLOOKUP(EDATE(B158,-12),Database!$F:$AY,MATCH($S$1,Database!$F$1:$AY$1,),))))</f>
        <v>0.26745901516326392</v>
      </c>
      <c r="T158" s="13">
        <f>((((VLOOKUP(B158,Database!$F:$AY,MATCH($T$1,Database!$F$1:$AY$1,),))))-(((VLOOKUP(EDATE(B158,-12),Database!$F:$AY,MATCH($T$1,Database!$F$1:$AY$1,),)))))/(((VLOOKUP(EDATE(B158,-12),Database!$F:$AY,MATCH($T$1,Database!$F$1:$AY$1,),))))</f>
        <v>-5.6872042407328738E-2</v>
      </c>
      <c r="U158" s="13">
        <f>((((VLOOKUP(B158,Database!$F:$AY,MATCH($U$1,Database!$F$1:$AY$1,),))))-(((VLOOKUP(EDATE(B158,-12),Database!$F:$AY,MATCH($U$1,Database!$F$1:$AY$1,),)))))/(((VLOOKUP(EDATE(B158,-12),Database!$F:$AY,MATCH($U$1,Database!$F$1:$AY$1,),))))</f>
        <v>9.73597909882669E-2</v>
      </c>
      <c r="V158" s="13">
        <f>((((VLOOKUP(B158,Database!$F:$AY,MATCH($V$1,Database!$F$1:$AY$1,),))))-(((VLOOKUP(EDATE(B158,-12),Database!$F:$AY,MATCH($V$1,Database!$F$1:$AY$1,),)))))/(((VLOOKUP(EDATE(B158,-12),Database!$F:$AY,MATCH($V$1,Database!$F$1:$AY$1,),))))</f>
        <v>5.7017543859649154E-2</v>
      </c>
    </row>
    <row r="159" spans="1:22" s="85" customFormat="1" x14ac:dyDescent="0.2">
      <c r="A159" s="44"/>
      <c r="B159" s="91">
        <v>36982</v>
      </c>
      <c r="C159" s="13">
        <f>((((VLOOKUP(B159,Database!$F:$AY,MATCH($C$1,Database!$F$1:$AY$1,),))))-(((VLOOKUP(EDATE(B159,-12),Database!$F:$AY,MATCH($C$1,Database!$F$1:$AY$1,),)))))/(((VLOOKUP(EDATE(B159,-12),Database!$F:$AY,MATCH($C$1,Database!$F$1:$AY$1,),))))</f>
        <v>-2.1301660818172741E-2</v>
      </c>
      <c r="D159" s="13">
        <f>((((VLOOKUP(B159,Database!$F:$AY,MATCH($D$1,Database!$F$1:$AY$1,),))))-(((VLOOKUP(EDATE(B159,-12),Database!$F:$AY,MATCH($D$1,Database!$F$1:$AY$1,),)))))/(((VLOOKUP(EDATE(B159,-12),Database!$F:$AY,MATCH($D$1,Database!$F$1:$AY$1,),))))</f>
        <v>1.2671594062875635E-2</v>
      </c>
      <c r="E159" s="13">
        <f>((((VLOOKUP(B159,Database!$F:$AY,MATCH($E$1,Database!$F$1:$AY$1,),))))-(((VLOOKUP(EDATE(B159,-12),Database!$F:$AY,MATCH($E$1,Database!$F$1:$AY$1,),)))))/(((VLOOKUP(EDATE(B159,-12),Database!$F:$AY,MATCH($E$1,Database!$F$1:$AY$1,),))))</f>
        <v>-2.6079030625098545E-2</v>
      </c>
      <c r="F159" s="13">
        <f>((((VLOOKUP(B159,Database!$F:$AY,MATCH($F$1,Database!$F$1:$AY$1,),))))-(((VLOOKUP(EDATE(B159,-12),Database!$F:$AY,MATCH($F$1,Database!$F$1:$AY$1,),)))))/(((VLOOKUP(EDATE(B159,-12),Database!$F:$AY,MATCH($F$1,Database!$F$1:$AY$1,),))))</f>
        <v>1.3836372286597839E-2</v>
      </c>
      <c r="G159" s="13">
        <f>((((VLOOKUP(B159,Database!$F:$AY,MATCH($G$1,Database!$F$1:$AY$1,),))))-(((VLOOKUP(EDATE(B159,-12),Database!$F:$AY,MATCH($G$1,Database!$F$1:$AY$1,),)))))/(((VLOOKUP(EDATE(B159,-12),Database!$F:$AY,MATCH($G$1,Database!$F$1:$AY$1,),))))</f>
        <v>1.3020248319975369E-2</v>
      </c>
      <c r="H159" s="13">
        <f>((((VLOOKUP(B159,Database!$F:$AY,MATCH($H$1,Database!$F$1:$AY$1,),))))-(((VLOOKUP(EDATE(B159,-12),Database!$F:$AY,MATCH($H$1,Database!$F$1:$AY$1,),)))))/(((VLOOKUP(EDATE(B159,-12),Database!$F:$AY,MATCH($H$1,Database!$F$1:$AY$1,),))))</f>
        <v>-1.0367882350271196E-2</v>
      </c>
      <c r="I159" s="13">
        <f>((((VLOOKUP(B159,Database!$F:$AY,MATCH($I$1,Database!$F$1:$AY$1,),))))-(((VLOOKUP(EDATE(B159,-12),Database!$F:$AY,MATCH($I$1,Database!$F$1:$AY$1,),)))))/(((VLOOKUP(EDATE(B159,-12),Database!$F:$AY,MATCH($I$1,Database!$F$1:$AY$1,),))))</f>
        <v>-7.8553280948766881E-3</v>
      </c>
      <c r="J159" s="13">
        <f>((((VLOOKUP(B159,Database!$F:$AY,MATCH($J$1,Database!$F$1:$AY$1,),))))-(((VLOOKUP(EDATE(B159,-12),Database!$F:$AY,MATCH($J$1,Database!$F$1:$AY$1,),)))))/(((VLOOKUP(EDATE(B159,-12),Database!$F:$AY,MATCH($J$1,Database!$F$1:$AY$1,),))))</f>
        <v>-2.1205141336595377E-2</v>
      </c>
      <c r="K159" s="13">
        <f>((((VLOOKUP(B159,Database!$F:$AY,MATCH($K$1,Database!$F$1:$AY$1,),))))-(((VLOOKUP(EDATE(B159,-12),Database!$F:$AY,MATCH($K$1,Database!$F$1:$AY$1,),)))))/(((VLOOKUP(EDATE(B159,-12),Database!$F:$AY,MATCH($K$1,Database!$F$1:$AY$1,),))))</f>
        <v>-2.8197381671701886E-2</v>
      </c>
      <c r="L159" s="13">
        <f>((((VLOOKUP(B159,Database!$F:$AY,MATCH($L$1,Database!$F$1:$AY$1,),))))-(((VLOOKUP(EDATE(B159,-12),Database!$F:$AY,MATCH($L$1,Database!$F$1:$AY$1,),)))))/(((VLOOKUP(EDATE(B159,-12),Database!$F:$AY,MATCH($L$1,Database!$F$1:$AY$1,),))))</f>
        <v>-4.3622471643912628E-2</v>
      </c>
      <c r="M159" s="13">
        <f>((((VLOOKUP(B159,Database!$F:$AY,MATCH($M$1,Database!$F$1:$AY$1,),))))-(((VLOOKUP(EDATE(B159,-12),Database!$F:$AY,MATCH($M$1,Database!$F$1:$AY$1,),)))))/(((VLOOKUP(EDATE(B159,-12),Database!$F:$AY,MATCH($M$1,Database!$F$1:$AY$1,),))))</f>
        <v>-5.5453754556066305E-2</v>
      </c>
      <c r="N159" s="13">
        <f>((((VLOOKUP(B159,Database!$F:$AY,MATCH($N$1,Database!$F$1:$AY$1,),))))-(((VLOOKUP(EDATE(B159,-12),Database!$F:$AY,MATCH($N$1,Database!$F$1:$AY$1,),)))))/(((VLOOKUP(EDATE(B159,-12),Database!$F:$AY,MATCH($N$1,Database!$F$1:$AY$1,),))))</f>
        <v>2.6586183474667357E-2</v>
      </c>
      <c r="O159" s="13">
        <f>((((VLOOKUP(B159,Database!$F:$AY,MATCH($O$1,Database!$F$1:$AY$1,),))))-(((VLOOKUP(EDATE(B159,-12),Database!$F:$AY,MATCH($O$1,Database!$F$1:$AY$1,),)))))/(((VLOOKUP(EDATE(B159,-12),Database!$F:$AY,MATCH($O$1,Database!$F$1:$AY$1,),))))</f>
        <v>-1.1762850441916156E-3</v>
      </c>
      <c r="P159" s="13">
        <f>((((VLOOKUP(B159,Database!$F:$AY,MATCH($P$1,Database!$F$1:$AY$1,),))))-(((VLOOKUP(EDATE(B159,-12),Database!$F:$AY,MATCH($P$1,Database!$F$1:$AY$1,),)))))/(((VLOOKUP(EDATE(B159,-12),Database!$F:$AY,MATCH($P$1,Database!$F$1:$AY$1,),))))</f>
        <v>2.9249731243699943E-2</v>
      </c>
      <c r="Q159" s="13">
        <f>((((VLOOKUP(B159,Database!$F:$AY,MATCH($Q$1,Database!$F$1:$AY$1,),))))-(((VLOOKUP(EDATE(B159,-12),Database!$F:$AY,MATCH($Q$1,Database!$F$1:$AY$1,),)))))/(((VLOOKUP(EDATE(B159,-12),Database!$F:$AY,MATCH($Q$1,Database!$F$1:$AY$1,),))))</f>
        <v>4.2037212973877393E-2</v>
      </c>
      <c r="R159" s="13">
        <f>((((VLOOKUP(B159,Database!$F:$AY,MATCH($R$1,Database!$F$1:$AY$1,),))))-(((VLOOKUP(EDATE(B159,-12),Database!$F:$AY,MATCH($R$1,Database!$F$1:$AY$1,),)))))/(((VLOOKUP(EDATE(B159,-12),Database!$F:$AY,MATCH($R$1,Database!$F$1:$AY$1,),))))</f>
        <v>-7.6973895242417267E-2</v>
      </c>
      <c r="S159" s="13">
        <f>((((VLOOKUP(B159,Database!$F:$AY,MATCH($S$1,Database!$F$1:$AY$1,),))))-(((VLOOKUP(EDATE(B159,-12),Database!$F:$AY,MATCH($S$1,Database!$F$1:$AY$1,),)))))/(((VLOOKUP(EDATE(B159,-12),Database!$F:$AY,MATCH($S$1,Database!$F$1:$AY$1,),))))</f>
        <v>0.17768586226214206</v>
      </c>
      <c r="T159" s="13">
        <f>((((VLOOKUP(B159,Database!$F:$AY,MATCH($T$1,Database!$F$1:$AY$1,),))))-(((VLOOKUP(EDATE(B159,-12),Database!$F:$AY,MATCH($T$1,Database!$F$1:$AY$1,),)))))/(((VLOOKUP(EDATE(B159,-12),Database!$F:$AY,MATCH($T$1,Database!$F$1:$AY$1,),))))</f>
        <v>-8.7759741632039118E-2</v>
      </c>
      <c r="U159" s="13">
        <f>((((VLOOKUP(B159,Database!$F:$AY,MATCH($U$1,Database!$F$1:$AY$1,),))))-(((VLOOKUP(EDATE(B159,-12),Database!$F:$AY,MATCH($U$1,Database!$F$1:$AY$1,),)))))/(((VLOOKUP(EDATE(B159,-12),Database!$F:$AY,MATCH($U$1,Database!$F$1:$AY$1,),))))</f>
        <v>0.10413222566668967</v>
      </c>
      <c r="V159" s="13">
        <f>((((VLOOKUP(B159,Database!$F:$AY,MATCH($V$1,Database!$F$1:$AY$1,),))))-(((VLOOKUP(EDATE(B159,-12),Database!$F:$AY,MATCH($V$1,Database!$F$1:$AY$1,),)))))/(((VLOOKUP(EDATE(B159,-12),Database!$F:$AY,MATCH($V$1,Database!$F$1:$AY$1,),))))</f>
        <v>1.7094017094017186E-2</v>
      </c>
    </row>
    <row r="160" spans="1:22" s="85" customFormat="1" x14ac:dyDescent="0.2">
      <c r="A160" s="44"/>
      <c r="B160" s="91">
        <v>37012</v>
      </c>
      <c r="C160" s="13">
        <f>((((VLOOKUP(B160,Database!$F:$AY,MATCH($C$1,Database!$F$1:$AY$1,),))))-(((VLOOKUP(EDATE(B160,-12),Database!$F:$AY,MATCH($C$1,Database!$F$1:$AY$1,),)))))/(((VLOOKUP(EDATE(B160,-12),Database!$F:$AY,MATCH($C$1,Database!$F$1:$AY$1,),))))</f>
        <v>-2.8935578141714099E-2</v>
      </c>
      <c r="D160" s="13">
        <f>((((VLOOKUP(B160,Database!$F:$AY,MATCH($D$1,Database!$F$1:$AY$1,),))))-(((VLOOKUP(EDATE(B160,-12),Database!$F:$AY,MATCH($D$1,Database!$F$1:$AY$1,),)))))/(((VLOOKUP(EDATE(B160,-12),Database!$F:$AY,MATCH($D$1,Database!$F$1:$AY$1,),))))</f>
        <v>1.0416319386564656E-3</v>
      </c>
      <c r="E160" s="13">
        <f>((((VLOOKUP(B160,Database!$F:$AY,MATCH($E$1,Database!$F$1:$AY$1,),))))-(((VLOOKUP(EDATE(B160,-12),Database!$F:$AY,MATCH($E$1,Database!$F$1:$AY$1,),)))))/(((VLOOKUP(EDATE(B160,-12),Database!$F:$AY,MATCH($E$1,Database!$F$1:$AY$1,),))))</f>
        <v>-3.9354912814126002E-2</v>
      </c>
      <c r="F160" s="13">
        <f>((((VLOOKUP(B160,Database!$F:$AY,MATCH($F$1,Database!$F$1:$AY$1,),))))-(((VLOOKUP(EDATE(B160,-12),Database!$F:$AY,MATCH($F$1,Database!$F$1:$AY$1,),)))))/(((VLOOKUP(EDATE(B160,-12),Database!$F:$AY,MATCH($F$1,Database!$F$1:$AY$1,),))))</f>
        <v>1.2284807014638977E-3</v>
      </c>
      <c r="G160" s="13">
        <f>((((VLOOKUP(B160,Database!$F:$AY,MATCH($G$1,Database!$F$1:$AY$1,),))))-(((VLOOKUP(EDATE(B160,-12),Database!$F:$AY,MATCH($G$1,Database!$F$1:$AY$1,),)))))/(((VLOOKUP(EDATE(B160,-12),Database!$F:$AY,MATCH($G$1,Database!$F$1:$AY$1,),))))</f>
        <v>7.8789432073093982E-3</v>
      </c>
      <c r="H160" s="13">
        <f>((((VLOOKUP(B160,Database!$F:$AY,MATCH($H$1,Database!$F$1:$AY$1,),))))-(((VLOOKUP(EDATE(B160,-12),Database!$F:$AY,MATCH($H$1,Database!$F$1:$AY$1,),)))))/(((VLOOKUP(EDATE(B160,-12),Database!$F:$AY,MATCH($H$1,Database!$F$1:$AY$1,),))))</f>
        <v>-1.2229409478177418E-2</v>
      </c>
      <c r="I160" s="13">
        <f>((((VLOOKUP(B160,Database!$F:$AY,MATCH($I$1,Database!$F$1:$AY$1,),))))-(((VLOOKUP(EDATE(B160,-12),Database!$F:$AY,MATCH($I$1,Database!$F$1:$AY$1,),)))))/(((VLOOKUP(EDATE(B160,-12),Database!$F:$AY,MATCH($I$1,Database!$F$1:$AY$1,),))))</f>
        <v>-1.4843428317835937E-2</v>
      </c>
      <c r="J160" s="13">
        <f>((((VLOOKUP(B160,Database!$F:$AY,MATCH($J$1,Database!$F$1:$AY$1,),))))-(((VLOOKUP(EDATE(B160,-12),Database!$F:$AY,MATCH($J$1,Database!$F$1:$AY$1,),)))))/(((VLOOKUP(EDATE(B160,-12),Database!$F:$AY,MATCH($J$1,Database!$F$1:$AY$1,),))))</f>
        <v>-9.8534716664623063E-3</v>
      </c>
      <c r="K160" s="13">
        <f>((((VLOOKUP(B160,Database!$F:$AY,MATCH($K$1,Database!$F$1:$AY$1,),))))-(((VLOOKUP(EDATE(B160,-12),Database!$F:$AY,MATCH($K$1,Database!$F$1:$AY$1,),)))))/(((VLOOKUP(EDATE(B160,-12),Database!$F:$AY,MATCH($K$1,Database!$F$1:$AY$1,),))))</f>
        <v>-7.9051383399209203E-3</v>
      </c>
      <c r="L160" s="13">
        <f>((((VLOOKUP(B160,Database!$F:$AY,MATCH($L$1,Database!$F$1:$AY$1,),))))-(((VLOOKUP(EDATE(B160,-12),Database!$F:$AY,MATCH($L$1,Database!$F$1:$AY$1,),)))))/(((VLOOKUP(EDATE(B160,-12),Database!$F:$AY,MATCH($L$1,Database!$F$1:$AY$1,),))))</f>
        <v>-4.0144998396681245E-2</v>
      </c>
      <c r="M160" s="13">
        <f>((((VLOOKUP(B160,Database!$F:$AY,MATCH($M$1,Database!$F$1:$AY$1,),))))-(((VLOOKUP(EDATE(B160,-12),Database!$F:$AY,MATCH($M$1,Database!$F$1:$AY$1,),)))))/(((VLOOKUP(EDATE(B160,-12),Database!$F:$AY,MATCH($M$1,Database!$F$1:$AY$1,),))))</f>
        <v>6.6858744219564809E-2</v>
      </c>
      <c r="N160" s="13">
        <f>((((VLOOKUP(B160,Database!$F:$AY,MATCH($N$1,Database!$F$1:$AY$1,),))))-(((VLOOKUP(EDATE(B160,-12),Database!$F:$AY,MATCH($N$1,Database!$F$1:$AY$1,),)))))/(((VLOOKUP(EDATE(B160,-12),Database!$F:$AY,MATCH($N$1,Database!$F$1:$AY$1,),))))</f>
        <v>1.7041179852915363E-2</v>
      </c>
      <c r="O160" s="13">
        <f>((((VLOOKUP(B160,Database!$F:$AY,MATCH($O$1,Database!$F$1:$AY$1,),))))-(((VLOOKUP(EDATE(B160,-12),Database!$F:$AY,MATCH($O$1,Database!$F$1:$AY$1,),)))))/(((VLOOKUP(EDATE(B160,-12),Database!$F:$AY,MATCH($O$1,Database!$F$1:$AY$1,),))))</f>
        <v>-1.4807764799831811E-2</v>
      </c>
      <c r="P160" s="13">
        <f>((((VLOOKUP(B160,Database!$F:$AY,MATCH($P$1,Database!$F$1:$AY$1,),))))-(((VLOOKUP(EDATE(B160,-12),Database!$F:$AY,MATCH($P$1,Database!$F$1:$AY$1,),)))))/(((VLOOKUP(EDATE(B160,-12),Database!$F:$AY,MATCH($P$1,Database!$F$1:$AY$1,),))))</f>
        <v>-9.0439790613800191E-4</v>
      </c>
      <c r="Q160" s="13">
        <f>((((VLOOKUP(B160,Database!$F:$AY,MATCH($Q$1,Database!$F$1:$AY$1,),))))-(((VLOOKUP(EDATE(B160,-12),Database!$F:$AY,MATCH($Q$1,Database!$F$1:$AY$1,),)))))/(((VLOOKUP(EDATE(B160,-12),Database!$F:$AY,MATCH($Q$1,Database!$F$1:$AY$1,),))))</f>
        <v>5.3095516621079954E-2</v>
      </c>
      <c r="R160" s="13">
        <f>((((VLOOKUP(B160,Database!$F:$AY,MATCH($R$1,Database!$F$1:$AY$1,),))))-(((VLOOKUP(EDATE(B160,-12),Database!$F:$AY,MATCH($R$1,Database!$F$1:$AY$1,),)))))/(((VLOOKUP(EDATE(B160,-12),Database!$F:$AY,MATCH($R$1,Database!$F$1:$AY$1,),))))</f>
        <v>-2.5623923222743556E-2</v>
      </c>
      <c r="S160" s="13">
        <f>((((VLOOKUP(B160,Database!$F:$AY,MATCH($S$1,Database!$F$1:$AY$1,),))))-(((VLOOKUP(EDATE(B160,-12),Database!$F:$AY,MATCH($S$1,Database!$F$1:$AY$1,),)))))/(((VLOOKUP(EDATE(B160,-12),Database!$F:$AY,MATCH($S$1,Database!$F$1:$AY$1,),))))</f>
        <v>3.6885006501394355E-2</v>
      </c>
      <c r="T160" s="13">
        <f>((((VLOOKUP(B160,Database!$F:$AY,MATCH($T$1,Database!$F$1:$AY$1,),))))-(((VLOOKUP(EDATE(B160,-12),Database!$F:$AY,MATCH($T$1,Database!$F$1:$AY$1,),)))))/(((VLOOKUP(EDATE(B160,-12),Database!$F:$AY,MATCH($T$1,Database!$F$1:$AY$1,),))))</f>
        <v>-0.10250558474806783</v>
      </c>
      <c r="U160" s="13">
        <f>((((VLOOKUP(B160,Database!$F:$AY,MATCH($U$1,Database!$F$1:$AY$1,),))))-(((VLOOKUP(EDATE(B160,-12),Database!$F:$AY,MATCH($U$1,Database!$F$1:$AY$1,),)))))/(((VLOOKUP(EDATE(B160,-12),Database!$F:$AY,MATCH($U$1,Database!$F$1:$AY$1,),))))</f>
        <v>8.9576488069592161E-2</v>
      </c>
      <c r="V160" s="13">
        <f>((((VLOOKUP(B160,Database!$F:$AY,MATCH($V$1,Database!$F$1:$AY$1,),))))-(((VLOOKUP(EDATE(B160,-12),Database!$F:$AY,MATCH($V$1,Database!$F$1:$AY$1,),)))))/(((VLOOKUP(EDATE(B160,-12),Database!$F:$AY,MATCH($V$1,Database!$F$1:$AY$1,),))))</f>
        <v>0</v>
      </c>
    </row>
    <row r="161" spans="1:22" s="85" customFormat="1" x14ac:dyDescent="0.2">
      <c r="A161" s="44"/>
      <c r="B161" s="91">
        <v>37043</v>
      </c>
      <c r="C161" s="13">
        <f>((((VLOOKUP(B161,Database!$F:$AY,MATCH($C$1,Database!$F$1:$AY$1,),))))-(((VLOOKUP(EDATE(B161,-12),Database!$F:$AY,MATCH($C$1,Database!$F$1:$AY$1,),)))))/(((VLOOKUP(EDATE(B161,-12),Database!$F:$AY,MATCH($C$1,Database!$F$1:$AY$1,),))))</f>
        <v>-3.566605154474474E-2</v>
      </c>
      <c r="D161" s="13">
        <f>((((VLOOKUP(B161,Database!$F:$AY,MATCH($D$1,Database!$F$1:$AY$1,),))))-(((VLOOKUP(EDATE(B161,-12),Database!$F:$AY,MATCH($D$1,Database!$F$1:$AY$1,),)))))/(((VLOOKUP(EDATE(B161,-12),Database!$F:$AY,MATCH($D$1,Database!$F$1:$AY$1,),))))</f>
        <v>1.6913282804830999E-2</v>
      </c>
      <c r="E161" s="13">
        <f>((((VLOOKUP(B161,Database!$F:$AY,MATCH($E$1,Database!$F$1:$AY$1,),))))-(((VLOOKUP(EDATE(B161,-12),Database!$F:$AY,MATCH($E$1,Database!$F$1:$AY$1,),)))))/(((VLOOKUP(EDATE(B161,-12),Database!$F:$AY,MATCH($E$1,Database!$F$1:$AY$1,),))))</f>
        <v>-6.1753577860273821E-2</v>
      </c>
      <c r="F161" s="13">
        <f>((((VLOOKUP(B161,Database!$F:$AY,MATCH($F$1,Database!$F$1:$AY$1,),))))-(((VLOOKUP(EDATE(B161,-12),Database!$F:$AY,MATCH($F$1,Database!$F$1:$AY$1,),)))))/(((VLOOKUP(EDATE(B161,-12),Database!$F:$AY,MATCH($F$1,Database!$F$1:$AY$1,),))))</f>
        <v>2.8894366452884266E-2</v>
      </c>
      <c r="G161" s="13">
        <f>((((VLOOKUP(B161,Database!$F:$AY,MATCH($G$1,Database!$F$1:$AY$1,),))))-(((VLOOKUP(EDATE(B161,-12),Database!$F:$AY,MATCH($G$1,Database!$F$1:$AY$1,),)))))/(((VLOOKUP(EDATE(B161,-12),Database!$F:$AY,MATCH($G$1,Database!$F$1:$AY$1,),))))</f>
        <v>2.147165237211281E-2</v>
      </c>
      <c r="H161" s="13">
        <f>((((VLOOKUP(B161,Database!$F:$AY,MATCH($H$1,Database!$F$1:$AY$1,),))))-(((VLOOKUP(EDATE(B161,-12),Database!$F:$AY,MATCH($H$1,Database!$F$1:$AY$1,),)))))/(((VLOOKUP(EDATE(B161,-12),Database!$F:$AY,MATCH($H$1,Database!$F$1:$AY$1,),))))</f>
        <v>-1.8709212969678694E-2</v>
      </c>
      <c r="I161" s="13">
        <f>((((VLOOKUP(B161,Database!$F:$AY,MATCH($I$1,Database!$F$1:$AY$1,),))))-(((VLOOKUP(EDATE(B161,-12),Database!$F:$AY,MATCH($I$1,Database!$F$1:$AY$1,),)))))/(((VLOOKUP(EDATE(B161,-12),Database!$F:$AY,MATCH($I$1,Database!$F$1:$AY$1,),))))</f>
        <v>-1.0954742725139976E-2</v>
      </c>
      <c r="J161" s="13">
        <f>((((VLOOKUP(B161,Database!$F:$AY,MATCH($J$1,Database!$F$1:$AY$1,),))))-(((VLOOKUP(EDATE(B161,-12),Database!$F:$AY,MATCH($J$1,Database!$F$1:$AY$1,),)))))/(((VLOOKUP(EDATE(B161,-12),Database!$F:$AY,MATCH($J$1,Database!$F$1:$AY$1,),))))</f>
        <v>6.4724343068108344E-5</v>
      </c>
      <c r="K161" s="13">
        <f>((((VLOOKUP(B161,Database!$F:$AY,MATCH($K$1,Database!$F$1:$AY$1,),))))-(((VLOOKUP(EDATE(B161,-12),Database!$F:$AY,MATCH($K$1,Database!$F$1:$AY$1,),)))))/(((VLOOKUP(EDATE(B161,-12),Database!$F:$AY,MATCH($K$1,Database!$F$1:$AY$1,),))))</f>
        <v>-4.3186180422264873E-2</v>
      </c>
      <c r="L161" s="13">
        <f>((((VLOOKUP(B161,Database!$F:$AY,MATCH($L$1,Database!$F$1:$AY$1,),))))-(((VLOOKUP(EDATE(B161,-12),Database!$F:$AY,MATCH($L$1,Database!$F$1:$AY$1,),)))))/(((VLOOKUP(EDATE(B161,-12),Database!$F:$AY,MATCH($L$1,Database!$F$1:$AY$1,),))))</f>
        <v>-3.7273093325837753E-2</v>
      </c>
      <c r="M161" s="13">
        <f>((((VLOOKUP(B161,Database!$F:$AY,MATCH($M$1,Database!$F$1:$AY$1,),))))-(((VLOOKUP(EDATE(B161,-12),Database!$F:$AY,MATCH($M$1,Database!$F$1:$AY$1,),)))))/(((VLOOKUP(EDATE(B161,-12),Database!$F:$AY,MATCH($M$1,Database!$F$1:$AY$1,),))))</f>
        <v>4.3635796340747018E-2</v>
      </c>
      <c r="N161" s="13">
        <f>((((VLOOKUP(B161,Database!$F:$AY,MATCH($N$1,Database!$F$1:$AY$1,),))))-(((VLOOKUP(EDATE(B161,-12),Database!$F:$AY,MATCH($N$1,Database!$F$1:$AY$1,),)))))/(((VLOOKUP(EDATE(B161,-12),Database!$F:$AY,MATCH($N$1,Database!$F$1:$AY$1,),))))</f>
        <v>3.0527914197272379E-2</v>
      </c>
      <c r="O161" s="13">
        <f>((((VLOOKUP(B161,Database!$F:$AY,MATCH($O$1,Database!$F$1:$AY$1,),))))-(((VLOOKUP(EDATE(B161,-12),Database!$F:$AY,MATCH($O$1,Database!$F$1:$AY$1,),)))))/(((VLOOKUP(EDATE(B161,-12),Database!$F:$AY,MATCH($O$1,Database!$F$1:$AY$1,),))))</f>
        <v>-2.779072884193871E-2</v>
      </c>
      <c r="P161" s="13">
        <f>((((VLOOKUP(B161,Database!$F:$AY,MATCH($P$1,Database!$F$1:$AY$1,),))))-(((VLOOKUP(EDATE(B161,-12),Database!$F:$AY,MATCH($P$1,Database!$F$1:$AY$1,),)))))/(((VLOOKUP(EDATE(B161,-12),Database!$F:$AY,MATCH($P$1,Database!$F$1:$AY$1,),))))</f>
        <v>9.7451284994962539E-3</v>
      </c>
      <c r="Q161" s="13">
        <f>((((VLOOKUP(B161,Database!$F:$AY,MATCH($Q$1,Database!$F$1:$AY$1,),))))-(((VLOOKUP(EDATE(B161,-12),Database!$F:$AY,MATCH($Q$1,Database!$F$1:$AY$1,),)))))/(((VLOOKUP(EDATE(B161,-12),Database!$F:$AY,MATCH($Q$1,Database!$F$1:$AY$1,),))))</f>
        <v>1.5237820147502265E-2</v>
      </c>
      <c r="R161" s="13">
        <f>((((VLOOKUP(B161,Database!$F:$AY,MATCH($R$1,Database!$F$1:$AY$1,),))))-(((VLOOKUP(EDATE(B161,-12),Database!$F:$AY,MATCH($R$1,Database!$F$1:$AY$1,),)))))/(((VLOOKUP(EDATE(B161,-12),Database!$F:$AY,MATCH($R$1,Database!$F$1:$AY$1,),))))</f>
        <v>-5.5888167711130962E-2</v>
      </c>
      <c r="S161" s="13">
        <f>((((VLOOKUP(B161,Database!$F:$AY,MATCH($S$1,Database!$F$1:$AY$1,),))))-(((VLOOKUP(EDATE(B161,-12),Database!$F:$AY,MATCH($S$1,Database!$F$1:$AY$1,),)))))/(((VLOOKUP(EDATE(B161,-12),Database!$F:$AY,MATCH($S$1,Database!$F$1:$AY$1,),))))</f>
        <v>0.12990514547094684</v>
      </c>
      <c r="T161" s="13">
        <f>((((VLOOKUP(B161,Database!$F:$AY,MATCH($T$1,Database!$F$1:$AY$1,),))))-(((VLOOKUP(EDATE(B161,-12),Database!$F:$AY,MATCH($T$1,Database!$F$1:$AY$1,),)))))/(((VLOOKUP(EDATE(B161,-12),Database!$F:$AY,MATCH($T$1,Database!$F$1:$AY$1,),))))</f>
        <v>-0.10786517257955675</v>
      </c>
      <c r="U161" s="13">
        <f>((((VLOOKUP(B161,Database!$F:$AY,MATCH($U$1,Database!$F$1:$AY$1,),))))-(((VLOOKUP(EDATE(B161,-12),Database!$F:$AY,MATCH($U$1,Database!$F$1:$AY$1,),)))))/(((VLOOKUP(EDATE(B161,-12),Database!$F:$AY,MATCH($U$1,Database!$F$1:$AY$1,),))))</f>
        <v>8.9722789019637567E-2</v>
      </c>
      <c r="V161" s="13">
        <f>((((VLOOKUP(B161,Database!$F:$AY,MATCH($V$1,Database!$F$1:$AY$1,),))))-(((VLOOKUP(EDATE(B161,-12),Database!$F:$AY,MATCH($V$1,Database!$F$1:$AY$1,),)))))/(((VLOOKUP(EDATE(B161,-12),Database!$F:$AY,MATCH($V$1,Database!$F$1:$AY$1,),))))</f>
        <v>-2.2916666666666696E-2</v>
      </c>
    </row>
    <row r="162" spans="1:22" s="85" customFormat="1" x14ac:dyDescent="0.2">
      <c r="A162" s="44"/>
      <c r="B162" s="91">
        <v>37073</v>
      </c>
      <c r="C162" s="13">
        <f>((((VLOOKUP(B162,Database!$F:$AY,MATCH($C$1,Database!$F$1:$AY$1,),))))-(((VLOOKUP(EDATE(B162,-12),Database!$F:$AY,MATCH($C$1,Database!$F$1:$AY$1,),)))))/(((VLOOKUP(EDATE(B162,-12),Database!$F:$AY,MATCH($C$1,Database!$F$1:$AY$1,),))))</f>
        <v>-3.9724587347172075E-2</v>
      </c>
      <c r="D162" s="13">
        <f>((((VLOOKUP(B162,Database!$F:$AY,MATCH($D$1,Database!$F$1:$AY$1,),))))-(((VLOOKUP(EDATE(B162,-12),Database!$F:$AY,MATCH($D$1,Database!$F$1:$AY$1,),)))))/(((VLOOKUP(EDATE(B162,-12),Database!$F:$AY,MATCH($D$1,Database!$F$1:$AY$1,),))))</f>
        <v>-1.3569903041248091E-2</v>
      </c>
      <c r="E162" s="13">
        <f>((((VLOOKUP(B162,Database!$F:$AY,MATCH($E$1,Database!$F$1:$AY$1,),))))-(((VLOOKUP(EDATE(B162,-12),Database!$F:$AY,MATCH($E$1,Database!$F$1:$AY$1,),)))))/(((VLOOKUP(EDATE(B162,-12),Database!$F:$AY,MATCH($E$1,Database!$F$1:$AY$1,),))))</f>
        <v>-7.2854538216859471E-2</v>
      </c>
      <c r="F162" s="13">
        <f>((((VLOOKUP(B162,Database!$F:$AY,MATCH($F$1,Database!$F$1:$AY$1,),))))-(((VLOOKUP(EDATE(B162,-12),Database!$F:$AY,MATCH($F$1,Database!$F$1:$AY$1,),)))))/(((VLOOKUP(EDATE(B162,-12),Database!$F:$AY,MATCH($F$1,Database!$F$1:$AY$1,),))))</f>
        <v>-1.8541346955234607E-2</v>
      </c>
      <c r="G162" s="13">
        <f>((((VLOOKUP(B162,Database!$F:$AY,MATCH($G$1,Database!$F$1:$AY$1,),))))-(((VLOOKUP(EDATE(B162,-12),Database!$F:$AY,MATCH($G$1,Database!$F$1:$AY$1,),)))))/(((VLOOKUP(EDATE(B162,-12),Database!$F:$AY,MATCH($G$1,Database!$F$1:$AY$1,),))))</f>
        <v>-4.3529163179043973E-3</v>
      </c>
      <c r="H162" s="13">
        <f>((((VLOOKUP(B162,Database!$F:$AY,MATCH($H$1,Database!$F$1:$AY$1,),))))-(((VLOOKUP(EDATE(B162,-12),Database!$F:$AY,MATCH($H$1,Database!$F$1:$AY$1,),)))))/(((VLOOKUP(EDATE(B162,-12),Database!$F:$AY,MATCH($H$1,Database!$F$1:$AY$1,),))))</f>
        <v>-1.6067949674999551E-2</v>
      </c>
      <c r="I162" s="13">
        <f>((((VLOOKUP(B162,Database!$F:$AY,MATCH($I$1,Database!$F$1:$AY$1,),))))-(((VLOOKUP(EDATE(B162,-12),Database!$F:$AY,MATCH($I$1,Database!$F$1:$AY$1,),)))))/(((VLOOKUP(EDATE(B162,-12),Database!$F:$AY,MATCH($I$1,Database!$F$1:$AY$1,),))))</f>
        <v>-2.1292789460317717E-2</v>
      </c>
      <c r="J162" s="13">
        <f>((((VLOOKUP(B162,Database!$F:$AY,MATCH($J$1,Database!$F$1:$AY$1,),))))-(((VLOOKUP(EDATE(B162,-12),Database!$F:$AY,MATCH($J$1,Database!$F$1:$AY$1,),)))))/(((VLOOKUP(EDATE(B162,-12),Database!$F:$AY,MATCH($J$1,Database!$F$1:$AY$1,),))))</f>
        <v>-2.8542256276203545E-2</v>
      </c>
      <c r="K162" s="13">
        <f>((((VLOOKUP(B162,Database!$F:$AY,MATCH($K$1,Database!$F$1:$AY$1,),))))-(((VLOOKUP(EDATE(B162,-12),Database!$F:$AY,MATCH($K$1,Database!$F$1:$AY$1,),)))))/(((VLOOKUP(EDATE(B162,-12),Database!$F:$AY,MATCH($K$1,Database!$F$1:$AY$1,),))))</f>
        <v>-1.094527363184074E-2</v>
      </c>
      <c r="L162" s="13">
        <f>((((VLOOKUP(B162,Database!$F:$AY,MATCH($L$1,Database!$F$1:$AY$1,),))))-(((VLOOKUP(EDATE(B162,-12),Database!$F:$AY,MATCH($L$1,Database!$F$1:$AY$1,),)))))/(((VLOOKUP(EDATE(B162,-12),Database!$F:$AY,MATCH($L$1,Database!$F$1:$AY$1,),))))</f>
        <v>-1.6296908057469445E-2</v>
      </c>
      <c r="M162" s="13">
        <f>((((VLOOKUP(B162,Database!$F:$AY,MATCH($M$1,Database!$F$1:$AY$1,),))))-(((VLOOKUP(EDATE(B162,-12),Database!$F:$AY,MATCH($M$1,Database!$F$1:$AY$1,),)))))/(((VLOOKUP(EDATE(B162,-12),Database!$F:$AY,MATCH($M$1,Database!$F$1:$AY$1,),))))</f>
        <v>4.1690208213449861E-2</v>
      </c>
      <c r="N162" s="13">
        <f>((((VLOOKUP(B162,Database!$F:$AY,MATCH($N$1,Database!$F$1:$AY$1,),))))-(((VLOOKUP(EDATE(B162,-12),Database!$F:$AY,MATCH($N$1,Database!$F$1:$AY$1,),)))))/(((VLOOKUP(EDATE(B162,-12),Database!$F:$AY,MATCH($N$1,Database!$F$1:$AY$1,),))))</f>
        <v>2.05746263538302E-2</v>
      </c>
      <c r="O162" s="13">
        <f>((((VLOOKUP(B162,Database!$F:$AY,MATCH($O$1,Database!$F$1:$AY$1,),))))-(((VLOOKUP(EDATE(B162,-12),Database!$F:$AY,MATCH($O$1,Database!$F$1:$AY$1,),)))))/(((VLOOKUP(EDATE(B162,-12),Database!$F:$AY,MATCH($O$1,Database!$F$1:$AY$1,),))))</f>
        <v>-4.1375410951256138E-2</v>
      </c>
      <c r="P162" s="13">
        <f>((((VLOOKUP(B162,Database!$F:$AY,MATCH($P$1,Database!$F$1:$AY$1,),))))-(((VLOOKUP(EDATE(B162,-12),Database!$F:$AY,MATCH($P$1,Database!$F$1:$AY$1,),)))))/(((VLOOKUP(EDATE(B162,-12),Database!$F:$AY,MATCH($P$1,Database!$F$1:$AY$1,),))))</f>
        <v>-4.0899362048153372E-2</v>
      </c>
      <c r="Q162" s="13">
        <f>((((VLOOKUP(B162,Database!$F:$AY,MATCH($Q$1,Database!$F$1:$AY$1,),))))-(((VLOOKUP(EDATE(B162,-12),Database!$F:$AY,MATCH($Q$1,Database!$F$1:$AY$1,),)))))/(((VLOOKUP(EDATE(B162,-12),Database!$F:$AY,MATCH($Q$1,Database!$F$1:$AY$1,),))))</f>
        <v>5.6613019599086887E-3</v>
      </c>
      <c r="R162" s="13">
        <f>((((VLOOKUP(B162,Database!$F:$AY,MATCH($R$1,Database!$F$1:$AY$1,),))))-(((VLOOKUP(EDATE(B162,-12),Database!$F:$AY,MATCH($R$1,Database!$F$1:$AY$1,),)))))/(((VLOOKUP(EDATE(B162,-12),Database!$F:$AY,MATCH($R$1,Database!$F$1:$AY$1,),))))</f>
        <v>-4.6558979323408564E-2</v>
      </c>
      <c r="S162" s="13">
        <f>((((VLOOKUP(B162,Database!$F:$AY,MATCH($S$1,Database!$F$1:$AY$1,),))))-(((VLOOKUP(EDATE(B162,-12),Database!$F:$AY,MATCH($S$1,Database!$F$1:$AY$1,),)))))/(((VLOOKUP(EDATE(B162,-12),Database!$F:$AY,MATCH($S$1,Database!$F$1:$AY$1,),))))</f>
        <v>2.0645215944462347E-2</v>
      </c>
      <c r="T162" s="13">
        <f>((((VLOOKUP(B162,Database!$F:$AY,MATCH($T$1,Database!$F$1:$AY$1,),))))-(((VLOOKUP(EDATE(B162,-12),Database!$F:$AY,MATCH($T$1,Database!$F$1:$AY$1,),)))))/(((VLOOKUP(EDATE(B162,-12),Database!$F:$AY,MATCH($T$1,Database!$F$1:$AY$1,),))))</f>
        <v>-0.10067104033513312</v>
      </c>
      <c r="U162" s="13">
        <f>((((VLOOKUP(B162,Database!$F:$AY,MATCH($U$1,Database!$F$1:$AY$1,),))))-(((VLOOKUP(EDATE(B162,-12),Database!$F:$AY,MATCH($U$1,Database!$F$1:$AY$1,),)))))/(((VLOOKUP(EDATE(B162,-12),Database!$F:$AY,MATCH($U$1,Database!$F$1:$AY$1,),))))</f>
        <v>6.1488727085582277E-2</v>
      </c>
      <c r="V162" s="13">
        <f>((((VLOOKUP(B162,Database!$F:$AY,MATCH($V$1,Database!$F$1:$AY$1,),))))-(((VLOOKUP(EDATE(B162,-12),Database!$F:$AY,MATCH($V$1,Database!$F$1:$AY$1,),)))))/(((VLOOKUP(EDATE(B162,-12),Database!$F:$AY,MATCH($V$1,Database!$F$1:$AY$1,),))))</f>
        <v>-8.4033613445377853E-3</v>
      </c>
    </row>
    <row r="163" spans="1:22" s="85" customFormat="1" x14ac:dyDescent="0.2">
      <c r="A163" s="44"/>
      <c r="B163" s="91">
        <v>37104</v>
      </c>
      <c r="C163" s="13">
        <f>((((VLOOKUP(B163,Database!$F:$AY,MATCH($C$1,Database!$F$1:$AY$1,),))))-(((VLOOKUP(EDATE(B163,-12),Database!$F:$AY,MATCH($C$1,Database!$F$1:$AY$1,),)))))/(((VLOOKUP(EDATE(B163,-12),Database!$F:$AY,MATCH($C$1,Database!$F$1:$AY$1,),))))</f>
        <v>-3.8103573102959247E-2</v>
      </c>
      <c r="D163" s="13">
        <f>((((VLOOKUP(B163,Database!$F:$AY,MATCH($D$1,Database!$F$1:$AY$1,),))))-(((VLOOKUP(EDATE(B163,-12),Database!$F:$AY,MATCH($D$1,Database!$F$1:$AY$1,),)))))/(((VLOOKUP(EDATE(B163,-12),Database!$F:$AY,MATCH($D$1,Database!$F$1:$AY$1,),))))</f>
        <v>9.3847754818789028E-3</v>
      </c>
      <c r="E163" s="13">
        <f>((((VLOOKUP(B163,Database!$F:$AY,MATCH($E$1,Database!$F$1:$AY$1,),))))-(((VLOOKUP(EDATE(B163,-12),Database!$F:$AY,MATCH($E$1,Database!$F$1:$AY$1,),)))))/(((VLOOKUP(EDATE(B163,-12),Database!$F:$AY,MATCH($E$1,Database!$F$1:$AY$1,),))))</f>
        <v>-9.8425390781971406E-2</v>
      </c>
      <c r="F163" s="13">
        <f>((((VLOOKUP(B163,Database!$F:$AY,MATCH($F$1,Database!$F$1:$AY$1,),))))-(((VLOOKUP(EDATE(B163,-12),Database!$F:$AY,MATCH($F$1,Database!$F$1:$AY$1,),)))))/(((VLOOKUP(EDATE(B163,-12),Database!$F:$AY,MATCH($F$1,Database!$F$1:$AY$1,),))))</f>
        <v>-1.2239698315123372E-3</v>
      </c>
      <c r="G163" s="13">
        <f>((((VLOOKUP(B163,Database!$F:$AY,MATCH($G$1,Database!$F$1:$AY$1,),))))-(((VLOOKUP(EDATE(B163,-12),Database!$F:$AY,MATCH($G$1,Database!$F$1:$AY$1,),)))))/(((VLOOKUP(EDATE(B163,-12),Database!$F:$AY,MATCH($G$1,Database!$F$1:$AY$1,),))))</f>
        <v>2.9462654255752431E-2</v>
      </c>
      <c r="H163" s="13">
        <f>((((VLOOKUP(B163,Database!$F:$AY,MATCH($H$1,Database!$F$1:$AY$1,),))))-(((VLOOKUP(EDATE(B163,-12),Database!$F:$AY,MATCH($H$1,Database!$F$1:$AY$1,),)))))/(((VLOOKUP(EDATE(B163,-12),Database!$F:$AY,MATCH($H$1,Database!$F$1:$AY$1,),))))</f>
        <v>-9.3550569835865877E-3</v>
      </c>
      <c r="I163" s="13">
        <f>((((VLOOKUP(B163,Database!$F:$AY,MATCH($I$1,Database!$F$1:$AY$1,),))))-(((VLOOKUP(EDATE(B163,-12),Database!$F:$AY,MATCH($I$1,Database!$F$1:$AY$1,),)))))/(((VLOOKUP(EDATE(B163,-12),Database!$F:$AY,MATCH($I$1,Database!$F$1:$AY$1,),))))</f>
        <v>-1.3280797691682009E-2</v>
      </c>
      <c r="J163" s="13">
        <f>((((VLOOKUP(B163,Database!$F:$AY,MATCH($J$1,Database!$F$1:$AY$1,),))))-(((VLOOKUP(EDATE(B163,-12),Database!$F:$AY,MATCH($J$1,Database!$F$1:$AY$1,),)))))/(((VLOOKUP(EDATE(B163,-12),Database!$F:$AY,MATCH($J$1,Database!$F$1:$AY$1,),))))</f>
        <v>1.439487019171347E-2</v>
      </c>
      <c r="K163" s="13">
        <f>((((VLOOKUP(B163,Database!$F:$AY,MATCH($K$1,Database!$F$1:$AY$1,),))))-(((VLOOKUP(EDATE(B163,-12),Database!$F:$AY,MATCH($K$1,Database!$F$1:$AY$1,),)))))/(((VLOOKUP(EDATE(B163,-12),Database!$F:$AY,MATCH($K$1,Database!$F$1:$AY$1,),))))</f>
        <v>-1.070038910505831E-2</v>
      </c>
      <c r="L163" s="13">
        <f>((((VLOOKUP(B163,Database!$F:$AY,MATCH($L$1,Database!$F$1:$AY$1,),))))-(((VLOOKUP(EDATE(B163,-12),Database!$F:$AY,MATCH($L$1,Database!$F$1:$AY$1,),)))))/(((VLOOKUP(EDATE(B163,-12),Database!$F:$AY,MATCH($L$1,Database!$F$1:$AY$1,),))))</f>
        <v>-3.2547001582724083E-2</v>
      </c>
      <c r="M163" s="13">
        <f>((((VLOOKUP(B163,Database!$F:$AY,MATCH($M$1,Database!$F$1:$AY$1,),))))-(((VLOOKUP(EDATE(B163,-12),Database!$F:$AY,MATCH($M$1,Database!$F$1:$AY$1,),)))))/(((VLOOKUP(EDATE(B163,-12),Database!$F:$AY,MATCH($M$1,Database!$F$1:$AY$1,),))))</f>
        <v>3.4015556480488811E-2</v>
      </c>
      <c r="N163" s="13">
        <f>((((VLOOKUP(B163,Database!$F:$AY,MATCH($N$1,Database!$F$1:$AY$1,),))))-(((VLOOKUP(EDATE(B163,-12),Database!$F:$AY,MATCH($N$1,Database!$F$1:$AY$1,),)))))/(((VLOOKUP(EDATE(B163,-12),Database!$F:$AY,MATCH($N$1,Database!$F$1:$AY$1,),))))</f>
        <v>2.8498897435521076E-2</v>
      </c>
      <c r="O163" s="13">
        <f>((((VLOOKUP(B163,Database!$F:$AY,MATCH($O$1,Database!$F$1:$AY$1,),))))-(((VLOOKUP(EDATE(B163,-12),Database!$F:$AY,MATCH($O$1,Database!$F$1:$AY$1,),)))))/(((VLOOKUP(EDATE(B163,-12),Database!$F:$AY,MATCH($O$1,Database!$F$1:$AY$1,),))))</f>
        <v>-4.5971564657649691E-2</v>
      </c>
      <c r="P163" s="13">
        <f>((((VLOOKUP(B163,Database!$F:$AY,MATCH($P$1,Database!$F$1:$AY$1,),))))-(((VLOOKUP(EDATE(B163,-12),Database!$F:$AY,MATCH($P$1,Database!$F$1:$AY$1,),)))))/(((VLOOKUP(EDATE(B163,-12),Database!$F:$AY,MATCH($P$1,Database!$F$1:$AY$1,),))))</f>
        <v>-3.3498162351866229E-2</v>
      </c>
      <c r="Q163" s="13">
        <f>((((VLOOKUP(B163,Database!$F:$AY,MATCH($Q$1,Database!$F$1:$AY$1,),))))-(((VLOOKUP(EDATE(B163,-12),Database!$F:$AY,MATCH($Q$1,Database!$F$1:$AY$1,),)))))/(((VLOOKUP(EDATE(B163,-12),Database!$F:$AY,MATCH($Q$1,Database!$F$1:$AY$1,),))))</f>
        <v>6.0743776111607884E-3</v>
      </c>
      <c r="R163" s="13">
        <f>((((VLOOKUP(B163,Database!$F:$AY,MATCH($R$1,Database!$F$1:$AY$1,),))))-(((VLOOKUP(EDATE(B163,-12),Database!$F:$AY,MATCH($R$1,Database!$F$1:$AY$1,),)))))/(((VLOOKUP(EDATE(B163,-12),Database!$F:$AY,MATCH($R$1,Database!$F$1:$AY$1,),))))</f>
        <v>-6.7013676965155949E-2</v>
      </c>
      <c r="S163" s="13">
        <f>((((VLOOKUP(B163,Database!$F:$AY,MATCH($S$1,Database!$F$1:$AY$1,),))))-(((VLOOKUP(EDATE(B163,-12),Database!$F:$AY,MATCH($S$1,Database!$F$1:$AY$1,),)))))/(((VLOOKUP(EDATE(B163,-12),Database!$F:$AY,MATCH($S$1,Database!$F$1:$AY$1,),))))</f>
        <v>0.11037217848521111</v>
      </c>
      <c r="T163" s="13">
        <f>((((VLOOKUP(B163,Database!$F:$AY,MATCH($T$1,Database!$F$1:$AY$1,),))))-(((VLOOKUP(EDATE(B163,-12),Database!$F:$AY,MATCH($T$1,Database!$F$1:$AY$1,),)))))/(((VLOOKUP(EDATE(B163,-12),Database!$F:$AY,MATCH($T$1,Database!$F$1:$AY$1,),))))</f>
        <v>-9.6069803201926499E-2</v>
      </c>
      <c r="U163" s="13">
        <f>((((VLOOKUP(B163,Database!$F:$AY,MATCH($U$1,Database!$F$1:$AY$1,),))))-(((VLOOKUP(EDATE(B163,-12),Database!$F:$AY,MATCH($U$1,Database!$F$1:$AY$1,),)))))/(((VLOOKUP(EDATE(B163,-12),Database!$F:$AY,MATCH($U$1,Database!$F$1:$AY$1,),))))</f>
        <v>3.7151859528283517E-2</v>
      </c>
      <c r="V163" s="13">
        <f>((((VLOOKUP(B163,Database!$F:$AY,MATCH($V$1,Database!$F$1:$AY$1,),))))-(((VLOOKUP(EDATE(B163,-12),Database!$F:$AY,MATCH($V$1,Database!$F$1:$AY$1,),)))))/(((VLOOKUP(EDATE(B163,-12),Database!$F:$AY,MATCH($V$1,Database!$F$1:$AY$1,),))))</f>
        <v>1.2474012474012502E-2</v>
      </c>
    </row>
    <row r="164" spans="1:22" s="85" customFormat="1" x14ac:dyDescent="0.2">
      <c r="A164" s="44"/>
      <c r="B164" s="91">
        <v>37135</v>
      </c>
      <c r="C164" s="13">
        <f>((((VLOOKUP(B164,Database!$F:$AY,MATCH($C$1,Database!$F$1:$AY$1,),))))-(((VLOOKUP(EDATE(B164,-12),Database!$F:$AY,MATCH($C$1,Database!$F$1:$AY$1,),)))))/(((VLOOKUP(EDATE(B164,-12),Database!$F:$AY,MATCH($C$1,Database!$F$1:$AY$1,),))))</f>
        <v>-4.5465540536790854E-2</v>
      </c>
      <c r="D164" s="13">
        <f>((((VLOOKUP(B164,Database!$F:$AY,MATCH($D$1,Database!$F$1:$AY$1,),))))-(((VLOOKUP(EDATE(B164,-12),Database!$F:$AY,MATCH($D$1,Database!$F$1:$AY$1,),)))))/(((VLOOKUP(EDATE(B164,-12),Database!$F:$AY,MATCH($D$1,Database!$F$1:$AY$1,),))))</f>
        <v>-6.2499999999999067E-3</v>
      </c>
      <c r="E164" s="13">
        <f>((((VLOOKUP(B164,Database!$F:$AY,MATCH($E$1,Database!$F$1:$AY$1,),))))-(((VLOOKUP(EDATE(B164,-12),Database!$F:$AY,MATCH($E$1,Database!$F$1:$AY$1,),)))))/(((VLOOKUP(EDATE(B164,-12),Database!$F:$AY,MATCH($E$1,Database!$F$1:$AY$1,),))))</f>
        <v>-9.6482715651357465E-2</v>
      </c>
      <c r="F164" s="13">
        <f>((((VLOOKUP(B164,Database!$F:$AY,MATCH($F$1,Database!$F$1:$AY$1,),))))-(((VLOOKUP(EDATE(B164,-12),Database!$F:$AY,MATCH($F$1,Database!$F$1:$AY$1,),)))))/(((VLOOKUP(EDATE(B164,-12),Database!$F:$AY,MATCH($F$1,Database!$F$1:$AY$1,),))))</f>
        <v>-1.5892400808967262E-2</v>
      </c>
      <c r="G164" s="13">
        <f>((((VLOOKUP(B164,Database!$F:$AY,MATCH($G$1,Database!$F$1:$AY$1,),))))-(((VLOOKUP(EDATE(B164,-12),Database!$F:$AY,MATCH($G$1,Database!$F$1:$AY$1,),)))))/(((VLOOKUP(EDATE(B164,-12),Database!$F:$AY,MATCH($G$1,Database!$F$1:$AY$1,),))))</f>
        <v>1.0951812935733876E-2</v>
      </c>
      <c r="H164" s="13">
        <f>((((VLOOKUP(B164,Database!$F:$AY,MATCH($H$1,Database!$F$1:$AY$1,),))))-(((VLOOKUP(EDATE(B164,-12),Database!$F:$AY,MATCH($H$1,Database!$F$1:$AY$1,),)))))/(((VLOOKUP(EDATE(B164,-12),Database!$F:$AY,MATCH($H$1,Database!$F$1:$AY$1,),))))</f>
        <v>-1.4163736541585323E-2</v>
      </c>
      <c r="I164" s="13">
        <f>((((VLOOKUP(B164,Database!$F:$AY,MATCH($I$1,Database!$F$1:$AY$1,),))))-(((VLOOKUP(EDATE(B164,-12),Database!$F:$AY,MATCH($I$1,Database!$F$1:$AY$1,),)))))/(((VLOOKUP(EDATE(B164,-12),Database!$F:$AY,MATCH($I$1,Database!$F$1:$AY$1,),))))</f>
        <v>-2.8146999006171843E-2</v>
      </c>
      <c r="J164" s="13">
        <f>((((VLOOKUP(B164,Database!$F:$AY,MATCH($J$1,Database!$F$1:$AY$1,),))))-(((VLOOKUP(EDATE(B164,-12),Database!$F:$AY,MATCH($J$1,Database!$F$1:$AY$1,),)))))/(((VLOOKUP(EDATE(B164,-12),Database!$F:$AY,MATCH($J$1,Database!$F$1:$AY$1,),))))</f>
        <v>-7.4221182353934982E-3</v>
      </c>
      <c r="K164" s="13">
        <f>((((VLOOKUP(B164,Database!$F:$AY,MATCH($K$1,Database!$F$1:$AY$1,),))))-(((VLOOKUP(EDATE(B164,-12),Database!$F:$AY,MATCH($K$1,Database!$F$1:$AY$1,),)))))/(((VLOOKUP(EDATE(B164,-12),Database!$F:$AY,MATCH($K$1,Database!$F$1:$AY$1,),))))</f>
        <v>-2.4295432458697763E-2</v>
      </c>
      <c r="L164" s="13">
        <f>((((VLOOKUP(B164,Database!$F:$AY,MATCH($L$1,Database!$F$1:$AY$1,),))))-(((VLOOKUP(EDATE(B164,-12),Database!$F:$AY,MATCH($L$1,Database!$F$1:$AY$1,),)))))/(((VLOOKUP(EDATE(B164,-12),Database!$F:$AY,MATCH($L$1,Database!$F$1:$AY$1,),))))</f>
        <v>-3.0036446004259393E-2</v>
      </c>
      <c r="M164" s="13">
        <f>((((VLOOKUP(B164,Database!$F:$AY,MATCH($M$1,Database!$F$1:$AY$1,),))))-(((VLOOKUP(EDATE(B164,-12),Database!$F:$AY,MATCH($M$1,Database!$F$1:$AY$1,),)))))/(((VLOOKUP(EDATE(B164,-12),Database!$F:$AY,MATCH($M$1,Database!$F$1:$AY$1,),))))</f>
        <v>4.8874851816655851E-2</v>
      </c>
      <c r="N164" s="13">
        <f>((((VLOOKUP(B164,Database!$F:$AY,MATCH($N$1,Database!$F$1:$AY$1,),))))-(((VLOOKUP(EDATE(B164,-12),Database!$F:$AY,MATCH($N$1,Database!$F$1:$AY$1,),)))))/(((VLOOKUP(EDATE(B164,-12),Database!$F:$AY,MATCH($N$1,Database!$F$1:$AY$1,),))))</f>
        <v>1.9368687101199798E-2</v>
      </c>
      <c r="O164" s="13">
        <f>((((VLOOKUP(B164,Database!$F:$AY,MATCH($O$1,Database!$F$1:$AY$1,),))))-(((VLOOKUP(EDATE(B164,-12),Database!$F:$AY,MATCH($O$1,Database!$F$1:$AY$1,),)))))/(((VLOOKUP(EDATE(B164,-12),Database!$F:$AY,MATCH($O$1,Database!$F$1:$AY$1,),))))</f>
        <v>-6.0225397395707682E-2</v>
      </c>
      <c r="P164" s="13">
        <f>((((VLOOKUP(B164,Database!$F:$AY,MATCH($P$1,Database!$F$1:$AY$1,),))))-(((VLOOKUP(EDATE(B164,-12),Database!$F:$AY,MATCH($P$1,Database!$F$1:$AY$1,),)))))/(((VLOOKUP(EDATE(B164,-12),Database!$F:$AY,MATCH($P$1,Database!$F$1:$AY$1,),))))</f>
        <v>-1.1023296379215675E-2</v>
      </c>
      <c r="Q164" s="13">
        <f>((((VLOOKUP(B164,Database!$F:$AY,MATCH($Q$1,Database!$F$1:$AY$1,),))))-(((VLOOKUP(EDATE(B164,-12),Database!$F:$AY,MATCH($Q$1,Database!$F$1:$AY$1,),)))))/(((VLOOKUP(EDATE(B164,-12),Database!$F:$AY,MATCH($Q$1,Database!$F$1:$AY$1,),))))</f>
        <v>-1.2504279279172126E-3</v>
      </c>
      <c r="R164" s="13">
        <f>((((VLOOKUP(B164,Database!$F:$AY,MATCH($R$1,Database!$F$1:$AY$1,),))))-(((VLOOKUP(EDATE(B164,-12),Database!$F:$AY,MATCH($R$1,Database!$F$1:$AY$1,),)))))/(((VLOOKUP(EDATE(B164,-12),Database!$F:$AY,MATCH($R$1,Database!$F$1:$AY$1,),))))</f>
        <v>-3.7415028533249878E-2</v>
      </c>
      <c r="S164" s="13">
        <f>((((VLOOKUP(B164,Database!$F:$AY,MATCH($S$1,Database!$F$1:$AY$1,),))))-(((VLOOKUP(EDATE(B164,-12),Database!$F:$AY,MATCH($S$1,Database!$F$1:$AY$1,),)))))/(((VLOOKUP(EDATE(B164,-12),Database!$F:$AY,MATCH($S$1,Database!$F$1:$AY$1,),))))</f>
        <v>6.892050483254597E-2</v>
      </c>
      <c r="T164" s="13">
        <f>((((VLOOKUP(B164,Database!$F:$AY,MATCH($T$1,Database!$F$1:$AY$1,),))))-(((VLOOKUP(EDATE(B164,-12),Database!$F:$AY,MATCH($T$1,Database!$F$1:$AY$1,),)))))/(((VLOOKUP(EDATE(B164,-12),Database!$F:$AY,MATCH($T$1,Database!$F$1:$AY$1,),))))</f>
        <v>-6.3636216929912087E-2</v>
      </c>
      <c r="U164" s="13">
        <f>((((VLOOKUP(B164,Database!$F:$AY,MATCH($U$1,Database!$F$1:$AY$1,),))))-(((VLOOKUP(EDATE(B164,-12),Database!$F:$AY,MATCH($U$1,Database!$F$1:$AY$1,),)))))/(((VLOOKUP(EDATE(B164,-12),Database!$F:$AY,MATCH($U$1,Database!$F$1:$AY$1,),))))</f>
        <v>2.950305229427207E-2</v>
      </c>
      <c r="V164" s="13">
        <f>((((VLOOKUP(B164,Database!$F:$AY,MATCH($V$1,Database!$F$1:$AY$1,),))))-(((VLOOKUP(EDATE(B164,-12),Database!$F:$AY,MATCH($V$1,Database!$F$1:$AY$1,),)))))/(((VLOOKUP(EDATE(B164,-12),Database!$F:$AY,MATCH($V$1,Database!$F$1:$AY$1,),))))</f>
        <v>-1.2474012474012502E-2</v>
      </c>
    </row>
    <row r="165" spans="1:22" s="85" customFormat="1" x14ac:dyDescent="0.2">
      <c r="A165" s="44"/>
      <c r="B165" s="91">
        <v>37165</v>
      </c>
      <c r="C165" s="13">
        <f>((((VLOOKUP(B165,Database!$F:$AY,MATCH($C$1,Database!$F$1:$AY$1,),))))-(((VLOOKUP(EDATE(B165,-12),Database!$F:$AY,MATCH($C$1,Database!$F$1:$AY$1,),)))))/(((VLOOKUP(EDATE(B165,-12),Database!$F:$AY,MATCH($C$1,Database!$F$1:$AY$1,),))))</f>
        <v>-4.6809588983837372E-2</v>
      </c>
      <c r="D165" s="13">
        <f>((((VLOOKUP(B165,Database!$F:$AY,MATCH($D$1,Database!$F$1:$AY$1,),))))-(((VLOOKUP(EDATE(B165,-12),Database!$F:$AY,MATCH($D$1,Database!$F$1:$AY$1,),)))))/(((VLOOKUP(EDATE(B165,-12),Database!$F:$AY,MATCH($D$1,Database!$F$1:$AY$1,),))))</f>
        <v>-2.0790054725335301E-2</v>
      </c>
      <c r="E165" s="13">
        <f>((((VLOOKUP(B165,Database!$F:$AY,MATCH($E$1,Database!$F$1:$AY$1,),))))-(((VLOOKUP(EDATE(B165,-12),Database!$F:$AY,MATCH($E$1,Database!$F$1:$AY$1,),)))))/(((VLOOKUP(EDATE(B165,-12),Database!$F:$AY,MATCH($E$1,Database!$F$1:$AY$1,),))))</f>
        <v>-0.10990121419177451</v>
      </c>
      <c r="F165" s="13">
        <f>((((VLOOKUP(B165,Database!$F:$AY,MATCH($F$1,Database!$F$1:$AY$1,),))))-(((VLOOKUP(EDATE(B165,-12),Database!$F:$AY,MATCH($F$1,Database!$F$1:$AY$1,),)))))/(((VLOOKUP(EDATE(B165,-12),Database!$F:$AY,MATCH($F$1,Database!$F$1:$AY$1,),))))</f>
        <v>-2.944785215848043E-2</v>
      </c>
      <c r="G165" s="13">
        <f>((((VLOOKUP(B165,Database!$F:$AY,MATCH($G$1,Database!$F$1:$AY$1,),))))-(((VLOOKUP(EDATE(B165,-12),Database!$F:$AY,MATCH($G$1,Database!$F$1:$AY$1,),)))))/(((VLOOKUP(EDATE(B165,-12),Database!$F:$AY,MATCH($G$1,Database!$F$1:$AY$1,),))))</f>
        <v>-7.2214614613168616E-3</v>
      </c>
      <c r="H165" s="13">
        <f>((((VLOOKUP(B165,Database!$F:$AY,MATCH($H$1,Database!$F$1:$AY$1,),))))-(((VLOOKUP(EDATE(B165,-12),Database!$F:$AY,MATCH($H$1,Database!$F$1:$AY$1,),)))))/(((VLOOKUP(EDATE(B165,-12),Database!$F:$AY,MATCH($H$1,Database!$F$1:$AY$1,),))))</f>
        <v>-2.4505821210539458E-2</v>
      </c>
      <c r="I165" s="13">
        <f>((((VLOOKUP(B165,Database!$F:$AY,MATCH($I$1,Database!$F$1:$AY$1,),))))-(((VLOOKUP(EDATE(B165,-12),Database!$F:$AY,MATCH($I$1,Database!$F$1:$AY$1,),)))))/(((VLOOKUP(EDATE(B165,-12),Database!$F:$AY,MATCH($I$1,Database!$F$1:$AY$1,),))))</f>
        <v>-3.7383177570093448E-2</v>
      </c>
      <c r="J165" s="13">
        <f>((((VLOOKUP(B165,Database!$F:$AY,MATCH($J$1,Database!$F$1:$AY$1,),))))-(((VLOOKUP(EDATE(B165,-12),Database!$F:$AY,MATCH($J$1,Database!$F$1:$AY$1,),)))))/(((VLOOKUP(EDATE(B165,-12),Database!$F:$AY,MATCH($J$1,Database!$F$1:$AY$1,),))))</f>
        <v>9.0330453434321893E-5</v>
      </c>
      <c r="K165" s="13">
        <f>((((VLOOKUP(B165,Database!$F:$AY,MATCH($K$1,Database!$F$1:$AY$1,),))))-(((VLOOKUP(EDATE(B165,-12),Database!$F:$AY,MATCH($K$1,Database!$F$1:$AY$1,),)))))/(((VLOOKUP(EDATE(B165,-12),Database!$F:$AY,MATCH($K$1,Database!$F$1:$AY$1,),))))</f>
        <v>-2.5169409486931214E-2</v>
      </c>
      <c r="L165" s="13">
        <f>((((VLOOKUP(B165,Database!$F:$AY,MATCH($L$1,Database!$F$1:$AY$1,),))))-(((VLOOKUP(EDATE(B165,-12),Database!$F:$AY,MATCH($L$1,Database!$F$1:$AY$1,),)))))/(((VLOOKUP(EDATE(B165,-12),Database!$F:$AY,MATCH($L$1,Database!$F$1:$AY$1,),))))</f>
        <v>-4.091900193506972E-2</v>
      </c>
      <c r="M165" s="13">
        <f>((((VLOOKUP(B165,Database!$F:$AY,MATCH($M$1,Database!$F$1:$AY$1,),))))-(((VLOOKUP(EDATE(B165,-12),Database!$F:$AY,MATCH($M$1,Database!$F$1:$AY$1,),)))))/(((VLOOKUP(EDATE(B165,-12),Database!$F:$AY,MATCH($M$1,Database!$F$1:$AY$1,),))))</f>
        <v>5.4324078872786105E-2</v>
      </c>
      <c r="N165" s="13">
        <f>((((VLOOKUP(B165,Database!$F:$AY,MATCH($N$1,Database!$F$1:$AY$1,),))))-(((VLOOKUP(EDATE(B165,-12),Database!$F:$AY,MATCH($N$1,Database!$F$1:$AY$1,),)))))/(((VLOOKUP(EDATE(B165,-12),Database!$F:$AY,MATCH($N$1,Database!$F$1:$AY$1,),))))</f>
        <v>2.5062126774857089E-2</v>
      </c>
      <c r="O165" s="13">
        <f>((((VLOOKUP(B165,Database!$F:$AY,MATCH($O$1,Database!$F$1:$AY$1,),))))-(((VLOOKUP(EDATE(B165,-12),Database!$F:$AY,MATCH($O$1,Database!$F$1:$AY$1,),)))))/(((VLOOKUP(EDATE(B165,-12),Database!$F:$AY,MATCH($O$1,Database!$F$1:$AY$1,),))))</f>
        <v>-5.9517629469662492E-2</v>
      </c>
      <c r="P165" s="13">
        <f>((((VLOOKUP(B165,Database!$F:$AY,MATCH($P$1,Database!$F$1:$AY$1,),))))-(((VLOOKUP(EDATE(B165,-12),Database!$F:$AY,MATCH($P$1,Database!$F$1:$AY$1,),)))))/(((VLOOKUP(EDATE(B165,-12),Database!$F:$AY,MATCH($P$1,Database!$F$1:$AY$1,),))))</f>
        <v>5.8512917354323207E-3</v>
      </c>
      <c r="Q165" s="13">
        <f>((((VLOOKUP(B165,Database!$F:$AY,MATCH($Q$1,Database!$F$1:$AY$1,),))))-(((VLOOKUP(EDATE(B165,-12),Database!$F:$AY,MATCH($Q$1,Database!$F$1:$AY$1,),)))))/(((VLOOKUP(EDATE(B165,-12),Database!$F:$AY,MATCH($Q$1,Database!$F$1:$AY$1,),))))</f>
        <v>-4.4875158303221946E-2</v>
      </c>
      <c r="R165" s="13">
        <f>((((VLOOKUP(B165,Database!$F:$AY,MATCH($R$1,Database!$F$1:$AY$1,),))))-(((VLOOKUP(EDATE(B165,-12),Database!$F:$AY,MATCH($R$1,Database!$F$1:$AY$1,),)))))/(((VLOOKUP(EDATE(B165,-12),Database!$F:$AY,MATCH($R$1,Database!$F$1:$AY$1,),))))</f>
        <v>-4.6061029744949855E-2</v>
      </c>
      <c r="S165" s="13">
        <f>((((VLOOKUP(B165,Database!$F:$AY,MATCH($S$1,Database!$F$1:$AY$1,),))))-(((VLOOKUP(EDATE(B165,-12),Database!$F:$AY,MATCH($S$1,Database!$F$1:$AY$1,),)))))/(((VLOOKUP(EDATE(B165,-12),Database!$F:$AY,MATCH($S$1,Database!$F$1:$AY$1,),))))</f>
        <v>-2.9484001536997269E-2</v>
      </c>
      <c r="T165" s="13">
        <f>((((VLOOKUP(B165,Database!$F:$AY,MATCH($T$1,Database!$F$1:$AY$1,),))))-(((VLOOKUP(EDATE(B165,-12),Database!$F:$AY,MATCH($T$1,Database!$F$1:$AY$1,),)))))/(((VLOOKUP(EDATE(B165,-12),Database!$F:$AY,MATCH($T$1,Database!$F$1:$AY$1,),))))</f>
        <v>-0.12780258801855221</v>
      </c>
      <c r="U165" s="13">
        <f>((((VLOOKUP(B165,Database!$F:$AY,MATCH($U$1,Database!$F$1:$AY$1,),))))-(((VLOOKUP(EDATE(B165,-12),Database!$F:$AY,MATCH($U$1,Database!$F$1:$AY$1,),)))))/(((VLOOKUP(EDATE(B165,-12),Database!$F:$AY,MATCH($U$1,Database!$F$1:$AY$1,),))))</f>
        <v>1.98777777947701E-2</v>
      </c>
      <c r="V165" s="13">
        <f>((((VLOOKUP(B165,Database!$F:$AY,MATCH($V$1,Database!$F$1:$AY$1,),))))-(((VLOOKUP(EDATE(B165,-12),Database!$F:$AY,MATCH($V$1,Database!$F$1:$AY$1,),)))))/(((VLOOKUP(EDATE(B165,-12),Database!$F:$AY,MATCH($V$1,Database!$F$1:$AY$1,),))))</f>
        <v>-4.184100418409953E-3</v>
      </c>
    </row>
    <row r="166" spans="1:22" s="85" customFormat="1" x14ac:dyDescent="0.2">
      <c r="A166" s="44"/>
      <c r="B166" s="91">
        <v>37196</v>
      </c>
      <c r="C166" s="13">
        <f>((((VLOOKUP(B166,Database!$F:$AY,MATCH($C$1,Database!$F$1:$AY$1,),))))-(((VLOOKUP(EDATE(B166,-12),Database!$F:$AY,MATCH($C$1,Database!$F$1:$AY$1,),)))))/(((VLOOKUP(EDATE(B166,-12),Database!$F:$AY,MATCH($C$1,Database!$F$1:$AY$1,),))))</f>
        <v>-5.1736955919288244E-2</v>
      </c>
      <c r="D166" s="13">
        <f>((((VLOOKUP(B166,Database!$F:$AY,MATCH($D$1,Database!$F$1:$AY$1,),))))-(((VLOOKUP(EDATE(B166,-12),Database!$F:$AY,MATCH($D$1,Database!$F$1:$AY$1,),)))))/(((VLOOKUP(EDATE(B166,-12),Database!$F:$AY,MATCH($D$1,Database!$F$1:$AY$1,),))))</f>
        <v>-3.7075178953609393E-2</v>
      </c>
      <c r="E166" s="13">
        <f>((((VLOOKUP(B166,Database!$F:$AY,MATCH($E$1,Database!$F$1:$AY$1,),))))-(((VLOOKUP(EDATE(B166,-12),Database!$F:$AY,MATCH($E$1,Database!$F$1:$AY$1,),)))))/(((VLOOKUP(EDATE(B166,-12),Database!$F:$AY,MATCH($E$1,Database!$F$1:$AY$1,),))))</f>
        <v>-0.1272191544947156</v>
      </c>
      <c r="F166" s="13">
        <f>((((VLOOKUP(B166,Database!$F:$AY,MATCH($F$1,Database!$F$1:$AY$1,),))))-(((VLOOKUP(EDATE(B166,-12),Database!$F:$AY,MATCH($F$1,Database!$F$1:$AY$1,),)))))/(((VLOOKUP(EDATE(B166,-12),Database!$F:$AY,MATCH($F$1,Database!$F$1:$AY$1,),))))</f>
        <v>-4.9878365776223441E-2</v>
      </c>
      <c r="G166" s="13">
        <f>((((VLOOKUP(B166,Database!$F:$AY,MATCH($G$1,Database!$F$1:$AY$1,),))))-(((VLOOKUP(EDATE(B166,-12),Database!$F:$AY,MATCH($G$1,Database!$F$1:$AY$1,),)))))/(((VLOOKUP(EDATE(B166,-12),Database!$F:$AY,MATCH($G$1,Database!$F$1:$AY$1,),))))</f>
        <v>-1.6277675439429387E-2</v>
      </c>
      <c r="H166" s="13">
        <f>((((VLOOKUP(B166,Database!$F:$AY,MATCH($H$1,Database!$F$1:$AY$1,),))))-(((VLOOKUP(EDATE(B166,-12),Database!$F:$AY,MATCH($H$1,Database!$F$1:$AY$1,),)))))/(((VLOOKUP(EDATE(B166,-12),Database!$F:$AY,MATCH($H$1,Database!$F$1:$AY$1,),))))</f>
        <v>-3.824635330796633E-2</v>
      </c>
      <c r="I166" s="13">
        <f>((((VLOOKUP(B166,Database!$F:$AY,MATCH($I$1,Database!$F$1:$AY$1,),))))-(((VLOOKUP(EDATE(B166,-12),Database!$F:$AY,MATCH($I$1,Database!$F$1:$AY$1,),)))))/(((VLOOKUP(EDATE(B166,-12),Database!$F:$AY,MATCH($I$1,Database!$F$1:$AY$1,),))))</f>
        <v>-6.3077547980909268E-2</v>
      </c>
      <c r="J166" s="13">
        <f>((((VLOOKUP(B166,Database!$F:$AY,MATCH($J$1,Database!$F$1:$AY$1,),))))-(((VLOOKUP(EDATE(B166,-12),Database!$F:$AY,MATCH($J$1,Database!$F$1:$AY$1,),)))))/(((VLOOKUP(EDATE(B166,-12),Database!$F:$AY,MATCH($J$1,Database!$F$1:$AY$1,),))))</f>
        <v>-4.499817284489234E-2</v>
      </c>
      <c r="K166" s="13">
        <f>((((VLOOKUP(B166,Database!$F:$AY,MATCH($K$1,Database!$F$1:$AY$1,),))))-(((VLOOKUP(EDATE(B166,-12),Database!$F:$AY,MATCH($K$1,Database!$F$1:$AY$1,),)))))/(((VLOOKUP(EDATE(B166,-12),Database!$F:$AY,MATCH($K$1,Database!$F$1:$AY$1,),))))</f>
        <v>-5.0609184629803239E-2</v>
      </c>
      <c r="L166" s="13">
        <f>((((VLOOKUP(B166,Database!$F:$AY,MATCH($L$1,Database!$F$1:$AY$1,),))))-(((VLOOKUP(EDATE(B166,-12),Database!$F:$AY,MATCH($L$1,Database!$F$1:$AY$1,),)))))/(((VLOOKUP(EDATE(B166,-12),Database!$F:$AY,MATCH($L$1,Database!$F$1:$AY$1,),))))</f>
        <v>-1.0834808984015084E-2</v>
      </c>
      <c r="M166" s="13">
        <f>((((VLOOKUP(B166,Database!$F:$AY,MATCH($M$1,Database!$F$1:$AY$1,),))))-(((VLOOKUP(EDATE(B166,-12),Database!$F:$AY,MATCH($M$1,Database!$F$1:$AY$1,),)))))/(((VLOOKUP(EDATE(B166,-12),Database!$F:$AY,MATCH($M$1,Database!$F$1:$AY$1,),))))</f>
        <v>6.4411781387353317E-2</v>
      </c>
      <c r="N166" s="13">
        <f>((((VLOOKUP(B166,Database!$F:$AY,MATCH($N$1,Database!$F$1:$AY$1,),))))-(((VLOOKUP(EDATE(B166,-12),Database!$F:$AY,MATCH($N$1,Database!$F$1:$AY$1,),)))))/(((VLOOKUP(EDATE(B166,-12),Database!$F:$AY,MATCH($N$1,Database!$F$1:$AY$1,),))))</f>
        <v>2.5305215918983898E-2</v>
      </c>
      <c r="O166" s="13">
        <f>((((VLOOKUP(B166,Database!$F:$AY,MATCH($O$1,Database!$F$1:$AY$1,),))))-(((VLOOKUP(EDATE(B166,-12),Database!$F:$AY,MATCH($O$1,Database!$F$1:$AY$1,),)))))/(((VLOOKUP(EDATE(B166,-12),Database!$F:$AY,MATCH($O$1,Database!$F$1:$AY$1,),))))</f>
        <v>-5.8593474432642713E-2</v>
      </c>
      <c r="P166" s="13">
        <f>((((VLOOKUP(B166,Database!$F:$AY,MATCH($P$1,Database!$F$1:$AY$1,),))))-(((VLOOKUP(EDATE(B166,-12),Database!$F:$AY,MATCH($P$1,Database!$F$1:$AY$1,),)))))/(((VLOOKUP(EDATE(B166,-12),Database!$F:$AY,MATCH($P$1,Database!$F$1:$AY$1,),))))</f>
        <v>2.5791688836302597E-2</v>
      </c>
      <c r="Q166" s="13">
        <f>((((VLOOKUP(B166,Database!$F:$AY,MATCH($Q$1,Database!$F$1:$AY$1,),))))-(((VLOOKUP(EDATE(B166,-12),Database!$F:$AY,MATCH($Q$1,Database!$F$1:$AY$1,),)))))/(((VLOOKUP(EDATE(B166,-12),Database!$F:$AY,MATCH($Q$1,Database!$F$1:$AY$1,),))))</f>
        <v>-2.5609496046828779E-2</v>
      </c>
      <c r="R166" s="13">
        <f>((((VLOOKUP(B166,Database!$F:$AY,MATCH($R$1,Database!$F$1:$AY$1,),))))-(((VLOOKUP(EDATE(B166,-12),Database!$F:$AY,MATCH($R$1,Database!$F$1:$AY$1,),)))))/(((VLOOKUP(EDATE(B166,-12),Database!$F:$AY,MATCH($R$1,Database!$F$1:$AY$1,),))))</f>
        <v>-2.8169638270741971E-2</v>
      </c>
      <c r="S166" s="13">
        <f>((((VLOOKUP(B166,Database!$F:$AY,MATCH($S$1,Database!$F$1:$AY$1,),))))-(((VLOOKUP(EDATE(B166,-12),Database!$F:$AY,MATCH($S$1,Database!$F$1:$AY$1,),)))))/(((VLOOKUP(EDATE(B166,-12),Database!$F:$AY,MATCH($S$1,Database!$F$1:$AY$1,),))))</f>
        <v>-5.070759118048062E-2</v>
      </c>
      <c r="T166" s="13">
        <f>((((VLOOKUP(B166,Database!$F:$AY,MATCH($T$1,Database!$F$1:$AY$1,),))))-(((VLOOKUP(EDATE(B166,-12),Database!$F:$AY,MATCH($T$1,Database!$F$1:$AY$1,),)))))/(((VLOOKUP(EDATE(B166,-12),Database!$F:$AY,MATCH($T$1,Database!$F$1:$AY$1,),))))</f>
        <v>-0.12389374069474382</v>
      </c>
      <c r="U166" s="13">
        <f>((((VLOOKUP(B166,Database!$F:$AY,MATCH($U$1,Database!$F$1:$AY$1,),))))-(((VLOOKUP(EDATE(B166,-12),Database!$F:$AY,MATCH($U$1,Database!$F$1:$AY$1,),)))))/(((VLOOKUP(EDATE(B166,-12),Database!$F:$AY,MATCH($U$1,Database!$F$1:$AY$1,),))))</f>
        <v>3.5439190324180463E-2</v>
      </c>
      <c r="V166" s="13">
        <f>((((VLOOKUP(B166,Database!$F:$AY,MATCH($V$1,Database!$F$1:$AY$1,),))))-(((VLOOKUP(EDATE(B166,-12),Database!$F:$AY,MATCH($V$1,Database!$F$1:$AY$1,),)))))/(((VLOOKUP(EDATE(B166,-12),Database!$F:$AY,MATCH($V$1,Database!$F$1:$AY$1,),))))</f>
        <v>-1.2605042016806753E-2</v>
      </c>
    </row>
    <row r="167" spans="1:22" s="85" customFormat="1" x14ac:dyDescent="0.2">
      <c r="A167" s="44"/>
      <c r="B167" s="91">
        <v>37226</v>
      </c>
      <c r="C167" s="13">
        <f>((((VLOOKUP(B167,Database!$F:$AY,MATCH($C$1,Database!$F$1:$AY$1,),))))-(((VLOOKUP(EDATE(B167,-12),Database!$F:$AY,MATCH($C$1,Database!$F$1:$AY$1,),)))))/(((VLOOKUP(EDATE(B167,-12),Database!$F:$AY,MATCH($C$1,Database!$F$1:$AY$1,),))))</f>
        <v>-4.8866465228635275E-2</v>
      </c>
      <c r="D167" s="13">
        <f>((((VLOOKUP(B167,Database!$F:$AY,MATCH($D$1,Database!$F$1:$AY$1,),))))-(((VLOOKUP(EDATE(B167,-12),Database!$F:$AY,MATCH($D$1,Database!$F$1:$AY$1,),)))))/(((VLOOKUP(EDATE(B167,-12),Database!$F:$AY,MATCH($D$1,Database!$F$1:$AY$1,),))))</f>
        <v>-3.5823983771297828E-2</v>
      </c>
      <c r="E167" s="13">
        <f>((((VLOOKUP(B167,Database!$F:$AY,MATCH($E$1,Database!$F$1:$AY$1,),))))-(((VLOOKUP(EDATE(B167,-12),Database!$F:$AY,MATCH($E$1,Database!$F$1:$AY$1,),)))))/(((VLOOKUP(EDATE(B167,-12),Database!$F:$AY,MATCH($E$1,Database!$F$1:$AY$1,),))))</f>
        <v>-0.12695325203625482</v>
      </c>
      <c r="F167" s="13">
        <f>((((VLOOKUP(B167,Database!$F:$AY,MATCH($F$1,Database!$F$1:$AY$1,),))))-(((VLOOKUP(EDATE(B167,-12),Database!$F:$AY,MATCH($F$1,Database!$F$1:$AY$1,),)))))/(((VLOOKUP(EDATE(B167,-12),Database!$F:$AY,MATCH($F$1,Database!$F$1:$AY$1,),))))</f>
        <v>-4.957680271064905E-2</v>
      </c>
      <c r="G167" s="13">
        <f>((((VLOOKUP(B167,Database!$F:$AY,MATCH($G$1,Database!$F$1:$AY$1,),))))-(((VLOOKUP(EDATE(B167,-12),Database!$F:$AY,MATCH($G$1,Database!$F$1:$AY$1,),)))))/(((VLOOKUP(EDATE(B167,-12),Database!$F:$AY,MATCH($G$1,Database!$F$1:$AY$1,),))))</f>
        <v>-1.8996262574943305E-2</v>
      </c>
      <c r="H167" s="13">
        <f>((((VLOOKUP(B167,Database!$F:$AY,MATCH($H$1,Database!$F$1:$AY$1,),))))-(((VLOOKUP(EDATE(B167,-12),Database!$F:$AY,MATCH($H$1,Database!$F$1:$AY$1,),)))))/(((VLOOKUP(EDATE(B167,-12),Database!$F:$AY,MATCH($H$1,Database!$F$1:$AY$1,),))))</f>
        <v>-3.4611818744532036E-2</v>
      </c>
      <c r="I167" s="13">
        <f>((((VLOOKUP(B167,Database!$F:$AY,MATCH($I$1,Database!$F$1:$AY$1,),))))-(((VLOOKUP(EDATE(B167,-12),Database!$F:$AY,MATCH($I$1,Database!$F$1:$AY$1,),)))))/(((VLOOKUP(EDATE(B167,-12),Database!$F:$AY,MATCH($I$1,Database!$F$1:$AY$1,),))))</f>
        <v>-6.3732936739788471E-2</v>
      </c>
      <c r="J167" s="13">
        <f>((((VLOOKUP(B167,Database!$F:$AY,MATCH($J$1,Database!$F$1:$AY$1,),))))-(((VLOOKUP(EDATE(B167,-12),Database!$F:$AY,MATCH($J$1,Database!$F$1:$AY$1,),)))))/(((VLOOKUP(EDATE(B167,-12),Database!$F:$AY,MATCH($J$1,Database!$F$1:$AY$1,),))))</f>
        <v>-5.5069128240398585E-2</v>
      </c>
      <c r="K167" s="13">
        <f>((((VLOOKUP(B167,Database!$F:$AY,MATCH($K$1,Database!$F$1:$AY$1,),))))-(((VLOOKUP(EDATE(B167,-12),Database!$F:$AY,MATCH($K$1,Database!$F$1:$AY$1,),)))))/(((VLOOKUP(EDATE(B167,-12),Database!$F:$AY,MATCH($K$1,Database!$F$1:$AY$1,),))))</f>
        <v>-3.9564787339267209E-3</v>
      </c>
      <c r="L167" s="13">
        <f>((((VLOOKUP(B167,Database!$F:$AY,MATCH($L$1,Database!$F$1:$AY$1,),))))-(((VLOOKUP(EDATE(B167,-12),Database!$F:$AY,MATCH($L$1,Database!$F$1:$AY$1,),)))))/(((VLOOKUP(EDATE(B167,-12),Database!$F:$AY,MATCH($L$1,Database!$F$1:$AY$1,),))))</f>
        <v>-2.6692337213708533E-3</v>
      </c>
      <c r="M167" s="13">
        <f>((((VLOOKUP(B167,Database!$F:$AY,MATCH($M$1,Database!$F$1:$AY$1,),))))-(((VLOOKUP(EDATE(B167,-12),Database!$F:$AY,MATCH($M$1,Database!$F$1:$AY$1,),)))))/(((VLOOKUP(EDATE(B167,-12),Database!$F:$AY,MATCH($M$1,Database!$F$1:$AY$1,),))))</f>
        <v>1.447112221661538E-2</v>
      </c>
      <c r="N167" s="13">
        <f>((((VLOOKUP(B167,Database!$F:$AY,MATCH($N$1,Database!$F$1:$AY$1,),))))-(((VLOOKUP(EDATE(B167,-12),Database!$F:$AY,MATCH($N$1,Database!$F$1:$AY$1,),)))))/(((VLOOKUP(EDATE(B167,-12),Database!$F:$AY,MATCH($N$1,Database!$F$1:$AY$1,),))))</f>
        <v>2.8198912453514847E-2</v>
      </c>
      <c r="O167" s="13">
        <f>((((VLOOKUP(B167,Database!$F:$AY,MATCH($O$1,Database!$F$1:$AY$1,),))))-(((VLOOKUP(EDATE(B167,-12),Database!$F:$AY,MATCH($O$1,Database!$F$1:$AY$1,),)))))/(((VLOOKUP(EDATE(B167,-12),Database!$F:$AY,MATCH($O$1,Database!$F$1:$AY$1,),))))</f>
        <v>-7.7854631341033348E-2</v>
      </c>
      <c r="P167" s="13">
        <f>((((VLOOKUP(B167,Database!$F:$AY,MATCH($P$1,Database!$F$1:$AY$1,),))))-(((VLOOKUP(EDATE(B167,-12),Database!$F:$AY,MATCH($P$1,Database!$F$1:$AY$1,),)))))/(((VLOOKUP(EDATE(B167,-12),Database!$F:$AY,MATCH($P$1,Database!$F$1:$AY$1,),))))</f>
        <v>1.4755476126435027E-2</v>
      </c>
      <c r="Q167" s="13">
        <f>((((VLOOKUP(B167,Database!$F:$AY,MATCH($Q$1,Database!$F$1:$AY$1,),))))-(((VLOOKUP(EDATE(B167,-12),Database!$F:$AY,MATCH($Q$1,Database!$F$1:$AY$1,),)))))/(((VLOOKUP(EDATE(B167,-12),Database!$F:$AY,MATCH($Q$1,Database!$F$1:$AY$1,),))))</f>
        <v>-6.476376520277298E-2</v>
      </c>
      <c r="R167" s="13">
        <f>((((VLOOKUP(B167,Database!$F:$AY,MATCH($R$1,Database!$F$1:$AY$1,),))))-(((VLOOKUP(EDATE(B167,-12),Database!$F:$AY,MATCH($R$1,Database!$F$1:$AY$1,),)))))/(((VLOOKUP(EDATE(B167,-12),Database!$F:$AY,MATCH($R$1,Database!$F$1:$AY$1,),))))</f>
        <v>-0.12045010763702764</v>
      </c>
      <c r="S167" s="13">
        <f>((((VLOOKUP(B167,Database!$F:$AY,MATCH($S$1,Database!$F$1:$AY$1,),))))-(((VLOOKUP(EDATE(B167,-12),Database!$F:$AY,MATCH($S$1,Database!$F$1:$AY$1,),)))))/(((VLOOKUP(EDATE(B167,-12),Database!$F:$AY,MATCH($S$1,Database!$F$1:$AY$1,),))))</f>
        <v>5.1129651166282014E-2</v>
      </c>
      <c r="T167" s="13">
        <f>((((VLOOKUP(B167,Database!$F:$AY,MATCH($T$1,Database!$F$1:$AY$1,),))))-(((VLOOKUP(EDATE(B167,-12),Database!$F:$AY,MATCH($T$1,Database!$F$1:$AY$1,),)))))/(((VLOOKUP(EDATE(B167,-12),Database!$F:$AY,MATCH($T$1,Database!$F$1:$AY$1,),))))</f>
        <v>-8.7759741632039118E-2</v>
      </c>
      <c r="U167" s="13">
        <f>((((VLOOKUP(B167,Database!$F:$AY,MATCH($U$1,Database!$F$1:$AY$1,),))))-(((VLOOKUP(EDATE(B167,-12),Database!$F:$AY,MATCH($U$1,Database!$F$1:$AY$1,),)))))/(((VLOOKUP(EDATE(B167,-12),Database!$F:$AY,MATCH($U$1,Database!$F$1:$AY$1,),))))</f>
        <v>1.5083056829230302E-2</v>
      </c>
      <c r="V167" s="13">
        <f>((((VLOOKUP(B167,Database!$F:$AY,MATCH($V$1,Database!$F$1:$AY$1,),))))-(((VLOOKUP(EDATE(B167,-12),Database!$F:$AY,MATCH($V$1,Database!$F$1:$AY$1,),)))))/(((VLOOKUP(EDATE(B167,-12),Database!$F:$AY,MATCH($V$1,Database!$F$1:$AY$1,),))))</f>
        <v>-4.8449612403100771E-2</v>
      </c>
    </row>
    <row r="168" spans="1:22" s="85" customFormat="1" x14ac:dyDescent="0.2">
      <c r="A168" s="44"/>
      <c r="B168" s="91">
        <v>37257</v>
      </c>
      <c r="C168" s="13">
        <f>((((VLOOKUP(B168,Database!$F:$AY,MATCH($C$1,Database!$F$1:$AY$1,),))))-(((VLOOKUP(EDATE(B168,-12),Database!$F:$AY,MATCH($C$1,Database!$F$1:$AY$1,),)))))/(((VLOOKUP(EDATE(B168,-12),Database!$F:$AY,MATCH($C$1,Database!$F$1:$AY$1,),))))</f>
        <v>-3.6653416462598433E-2</v>
      </c>
      <c r="D168" s="13">
        <f>((((VLOOKUP(B168,Database!$F:$AY,MATCH($D$1,Database!$F$1:$AY$1,),))))-(((VLOOKUP(EDATE(B168,-12),Database!$F:$AY,MATCH($D$1,Database!$F$1:$AY$1,),)))))/(((VLOOKUP(EDATE(B168,-12),Database!$F:$AY,MATCH($D$1,Database!$F$1:$AY$1,),))))</f>
        <v>-2.7863777089783305E-2</v>
      </c>
      <c r="E168" s="13">
        <f>((((VLOOKUP(B168,Database!$F:$AY,MATCH($E$1,Database!$F$1:$AY$1,),))))-(((VLOOKUP(EDATE(B168,-12),Database!$F:$AY,MATCH($E$1,Database!$F$1:$AY$1,),)))))/(((VLOOKUP(EDATE(B168,-12),Database!$F:$AY,MATCH($E$1,Database!$F$1:$AY$1,),))))</f>
        <v>-9.837757746220864E-2</v>
      </c>
      <c r="F168" s="13">
        <f>((((VLOOKUP(B168,Database!$F:$AY,MATCH($F$1,Database!$F$1:$AY$1,),))))-(((VLOOKUP(EDATE(B168,-12),Database!$F:$AY,MATCH($F$1,Database!$F$1:$AY$1,),)))))/(((VLOOKUP(EDATE(B168,-12),Database!$F:$AY,MATCH($F$1,Database!$F$1:$AY$1,),))))</f>
        <v>-4.2424260056564633E-2</v>
      </c>
      <c r="G168" s="13">
        <f>((((VLOOKUP(B168,Database!$F:$AY,MATCH($G$1,Database!$F$1:$AY$1,),))))-(((VLOOKUP(EDATE(B168,-12),Database!$F:$AY,MATCH($G$1,Database!$F$1:$AY$1,),)))))/(((VLOOKUP(EDATE(B168,-12),Database!$F:$AY,MATCH($G$1,Database!$F$1:$AY$1,),))))</f>
        <v>-1.4851364840428758E-2</v>
      </c>
      <c r="H168" s="13">
        <f>((((VLOOKUP(B168,Database!$F:$AY,MATCH($H$1,Database!$F$1:$AY$1,),))))-(((VLOOKUP(EDATE(B168,-12),Database!$F:$AY,MATCH($H$1,Database!$F$1:$AY$1,),)))))/(((VLOOKUP(EDATE(B168,-12),Database!$F:$AY,MATCH($H$1,Database!$F$1:$AY$1,),))))</f>
        <v>-3.6516473943086658E-2</v>
      </c>
      <c r="I168" s="13">
        <f>((((VLOOKUP(B168,Database!$F:$AY,MATCH($I$1,Database!$F$1:$AY$1,),))))-(((VLOOKUP(EDATE(B168,-12),Database!$F:$AY,MATCH($I$1,Database!$F$1:$AY$1,),)))))/(((VLOOKUP(EDATE(B168,-12),Database!$F:$AY,MATCH($I$1,Database!$F$1:$AY$1,),))))</f>
        <v>-4.6021781849187128E-2</v>
      </c>
      <c r="J168" s="13">
        <f>((((VLOOKUP(B168,Database!$F:$AY,MATCH($J$1,Database!$F$1:$AY$1,),))))-(((VLOOKUP(EDATE(B168,-12),Database!$F:$AY,MATCH($J$1,Database!$F$1:$AY$1,),)))))/(((VLOOKUP(EDATE(B168,-12),Database!$F:$AY,MATCH($J$1,Database!$F$1:$AY$1,),))))</f>
        <v>-1.1282776833023821E-2</v>
      </c>
      <c r="K168" s="13">
        <f>((((VLOOKUP(B168,Database!$F:$AY,MATCH($K$1,Database!$F$1:$AY$1,),))))-(((VLOOKUP(EDATE(B168,-12),Database!$F:$AY,MATCH($K$1,Database!$F$1:$AY$1,),)))))/(((VLOOKUP(EDATE(B168,-12),Database!$F:$AY,MATCH($K$1,Database!$F$1:$AY$1,),))))</f>
        <v>-2.5465230166503375E-2</v>
      </c>
      <c r="L168" s="13">
        <f>((((VLOOKUP(B168,Database!$F:$AY,MATCH($L$1,Database!$F$1:$AY$1,),))))-(((VLOOKUP(EDATE(B168,-12),Database!$F:$AY,MATCH($L$1,Database!$F$1:$AY$1,),)))))/(((VLOOKUP(EDATE(B168,-12),Database!$F:$AY,MATCH($L$1,Database!$F$1:$AY$1,),))))</f>
        <v>-2.5949863304179602E-2</v>
      </c>
      <c r="M168" s="13">
        <f>((((VLOOKUP(B168,Database!$F:$AY,MATCH($M$1,Database!$F$1:$AY$1,),))))-(((VLOOKUP(EDATE(B168,-12),Database!$F:$AY,MATCH($M$1,Database!$F$1:$AY$1,),)))))/(((VLOOKUP(EDATE(B168,-12),Database!$F:$AY,MATCH($M$1,Database!$F$1:$AY$1,),))))</f>
        <v>4.4740639093631893E-2</v>
      </c>
      <c r="N168" s="13">
        <f>((((VLOOKUP(B168,Database!$F:$AY,MATCH($N$1,Database!$F$1:$AY$1,),))))-(((VLOOKUP(EDATE(B168,-12),Database!$F:$AY,MATCH($N$1,Database!$F$1:$AY$1,),)))))/(((VLOOKUP(EDATE(B168,-12),Database!$F:$AY,MATCH($N$1,Database!$F$1:$AY$1,),))))</f>
        <v>3.6711969923671033E-2</v>
      </c>
      <c r="O168" s="13">
        <f>((((VLOOKUP(B168,Database!$F:$AY,MATCH($O$1,Database!$F$1:$AY$1,),))))-(((VLOOKUP(EDATE(B168,-12),Database!$F:$AY,MATCH($O$1,Database!$F$1:$AY$1,),)))))/(((VLOOKUP(EDATE(B168,-12),Database!$F:$AY,MATCH($O$1,Database!$F$1:$AY$1,),))))</f>
        <v>-2.0354459338098305E-2</v>
      </c>
      <c r="P168" s="13">
        <f>((((VLOOKUP(B168,Database!$F:$AY,MATCH($P$1,Database!$F$1:$AY$1,),))))-(((VLOOKUP(EDATE(B168,-12),Database!$F:$AY,MATCH($P$1,Database!$F$1:$AY$1,),)))))/(((VLOOKUP(EDATE(B168,-12),Database!$F:$AY,MATCH($P$1,Database!$F$1:$AY$1,),))))</f>
        <v>5.0920099400466934E-2</v>
      </c>
      <c r="Q168" s="13">
        <f>((((VLOOKUP(B168,Database!$F:$AY,MATCH($Q$1,Database!$F$1:$AY$1,),))))-(((VLOOKUP(EDATE(B168,-12),Database!$F:$AY,MATCH($Q$1,Database!$F$1:$AY$1,),)))))/(((VLOOKUP(EDATE(B168,-12),Database!$F:$AY,MATCH($Q$1,Database!$F$1:$AY$1,),))))</f>
        <v>-1.6968299404510015E-2</v>
      </c>
      <c r="R168" s="13">
        <f>((((VLOOKUP(B168,Database!$F:$AY,MATCH($R$1,Database!$F$1:$AY$1,),))))-(((VLOOKUP(EDATE(B168,-12),Database!$F:$AY,MATCH($R$1,Database!$F$1:$AY$1,),)))))/(((VLOOKUP(EDATE(B168,-12),Database!$F:$AY,MATCH($R$1,Database!$F$1:$AY$1,),))))</f>
        <v>-7.8878771344957549E-2</v>
      </c>
      <c r="S168" s="13">
        <f>((((VLOOKUP(B168,Database!$F:$AY,MATCH($S$1,Database!$F$1:$AY$1,),))))-(((VLOOKUP(EDATE(B168,-12),Database!$F:$AY,MATCH($S$1,Database!$F$1:$AY$1,),)))))/(((VLOOKUP(EDATE(B168,-12),Database!$F:$AY,MATCH($S$1,Database!$F$1:$AY$1,),))))</f>
        <v>6.7938038194517603E-2</v>
      </c>
      <c r="T168" s="13">
        <f>((((VLOOKUP(B168,Database!$F:$AY,MATCH($T$1,Database!$F$1:$AY$1,),))))-(((VLOOKUP(EDATE(B168,-12),Database!$F:$AY,MATCH($T$1,Database!$F$1:$AY$1,),)))))/(((VLOOKUP(EDATE(B168,-12),Database!$F:$AY,MATCH($T$1,Database!$F$1:$AY$1,),))))</f>
        <v>-2.3923522819603235E-2</v>
      </c>
      <c r="U168" s="13">
        <f>((((VLOOKUP(B168,Database!$F:$AY,MATCH($U$1,Database!$F$1:$AY$1,),))))-(((VLOOKUP(EDATE(B168,-12),Database!$F:$AY,MATCH($U$1,Database!$F$1:$AY$1,),)))))/(((VLOOKUP(EDATE(B168,-12),Database!$F:$AY,MATCH($U$1,Database!$F$1:$AY$1,),))))</f>
        <v>-2.2421524663677216E-2</v>
      </c>
      <c r="V168" s="13">
        <f>((((VLOOKUP(B168,Database!$F:$AY,MATCH($V$1,Database!$F$1:$AY$1,),))))-(((VLOOKUP(EDATE(B168,-12),Database!$F:$AY,MATCH($V$1,Database!$F$1:$AY$1,),)))))/(((VLOOKUP(EDATE(B168,-12),Database!$F:$AY,MATCH($V$1,Database!$F$1:$AY$1,),))))</f>
        <v>-4.1580041580042172E-3</v>
      </c>
    </row>
    <row r="169" spans="1:22" s="85" customFormat="1" x14ac:dyDescent="0.2">
      <c r="A169" s="44"/>
      <c r="B169" s="91">
        <v>37288</v>
      </c>
      <c r="C169" s="13">
        <f>((((VLOOKUP(B169,Database!$F:$AY,MATCH($C$1,Database!$F$1:$AY$1,),))))-(((VLOOKUP(EDATE(B169,-12),Database!$F:$AY,MATCH($C$1,Database!$F$1:$AY$1,),)))))/(((VLOOKUP(EDATE(B169,-12),Database!$F:$AY,MATCH($C$1,Database!$F$1:$AY$1,),))))</f>
        <v>-3.0705838973637045E-2</v>
      </c>
      <c r="D169" s="13">
        <f>((((VLOOKUP(B169,Database!$F:$AY,MATCH($D$1,Database!$F$1:$AY$1,),))))-(((VLOOKUP(EDATE(B169,-12),Database!$F:$AY,MATCH($D$1,Database!$F$1:$AY$1,),)))))/(((VLOOKUP(EDATE(B169,-12),Database!$F:$AY,MATCH($D$1,Database!$F$1:$AY$1,),))))</f>
        <v>-2.8776945139261552E-2</v>
      </c>
      <c r="E169" s="13">
        <f>((((VLOOKUP(B169,Database!$F:$AY,MATCH($E$1,Database!$F$1:$AY$1,),))))-(((VLOOKUP(EDATE(B169,-12),Database!$F:$AY,MATCH($E$1,Database!$F$1:$AY$1,),)))))/(((VLOOKUP(EDATE(B169,-12),Database!$F:$AY,MATCH($E$1,Database!$F$1:$AY$1,),))))</f>
        <v>-9.5477696226969902E-2</v>
      </c>
      <c r="F169" s="13">
        <f>((((VLOOKUP(B169,Database!$F:$AY,MATCH($F$1,Database!$F$1:$AY$1,),))))-(((VLOOKUP(EDATE(B169,-12),Database!$F:$AY,MATCH($F$1,Database!$F$1:$AY$1,),)))))/(((VLOOKUP(EDATE(B169,-12),Database!$F:$AY,MATCH($F$1,Database!$F$1:$AY$1,),))))</f>
        <v>-5.0359712230215889E-2</v>
      </c>
      <c r="G169" s="13">
        <f>((((VLOOKUP(B169,Database!$F:$AY,MATCH($G$1,Database!$F$1:$AY$1,),))))-(((VLOOKUP(EDATE(B169,-12),Database!$F:$AY,MATCH($G$1,Database!$F$1:$AY$1,),)))))/(((VLOOKUP(EDATE(B169,-12),Database!$F:$AY,MATCH($G$1,Database!$F$1:$AY$1,),))))</f>
        <v>-1.7882545651903729E-2</v>
      </c>
      <c r="H169" s="13">
        <f>((((VLOOKUP(B169,Database!$F:$AY,MATCH($H$1,Database!$F$1:$AY$1,),))))-(((VLOOKUP(EDATE(B169,-12),Database!$F:$AY,MATCH($H$1,Database!$F$1:$AY$1,),)))))/(((VLOOKUP(EDATE(B169,-12),Database!$F:$AY,MATCH($H$1,Database!$F$1:$AY$1,),))))</f>
        <v>-2.3584871371767978E-2</v>
      </c>
      <c r="I169" s="13">
        <f>((((VLOOKUP(B169,Database!$F:$AY,MATCH($I$1,Database!$F$1:$AY$1,),))))-(((VLOOKUP(EDATE(B169,-12),Database!$F:$AY,MATCH($I$1,Database!$F$1:$AY$1,),)))))/(((VLOOKUP(EDATE(B169,-12),Database!$F:$AY,MATCH($I$1,Database!$F$1:$AY$1,),))))</f>
        <v>-2.7472458462006966E-2</v>
      </c>
      <c r="J169" s="13">
        <f>((((VLOOKUP(B169,Database!$F:$AY,MATCH($J$1,Database!$F$1:$AY$1,),))))-(((VLOOKUP(EDATE(B169,-12),Database!$F:$AY,MATCH($J$1,Database!$F$1:$AY$1,),)))))/(((VLOOKUP(EDATE(B169,-12),Database!$F:$AY,MATCH($J$1,Database!$F$1:$AY$1,),))))</f>
        <v>-1.3381491582701596E-2</v>
      </c>
      <c r="K169" s="13">
        <f>((((VLOOKUP(B169,Database!$F:$AY,MATCH($K$1,Database!$F$1:$AY$1,),))))-(((VLOOKUP(EDATE(B169,-12),Database!$F:$AY,MATCH($K$1,Database!$F$1:$AY$1,),)))))/(((VLOOKUP(EDATE(B169,-12),Database!$F:$AY,MATCH($K$1,Database!$F$1:$AY$1,),))))</f>
        <v>6.9306930693069585E-3</v>
      </c>
      <c r="L169" s="13">
        <f>((((VLOOKUP(B169,Database!$F:$AY,MATCH($L$1,Database!$F$1:$AY$1,),))))-(((VLOOKUP(EDATE(B169,-12),Database!$F:$AY,MATCH($L$1,Database!$F$1:$AY$1,),)))))/(((VLOOKUP(EDATE(B169,-12),Database!$F:$AY,MATCH($L$1,Database!$F$1:$AY$1,),))))</f>
        <v>-3.0749113910703969E-2</v>
      </c>
      <c r="M169" s="13">
        <f>((((VLOOKUP(B169,Database!$F:$AY,MATCH($M$1,Database!$F$1:$AY$1,),))))-(((VLOOKUP(EDATE(B169,-12),Database!$F:$AY,MATCH($M$1,Database!$F$1:$AY$1,),)))))/(((VLOOKUP(EDATE(B169,-12),Database!$F:$AY,MATCH($M$1,Database!$F$1:$AY$1,),))))</f>
        <v>3.2278115529326558E-2</v>
      </c>
      <c r="N169" s="13">
        <f>((((VLOOKUP(B169,Database!$F:$AY,MATCH($N$1,Database!$F$1:$AY$1,),))))-(((VLOOKUP(EDATE(B169,-12),Database!$F:$AY,MATCH($N$1,Database!$F$1:$AY$1,),)))))/(((VLOOKUP(EDATE(B169,-12),Database!$F:$AY,MATCH($N$1,Database!$F$1:$AY$1,),))))</f>
        <v>2.6378800817930384E-2</v>
      </c>
      <c r="O169" s="13">
        <f>((((VLOOKUP(B169,Database!$F:$AY,MATCH($O$1,Database!$F$1:$AY$1,),))))-(((VLOOKUP(EDATE(B169,-12),Database!$F:$AY,MATCH($O$1,Database!$F$1:$AY$1,),)))))/(((VLOOKUP(EDATE(B169,-12),Database!$F:$AY,MATCH($O$1,Database!$F$1:$AY$1,),))))</f>
        <v>-4.774503565133403E-3</v>
      </c>
      <c r="P169" s="13">
        <f>((((VLOOKUP(B169,Database!$F:$AY,MATCH($P$1,Database!$F$1:$AY$1,),))))-(((VLOOKUP(EDATE(B169,-12),Database!$F:$AY,MATCH($P$1,Database!$F$1:$AY$1,),)))))/(((VLOOKUP(EDATE(B169,-12),Database!$F:$AY,MATCH($P$1,Database!$F$1:$AY$1,),))))</f>
        <v>7.2932686852419368E-2</v>
      </c>
      <c r="Q169" s="13">
        <f>((((VLOOKUP(B169,Database!$F:$AY,MATCH($Q$1,Database!$F$1:$AY$1,),))))-(((VLOOKUP(EDATE(B169,-12),Database!$F:$AY,MATCH($Q$1,Database!$F$1:$AY$1,),)))))/(((VLOOKUP(EDATE(B169,-12),Database!$F:$AY,MATCH($Q$1,Database!$F$1:$AY$1,),))))</f>
        <v>4.32785414479813E-3</v>
      </c>
      <c r="R169" s="13">
        <f>((((VLOOKUP(B169,Database!$F:$AY,MATCH($R$1,Database!$F$1:$AY$1,),))))-(((VLOOKUP(EDATE(B169,-12),Database!$F:$AY,MATCH($R$1,Database!$F$1:$AY$1,),)))))/(((VLOOKUP(EDATE(B169,-12),Database!$F:$AY,MATCH($R$1,Database!$F$1:$AY$1,),))))</f>
        <v>-3.6520646570206226E-2</v>
      </c>
      <c r="S169" s="13">
        <f>((((VLOOKUP(B169,Database!$F:$AY,MATCH($S$1,Database!$F$1:$AY$1,),))))-(((VLOOKUP(EDATE(B169,-12),Database!$F:$AY,MATCH($S$1,Database!$F$1:$AY$1,),)))))/(((VLOOKUP(EDATE(B169,-12),Database!$F:$AY,MATCH($S$1,Database!$F$1:$AY$1,),))))</f>
        <v>-5.837008856481244E-2</v>
      </c>
      <c r="T169" s="13">
        <f>((((VLOOKUP(B169,Database!$F:$AY,MATCH($T$1,Database!$F$1:$AY$1,),))))-(((VLOOKUP(EDATE(B169,-12),Database!$F:$AY,MATCH($T$1,Database!$F$1:$AY$1,),)))))/(((VLOOKUP(EDATE(B169,-12),Database!$F:$AY,MATCH($T$1,Database!$F$1:$AY$1,),))))</f>
        <v>2.3696763331917635E-2</v>
      </c>
      <c r="U169" s="13">
        <f>((((VLOOKUP(B169,Database!$F:$AY,MATCH($U$1,Database!$F$1:$AY$1,),))))-(((VLOOKUP(EDATE(B169,-12),Database!$F:$AY,MATCH($U$1,Database!$F$1:$AY$1,),)))))/(((VLOOKUP(EDATE(B169,-12),Database!$F:$AY,MATCH($U$1,Database!$F$1:$AY$1,),))))</f>
        <v>1.3636363636363646E-2</v>
      </c>
      <c r="V169" s="13">
        <f>((((VLOOKUP(B169,Database!$F:$AY,MATCH($V$1,Database!$F$1:$AY$1,),))))-(((VLOOKUP(EDATE(B169,-12),Database!$F:$AY,MATCH($V$1,Database!$F$1:$AY$1,),)))))/(((VLOOKUP(EDATE(B169,-12),Database!$F:$AY,MATCH($V$1,Database!$F$1:$AY$1,),))))</f>
        <v>4.2105263157895334E-3</v>
      </c>
    </row>
    <row r="170" spans="1:22" s="85" customFormat="1" x14ac:dyDescent="0.2">
      <c r="A170" s="44"/>
      <c r="B170" s="91">
        <v>37316</v>
      </c>
      <c r="C170" s="13">
        <f>((((VLOOKUP(B170,Database!$F:$AY,MATCH($C$1,Database!$F$1:$AY$1,),))))-(((VLOOKUP(EDATE(B170,-12),Database!$F:$AY,MATCH($C$1,Database!$F$1:$AY$1,),)))))/(((VLOOKUP(EDATE(B170,-12),Database!$F:$AY,MATCH($C$1,Database!$F$1:$AY$1,),))))</f>
        <v>-2.0508992263304226E-2</v>
      </c>
      <c r="D170" s="13">
        <f>((((VLOOKUP(B170,Database!$F:$AY,MATCH($D$1,Database!$F$1:$AY$1,),))))-(((VLOOKUP(EDATE(B170,-12),Database!$F:$AY,MATCH($D$1,Database!$F$1:$AY$1,),)))))/(((VLOOKUP(EDATE(B170,-12),Database!$F:$AY,MATCH($D$1,Database!$F$1:$AY$1,),))))</f>
        <v>-1.4477697833392707E-2</v>
      </c>
      <c r="E170" s="13">
        <f>((((VLOOKUP(B170,Database!$F:$AY,MATCH($E$1,Database!$F$1:$AY$1,),))))-(((VLOOKUP(EDATE(B170,-12),Database!$F:$AY,MATCH($E$1,Database!$F$1:$AY$1,),)))))/(((VLOOKUP(EDATE(B170,-12),Database!$F:$AY,MATCH($E$1,Database!$F$1:$AY$1,),))))</f>
        <v>-7.5665050691598915E-2</v>
      </c>
      <c r="F170" s="13">
        <f>((((VLOOKUP(B170,Database!$F:$AY,MATCH($F$1,Database!$F$1:$AY$1,),))))-(((VLOOKUP(EDATE(B170,-12),Database!$F:$AY,MATCH($F$1,Database!$F$1:$AY$1,),)))))/(((VLOOKUP(EDATE(B170,-12),Database!$F:$AY,MATCH($F$1,Database!$F$1:$AY$1,),))))</f>
        <v>-3.1707157036026008E-2</v>
      </c>
      <c r="G170" s="13">
        <f>((((VLOOKUP(B170,Database!$F:$AY,MATCH($G$1,Database!$F$1:$AY$1,),))))-(((VLOOKUP(EDATE(B170,-12),Database!$F:$AY,MATCH($G$1,Database!$F$1:$AY$1,),)))))/(((VLOOKUP(EDATE(B170,-12),Database!$F:$AY,MATCH($G$1,Database!$F$1:$AY$1,),))))</f>
        <v>-1.7185970904952611E-2</v>
      </c>
      <c r="H170" s="13">
        <f>((((VLOOKUP(B170,Database!$F:$AY,MATCH($H$1,Database!$F$1:$AY$1,),))))-(((VLOOKUP(EDATE(B170,-12),Database!$F:$AY,MATCH($H$1,Database!$F$1:$AY$1,),)))))/(((VLOOKUP(EDATE(B170,-12),Database!$F:$AY,MATCH($H$1,Database!$F$1:$AY$1,),))))</f>
        <v>-3.7807475920834804E-3</v>
      </c>
      <c r="I170" s="13">
        <f>((((VLOOKUP(B170,Database!$F:$AY,MATCH($I$1,Database!$F$1:$AY$1,),))))-(((VLOOKUP(EDATE(B170,-12),Database!$F:$AY,MATCH($I$1,Database!$F$1:$AY$1,),)))))/(((VLOOKUP(EDATE(B170,-12),Database!$F:$AY,MATCH($I$1,Database!$F$1:$AY$1,),))))</f>
        <v>-2.1978280767473515E-2</v>
      </c>
      <c r="J170" s="13">
        <f>((((VLOOKUP(B170,Database!$F:$AY,MATCH($J$1,Database!$F$1:$AY$1,),))))-(((VLOOKUP(EDATE(B170,-12),Database!$F:$AY,MATCH($J$1,Database!$F$1:$AY$1,),)))))/(((VLOOKUP(EDATE(B170,-12),Database!$F:$AY,MATCH($J$1,Database!$F$1:$AY$1,),))))</f>
        <v>-1.4547068997341744E-2</v>
      </c>
      <c r="K170" s="13">
        <f>((((VLOOKUP(B170,Database!$F:$AY,MATCH($K$1,Database!$F$1:$AY$1,),))))-(((VLOOKUP(EDATE(B170,-12),Database!$F:$AY,MATCH($K$1,Database!$F$1:$AY$1,),)))))/(((VLOOKUP(EDATE(B170,-12),Database!$F:$AY,MATCH($K$1,Database!$F$1:$AY$1,),))))</f>
        <v>5.917159763313553E-3</v>
      </c>
      <c r="L170" s="13">
        <f>((((VLOOKUP(B170,Database!$F:$AY,MATCH($L$1,Database!$F$1:$AY$1,),))))-(((VLOOKUP(EDATE(B170,-12),Database!$F:$AY,MATCH($L$1,Database!$F$1:$AY$1,),)))))/(((VLOOKUP(EDATE(B170,-12),Database!$F:$AY,MATCH($L$1,Database!$F$1:$AY$1,),))))</f>
        <v>-2.5176727753438443E-2</v>
      </c>
      <c r="M170" s="13">
        <f>((((VLOOKUP(B170,Database!$F:$AY,MATCH($M$1,Database!$F$1:$AY$1,),))))-(((VLOOKUP(EDATE(B170,-12),Database!$F:$AY,MATCH($M$1,Database!$F$1:$AY$1,),)))))/(((VLOOKUP(EDATE(B170,-12),Database!$F:$AY,MATCH($M$1,Database!$F$1:$AY$1,),))))</f>
        <v>3.7938257265065459E-2</v>
      </c>
      <c r="N170" s="13">
        <f>((((VLOOKUP(B170,Database!$F:$AY,MATCH($N$1,Database!$F$1:$AY$1,),))))-(((VLOOKUP(EDATE(B170,-12),Database!$F:$AY,MATCH($N$1,Database!$F$1:$AY$1,),)))))/(((VLOOKUP(EDATE(B170,-12),Database!$F:$AY,MATCH($N$1,Database!$F$1:$AY$1,),))))</f>
        <v>3.5833177132574175E-2</v>
      </c>
      <c r="O170" s="13">
        <f>((((VLOOKUP(B170,Database!$F:$AY,MATCH($O$1,Database!$F$1:$AY$1,),))))-(((VLOOKUP(EDATE(B170,-12),Database!$F:$AY,MATCH($O$1,Database!$F$1:$AY$1,),)))))/(((VLOOKUP(EDATE(B170,-12),Database!$F:$AY,MATCH($O$1,Database!$F$1:$AY$1,),))))</f>
        <v>1.1873412389627437E-3</v>
      </c>
      <c r="P170" s="13">
        <f>((((VLOOKUP(B170,Database!$F:$AY,MATCH($P$1,Database!$F$1:$AY$1,),))))-(((VLOOKUP(EDATE(B170,-12),Database!$F:$AY,MATCH($P$1,Database!$F$1:$AY$1,),)))))/(((VLOOKUP(EDATE(B170,-12),Database!$F:$AY,MATCH($P$1,Database!$F$1:$AY$1,),))))</f>
        <v>8.4995384578129218E-2</v>
      </c>
      <c r="Q170" s="13">
        <f>((((VLOOKUP(B170,Database!$F:$AY,MATCH($Q$1,Database!$F$1:$AY$1,),))))-(((VLOOKUP(EDATE(B170,-12),Database!$F:$AY,MATCH($Q$1,Database!$F$1:$AY$1,),)))))/(((VLOOKUP(EDATE(B170,-12),Database!$F:$AY,MATCH($Q$1,Database!$F$1:$AY$1,),))))</f>
        <v>1.358748254857395E-2</v>
      </c>
      <c r="R170" s="13">
        <f>((((VLOOKUP(B170,Database!$F:$AY,MATCH($R$1,Database!$F$1:$AY$1,),))))-(((VLOOKUP(EDATE(B170,-12),Database!$F:$AY,MATCH($R$1,Database!$F$1:$AY$1,),)))))/(((VLOOKUP(EDATE(B170,-12),Database!$F:$AY,MATCH($R$1,Database!$F$1:$AY$1,),))))</f>
        <v>2.1063865838079482E-3</v>
      </c>
      <c r="S170" s="13">
        <f>((((VLOOKUP(B170,Database!$F:$AY,MATCH($S$1,Database!$F$1:$AY$1,),))))-(((VLOOKUP(EDATE(B170,-12),Database!$F:$AY,MATCH($S$1,Database!$F$1:$AY$1,),)))))/(((VLOOKUP(EDATE(B170,-12),Database!$F:$AY,MATCH($S$1,Database!$F$1:$AY$1,),))))</f>
        <v>9.8475984064172836E-2</v>
      </c>
      <c r="T170" s="13">
        <f>((((VLOOKUP(B170,Database!$F:$AY,MATCH($T$1,Database!$F$1:$AY$1,),))))-(((VLOOKUP(EDATE(B170,-12),Database!$F:$AY,MATCH($T$1,Database!$F$1:$AY$1,),)))))/(((VLOOKUP(EDATE(B170,-12),Database!$F:$AY,MATCH($T$1,Database!$F$1:$AY$1,),))))</f>
        <v>9.7990083594912847E-2</v>
      </c>
      <c r="U170" s="13">
        <f>((((VLOOKUP(B170,Database!$F:$AY,MATCH($U$1,Database!$F$1:$AY$1,),))))-(((VLOOKUP(EDATE(B170,-12),Database!$F:$AY,MATCH($U$1,Database!$F$1:$AY$1,),)))))/(((VLOOKUP(EDATE(B170,-12),Database!$F:$AY,MATCH($U$1,Database!$F$1:$AY$1,),))))</f>
        <v>0</v>
      </c>
      <c r="V170" s="13">
        <f>((((VLOOKUP(B170,Database!$F:$AY,MATCH($V$1,Database!$F$1:$AY$1,),))))-(((VLOOKUP(EDATE(B170,-12),Database!$F:$AY,MATCH($V$1,Database!$F$1:$AY$1,),)))))/(((VLOOKUP(EDATE(B170,-12),Database!$F:$AY,MATCH($V$1,Database!$F$1:$AY$1,),))))</f>
        <v>-8.2987551867221097E-3</v>
      </c>
    </row>
    <row r="171" spans="1:22" s="85" customFormat="1" x14ac:dyDescent="0.2">
      <c r="A171" s="44"/>
      <c r="B171" s="91">
        <v>37347</v>
      </c>
      <c r="C171" s="13">
        <f>((((VLOOKUP(B171,Database!$F:$AY,MATCH($C$1,Database!$F$1:$AY$1,),))))-(((VLOOKUP(EDATE(B171,-12),Database!$F:$AY,MATCH($C$1,Database!$F$1:$AY$1,),)))))/(((VLOOKUP(EDATE(B171,-12),Database!$F:$AY,MATCH($C$1,Database!$F$1:$AY$1,),))))</f>
        <v>-1.3588521138937515E-2</v>
      </c>
      <c r="D171" s="13">
        <f>((((VLOOKUP(B171,Database!$F:$AY,MATCH($D$1,Database!$F$1:$AY$1,),))))-(((VLOOKUP(EDATE(B171,-12),Database!$F:$AY,MATCH($D$1,Database!$F$1:$AY$1,),)))))/(((VLOOKUP(EDATE(B171,-12),Database!$F:$AY,MATCH($D$1,Database!$F$1:$AY$1,),))))</f>
        <v>-8.3420574147810306E-3</v>
      </c>
      <c r="E171" s="13">
        <f>((((VLOOKUP(B171,Database!$F:$AY,MATCH($E$1,Database!$F$1:$AY$1,),))))-(((VLOOKUP(EDATE(B171,-12),Database!$F:$AY,MATCH($E$1,Database!$F$1:$AY$1,),)))))/(((VLOOKUP(EDATE(B171,-12),Database!$F:$AY,MATCH($E$1,Database!$F$1:$AY$1,),))))</f>
        <v>-7.0030459862542999E-2</v>
      </c>
      <c r="F171" s="13">
        <f>((((VLOOKUP(B171,Database!$F:$AY,MATCH($F$1,Database!$F$1:$AY$1,),))))-(((VLOOKUP(EDATE(B171,-12),Database!$F:$AY,MATCH($F$1,Database!$F$1:$AY$1,),)))))/(((VLOOKUP(EDATE(B171,-12),Database!$F:$AY,MATCH($F$1,Database!$F$1:$AY$1,),))))</f>
        <v>-1.3647539844512981E-2</v>
      </c>
      <c r="G171" s="13">
        <f>((((VLOOKUP(B171,Database!$F:$AY,MATCH($G$1,Database!$F$1:$AY$1,),))))-(((VLOOKUP(EDATE(B171,-12),Database!$F:$AY,MATCH($G$1,Database!$F$1:$AY$1,),)))))/(((VLOOKUP(EDATE(B171,-12),Database!$F:$AY,MATCH($G$1,Database!$F$1:$AY$1,),))))</f>
        <v>5.5213163542295494E-3</v>
      </c>
      <c r="H171" s="13">
        <f>((((VLOOKUP(B171,Database!$F:$AY,MATCH($H$1,Database!$F$1:$AY$1,),))))-(((VLOOKUP(EDATE(B171,-12),Database!$F:$AY,MATCH($H$1,Database!$F$1:$AY$1,),)))))/(((VLOOKUP(EDATE(B171,-12),Database!$F:$AY,MATCH($H$1,Database!$F$1:$AY$1,),))))</f>
        <v>-1.3332978643384378E-2</v>
      </c>
      <c r="I171" s="13">
        <f>((((VLOOKUP(B171,Database!$F:$AY,MATCH($I$1,Database!$F$1:$AY$1,),))))-(((VLOOKUP(EDATE(B171,-12),Database!$F:$AY,MATCH($I$1,Database!$F$1:$AY$1,),)))))/(((VLOOKUP(EDATE(B171,-12),Database!$F:$AY,MATCH($I$1,Database!$F$1:$AY$1,),))))</f>
        <v>-4.1963900403438115E-2</v>
      </c>
      <c r="J171" s="13">
        <f>((((VLOOKUP(B171,Database!$F:$AY,MATCH($J$1,Database!$F$1:$AY$1,),))))-(((VLOOKUP(EDATE(B171,-12),Database!$F:$AY,MATCH($J$1,Database!$F$1:$AY$1,),)))))/(((VLOOKUP(EDATE(B171,-12),Database!$F:$AY,MATCH($J$1,Database!$F$1:$AY$1,),))))</f>
        <v>1.4415474813834556E-2</v>
      </c>
      <c r="K171" s="13">
        <f>((((VLOOKUP(B171,Database!$F:$AY,MATCH($K$1,Database!$F$1:$AY$1,),))))-(((VLOOKUP(EDATE(B171,-12),Database!$F:$AY,MATCH($K$1,Database!$F$1:$AY$1,),)))))/(((VLOOKUP(EDATE(B171,-12),Database!$F:$AY,MATCH($K$1,Database!$F$1:$AY$1,),))))</f>
        <v>4.4559585492227952E-2</v>
      </c>
      <c r="L171" s="13">
        <f>((((VLOOKUP(B171,Database!$F:$AY,MATCH($L$1,Database!$F$1:$AY$1,),))))-(((VLOOKUP(EDATE(B171,-12),Database!$F:$AY,MATCH($L$1,Database!$F$1:$AY$1,),)))))/(((VLOOKUP(EDATE(B171,-12),Database!$F:$AY,MATCH($L$1,Database!$F$1:$AY$1,),))))</f>
        <v>1.1537429354980522E-2</v>
      </c>
      <c r="M171" s="13">
        <f>((((VLOOKUP(B171,Database!$F:$AY,MATCH($M$1,Database!$F$1:$AY$1,),))))-(((VLOOKUP(EDATE(B171,-12),Database!$F:$AY,MATCH($M$1,Database!$F$1:$AY$1,),)))))/(((VLOOKUP(EDATE(B171,-12),Database!$F:$AY,MATCH($M$1,Database!$F$1:$AY$1,),))))</f>
        <v>3.8913312061408509E-2</v>
      </c>
      <c r="N171" s="13">
        <f>((((VLOOKUP(B171,Database!$F:$AY,MATCH($N$1,Database!$F$1:$AY$1,),))))-(((VLOOKUP(EDATE(B171,-12),Database!$F:$AY,MATCH($N$1,Database!$F$1:$AY$1,),)))))/(((VLOOKUP(EDATE(B171,-12),Database!$F:$AY,MATCH($N$1,Database!$F$1:$AY$1,),))))</f>
        <v>4.4362926902101411E-2</v>
      </c>
      <c r="O171" s="13">
        <f>((((VLOOKUP(B171,Database!$F:$AY,MATCH($O$1,Database!$F$1:$AY$1,),))))-(((VLOOKUP(EDATE(B171,-12),Database!$F:$AY,MATCH($O$1,Database!$F$1:$AY$1,),)))))/(((VLOOKUP(EDATE(B171,-12),Database!$F:$AY,MATCH($O$1,Database!$F$1:$AY$1,),))))</f>
        <v>1.2057200949742268E-2</v>
      </c>
      <c r="P171" s="13">
        <f>((((VLOOKUP(B171,Database!$F:$AY,MATCH($P$1,Database!$F$1:$AY$1,),))))-(((VLOOKUP(EDATE(B171,-12),Database!$F:$AY,MATCH($P$1,Database!$F$1:$AY$1,),)))))/(((VLOOKUP(EDATE(B171,-12),Database!$F:$AY,MATCH($P$1,Database!$F$1:$AY$1,),))))</f>
        <v>8.9466756452692517E-2</v>
      </c>
      <c r="Q171" s="13">
        <f>((((VLOOKUP(B171,Database!$F:$AY,MATCH($Q$1,Database!$F$1:$AY$1,),))))-(((VLOOKUP(EDATE(B171,-12),Database!$F:$AY,MATCH($Q$1,Database!$F$1:$AY$1,),)))))/(((VLOOKUP(EDATE(B171,-12),Database!$F:$AY,MATCH($Q$1,Database!$F$1:$AY$1,),))))</f>
        <v>1.3265727468226286E-2</v>
      </c>
      <c r="R171" s="13">
        <f>((((VLOOKUP(B171,Database!$F:$AY,MATCH($R$1,Database!$F$1:$AY$1,),))))-(((VLOOKUP(EDATE(B171,-12),Database!$F:$AY,MATCH($R$1,Database!$F$1:$AY$1,),)))))/(((VLOOKUP(EDATE(B171,-12),Database!$F:$AY,MATCH($R$1,Database!$F$1:$AY$1,),))))</f>
        <v>3.2786604489194356E-2</v>
      </c>
      <c r="S171" s="13">
        <f>((((VLOOKUP(B171,Database!$F:$AY,MATCH($S$1,Database!$F$1:$AY$1,),))))-(((VLOOKUP(EDATE(B171,-12),Database!$F:$AY,MATCH($S$1,Database!$F$1:$AY$1,),)))))/(((VLOOKUP(EDATE(B171,-12),Database!$F:$AY,MATCH($S$1,Database!$F$1:$AY$1,),))))</f>
        <v>3.3918204417681279E-2</v>
      </c>
      <c r="T171" s="13">
        <f>((((VLOOKUP(B171,Database!$F:$AY,MATCH($T$1,Database!$F$1:$AY$1,),))))-(((VLOOKUP(EDATE(B171,-12),Database!$F:$AY,MATCH($T$1,Database!$F$1:$AY$1,),)))))/(((VLOOKUP(EDATE(B171,-12),Database!$F:$AY,MATCH($T$1,Database!$F$1:$AY$1,),))))</f>
        <v>0.12658218874432836</v>
      </c>
      <c r="U171" s="13">
        <f>((((VLOOKUP(B171,Database!$F:$AY,MATCH($U$1,Database!$F$1:$AY$1,),))))-(((VLOOKUP(EDATE(B171,-12),Database!$F:$AY,MATCH($U$1,Database!$F$1:$AY$1,),)))))/(((VLOOKUP(EDATE(B171,-12),Database!$F:$AY,MATCH($U$1,Database!$F$1:$AY$1,),))))</f>
        <v>4.4910177399317503E-3</v>
      </c>
      <c r="V171" s="13">
        <f>((((VLOOKUP(B171,Database!$F:$AY,MATCH($V$1,Database!$F$1:$AY$1,),))))-(((VLOOKUP(EDATE(B171,-12),Database!$F:$AY,MATCH($V$1,Database!$F$1:$AY$1,),)))))/(((VLOOKUP(EDATE(B171,-12),Database!$F:$AY,MATCH($V$1,Database!$F$1:$AY$1,),))))</f>
        <v>-2.1008403361344536E-2</v>
      </c>
    </row>
    <row r="172" spans="1:22" s="85" customFormat="1" x14ac:dyDescent="0.2">
      <c r="A172" s="44"/>
      <c r="B172" s="91">
        <v>37377</v>
      </c>
      <c r="C172" s="13">
        <f>((((VLOOKUP(B172,Database!$F:$AY,MATCH($C$1,Database!$F$1:$AY$1,),))))-(((VLOOKUP(EDATE(B172,-12),Database!$F:$AY,MATCH($C$1,Database!$F$1:$AY$1,),)))))/(((VLOOKUP(EDATE(B172,-12),Database!$F:$AY,MATCH($C$1,Database!$F$1:$AY$1,),))))</f>
        <v>-3.3291752738648034E-3</v>
      </c>
      <c r="D172" s="13">
        <f>((((VLOOKUP(B172,Database!$F:$AY,MATCH($D$1,Database!$F$1:$AY$1,),))))-(((VLOOKUP(EDATE(B172,-12),Database!$F:$AY,MATCH($D$1,Database!$F$1:$AY$1,),)))))/(((VLOOKUP(EDATE(B172,-12),Database!$F:$AY,MATCH($D$1,Database!$F$1:$AY$1,),))))</f>
        <v>-6.2433924989368887E-3</v>
      </c>
      <c r="E172" s="13">
        <f>((((VLOOKUP(B172,Database!$F:$AY,MATCH($E$1,Database!$F$1:$AY$1,),))))-(((VLOOKUP(EDATE(B172,-12),Database!$F:$AY,MATCH($E$1,Database!$F$1:$AY$1,),)))))/(((VLOOKUP(EDATE(B172,-12),Database!$F:$AY,MATCH($E$1,Database!$F$1:$AY$1,),))))</f>
        <v>-1.3655098267655146E-2</v>
      </c>
      <c r="F172" s="13">
        <f>((((VLOOKUP(B172,Database!$F:$AY,MATCH($F$1,Database!$F$1:$AY$1,),))))-(((VLOOKUP(EDATE(B172,-12),Database!$F:$AY,MATCH($F$1,Database!$F$1:$AY$1,),)))))/(((VLOOKUP(EDATE(B172,-12),Database!$F:$AY,MATCH($F$1,Database!$F$1:$AY$1,),))))</f>
        <v>-3.4355868421430562E-2</v>
      </c>
      <c r="G172" s="13">
        <f>((((VLOOKUP(B172,Database!$F:$AY,MATCH($G$1,Database!$F$1:$AY$1,),))))-(((VLOOKUP(EDATE(B172,-12),Database!$F:$AY,MATCH($G$1,Database!$F$1:$AY$1,),)))))/(((VLOOKUP(EDATE(B172,-12),Database!$F:$AY,MATCH($G$1,Database!$F$1:$AY$1,),))))</f>
        <v>-1.0423134326346509E-2</v>
      </c>
      <c r="H172" s="13">
        <f>((((VLOOKUP(B172,Database!$F:$AY,MATCH($H$1,Database!$F$1:$AY$1,),))))-(((VLOOKUP(EDATE(B172,-12),Database!$F:$AY,MATCH($H$1,Database!$F$1:$AY$1,),)))))/(((VLOOKUP(EDATE(B172,-12),Database!$F:$AY,MATCH($H$1,Database!$F$1:$AY$1,),))))</f>
        <v>-1.9043181055153615E-3</v>
      </c>
      <c r="I172" s="13">
        <f>((((VLOOKUP(B172,Database!$F:$AY,MATCH($I$1,Database!$F$1:$AY$1,),))))-(((VLOOKUP(EDATE(B172,-12),Database!$F:$AY,MATCH($I$1,Database!$F$1:$AY$1,),)))))/(((VLOOKUP(EDATE(B172,-12),Database!$F:$AY,MATCH($I$1,Database!$F$1:$AY$1,),))))</f>
        <v>-7.1369939606390886E-3</v>
      </c>
      <c r="J172" s="13">
        <f>((((VLOOKUP(B172,Database!$F:$AY,MATCH($J$1,Database!$F$1:$AY$1,),))))-(((VLOOKUP(EDATE(B172,-12),Database!$F:$AY,MATCH($J$1,Database!$F$1:$AY$1,),)))))/(((VLOOKUP(EDATE(B172,-12),Database!$F:$AY,MATCH($J$1,Database!$F$1:$AY$1,),))))</f>
        <v>-1.7152228454737975E-2</v>
      </c>
      <c r="K172" s="13">
        <f>((((VLOOKUP(B172,Database!$F:$AY,MATCH($K$1,Database!$F$1:$AY$1,),))))-(((VLOOKUP(EDATE(B172,-12),Database!$F:$AY,MATCH($K$1,Database!$F$1:$AY$1,),)))))/(((VLOOKUP(EDATE(B172,-12),Database!$F:$AY,MATCH($K$1,Database!$F$1:$AY$1,),))))</f>
        <v>4.9800796812749003E-3</v>
      </c>
      <c r="L172" s="13">
        <f>((((VLOOKUP(B172,Database!$F:$AY,MATCH($L$1,Database!$F$1:$AY$1,),))))-(((VLOOKUP(EDATE(B172,-12),Database!$F:$AY,MATCH($L$1,Database!$F$1:$AY$1,),)))))/(((VLOOKUP(EDATE(B172,-12),Database!$F:$AY,MATCH($L$1,Database!$F$1:$AY$1,),))))</f>
        <v>3.3452242340033733E-4</v>
      </c>
      <c r="M172" s="13">
        <f>((((VLOOKUP(B172,Database!$F:$AY,MATCH($M$1,Database!$F$1:$AY$1,),))))-(((VLOOKUP(EDATE(B172,-12),Database!$F:$AY,MATCH($M$1,Database!$F$1:$AY$1,),)))))/(((VLOOKUP(EDATE(B172,-12),Database!$F:$AY,MATCH($M$1,Database!$F$1:$AY$1,),))))</f>
        <v>-1.1019648267271864E-2</v>
      </c>
      <c r="N172" s="13">
        <f>((((VLOOKUP(B172,Database!$F:$AY,MATCH($N$1,Database!$F$1:$AY$1,),))))-(((VLOOKUP(EDATE(B172,-12),Database!$F:$AY,MATCH($N$1,Database!$F$1:$AY$1,),)))))/(((VLOOKUP(EDATE(B172,-12),Database!$F:$AY,MATCH($N$1,Database!$F$1:$AY$1,),))))</f>
        <v>4.2977721071744045E-2</v>
      </c>
      <c r="O172" s="13">
        <f>((((VLOOKUP(B172,Database!$F:$AY,MATCH($O$1,Database!$F$1:$AY$1,),))))-(((VLOOKUP(EDATE(B172,-12),Database!$F:$AY,MATCH($O$1,Database!$F$1:$AY$1,),)))))/(((VLOOKUP(EDATE(B172,-12),Database!$F:$AY,MATCH($O$1,Database!$F$1:$AY$1,),))))</f>
        <v>1.0096073798038889E-2</v>
      </c>
      <c r="P172" s="13">
        <f>((((VLOOKUP(B172,Database!$F:$AY,MATCH($P$1,Database!$F$1:$AY$1,),))))-(((VLOOKUP(EDATE(B172,-12),Database!$F:$AY,MATCH($P$1,Database!$F$1:$AY$1,),)))))/(((VLOOKUP(EDATE(B172,-12),Database!$F:$AY,MATCH($P$1,Database!$F$1:$AY$1,),))))</f>
        <v>6.850900368644422E-2</v>
      </c>
      <c r="Q172" s="13">
        <f>((((VLOOKUP(B172,Database!$F:$AY,MATCH($Q$1,Database!$F$1:$AY$1,),))))-(((VLOOKUP(EDATE(B172,-12),Database!$F:$AY,MATCH($Q$1,Database!$F$1:$AY$1,),)))))/(((VLOOKUP(EDATE(B172,-12),Database!$F:$AY,MATCH($Q$1,Database!$F$1:$AY$1,),))))</f>
        <v>4.4134469296219623E-4</v>
      </c>
      <c r="R172" s="13">
        <f>((((VLOOKUP(B172,Database!$F:$AY,MATCH($R$1,Database!$F$1:$AY$1,),))))-(((VLOOKUP(EDATE(B172,-12),Database!$F:$AY,MATCH($R$1,Database!$F$1:$AY$1,),)))))/(((VLOOKUP(EDATE(B172,-12),Database!$F:$AY,MATCH($R$1,Database!$F$1:$AY$1,),))))</f>
        <v>-3.5985882509443623E-2</v>
      </c>
      <c r="S172" s="13">
        <f>((((VLOOKUP(B172,Database!$F:$AY,MATCH($S$1,Database!$F$1:$AY$1,),))))-(((VLOOKUP(EDATE(B172,-12),Database!$F:$AY,MATCH($S$1,Database!$F$1:$AY$1,),)))))/(((VLOOKUP(EDATE(B172,-12),Database!$F:$AY,MATCH($S$1,Database!$F$1:$AY$1,),))))</f>
        <v>0.2252965110669741</v>
      </c>
      <c r="T172" s="13">
        <f>((((VLOOKUP(B172,Database!$F:$AY,MATCH($T$1,Database!$F$1:$AY$1,),))))-(((VLOOKUP(EDATE(B172,-12),Database!$F:$AY,MATCH($T$1,Database!$F$1:$AY$1,),)))))/(((VLOOKUP(EDATE(B172,-12),Database!$F:$AY,MATCH($T$1,Database!$F$1:$AY$1,),))))</f>
        <v>9.3908579191364069E-2</v>
      </c>
      <c r="U172" s="13">
        <f>((((VLOOKUP(B172,Database!$F:$AY,MATCH($U$1,Database!$F$1:$AY$1,),))))-(((VLOOKUP(EDATE(B172,-12),Database!$F:$AY,MATCH($U$1,Database!$F$1:$AY$1,),)))))/(((VLOOKUP(EDATE(B172,-12),Database!$F:$AY,MATCH($U$1,Database!$F$1:$AY$1,),))))</f>
        <v>4.4843049327353583E-3</v>
      </c>
      <c r="V172" s="13">
        <f>((((VLOOKUP(B172,Database!$F:$AY,MATCH($V$1,Database!$F$1:$AY$1,),))))-(((VLOOKUP(EDATE(B172,-12),Database!$F:$AY,MATCH($V$1,Database!$F$1:$AY$1,),)))))/(((VLOOKUP(EDATE(B172,-12),Database!$F:$AY,MATCH($V$1,Database!$F$1:$AY$1,),))))</f>
        <v>-1.8789144050104355E-2</v>
      </c>
    </row>
    <row r="173" spans="1:22" s="85" customFormat="1" x14ac:dyDescent="0.2">
      <c r="A173" s="44"/>
      <c r="B173" s="91">
        <v>37408</v>
      </c>
      <c r="C173" s="13">
        <f>((((VLOOKUP(B173,Database!$F:$AY,MATCH($C$1,Database!$F$1:$AY$1,),))))-(((VLOOKUP(EDATE(B173,-12),Database!$F:$AY,MATCH($C$1,Database!$F$1:$AY$1,),)))))/(((VLOOKUP(EDATE(B173,-12),Database!$F:$AY,MATCH($C$1,Database!$F$1:$AY$1,),))))</f>
        <v>1.2205242491655806E-2</v>
      </c>
      <c r="D173" s="13">
        <f>((((VLOOKUP(B173,Database!$F:$AY,MATCH($D$1,Database!$F$1:$AY$1,),))))-(((VLOOKUP(EDATE(B173,-12),Database!$F:$AY,MATCH($D$1,Database!$F$1:$AY$1,),)))))/(((VLOOKUP(EDATE(B173,-12),Database!$F:$AY,MATCH($D$1,Database!$F$1:$AY$1,),))))</f>
        <v>-3.1185030104288218E-3</v>
      </c>
      <c r="E173" s="13">
        <f>((((VLOOKUP(B173,Database!$F:$AY,MATCH($E$1,Database!$F$1:$AY$1,),))))-(((VLOOKUP(EDATE(B173,-12),Database!$F:$AY,MATCH($E$1,Database!$F$1:$AY$1,),)))))/(((VLOOKUP(EDATE(B173,-12),Database!$F:$AY,MATCH($E$1,Database!$F$1:$AY$1,),))))</f>
        <v>-1.4861621948747209E-2</v>
      </c>
      <c r="F173" s="13">
        <f>((((VLOOKUP(B173,Database!$F:$AY,MATCH($F$1,Database!$F$1:$AY$1,),))))-(((VLOOKUP(EDATE(B173,-12),Database!$F:$AY,MATCH($F$1,Database!$F$1:$AY$1,),)))))/(((VLOOKUP(EDATE(B173,-12),Database!$F:$AY,MATCH($F$1,Database!$F$1:$AY$1,),))))</f>
        <v>-1.2209931548626093E-2</v>
      </c>
      <c r="G173" s="13">
        <f>((((VLOOKUP(B173,Database!$F:$AY,MATCH($G$1,Database!$F$1:$AY$1,),))))-(((VLOOKUP(EDATE(B173,-12),Database!$F:$AY,MATCH($G$1,Database!$F$1:$AY$1,),)))))/(((VLOOKUP(EDATE(B173,-12),Database!$F:$AY,MATCH($G$1,Database!$F$1:$AY$1,),))))</f>
        <v>-1.2396593990885768E-2</v>
      </c>
      <c r="H173" s="13">
        <f>((((VLOOKUP(B173,Database!$F:$AY,MATCH($H$1,Database!$F$1:$AY$1,),))))-(((VLOOKUP(EDATE(B173,-12),Database!$F:$AY,MATCH($H$1,Database!$F$1:$AY$1,),)))))/(((VLOOKUP(EDATE(B173,-12),Database!$F:$AY,MATCH($H$1,Database!$F$1:$AY$1,),))))</f>
        <v>-3.4318658434914218E-2</v>
      </c>
      <c r="I173" s="13">
        <f>((((VLOOKUP(B173,Database!$F:$AY,MATCH($I$1,Database!$F$1:$AY$1,),))))-(((VLOOKUP(EDATE(B173,-12),Database!$F:$AY,MATCH($I$1,Database!$F$1:$AY$1,),)))))/(((VLOOKUP(EDATE(B173,-12),Database!$F:$AY,MATCH($I$1,Database!$F$1:$AY$1,),))))</f>
        <v>-1.8987336764525527E-2</v>
      </c>
      <c r="J173" s="13">
        <f>((((VLOOKUP(B173,Database!$F:$AY,MATCH($J$1,Database!$F$1:$AY$1,),))))-(((VLOOKUP(EDATE(B173,-12),Database!$F:$AY,MATCH($J$1,Database!$F$1:$AY$1,),)))))/(((VLOOKUP(EDATE(B173,-12),Database!$F:$AY,MATCH($J$1,Database!$F$1:$AY$1,),))))</f>
        <v>-1.9286605921408701E-2</v>
      </c>
      <c r="K173" s="13">
        <f>((((VLOOKUP(B173,Database!$F:$AY,MATCH($K$1,Database!$F$1:$AY$1,),))))-(((VLOOKUP(EDATE(B173,-12),Database!$F:$AY,MATCH($K$1,Database!$F$1:$AY$1,),)))))/(((VLOOKUP(EDATE(B173,-12),Database!$F:$AY,MATCH($K$1,Database!$F$1:$AY$1,),))))</f>
        <v>-3.0090270812437028E-3</v>
      </c>
      <c r="L173" s="13">
        <f>((((VLOOKUP(B173,Database!$F:$AY,MATCH($L$1,Database!$F$1:$AY$1,),))))-(((VLOOKUP(EDATE(B173,-12),Database!$F:$AY,MATCH($L$1,Database!$F$1:$AY$1,),)))))/(((VLOOKUP(EDATE(B173,-12),Database!$F:$AY,MATCH($L$1,Database!$F$1:$AY$1,),))))</f>
        <v>-1.0256226443737386E-2</v>
      </c>
      <c r="M173" s="13">
        <f>((((VLOOKUP(B173,Database!$F:$AY,MATCH($M$1,Database!$F$1:$AY$1,),))))-(((VLOOKUP(EDATE(B173,-12),Database!$F:$AY,MATCH($M$1,Database!$F$1:$AY$1,),)))))/(((VLOOKUP(EDATE(B173,-12),Database!$F:$AY,MATCH($M$1,Database!$F$1:$AY$1,),))))</f>
        <v>2.0628217606549475E-2</v>
      </c>
      <c r="N173" s="13">
        <f>((((VLOOKUP(B173,Database!$F:$AY,MATCH($N$1,Database!$F$1:$AY$1,),))))-(((VLOOKUP(EDATE(B173,-12),Database!$F:$AY,MATCH($N$1,Database!$F$1:$AY$1,),)))))/(((VLOOKUP(EDATE(B173,-12),Database!$F:$AY,MATCH($N$1,Database!$F$1:$AY$1,),))))</f>
        <v>4.7344445387931276E-2</v>
      </c>
      <c r="O173" s="13">
        <f>((((VLOOKUP(B173,Database!$F:$AY,MATCH($O$1,Database!$F$1:$AY$1,),))))-(((VLOOKUP(EDATE(B173,-12),Database!$F:$AY,MATCH($O$1,Database!$F$1:$AY$1,),)))))/(((VLOOKUP(EDATE(B173,-12),Database!$F:$AY,MATCH($O$1,Database!$F$1:$AY$1,),))))</f>
        <v>1.2852596351824607E-2</v>
      </c>
      <c r="P173" s="13">
        <f>((((VLOOKUP(B173,Database!$F:$AY,MATCH($P$1,Database!$F$1:$AY$1,),))))-(((VLOOKUP(EDATE(B173,-12),Database!$F:$AY,MATCH($P$1,Database!$F$1:$AY$1,),)))))/(((VLOOKUP(EDATE(B173,-12),Database!$F:$AY,MATCH($P$1,Database!$F$1:$AY$1,),))))</f>
        <v>5.3291622228219808E-2</v>
      </c>
      <c r="Q173" s="13">
        <f>((((VLOOKUP(B173,Database!$F:$AY,MATCH($Q$1,Database!$F$1:$AY$1,),))))-(((VLOOKUP(EDATE(B173,-12),Database!$F:$AY,MATCH($Q$1,Database!$F$1:$AY$1,),)))))/(((VLOOKUP(EDATE(B173,-12),Database!$F:$AY,MATCH($Q$1,Database!$F$1:$AY$1,),))))</f>
        <v>1.6847726649112871E-2</v>
      </c>
      <c r="R173" s="13">
        <f>((((VLOOKUP(B173,Database!$F:$AY,MATCH($R$1,Database!$F$1:$AY$1,),))))-(((VLOOKUP(EDATE(B173,-12),Database!$F:$AY,MATCH($R$1,Database!$F$1:$AY$1,),)))))/(((VLOOKUP(EDATE(B173,-12),Database!$F:$AY,MATCH($R$1,Database!$F$1:$AY$1,),))))</f>
        <v>-7.0413293578270707E-4</v>
      </c>
      <c r="S173" s="13">
        <f>((((VLOOKUP(B173,Database!$F:$AY,MATCH($S$1,Database!$F$1:$AY$1,),))))-(((VLOOKUP(EDATE(B173,-12),Database!$F:$AY,MATCH($S$1,Database!$F$1:$AY$1,),)))))/(((VLOOKUP(EDATE(B173,-12),Database!$F:$AY,MATCH($S$1,Database!$F$1:$AY$1,),))))</f>
        <v>0.14131735585309141</v>
      </c>
      <c r="T173" s="13">
        <f>((((VLOOKUP(B173,Database!$F:$AY,MATCH($T$1,Database!$F$1:$AY$1,),))))-(((VLOOKUP(EDATE(B173,-12),Database!$F:$AY,MATCH($T$1,Database!$F$1:$AY$1,),)))))/(((VLOOKUP(EDATE(B173,-12),Database!$F:$AY,MATCH($T$1,Database!$F$1:$AY$1,),))))</f>
        <v>9.5718056089815193E-2</v>
      </c>
      <c r="U173" s="13">
        <f>((((VLOOKUP(B173,Database!$F:$AY,MATCH($U$1,Database!$F$1:$AY$1,),))))-(((VLOOKUP(EDATE(B173,-12),Database!$F:$AY,MATCH($U$1,Database!$F$1:$AY$1,),)))))/(((VLOOKUP(EDATE(B173,-12),Database!$F:$AY,MATCH($U$1,Database!$F$1:$AY$1,),))))</f>
        <v>5.9879737447271928E-3</v>
      </c>
      <c r="V173" s="13">
        <f>((((VLOOKUP(B173,Database!$F:$AY,MATCH($V$1,Database!$F$1:$AY$1,),))))-(((VLOOKUP(EDATE(B173,-12),Database!$F:$AY,MATCH($V$1,Database!$F$1:$AY$1,),)))))/(((VLOOKUP(EDATE(B173,-12),Database!$F:$AY,MATCH($V$1,Database!$F$1:$AY$1,),))))</f>
        <v>2.3454157782516024E-2</v>
      </c>
    </row>
    <row r="174" spans="1:22" s="85" customFormat="1" x14ac:dyDescent="0.2">
      <c r="A174" s="44"/>
      <c r="B174" s="91">
        <v>37438</v>
      </c>
      <c r="C174" s="13">
        <f>((((VLOOKUP(B174,Database!$F:$AY,MATCH($C$1,Database!$F$1:$AY$1,),))))-(((VLOOKUP(EDATE(B174,-12),Database!$F:$AY,MATCH($C$1,Database!$F$1:$AY$1,),)))))/(((VLOOKUP(EDATE(B174,-12),Database!$F:$AY,MATCH($C$1,Database!$F$1:$AY$1,),))))</f>
        <v>1.5582804439779574E-2</v>
      </c>
      <c r="D174" s="13">
        <f>((((VLOOKUP(B174,Database!$F:$AY,MATCH($D$1,Database!$F$1:$AY$1,),))))-(((VLOOKUP(EDATE(B174,-12),Database!$F:$AY,MATCH($D$1,Database!$F$1:$AY$1,),)))))/(((VLOOKUP(EDATE(B174,-12),Database!$F:$AY,MATCH($D$1,Database!$F$1:$AY$1,),))))</f>
        <v>7.4074779659043313E-3</v>
      </c>
      <c r="E174" s="13">
        <f>((((VLOOKUP(B174,Database!$F:$AY,MATCH($E$1,Database!$F$1:$AY$1,),))))-(((VLOOKUP(EDATE(B174,-12),Database!$F:$AY,MATCH($E$1,Database!$F$1:$AY$1,),)))))/(((VLOOKUP(EDATE(B174,-12),Database!$F:$AY,MATCH($E$1,Database!$F$1:$AY$1,),))))</f>
        <v>6.4585229262880675E-3</v>
      </c>
      <c r="F174" s="13">
        <f>((((VLOOKUP(B174,Database!$F:$AY,MATCH($F$1,Database!$F$1:$AY$1,),))))-(((VLOOKUP(EDATE(B174,-12),Database!$F:$AY,MATCH($F$1,Database!$F$1:$AY$1,),)))))/(((VLOOKUP(EDATE(B174,-12),Database!$F:$AY,MATCH($F$1,Database!$F$1:$AY$1,),))))</f>
        <v>0</v>
      </c>
      <c r="G174" s="13">
        <f>((((VLOOKUP(B174,Database!$F:$AY,MATCH($G$1,Database!$F$1:$AY$1,),))))-(((VLOOKUP(EDATE(B174,-12),Database!$F:$AY,MATCH($G$1,Database!$F$1:$AY$1,),)))))/(((VLOOKUP(EDATE(B174,-12),Database!$F:$AY,MATCH($G$1,Database!$F$1:$AY$1,),))))</f>
        <v>-8.926058534905806E-3</v>
      </c>
      <c r="H174" s="13">
        <f>((((VLOOKUP(B174,Database!$F:$AY,MATCH($H$1,Database!$F$1:$AY$1,),))))-(((VLOOKUP(EDATE(B174,-12),Database!$F:$AY,MATCH($H$1,Database!$F$1:$AY$1,),)))))/(((VLOOKUP(EDATE(B174,-12),Database!$F:$AY,MATCH($H$1,Database!$F$1:$AY$1,),))))</f>
        <v>-1.6330344833967121E-2</v>
      </c>
      <c r="I174" s="13">
        <f>((((VLOOKUP(B174,Database!$F:$AY,MATCH($I$1,Database!$F$1:$AY$1,),))))-(((VLOOKUP(EDATE(B174,-12),Database!$F:$AY,MATCH($I$1,Database!$F$1:$AY$1,),)))))/(((VLOOKUP(EDATE(B174,-12),Database!$F:$AY,MATCH($I$1,Database!$F$1:$AY$1,),))))</f>
        <v>-4.8352119474863288E-3</v>
      </c>
      <c r="J174" s="13">
        <f>((((VLOOKUP(B174,Database!$F:$AY,MATCH($J$1,Database!$F$1:$AY$1,),))))-(((VLOOKUP(EDATE(B174,-12),Database!$F:$AY,MATCH($J$1,Database!$F$1:$AY$1,),)))))/(((VLOOKUP(EDATE(B174,-12),Database!$F:$AY,MATCH($J$1,Database!$F$1:$AY$1,),))))</f>
        <v>1.0700484829540589E-2</v>
      </c>
      <c r="K174" s="13">
        <f>((((VLOOKUP(B174,Database!$F:$AY,MATCH($K$1,Database!$F$1:$AY$1,),))))-(((VLOOKUP(EDATE(B174,-12),Database!$F:$AY,MATCH($K$1,Database!$F$1:$AY$1,),)))))/(((VLOOKUP(EDATE(B174,-12),Database!$F:$AY,MATCH($K$1,Database!$F$1:$AY$1,),))))</f>
        <v>6.03621730382288E-3</v>
      </c>
      <c r="L174" s="13">
        <f>((((VLOOKUP(B174,Database!$F:$AY,MATCH($L$1,Database!$F$1:$AY$1,),))))-(((VLOOKUP(EDATE(B174,-12),Database!$F:$AY,MATCH($L$1,Database!$F$1:$AY$1,),)))))/(((VLOOKUP(EDATE(B174,-12),Database!$F:$AY,MATCH($L$1,Database!$F$1:$AY$1,),))))</f>
        <v>-1.7229932553608503E-2</v>
      </c>
      <c r="M174" s="13">
        <f>((((VLOOKUP(B174,Database!$F:$AY,MATCH($M$1,Database!$F$1:$AY$1,),))))-(((VLOOKUP(EDATE(B174,-12),Database!$F:$AY,MATCH($M$1,Database!$F$1:$AY$1,),)))))/(((VLOOKUP(EDATE(B174,-12),Database!$F:$AY,MATCH($M$1,Database!$F$1:$AY$1,),))))</f>
        <v>3.9048209603221883E-2</v>
      </c>
      <c r="N174" s="13">
        <f>((((VLOOKUP(B174,Database!$F:$AY,MATCH($N$1,Database!$F$1:$AY$1,),))))-(((VLOOKUP(EDATE(B174,-12),Database!$F:$AY,MATCH($N$1,Database!$F$1:$AY$1,),)))))/(((VLOOKUP(EDATE(B174,-12),Database!$F:$AY,MATCH($N$1,Database!$F$1:$AY$1,),))))</f>
        <v>6.6295200441809435E-2</v>
      </c>
      <c r="O174" s="13">
        <f>((((VLOOKUP(B174,Database!$F:$AY,MATCH($O$1,Database!$F$1:$AY$1,),))))-(((VLOOKUP(EDATE(B174,-12),Database!$F:$AY,MATCH($O$1,Database!$F$1:$AY$1,),)))))/(((VLOOKUP(EDATE(B174,-12),Database!$F:$AY,MATCH($O$1,Database!$F$1:$AY$1,),))))</f>
        <v>3.7811296076751599E-2</v>
      </c>
      <c r="P174" s="13">
        <f>((((VLOOKUP(B174,Database!$F:$AY,MATCH($P$1,Database!$F$1:$AY$1,),))))-(((VLOOKUP(EDATE(B174,-12),Database!$F:$AY,MATCH($P$1,Database!$F$1:$AY$1,),)))))/(((VLOOKUP(EDATE(B174,-12),Database!$F:$AY,MATCH($P$1,Database!$F$1:$AY$1,),))))</f>
        <v>0.10466867592920916</v>
      </c>
      <c r="Q174" s="13">
        <f>((((VLOOKUP(B174,Database!$F:$AY,MATCH($Q$1,Database!$F$1:$AY$1,),))))-(((VLOOKUP(EDATE(B174,-12),Database!$F:$AY,MATCH($Q$1,Database!$F$1:$AY$1,),)))))/(((VLOOKUP(EDATE(B174,-12),Database!$F:$AY,MATCH($Q$1,Database!$F$1:$AY$1,),))))</f>
        <v>2.3196935324088577E-2</v>
      </c>
      <c r="R174" s="13">
        <f>((((VLOOKUP(B174,Database!$F:$AY,MATCH($R$1,Database!$F$1:$AY$1,),))))-(((VLOOKUP(EDATE(B174,-12),Database!$F:$AY,MATCH($R$1,Database!$F$1:$AY$1,),)))))/(((VLOOKUP(EDATE(B174,-12),Database!$F:$AY,MATCH($R$1,Database!$F$1:$AY$1,),))))</f>
        <v>4.2462799880681832E-3</v>
      </c>
      <c r="S174" s="13">
        <f>((((VLOOKUP(B174,Database!$F:$AY,MATCH($S$1,Database!$F$1:$AY$1,),))))-(((VLOOKUP(EDATE(B174,-12),Database!$F:$AY,MATCH($S$1,Database!$F$1:$AY$1,),)))))/(((VLOOKUP(EDATE(B174,-12),Database!$F:$AY,MATCH($S$1,Database!$F$1:$AY$1,),))))</f>
        <v>0.1365360120456928</v>
      </c>
      <c r="T174" s="13">
        <f>((((VLOOKUP(B174,Database!$F:$AY,MATCH($T$1,Database!$F$1:$AY$1,),))))-(((VLOOKUP(EDATE(B174,-12),Database!$F:$AY,MATCH($T$1,Database!$F$1:$AY$1,),)))))/(((VLOOKUP(EDATE(B174,-12),Database!$F:$AY,MATCH($T$1,Database!$F$1:$AY$1,),))))</f>
        <v>9.4527280258429561E-2</v>
      </c>
      <c r="U174" s="13">
        <f>((((VLOOKUP(B174,Database!$F:$AY,MATCH($U$1,Database!$F$1:$AY$1,),))))-(((VLOOKUP(EDATE(B174,-12),Database!$F:$AY,MATCH($U$1,Database!$F$1:$AY$1,),)))))/(((VLOOKUP(EDATE(B174,-12),Database!$F:$AY,MATCH($U$1,Database!$F$1:$AY$1,),))))</f>
        <v>4.725604433787519E-2</v>
      </c>
      <c r="V174" s="13">
        <f>((((VLOOKUP(B174,Database!$F:$AY,MATCH($V$1,Database!$F$1:$AY$1,),))))-(((VLOOKUP(EDATE(B174,-12),Database!$F:$AY,MATCH($V$1,Database!$F$1:$AY$1,),)))))/(((VLOOKUP(EDATE(B174,-12),Database!$F:$AY,MATCH($V$1,Database!$F$1:$AY$1,),))))</f>
        <v>2.9661016949152512E-2</v>
      </c>
    </row>
    <row r="175" spans="1:22" s="85" customFormat="1" x14ac:dyDescent="0.2">
      <c r="A175" s="44"/>
      <c r="B175" s="91">
        <v>37469</v>
      </c>
      <c r="C175" s="13">
        <f>((((VLOOKUP(B175,Database!$F:$AY,MATCH($C$1,Database!$F$1:$AY$1,),))))-(((VLOOKUP(EDATE(B175,-12),Database!$F:$AY,MATCH($C$1,Database!$F$1:$AY$1,),)))))/(((VLOOKUP(EDATE(B175,-12),Database!$F:$AY,MATCH($C$1,Database!$F$1:$AY$1,),))))</f>
        <v>1.6976451253613609E-2</v>
      </c>
      <c r="D175" s="13">
        <f>((((VLOOKUP(B175,Database!$F:$AY,MATCH($D$1,Database!$F$1:$AY$1,),))))-(((VLOOKUP(EDATE(B175,-12),Database!$F:$AY,MATCH($D$1,Database!$F$1:$AY$1,),)))))/(((VLOOKUP(EDATE(B175,-12),Database!$F:$AY,MATCH($D$1,Database!$F$1:$AY$1,),))))</f>
        <v>-1.239669378792144E-2</v>
      </c>
      <c r="E175" s="13">
        <f>((((VLOOKUP(B175,Database!$F:$AY,MATCH($E$1,Database!$F$1:$AY$1,),))))-(((VLOOKUP(EDATE(B175,-12),Database!$F:$AY,MATCH($E$1,Database!$F$1:$AY$1,),)))))/(((VLOOKUP(EDATE(B175,-12),Database!$F:$AY,MATCH($E$1,Database!$F$1:$AY$1,),))))</f>
        <v>2.5109138912772336E-2</v>
      </c>
      <c r="F175" s="13">
        <f>((((VLOOKUP(B175,Database!$F:$AY,MATCH($F$1,Database!$F$1:$AY$1,),))))-(((VLOOKUP(EDATE(B175,-12),Database!$F:$AY,MATCH($F$1,Database!$F$1:$AY$1,),)))))/(((VLOOKUP(EDATE(B175,-12),Database!$F:$AY,MATCH($F$1,Database!$F$1:$AY$1,),))))</f>
        <v>-3.6764093086188781E-3</v>
      </c>
      <c r="G175" s="13">
        <f>((((VLOOKUP(B175,Database!$F:$AY,MATCH($G$1,Database!$F$1:$AY$1,),))))-(((VLOOKUP(EDATE(B175,-12),Database!$F:$AY,MATCH($G$1,Database!$F$1:$AY$1,),)))))/(((VLOOKUP(EDATE(B175,-12),Database!$F:$AY,MATCH($G$1,Database!$F$1:$AY$1,),))))</f>
        <v>-1.4843006322054144E-2</v>
      </c>
      <c r="H175" s="13">
        <f>((((VLOOKUP(B175,Database!$F:$AY,MATCH($H$1,Database!$F$1:$AY$1,),))))-(((VLOOKUP(EDATE(B175,-12),Database!$F:$AY,MATCH($H$1,Database!$F$1:$AY$1,),)))))/(((VLOOKUP(EDATE(B175,-12),Database!$F:$AY,MATCH($H$1,Database!$F$1:$AY$1,),))))</f>
        <v>-2.5495271478438251E-2</v>
      </c>
      <c r="I175" s="13">
        <f>((((VLOOKUP(B175,Database!$F:$AY,MATCH($I$1,Database!$F$1:$AY$1,),))))-(((VLOOKUP(EDATE(B175,-12),Database!$F:$AY,MATCH($I$1,Database!$F$1:$AY$1,),)))))/(((VLOOKUP(EDATE(B175,-12),Database!$F:$AY,MATCH($I$1,Database!$F$1:$AY$1,),))))</f>
        <v>-3.325454610240762E-2</v>
      </c>
      <c r="J175" s="13">
        <f>((((VLOOKUP(B175,Database!$F:$AY,MATCH($J$1,Database!$F$1:$AY$1,),))))-(((VLOOKUP(EDATE(B175,-12),Database!$F:$AY,MATCH($J$1,Database!$F$1:$AY$1,),)))))/(((VLOOKUP(EDATE(B175,-12),Database!$F:$AY,MATCH($J$1,Database!$F$1:$AY$1,),))))</f>
        <v>-2.2480392367655894E-2</v>
      </c>
      <c r="K175" s="13">
        <f>((((VLOOKUP(B175,Database!$F:$AY,MATCH($K$1,Database!$F$1:$AY$1,),))))-(((VLOOKUP(EDATE(B175,-12),Database!$F:$AY,MATCH($K$1,Database!$F$1:$AY$1,),)))))/(((VLOOKUP(EDATE(B175,-12),Database!$F:$AY,MATCH($K$1,Database!$F$1:$AY$1,),))))</f>
        <v>-1.966568338249754E-2</v>
      </c>
      <c r="L175" s="13">
        <f>((((VLOOKUP(B175,Database!$F:$AY,MATCH($L$1,Database!$F$1:$AY$1,),))))-(((VLOOKUP(EDATE(B175,-12),Database!$F:$AY,MATCH($L$1,Database!$F$1:$AY$1,),)))))/(((VLOOKUP(EDATE(B175,-12),Database!$F:$AY,MATCH($L$1,Database!$F$1:$AY$1,),))))</f>
        <v>-7.0060920522281162E-3</v>
      </c>
      <c r="M175" s="13">
        <f>((((VLOOKUP(B175,Database!$F:$AY,MATCH($M$1,Database!$F$1:$AY$1,),))))-(((VLOOKUP(EDATE(B175,-12),Database!$F:$AY,MATCH($M$1,Database!$F$1:$AY$1,),)))))/(((VLOOKUP(EDATE(B175,-12),Database!$F:$AY,MATCH($M$1,Database!$F$1:$AY$1,),))))</f>
        <v>5.6516505568776111E-2</v>
      </c>
      <c r="N175" s="13">
        <f>((((VLOOKUP(B175,Database!$F:$AY,MATCH($N$1,Database!$F$1:$AY$1,),))))-(((VLOOKUP(EDATE(B175,-12),Database!$F:$AY,MATCH($N$1,Database!$F$1:$AY$1,),)))))/(((VLOOKUP(EDATE(B175,-12),Database!$F:$AY,MATCH($N$1,Database!$F$1:$AY$1,),))))</f>
        <v>6.4045061941817819E-2</v>
      </c>
      <c r="O175" s="13">
        <f>((((VLOOKUP(B175,Database!$F:$AY,MATCH($O$1,Database!$F$1:$AY$1,),))))-(((VLOOKUP(EDATE(B175,-12),Database!$F:$AY,MATCH($O$1,Database!$F$1:$AY$1,),)))))/(((VLOOKUP(EDATE(B175,-12),Database!$F:$AY,MATCH($O$1,Database!$F$1:$AY$1,),))))</f>
        <v>3.0214290455539271E-2</v>
      </c>
      <c r="P175" s="13">
        <f>((((VLOOKUP(B175,Database!$F:$AY,MATCH($P$1,Database!$F$1:$AY$1,),))))-(((VLOOKUP(EDATE(B175,-12),Database!$F:$AY,MATCH($P$1,Database!$F$1:$AY$1,),)))))/(((VLOOKUP(EDATE(B175,-12),Database!$F:$AY,MATCH($P$1,Database!$F$1:$AY$1,),))))</f>
        <v>8.947660522697555E-2</v>
      </c>
      <c r="Q175" s="13">
        <f>((((VLOOKUP(B175,Database!$F:$AY,MATCH($Q$1,Database!$F$1:$AY$1,),))))-(((VLOOKUP(EDATE(B175,-12),Database!$F:$AY,MATCH($Q$1,Database!$F$1:$AY$1,),)))))/(((VLOOKUP(EDATE(B175,-12),Database!$F:$AY,MATCH($Q$1,Database!$F$1:$AY$1,),))))</f>
        <v>8.8684545412576737E-3</v>
      </c>
      <c r="R175" s="13">
        <f>((((VLOOKUP(B175,Database!$F:$AY,MATCH($R$1,Database!$F$1:$AY$1,),))))-(((VLOOKUP(EDATE(B175,-12),Database!$F:$AY,MATCH($R$1,Database!$F$1:$AY$1,),)))))/(((VLOOKUP(EDATE(B175,-12),Database!$F:$AY,MATCH($R$1,Database!$F$1:$AY$1,),))))</f>
        <v>-2.6499498369438917E-2</v>
      </c>
      <c r="S175" s="13">
        <f>((((VLOOKUP(B175,Database!$F:$AY,MATCH($S$1,Database!$F$1:$AY$1,),))))-(((VLOOKUP(EDATE(B175,-12),Database!$F:$AY,MATCH($S$1,Database!$F$1:$AY$1,),)))))/(((VLOOKUP(EDATE(B175,-12),Database!$F:$AY,MATCH($S$1,Database!$F$1:$AY$1,),))))</f>
        <v>6.7065942387202898E-2</v>
      </c>
      <c r="T175" s="13">
        <f>((((VLOOKUP(B175,Database!$F:$AY,MATCH($T$1,Database!$F$1:$AY$1,),))))-(((VLOOKUP(EDATE(B175,-12),Database!$F:$AY,MATCH($T$1,Database!$F$1:$AY$1,),)))))/(((VLOOKUP(EDATE(B175,-12),Database!$F:$AY,MATCH($T$1,Database!$F$1:$AY$1,),))))</f>
        <v>6.5217270521335746E-2</v>
      </c>
      <c r="U175" s="13">
        <f>((((VLOOKUP(B175,Database!$F:$AY,MATCH($U$1,Database!$F$1:$AY$1,),))))-(((VLOOKUP(EDATE(B175,-12),Database!$F:$AY,MATCH($U$1,Database!$F$1:$AY$1,),)))))/(((VLOOKUP(EDATE(B175,-12),Database!$F:$AY,MATCH($U$1,Database!$F$1:$AY$1,),))))</f>
        <v>2.984974810729733E-3</v>
      </c>
      <c r="V175" s="13">
        <f>((((VLOOKUP(B175,Database!$F:$AY,MATCH($V$1,Database!$F$1:$AY$1,),))))-(((VLOOKUP(EDATE(B175,-12),Database!$F:$AY,MATCH($V$1,Database!$F$1:$AY$1,),)))))/(((VLOOKUP(EDATE(B175,-12),Database!$F:$AY,MATCH($V$1,Database!$F$1:$AY$1,),))))</f>
        <v>1.2320328542094338E-2</v>
      </c>
    </row>
    <row r="176" spans="1:22" s="85" customFormat="1" x14ac:dyDescent="0.2">
      <c r="A176" s="44"/>
      <c r="B176" s="91">
        <v>37500</v>
      </c>
      <c r="C176" s="13">
        <f>((((VLOOKUP(B176,Database!$F:$AY,MATCH($C$1,Database!$F$1:$AY$1,),))))-(((VLOOKUP(EDATE(B176,-12),Database!$F:$AY,MATCH($C$1,Database!$F$1:$AY$1,),)))))/(((VLOOKUP(EDATE(B176,-12),Database!$F:$AY,MATCH($C$1,Database!$F$1:$AY$1,),))))</f>
        <v>2.2298554027551497E-2</v>
      </c>
      <c r="D176" s="13">
        <f>((((VLOOKUP(B176,Database!$F:$AY,MATCH($D$1,Database!$F$1:$AY$1,),))))-(((VLOOKUP(EDATE(B176,-12),Database!$F:$AY,MATCH($D$1,Database!$F$1:$AY$1,),)))))/(((VLOOKUP(EDATE(B176,-12),Database!$F:$AY,MATCH($D$1,Database!$F$1:$AY$1,),))))</f>
        <v>5.2411250931759384E-3</v>
      </c>
      <c r="E176" s="13">
        <f>((((VLOOKUP(B176,Database!$F:$AY,MATCH($E$1,Database!$F$1:$AY$1,),))))-(((VLOOKUP(EDATE(B176,-12),Database!$F:$AY,MATCH($E$1,Database!$F$1:$AY$1,),)))))/(((VLOOKUP(EDATE(B176,-12),Database!$F:$AY,MATCH($E$1,Database!$F$1:$AY$1,),))))</f>
        <v>5.1167586693805042E-2</v>
      </c>
      <c r="F176" s="13">
        <f>((((VLOOKUP(B176,Database!$F:$AY,MATCH($F$1,Database!$F$1:$AY$1,),))))-(((VLOOKUP(EDATE(B176,-12),Database!$F:$AY,MATCH($F$1,Database!$F$1:$AY$1,),)))))/(((VLOOKUP(EDATE(B176,-12),Database!$F:$AY,MATCH($F$1,Database!$F$1:$AY$1,),))))</f>
        <v>-3.7267702686771161E-3</v>
      </c>
      <c r="G176" s="13">
        <f>((((VLOOKUP(B176,Database!$F:$AY,MATCH($G$1,Database!$F$1:$AY$1,),))))-(((VLOOKUP(EDATE(B176,-12),Database!$F:$AY,MATCH($G$1,Database!$F$1:$AY$1,),)))))/(((VLOOKUP(EDATE(B176,-12),Database!$F:$AY,MATCH($G$1,Database!$F$1:$AY$1,),))))</f>
        <v>-1.1826210674464162E-2</v>
      </c>
      <c r="H176" s="13">
        <f>((((VLOOKUP(B176,Database!$F:$AY,MATCH($H$1,Database!$F$1:$AY$1,),))))-(((VLOOKUP(EDATE(B176,-12),Database!$F:$AY,MATCH($H$1,Database!$F$1:$AY$1,),)))))/(((VLOOKUP(EDATE(B176,-12),Database!$F:$AY,MATCH($H$1,Database!$F$1:$AY$1,),))))</f>
        <v>9.5763083239160248E-4</v>
      </c>
      <c r="I176" s="13">
        <f>((((VLOOKUP(B176,Database!$F:$AY,MATCH($I$1,Database!$F$1:$AY$1,),))))-(((VLOOKUP(EDATE(B176,-12),Database!$F:$AY,MATCH($I$1,Database!$F$1:$AY$1,),)))))/(((VLOOKUP(EDATE(B176,-12),Database!$F:$AY,MATCH($I$1,Database!$F$1:$AY$1,),))))</f>
        <v>8.0457254669745926E-4</v>
      </c>
      <c r="J176" s="13">
        <f>((((VLOOKUP(B176,Database!$F:$AY,MATCH($J$1,Database!$F$1:$AY$1,),))))-(((VLOOKUP(EDATE(B176,-12),Database!$F:$AY,MATCH($J$1,Database!$F$1:$AY$1,),)))))/(((VLOOKUP(EDATE(B176,-12),Database!$F:$AY,MATCH($J$1,Database!$F$1:$AY$1,),))))</f>
        <v>1.9528055713543692E-4</v>
      </c>
      <c r="K176" s="13">
        <f>((((VLOOKUP(B176,Database!$F:$AY,MATCH($K$1,Database!$F$1:$AY$1,),))))-(((VLOOKUP(EDATE(B176,-12),Database!$F:$AY,MATCH($K$1,Database!$F$1:$AY$1,),)))))/(((VLOOKUP(EDATE(B176,-12),Database!$F:$AY,MATCH($K$1,Database!$F$1:$AY$1,),))))</f>
        <v>-6.9721115537848882E-3</v>
      </c>
      <c r="L176" s="13">
        <f>((((VLOOKUP(B176,Database!$F:$AY,MATCH($L$1,Database!$F$1:$AY$1,),))))-(((VLOOKUP(EDATE(B176,-12),Database!$F:$AY,MATCH($L$1,Database!$F$1:$AY$1,),)))))/(((VLOOKUP(EDATE(B176,-12),Database!$F:$AY,MATCH($L$1,Database!$F$1:$AY$1,),))))</f>
        <v>-1.0856775276333117E-2</v>
      </c>
      <c r="M176" s="13">
        <f>((((VLOOKUP(B176,Database!$F:$AY,MATCH($M$1,Database!$F$1:$AY$1,),))))-(((VLOOKUP(EDATE(B176,-12),Database!$F:$AY,MATCH($M$1,Database!$F$1:$AY$1,),)))))/(((VLOOKUP(EDATE(B176,-12),Database!$F:$AY,MATCH($M$1,Database!$F$1:$AY$1,),))))</f>
        <v>3.7467401128798795E-2</v>
      </c>
      <c r="N176" s="13">
        <f>((((VLOOKUP(B176,Database!$F:$AY,MATCH($N$1,Database!$F$1:$AY$1,),))))-(((VLOOKUP(EDATE(B176,-12),Database!$F:$AY,MATCH($N$1,Database!$F$1:$AY$1,),)))))/(((VLOOKUP(EDATE(B176,-12),Database!$F:$AY,MATCH($N$1,Database!$F$1:$AY$1,),))))</f>
        <v>5.7466958328054908E-2</v>
      </c>
      <c r="O176" s="13">
        <f>((((VLOOKUP(B176,Database!$F:$AY,MATCH($O$1,Database!$F$1:$AY$1,),))))-(((VLOOKUP(EDATE(B176,-12),Database!$F:$AY,MATCH($O$1,Database!$F$1:$AY$1,),)))))/(((VLOOKUP(EDATE(B176,-12),Database!$F:$AY,MATCH($O$1,Database!$F$1:$AY$1,),))))</f>
        <v>3.6728237895413976E-2</v>
      </c>
      <c r="P176" s="13">
        <f>((((VLOOKUP(B176,Database!$F:$AY,MATCH($P$1,Database!$F$1:$AY$1,),))))-(((VLOOKUP(EDATE(B176,-12),Database!$F:$AY,MATCH($P$1,Database!$F$1:$AY$1,),)))))/(((VLOOKUP(EDATE(B176,-12),Database!$F:$AY,MATCH($P$1,Database!$F$1:$AY$1,),))))</f>
        <v>7.3318697355839541E-2</v>
      </c>
      <c r="Q176" s="13">
        <f>((((VLOOKUP(B176,Database!$F:$AY,MATCH($Q$1,Database!$F$1:$AY$1,),))))-(((VLOOKUP(EDATE(B176,-12),Database!$F:$AY,MATCH($Q$1,Database!$F$1:$AY$1,),)))))/(((VLOOKUP(EDATE(B176,-12),Database!$F:$AY,MATCH($Q$1,Database!$F$1:$AY$1,),))))</f>
        <v>4.1637042652162774E-2</v>
      </c>
      <c r="R176" s="13">
        <f>((((VLOOKUP(B176,Database!$F:$AY,MATCH($R$1,Database!$F$1:$AY$1,),))))-(((VLOOKUP(EDATE(B176,-12),Database!$F:$AY,MATCH($R$1,Database!$F$1:$AY$1,),)))))/(((VLOOKUP(EDATE(B176,-12),Database!$F:$AY,MATCH($R$1,Database!$F$1:$AY$1,),))))</f>
        <v>-1.3427662342900085E-2</v>
      </c>
      <c r="S176" s="13">
        <f>((((VLOOKUP(B176,Database!$F:$AY,MATCH($S$1,Database!$F$1:$AY$1,),))))-(((VLOOKUP(EDATE(B176,-12),Database!$F:$AY,MATCH($S$1,Database!$F$1:$AY$1,),)))))/(((VLOOKUP(EDATE(B176,-12),Database!$F:$AY,MATCH($S$1,Database!$F$1:$AY$1,),))))</f>
        <v>0.12287105021499423</v>
      </c>
      <c r="T176" s="13">
        <f>((((VLOOKUP(B176,Database!$F:$AY,MATCH($T$1,Database!$F$1:$AY$1,),))))-(((VLOOKUP(EDATE(B176,-12),Database!$F:$AY,MATCH($T$1,Database!$F$1:$AY$1,),)))))/(((VLOOKUP(EDATE(B176,-12),Database!$F:$AY,MATCH($T$1,Database!$F$1:$AY$1,),))))</f>
        <v>0.10194173932441458</v>
      </c>
      <c r="U176" s="13">
        <f>((((VLOOKUP(B176,Database!$F:$AY,MATCH($U$1,Database!$F$1:$AY$1,),))))-(((VLOOKUP(EDATE(B176,-12),Database!$F:$AY,MATCH($U$1,Database!$F$1:$AY$1,),)))))/(((VLOOKUP(EDATE(B176,-12),Database!$F:$AY,MATCH($U$1,Database!$F$1:$AY$1,),))))</f>
        <v>3.6199095022624535E-2</v>
      </c>
      <c r="V176" s="13">
        <f>((((VLOOKUP(B176,Database!$F:$AY,MATCH($V$1,Database!$F$1:$AY$1,),))))-(((VLOOKUP(EDATE(B176,-12),Database!$F:$AY,MATCH($V$1,Database!$F$1:$AY$1,),)))))/(((VLOOKUP(EDATE(B176,-12),Database!$F:$AY,MATCH($V$1,Database!$F$1:$AY$1,),))))</f>
        <v>3.9999999999999973E-2</v>
      </c>
    </row>
    <row r="177" spans="1:22" s="85" customFormat="1" x14ac:dyDescent="0.2">
      <c r="A177" s="44"/>
      <c r="B177" s="91">
        <v>37530</v>
      </c>
      <c r="C177" s="13">
        <f>((((VLOOKUP(B177,Database!$F:$AY,MATCH($C$1,Database!$F$1:$AY$1,),))))-(((VLOOKUP(EDATE(B177,-12),Database!$F:$AY,MATCH($C$1,Database!$F$1:$AY$1,),)))))/(((VLOOKUP(EDATE(B177,-12),Database!$F:$AY,MATCH($C$1,Database!$F$1:$AY$1,),))))</f>
        <v>2.3664944748477659E-2</v>
      </c>
      <c r="D177" s="13">
        <f>((((VLOOKUP(B177,Database!$F:$AY,MATCH($D$1,Database!$F$1:$AY$1,),))))-(((VLOOKUP(EDATE(B177,-12),Database!$F:$AY,MATCH($D$1,Database!$F$1:$AY$1,),)))))/(((VLOOKUP(EDATE(B177,-12),Database!$F:$AY,MATCH($D$1,Database!$F$1:$AY$1,),))))</f>
        <v>1.1677317769522185E-2</v>
      </c>
      <c r="E177" s="13">
        <f>((((VLOOKUP(B177,Database!$F:$AY,MATCH($E$1,Database!$F$1:$AY$1,),))))-(((VLOOKUP(EDATE(B177,-12),Database!$F:$AY,MATCH($E$1,Database!$F$1:$AY$1,),)))))/(((VLOOKUP(EDATE(B177,-12),Database!$F:$AY,MATCH($E$1,Database!$F$1:$AY$1,),))))</f>
        <v>5.1167586693805042E-2</v>
      </c>
      <c r="F177" s="13">
        <f>((((VLOOKUP(B177,Database!$F:$AY,MATCH($F$1,Database!$F$1:$AY$1,),))))-(((VLOOKUP(EDATE(B177,-12),Database!$F:$AY,MATCH($F$1,Database!$F$1:$AY$1,),)))))/(((VLOOKUP(EDATE(B177,-12),Database!$F:$AY,MATCH($F$1,Database!$F$1:$AY$1,),))))</f>
        <v>6.3211334547339315E-3</v>
      </c>
      <c r="G177" s="13">
        <f>((((VLOOKUP(B177,Database!$F:$AY,MATCH($G$1,Database!$F$1:$AY$1,),))))-(((VLOOKUP(EDATE(B177,-12),Database!$F:$AY,MATCH($G$1,Database!$F$1:$AY$1,),)))))/(((VLOOKUP(EDATE(B177,-12),Database!$F:$AY,MATCH($G$1,Database!$F$1:$AY$1,),))))</f>
        <v>-1.2547633270868028E-2</v>
      </c>
      <c r="H177" s="13">
        <f>((((VLOOKUP(B177,Database!$F:$AY,MATCH($H$1,Database!$F$1:$AY$1,),))))-(((VLOOKUP(EDATE(B177,-12),Database!$F:$AY,MATCH($H$1,Database!$F$1:$AY$1,),)))))/(((VLOOKUP(EDATE(B177,-12),Database!$F:$AY,MATCH($H$1,Database!$F$1:$AY$1,),))))</f>
        <v>-6.7626421485603109E-3</v>
      </c>
      <c r="I177" s="13">
        <f>((((VLOOKUP(B177,Database!$F:$AY,MATCH($I$1,Database!$F$1:$AY$1,),))))-(((VLOOKUP(EDATE(B177,-12),Database!$F:$AY,MATCH($I$1,Database!$F$1:$AY$1,),)))))/(((VLOOKUP(EDATE(B177,-12),Database!$F:$AY,MATCH($I$1,Database!$F$1:$AY$1,),))))</f>
        <v>-5.6630932836636023E-3</v>
      </c>
      <c r="J177" s="13">
        <f>((((VLOOKUP(B177,Database!$F:$AY,MATCH($J$1,Database!$F$1:$AY$1,),))))-(((VLOOKUP(EDATE(B177,-12),Database!$F:$AY,MATCH($J$1,Database!$F$1:$AY$1,),)))))/(((VLOOKUP(EDATE(B177,-12),Database!$F:$AY,MATCH($J$1,Database!$F$1:$AY$1,),))))</f>
        <v>1.8392903623648305E-2</v>
      </c>
      <c r="K177" s="13">
        <f>((((VLOOKUP(B177,Database!$F:$AY,MATCH($K$1,Database!$F$1:$AY$1,),))))-(((VLOOKUP(EDATE(B177,-12),Database!$F:$AY,MATCH($K$1,Database!$F$1:$AY$1,),)))))/(((VLOOKUP(EDATE(B177,-12),Database!$F:$AY,MATCH($K$1,Database!$F$1:$AY$1,),))))</f>
        <v>-1.9860973187686478E-3</v>
      </c>
      <c r="L177" s="13">
        <f>((((VLOOKUP(B177,Database!$F:$AY,MATCH($L$1,Database!$F$1:$AY$1,),))))-(((VLOOKUP(EDATE(B177,-12),Database!$F:$AY,MATCH($L$1,Database!$F$1:$AY$1,),)))))/(((VLOOKUP(EDATE(B177,-12),Database!$F:$AY,MATCH($L$1,Database!$F$1:$AY$1,),))))</f>
        <v>1.7909599668037249E-2</v>
      </c>
      <c r="M177" s="13">
        <f>((((VLOOKUP(B177,Database!$F:$AY,MATCH($M$1,Database!$F$1:$AY$1,),))))-(((VLOOKUP(EDATE(B177,-12),Database!$F:$AY,MATCH($M$1,Database!$F$1:$AY$1,),)))))/(((VLOOKUP(EDATE(B177,-12),Database!$F:$AY,MATCH($M$1,Database!$F$1:$AY$1,),))))</f>
        <v>3.3317002920720026E-2</v>
      </c>
      <c r="N177" s="13">
        <f>((((VLOOKUP(B177,Database!$F:$AY,MATCH($N$1,Database!$F$1:$AY$1,),))))-(((VLOOKUP(EDATE(B177,-12),Database!$F:$AY,MATCH($N$1,Database!$F$1:$AY$1,),)))))/(((VLOOKUP(EDATE(B177,-12),Database!$F:$AY,MATCH($N$1,Database!$F$1:$AY$1,),))))</f>
        <v>6.5089426219006721E-2</v>
      </c>
      <c r="O177" s="13">
        <f>((((VLOOKUP(B177,Database!$F:$AY,MATCH($O$1,Database!$F$1:$AY$1,),))))-(((VLOOKUP(EDATE(B177,-12),Database!$F:$AY,MATCH($O$1,Database!$F$1:$AY$1,),)))))/(((VLOOKUP(EDATE(B177,-12),Database!$F:$AY,MATCH($O$1,Database!$F$1:$AY$1,),))))</f>
        <v>4.0658727074153488E-2</v>
      </c>
      <c r="P177" s="13">
        <f>((((VLOOKUP(B177,Database!$F:$AY,MATCH($P$1,Database!$F$1:$AY$1,),))))-(((VLOOKUP(EDATE(B177,-12),Database!$F:$AY,MATCH($P$1,Database!$F$1:$AY$1,),)))))/(((VLOOKUP(EDATE(B177,-12),Database!$F:$AY,MATCH($P$1,Database!$F$1:$AY$1,),))))</f>
        <v>7.901469951948209E-2</v>
      </c>
      <c r="Q177" s="13">
        <f>((((VLOOKUP(B177,Database!$F:$AY,MATCH($Q$1,Database!$F$1:$AY$1,),))))-(((VLOOKUP(EDATE(B177,-12),Database!$F:$AY,MATCH($Q$1,Database!$F$1:$AY$1,),)))))/(((VLOOKUP(EDATE(B177,-12),Database!$F:$AY,MATCH($Q$1,Database!$F$1:$AY$1,),))))</f>
        <v>7.4142915949368712E-2</v>
      </c>
      <c r="R177" s="13">
        <f>((((VLOOKUP(B177,Database!$F:$AY,MATCH($R$1,Database!$F$1:$AY$1,),))))-(((VLOOKUP(EDATE(B177,-12),Database!$F:$AY,MATCH($R$1,Database!$F$1:$AY$1,),)))))/(((VLOOKUP(EDATE(B177,-12),Database!$F:$AY,MATCH($R$1,Database!$F$1:$AY$1,),))))</f>
        <v>2.7989224673956536E-3</v>
      </c>
      <c r="S177" s="13">
        <f>((((VLOOKUP(B177,Database!$F:$AY,MATCH($S$1,Database!$F$1:$AY$1,),))))-(((VLOOKUP(EDATE(B177,-12),Database!$F:$AY,MATCH($S$1,Database!$F$1:$AY$1,),)))))/(((VLOOKUP(EDATE(B177,-12),Database!$F:$AY,MATCH($S$1,Database!$F$1:$AY$1,),))))</f>
        <v>0.12531635994020673</v>
      </c>
      <c r="T177" s="13">
        <f>((((VLOOKUP(B177,Database!$F:$AY,MATCH($T$1,Database!$F$1:$AY$1,),))))-(((VLOOKUP(EDATE(B177,-12),Database!$F:$AY,MATCH($T$1,Database!$F$1:$AY$1,),)))))/(((VLOOKUP(EDATE(B177,-12),Database!$F:$AY,MATCH($T$1,Database!$F$1:$AY$1,),))))</f>
        <v>0.13881747477167758</v>
      </c>
      <c r="U177" s="13">
        <f>((((VLOOKUP(B177,Database!$F:$AY,MATCH($U$1,Database!$F$1:$AY$1,),))))-(((VLOOKUP(EDATE(B177,-12),Database!$F:$AY,MATCH($U$1,Database!$F$1:$AY$1,),)))))/(((VLOOKUP(EDATE(B177,-12),Database!$F:$AY,MATCH($U$1,Database!$F$1:$AY$1,),))))</f>
        <v>4.6476706989724968E-2</v>
      </c>
      <c r="V177" s="13">
        <f>((((VLOOKUP(B177,Database!$F:$AY,MATCH($V$1,Database!$F$1:$AY$1,),))))-(((VLOOKUP(EDATE(B177,-12),Database!$F:$AY,MATCH($V$1,Database!$F$1:$AY$1,),)))))/(((VLOOKUP(EDATE(B177,-12),Database!$F:$AY,MATCH($V$1,Database!$F$1:$AY$1,),))))</f>
        <v>2.9411764705882321E-2</v>
      </c>
    </row>
    <row r="178" spans="1:22" s="85" customFormat="1" x14ac:dyDescent="0.2">
      <c r="A178" s="44"/>
      <c r="B178" s="91">
        <v>37561</v>
      </c>
      <c r="C178" s="13">
        <f>((((VLOOKUP(B178,Database!$F:$AY,MATCH($C$1,Database!$F$1:$AY$1,),))))-(((VLOOKUP(EDATE(B178,-12),Database!$F:$AY,MATCH($C$1,Database!$F$1:$AY$1,),)))))/(((VLOOKUP(EDATE(B178,-12),Database!$F:$AY,MATCH($C$1,Database!$F$1:$AY$1,),))))</f>
        <v>3.4074893798568137E-2</v>
      </c>
      <c r="D178" s="13">
        <f>((((VLOOKUP(B178,Database!$F:$AY,MATCH($D$1,Database!$F$1:$AY$1,),))))-(((VLOOKUP(EDATE(B178,-12),Database!$F:$AY,MATCH($D$1,Database!$F$1:$AY$1,),)))))/(((VLOOKUP(EDATE(B178,-12),Database!$F:$AY,MATCH($D$1,Database!$F$1:$AY$1,),))))</f>
        <v>2.5668448282612298E-2</v>
      </c>
      <c r="E178" s="13">
        <f>((((VLOOKUP(B178,Database!$F:$AY,MATCH($E$1,Database!$F$1:$AY$1,),))))-(((VLOOKUP(EDATE(B178,-12),Database!$F:$AY,MATCH($E$1,Database!$F$1:$AY$1,),)))))/(((VLOOKUP(EDATE(B178,-12),Database!$F:$AY,MATCH($E$1,Database!$F$1:$AY$1,),))))</f>
        <v>6.6666312343211978E-2</v>
      </c>
      <c r="F178" s="13">
        <f>((((VLOOKUP(B178,Database!$F:$AY,MATCH($F$1,Database!$F$1:$AY$1,),))))-(((VLOOKUP(EDATE(B178,-12),Database!$F:$AY,MATCH($F$1,Database!$F$1:$AY$1,),)))))/(((VLOOKUP(EDATE(B178,-12),Database!$F:$AY,MATCH($F$1,Database!$F$1:$AY$1,),))))</f>
        <v>3.7131904336712325E-2</v>
      </c>
      <c r="G178" s="13">
        <f>((((VLOOKUP(B178,Database!$F:$AY,MATCH($G$1,Database!$F$1:$AY$1,),))))-(((VLOOKUP(EDATE(B178,-12),Database!$F:$AY,MATCH($G$1,Database!$F$1:$AY$1,),)))))/(((VLOOKUP(EDATE(B178,-12),Database!$F:$AY,MATCH($G$1,Database!$F$1:$AY$1,),))))</f>
        <v>7.9977275422430799E-3</v>
      </c>
      <c r="H178" s="13">
        <f>((((VLOOKUP(B178,Database!$F:$AY,MATCH($H$1,Database!$F$1:$AY$1,),))))-(((VLOOKUP(EDATE(B178,-12),Database!$F:$AY,MATCH($H$1,Database!$F$1:$AY$1,),)))))/(((VLOOKUP(EDATE(B178,-12),Database!$F:$AY,MATCH($H$1,Database!$F$1:$AY$1,),))))</f>
        <v>-5.8191730963438083E-3</v>
      </c>
      <c r="I178" s="13">
        <f>((((VLOOKUP(B178,Database!$F:$AY,MATCH($I$1,Database!$F$1:$AY$1,),))))-(((VLOOKUP(EDATE(B178,-12),Database!$F:$AY,MATCH($I$1,Database!$F$1:$AY$1,),)))))/(((VLOOKUP(EDATE(B178,-12),Database!$F:$AY,MATCH($I$1,Database!$F$1:$AY$1,),))))</f>
        <v>2.6273136173965275E-2</v>
      </c>
      <c r="J178" s="13">
        <f>((((VLOOKUP(B178,Database!$F:$AY,MATCH($J$1,Database!$F$1:$AY$1,),))))-(((VLOOKUP(EDATE(B178,-12),Database!$F:$AY,MATCH($J$1,Database!$F$1:$AY$1,),)))))/(((VLOOKUP(EDATE(B178,-12),Database!$F:$AY,MATCH($J$1,Database!$F$1:$AY$1,),))))</f>
        <v>2.9303119302460715E-2</v>
      </c>
      <c r="K178" s="13">
        <f>((((VLOOKUP(B178,Database!$F:$AY,MATCH($K$1,Database!$F$1:$AY$1,),))))-(((VLOOKUP(EDATE(B178,-12),Database!$F:$AY,MATCH($K$1,Database!$F$1:$AY$1,),)))))/(((VLOOKUP(EDATE(B178,-12),Database!$F:$AY,MATCH($K$1,Database!$F$1:$AY$1,),))))</f>
        <v>9.8716683119455615E-4</v>
      </c>
      <c r="L178" s="13">
        <f>((((VLOOKUP(B178,Database!$F:$AY,MATCH($L$1,Database!$F$1:$AY$1,),))))-(((VLOOKUP(EDATE(B178,-12),Database!$F:$AY,MATCH($L$1,Database!$F$1:$AY$1,),)))))/(((VLOOKUP(EDATE(B178,-12),Database!$F:$AY,MATCH($L$1,Database!$F$1:$AY$1,),))))</f>
        <v>-8.7583124225670533E-3</v>
      </c>
      <c r="M178" s="13">
        <f>((((VLOOKUP(B178,Database!$F:$AY,MATCH($M$1,Database!$F$1:$AY$1,),))))-(((VLOOKUP(EDATE(B178,-12),Database!$F:$AY,MATCH($M$1,Database!$F$1:$AY$1,),)))))/(((VLOOKUP(EDATE(B178,-12),Database!$F:$AY,MATCH($M$1,Database!$F$1:$AY$1,),))))</f>
        <v>1.1579429187474699E-2</v>
      </c>
      <c r="N178" s="13">
        <f>((((VLOOKUP(B178,Database!$F:$AY,MATCH($N$1,Database!$F$1:$AY$1,),))))-(((VLOOKUP(EDATE(B178,-12),Database!$F:$AY,MATCH($N$1,Database!$F$1:$AY$1,),)))))/(((VLOOKUP(EDATE(B178,-12),Database!$F:$AY,MATCH($N$1,Database!$F$1:$AY$1,),))))</f>
        <v>4.6887605423123133E-2</v>
      </c>
      <c r="O178" s="13">
        <f>((((VLOOKUP(B178,Database!$F:$AY,MATCH($O$1,Database!$F$1:$AY$1,),))))-(((VLOOKUP(EDATE(B178,-12),Database!$F:$AY,MATCH($O$1,Database!$F$1:$AY$1,),)))))/(((VLOOKUP(EDATE(B178,-12),Database!$F:$AY,MATCH($O$1,Database!$F$1:$AY$1,),))))</f>
        <v>3.3172644444014271E-2</v>
      </c>
      <c r="P178" s="13">
        <f>((((VLOOKUP(B178,Database!$F:$AY,MATCH($P$1,Database!$F$1:$AY$1,),))))-(((VLOOKUP(EDATE(B178,-12),Database!$F:$AY,MATCH($P$1,Database!$F$1:$AY$1,),)))))/(((VLOOKUP(EDATE(B178,-12),Database!$F:$AY,MATCH($P$1,Database!$F$1:$AY$1,),))))</f>
        <v>9.1039948462256062E-2</v>
      </c>
      <c r="Q178" s="13">
        <f>((((VLOOKUP(B178,Database!$F:$AY,MATCH($Q$1,Database!$F$1:$AY$1,),))))-(((VLOOKUP(EDATE(B178,-12),Database!$F:$AY,MATCH($Q$1,Database!$F$1:$AY$1,),)))))/(((VLOOKUP(EDATE(B178,-12),Database!$F:$AY,MATCH($Q$1,Database!$F$1:$AY$1,),))))</f>
        <v>6.3108613218908011E-2</v>
      </c>
      <c r="R178" s="13">
        <f>((((VLOOKUP(B178,Database!$F:$AY,MATCH($R$1,Database!$F$1:$AY$1,),))))-(((VLOOKUP(EDATE(B178,-12),Database!$F:$AY,MATCH($R$1,Database!$F$1:$AY$1,),)))))/(((VLOOKUP(EDATE(B178,-12),Database!$F:$AY,MATCH($R$1,Database!$F$1:$AY$1,),))))</f>
        <v>-9.6613651108849868E-3</v>
      </c>
      <c r="S178" s="13">
        <f>((((VLOOKUP(B178,Database!$F:$AY,MATCH($S$1,Database!$F$1:$AY$1,),))))-(((VLOOKUP(EDATE(B178,-12),Database!$F:$AY,MATCH($S$1,Database!$F$1:$AY$1,),)))))/(((VLOOKUP(EDATE(B178,-12),Database!$F:$AY,MATCH($S$1,Database!$F$1:$AY$1,),))))</f>
        <v>0.12422366742863096</v>
      </c>
      <c r="T178" s="13">
        <f>((((VLOOKUP(B178,Database!$F:$AY,MATCH($T$1,Database!$F$1:$AY$1,),))))-(((VLOOKUP(EDATE(B178,-12),Database!$F:$AY,MATCH($T$1,Database!$F$1:$AY$1,),)))))/(((VLOOKUP(EDATE(B178,-12),Database!$F:$AY,MATCH($T$1,Database!$F$1:$AY$1,),))))</f>
        <v>9.5959764323794619E-2</v>
      </c>
      <c r="U178" s="13">
        <f>((((VLOOKUP(B178,Database!$F:$AY,MATCH($U$1,Database!$F$1:$AY$1,),))))-(((VLOOKUP(EDATE(B178,-12),Database!$F:$AY,MATCH($U$1,Database!$F$1:$AY$1,),)))))/(((VLOOKUP(EDATE(B178,-12),Database!$F:$AY,MATCH($U$1,Database!$F$1:$AY$1,),))))</f>
        <v>5.5059474198080709E-2</v>
      </c>
      <c r="V178" s="13">
        <f>((((VLOOKUP(B178,Database!$F:$AY,MATCH($V$1,Database!$F$1:$AY$1,),))))-(((VLOOKUP(EDATE(B178,-12),Database!$F:$AY,MATCH($V$1,Database!$F$1:$AY$1,),)))))/(((VLOOKUP(EDATE(B178,-12),Database!$F:$AY,MATCH($V$1,Database!$F$1:$AY$1,),))))</f>
        <v>7.8723404255319207E-2</v>
      </c>
    </row>
    <row r="179" spans="1:22" s="85" customFormat="1" x14ac:dyDescent="0.2">
      <c r="A179" s="44"/>
      <c r="B179" s="91">
        <v>37591</v>
      </c>
      <c r="C179" s="13">
        <f>((((VLOOKUP(B179,Database!$F:$AY,MATCH($C$1,Database!$F$1:$AY$1,),))))-(((VLOOKUP(EDATE(B179,-12),Database!$F:$AY,MATCH($C$1,Database!$F$1:$AY$1,),)))))/(((VLOOKUP(EDATE(B179,-12),Database!$F:$AY,MATCH($C$1,Database!$F$1:$AY$1,),))))</f>
        <v>2.876015493289549E-2</v>
      </c>
      <c r="D179" s="13">
        <f>((((VLOOKUP(B179,Database!$F:$AY,MATCH($D$1,Database!$F$1:$AY$1,),))))-(((VLOOKUP(EDATE(B179,-12),Database!$F:$AY,MATCH($D$1,Database!$F$1:$AY$1,),)))))/(((VLOOKUP(EDATE(B179,-12),Database!$F:$AY,MATCH($D$1,Database!$F$1:$AY$1,),))))</f>
        <v>2.1231776421336418E-3</v>
      </c>
      <c r="E179" s="13">
        <f>((((VLOOKUP(B179,Database!$F:$AY,MATCH($E$1,Database!$F$1:$AY$1,),))))-(((VLOOKUP(EDATE(B179,-12),Database!$F:$AY,MATCH($E$1,Database!$F$1:$AY$1,),)))))/(((VLOOKUP(EDATE(B179,-12),Database!$F:$AY,MATCH($E$1,Database!$F$1:$AY$1,),))))</f>
        <v>5.4809444032481072E-2</v>
      </c>
      <c r="F179" s="13">
        <f>((((VLOOKUP(B179,Database!$F:$AY,MATCH($F$1,Database!$F$1:$AY$1,),))))-(((VLOOKUP(EDATE(B179,-12),Database!$F:$AY,MATCH($F$1,Database!$F$1:$AY$1,),)))))/(((VLOOKUP(EDATE(B179,-12),Database!$F:$AY,MATCH($F$1,Database!$F$1:$AY$1,),))))</f>
        <v>1.2722688722787825E-2</v>
      </c>
      <c r="G179" s="13">
        <f>((((VLOOKUP(B179,Database!$F:$AY,MATCH($G$1,Database!$F$1:$AY$1,),))))-(((VLOOKUP(EDATE(B179,-12),Database!$F:$AY,MATCH($G$1,Database!$F$1:$AY$1,),)))))/(((VLOOKUP(EDATE(B179,-12),Database!$F:$AY,MATCH($G$1,Database!$F$1:$AY$1,),))))</f>
        <v>-2.2286992525637001E-2</v>
      </c>
      <c r="H179" s="13">
        <f>((((VLOOKUP(B179,Database!$F:$AY,MATCH($H$1,Database!$F$1:$AY$1,),))))-(((VLOOKUP(EDATE(B179,-12),Database!$F:$AY,MATCH($H$1,Database!$F$1:$AY$1,),)))))/(((VLOOKUP(EDATE(B179,-12),Database!$F:$AY,MATCH($H$1,Database!$F$1:$AY$1,),))))</f>
        <v>-3.8759979318056005E-3</v>
      </c>
      <c r="I179" s="13">
        <f>((((VLOOKUP(B179,Database!$F:$AY,MATCH($I$1,Database!$F$1:$AY$1,),))))-(((VLOOKUP(EDATE(B179,-12),Database!$F:$AY,MATCH($I$1,Database!$F$1:$AY$1,),)))))/(((VLOOKUP(EDATE(B179,-12),Database!$F:$AY,MATCH($I$1,Database!$F$1:$AY$1,),))))</f>
        <v>2.4313212529084448E-3</v>
      </c>
      <c r="J179" s="13">
        <f>((((VLOOKUP(B179,Database!$F:$AY,MATCH($J$1,Database!$F$1:$AY$1,),))))-(((VLOOKUP(EDATE(B179,-12),Database!$F:$AY,MATCH($J$1,Database!$F$1:$AY$1,),)))))/(((VLOOKUP(EDATE(B179,-12),Database!$F:$AY,MATCH($J$1,Database!$F$1:$AY$1,),))))</f>
        <v>2.2636954828757855E-2</v>
      </c>
      <c r="K179" s="13">
        <f>((((VLOOKUP(B179,Database!$F:$AY,MATCH($K$1,Database!$F$1:$AY$1,),))))-(((VLOOKUP(EDATE(B179,-12),Database!$F:$AY,MATCH($K$1,Database!$F$1:$AY$1,),)))))/(((VLOOKUP(EDATE(B179,-12),Database!$F:$AY,MATCH($K$1,Database!$F$1:$AY$1,),))))</f>
        <v>1.2909632571996E-2</v>
      </c>
      <c r="L179" s="13">
        <f>((((VLOOKUP(B179,Database!$F:$AY,MATCH($L$1,Database!$F$1:$AY$1,),))))-(((VLOOKUP(EDATE(B179,-12),Database!$F:$AY,MATCH($L$1,Database!$F$1:$AY$1,),)))))/(((VLOOKUP(EDATE(B179,-12),Database!$F:$AY,MATCH($L$1,Database!$F$1:$AY$1,),))))</f>
        <v>-3.6462463887158075E-3</v>
      </c>
      <c r="M179" s="13">
        <f>((((VLOOKUP(B179,Database!$F:$AY,MATCH($M$1,Database!$F$1:$AY$1,),))))-(((VLOOKUP(EDATE(B179,-12),Database!$F:$AY,MATCH($M$1,Database!$F$1:$AY$1,),)))))/(((VLOOKUP(EDATE(B179,-12),Database!$F:$AY,MATCH($M$1,Database!$F$1:$AY$1,),))))</f>
        <v>4.177423400138397E-2</v>
      </c>
      <c r="N179" s="13">
        <f>((((VLOOKUP(B179,Database!$F:$AY,MATCH($N$1,Database!$F$1:$AY$1,),))))-(((VLOOKUP(EDATE(B179,-12),Database!$F:$AY,MATCH($N$1,Database!$F$1:$AY$1,),)))))/(((VLOOKUP(EDATE(B179,-12),Database!$F:$AY,MATCH($N$1,Database!$F$1:$AY$1,),))))</f>
        <v>5.7393234892028126E-2</v>
      </c>
      <c r="O179" s="13">
        <f>((((VLOOKUP(B179,Database!$F:$AY,MATCH($O$1,Database!$F$1:$AY$1,),))))-(((VLOOKUP(EDATE(B179,-12),Database!$F:$AY,MATCH($O$1,Database!$F$1:$AY$1,),)))))/(((VLOOKUP(EDATE(B179,-12),Database!$F:$AY,MATCH($O$1,Database!$F$1:$AY$1,),))))</f>
        <v>4.193650237342194E-2</v>
      </c>
      <c r="P179" s="13">
        <f>((((VLOOKUP(B179,Database!$F:$AY,MATCH($P$1,Database!$F$1:$AY$1,),))))-(((VLOOKUP(EDATE(B179,-12),Database!$F:$AY,MATCH($P$1,Database!$F$1:$AY$1,),)))))/(((VLOOKUP(EDATE(B179,-12),Database!$F:$AY,MATCH($P$1,Database!$F$1:$AY$1,),))))</f>
        <v>0.12921686419386064</v>
      </c>
      <c r="Q179" s="13">
        <f>((((VLOOKUP(B179,Database!$F:$AY,MATCH($Q$1,Database!$F$1:$AY$1,),))))-(((VLOOKUP(EDATE(B179,-12),Database!$F:$AY,MATCH($Q$1,Database!$F$1:$AY$1,),)))))/(((VLOOKUP(EDATE(B179,-12),Database!$F:$AY,MATCH($Q$1,Database!$F$1:$AY$1,),))))</f>
        <v>4.9415748183294798E-2</v>
      </c>
      <c r="R179" s="13">
        <f>((((VLOOKUP(B179,Database!$F:$AY,MATCH($R$1,Database!$F$1:$AY$1,),))))-(((VLOOKUP(EDATE(B179,-12),Database!$F:$AY,MATCH($R$1,Database!$F$1:$AY$1,),)))))/(((VLOOKUP(EDATE(B179,-12),Database!$F:$AY,MATCH($R$1,Database!$F$1:$AY$1,),))))</f>
        <v>7.8254489242917447E-2</v>
      </c>
      <c r="S179" s="13">
        <f>((((VLOOKUP(B179,Database!$F:$AY,MATCH($S$1,Database!$F$1:$AY$1,),))))-(((VLOOKUP(EDATE(B179,-12),Database!$F:$AY,MATCH($S$1,Database!$F$1:$AY$1,),)))))/(((VLOOKUP(EDATE(B179,-12),Database!$F:$AY,MATCH($S$1,Database!$F$1:$AY$1,),))))</f>
        <v>-6.7873331602942788E-2</v>
      </c>
      <c r="T179" s="13">
        <f>((((VLOOKUP(B179,Database!$F:$AY,MATCH($T$1,Database!$F$1:$AY$1,),))))-(((VLOOKUP(EDATE(B179,-12),Database!$F:$AY,MATCH($T$1,Database!$F$1:$AY$1,),)))))/(((VLOOKUP(EDATE(B179,-12),Database!$F:$AY,MATCH($T$1,Database!$F$1:$AY$1,),))))</f>
        <v>0.16455699727901385</v>
      </c>
      <c r="U179" s="13">
        <f>((((VLOOKUP(B179,Database!$F:$AY,MATCH($U$1,Database!$F$1:$AY$1,),))))-(((VLOOKUP(EDATE(B179,-12),Database!$F:$AY,MATCH($U$1,Database!$F$1:$AY$1,),)))))/(((VLOOKUP(EDATE(B179,-12),Database!$F:$AY,MATCH($U$1,Database!$F$1:$AY$1,),))))</f>
        <v>4.6062353030868877E-2</v>
      </c>
      <c r="V179" s="13">
        <f>((((VLOOKUP(B179,Database!$F:$AY,MATCH($V$1,Database!$F$1:$AY$1,),))))-(((VLOOKUP(EDATE(B179,-12),Database!$F:$AY,MATCH($V$1,Database!$F$1:$AY$1,),)))))/(((VLOOKUP(EDATE(B179,-12),Database!$F:$AY,MATCH($V$1,Database!$F$1:$AY$1,),))))</f>
        <v>2.6476578411405237E-2</v>
      </c>
    </row>
    <row r="180" spans="1:22" s="85" customFormat="1" x14ac:dyDescent="0.2">
      <c r="A180" s="44"/>
      <c r="B180" s="91">
        <v>37622</v>
      </c>
      <c r="C180" s="13">
        <f>((((VLOOKUP(B180,Database!$F:$AY,MATCH($C$1,Database!$F$1:$AY$1,),))))-(((VLOOKUP(EDATE(B180,-12),Database!$F:$AY,MATCH($C$1,Database!$F$1:$AY$1,),)))))/(((VLOOKUP(EDATE(B180,-12),Database!$F:$AY,MATCH($C$1,Database!$F$1:$AY$1,),))))</f>
        <v>3.008791229894299E-2</v>
      </c>
      <c r="D180" s="13">
        <f>((((VLOOKUP(B180,Database!$F:$AY,MATCH($D$1,Database!$F$1:$AY$1,),))))-(((VLOOKUP(EDATE(B180,-12),Database!$F:$AY,MATCH($D$1,Database!$F$1:$AY$1,),)))))/(((VLOOKUP(EDATE(B180,-12),Database!$F:$AY,MATCH($D$1,Database!$F$1:$AY$1,),))))</f>
        <v>1.9108280254777087E-2</v>
      </c>
      <c r="E180" s="13">
        <f>((((VLOOKUP(B180,Database!$F:$AY,MATCH($E$1,Database!$F$1:$AY$1,),))))-(((VLOOKUP(EDATE(B180,-12),Database!$F:$AY,MATCH($E$1,Database!$F$1:$AY$1,),)))))/(((VLOOKUP(EDATE(B180,-12),Database!$F:$AY,MATCH($E$1,Database!$F$1:$AY$1,),))))</f>
        <v>7.536506675417172E-2</v>
      </c>
      <c r="F180" s="13">
        <f>((((VLOOKUP(B180,Database!$F:$AY,MATCH($F$1,Database!$F$1:$AY$1,),))))-(((VLOOKUP(EDATE(B180,-12),Database!$F:$AY,MATCH($F$1,Database!$F$1:$AY$1,),)))))/(((VLOOKUP(EDATE(B180,-12),Database!$F:$AY,MATCH($F$1,Database!$F$1:$AY$1,),))))</f>
        <v>1.5189746183922614E-2</v>
      </c>
      <c r="G180" s="13">
        <f>((((VLOOKUP(B180,Database!$F:$AY,MATCH($G$1,Database!$F$1:$AY$1,),))))-(((VLOOKUP(EDATE(B180,-12),Database!$F:$AY,MATCH($G$1,Database!$F$1:$AY$1,),)))))/(((VLOOKUP(EDATE(B180,-12),Database!$F:$AY,MATCH($G$1,Database!$F$1:$AY$1,),))))</f>
        <v>-1.8273033844399893E-3</v>
      </c>
      <c r="H180" s="13">
        <f>((((VLOOKUP(B180,Database!$F:$AY,MATCH($H$1,Database!$F$1:$AY$1,),))))-(((VLOOKUP(EDATE(B180,-12),Database!$F:$AY,MATCH($H$1,Database!$F$1:$AY$1,),)))))/(((VLOOKUP(EDATE(B180,-12),Database!$F:$AY,MATCH($H$1,Database!$F$1:$AY$1,),))))</f>
        <v>-6.8030076257709054E-3</v>
      </c>
      <c r="I180" s="13">
        <f>((((VLOOKUP(B180,Database!$F:$AY,MATCH($I$1,Database!$F$1:$AY$1,),))))-(((VLOOKUP(EDATE(B180,-12),Database!$F:$AY,MATCH($I$1,Database!$F$1:$AY$1,),)))))/(((VLOOKUP(EDATE(B180,-12),Database!$F:$AY,MATCH($I$1,Database!$F$1:$AY$1,),))))</f>
        <v>2.2077066116716164E-2</v>
      </c>
      <c r="J180" s="13">
        <f>((((VLOOKUP(B180,Database!$F:$AY,MATCH($J$1,Database!$F$1:$AY$1,),))))-(((VLOOKUP(EDATE(B180,-12),Database!$F:$AY,MATCH($J$1,Database!$F$1:$AY$1,),)))))/(((VLOOKUP(EDATE(B180,-12),Database!$F:$AY,MATCH($J$1,Database!$F$1:$AY$1,),))))</f>
        <v>1.9455589303460259E-2</v>
      </c>
      <c r="K180" s="13">
        <f>((((VLOOKUP(B180,Database!$F:$AY,MATCH($K$1,Database!$F$1:$AY$1,),))))-(((VLOOKUP(EDATE(B180,-12),Database!$F:$AY,MATCH($K$1,Database!$F$1:$AY$1,),)))))/(((VLOOKUP(EDATE(B180,-12),Database!$F:$AY,MATCH($K$1,Database!$F$1:$AY$1,),))))</f>
        <v>2.814070351758791E-2</v>
      </c>
      <c r="L180" s="13">
        <f>((((VLOOKUP(B180,Database!$F:$AY,MATCH($L$1,Database!$F$1:$AY$1,),))))-(((VLOOKUP(EDATE(B180,-12),Database!$F:$AY,MATCH($L$1,Database!$F$1:$AY$1,),)))))/(((VLOOKUP(EDATE(B180,-12),Database!$F:$AY,MATCH($L$1,Database!$F$1:$AY$1,),))))</f>
        <v>1.3389243676299555E-2</v>
      </c>
      <c r="M180" s="13">
        <f>((((VLOOKUP(B180,Database!$F:$AY,MATCH($M$1,Database!$F$1:$AY$1,),))))-(((VLOOKUP(EDATE(B180,-12),Database!$F:$AY,MATCH($M$1,Database!$F$1:$AY$1,),)))))/(((VLOOKUP(EDATE(B180,-12),Database!$F:$AY,MATCH($M$1,Database!$F$1:$AY$1,),))))</f>
        <v>5.772527062163528E-2</v>
      </c>
      <c r="N180" s="13">
        <f>((((VLOOKUP(B180,Database!$F:$AY,MATCH($N$1,Database!$F$1:$AY$1,),))))-(((VLOOKUP(EDATE(B180,-12),Database!$F:$AY,MATCH($N$1,Database!$F$1:$AY$1,),)))))/(((VLOOKUP(EDATE(B180,-12),Database!$F:$AY,MATCH($N$1,Database!$F$1:$AY$1,),))))</f>
        <v>6.580998752892124E-2</v>
      </c>
      <c r="O180" s="13">
        <f>((((VLOOKUP(B180,Database!$F:$AY,MATCH($O$1,Database!$F$1:$AY$1,),))))-(((VLOOKUP(EDATE(B180,-12),Database!$F:$AY,MATCH($O$1,Database!$F$1:$AY$1,),)))))/(((VLOOKUP(EDATE(B180,-12),Database!$F:$AY,MATCH($O$1,Database!$F$1:$AY$1,),))))</f>
        <v>1.7579623561487401E-2</v>
      </c>
      <c r="P180" s="13">
        <f>((((VLOOKUP(B180,Database!$F:$AY,MATCH($P$1,Database!$F$1:$AY$1,),))))-(((VLOOKUP(EDATE(B180,-12),Database!$F:$AY,MATCH($P$1,Database!$F$1:$AY$1,),)))))/(((VLOOKUP(EDATE(B180,-12),Database!$F:$AY,MATCH($P$1,Database!$F$1:$AY$1,),))))</f>
        <v>7.6308555174559603E-2</v>
      </c>
      <c r="Q180" s="13">
        <f>((((VLOOKUP(B180,Database!$F:$AY,MATCH($Q$1,Database!$F$1:$AY$1,),))))-(((VLOOKUP(EDATE(B180,-12),Database!$F:$AY,MATCH($Q$1,Database!$F$1:$AY$1,),)))))/(((VLOOKUP(EDATE(B180,-12),Database!$F:$AY,MATCH($Q$1,Database!$F$1:$AY$1,),))))</f>
        <v>2.702704282322917E-2</v>
      </c>
      <c r="R180" s="13">
        <f>((((VLOOKUP(B180,Database!$F:$AY,MATCH($R$1,Database!$F$1:$AY$1,),))))-(((VLOOKUP(EDATE(B180,-12),Database!$F:$AY,MATCH($R$1,Database!$F$1:$AY$1,),)))))/(((VLOOKUP(EDATE(B180,-12),Database!$F:$AY,MATCH($R$1,Database!$F$1:$AY$1,),))))</f>
        <v>7.0776056734211208E-3</v>
      </c>
      <c r="S180" s="13">
        <f>((((VLOOKUP(B180,Database!$F:$AY,MATCH($S$1,Database!$F$1:$AY$1,),))))-(((VLOOKUP(EDATE(B180,-12),Database!$F:$AY,MATCH($S$1,Database!$F$1:$AY$1,),)))))/(((VLOOKUP(EDATE(B180,-12),Database!$F:$AY,MATCH($S$1,Database!$F$1:$AY$1,),))))</f>
        <v>-2.2322191839707897E-3</v>
      </c>
      <c r="T180" s="13">
        <f>((((VLOOKUP(B180,Database!$F:$AY,MATCH($T$1,Database!$F$1:$AY$1,),))))-(((VLOOKUP(EDATE(B180,-12),Database!$F:$AY,MATCH($T$1,Database!$F$1:$AY$1,),)))))/(((VLOOKUP(EDATE(B180,-12),Database!$F:$AY,MATCH($T$1,Database!$F$1:$AY$1,),))))</f>
        <v>0.15931376634327368</v>
      </c>
      <c r="U180" s="13">
        <f>((((VLOOKUP(B180,Database!$F:$AY,MATCH($U$1,Database!$F$1:$AY$1,),))))-(((VLOOKUP(EDATE(B180,-12),Database!$F:$AY,MATCH($U$1,Database!$F$1:$AY$1,),)))))/(((VLOOKUP(EDATE(B180,-12),Database!$F:$AY,MATCH($U$1,Database!$F$1:$AY$1,),))))</f>
        <v>5.810402651206388E-2</v>
      </c>
      <c r="V180" s="13">
        <f>((((VLOOKUP(B180,Database!$F:$AY,MATCH($V$1,Database!$F$1:$AY$1,),))))-(((VLOOKUP(EDATE(B180,-12),Database!$F:$AY,MATCH($V$1,Database!$F$1:$AY$1,),)))))/(((VLOOKUP(EDATE(B180,-12),Database!$F:$AY,MATCH($V$1,Database!$F$1:$AY$1,),))))</f>
        <v>3.1315240083507306E-2</v>
      </c>
    </row>
    <row r="181" spans="1:22" s="85" customFormat="1" x14ac:dyDescent="0.2">
      <c r="A181" s="44"/>
      <c r="B181" s="91">
        <v>37653</v>
      </c>
      <c r="C181" s="13">
        <f>((((VLOOKUP(B181,Database!$F:$AY,MATCH($C$1,Database!$F$1:$AY$1,),))))-(((VLOOKUP(EDATE(B181,-12),Database!$F:$AY,MATCH($C$1,Database!$F$1:$AY$1,),)))))/(((VLOOKUP(EDATE(B181,-12),Database!$F:$AY,MATCH($C$1,Database!$F$1:$AY$1,),))))</f>
        <v>3.182570945996941E-2</v>
      </c>
      <c r="D181" s="13">
        <f>((((VLOOKUP(B181,Database!$F:$AY,MATCH($D$1,Database!$F$1:$AY$1,),))))-(((VLOOKUP(EDATE(B181,-12),Database!$F:$AY,MATCH($D$1,Database!$F$1:$AY$1,),)))))/(((VLOOKUP(EDATE(B181,-12),Database!$F:$AY,MATCH($D$1,Database!$F$1:$AY$1,),))))</f>
        <v>1.7989453268666463E-2</v>
      </c>
      <c r="E181" s="13">
        <f>((((VLOOKUP(B181,Database!$F:$AY,MATCH($E$1,Database!$F$1:$AY$1,),))))-(((VLOOKUP(EDATE(B181,-12),Database!$F:$AY,MATCH($E$1,Database!$F$1:$AY$1,),)))))/(((VLOOKUP(EDATE(B181,-12),Database!$F:$AY,MATCH($E$1,Database!$F$1:$AY$1,),))))</f>
        <v>5.76780661041736E-2</v>
      </c>
      <c r="F181" s="13">
        <f>((((VLOOKUP(B181,Database!$F:$AY,MATCH($F$1,Database!$F$1:$AY$1,),))))-(((VLOOKUP(EDATE(B181,-12),Database!$F:$AY,MATCH($F$1,Database!$F$1:$AY$1,),)))))/(((VLOOKUP(EDATE(B181,-12),Database!$F:$AY,MATCH($F$1,Database!$F$1:$AY$1,),))))</f>
        <v>1.2626178444163276E-2</v>
      </c>
      <c r="G181" s="13">
        <f>((((VLOOKUP(B181,Database!$F:$AY,MATCH($G$1,Database!$F$1:$AY$1,),))))-(((VLOOKUP(EDATE(B181,-12),Database!$F:$AY,MATCH($G$1,Database!$F$1:$AY$1,),)))))/(((VLOOKUP(EDATE(B181,-12),Database!$F:$AY,MATCH($G$1,Database!$F$1:$AY$1,),))))</f>
        <v>3.550589989703294E-3</v>
      </c>
      <c r="H181" s="13">
        <f>((((VLOOKUP(B181,Database!$F:$AY,MATCH($H$1,Database!$F$1:$AY$1,),))))-(((VLOOKUP(EDATE(B181,-12),Database!$F:$AY,MATCH($H$1,Database!$F$1:$AY$1,),)))))/(((VLOOKUP(EDATE(B181,-12),Database!$F:$AY,MATCH($H$1,Database!$F$1:$AY$1,),))))</f>
        <v>-5.7966833553574548E-3</v>
      </c>
      <c r="I181" s="13">
        <f>((((VLOOKUP(B181,Database!$F:$AY,MATCH($I$1,Database!$F$1:$AY$1,),))))-(((VLOOKUP(EDATE(B181,-12),Database!$F:$AY,MATCH($I$1,Database!$F$1:$AY$1,),)))))/(((VLOOKUP(EDATE(B181,-12),Database!$F:$AY,MATCH($I$1,Database!$F$1:$AY$1,),))))</f>
        <v>-1.1299567276375698E-2</v>
      </c>
      <c r="J181" s="13">
        <f>((((VLOOKUP(B181,Database!$F:$AY,MATCH($J$1,Database!$F$1:$AY$1,),))))-(((VLOOKUP(EDATE(B181,-12),Database!$F:$AY,MATCH($J$1,Database!$F$1:$AY$1,),)))))/(((VLOOKUP(EDATE(B181,-12),Database!$F:$AY,MATCH($J$1,Database!$F$1:$AY$1,),))))</f>
        <v>1.9482422716849749E-2</v>
      </c>
      <c r="K181" s="13">
        <f>((((VLOOKUP(B181,Database!$F:$AY,MATCH($K$1,Database!$F$1:$AY$1,),))))-(((VLOOKUP(EDATE(B181,-12),Database!$F:$AY,MATCH($K$1,Database!$F$1:$AY$1,),)))))/(((VLOOKUP(EDATE(B181,-12),Database!$F:$AY,MATCH($K$1,Database!$F$1:$AY$1,),))))</f>
        <v>-1.769911504424776E-2</v>
      </c>
      <c r="L181" s="13">
        <f>((((VLOOKUP(B181,Database!$F:$AY,MATCH($L$1,Database!$F$1:$AY$1,),))))-(((VLOOKUP(EDATE(B181,-12),Database!$F:$AY,MATCH($L$1,Database!$F$1:$AY$1,),)))))/(((VLOOKUP(EDATE(B181,-12),Database!$F:$AY,MATCH($L$1,Database!$F$1:$AY$1,),))))</f>
        <v>3.6731067285404116E-2</v>
      </c>
      <c r="M181" s="13">
        <f>((((VLOOKUP(B181,Database!$F:$AY,MATCH($M$1,Database!$F$1:$AY$1,),))))-(((VLOOKUP(EDATE(B181,-12),Database!$F:$AY,MATCH($M$1,Database!$F$1:$AY$1,),)))))/(((VLOOKUP(EDATE(B181,-12),Database!$F:$AY,MATCH($M$1,Database!$F$1:$AY$1,),))))</f>
        <v>8.4156389473870857E-2</v>
      </c>
      <c r="N181" s="13">
        <f>((((VLOOKUP(B181,Database!$F:$AY,MATCH($N$1,Database!$F$1:$AY$1,),))))-(((VLOOKUP(EDATE(B181,-12),Database!$F:$AY,MATCH($N$1,Database!$F$1:$AY$1,),)))))/(((VLOOKUP(EDATE(B181,-12),Database!$F:$AY,MATCH($N$1,Database!$F$1:$AY$1,),))))</f>
        <v>7.3270998690741843E-2</v>
      </c>
      <c r="O181" s="13">
        <f>((((VLOOKUP(B181,Database!$F:$AY,MATCH($O$1,Database!$F$1:$AY$1,),))))-(((VLOOKUP(EDATE(B181,-12),Database!$F:$AY,MATCH($O$1,Database!$F$1:$AY$1,),)))))/(((VLOOKUP(EDATE(B181,-12),Database!$F:$AY,MATCH($O$1,Database!$F$1:$AY$1,),))))</f>
        <v>5.6129893312312114E-3</v>
      </c>
      <c r="P181" s="13">
        <f>((((VLOOKUP(B181,Database!$F:$AY,MATCH($P$1,Database!$F$1:$AY$1,),))))-(((VLOOKUP(EDATE(B181,-12),Database!$F:$AY,MATCH($P$1,Database!$F$1:$AY$1,),)))))/(((VLOOKUP(EDATE(B181,-12),Database!$F:$AY,MATCH($P$1,Database!$F$1:$AY$1,),))))</f>
        <v>5.3914081361666796E-2</v>
      </c>
      <c r="Q181" s="13">
        <f>((((VLOOKUP(B181,Database!$F:$AY,MATCH($Q$1,Database!$F$1:$AY$1,),))))-(((VLOOKUP(EDATE(B181,-12),Database!$F:$AY,MATCH($Q$1,Database!$F$1:$AY$1,),)))))/(((VLOOKUP(EDATE(B181,-12),Database!$F:$AY,MATCH($Q$1,Database!$F$1:$AY$1,),))))</f>
        <v>-7.4812846142905259E-3</v>
      </c>
      <c r="R181" s="13">
        <f>((((VLOOKUP(B181,Database!$F:$AY,MATCH($R$1,Database!$F$1:$AY$1,),))))-(((VLOOKUP(EDATE(B181,-12),Database!$F:$AY,MATCH($R$1,Database!$F$1:$AY$1,),)))))/(((VLOOKUP(EDATE(B181,-12),Database!$F:$AY,MATCH($R$1,Database!$F$1:$AY$1,),))))</f>
        <v>-3.6526372222900734E-2</v>
      </c>
      <c r="S181" s="13">
        <f>((((VLOOKUP(B181,Database!$F:$AY,MATCH($S$1,Database!$F$1:$AY$1,),))))-(((VLOOKUP(EDATE(B181,-12),Database!$F:$AY,MATCH($S$1,Database!$F$1:$AY$1,),)))))/(((VLOOKUP(EDATE(B181,-12),Database!$F:$AY,MATCH($S$1,Database!$F$1:$AY$1,),))))</f>
        <v>8.7719242977983197E-2</v>
      </c>
      <c r="T181" s="13">
        <f>((((VLOOKUP(B181,Database!$F:$AY,MATCH($T$1,Database!$F$1:$AY$1,),))))-(((VLOOKUP(EDATE(B181,-12),Database!$F:$AY,MATCH($T$1,Database!$F$1:$AY$1,),)))))/(((VLOOKUP(EDATE(B181,-12),Database!$F:$AY,MATCH($T$1,Database!$F$1:$AY$1,),))))</f>
        <v>6.4814891981739273E-2</v>
      </c>
      <c r="U181" s="13">
        <f>((((VLOOKUP(B181,Database!$F:$AY,MATCH($U$1,Database!$F$1:$AY$1,),))))-(((VLOOKUP(EDATE(B181,-12),Database!$F:$AY,MATCH($U$1,Database!$F$1:$AY$1,),)))))/(((VLOOKUP(EDATE(B181,-12),Database!$F:$AY,MATCH($U$1,Database!$F$1:$AY$1,),))))</f>
        <v>2.6905829596412575E-2</v>
      </c>
      <c r="V181" s="13">
        <f>((((VLOOKUP(B181,Database!$F:$AY,MATCH($V$1,Database!$F$1:$AY$1,),))))-(((VLOOKUP(EDATE(B181,-12),Database!$F:$AY,MATCH($V$1,Database!$F$1:$AY$1,),)))))/(((VLOOKUP(EDATE(B181,-12),Database!$F:$AY,MATCH($V$1,Database!$F$1:$AY$1,),))))</f>
        <v>4.1928721174004188E-2</v>
      </c>
    </row>
    <row r="182" spans="1:22" s="85" customFormat="1" x14ac:dyDescent="0.2">
      <c r="A182" s="44"/>
      <c r="B182" s="91">
        <v>37681</v>
      </c>
      <c r="C182" s="13">
        <f>((((VLOOKUP(B182,Database!$F:$AY,MATCH($C$1,Database!$F$1:$AY$1,),))))-(((VLOOKUP(EDATE(B182,-12),Database!$F:$AY,MATCH($C$1,Database!$F$1:$AY$1,),)))))/(((VLOOKUP(EDATE(B182,-12),Database!$F:$AY,MATCH($C$1,Database!$F$1:$AY$1,),))))</f>
        <v>2.1109445821474615E-2</v>
      </c>
      <c r="D182" s="13">
        <f>((((VLOOKUP(B182,Database!$F:$AY,MATCH($D$1,Database!$F$1:$AY$1,),))))-(((VLOOKUP(EDATE(B182,-12),Database!$F:$AY,MATCH($D$1,Database!$F$1:$AY$1,),)))))/(((VLOOKUP(EDATE(B182,-12),Database!$F:$AY,MATCH($D$1,Database!$F$1:$AY$1,),))))</f>
        <v>1.0492829235343956E-3</v>
      </c>
      <c r="E182" s="13">
        <f>((((VLOOKUP(B182,Database!$F:$AY,MATCH($E$1,Database!$F$1:$AY$1,),))))-(((VLOOKUP(EDATE(B182,-12),Database!$F:$AY,MATCH($E$1,Database!$F$1:$AY$1,),)))))/(((VLOOKUP(EDATE(B182,-12),Database!$F:$AY,MATCH($E$1,Database!$F$1:$AY$1,),))))</f>
        <v>6.0915206308377351E-2</v>
      </c>
      <c r="F182" s="13">
        <f>((((VLOOKUP(B182,Database!$F:$AY,MATCH($F$1,Database!$F$1:$AY$1,),))))-(((VLOOKUP(EDATE(B182,-12),Database!$F:$AY,MATCH($F$1,Database!$F$1:$AY$1,),)))))/(((VLOOKUP(EDATE(B182,-12),Database!$F:$AY,MATCH($F$1,Database!$F$1:$AY$1,),))))</f>
        <v>7.5565484733679175E-3</v>
      </c>
      <c r="G182" s="13">
        <f>((((VLOOKUP(B182,Database!$F:$AY,MATCH($G$1,Database!$F$1:$AY$1,),))))-(((VLOOKUP(EDATE(B182,-12),Database!$F:$AY,MATCH($G$1,Database!$F$1:$AY$1,),)))))/(((VLOOKUP(EDATE(B182,-12),Database!$F:$AY,MATCH($G$1,Database!$F$1:$AY$1,),))))</f>
        <v>-9.0603592070011198E-3</v>
      </c>
      <c r="H182" s="13">
        <f>((((VLOOKUP(B182,Database!$F:$AY,MATCH($H$1,Database!$F$1:$AY$1,),))))-(((VLOOKUP(EDATE(B182,-12),Database!$F:$AY,MATCH($H$1,Database!$F$1:$AY$1,),)))))/(((VLOOKUP(EDATE(B182,-12),Database!$F:$AY,MATCH($H$1,Database!$F$1:$AY$1,),))))</f>
        <v>-2.5617125724316916E-2</v>
      </c>
      <c r="I182" s="13">
        <f>((((VLOOKUP(B182,Database!$F:$AY,MATCH($I$1,Database!$F$1:$AY$1,),))))-(((VLOOKUP(EDATE(B182,-12),Database!$F:$AY,MATCH($I$1,Database!$F$1:$AY$1,),)))))/(((VLOOKUP(EDATE(B182,-12),Database!$F:$AY,MATCH($I$1,Database!$F$1:$AY$1,),))))</f>
        <v>-1.605109896813223E-2</v>
      </c>
      <c r="J182" s="13">
        <f>((((VLOOKUP(B182,Database!$F:$AY,MATCH($J$1,Database!$F$1:$AY$1,),))))-(((VLOOKUP(EDATE(B182,-12),Database!$F:$AY,MATCH($J$1,Database!$F$1:$AY$1,),)))))/(((VLOOKUP(EDATE(B182,-12),Database!$F:$AY,MATCH($J$1,Database!$F$1:$AY$1,),))))</f>
        <v>1.8623479776980246E-2</v>
      </c>
      <c r="K182" s="13">
        <f>((((VLOOKUP(B182,Database!$F:$AY,MATCH($K$1,Database!$F$1:$AY$1,),))))-(((VLOOKUP(EDATE(B182,-12),Database!$F:$AY,MATCH($K$1,Database!$F$1:$AY$1,),)))))/(((VLOOKUP(EDATE(B182,-12),Database!$F:$AY,MATCH($K$1,Database!$F$1:$AY$1,),))))</f>
        <v>-1.8627450980392212E-2</v>
      </c>
      <c r="L182" s="13">
        <f>((((VLOOKUP(B182,Database!$F:$AY,MATCH($L$1,Database!$F$1:$AY$1,),))))-(((VLOOKUP(EDATE(B182,-12),Database!$F:$AY,MATCH($L$1,Database!$F$1:$AY$1,),)))))/(((VLOOKUP(EDATE(B182,-12),Database!$F:$AY,MATCH($L$1,Database!$F$1:$AY$1,),))))</f>
        <v>2.2983845415701021E-2</v>
      </c>
      <c r="M182" s="13">
        <f>((((VLOOKUP(B182,Database!$F:$AY,MATCH($M$1,Database!$F$1:$AY$1,),))))-(((VLOOKUP(EDATE(B182,-12),Database!$F:$AY,MATCH($M$1,Database!$F$1:$AY$1,),)))))/(((VLOOKUP(EDATE(B182,-12),Database!$F:$AY,MATCH($M$1,Database!$F$1:$AY$1,),))))</f>
        <v>0.10434569308998339</v>
      </c>
      <c r="N182" s="13">
        <f>((((VLOOKUP(B182,Database!$F:$AY,MATCH($N$1,Database!$F$1:$AY$1,),))))-(((VLOOKUP(EDATE(B182,-12),Database!$F:$AY,MATCH($N$1,Database!$F$1:$AY$1,),)))))/(((VLOOKUP(EDATE(B182,-12),Database!$F:$AY,MATCH($N$1,Database!$F$1:$AY$1,),))))</f>
        <v>5.7946025102942542E-2</v>
      </c>
      <c r="O182" s="13">
        <f>((((VLOOKUP(B182,Database!$F:$AY,MATCH($O$1,Database!$F$1:$AY$1,),))))-(((VLOOKUP(EDATE(B182,-12),Database!$F:$AY,MATCH($O$1,Database!$F$1:$AY$1,),)))))/(((VLOOKUP(EDATE(B182,-12),Database!$F:$AY,MATCH($O$1,Database!$F$1:$AY$1,),))))</f>
        <v>3.5292670903766914E-3</v>
      </c>
      <c r="P182" s="13">
        <f>((((VLOOKUP(B182,Database!$F:$AY,MATCH($P$1,Database!$F$1:$AY$1,),))))-(((VLOOKUP(EDATE(B182,-12),Database!$F:$AY,MATCH($P$1,Database!$F$1:$AY$1,),)))))/(((VLOOKUP(EDATE(B182,-12),Database!$F:$AY,MATCH($P$1,Database!$F$1:$AY$1,),))))</f>
        <v>5.293723669882814E-2</v>
      </c>
      <c r="Q182" s="13">
        <f>((((VLOOKUP(B182,Database!$F:$AY,MATCH($Q$1,Database!$F$1:$AY$1,),))))-(((VLOOKUP(EDATE(B182,-12),Database!$F:$AY,MATCH($Q$1,Database!$F$1:$AY$1,),)))))/(((VLOOKUP(EDATE(B182,-12),Database!$F:$AY,MATCH($Q$1,Database!$F$1:$AY$1,),))))</f>
        <v>0</v>
      </c>
      <c r="R182" s="13">
        <f>((((VLOOKUP(B182,Database!$F:$AY,MATCH($R$1,Database!$F$1:$AY$1,),))))-(((VLOOKUP(EDATE(B182,-12),Database!$F:$AY,MATCH($R$1,Database!$F$1:$AY$1,),)))))/(((VLOOKUP(EDATE(B182,-12),Database!$F:$AY,MATCH($R$1,Database!$F$1:$AY$1,),))))</f>
        <v>-1.6117591839684278E-2</v>
      </c>
      <c r="S182" s="13">
        <f>((((VLOOKUP(B182,Database!$F:$AY,MATCH($S$1,Database!$F$1:$AY$1,),))))-(((VLOOKUP(EDATE(B182,-12),Database!$F:$AY,MATCH($S$1,Database!$F$1:$AY$1,),)))))/(((VLOOKUP(EDATE(B182,-12),Database!$F:$AY,MATCH($S$1,Database!$F$1:$AY$1,),))))</f>
        <v>-1.8143001743783485E-2</v>
      </c>
      <c r="T182" s="13">
        <f>((((VLOOKUP(B182,Database!$F:$AY,MATCH($T$1,Database!$F$1:$AY$1,),))))-(((VLOOKUP(EDATE(B182,-12),Database!$F:$AY,MATCH($T$1,Database!$F$1:$AY$1,),)))))/(((VLOOKUP(EDATE(B182,-12),Database!$F:$AY,MATCH($T$1,Database!$F$1:$AY$1,),))))</f>
        <v>6.86498829650799E-2</v>
      </c>
      <c r="U182" s="13">
        <f>((((VLOOKUP(B182,Database!$F:$AY,MATCH($U$1,Database!$F$1:$AY$1,),))))-(((VLOOKUP(EDATE(B182,-12),Database!$F:$AY,MATCH($U$1,Database!$F$1:$AY$1,),)))))/(((VLOOKUP(EDATE(B182,-12),Database!$F:$AY,MATCH($U$1,Database!$F$1:$AY$1,),))))</f>
        <v>3.0075236595811891E-2</v>
      </c>
      <c r="V182" s="13">
        <f>((((VLOOKUP(B182,Database!$F:$AY,MATCH($V$1,Database!$F$1:$AY$1,),))))-(((VLOOKUP(EDATE(B182,-12),Database!$F:$AY,MATCH($V$1,Database!$F$1:$AY$1,),)))))/(((VLOOKUP(EDATE(B182,-12),Database!$F:$AY,MATCH($V$1,Database!$F$1:$AY$1,),))))</f>
        <v>5.4393305439330575E-2</v>
      </c>
    </row>
    <row r="183" spans="1:22" s="85" customFormat="1" x14ac:dyDescent="0.2">
      <c r="A183" s="44"/>
      <c r="B183" s="91">
        <v>37712</v>
      </c>
      <c r="C183" s="13">
        <f>((((VLOOKUP(B183,Database!$F:$AY,MATCH($C$1,Database!$F$1:$AY$1,),))))-(((VLOOKUP(EDATE(B183,-12),Database!$F:$AY,MATCH($C$1,Database!$F$1:$AY$1,),)))))/(((VLOOKUP(EDATE(B183,-12),Database!$F:$AY,MATCH($C$1,Database!$F$1:$AY$1,),))))</f>
        <v>9.640265570386556E-3</v>
      </c>
      <c r="D183" s="13">
        <f>((((VLOOKUP(B183,Database!$F:$AY,MATCH($D$1,Database!$F$1:$AY$1,),))))-(((VLOOKUP(EDATE(B183,-12),Database!$F:$AY,MATCH($D$1,Database!$F$1:$AY$1,),)))))/(((VLOOKUP(EDATE(B183,-12),Database!$F:$AY,MATCH($D$1,Database!$F$1:$AY$1,),))))</f>
        <v>7.3606379191485374E-3</v>
      </c>
      <c r="E183" s="13">
        <f>((((VLOOKUP(B183,Database!$F:$AY,MATCH($E$1,Database!$F$1:$AY$1,),))))-(((VLOOKUP(EDATE(B183,-12),Database!$F:$AY,MATCH($E$1,Database!$F$1:$AY$1,),)))))/(((VLOOKUP(EDATE(B183,-12),Database!$F:$AY,MATCH($E$1,Database!$F$1:$AY$1,),))))</f>
        <v>4.7370746418797627E-2</v>
      </c>
      <c r="F183" s="13">
        <f>((((VLOOKUP(B183,Database!$F:$AY,MATCH($F$1,Database!$F$1:$AY$1,),))))-(((VLOOKUP(EDATE(B183,-12),Database!$F:$AY,MATCH($F$1,Database!$F$1:$AY$1,),)))))/(((VLOOKUP(EDATE(B183,-12),Database!$F:$AY,MATCH($F$1,Database!$F$1:$AY$1,),))))</f>
        <v>3.7735217699889204E-3</v>
      </c>
      <c r="G183" s="13">
        <f>((((VLOOKUP(B183,Database!$F:$AY,MATCH($G$1,Database!$F$1:$AY$1,),))))-(((VLOOKUP(EDATE(B183,-12),Database!$F:$AY,MATCH($G$1,Database!$F$1:$AY$1,),)))))/(((VLOOKUP(EDATE(B183,-12),Database!$F:$AY,MATCH($G$1,Database!$F$1:$AY$1,),))))</f>
        <v>-1.530278357633256E-2</v>
      </c>
      <c r="H183" s="13">
        <f>((((VLOOKUP(B183,Database!$F:$AY,MATCH($H$1,Database!$F$1:$AY$1,),))))-(((VLOOKUP(EDATE(B183,-12),Database!$F:$AY,MATCH($H$1,Database!$F$1:$AY$1,),)))))/(((VLOOKUP(EDATE(B183,-12),Database!$F:$AY,MATCH($H$1,Database!$F$1:$AY$1,),))))</f>
        <v>-1.3514078869934377E-2</v>
      </c>
      <c r="I183" s="13">
        <f>((((VLOOKUP(B183,Database!$F:$AY,MATCH($I$1,Database!$F$1:$AY$1,),))))-(((VLOOKUP(EDATE(B183,-12),Database!$F:$AY,MATCH($I$1,Database!$F$1:$AY$1,),)))))/(((VLOOKUP(EDATE(B183,-12),Database!$F:$AY,MATCH($I$1,Database!$F$1:$AY$1,),))))</f>
        <v>2.809903967190646E-2</v>
      </c>
      <c r="J183" s="13">
        <f>((((VLOOKUP(B183,Database!$F:$AY,MATCH($J$1,Database!$F$1:$AY$1,),))))-(((VLOOKUP(EDATE(B183,-12),Database!$F:$AY,MATCH($J$1,Database!$F$1:$AY$1,),)))))/(((VLOOKUP(EDATE(B183,-12),Database!$F:$AY,MATCH($J$1,Database!$F$1:$AY$1,),))))</f>
        <v>1.1407609364343608E-2</v>
      </c>
      <c r="K183" s="13">
        <f>((((VLOOKUP(B183,Database!$F:$AY,MATCH($K$1,Database!$F$1:$AY$1,),))))-(((VLOOKUP(EDATE(B183,-12),Database!$F:$AY,MATCH($K$1,Database!$F$1:$AY$1,),)))))/(((VLOOKUP(EDATE(B183,-12),Database!$F:$AY,MATCH($K$1,Database!$F$1:$AY$1,),))))</f>
        <v>2.7777777777777752E-2</v>
      </c>
      <c r="L183" s="13">
        <f>((((VLOOKUP(B183,Database!$F:$AY,MATCH($L$1,Database!$F$1:$AY$1,),))))-(((VLOOKUP(EDATE(B183,-12),Database!$F:$AY,MATCH($L$1,Database!$F$1:$AY$1,),)))))/(((VLOOKUP(EDATE(B183,-12),Database!$F:$AY,MATCH($L$1,Database!$F$1:$AY$1,),))))</f>
        <v>1.0919738653791441E-2</v>
      </c>
      <c r="M183" s="13">
        <f>((((VLOOKUP(B183,Database!$F:$AY,MATCH($M$1,Database!$F$1:$AY$1,),))))-(((VLOOKUP(EDATE(B183,-12),Database!$F:$AY,MATCH($M$1,Database!$F$1:$AY$1,),)))))/(((VLOOKUP(EDATE(B183,-12),Database!$F:$AY,MATCH($M$1,Database!$F$1:$AY$1,),))))</f>
        <v>0.1078024066241932</v>
      </c>
      <c r="N183" s="13">
        <f>((((VLOOKUP(B183,Database!$F:$AY,MATCH($N$1,Database!$F$1:$AY$1,),))))-(((VLOOKUP(EDATE(B183,-12),Database!$F:$AY,MATCH($N$1,Database!$F$1:$AY$1,),)))))/(((VLOOKUP(EDATE(B183,-12),Database!$F:$AY,MATCH($N$1,Database!$F$1:$AY$1,),))))</f>
        <v>4.7725690713812829E-2</v>
      </c>
      <c r="O183" s="13">
        <f>((((VLOOKUP(B183,Database!$F:$AY,MATCH($O$1,Database!$F$1:$AY$1,),))))-(((VLOOKUP(EDATE(B183,-12),Database!$F:$AY,MATCH($O$1,Database!$F$1:$AY$1,),)))))/(((VLOOKUP(EDATE(B183,-12),Database!$F:$AY,MATCH($O$1,Database!$F$1:$AY$1,),))))</f>
        <v>-1.4157482543063159E-2</v>
      </c>
      <c r="P183" s="13">
        <f>((((VLOOKUP(B183,Database!$F:$AY,MATCH($P$1,Database!$F$1:$AY$1,),))))-(((VLOOKUP(EDATE(B183,-12),Database!$F:$AY,MATCH($P$1,Database!$F$1:$AY$1,),)))))/(((VLOOKUP(EDATE(B183,-12),Database!$F:$AY,MATCH($P$1,Database!$F$1:$AY$1,),))))</f>
        <v>2.5132610565447737E-2</v>
      </c>
      <c r="Q183" s="13">
        <f>((((VLOOKUP(B183,Database!$F:$AY,MATCH($Q$1,Database!$F$1:$AY$1,),))))-(((VLOOKUP(EDATE(B183,-12),Database!$F:$AY,MATCH($Q$1,Database!$F$1:$AY$1,),)))))/(((VLOOKUP(EDATE(B183,-12),Database!$F:$AY,MATCH($Q$1,Database!$F$1:$AY$1,),))))</f>
        <v>0</v>
      </c>
      <c r="R183" s="13">
        <f>((((VLOOKUP(B183,Database!$F:$AY,MATCH($R$1,Database!$F$1:$AY$1,),))))-(((VLOOKUP(EDATE(B183,-12),Database!$F:$AY,MATCH($R$1,Database!$F$1:$AY$1,),)))))/(((VLOOKUP(EDATE(B183,-12),Database!$F:$AY,MATCH($R$1,Database!$F$1:$AY$1,),))))</f>
        <v>-1.5872884266063113E-2</v>
      </c>
      <c r="S183" s="13">
        <f>((((VLOOKUP(B183,Database!$F:$AY,MATCH($S$1,Database!$F$1:$AY$1,),))))-(((VLOOKUP(EDATE(B183,-12),Database!$F:$AY,MATCH($S$1,Database!$F$1:$AY$1,),)))))/(((VLOOKUP(EDATE(B183,-12),Database!$F:$AY,MATCH($S$1,Database!$F$1:$AY$1,),))))</f>
        <v>3.5067830865305093E-2</v>
      </c>
      <c r="T183" s="13">
        <f>((((VLOOKUP(B183,Database!$F:$AY,MATCH($T$1,Database!$F$1:$AY$1,),))))-(((VLOOKUP(EDATE(B183,-12),Database!$F:$AY,MATCH($T$1,Database!$F$1:$AY$1,),)))))/(((VLOOKUP(EDATE(B183,-12),Database!$F:$AY,MATCH($T$1,Database!$F$1:$AY$1,),))))</f>
        <v>1.7977678588484553E-2</v>
      </c>
      <c r="U183" s="13">
        <f>((((VLOOKUP(B183,Database!$F:$AY,MATCH($U$1,Database!$F$1:$AY$1,),))))-(((VLOOKUP(EDATE(B183,-12),Database!$F:$AY,MATCH($U$1,Database!$F$1:$AY$1,),)))))/(((VLOOKUP(EDATE(B183,-12),Database!$F:$AY,MATCH($U$1,Database!$F$1:$AY$1,),))))</f>
        <v>4.619964995657995E-2</v>
      </c>
      <c r="V183" s="13">
        <f>((((VLOOKUP(B183,Database!$F:$AY,MATCH($V$1,Database!$F$1:$AY$1,),))))-(((VLOOKUP(EDATE(B183,-12),Database!$F:$AY,MATCH($V$1,Database!$F$1:$AY$1,),)))))/(((VLOOKUP(EDATE(B183,-12),Database!$F:$AY,MATCH($V$1,Database!$F$1:$AY$1,),))))</f>
        <v>8.369098712446349E-2</v>
      </c>
    </row>
    <row r="184" spans="1:22" s="85" customFormat="1" x14ac:dyDescent="0.2">
      <c r="A184" s="44"/>
      <c r="B184" s="91">
        <v>37742</v>
      </c>
      <c r="C184" s="13">
        <f>((((VLOOKUP(B184,Database!$F:$AY,MATCH($C$1,Database!$F$1:$AY$1,),))))-(((VLOOKUP(EDATE(B184,-12),Database!$F:$AY,MATCH($C$1,Database!$F$1:$AY$1,),)))))/(((VLOOKUP(EDATE(B184,-12),Database!$F:$AY,MATCH($C$1,Database!$F$1:$AY$1,),))))</f>
        <v>5.6716081838426293E-3</v>
      </c>
      <c r="D184" s="13">
        <f>((((VLOOKUP(B184,Database!$F:$AY,MATCH($D$1,Database!$F$1:$AY$1,),))))-(((VLOOKUP(EDATE(B184,-12),Database!$F:$AY,MATCH($D$1,Database!$F$1:$AY$1,),)))))/(((VLOOKUP(EDATE(B184,-12),Database!$F:$AY,MATCH($D$1,Database!$F$1:$AY$1,),))))</f>
        <v>-1.3612634314261168E-2</v>
      </c>
      <c r="E184" s="13">
        <f>((((VLOOKUP(B184,Database!$F:$AY,MATCH($E$1,Database!$F$1:$AY$1,),))))-(((VLOOKUP(EDATE(B184,-12),Database!$F:$AY,MATCH($E$1,Database!$F$1:$AY$1,),)))))/(((VLOOKUP(EDATE(B184,-12),Database!$F:$AY,MATCH($E$1,Database!$F$1:$AY$1,),))))</f>
        <v>2.028197218027563E-2</v>
      </c>
      <c r="F184" s="13">
        <f>((((VLOOKUP(B184,Database!$F:$AY,MATCH($F$1,Database!$F$1:$AY$1,),))))-(((VLOOKUP(EDATE(B184,-12),Database!$F:$AY,MATCH($F$1,Database!$F$1:$AY$1,),)))))/(((VLOOKUP(EDATE(B184,-12),Database!$F:$AY,MATCH($F$1,Database!$F$1:$AY$1,),))))</f>
        <v>5.0826345880928625E-3</v>
      </c>
      <c r="G184" s="13">
        <f>((((VLOOKUP(B184,Database!$F:$AY,MATCH($G$1,Database!$F$1:$AY$1,),))))-(((VLOOKUP(EDATE(B184,-12),Database!$F:$AY,MATCH($G$1,Database!$F$1:$AY$1,),)))))/(((VLOOKUP(EDATE(B184,-12),Database!$F:$AY,MATCH($G$1,Database!$F$1:$AY$1,),))))</f>
        <v>-3.0599949696225041E-2</v>
      </c>
      <c r="H184" s="13">
        <f>((((VLOOKUP(B184,Database!$F:$AY,MATCH($H$1,Database!$F$1:$AY$1,),))))-(((VLOOKUP(EDATE(B184,-12),Database!$F:$AY,MATCH($H$1,Database!$F$1:$AY$1,),)))))/(((VLOOKUP(EDATE(B184,-12),Database!$F:$AY,MATCH($H$1,Database!$F$1:$AY$1,),))))</f>
        <v>-2.7671729416457336E-2</v>
      </c>
      <c r="I184" s="13">
        <f>((((VLOOKUP(B184,Database!$F:$AY,MATCH($I$1,Database!$F$1:$AY$1,),))))-(((VLOOKUP(EDATE(B184,-12),Database!$F:$AY,MATCH($I$1,Database!$F$1:$AY$1,),)))))/(((VLOOKUP(EDATE(B184,-12),Database!$F:$AY,MATCH($I$1,Database!$F$1:$AY$1,),))))</f>
        <v>-3.9137436336564642E-2</v>
      </c>
      <c r="J184" s="13">
        <f>((((VLOOKUP(B184,Database!$F:$AY,MATCH($J$1,Database!$F$1:$AY$1,),))))-(((VLOOKUP(EDATE(B184,-12),Database!$F:$AY,MATCH($J$1,Database!$F$1:$AY$1,),)))))/(((VLOOKUP(EDATE(B184,-12),Database!$F:$AY,MATCH($J$1,Database!$F$1:$AY$1,),))))</f>
        <v>1.1261196370404415E-2</v>
      </c>
      <c r="K184" s="13">
        <f>((((VLOOKUP(B184,Database!$F:$AY,MATCH($K$1,Database!$F$1:$AY$1,),))))-(((VLOOKUP(EDATE(B184,-12),Database!$F:$AY,MATCH($K$1,Database!$F$1:$AY$1,),)))))/(((VLOOKUP(EDATE(B184,-12),Database!$F:$AY,MATCH($K$1,Database!$F$1:$AY$1,),))))</f>
        <v>5.9464816650148097E-3</v>
      </c>
      <c r="L184" s="13">
        <f>((((VLOOKUP(B184,Database!$F:$AY,MATCH($L$1,Database!$F$1:$AY$1,),))))-(((VLOOKUP(EDATE(B184,-12),Database!$F:$AY,MATCH($L$1,Database!$F$1:$AY$1,),)))))/(((VLOOKUP(EDATE(B184,-12),Database!$F:$AY,MATCH($L$1,Database!$F$1:$AY$1,),))))</f>
        <v>9.0883221643337751E-3</v>
      </c>
      <c r="M184" s="13">
        <f>((((VLOOKUP(B184,Database!$F:$AY,MATCH($M$1,Database!$F$1:$AY$1,),))))-(((VLOOKUP(EDATE(B184,-12),Database!$F:$AY,MATCH($M$1,Database!$F$1:$AY$1,),)))))/(((VLOOKUP(EDATE(B184,-12),Database!$F:$AY,MATCH($M$1,Database!$F$1:$AY$1,),))))</f>
        <v>0.1156114174077333</v>
      </c>
      <c r="N184" s="13">
        <f>((((VLOOKUP(B184,Database!$F:$AY,MATCH($N$1,Database!$F$1:$AY$1,),))))-(((VLOOKUP(EDATE(B184,-12),Database!$F:$AY,MATCH($N$1,Database!$F$1:$AY$1,),)))))/(((VLOOKUP(EDATE(B184,-12),Database!$F:$AY,MATCH($N$1,Database!$F$1:$AY$1,),))))</f>
        <v>6.7920439726564918E-2</v>
      </c>
      <c r="O184" s="13">
        <f>((((VLOOKUP(B184,Database!$F:$AY,MATCH($O$1,Database!$F$1:$AY$1,),))))-(((VLOOKUP(EDATE(B184,-12),Database!$F:$AY,MATCH($O$1,Database!$F$1:$AY$1,),)))))/(((VLOOKUP(EDATE(B184,-12),Database!$F:$AY,MATCH($O$1,Database!$F$1:$AY$1,),))))</f>
        <v>-1.2932294309848718E-2</v>
      </c>
      <c r="P184" s="13">
        <f>((((VLOOKUP(B184,Database!$F:$AY,MATCH($P$1,Database!$F$1:$AY$1,),))))-(((VLOOKUP(EDATE(B184,-12),Database!$F:$AY,MATCH($P$1,Database!$F$1:$AY$1,),)))))/(((VLOOKUP(EDATE(B184,-12),Database!$F:$AY,MATCH($P$1,Database!$F$1:$AY$1,),))))</f>
        <v>2.9592279917925405E-2</v>
      </c>
      <c r="Q184" s="13">
        <f>((((VLOOKUP(B184,Database!$F:$AY,MATCH($Q$1,Database!$F$1:$AY$1,),))))-(((VLOOKUP(EDATE(B184,-12),Database!$F:$AY,MATCH($Q$1,Database!$F$1:$AY$1,),)))))/(((VLOOKUP(EDATE(B184,-12),Database!$F:$AY,MATCH($Q$1,Database!$F$1:$AY$1,),))))</f>
        <v>-1.643496149295633E-2</v>
      </c>
      <c r="R184" s="13">
        <f>((((VLOOKUP(B184,Database!$F:$AY,MATCH($R$1,Database!$F$1:$AY$1,),))))-(((VLOOKUP(EDATE(B184,-12),Database!$F:$AY,MATCH($R$1,Database!$F$1:$AY$1,),)))))/(((VLOOKUP(EDATE(B184,-12),Database!$F:$AY,MATCH($R$1,Database!$F$1:$AY$1,),))))</f>
        <v>2.6561456743930772E-2</v>
      </c>
      <c r="S184" s="13">
        <f>((((VLOOKUP(B184,Database!$F:$AY,MATCH($S$1,Database!$F$1:$AY$1,),))))-(((VLOOKUP(EDATE(B184,-12),Database!$F:$AY,MATCH($S$1,Database!$F$1:$AY$1,),)))))/(((VLOOKUP(EDATE(B184,-12),Database!$F:$AY,MATCH($S$1,Database!$F$1:$AY$1,),))))</f>
        <v>-5.3762564992589383E-3</v>
      </c>
      <c r="T184" s="13">
        <f>((((VLOOKUP(B184,Database!$F:$AY,MATCH($T$1,Database!$F$1:$AY$1,),))))-(((VLOOKUP(EDATE(B184,-12),Database!$F:$AY,MATCH($T$1,Database!$F$1:$AY$1,),)))))/(((VLOOKUP(EDATE(B184,-12),Database!$F:$AY,MATCH($T$1,Database!$F$1:$AY$1,),))))</f>
        <v>5.336430575075745E-2</v>
      </c>
      <c r="U184" s="13">
        <f>((((VLOOKUP(B184,Database!$F:$AY,MATCH($U$1,Database!$F$1:$AY$1,),))))-(((VLOOKUP(EDATE(B184,-12),Database!$F:$AY,MATCH($U$1,Database!$F$1:$AY$1,),)))))/(((VLOOKUP(EDATE(B184,-12),Database!$F:$AY,MATCH($U$1,Database!$F$1:$AY$1,),))))</f>
        <v>2.2321428571428659E-2</v>
      </c>
      <c r="V184" s="13">
        <f>((((VLOOKUP(B184,Database!$F:$AY,MATCH($V$1,Database!$F$1:$AY$1,),))))-(((VLOOKUP(EDATE(B184,-12),Database!$F:$AY,MATCH($V$1,Database!$F$1:$AY$1,),)))))/(((VLOOKUP(EDATE(B184,-12),Database!$F:$AY,MATCH($V$1,Database!$F$1:$AY$1,),))))</f>
        <v>9.3617021276595713E-2</v>
      </c>
    </row>
    <row r="185" spans="1:22" s="85" customFormat="1" x14ac:dyDescent="0.2">
      <c r="A185" s="44"/>
      <c r="B185" s="91">
        <v>37773</v>
      </c>
      <c r="C185" s="13">
        <f>((((VLOOKUP(B185,Database!$F:$AY,MATCH($C$1,Database!$F$1:$AY$1,),))))-(((VLOOKUP(EDATE(B185,-12),Database!$F:$AY,MATCH($C$1,Database!$F$1:$AY$1,),)))))/(((VLOOKUP(EDATE(B185,-12),Database!$F:$AY,MATCH($C$1,Database!$F$1:$AY$1,),))))</f>
        <v>-2.1402156548587584E-3</v>
      </c>
      <c r="D185" s="13">
        <f>((((VLOOKUP(B185,Database!$F:$AY,MATCH($D$1,Database!$F$1:$AY$1,),))))-(((VLOOKUP(EDATE(B185,-12),Database!$F:$AY,MATCH($D$1,Database!$F$1:$AY$1,),)))))/(((VLOOKUP(EDATE(B185,-12),Database!$F:$AY,MATCH($D$1,Database!$F$1:$AY$1,),))))</f>
        <v>-1.7726832896660084E-2</v>
      </c>
      <c r="E185" s="13">
        <f>((((VLOOKUP(B185,Database!$F:$AY,MATCH($E$1,Database!$F$1:$AY$1,),))))-(((VLOOKUP(EDATE(B185,-12),Database!$F:$AY,MATCH($E$1,Database!$F$1:$AY$1,),)))))/(((VLOOKUP(EDATE(B185,-12),Database!$F:$AY,MATCH($E$1,Database!$F$1:$AY$1,),))))</f>
        <v>2.3561503637264725E-2</v>
      </c>
      <c r="F185" s="13">
        <f>((((VLOOKUP(B185,Database!$F:$AY,MATCH($F$1,Database!$F$1:$AY$1,),))))-(((VLOOKUP(EDATE(B185,-12),Database!$F:$AY,MATCH($F$1,Database!$F$1:$AY$1,),)))))/(((VLOOKUP(EDATE(B185,-12),Database!$F:$AY,MATCH($F$1,Database!$F$1:$AY$1,),))))</f>
        <v>-2.71941073953504E-2</v>
      </c>
      <c r="G185" s="13">
        <f>((((VLOOKUP(B185,Database!$F:$AY,MATCH($G$1,Database!$F$1:$AY$1,),))))-(((VLOOKUP(EDATE(B185,-12),Database!$F:$AY,MATCH($G$1,Database!$F$1:$AY$1,),)))))/(((VLOOKUP(EDATE(B185,-12),Database!$F:$AY,MATCH($G$1,Database!$F$1:$AY$1,),))))</f>
        <v>-3.1289538288298509E-2</v>
      </c>
      <c r="H185" s="13">
        <f>((((VLOOKUP(B185,Database!$F:$AY,MATCH($H$1,Database!$F$1:$AY$1,),))))-(((VLOOKUP(EDATE(B185,-12),Database!$F:$AY,MATCH($H$1,Database!$F$1:$AY$1,),)))))/(((VLOOKUP(EDATE(B185,-12),Database!$F:$AY,MATCH($H$1,Database!$F$1:$AY$1,),))))</f>
        <v>1.2833031769288754E-2</v>
      </c>
      <c r="I185" s="13">
        <f>((((VLOOKUP(B185,Database!$F:$AY,MATCH($I$1,Database!$F$1:$AY$1,),))))-(((VLOOKUP(EDATE(B185,-12),Database!$F:$AY,MATCH($I$1,Database!$F$1:$AY$1,),)))))/(((VLOOKUP(EDATE(B185,-12),Database!$F:$AY,MATCH($I$1,Database!$F$1:$AY$1,),))))</f>
        <v>-1.7742602812975589E-2</v>
      </c>
      <c r="J185" s="13">
        <f>((((VLOOKUP(B185,Database!$F:$AY,MATCH($J$1,Database!$F$1:$AY$1,),))))-(((VLOOKUP(EDATE(B185,-12),Database!$F:$AY,MATCH($J$1,Database!$F$1:$AY$1,),)))))/(((VLOOKUP(EDATE(B185,-12),Database!$F:$AY,MATCH($J$1,Database!$F$1:$AY$1,),))))</f>
        <v>1.6300254650233319E-2</v>
      </c>
      <c r="K185" s="13">
        <f>((((VLOOKUP(B185,Database!$F:$AY,MATCH($K$1,Database!$F$1:$AY$1,),))))-(((VLOOKUP(EDATE(B185,-12),Database!$F:$AY,MATCH($K$1,Database!$F$1:$AY$1,),)))))/(((VLOOKUP(EDATE(B185,-12),Database!$F:$AY,MATCH($K$1,Database!$F$1:$AY$1,),))))</f>
        <v>2.7162977867203102E-2</v>
      </c>
      <c r="L185" s="13">
        <f>((((VLOOKUP(B185,Database!$F:$AY,MATCH($L$1,Database!$F$1:$AY$1,),))))-(((VLOOKUP(EDATE(B185,-12),Database!$F:$AY,MATCH($L$1,Database!$F$1:$AY$1,),)))))/(((VLOOKUP(EDATE(B185,-12),Database!$F:$AY,MATCH($L$1,Database!$F$1:$AY$1,),))))</f>
        <v>1.7672310323343116E-2</v>
      </c>
      <c r="M185" s="13">
        <f>((((VLOOKUP(B185,Database!$F:$AY,MATCH($M$1,Database!$F$1:$AY$1,),))))-(((VLOOKUP(EDATE(B185,-12),Database!$F:$AY,MATCH($M$1,Database!$F$1:$AY$1,),)))))/(((VLOOKUP(EDATE(B185,-12),Database!$F:$AY,MATCH($M$1,Database!$F$1:$AY$1,),))))</f>
        <v>9.0991119257344974E-2</v>
      </c>
      <c r="N185" s="13">
        <f>((((VLOOKUP(B185,Database!$F:$AY,MATCH($N$1,Database!$F$1:$AY$1,),))))-(((VLOOKUP(EDATE(B185,-12),Database!$F:$AY,MATCH($N$1,Database!$F$1:$AY$1,),)))))/(((VLOOKUP(EDATE(B185,-12),Database!$F:$AY,MATCH($N$1,Database!$F$1:$AY$1,),))))</f>
        <v>6.1524480960625703E-2</v>
      </c>
      <c r="O185" s="13">
        <f>((((VLOOKUP(B185,Database!$F:$AY,MATCH($O$1,Database!$F$1:$AY$1,),))))-(((VLOOKUP(EDATE(B185,-12),Database!$F:$AY,MATCH($O$1,Database!$F$1:$AY$1,),)))))/(((VLOOKUP(EDATE(B185,-12),Database!$F:$AY,MATCH($O$1,Database!$F$1:$AY$1,),))))</f>
        <v>-1.0506430430035473E-2</v>
      </c>
      <c r="P185" s="13">
        <f>((((VLOOKUP(B185,Database!$F:$AY,MATCH($P$1,Database!$F$1:$AY$1,),))))-(((VLOOKUP(EDATE(B185,-12),Database!$F:$AY,MATCH($P$1,Database!$F$1:$AY$1,),)))))/(((VLOOKUP(EDATE(B185,-12),Database!$F:$AY,MATCH($P$1,Database!$F$1:$AY$1,),))))</f>
        <v>7.393071868255334E-2</v>
      </c>
      <c r="Q185" s="13">
        <f>((((VLOOKUP(B185,Database!$F:$AY,MATCH($Q$1,Database!$F$1:$AY$1,),))))-(((VLOOKUP(EDATE(B185,-12),Database!$F:$AY,MATCH($Q$1,Database!$F$1:$AY$1,),)))))/(((VLOOKUP(EDATE(B185,-12),Database!$F:$AY,MATCH($Q$1,Database!$F$1:$AY$1,),))))</f>
        <v>-1.5113439159322025E-2</v>
      </c>
      <c r="R185" s="13">
        <f>((((VLOOKUP(B185,Database!$F:$AY,MATCH($R$1,Database!$F$1:$AY$1,),))))-(((VLOOKUP(EDATE(B185,-12),Database!$F:$AY,MATCH($R$1,Database!$F$1:$AY$1,),)))))/(((VLOOKUP(EDATE(B185,-12),Database!$F:$AY,MATCH($R$1,Database!$F$1:$AY$1,),))))</f>
        <v>1.5514548684362793E-2</v>
      </c>
      <c r="S185" s="13">
        <f>((((VLOOKUP(B185,Database!$F:$AY,MATCH($S$1,Database!$F$1:$AY$1,),))))-(((VLOOKUP(EDATE(B185,-12),Database!$F:$AY,MATCH($S$1,Database!$F$1:$AY$1,),)))))/(((VLOOKUP(EDATE(B185,-12),Database!$F:$AY,MATCH($S$1,Database!$F$1:$AY$1,),))))</f>
        <v>-2.6232873699701283E-2</v>
      </c>
      <c r="T185" s="13">
        <f>((((VLOOKUP(B185,Database!$F:$AY,MATCH($T$1,Database!$F$1:$AY$1,),))))-(((VLOOKUP(EDATE(B185,-12),Database!$F:$AY,MATCH($T$1,Database!$F$1:$AY$1,),)))))/(((VLOOKUP(EDATE(B185,-12),Database!$F:$AY,MATCH($T$1,Database!$F$1:$AY$1,),))))</f>
        <v>8.505742316946828E-2</v>
      </c>
      <c r="U185" s="13">
        <f>((((VLOOKUP(B185,Database!$F:$AY,MATCH($U$1,Database!$F$1:$AY$1,),))))-(((VLOOKUP(EDATE(B185,-12),Database!$F:$AY,MATCH($U$1,Database!$F$1:$AY$1,),)))))/(((VLOOKUP(EDATE(B185,-12),Database!$F:$AY,MATCH($U$1,Database!$F$1:$AY$1,),))))</f>
        <v>3.4226240087633718E-2</v>
      </c>
      <c r="V185" s="13">
        <f>((((VLOOKUP(B185,Database!$F:$AY,MATCH($V$1,Database!$F$1:$AY$1,),))))-(((VLOOKUP(EDATE(B185,-12),Database!$F:$AY,MATCH($V$1,Database!$F$1:$AY$1,),)))))/(((VLOOKUP(EDATE(B185,-12),Database!$F:$AY,MATCH($V$1,Database!$F$1:$AY$1,),))))</f>
        <v>7.9166666666666607E-2</v>
      </c>
    </row>
    <row r="186" spans="1:22" s="85" customFormat="1" x14ac:dyDescent="0.2">
      <c r="A186" s="44"/>
      <c r="B186" s="91">
        <v>37803</v>
      </c>
      <c r="C186" s="13">
        <f>((((VLOOKUP(B186,Database!$F:$AY,MATCH($C$1,Database!$F$1:$AY$1,),))))-(((VLOOKUP(EDATE(B186,-12),Database!$F:$AY,MATCH($C$1,Database!$F$1:$AY$1,),)))))/(((VLOOKUP(EDATE(B186,-12),Database!$F:$AY,MATCH($C$1,Database!$F$1:$AY$1,),))))</f>
        <v>4.6608165419118911E-3</v>
      </c>
      <c r="D186" s="13">
        <f>((((VLOOKUP(B186,Database!$F:$AY,MATCH($D$1,Database!$F$1:$AY$1,),))))-(((VLOOKUP(EDATE(B186,-12),Database!$F:$AY,MATCH($D$1,Database!$F$1:$AY$1,),)))))/(((VLOOKUP(EDATE(B186,-12),Database!$F:$AY,MATCH($D$1,Database!$F$1:$AY$1,),))))</f>
        <v>6.302415507457461E-3</v>
      </c>
      <c r="E186" s="13">
        <f>((((VLOOKUP(B186,Database!$F:$AY,MATCH($E$1,Database!$F$1:$AY$1,),))))-(((VLOOKUP(EDATE(B186,-12),Database!$F:$AY,MATCH($E$1,Database!$F$1:$AY$1,),)))))/(((VLOOKUP(EDATE(B186,-12),Database!$F:$AY,MATCH($E$1,Database!$F$1:$AY$1,),))))</f>
        <v>2.0273157446904468E-2</v>
      </c>
      <c r="F186" s="13">
        <f>((((VLOOKUP(B186,Database!$F:$AY,MATCH($F$1,Database!$F$1:$AY$1,),))))-(((VLOOKUP(EDATE(B186,-12),Database!$F:$AY,MATCH($F$1,Database!$F$1:$AY$1,),)))))/(((VLOOKUP(EDATE(B186,-12),Database!$F:$AY,MATCH($F$1,Database!$F$1:$AY$1,),))))</f>
        <v>1.5113222901805759E-2</v>
      </c>
      <c r="G186" s="13">
        <f>((((VLOOKUP(B186,Database!$F:$AY,MATCH($G$1,Database!$F$1:$AY$1,),))))-(((VLOOKUP(EDATE(B186,-12),Database!$F:$AY,MATCH($G$1,Database!$F$1:$AY$1,),)))))/(((VLOOKUP(EDATE(B186,-12),Database!$F:$AY,MATCH($G$1,Database!$F$1:$AY$1,),))))</f>
        <v>-3.6761023022510216E-3</v>
      </c>
      <c r="H186" s="13">
        <f>((((VLOOKUP(B186,Database!$F:$AY,MATCH($H$1,Database!$F$1:$AY$1,),))))-(((VLOOKUP(EDATE(B186,-12),Database!$F:$AY,MATCH($H$1,Database!$F$1:$AY$1,),)))))/(((VLOOKUP(EDATE(B186,-12),Database!$F:$AY,MATCH($H$1,Database!$F$1:$AY$1,),))))</f>
        <v>8.7888934873395965E-3</v>
      </c>
      <c r="I186" s="13">
        <f>((((VLOOKUP(B186,Database!$F:$AY,MATCH($I$1,Database!$F$1:$AY$1,),))))-(((VLOOKUP(EDATE(B186,-12),Database!$F:$AY,MATCH($I$1,Database!$F$1:$AY$1,),)))))/(((VLOOKUP(EDATE(B186,-12),Database!$F:$AY,MATCH($I$1,Database!$F$1:$AY$1,),))))</f>
        <v>0</v>
      </c>
      <c r="J186" s="13">
        <f>((((VLOOKUP(B186,Database!$F:$AY,MATCH($J$1,Database!$F$1:$AY$1,),))))-(((VLOOKUP(EDATE(B186,-12),Database!$F:$AY,MATCH($J$1,Database!$F$1:$AY$1,),)))))/(((VLOOKUP(EDATE(B186,-12),Database!$F:$AY,MATCH($J$1,Database!$F$1:$AY$1,),))))</f>
        <v>1.5046255576891755E-2</v>
      </c>
      <c r="K186" s="13">
        <f>((((VLOOKUP(B186,Database!$F:$AY,MATCH($K$1,Database!$F$1:$AY$1,),))))-(((VLOOKUP(EDATE(B186,-12),Database!$F:$AY,MATCH($K$1,Database!$F$1:$AY$1,),)))))/(((VLOOKUP(EDATE(B186,-12),Database!$F:$AY,MATCH($K$1,Database!$F$1:$AY$1,),))))</f>
        <v>3.4000000000000058E-2</v>
      </c>
      <c r="L186" s="13">
        <f>((((VLOOKUP(B186,Database!$F:$AY,MATCH($L$1,Database!$F$1:$AY$1,),))))-(((VLOOKUP(EDATE(B186,-12),Database!$F:$AY,MATCH($L$1,Database!$F$1:$AY$1,),)))))/(((VLOOKUP(EDATE(B186,-12),Database!$F:$AY,MATCH($L$1,Database!$F$1:$AY$1,),))))</f>
        <v>1.1845288314696627E-2</v>
      </c>
      <c r="M186" s="13">
        <f>((((VLOOKUP(B186,Database!$F:$AY,MATCH($M$1,Database!$F$1:$AY$1,),))))-(((VLOOKUP(EDATE(B186,-12),Database!$F:$AY,MATCH($M$1,Database!$F$1:$AY$1,),)))))/(((VLOOKUP(EDATE(B186,-12),Database!$F:$AY,MATCH($M$1,Database!$F$1:$AY$1,),))))</f>
        <v>8.3835957011242426E-2</v>
      </c>
      <c r="N186" s="13">
        <f>((((VLOOKUP(B186,Database!$F:$AY,MATCH($N$1,Database!$F$1:$AY$1,),))))-(((VLOOKUP(EDATE(B186,-12),Database!$F:$AY,MATCH($N$1,Database!$F$1:$AY$1,),)))))/(((VLOOKUP(EDATE(B186,-12),Database!$F:$AY,MATCH($N$1,Database!$F$1:$AY$1,),))))</f>
        <v>6.3169166259357479E-2</v>
      </c>
      <c r="O186" s="13">
        <f>((((VLOOKUP(B186,Database!$F:$AY,MATCH($O$1,Database!$F$1:$AY$1,),))))-(((VLOOKUP(EDATE(B186,-12),Database!$F:$AY,MATCH($O$1,Database!$F$1:$AY$1,),)))))/(((VLOOKUP(EDATE(B186,-12),Database!$F:$AY,MATCH($O$1,Database!$F$1:$AY$1,),))))</f>
        <v>-9.9498083281978206E-3</v>
      </c>
      <c r="P186" s="13">
        <f>((((VLOOKUP(B186,Database!$F:$AY,MATCH($P$1,Database!$F$1:$AY$1,),))))-(((VLOOKUP(EDATE(B186,-12),Database!$F:$AY,MATCH($P$1,Database!$F$1:$AY$1,),)))))/(((VLOOKUP(EDATE(B186,-12),Database!$F:$AY,MATCH($P$1,Database!$F$1:$AY$1,),))))</f>
        <v>-1.2571071669530722E-3</v>
      </c>
      <c r="Q186" s="13">
        <f>((((VLOOKUP(B186,Database!$F:$AY,MATCH($Q$1,Database!$F$1:$AY$1,),))))-(((VLOOKUP(EDATE(B186,-12),Database!$F:$AY,MATCH($Q$1,Database!$F$1:$AY$1,),)))))/(((VLOOKUP(EDATE(B186,-12),Database!$F:$AY,MATCH($Q$1,Database!$F$1:$AY$1,),))))</f>
        <v>-2.885819072269925E-2</v>
      </c>
      <c r="R186" s="13">
        <f>((((VLOOKUP(B186,Database!$F:$AY,MATCH($R$1,Database!$F$1:$AY$1,),))))-(((VLOOKUP(EDATE(B186,-12),Database!$F:$AY,MATCH($R$1,Database!$F$1:$AY$1,),)))))/(((VLOOKUP(EDATE(B186,-12),Database!$F:$AY,MATCH($R$1,Database!$F$1:$AY$1,),))))</f>
        <v>1.33898144842543E-2</v>
      </c>
      <c r="S186" s="13">
        <f>((((VLOOKUP(B186,Database!$F:$AY,MATCH($S$1,Database!$F$1:$AY$1,),))))-(((VLOOKUP(EDATE(B186,-12),Database!$F:$AY,MATCH($S$1,Database!$F$1:$AY$1,),)))))/(((VLOOKUP(EDATE(B186,-12),Database!$F:$AY,MATCH($S$1,Database!$F$1:$AY$1,),))))</f>
        <v>6.0066733741210986E-2</v>
      </c>
      <c r="T186" s="13">
        <f>((((VLOOKUP(B186,Database!$F:$AY,MATCH($T$1,Database!$F$1:$AY$1,),))))-(((VLOOKUP(EDATE(B186,-12),Database!$F:$AY,MATCH($T$1,Database!$F$1:$AY$1,),)))))/(((VLOOKUP(EDATE(B186,-12),Database!$F:$AY,MATCH($T$1,Database!$F$1:$AY$1,),))))</f>
        <v>9.7727242249523921E-2</v>
      </c>
      <c r="U186" s="13">
        <f>((((VLOOKUP(B186,Database!$F:$AY,MATCH($U$1,Database!$F$1:$AY$1,),))))-(((VLOOKUP(EDATE(B186,-12),Database!$F:$AY,MATCH($U$1,Database!$F$1:$AY$1,),)))))/(((VLOOKUP(EDATE(B186,-12),Database!$F:$AY,MATCH($U$1,Database!$F$1:$AY$1,),))))</f>
        <v>1.3100436681222509E-2</v>
      </c>
      <c r="V186" s="13">
        <f>((((VLOOKUP(B186,Database!$F:$AY,MATCH($V$1,Database!$F$1:$AY$1,),))))-(((VLOOKUP(EDATE(B186,-12),Database!$F:$AY,MATCH($V$1,Database!$F$1:$AY$1,),)))))/(((VLOOKUP(EDATE(B186,-12),Database!$F:$AY,MATCH($V$1,Database!$F$1:$AY$1,),))))</f>
        <v>0.10493827160493829</v>
      </c>
    </row>
    <row r="187" spans="1:22" s="85" customFormat="1" x14ac:dyDescent="0.2">
      <c r="A187" s="44"/>
      <c r="B187" s="91">
        <v>37834</v>
      </c>
      <c r="C187" s="13">
        <f>((((VLOOKUP(B187,Database!$F:$AY,MATCH($C$1,Database!$F$1:$AY$1,),))))-(((VLOOKUP(EDATE(B187,-12),Database!$F:$AY,MATCH($C$1,Database!$F$1:$AY$1,),)))))/(((VLOOKUP(EDATE(B187,-12),Database!$F:$AY,MATCH($C$1,Database!$F$1:$AY$1,),))))</f>
        <v>3.0964568069957897E-3</v>
      </c>
      <c r="D187" s="13">
        <f>((((VLOOKUP(B187,Database!$F:$AY,MATCH($D$1,Database!$F$1:$AY$1,),))))-(((VLOOKUP(EDATE(B187,-12),Database!$F:$AY,MATCH($D$1,Database!$F$1:$AY$1,),)))))/(((VLOOKUP(EDATE(B187,-12),Database!$F:$AY,MATCH($D$1,Database!$F$1:$AY$1,),))))</f>
        <v>-8.3682354183076593E-3</v>
      </c>
      <c r="E187" s="13">
        <f>((((VLOOKUP(B187,Database!$F:$AY,MATCH($E$1,Database!$F$1:$AY$1,),))))-(((VLOOKUP(EDATE(B187,-12),Database!$F:$AY,MATCH($E$1,Database!$F$1:$AY$1,),)))))/(((VLOOKUP(EDATE(B187,-12),Database!$F:$AY,MATCH($E$1,Database!$F$1:$AY$1,),))))</f>
        <v>6.126959513497959E-3</v>
      </c>
      <c r="F187" s="13">
        <f>((((VLOOKUP(B187,Database!$F:$AY,MATCH($F$1,Database!$F$1:$AY$1,),))))-(((VLOOKUP(EDATE(B187,-12),Database!$F:$AY,MATCH($F$1,Database!$F$1:$AY$1,),)))))/(((VLOOKUP(EDATE(B187,-12),Database!$F:$AY,MATCH($F$1,Database!$F$1:$AY$1,),))))</f>
        <v>-3.3210391566431671E-2</v>
      </c>
      <c r="G187" s="13">
        <f>((((VLOOKUP(B187,Database!$F:$AY,MATCH($G$1,Database!$F$1:$AY$1,),))))-(((VLOOKUP(EDATE(B187,-12),Database!$F:$AY,MATCH($G$1,Database!$F$1:$AY$1,),)))))/(((VLOOKUP(EDATE(B187,-12),Database!$F:$AY,MATCH($G$1,Database!$F$1:$AY$1,),))))</f>
        <v>-2.616362732529243E-2</v>
      </c>
      <c r="H187" s="13">
        <f>((((VLOOKUP(B187,Database!$F:$AY,MATCH($H$1,Database!$F$1:$AY$1,),))))-(((VLOOKUP(EDATE(B187,-12),Database!$F:$AY,MATCH($H$1,Database!$F$1:$AY$1,),)))))/(((VLOOKUP(EDATE(B187,-12),Database!$F:$AY,MATCH($H$1,Database!$F$1:$AY$1,),))))</f>
        <v>0</v>
      </c>
      <c r="I187" s="13">
        <f>((((VLOOKUP(B187,Database!$F:$AY,MATCH($I$1,Database!$F$1:$AY$1,),))))-(((VLOOKUP(EDATE(B187,-12),Database!$F:$AY,MATCH($I$1,Database!$F$1:$AY$1,),)))))/(((VLOOKUP(EDATE(B187,-12),Database!$F:$AY,MATCH($I$1,Database!$F$1:$AY$1,),))))</f>
        <v>-9.0089425979892751E-3</v>
      </c>
      <c r="J187" s="13">
        <f>((((VLOOKUP(B187,Database!$F:$AY,MATCH($J$1,Database!$F$1:$AY$1,),))))-(((VLOOKUP(EDATE(B187,-12),Database!$F:$AY,MATCH($J$1,Database!$F$1:$AY$1,),)))))/(((VLOOKUP(EDATE(B187,-12),Database!$F:$AY,MATCH($J$1,Database!$F$1:$AY$1,),))))</f>
        <v>8.4804375612509732E-3</v>
      </c>
      <c r="K187" s="13">
        <f>((((VLOOKUP(B187,Database!$F:$AY,MATCH($K$1,Database!$F$1:$AY$1,),))))-(((VLOOKUP(EDATE(B187,-12),Database!$F:$AY,MATCH($K$1,Database!$F$1:$AY$1,),)))))/(((VLOOKUP(EDATE(B187,-12),Database!$F:$AY,MATCH($K$1,Database!$F$1:$AY$1,),))))</f>
        <v>2.6078234704112278E-2</v>
      </c>
      <c r="L187" s="13">
        <f>((((VLOOKUP(B187,Database!$F:$AY,MATCH($L$1,Database!$F$1:$AY$1,),))))-(((VLOOKUP(EDATE(B187,-12),Database!$F:$AY,MATCH($L$1,Database!$F$1:$AY$1,),)))))/(((VLOOKUP(EDATE(B187,-12),Database!$F:$AY,MATCH($L$1,Database!$F$1:$AY$1,),))))</f>
        <v>7.2499900430562595E-3</v>
      </c>
      <c r="M187" s="13">
        <f>((((VLOOKUP(B187,Database!$F:$AY,MATCH($M$1,Database!$F$1:$AY$1,),))))-(((VLOOKUP(EDATE(B187,-12),Database!$F:$AY,MATCH($M$1,Database!$F$1:$AY$1,),)))))/(((VLOOKUP(EDATE(B187,-12),Database!$F:$AY,MATCH($M$1,Database!$F$1:$AY$1,),))))</f>
        <v>6.9477561115463812E-2</v>
      </c>
      <c r="N187" s="13">
        <f>((((VLOOKUP(B187,Database!$F:$AY,MATCH($N$1,Database!$F$1:$AY$1,),))))-(((VLOOKUP(EDATE(B187,-12),Database!$F:$AY,MATCH($N$1,Database!$F$1:$AY$1,),)))))/(((VLOOKUP(EDATE(B187,-12),Database!$F:$AY,MATCH($N$1,Database!$F$1:$AY$1,),))))</f>
        <v>6.1876388184734038E-2</v>
      </c>
      <c r="O187" s="13">
        <f>((((VLOOKUP(B187,Database!$F:$AY,MATCH($O$1,Database!$F$1:$AY$1,),))))-(((VLOOKUP(EDATE(B187,-12),Database!$F:$AY,MATCH($O$1,Database!$F$1:$AY$1,),)))))/(((VLOOKUP(EDATE(B187,-12),Database!$F:$AY,MATCH($O$1,Database!$F$1:$AY$1,),))))</f>
        <v>-2.1231458631732234E-2</v>
      </c>
      <c r="P187" s="13">
        <f>((((VLOOKUP(B187,Database!$F:$AY,MATCH($P$1,Database!$F$1:$AY$1,),))))-(((VLOOKUP(EDATE(B187,-12),Database!$F:$AY,MATCH($P$1,Database!$F$1:$AY$1,),)))))/(((VLOOKUP(EDATE(B187,-12),Database!$F:$AY,MATCH($P$1,Database!$F$1:$AY$1,),))))</f>
        <v>3.7352597638636569E-2</v>
      </c>
      <c r="Q187" s="13">
        <f>((((VLOOKUP(B187,Database!$F:$AY,MATCH($Q$1,Database!$F$1:$AY$1,),))))-(((VLOOKUP(EDATE(B187,-12),Database!$F:$AY,MATCH($Q$1,Database!$F$1:$AY$1,),)))))/(((VLOOKUP(EDATE(B187,-12),Database!$F:$AY,MATCH($Q$1,Database!$F$1:$AY$1,),))))</f>
        <v>0</v>
      </c>
      <c r="R187" s="13">
        <f>((((VLOOKUP(B187,Database!$F:$AY,MATCH($R$1,Database!$F$1:$AY$1,),))))-(((VLOOKUP(EDATE(B187,-12),Database!$F:$AY,MATCH($R$1,Database!$F$1:$AY$1,),)))))/(((VLOOKUP(EDATE(B187,-12),Database!$F:$AY,MATCH($R$1,Database!$F$1:$AY$1,),))))</f>
        <v>-1.5759054428047502E-2</v>
      </c>
      <c r="S187" s="13">
        <f>((((VLOOKUP(B187,Database!$F:$AY,MATCH($S$1,Database!$F$1:$AY$1,),))))-(((VLOOKUP(EDATE(B187,-12),Database!$F:$AY,MATCH($S$1,Database!$F$1:$AY$1,),)))))/(((VLOOKUP(EDATE(B187,-12),Database!$F:$AY,MATCH($S$1,Database!$F$1:$AY$1,),))))</f>
        <v>0.11896735284976501</v>
      </c>
      <c r="T187" s="13">
        <f>((((VLOOKUP(B187,Database!$F:$AY,MATCH($T$1,Database!$F$1:$AY$1,),))))-(((VLOOKUP(EDATE(B187,-12),Database!$F:$AY,MATCH($T$1,Database!$F$1:$AY$1,),)))))/(((VLOOKUP(EDATE(B187,-12),Database!$F:$AY,MATCH($T$1,Database!$F$1:$AY$1,),))))</f>
        <v>0.12244922025239297</v>
      </c>
      <c r="U187" s="13">
        <f>((((VLOOKUP(B187,Database!$F:$AY,MATCH($U$1,Database!$F$1:$AY$1,),))))-(((VLOOKUP(EDATE(B187,-12),Database!$F:$AY,MATCH($U$1,Database!$F$1:$AY$1,),)))))/(((VLOOKUP(EDATE(B187,-12),Database!$F:$AY,MATCH($U$1,Database!$F$1:$AY$1,),))))</f>
        <v>5.803571428571426E-2</v>
      </c>
      <c r="V187" s="13">
        <f>((((VLOOKUP(B187,Database!$F:$AY,MATCH($V$1,Database!$F$1:$AY$1,),))))-(((VLOOKUP(EDATE(B187,-12),Database!$F:$AY,MATCH($V$1,Database!$F$1:$AY$1,),)))))/(((VLOOKUP(EDATE(B187,-12),Database!$F:$AY,MATCH($V$1,Database!$F$1:$AY$1,),))))</f>
        <v>9.1277890466531439E-2</v>
      </c>
    </row>
    <row r="188" spans="1:22" s="85" customFormat="1" x14ac:dyDescent="0.2">
      <c r="A188" s="44"/>
      <c r="B188" s="91">
        <v>37865</v>
      </c>
      <c r="C188" s="13">
        <f>((((VLOOKUP(B188,Database!$F:$AY,MATCH($C$1,Database!$F$1:$AY$1,),))))-(((VLOOKUP(EDATE(B188,-12),Database!$F:$AY,MATCH($C$1,Database!$F$1:$AY$1,),)))))/(((VLOOKUP(EDATE(B188,-12),Database!$F:$AY,MATCH($C$1,Database!$F$1:$AY$1,),))))</f>
        <v>7.6012763837340121E-3</v>
      </c>
      <c r="D188" s="13">
        <f>((((VLOOKUP(B188,Database!$F:$AY,MATCH($D$1,Database!$F$1:$AY$1,),))))-(((VLOOKUP(EDATE(B188,-12),Database!$F:$AY,MATCH($D$1,Database!$F$1:$AY$1,),)))))/(((VLOOKUP(EDATE(B188,-12),Database!$F:$AY,MATCH($D$1,Database!$F$1:$AY$1,),))))</f>
        <v>-1.45985744027003E-2</v>
      </c>
      <c r="E188" s="13">
        <f>((((VLOOKUP(B188,Database!$F:$AY,MATCH($E$1,Database!$F$1:$AY$1,),))))-(((VLOOKUP(EDATE(B188,-12),Database!$F:$AY,MATCH($E$1,Database!$F$1:$AY$1,),)))))/(((VLOOKUP(EDATE(B188,-12),Database!$F:$AY,MATCH($E$1,Database!$F$1:$AY$1,),))))</f>
        <v>3.0033647241523586E-2</v>
      </c>
      <c r="F188" s="13">
        <f>((((VLOOKUP(B188,Database!$F:$AY,MATCH($F$1,Database!$F$1:$AY$1,),))))-(((VLOOKUP(EDATE(B188,-12),Database!$F:$AY,MATCH($F$1,Database!$F$1:$AY$1,),)))))/(((VLOOKUP(EDATE(B188,-12),Database!$F:$AY,MATCH($F$1,Database!$F$1:$AY$1,),))))</f>
        <v>-2.2443767441448711E-2</v>
      </c>
      <c r="G188" s="13">
        <f>((((VLOOKUP(B188,Database!$F:$AY,MATCH($G$1,Database!$F$1:$AY$1,),))))-(((VLOOKUP(EDATE(B188,-12),Database!$F:$AY,MATCH($G$1,Database!$F$1:$AY$1,),)))))/(((VLOOKUP(EDATE(B188,-12),Database!$F:$AY,MATCH($G$1,Database!$F$1:$AY$1,),))))</f>
        <v>-1.7357796254187492E-2</v>
      </c>
      <c r="H188" s="13">
        <f>((((VLOOKUP(B188,Database!$F:$AY,MATCH($H$1,Database!$F$1:$AY$1,),))))-(((VLOOKUP(EDATE(B188,-12),Database!$F:$AY,MATCH($H$1,Database!$F$1:$AY$1,),)))))/(((VLOOKUP(EDATE(B188,-12),Database!$F:$AY,MATCH($H$1,Database!$F$1:$AY$1,),))))</f>
        <v>-1.2440055559498328E-2</v>
      </c>
      <c r="I188" s="13">
        <f>((((VLOOKUP(B188,Database!$F:$AY,MATCH($I$1,Database!$F$1:$AY$1,),))))-(((VLOOKUP(EDATE(B188,-12),Database!$F:$AY,MATCH($I$1,Database!$F$1:$AY$1,),)))))/(((VLOOKUP(EDATE(B188,-12),Database!$F:$AY,MATCH($I$1,Database!$F$1:$AY$1,),))))</f>
        <v>-2.4115360126570101E-2</v>
      </c>
      <c r="J188" s="13">
        <f>((((VLOOKUP(B188,Database!$F:$AY,MATCH($J$1,Database!$F$1:$AY$1,),))))-(((VLOOKUP(EDATE(B188,-12),Database!$F:$AY,MATCH($J$1,Database!$F$1:$AY$1,),)))))/(((VLOOKUP(EDATE(B188,-12),Database!$F:$AY,MATCH($J$1,Database!$F$1:$AY$1,),))))</f>
        <v>-5.0437627771932124E-4</v>
      </c>
      <c r="K188" s="13">
        <f>((((VLOOKUP(B188,Database!$F:$AY,MATCH($K$1,Database!$F$1:$AY$1,),))))-(((VLOOKUP(EDATE(B188,-12),Database!$F:$AY,MATCH($K$1,Database!$F$1:$AY$1,),)))))/(((VLOOKUP(EDATE(B188,-12),Database!$F:$AY,MATCH($K$1,Database!$F$1:$AY$1,),))))</f>
        <v>3.3099297893681011E-2</v>
      </c>
      <c r="L188" s="13">
        <f>((((VLOOKUP(B188,Database!$F:$AY,MATCH($L$1,Database!$F$1:$AY$1,),))))-(((VLOOKUP(EDATE(B188,-12),Database!$F:$AY,MATCH($L$1,Database!$F$1:$AY$1,),)))))/(((VLOOKUP(EDATE(B188,-12),Database!$F:$AY,MATCH($L$1,Database!$F$1:$AY$1,),))))</f>
        <v>1.0108390041791687E-2</v>
      </c>
      <c r="M188" s="13">
        <f>((((VLOOKUP(B188,Database!$F:$AY,MATCH($M$1,Database!$F$1:$AY$1,),))))-(((VLOOKUP(EDATE(B188,-12),Database!$F:$AY,MATCH($M$1,Database!$F$1:$AY$1,),)))))/(((VLOOKUP(EDATE(B188,-12),Database!$F:$AY,MATCH($M$1,Database!$F$1:$AY$1,),))))</f>
        <v>9.7177588352649086E-2</v>
      </c>
      <c r="N188" s="13">
        <f>((((VLOOKUP(B188,Database!$F:$AY,MATCH($N$1,Database!$F$1:$AY$1,),))))-(((VLOOKUP(EDATE(B188,-12),Database!$F:$AY,MATCH($N$1,Database!$F$1:$AY$1,),)))))/(((VLOOKUP(EDATE(B188,-12),Database!$F:$AY,MATCH($N$1,Database!$F$1:$AY$1,),))))</f>
        <v>7.1406012200530791E-2</v>
      </c>
      <c r="O188" s="13">
        <f>((((VLOOKUP(B188,Database!$F:$AY,MATCH($O$1,Database!$F$1:$AY$1,),))))-(((VLOOKUP(EDATE(B188,-12),Database!$F:$AY,MATCH($O$1,Database!$F$1:$AY$1,),)))))/(((VLOOKUP(EDATE(B188,-12),Database!$F:$AY,MATCH($O$1,Database!$F$1:$AY$1,),))))</f>
        <v>7.4204530759924411E-3</v>
      </c>
      <c r="P188" s="13">
        <f>((((VLOOKUP(B188,Database!$F:$AY,MATCH($P$1,Database!$F$1:$AY$1,),))))-(((VLOOKUP(EDATE(B188,-12),Database!$F:$AY,MATCH($P$1,Database!$F$1:$AY$1,),)))))/(((VLOOKUP(EDATE(B188,-12),Database!$F:$AY,MATCH($P$1,Database!$F$1:$AY$1,),))))</f>
        <v>7.3760456166640953E-2</v>
      </c>
      <c r="Q188" s="13">
        <f>((((VLOOKUP(B188,Database!$F:$AY,MATCH($Q$1,Database!$F$1:$AY$1,),))))-(((VLOOKUP(EDATE(B188,-12),Database!$F:$AY,MATCH($Q$1,Database!$F$1:$AY$1,),)))))/(((VLOOKUP(EDATE(B188,-12),Database!$F:$AY,MATCH($Q$1,Database!$F$1:$AY$1,),))))</f>
        <v>2.0100393571187661E-2</v>
      </c>
      <c r="R188" s="13">
        <f>((((VLOOKUP(B188,Database!$F:$AY,MATCH($R$1,Database!$F$1:$AY$1,),))))-(((VLOOKUP(EDATE(B188,-12),Database!$F:$AY,MATCH($R$1,Database!$F$1:$AY$1,),)))))/(((VLOOKUP(EDATE(B188,-12),Database!$F:$AY,MATCH($R$1,Database!$F$1:$AY$1,),))))</f>
        <v>4.5129244470453724E-2</v>
      </c>
      <c r="S188" s="13">
        <f>((((VLOOKUP(B188,Database!$F:$AY,MATCH($S$1,Database!$F$1:$AY$1,),))))-(((VLOOKUP(EDATE(B188,-12),Database!$F:$AY,MATCH($S$1,Database!$F$1:$AY$1,),)))))/(((VLOOKUP(EDATE(B188,-12),Database!$F:$AY,MATCH($S$1,Database!$F$1:$AY$1,),))))</f>
        <v>-1.9501562496010386E-2</v>
      </c>
      <c r="T188" s="13">
        <f>((((VLOOKUP(B188,Database!$F:$AY,MATCH($T$1,Database!$F$1:$AY$1,),))))-(((VLOOKUP(EDATE(B188,-12),Database!$F:$AY,MATCH($T$1,Database!$F$1:$AY$1,),)))))/(((VLOOKUP(EDATE(B188,-12),Database!$F:$AY,MATCH($T$1,Database!$F$1:$AY$1,),))))</f>
        <v>9.0308400126706587E-2</v>
      </c>
      <c r="U188" s="13">
        <f>((((VLOOKUP(B188,Database!$F:$AY,MATCH($U$1,Database!$F$1:$AY$1,),))))-(((VLOOKUP(EDATE(B188,-12),Database!$F:$AY,MATCH($U$1,Database!$F$1:$AY$1,),)))))/(((VLOOKUP(EDATE(B188,-12),Database!$F:$AY,MATCH($U$1,Database!$F$1:$AY$1,),))))</f>
        <v>3.9301310043667943E-2</v>
      </c>
      <c r="V188" s="13">
        <f>((((VLOOKUP(B188,Database!$F:$AY,MATCH($V$1,Database!$F$1:$AY$1,),))))-(((VLOOKUP(EDATE(B188,-12),Database!$F:$AY,MATCH($V$1,Database!$F$1:$AY$1,),)))))/(((VLOOKUP(EDATE(B188,-12),Database!$F:$AY,MATCH($V$1,Database!$F$1:$AY$1,),))))</f>
        <v>8.7044534412955551E-2</v>
      </c>
    </row>
    <row r="189" spans="1:22" s="85" customFormat="1" x14ac:dyDescent="0.2">
      <c r="A189" s="44"/>
      <c r="B189" s="91">
        <v>37895</v>
      </c>
      <c r="C189" s="13">
        <f>((((VLOOKUP(B189,Database!$F:$AY,MATCH($C$1,Database!$F$1:$AY$1,),))))-(((VLOOKUP(EDATE(B189,-12),Database!$F:$AY,MATCH($C$1,Database!$F$1:$AY$1,),)))))/(((VLOOKUP(EDATE(B189,-12),Database!$F:$AY,MATCH($C$1,Database!$F$1:$AY$1,),))))</f>
        <v>1.2080643355495179E-2</v>
      </c>
      <c r="D189" s="13">
        <f>((((VLOOKUP(B189,Database!$F:$AY,MATCH($D$1,Database!$F$1:$AY$1,),))))-(((VLOOKUP(EDATE(B189,-12),Database!$F:$AY,MATCH($D$1,Database!$F$1:$AY$1,),)))))/(((VLOOKUP(EDATE(B189,-12),Database!$F:$AY,MATCH($D$1,Database!$F$1:$AY$1,),))))</f>
        <v>1.6789051522960948E-2</v>
      </c>
      <c r="E189" s="13">
        <f>((((VLOOKUP(B189,Database!$F:$AY,MATCH($E$1,Database!$F$1:$AY$1,),))))-(((VLOOKUP(EDATE(B189,-12),Database!$F:$AY,MATCH($E$1,Database!$F$1:$AY$1,),)))))/(((VLOOKUP(EDATE(B189,-12),Database!$F:$AY,MATCH($E$1,Database!$F$1:$AY$1,),))))</f>
        <v>4.1935612320066991E-2</v>
      </c>
      <c r="F189" s="13">
        <f>((((VLOOKUP(B189,Database!$F:$AY,MATCH($F$1,Database!$F$1:$AY$1,),))))-(((VLOOKUP(EDATE(B189,-12),Database!$F:$AY,MATCH($F$1,Database!$F$1:$AY$1,),)))))/(((VLOOKUP(EDATE(B189,-12),Database!$F:$AY,MATCH($F$1,Database!$F$1:$AY$1,),))))</f>
        <v>1.5075376253072509E-2</v>
      </c>
      <c r="G189" s="13">
        <f>((((VLOOKUP(B189,Database!$F:$AY,MATCH($G$1,Database!$F$1:$AY$1,),))))-(((VLOOKUP(EDATE(B189,-12),Database!$F:$AY,MATCH($G$1,Database!$F$1:$AY$1,),)))))/(((VLOOKUP(EDATE(B189,-12),Database!$F:$AY,MATCH($G$1,Database!$F$1:$AY$1,),))))</f>
        <v>1.4364521840979239E-2</v>
      </c>
      <c r="H189" s="13">
        <f>((((VLOOKUP(B189,Database!$F:$AY,MATCH($H$1,Database!$F$1:$AY$1,),))))-(((VLOOKUP(EDATE(B189,-12),Database!$F:$AY,MATCH($H$1,Database!$F$1:$AY$1,),)))))/(((VLOOKUP(EDATE(B189,-12),Database!$F:$AY,MATCH($H$1,Database!$F$1:$AY$1,),))))</f>
        <v>1.167323924659394E-2</v>
      </c>
      <c r="I189" s="13">
        <f>((((VLOOKUP(B189,Database!$F:$AY,MATCH($I$1,Database!$F$1:$AY$1,),))))-(((VLOOKUP(EDATE(B189,-12),Database!$F:$AY,MATCH($I$1,Database!$F$1:$AY$1,),)))))/(((VLOOKUP(EDATE(B189,-12),Database!$F:$AY,MATCH($I$1,Database!$F$1:$AY$1,),))))</f>
        <v>-1.6274743713472447E-3</v>
      </c>
      <c r="J189" s="13">
        <f>((((VLOOKUP(B189,Database!$F:$AY,MATCH($J$1,Database!$F$1:$AY$1,),))))-(((VLOOKUP(EDATE(B189,-12),Database!$F:$AY,MATCH($J$1,Database!$F$1:$AY$1,),)))))/(((VLOOKUP(EDATE(B189,-12),Database!$F:$AY,MATCH($J$1,Database!$F$1:$AY$1,),))))</f>
        <v>1.1916846534721276E-2</v>
      </c>
      <c r="K189" s="13">
        <f>((((VLOOKUP(B189,Database!$F:$AY,MATCH($K$1,Database!$F$1:$AY$1,),))))-(((VLOOKUP(EDATE(B189,-12),Database!$F:$AY,MATCH($K$1,Database!$F$1:$AY$1,),)))))/(((VLOOKUP(EDATE(B189,-12),Database!$F:$AY,MATCH($K$1,Database!$F$1:$AY$1,),))))</f>
        <v>2.0895522388059647E-2</v>
      </c>
      <c r="L189" s="13">
        <f>((((VLOOKUP(B189,Database!$F:$AY,MATCH($L$1,Database!$F$1:$AY$1,),))))-(((VLOOKUP(EDATE(B189,-12),Database!$F:$AY,MATCH($L$1,Database!$F$1:$AY$1,),)))))/(((VLOOKUP(EDATE(B189,-12),Database!$F:$AY,MATCH($L$1,Database!$F$1:$AY$1,),))))</f>
        <v>7.9670485705425325E-3</v>
      </c>
      <c r="M189" s="13">
        <f>((((VLOOKUP(B189,Database!$F:$AY,MATCH($M$1,Database!$F$1:$AY$1,),))))-(((VLOOKUP(EDATE(B189,-12),Database!$F:$AY,MATCH($M$1,Database!$F$1:$AY$1,),)))))/(((VLOOKUP(EDATE(B189,-12),Database!$F:$AY,MATCH($M$1,Database!$F$1:$AY$1,),))))</f>
        <v>8.7943150628227842E-2</v>
      </c>
      <c r="N189" s="13">
        <f>((((VLOOKUP(B189,Database!$F:$AY,MATCH($N$1,Database!$F$1:$AY$1,),))))-(((VLOOKUP(EDATE(B189,-12),Database!$F:$AY,MATCH($N$1,Database!$F$1:$AY$1,),)))))/(((VLOOKUP(EDATE(B189,-12),Database!$F:$AY,MATCH($N$1,Database!$F$1:$AY$1,),))))</f>
        <v>5.6380326310720347E-2</v>
      </c>
      <c r="O189" s="13">
        <f>((((VLOOKUP(B189,Database!$F:$AY,MATCH($O$1,Database!$F$1:$AY$1,),))))-(((VLOOKUP(EDATE(B189,-12),Database!$F:$AY,MATCH($O$1,Database!$F$1:$AY$1,),)))))/(((VLOOKUP(EDATE(B189,-12),Database!$F:$AY,MATCH($O$1,Database!$F$1:$AY$1,),))))</f>
        <v>6.2854751401533217E-3</v>
      </c>
      <c r="P189" s="13">
        <f>((((VLOOKUP(B189,Database!$F:$AY,MATCH($P$1,Database!$F$1:$AY$1,),))))-(((VLOOKUP(EDATE(B189,-12),Database!$F:$AY,MATCH($P$1,Database!$F$1:$AY$1,),)))))/(((VLOOKUP(EDATE(B189,-12),Database!$F:$AY,MATCH($P$1,Database!$F$1:$AY$1,),))))</f>
        <v>8.1087003723331413E-2</v>
      </c>
      <c r="Q189" s="13">
        <f>((((VLOOKUP(B189,Database!$F:$AY,MATCH($Q$1,Database!$F$1:$AY$1,),))))-(((VLOOKUP(EDATE(B189,-12),Database!$F:$AY,MATCH($Q$1,Database!$F$1:$AY$1,),)))))/(((VLOOKUP(EDATE(B189,-12),Database!$F:$AY,MATCH($Q$1,Database!$F$1:$AY$1,),))))</f>
        <v>1.745629301730162E-2</v>
      </c>
      <c r="R189" s="13">
        <f>((((VLOOKUP(B189,Database!$F:$AY,MATCH($R$1,Database!$F$1:$AY$1,),))))-(((VLOOKUP(EDATE(B189,-12),Database!$F:$AY,MATCH($R$1,Database!$F$1:$AY$1,),)))))/(((VLOOKUP(EDATE(B189,-12),Database!$F:$AY,MATCH($R$1,Database!$F$1:$AY$1,),))))</f>
        <v>1.1165140114438935E-2</v>
      </c>
      <c r="S189" s="13">
        <f>((((VLOOKUP(B189,Database!$F:$AY,MATCH($S$1,Database!$F$1:$AY$1,),))))-(((VLOOKUP(EDATE(B189,-12),Database!$F:$AY,MATCH($S$1,Database!$F$1:$AY$1,),)))))/(((VLOOKUP(EDATE(B189,-12),Database!$F:$AY,MATCH($S$1,Database!$F$1:$AY$1,),))))</f>
        <v>0.16310460063428281</v>
      </c>
      <c r="T189" s="13">
        <f>((((VLOOKUP(B189,Database!$F:$AY,MATCH($T$1,Database!$F$1:$AY$1,),))))-(((VLOOKUP(EDATE(B189,-12),Database!$F:$AY,MATCH($T$1,Database!$F$1:$AY$1,),)))))/(((VLOOKUP(EDATE(B189,-12),Database!$F:$AY,MATCH($T$1,Database!$F$1:$AY$1,),))))</f>
        <v>0.10609484175995698</v>
      </c>
      <c r="U189" s="13">
        <f>((((VLOOKUP(B189,Database!$F:$AY,MATCH($U$1,Database!$F$1:$AY$1,),))))-(((VLOOKUP(EDATE(B189,-12),Database!$F:$AY,MATCH($U$1,Database!$F$1:$AY$1,),)))))/(((VLOOKUP(EDATE(B189,-12),Database!$F:$AY,MATCH($U$1,Database!$F$1:$AY$1,),))))</f>
        <v>2.8653198233459326E-2</v>
      </c>
      <c r="V189" s="13">
        <f>((((VLOOKUP(B189,Database!$F:$AY,MATCH($V$1,Database!$F$1:$AY$1,),))))-(((VLOOKUP(EDATE(B189,-12),Database!$F:$AY,MATCH($V$1,Database!$F$1:$AY$1,),)))))/(((VLOOKUP(EDATE(B189,-12),Database!$F:$AY,MATCH($V$1,Database!$F$1:$AY$1,),))))</f>
        <v>0.12244897959183673</v>
      </c>
    </row>
    <row r="190" spans="1:22" s="85" customFormat="1" x14ac:dyDescent="0.2">
      <c r="A190" s="44"/>
      <c r="B190" s="91">
        <v>37926</v>
      </c>
      <c r="C190" s="13">
        <f>((((VLOOKUP(B190,Database!$F:$AY,MATCH($C$1,Database!$F$1:$AY$1,),))))-(((VLOOKUP(EDATE(B190,-12),Database!$F:$AY,MATCH($C$1,Database!$F$1:$AY$1,),)))))/(((VLOOKUP(EDATE(B190,-12),Database!$F:$AY,MATCH($C$1,Database!$F$1:$AY$1,),))))</f>
        <v>1.4582715108149456E-2</v>
      </c>
      <c r="D190" s="13">
        <f>((((VLOOKUP(B190,Database!$F:$AY,MATCH($D$1,Database!$F$1:$AY$1,),))))-(((VLOOKUP(EDATE(B190,-12),Database!$F:$AY,MATCH($D$1,Database!$F$1:$AY$1,),)))))/(((VLOOKUP(EDATE(B190,-12),Database!$F:$AY,MATCH($D$1,Database!$F$1:$AY$1,),))))</f>
        <v>6.2565169879192691E-3</v>
      </c>
      <c r="E190" s="13">
        <f>((((VLOOKUP(B190,Database!$F:$AY,MATCH($E$1,Database!$F$1:$AY$1,),))))-(((VLOOKUP(EDATE(B190,-12),Database!$F:$AY,MATCH($E$1,Database!$F$1:$AY$1,),)))))/(((VLOOKUP(EDATE(B190,-12),Database!$F:$AY,MATCH($E$1,Database!$F$1:$AY$1,),))))</f>
        <v>4.5205819366064166E-2</v>
      </c>
      <c r="F190" s="13">
        <f>((((VLOOKUP(B190,Database!$F:$AY,MATCH($F$1,Database!$F$1:$AY$1,),))))-(((VLOOKUP(EDATE(B190,-12),Database!$F:$AY,MATCH($F$1,Database!$F$1:$AY$1,),)))))/(((VLOOKUP(EDATE(B190,-12),Database!$F:$AY,MATCH($F$1,Database!$F$1:$AY$1,),))))</f>
        <v>7.4074074074073166E-3</v>
      </c>
      <c r="G190" s="13">
        <f>((((VLOOKUP(B190,Database!$F:$AY,MATCH($G$1,Database!$F$1:$AY$1,),))))-(((VLOOKUP(EDATE(B190,-12),Database!$F:$AY,MATCH($G$1,Database!$F$1:$AY$1,),)))))/(((VLOOKUP(EDATE(B190,-12),Database!$F:$AY,MATCH($G$1,Database!$F$1:$AY$1,),))))</f>
        <v>-1.4956557584114552E-2</v>
      </c>
      <c r="H190" s="13">
        <f>((((VLOOKUP(B190,Database!$F:$AY,MATCH($H$1,Database!$F$1:$AY$1,),))))-(((VLOOKUP(EDATE(B190,-12),Database!$F:$AY,MATCH($H$1,Database!$F$1:$AY$1,),)))))/(((VLOOKUP(EDATE(B190,-12),Database!$F:$AY,MATCH($H$1,Database!$F$1:$AY$1,),))))</f>
        <v>1.0732025431357692E-2</v>
      </c>
      <c r="I190" s="13">
        <f>((((VLOOKUP(B190,Database!$F:$AY,MATCH($I$1,Database!$F$1:$AY$1,),))))-(((VLOOKUP(EDATE(B190,-12),Database!$F:$AY,MATCH($I$1,Database!$F$1:$AY$1,),)))))/(((VLOOKUP(EDATE(B190,-12),Database!$F:$AY,MATCH($I$1,Database!$F$1:$AY$1,),))))</f>
        <v>-7.1997990232787563E-3</v>
      </c>
      <c r="J190" s="13">
        <f>((((VLOOKUP(B190,Database!$F:$AY,MATCH($J$1,Database!$F$1:$AY$1,),))))-(((VLOOKUP(EDATE(B190,-12),Database!$F:$AY,MATCH($J$1,Database!$F$1:$AY$1,),)))))/(((VLOOKUP(EDATE(B190,-12),Database!$F:$AY,MATCH($J$1,Database!$F$1:$AY$1,),))))</f>
        <v>7.5161114490301315E-3</v>
      </c>
      <c r="K190" s="13">
        <f>((((VLOOKUP(B190,Database!$F:$AY,MATCH($K$1,Database!$F$1:$AY$1,),))))-(((VLOOKUP(EDATE(B190,-12),Database!$F:$AY,MATCH($K$1,Database!$F$1:$AY$1,),)))))/(((VLOOKUP(EDATE(B190,-12),Database!$F:$AY,MATCH($K$1,Database!$F$1:$AY$1,),))))</f>
        <v>8.8757396449703294E-3</v>
      </c>
      <c r="L190" s="13">
        <f>((((VLOOKUP(B190,Database!$F:$AY,MATCH($L$1,Database!$F$1:$AY$1,),))))-(((VLOOKUP(EDATE(B190,-12),Database!$F:$AY,MATCH($L$1,Database!$F$1:$AY$1,),)))))/(((VLOOKUP(EDATE(B190,-12),Database!$F:$AY,MATCH($L$1,Database!$F$1:$AY$1,),))))</f>
        <v>1.6384802007100834E-2</v>
      </c>
      <c r="M190" s="13">
        <f>((((VLOOKUP(B190,Database!$F:$AY,MATCH($M$1,Database!$F$1:$AY$1,),))))-(((VLOOKUP(EDATE(B190,-12),Database!$F:$AY,MATCH($M$1,Database!$F$1:$AY$1,),)))))/(((VLOOKUP(EDATE(B190,-12),Database!$F:$AY,MATCH($M$1,Database!$F$1:$AY$1,),))))</f>
        <v>0.10103896781709479</v>
      </c>
      <c r="N190" s="13">
        <f>((((VLOOKUP(B190,Database!$F:$AY,MATCH($N$1,Database!$F$1:$AY$1,),))))-(((VLOOKUP(EDATE(B190,-12),Database!$F:$AY,MATCH($N$1,Database!$F$1:$AY$1,),)))))/(((VLOOKUP(EDATE(B190,-12),Database!$F:$AY,MATCH($N$1,Database!$F$1:$AY$1,),))))</f>
        <v>8.9432614632144317E-2</v>
      </c>
      <c r="O190" s="13">
        <f>((((VLOOKUP(B190,Database!$F:$AY,MATCH($O$1,Database!$F$1:$AY$1,),))))-(((VLOOKUP(EDATE(B190,-12),Database!$F:$AY,MATCH($O$1,Database!$F$1:$AY$1,),)))))/(((VLOOKUP(EDATE(B190,-12),Database!$F:$AY,MATCH($O$1,Database!$F$1:$AY$1,),))))</f>
        <v>1.3496021002508973E-2</v>
      </c>
      <c r="P190" s="13">
        <f>((((VLOOKUP(B190,Database!$F:$AY,MATCH($P$1,Database!$F$1:$AY$1,),))))-(((VLOOKUP(EDATE(B190,-12),Database!$F:$AY,MATCH($P$1,Database!$F$1:$AY$1,),)))))/(((VLOOKUP(EDATE(B190,-12),Database!$F:$AY,MATCH($P$1,Database!$F$1:$AY$1,),))))</f>
        <v>6.7235858352603969E-2</v>
      </c>
      <c r="Q190" s="13">
        <f>((((VLOOKUP(B190,Database!$F:$AY,MATCH($Q$1,Database!$F$1:$AY$1,),))))-(((VLOOKUP(EDATE(B190,-12),Database!$F:$AY,MATCH($Q$1,Database!$F$1:$AY$1,),)))))/(((VLOOKUP(EDATE(B190,-12),Database!$F:$AY,MATCH($Q$1,Database!$F$1:$AY$1,),))))</f>
        <v>2.8642563242138153E-2</v>
      </c>
      <c r="R190" s="13">
        <f>((((VLOOKUP(B190,Database!$F:$AY,MATCH($R$1,Database!$F$1:$AY$1,),))))-(((VLOOKUP(EDATE(B190,-12),Database!$F:$AY,MATCH($R$1,Database!$F$1:$AY$1,),)))))/(((VLOOKUP(EDATE(B190,-12),Database!$F:$AY,MATCH($R$1,Database!$F$1:$AY$1,),))))</f>
        <v>-1.0453294709933808E-2</v>
      </c>
      <c r="S190" s="13">
        <f>((((VLOOKUP(B190,Database!$F:$AY,MATCH($S$1,Database!$F$1:$AY$1,),))))-(((VLOOKUP(EDATE(B190,-12),Database!$F:$AY,MATCH($S$1,Database!$F$1:$AY$1,),)))))/(((VLOOKUP(EDATE(B190,-12),Database!$F:$AY,MATCH($S$1,Database!$F$1:$AY$1,),))))</f>
        <v>0.14254137254139668</v>
      </c>
      <c r="T190" s="13">
        <f>((((VLOOKUP(B190,Database!$F:$AY,MATCH($T$1,Database!$F$1:$AY$1,),))))-(((VLOOKUP(EDATE(B190,-12),Database!$F:$AY,MATCH($T$1,Database!$F$1:$AY$1,),)))))/(((VLOOKUP(EDATE(B190,-12),Database!$F:$AY,MATCH($T$1,Database!$F$1:$AY$1,),))))</f>
        <v>0.12442371358539275</v>
      </c>
      <c r="U190" s="13">
        <f>((((VLOOKUP(B190,Database!$F:$AY,MATCH($U$1,Database!$F$1:$AY$1,),))))-(((VLOOKUP(EDATE(B190,-12),Database!$F:$AY,MATCH($U$1,Database!$F$1:$AY$1,),)))))/(((VLOOKUP(EDATE(B190,-12),Database!$F:$AY,MATCH($U$1,Database!$F$1:$AY$1,),))))</f>
        <v>2.6798402780265941E-2</v>
      </c>
      <c r="V190" s="13">
        <f>((((VLOOKUP(B190,Database!$F:$AY,MATCH($V$1,Database!$F$1:$AY$1,),))))-(((VLOOKUP(EDATE(B190,-12),Database!$F:$AY,MATCH($V$1,Database!$F$1:$AY$1,),)))))/(((VLOOKUP(EDATE(B190,-12),Database!$F:$AY,MATCH($V$1,Database!$F$1:$AY$1,),))))</f>
        <v>9.2702169625246453E-2</v>
      </c>
    </row>
    <row r="191" spans="1:22" s="85" customFormat="1" x14ac:dyDescent="0.2">
      <c r="A191" s="44"/>
      <c r="B191" s="91">
        <v>37956</v>
      </c>
      <c r="C191" s="13">
        <f>((((VLOOKUP(B191,Database!$F:$AY,MATCH($C$1,Database!$F$1:$AY$1,),))))-(((VLOOKUP(EDATE(B191,-12),Database!$F:$AY,MATCH($C$1,Database!$F$1:$AY$1,),)))))/(((VLOOKUP(EDATE(B191,-12),Database!$F:$AY,MATCH($C$1,Database!$F$1:$AY$1,),))))</f>
        <v>1.8858293658527533E-2</v>
      </c>
      <c r="D191" s="13">
        <f>((((VLOOKUP(B191,Database!$F:$AY,MATCH($D$1,Database!$F$1:$AY$1,),))))-(((VLOOKUP(EDATE(B191,-12),Database!$F:$AY,MATCH($D$1,Database!$F$1:$AY$1,),)))))/(((VLOOKUP(EDATE(B191,-12),Database!$F:$AY,MATCH($D$1,Database!$F$1:$AY$1,),))))</f>
        <v>2.5423727915679088E-2</v>
      </c>
      <c r="E191" s="13">
        <f>((((VLOOKUP(B191,Database!$F:$AY,MATCH($E$1,Database!$F$1:$AY$1,),))))-(((VLOOKUP(EDATE(B191,-12),Database!$F:$AY,MATCH($E$1,Database!$F$1:$AY$1,),)))))/(((VLOOKUP(EDATE(B191,-12),Database!$F:$AY,MATCH($E$1,Database!$F$1:$AY$1,),))))</f>
        <v>4.3061050623794207E-2</v>
      </c>
      <c r="F191" s="13">
        <f>((((VLOOKUP(B191,Database!$F:$AY,MATCH($F$1,Database!$F$1:$AY$1,),))))-(((VLOOKUP(EDATE(B191,-12),Database!$F:$AY,MATCH($F$1,Database!$F$1:$AY$1,),)))))/(((VLOOKUP(EDATE(B191,-12),Database!$F:$AY,MATCH($F$1,Database!$F$1:$AY$1,),))))</f>
        <v>3.0150626867539474E-2</v>
      </c>
      <c r="G191" s="13">
        <f>((((VLOOKUP(B191,Database!$F:$AY,MATCH($G$1,Database!$F$1:$AY$1,),))))-(((VLOOKUP(EDATE(B191,-12),Database!$F:$AY,MATCH($G$1,Database!$F$1:$AY$1,),)))))/(((VLOOKUP(EDATE(B191,-12),Database!$F:$AY,MATCH($G$1,Database!$F$1:$AY$1,),))))</f>
        <v>1.4947557428982834E-2</v>
      </c>
      <c r="H191" s="13">
        <f>((((VLOOKUP(B191,Database!$F:$AY,MATCH($H$1,Database!$F$1:$AY$1,),))))-(((VLOOKUP(EDATE(B191,-12),Database!$F:$AY,MATCH($H$1,Database!$F$1:$AY$1,),)))))/(((VLOOKUP(EDATE(B191,-12),Database!$F:$AY,MATCH($H$1,Database!$F$1:$AY$1,),))))</f>
        <v>1.4590846359034302E-2</v>
      </c>
      <c r="I191" s="13">
        <f>((((VLOOKUP(B191,Database!$F:$AY,MATCH($I$1,Database!$F$1:$AY$1,),))))-(((VLOOKUP(EDATE(B191,-12),Database!$F:$AY,MATCH($I$1,Database!$F$1:$AY$1,),)))))/(((VLOOKUP(EDATE(B191,-12),Database!$F:$AY,MATCH($I$1,Database!$F$1:$AY$1,),))))</f>
        <v>4.0423737788999404E-3</v>
      </c>
      <c r="J191" s="13">
        <f>((((VLOOKUP(B191,Database!$F:$AY,MATCH($J$1,Database!$F$1:$AY$1,),))))-(((VLOOKUP(EDATE(B191,-12),Database!$F:$AY,MATCH($J$1,Database!$F$1:$AY$1,),)))))/(((VLOOKUP(EDATE(B191,-12),Database!$F:$AY,MATCH($J$1,Database!$F$1:$AY$1,),))))</f>
        <v>9.7864688804166333E-3</v>
      </c>
      <c r="K191" s="13">
        <f>((((VLOOKUP(B191,Database!$F:$AY,MATCH($K$1,Database!$F$1:$AY$1,),))))-(((VLOOKUP(EDATE(B191,-12),Database!$F:$AY,MATCH($K$1,Database!$F$1:$AY$1,),)))))/(((VLOOKUP(EDATE(B191,-12),Database!$F:$AY,MATCH($K$1,Database!$F$1:$AY$1,),))))</f>
        <v>2.8431372549019663E-2</v>
      </c>
      <c r="L191" s="13">
        <f>((((VLOOKUP(B191,Database!$F:$AY,MATCH($L$1,Database!$F$1:$AY$1,),))))-(((VLOOKUP(EDATE(B191,-12),Database!$F:$AY,MATCH($L$1,Database!$F$1:$AY$1,),)))))/(((VLOOKUP(EDATE(B191,-12),Database!$F:$AY,MATCH($L$1,Database!$F$1:$AY$1,),))))</f>
        <v>2.8945585860896544E-2</v>
      </c>
      <c r="M191" s="13">
        <f>((((VLOOKUP(B191,Database!$F:$AY,MATCH($M$1,Database!$F$1:$AY$1,),))))-(((VLOOKUP(EDATE(B191,-12),Database!$F:$AY,MATCH($M$1,Database!$F$1:$AY$1,),)))))/(((VLOOKUP(EDATE(B191,-12),Database!$F:$AY,MATCH($M$1,Database!$F$1:$AY$1,),))))</f>
        <v>0.12798127231462314</v>
      </c>
      <c r="N191" s="13">
        <f>((((VLOOKUP(B191,Database!$F:$AY,MATCH($N$1,Database!$F$1:$AY$1,),))))-(((VLOOKUP(EDATE(B191,-12),Database!$F:$AY,MATCH($N$1,Database!$F$1:$AY$1,),)))))/(((VLOOKUP(EDATE(B191,-12),Database!$F:$AY,MATCH($N$1,Database!$F$1:$AY$1,),))))</f>
        <v>7.1464801870296593E-2</v>
      </c>
      <c r="O191" s="13">
        <f>((((VLOOKUP(B191,Database!$F:$AY,MATCH($O$1,Database!$F$1:$AY$1,),))))-(((VLOOKUP(EDATE(B191,-12),Database!$F:$AY,MATCH($O$1,Database!$F$1:$AY$1,),)))))/(((VLOOKUP(EDATE(B191,-12),Database!$F:$AY,MATCH($O$1,Database!$F$1:$AY$1,),))))</f>
        <v>2.6999536514536411E-2</v>
      </c>
      <c r="P191" s="13">
        <f>((((VLOOKUP(B191,Database!$F:$AY,MATCH($P$1,Database!$F$1:$AY$1,),))))-(((VLOOKUP(EDATE(B191,-12),Database!$F:$AY,MATCH($P$1,Database!$F$1:$AY$1,),)))))/(((VLOOKUP(EDATE(B191,-12),Database!$F:$AY,MATCH($P$1,Database!$F$1:$AY$1,),))))</f>
        <v>7.8653040177239258E-2</v>
      </c>
      <c r="Q191" s="13">
        <f>((((VLOOKUP(B191,Database!$F:$AY,MATCH($Q$1,Database!$F$1:$AY$1,),))))-(((VLOOKUP(EDATE(B191,-12),Database!$F:$AY,MATCH($Q$1,Database!$F$1:$AY$1,),)))))/(((VLOOKUP(EDATE(B191,-12),Database!$F:$AY,MATCH($Q$1,Database!$F$1:$AY$1,),))))</f>
        <v>2.2641471927021969E-2</v>
      </c>
      <c r="R191" s="13">
        <f>((((VLOOKUP(B191,Database!$F:$AY,MATCH($R$1,Database!$F$1:$AY$1,),))))-(((VLOOKUP(EDATE(B191,-12),Database!$F:$AY,MATCH($R$1,Database!$F$1:$AY$1,),)))))/(((VLOOKUP(EDATE(B191,-12),Database!$F:$AY,MATCH($R$1,Database!$F$1:$AY$1,),))))</f>
        <v>2.5820041499863677E-2</v>
      </c>
      <c r="S191" s="13">
        <f>((((VLOOKUP(B191,Database!$F:$AY,MATCH($S$1,Database!$F$1:$AY$1,),))))-(((VLOOKUP(EDATE(B191,-12),Database!$F:$AY,MATCH($S$1,Database!$F$1:$AY$1,),)))))/(((VLOOKUP(EDATE(B191,-12),Database!$F:$AY,MATCH($S$1,Database!$F$1:$AY$1,),))))</f>
        <v>0.18932031000213492</v>
      </c>
      <c r="T191" s="13">
        <f>((((VLOOKUP(B191,Database!$F:$AY,MATCH($T$1,Database!$F$1:$AY$1,),))))-(((VLOOKUP(EDATE(B191,-12),Database!$F:$AY,MATCH($T$1,Database!$F$1:$AY$1,),)))))/(((VLOOKUP(EDATE(B191,-12),Database!$F:$AY,MATCH($T$1,Database!$F$1:$AY$1,),))))</f>
        <v>8.0434740544701955E-2</v>
      </c>
      <c r="U191" s="13">
        <f>((((VLOOKUP(B191,Database!$F:$AY,MATCH($U$1,Database!$F$1:$AY$1,),))))-(((VLOOKUP(EDATE(B191,-12),Database!$F:$AY,MATCH($U$1,Database!$F$1:$AY$1,),)))))/(((VLOOKUP(EDATE(B191,-12),Database!$F:$AY,MATCH($U$1,Database!$F$1:$AY$1,),))))</f>
        <v>5.8238680962040851E-2</v>
      </c>
      <c r="V191" s="13">
        <f>((((VLOOKUP(B191,Database!$F:$AY,MATCH($V$1,Database!$F$1:$AY$1,),))))-(((VLOOKUP(EDATE(B191,-12),Database!$F:$AY,MATCH($V$1,Database!$F$1:$AY$1,),)))))/(((VLOOKUP(EDATE(B191,-12),Database!$F:$AY,MATCH($V$1,Database!$F$1:$AY$1,),))))</f>
        <v>0.12301587301587308</v>
      </c>
    </row>
    <row r="192" spans="1:22" s="85" customFormat="1" x14ac:dyDescent="0.2">
      <c r="A192" s="44"/>
      <c r="B192" s="91">
        <v>37987</v>
      </c>
      <c r="C192" s="13">
        <f>((((VLOOKUP(B192,Database!$F:$AY,MATCH($C$1,Database!$F$1:$AY$1,),))))-(((VLOOKUP(EDATE(B192,-12),Database!$F:$AY,MATCH($C$1,Database!$F$1:$AY$1,),)))))/(((VLOOKUP(EDATE(B192,-12),Database!$F:$AY,MATCH($C$1,Database!$F$1:$AY$1,),))))</f>
        <v>1.3735921986630123E-2</v>
      </c>
      <c r="D192" s="13">
        <f>((((VLOOKUP(B192,Database!$F:$AY,MATCH($D$1,Database!$F$1:$AY$1,),))))-(((VLOOKUP(EDATE(B192,-12),Database!$F:$AY,MATCH($D$1,Database!$F$1:$AY$1,),)))))/(((VLOOKUP(EDATE(B192,-12),Database!$F:$AY,MATCH($D$1,Database!$F$1:$AY$1,),))))</f>
        <v>7.2916319386565204E-3</v>
      </c>
      <c r="E192" s="13">
        <f>((((VLOOKUP(B192,Database!$F:$AY,MATCH($E$1,Database!$F$1:$AY$1,),))))-(((VLOOKUP(EDATE(B192,-12),Database!$F:$AY,MATCH($E$1,Database!$F$1:$AY$1,),)))))/(((VLOOKUP(EDATE(B192,-12),Database!$F:$AY,MATCH($E$1,Database!$F$1:$AY$1,),))))</f>
        <v>4.7059089795352116E-2</v>
      </c>
      <c r="F192" s="13">
        <f>((((VLOOKUP(B192,Database!$F:$AY,MATCH($F$1,Database!$F$1:$AY$1,),))))-(((VLOOKUP(EDATE(B192,-12),Database!$F:$AY,MATCH($F$1,Database!$F$1:$AY$1,),)))))/(((VLOOKUP(EDATE(B192,-12),Database!$F:$AY,MATCH($F$1,Database!$F$1:$AY$1,),))))</f>
        <v>1.3715857345207442E-2</v>
      </c>
      <c r="G192" s="13">
        <f>((((VLOOKUP(B192,Database!$F:$AY,MATCH($G$1,Database!$F$1:$AY$1,),))))-(((VLOOKUP(EDATE(B192,-12),Database!$F:$AY,MATCH($G$1,Database!$F$1:$AY$1,),)))))/(((VLOOKUP(EDATE(B192,-12),Database!$F:$AY,MATCH($G$1,Database!$F$1:$AY$1,),))))</f>
        <v>1.0068566940867254E-3</v>
      </c>
      <c r="H192" s="13">
        <f>((((VLOOKUP(B192,Database!$F:$AY,MATCH($H$1,Database!$F$1:$AY$1,),))))-(((VLOOKUP(EDATE(B192,-12),Database!$F:$AY,MATCH($H$1,Database!$F$1:$AY$1,),)))))/(((VLOOKUP(EDATE(B192,-12),Database!$F:$AY,MATCH($H$1,Database!$F$1:$AY$1,),))))</f>
        <v>1.4677456900167104E-2</v>
      </c>
      <c r="I192" s="13">
        <f>((((VLOOKUP(B192,Database!$F:$AY,MATCH($I$1,Database!$F$1:$AY$1,),))))-(((VLOOKUP(EDATE(B192,-12),Database!$F:$AY,MATCH($I$1,Database!$F$1:$AY$1,),)))))/(((VLOOKUP(EDATE(B192,-12),Database!$F:$AY,MATCH($I$1,Database!$F$1:$AY$1,),))))</f>
        <v>-7.1997990232787563E-3</v>
      </c>
      <c r="J192" s="13">
        <f>((((VLOOKUP(B192,Database!$F:$AY,MATCH($J$1,Database!$F$1:$AY$1,),))))-(((VLOOKUP(EDATE(B192,-12),Database!$F:$AY,MATCH($J$1,Database!$F$1:$AY$1,),)))))/(((VLOOKUP(EDATE(B192,-12),Database!$F:$AY,MATCH($J$1,Database!$F$1:$AY$1,),))))</f>
        <v>-2.3421265378290241E-4</v>
      </c>
      <c r="K192" s="13">
        <f>((((VLOOKUP(B192,Database!$F:$AY,MATCH($K$1,Database!$F$1:$AY$1,),))))-(((VLOOKUP(EDATE(B192,-12),Database!$F:$AY,MATCH($K$1,Database!$F$1:$AY$1,),)))))/(((VLOOKUP(EDATE(B192,-12),Database!$F:$AY,MATCH($K$1,Database!$F$1:$AY$1,),))))</f>
        <v>3.6168132942326521E-2</v>
      </c>
      <c r="L192" s="13">
        <f>((((VLOOKUP(B192,Database!$F:$AY,MATCH($L$1,Database!$F$1:$AY$1,),))))-(((VLOOKUP(EDATE(B192,-12),Database!$F:$AY,MATCH($L$1,Database!$F$1:$AY$1,),)))))/(((VLOOKUP(EDATE(B192,-12),Database!$F:$AY,MATCH($L$1,Database!$F$1:$AY$1,),))))</f>
        <v>3.6984364798384073E-2</v>
      </c>
      <c r="M192" s="13">
        <f>((((VLOOKUP(B192,Database!$F:$AY,MATCH($M$1,Database!$F$1:$AY$1,),))))-(((VLOOKUP(EDATE(B192,-12),Database!$F:$AY,MATCH($M$1,Database!$F$1:$AY$1,),)))))/(((VLOOKUP(EDATE(B192,-12),Database!$F:$AY,MATCH($M$1,Database!$F$1:$AY$1,),))))</f>
        <v>9.8197574910997204E-2</v>
      </c>
      <c r="N192" s="13">
        <f>((((VLOOKUP(B192,Database!$F:$AY,MATCH($N$1,Database!$F$1:$AY$1,),))))-(((VLOOKUP(EDATE(B192,-12),Database!$F:$AY,MATCH($N$1,Database!$F$1:$AY$1,),)))))/(((VLOOKUP(EDATE(B192,-12),Database!$F:$AY,MATCH($N$1,Database!$F$1:$AY$1,),))))</f>
        <v>8.1663544088025994E-2</v>
      </c>
      <c r="O192" s="13">
        <f>((((VLOOKUP(B192,Database!$F:$AY,MATCH($O$1,Database!$F$1:$AY$1,),))))-(((VLOOKUP(EDATE(B192,-12),Database!$F:$AY,MATCH($O$1,Database!$F$1:$AY$1,),)))))/(((VLOOKUP(EDATE(B192,-12),Database!$F:$AY,MATCH($O$1,Database!$F$1:$AY$1,),))))</f>
        <v>1.1657290769240309E-2</v>
      </c>
      <c r="P192" s="13">
        <f>((((VLOOKUP(B192,Database!$F:$AY,MATCH($P$1,Database!$F$1:$AY$1,),))))-(((VLOOKUP(EDATE(B192,-12),Database!$F:$AY,MATCH($P$1,Database!$F$1:$AY$1,),)))))/(((VLOOKUP(EDATE(B192,-12),Database!$F:$AY,MATCH($P$1,Database!$F$1:$AY$1,),))))</f>
        <v>0.10078227019944636</v>
      </c>
      <c r="Q192" s="13">
        <f>((((VLOOKUP(B192,Database!$F:$AY,MATCH($Q$1,Database!$F$1:$AY$1,),))))-(((VLOOKUP(EDATE(B192,-12),Database!$F:$AY,MATCH($Q$1,Database!$F$1:$AY$1,),)))))/(((VLOOKUP(EDATE(B192,-12),Database!$F:$AY,MATCH($Q$1,Database!$F$1:$AY$1,),))))</f>
        <v>3.6340813193344416E-2</v>
      </c>
      <c r="R192" s="13">
        <f>((((VLOOKUP(B192,Database!$F:$AY,MATCH($R$1,Database!$F$1:$AY$1,),))))-(((VLOOKUP(EDATE(B192,-12),Database!$F:$AY,MATCH($R$1,Database!$F$1:$AY$1,),)))))/(((VLOOKUP(EDATE(B192,-12),Database!$F:$AY,MATCH($R$1,Database!$F$1:$AY$1,),))))</f>
        <v>-9.1357322868105637E-3</v>
      </c>
      <c r="S192" s="13">
        <f>((((VLOOKUP(B192,Database!$F:$AY,MATCH($S$1,Database!$F$1:$AY$1,),))))-(((VLOOKUP(EDATE(B192,-12),Database!$F:$AY,MATCH($S$1,Database!$F$1:$AY$1,),)))))/(((VLOOKUP(EDATE(B192,-12),Database!$F:$AY,MATCH($S$1,Database!$F$1:$AY$1,),))))</f>
        <v>4.9217182535012352E-2</v>
      </c>
      <c r="T192" s="13">
        <f>((((VLOOKUP(B192,Database!$F:$AY,MATCH($T$1,Database!$F$1:$AY$1,),))))-(((VLOOKUP(EDATE(B192,-12),Database!$F:$AY,MATCH($T$1,Database!$F$1:$AY$1,),)))))/(((VLOOKUP(EDATE(B192,-12),Database!$F:$AY,MATCH($T$1,Database!$F$1:$AY$1,),))))</f>
        <v>6.7653204093533426E-2</v>
      </c>
      <c r="U192" s="13">
        <f>((((VLOOKUP(B192,Database!$F:$AY,MATCH($U$1,Database!$F$1:$AY$1,),))))-(((VLOOKUP(EDATE(B192,-12),Database!$F:$AY,MATCH($U$1,Database!$F$1:$AY$1,),)))))/(((VLOOKUP(EDATE(B192,-12),Database!$F:$AY,MATCH($U$1,Database!$F$1:$AY$1,),))))</f>
        <v>7.5144456872655391E-2</v>
      </c>
      <c r="V192" s="13">
        <f>((((VLOOKUP(B192,Database!$F:$AY,MATCH($V$1,Database!$F$1:$AY$1,),))))-(((VLOOKUP(EDATE(B192,-12),Database!$F:$AY,MATCH($V$1,Database!$F$1:$AY$1,),)))))/(((VLOOKUP(EDATE(B192,-12),Database!$F:$AY,MATCH($V$1,Database!$F$1:$AY$1,),))))</f>
        <v>0.17004048582995948</v>
      </c>
    </row>
    <row r="193" spans="1:22" s="85" customFormat="1" x14ac:dyDescent="0.2">
      <c r="A193" s="44"/>
      <c r="B193" s="91">
        <v>38018</v>
      </c>
      <c r="C193" s="13">
        <f>((((VLOOKUP(B193,Database!$F:$AY,MATCH($C$1,Database!$F$1:$AY$1,),))))-(((VLOOKUP(EDATE(B193,-12),Database!$F:$AY,MATCH($C$1,Database!$F$1:$AY$1,),)))))/(((VLOOKUP(EDATE(B193,-12),Database!$F:$AY,MATCH($C$1,Database!$F$1:$AY$1,),))))</f>
        <v>1.8429474926237945E-2</v>
      </c>
      <c r="D193" s="13">
        <f>((((VLOOKUP(B193,Database!$F:$AY,MATCH($D$1,Database!$F$1:$AY$1,),))))-(((VLOOKUP(EDATE(B193,-12),Database!$F:$AY,MATCH($D$1,Database!$F$1:$AY$1,),)))))/(((VLOOKUP(EDATE(B193,-12),Database!$F:$AY,MATCH($D$1,Database!$F$1:$AY$1,),))))</f>
        <v>9.3555090312866136E-3</v>
      </c>
      <c r="E193" s="13">
        <f>((((VLOOKUP(B193,Database!$F:$AY,MATCH($E$1,Database!$F$1:$AY$1,),))))-(((VLOOKUP(EDATE(B193,-12),Database!$F:$AY,MATCH($E$1,Database!$F$1:$AY$1,),)))))/(((VLOOKUP(EDATE(B193,-12),Database!$F:$AY,MATCH($E$1,Database!$F$1:$AY$1,),))))</f>
        <v>4.8335484432040818E-2</v>
      </c>
      <c r="F193" s="13">
        <f>((((VLOOKUP(B193,Database!$F:$AY,MATCH($F$1,Database!$F$1:$AY$1,),))))-(((VLOOKUP(EDATE(B193,-12),Database!$F:$AY,MATCH($F$1,Database!$F$1:$AY$1,),)))))/(((VLOOKUP(EDATE(B193,-12),Database!$F:$AY,MATCH($F$1,Database!$F$1:$AY$1,),))))</f>
        <v>1.8703305799448913E-2</v>
      </c>
      <c r="G193" s="13">
        <f>((((VLOOKUP(B193,Database!$F:$AY,MATCH($G$1,Database!$F$1:$AY$1,),))))-(((VLOOKUP(EDATE(B193,-12),Database!$F:$AY,MATCH($G$1,Database!$F$1:$AY$1,),)))))/(((VLOOKUP(EDATE(B193,-12),Database!$F:$AY,MATCH($G$1,Database!$F$1:$AY$1,),))))</f>
        <v>2.1772479404594796E-3</v>
      </c>
      <c r="H193" s="13">
        <f>((((VLOOKUP(B193,Database!$F:$AY,MATCH($H$1,Database!$F$1:$AY$1,),))))-(((VLOOKUP(EDATE(B193,-12),Database!$F:$AY,MATCH($H$1,Database!$F$1:$AY$1,),)))))/(((VLOOKUP(EDATE(B193,-12),Database!$F:$AY,MATCH($H$1,Database!$F$1:$AY$1,),))))</f>
        <v>4.8588900089952536E-3</v>
      </c>
      <c r="I193" s="13">
        <f>((((VLOOKUP(B193,Database!$F:$AY,MATCH($I$1,Database!$F$1:$AY$1,),))))-(((VLOOKUP(EDATE(B193,-12),Database!$F:$AY,MATCH($I$1,Database!$F$1:$AY$1,),)))))/(((VLOOKUP(EDATE(B193,-12),Database!$F:$AY,MATCH($I$1,Database!$F$1:$AY$1,),))))</f>
        <v>9.795917700902438E-3</v>
      </c>
      <c r="J193" s="13">
        <f>((((VLOOKUP(B193,Database!$F:$AY,MATCH($J$1,Database!$F$1:$AY$1,),))))-(((VLOOKUP(EDATE(B193,-12),Database!$F:$AY,MATCH($J$1,Database!$F$1:$AY$1,),)))))/(((VLOOKUP(EDATE(B193,-12),Database!$F:$AY,MATCH($J$1,Database!$F$1:$AY$1,),))))</f>
        <v>2.1260300978215101E-3</v>
      </c>
      <c r="K193" s="13">
        <f>((((VLOOKUP(B193,Database!$F:$AY,MATCH($K$1,Database!$F$1:$AY$1,),))))-(((VLOOKUP(EDATE(B193,-12),Database!$F:$AY,MATCH($K$1,Database!$F$1:$AY$1,),)))))/(((VLOOKUP(EDATE(B193,-12),Database!$F:$AY,MATCH($K$1,Database!$F$1:$AY$1,),))))</f>
        <v>6.406406406406398E-2</v>
      </c>
      <c r="L193" s="13">
        <f>((((VLOOKUP(B193,Database!$F:$AY,MATCH($L$1,Database!$F$1:$AY$1,),))))-(((VLOOKUP(EDATE(B193,-12),Database!$F:$AY,MATCH($L$1,Database!$F$1:$AY$1,),)))))/(((VLOOKUP(EDATE(B193,-12),Database!$F:$AY,MATCH($L$1,Database!$F$1:$AY$1,),))))</f>
        <v>2.7738157251011045E-2</v>
      </c>
      <c r="M193" s="13">
        <f>((((VLOOKUP(B193,Database!$F:$AY,MATCH($M$1,Database!$F$1:$AY$1,),))))-(((VLOOKUP(EDATE(B193,-12),Database!$F:$AY,MATCH($M$1,Database!$F$1:$AY$1,),)))))/(((VLOOKUP(EDATE(B193,-12),Database!$F:$AY,MATCH($M$1,Database!$F$1:$AY$1,),))))</f>
        <v>7.7481290432986377E-2</v>
      </c>
      <c r="N193" s="13">
        <f>((((VLOOKUP(B193,Database!$F:$AY,MATCH($N$1,Database!$F$1:$AY$1,),))))-(((VLOOKUP(EDATE(B193,-12),Database!$F:$AY,MATCH($N$1,Database!$F$1:$AY$1,),)))))/(((VLOOKUP(EDATE(B193,-12),Database!$F:$AY,MATCH($N$1,Database!$F$1:$AY$1,),))))</f>
        <v>5.1192664872390277E-2</v>
      </c>
      <c r="O193" s="13">
        <f>((((VLOOKUP(B193,Database!$F:$AY,MATCH($O$1,Database!$F$1:$AY$1,),))))-(((VLOOKUP(EDATE(B193,-12),Database!$F:$AY,MATCH($O$1,Database!$F$1:$AY$1,),)))))/(((VLOOKUP(EDATE(B193,-12),Database!$F:$AY,MATCH($O$1,Database!$F$1:$AY$1,),))))</f>
        <v>6.5659942208882603E-3</v>
      </c>
      <c r="P193" s="13">
        <f>((((VLOOKUP(B193,Database!$F:$AY,MATCH($P$1,Database!$F$1:$AY$1,),))))-(((VLOOKUP(EDATE(B193,-12),Database!$F:$AY,MATCH($P$1,Database!$F$1:$AY$1,),)))))/(((VLOOKUP(EDATE(B193,-12),Database!$F:$AY,MATCH($P$1,Database!$F$1:$AY$1,),))))</f>
        <v>0.1438361672836117</v>
      </c>
      <c r="Q193" s="13">
        <f>((((VLOOKUP(B193,Database!$F:$AY,MATCH($Q$1,Database!$F$1:$AY$1,),))))-(((VLOOKUP(EDATE(B193,-12),Database!$F:$AY,MATCH($Q$1,Database!$F$1:$AY$1,),)))))/(((VLOOKUP(EDATE(B193,-12),Database!$F:$AY,MATCH($Q$1,Database!$F$1:$AY$1,),))))</f>
        <v>5.5276367575156311E-2</v>
      </c>
      <c r="R193" s="13">
        <f>((((VLOOKUP(B193,Database!$F:$AY,MATCH($R$1,Database!$F$1:$AY$1,),))))-(((VLOOKUP(EDATE(B193,-12),Database!$F:$AY,MATCH($R$1,Database!$F$1:$AY$1,),)))))/(((VLOOKUP(EDATE(B193,-12),Database!$F:$AY,MATCH($R$1,Database!$F$1:$AY$1,),))))</f>
        <v>2.7181887908013038E-2</v>
      </c>
      <c r="S193" s="13">
        <f>((((VLOOKUP(B193,Database!$F:$AY,MATCH($S$1,Database!$F$1:$AY$1,),))))-(((VLOOKUP(EDATE(B193,-12),Database!$F:$AY,MATCH($S$1,Database!$F$1:$AY$1,),)))))/(((VLOOKUP(EDATE(B193,-12),Database!$F:$AY,MATCH($S$1,Database!$F$1:$AY$1,),))))</f>
        <v>2.0430172924997839E-2</v>
      </c>
      <c r="T193" s="13">
        <f>((((VLOOKUP(B193,Database!$F:$AY,MATCH($T$1,Database!$F$1:$AY$1,),))))-(((VLOOKUP(EDATE(B193,-12),Database!$F:$AY,MATCH($T$1,Database!$F$1:$AY$1,),)))))/(((VLOOKUP(EDATE(B193,-12),Database!$F:$AY,MATCH($T$1,Database!$F$1:$AY$1,),))))</f>
        <v>0.10652169517592451</v>
      </c>
      <c r="U193" s="13">
        <f>((((VLOOKUP(B193,Database!$F:$AY,MATCH($U$1,Database!$F$1:$AY$1,),))))-(((VLOOKUP(EDATE(B193,-12),Database!$F:$AY,MATCH($U$1,Database!$F$1:$AY$1,),)))))/(((VLOOKUP(EDATE(B193,-12),Database!$F:$AY,MATCH($U$1,Database!$F$1:$AY$1,),))))</f>
        <v>0.11644837458353668</v>
      </c>
      <c r="V193" s="13">
        <f>((((VLOOKUP(B193,Database!$F:$AY,MATCH($V$1,Database!$F$1:$AY$1,),))))-(((VLOOKUP(EDATE(B193,-12),Database!$F:$AY,MATCH($V$1,Database!$F$1:$AY$1,),)))))/(((VLOOKUP(EDATE(B193,-12),Database!$F:$AY,MATCH($V$1,Database!$F$1:$AY$1,),))))</f>
        <v>0.16901408450704222</v>
      </c>
    </row>
    <row r="194" spans="1:22" s="85" customFormat="1" x14ac:dyDescent="0.2">
      <c r="A194" s="44"/>
      <c r="B194" s="91">
        <v>38047</v>
      </c>
      <c r="C194" s="13">
        <f>((((VLOOKUP(B194,Database!$F:$AY,MATCH($C$1,Database!$F$1:$AY$1,),))))-(((VLOOKUP(EDATE(B194,-12),Database!$F:$AY,MATCH($C$1,Database!$F$1:$AY$1,),)))))/(((VLOOKUP(EDATE(B194,-12),Database!$F:$AY,MATCH($C$1,Database!$F$1:$AY$1,),))))</f>
        <v>1.5714374093468719E-2</v>
      </c>
      <c r="D194" s="13">
        <f>((((VLOOKUP(B194,Database!$F:$AY,MATCH($D$1,Database!$F$1:$AY$1,),))))-(((VLOOKUP(EDATE(B194,-12),Database!$F:$AY,MATCH($D$1,Database!$F$1:$AY$1,),)))))/(((VLOOKUP(EDATE(B194,-12),Database!$F:$AY,MATCH($D$1,Database!$F$1:$AY$1,),))))</f>
        <v>1.5723270440251486E-2</v>
      </c>
      <c r="E194" s="13">
        <f>((((VLOOKUP(B194,Database!$F:$AY,MATCH($E$1,Database!$F$1:$AY$1,),))))-(((VLOOKUP(EDATE(B194,-12),Database!$F:$AY,MATCH($E$1,Database!$F$1:$AY$1,),)))))/(((VLOOKUP(EDATE(B194,-12),Database!$F:$AY,MATCH($E$1,Database!$F$1:$AY$1,),))))</f>
        <v>3.5181178113848709E-2</v>
      </c>
      <c r="F194" s="13">
        <f>((((VLOOKUP(B194,Database!$F:$AY,MATCH($F$1,Database!$F$1:$AY$1,),))))-(((VLOOKUP(EDATE(B194,-12),Database!$F:$AY,MATCH($F$1,Database!$F$1:$AY$1,),)))))/(((VLOOKUP(EDATE(B194,-12),Database!$F:$AY,MATCH($F$1,Database!$F$1:$AY$1,),))))</f>
        <v>1.5000125635474891E-2</v>
      </c>
      <c r="G194" s="13">
        <f>((((VLOOKUP(B194,Database!$F:$AY,MATCH($G$1,Database!$F$1:$AY$1,),))))-(((VLOOKUP(EDATE(B194,-12),Database!$F:$AY,MATCH($G$1,Database!$F$1:$AY$1,),)))))/(((VLOOKUP(EDATE(B194,-12),Database!$F:$AY,MATCH($G$1,Database!$F$1:$AY$1,),))))</f>
        <v>6.6745359140318837E-3</v>
      </c>
      <c r="H194" s="13">
        <f>((((VLOOKUP(B194,Database!$F:$AY,MATCH($H$1,Database!$F$1:$AY$1,),))))-(((VLOOKUP(EDATE(B194,-12),Database!$F:$AY,MATCH($H$1,Database!$F$1:$AY$1,),)))))/(((VLOOKUP(EDATE(B194,-12),Database!$F:$AY,MATCH($H$1,Database!$F$1:$AY$1,),))))</f>
        <v>2.726409909647989E-2</v>
      </c>
      <c r="I194" s="13">
        <f>((((VLOOKUP(B194,Database!$F:$AY,MATCH($I$1,Database!$F$1:$AY$1,),))))-(((VLOOKUP(EDATE(B194,-12),Database!$F:$AY,MATCH($I$1,Database!$F$1:$AY$1,),)))))/(((VLOOKUP(EDATE(B194,-12),Database!$F:$AY,MATCH($I$1,Database!$F$1:$AY$1,),))))</f>
        <v>-8.1564697878616053E-3</v>
      </c>
      <c r="J194" s="13">
        <f>((((VLOOKUP(B194,Database!$F:$AY,MATCH($J$1,Database!$F$1:$AY$1,),))))-(((VLOOKUP(EDATE(B194,-12),Database!$F:$AY,MATCH($J$1,Database!$F$1:$AY$1,),)))))/(((VLOOKUP(EDATE(B194,-12),Database!$F:$AY,MATCH($J$1,Database!$F$1:$AY$1,),))))</f>
        <v>2.199304809065513E-2</v>
      </c>
      <c r="K194" s="13">
        <f>((((VLOOKUP(B194,Database!$F:$AY,MATCH($K$1,Database!$F$1:$AY$1,),))))-(((VLOOKUP(EDATE(B194,-12),Database!$F:$AY,MATCH($K$1,Database!$F$1:$AY$1,),)))))/(((VLOOKUP(EDATE(B194,-12),Database!$F:$AY,MATCH($K$1,Database!$F$1:$AY$1,),))))</f>
        <v>4.5954045954046042E-2</v>
      </c>
      <c r="L194" s="13">
        <f>((((VLOOKUP(B194,Database!$F:$AY,MATCH($L$1,Database!$F$1:$AY$1,),))))-(((VLOOKUP(EDATE(B194,-12),Database!$F:$AY,MATCH($L$1,Database!$F$1:$AY$1,),)))))/(((VLOOKUP(EDATE(B194,-12),Database!$F:$AY,MATCH($L$1,Database!$F$1:$AY$1,),))))</f>
        <v>5.0872483236324387E-2</v>
      </c>
      <c r="M194" s="13">
        <f>((((VLOOKUP(B194,Database!$F:$AY,MATCH($M$1,Database!$F$1:$AY$1,),))))-(((VLOOKUP(EDATE(B194,-12),Database!$F:$AY,MATCH($M$1,Database!$F$1:$AY$1,),)))))/(((VLOOKUP(EDATE(B194,-12),Database!$F:$AY,MATCH($M$1,Database!$F$1:$AY$1,),))))</f>
        <v>6.6078495171042625E-2</v>
      </c>
      <c r="N194" s="13">
        <f>((((VLOOKUP(B194,Database!$F:$AY,MATCH($N$1,Database!$F$1:$AY$1,),))))-(((VLOOKUP(EDATE(B194,-12),Database!$F:$AY,MATCH($N$1,Database!$F$1:$AY$1,),)))))/(((VLOOKUP(EDATE(B194,-12),Database!$F:$AY,MATCH($N$1,Database!$F$1:$AY$1,),))))</f>
        <v>7.2564026868065429E-2</v>
      </c>
      <c r="O194" s="13">
        <f>((((VLOOKUP(B194,Database!$F:$AY,MATCH($O$1,Database!$F$1:$AY$1,),))))-(((VLOOKUP(EDATE(B194,-12),Database!$F:$AY,MATCH($O$1,Database!$F$1:$AY$1,),)))))/(((VLOOKUP(EDATE(B194,-12),Database!$F:$AY,MATCH($O$1,Database!$F$1:$AY$1,),))))</f>
        <v>2.2648102449901251E-2</v>
      </c>
      <c r="P194" s="13">
        <f>((((VLOOKUP(B194,Database!$F:$AY,MATCH($P$1,Database!$F$1:$AY$1,),))))-(((VLOOKUP(EDATE(B194,-12),Database!$F:$AY,MATCH($P$1,Database!$F$1:$AY$1,),)))))/(((VLOOKUP(EDATE(B194,-12),Database!$F:$AY,MATCH($P$1,Database!$F$1:$AY$1,),))))</f>
        <v>0.10750271788139613</v>
      </c>
      <c r="Q194" s="13">
        <f>((((VLOOKUP(B194,Database!$F:$AY,MATCH($Q$1,Database!$F$1:$AY$1,),))))-(((VLOOKUP(EDATE(B194,-12),Database!$F:$AY,MATCH($Q$1,Database!$F$1:$AY$1,),)))))/(((VLOOKUP(EDATE(B194,-12),Database!$F:$AY,MATCH($Q$1,Database!$F$1:$AY$1,),))))</f>
        <v>5.8897282044750789E-2</v>
      </c>
      <c r="R194" s="13">
        <f>((((VLOOKUP(B194,Database!$F:$AY,MATCH($R$1,Database!$F$1:$AY$1,),))))-(((VLOOKUP(EDATE(B194,-12),Database!$F:$AY,MATCH($R$1,Database!$F$1:$AY$1,),)))))/(((VLOOKUP(EDATE(B194,-12),Database!$F:$AY,MATCH($R$1,Database!$F$1:$AY$1,),))))</f>
        <v>4.7008479966684787E-2</v>
      </c>
      <c r="S194" s="13">
        <f>((((VLOOKUP(B194,Database!$F:$AY,MATCH($S$1,Database!$F$1:$AY$1,),))))-(((VLOOKUP(EDATE(B194,-12),Database!$F:$AY,MATCH($S$1,Database!$F$1:$AY$1,),)))))/(((VLOOKUP(EDATE(B194,-12),Database!$F:$AY,MATCH($S$1,Database!$F$1:$AY$1,),))))</f>
        <v>5.9782733002834543E-2</v>
      </c>
      <c r="T194" s="13">
        <f>((((VLOOKUP(B194,Database!$F:$AY,MATCH($T$1,Database!$F$1:$AY$1,),))))-(((VLOOKUP(EDATE(B194,-12),Database!$F:$AY,MATCH($T$1,Database!$F$1:$AY$1,),)))))/(((VLOOKUP(EDATE(B194,-12),Database!$F:$AY,MATCH($T$1,Database!$F$1:$AY$1,),))))</f>
        <v>9.6359632526135483E-2</v>
      </c>
      <c r="U194" s="13">
        <f>((((VLOOKUP(B194,Database!$F:$AY,MATCH($U$1,Database!$F$1:$AY$1,),))))-(((VLOOKUP(EDATE(B194,-12),Database!$F:$AY,MATCH($U$1,Database!$F$1:$AY$1,),)))))/(((VLOOKUP(EDATE(B194,-12),Database!$F:$AY,MATCH($U$1,Database!$F$1:$AY$1,),))))</f>
        <v>0.11094884563983581</v>
      </c>
      <c r="V194" s="13">
        <f>((((VLOOKUP(B194,Database!$F:$AY,MATCH($V$1,Database!$F$1:$AY$1,),))))-(((VLOOKUP(EDATE(B194,-12),Database!$F:$AY,MATCH($V$1,Database!$F$1:$AY$1,),)))))/(((VLOOKUP(EDATE(B194,-12),Database!$F:$AY,MATCH($V$1,Database!$F$1:$AY$1,),))))</f>
        <v>0.17857142857142858</v>
      </c>
    </row>
    <row r="195" spans="1:22" s="85" customFormat="1" x14ac:dyDescent="0.2">
      <c r="A195" s="44"/>
      <c r="B195" s="91">
        <v>38078</v>
      </c>
      <c r="C195" s="13">
        <f>((((VLOOKUP(B195,Database!$F:$AY,MATCH($C$1,Database!$F$1:$AY$1,),))))-(((VLOOKUP(EDATE(B195,-12),Database!$F:$AY,MATCH($C$1,Database!$F$1:$AY$1,),)))))/(((VLOOKUP(EDATE(B195,-12),Database!$F:$AY,MATCH($C$1,Database!$F$1:$AY$1,),))))</f>
        <v>2.7644883964179558E-2</v>
      </c>
      <c r="D195" s="13">
        <f>((((VLOOKUP(B195,Database!$F:$AY,MATCH($D$1,Database!$F$1:$AY$1,),))))-(((VLOOKUP(EDATE(B195,-12),Database!$F:$AY,MATCH($D$1,Database!$F$1:$AY$1,),)))))/(((VLOOKUP(EDATE(B195,-12),Database!$F:$AY,MATCH($D$1,Database!$F$1:$AY$1,),))))</f>
        <v>2.087686224937492E-2</v>
      </c>
      <c r="E195" s="13">
        <f>((((VLOOKUP(B195,Database!$F:$AY,MATCH($E$1,Database!$F$1:$AY$1,),))))-(((VLOOKUP(EDATE(B195,-12),Database!$F:$AY,MATCH($E$1,Database!$F$1:$AY$1,),)))))/(((VLOOKUP(EDATE(B195,-12),Database!$F:$AY,MATCH($E$1,Database!$F$1:$AY$1,),))))</f>
        <v>6.8107602711452955E-2</v>
      </c>
      <c r="F195" s="13">
        <f>((((VLOOKUP(B195,Database!$F:$AY,MATCH($F$1,Database!$F$1:$AY$1,),))))-(((VLOOKUP(EDATE(B195,-12),Database!$F:$AY,MATCH($F$1,Database!$F$1:$AY$1,),)))))/(((VLOOKUP(EDATE(B195,-12),Database!$F:$AY,MATCH($F$1,Database!$F$1:$AY$1,),))))</f>
        <v>3.2581537183236427E-2</v>
      </c>
      <c r="G195" s="13">
        <f>((((VLOOKUP(B195,Database!$F:$AY,MATCH($G$1,Database!$F$1:$AY$1,),))))-(((VLOOKUP(EDATE(B195,-12),Database!$F:$AY,MATCH($G$1,Database!$F$1:$AY$1,),)))))/(((VLOOKUP(EDATE(B195,-12),Database!$F:$AY,MATCH($G$1,Database!$F$1:$AY$1,),))))</f>
        <v>6.7647308871212767E-3</v>
      </c>
      <c r="H195" s="13">
        <f>((((VLOOKUP(B195,Database!$F:$AY,MATCH($H$1,Database!$F$1:$AY$1,),))))-(((VLOOKUP(EDATE(B195,-12),Database!$F:$AY,MATCH($H$1,Database!$F$1:$AY$1,),)))))/(((VLOOKUP(EDATE(B195,-12),Database!$F:$AY,MATCH($H$1,Database!$F$1:$AY$1,),))))</f>
        <v>2.6419233933632026E-2</v>
      </c>
      <c r="I195" s="13">
        <f>((((VLOOKUP(B195,Database!$F:$AY,MATCH($I$1,Database!$F$1:$AY$1,),))))-(((VLOOKUP(EDATE(B195,-12),Database!$F:$AY,MATCH($I$1,Database!$F$1:$AY$1,),)))))/(((VLOOKUP(EDATE(B195,-12),Database!$F:$AY,MATCH($I$1,Database!$F$1:$AY$1,),))))</f>
        <v>-4.8227504550220051E-3</v>
      </c>
      <c r="J195" s="13">
        <f>((((VLOOKUP(B195,Database!$F:$AY,MATCH($J$1,Database!$F$1:$AY$1,),))))-(((VLOOKUP(EDATE(B195,-12),Database!$F:$AY,MATCH($J$1,Database!$F$1:$AY$1,),)))))/(((VLOOKUP(EDATE(B195,-12),Database!$F:$AY,MATCH($J$1,Database!$F$1:$AY$1,),))))</f>
        <v>1.0747221955913858E-2</v>
      </c>
      <c r="K195" s="13">
        <f>((((VLOOKUP(B195,Database!$F:$AY,MATCH($K$1,Database!$F$1:$AY$1,),))))-(((VLOOKUP(EDATE(B195,-12),Database!$F:$AY,MATCH($K$1,Database!$F$1:$AY$1,),)))))/(((VLOOKUP(EDATE(B195,-12),Database!$F:$AY,MATCH($K$1,Database!$F$1:$AY$1,),))))</f>
        <v>4.2471042471042525E-2</v>
      </c>
      <c r="L195" s="13">
        <f>((((VLOOKUP(B195,Database!$F:$AY,MATCH($L$1,Database!$F$1:$AY$1,),))))-(((VLOOKUP(EDATE(B195,-12),Database!$F:$AY,MATCH($L$1,Database!$F$1:$AY$1,),)))))/(((VLOOKUP(EDATE(B195,-12),Database!$F:$AY,MATCH($L$1,Database!$F$1:$AY$1,),))))</f>
        <v>4.7194116796875976E-2</v>
      </c>
      <c r="M195" s="13">
        <f>((((VLOOKUP(B195,Database!$F:$AY,MATCH($M$1,Database!$F$1:$AY$1,),))))-(((VLOOKUP(EDATE(B195,-12),Database!$F:$AY,MATCH($M$1,Database!$F$1:$AY$1,),)))))/(((VLOOKUP(EDATE(B195,-12),Database!$F:$AY,MATCH($M$1,Database!$F$1:$AY$1,),))))</f>
        <v>7.2344472065692375E-2</v>
      </c>
      <c r="N195" s="13">
        <f>((((VLOOKUP(B195,Database!$F:$AY,MATCH($N$1,Database!$F$1:$AY$1,),))))-(((VLOOKUP(EDATE(B195,-12),Database!$F:$AY,MATCH($N$1,Database!$F$1:$AY$1,),)))))/(((VLOOKUP(EDATE(B195,-12),Database!$F:$AY,MATCH($N$1,Database!$F$1:$AY$1,),))))</f>
        <v>0.12283276311366557</v>
      </c>
      <c r="O195" s="13">
        <f>((((VLOOKUP(B195,Database!$F:$AY,MATCH($O$1,Database!$F$1:$AY$1,),))))-(((VLOOKUP(EDATE(B195,-12),Database!$F:$AY,MATCH($O$1,Database!$F$1:$AY$1,),)))))/(((VLOOKUP(EDATE(B195,-12),Database!$F:$AY,MATCH($O$1,Database!$F$1:$AY$1,),))))</f>
        <v>2.4473696180843621E-2</v>
      </c>
      <c r="P195" s="13">
        <f>((((VLOOKUP(B195,Database!$F:$AY,MATCH($P$1,Database!$F$1:$AY$1,),))))-(((VLOOKUP(EDATE(B195,-12),Database!$F:$AY,MATCH($P$1,Database!$F$1:$AY$1,),)))))/(((VLOOKUP(EDATE(B195,-12),Database!$F:$AY,MATCH($P$1,Database!$F$1:$AY$1,),))))</f>
        <v>0.13513164459611313</v>
      </c>
      <c r="Q195" s="13">
        <f>((((VLOOKUP(B195,Database!$F:$AY,MATCH($Q$1,Database!$F$1:$AY$1,),))))-(((VLOOKUP(EDATE(B195,-12),Database!$F:$AY,MATCH($Q$1,Database!$F$1:$AY$1,),)))))/(((VLOOKUP(EDATE(B195,-12),Database!$F:$AY,MATCH($Q$1,Database!$F$1:$AY$1,),))))</f>
        <v>7.0440211047586937E-2</v>
      </c>
      <c r="R195" s="13">
        <f>((((VLOOKUP(B195,Database!$F:$AY,MATCH($R$1,Database!$F$1:$AY$1,),))))-(((VLOOKUP(EDATE(B195,-12),Database!$F:$AY,MATCH($R$1,Database!$F$1:$AY$1,),)))))/(((VLOOKUP(EDATE(B195,-12),Database!$F:$AY,MATCH($R$1,Database!$F$1:$AY$1,),))))</f>
        <v>3.5063306602786747E-2</v>
      </c>
      <c r="S195" s="13">
        <f>((((VLOOKUP(B195,Database!$F:$AY,MATCH($S$1,Database!$F$1:$AY$1,),))))-(((VLOOKUP(EDATE(B195,-12),Database!$F:$AY,MATCH($S$1,Database!$F$1:$AY$1,),)))))/(((VLOOKUP(EDATE(B195,-12),Database!$F:$AY,MATCH($S$1,Database!$F$1:$AY$1,),))))</f>
        <v>8.0874317342032903E-2</v>
      </c>
      <c r="T195" s="13">
        <f>((((VLOOKUP(B195,Database!$F:$AY,MATCH($T$1,Database!$F$1:$AY$1,),))))-(((VLOOKUP(EDATE(B195,-12),Database!$F:$AY,MATCH($T$1,Database!$F$1:$AY$1,),)))))/(((VLOOKUP(EDATE(B195,-12),Database!$F:$AY,MATCH($T$1,Database!$F$1:$AY$1,),))))</f>
        <v>0.15011028511644348</v>
      </c>
      <c r="U195" s="13">
        <f>((((VLOOKUP(B195,Database!$F:$AY,MATCH($U$1,Database!$F$1:$AY$1,),))))-(((VLOOKUP(EDATE(B195,-12),Database!$F:$AY,MATCH($U$1,Database!$F$1:$AY$1,),)))))/(((VLOOKUP(EDATE(B195,-12),Database!$F:$AY,MATCH($U$1,Database!$F$1:$AY$1,),))))</f>
        <v>9.9715052223803655E-2</v>
      </c>
      <c r="V195" s="13">
        <f>((((VLOOKUP(B195,Database!$F:$AY,MATCH($V$1,Database!$F$1:$AY$1,),))))-(((VLOOKUP(EDATE(B195,-12),Database!$F:$AY,MATCH($V$1,Database!$F$1:$AY$1,),)))))/(((VLOOKUP(EDATE(B195,-12),Database!$F:$AY,MATCH($V$1,Database!$F$1:$AY$1,),))))</f>
        <v>0.21782178217821782</v>
      </c>
    </row>
    <row r="196" spans="1:22" s="85" customFormat="1" x14ac:dyDescent="0.2">
      <c r="A196" s="44"/>
      <c r="B196" s="91">
        <v>38108</v>
      </c>
      <c r="C196" s="13">
        <f>((((VLOOKUP(B196,Database!$F:$AY,MATCH($C$1,Database!$F$1:$AY$1,),))))-(((VLOOKUP(EDATE(B196,-12),Database!$F:$AY,MATCH($C$1,Database!$F$1:$AY$1,),)))))/(((VLOOKUP(EDATE(B196,-12),Database!$F:$AY,MATCH($C$1,Database!$F$1:$AY$1,),))))</f>
        <v>3.5500420732141019E-2</v>
      </c>
      <c r="D196" s="13">
        <f>((((VLOOKUP(B196,Database!$F:$AY,MATCH($D$1,Database!$F$1:$AY$1,),))))-(((VLOOKUP(EDATE(B196,-12),Database!$F:$AY,MATCH($D$1,Database!$F$1:$AY$1,),)))))/(((VLOOKUP(EDATE(B196,-12),Database!$F:$AY,MATCH($D$1,Database!$F$1:$AY$1,),))))</f>
        <v>3.9278096243216813E-2</v>
      </c>
      <c r="E196" s="13">
        <f>((((VLOOKUP(B196,Database!$F:$AY,MATCH($E$1,Database!$F$1:$AY$1,),))))-(((VLOOKUP(EDATE(B196,-12),Database!$F:$AY,MATCH($E$1,Database!$F$1:$AY$1,),)))))/(((VLOOKUP(EDATE(B196,-12),Database!$F:$AY,MATCH($E$1,Database!$F$1:$AY$1,),))))</f>
        <v>5.5496476359648043E-2</v>
      </c>
      <c r="F196" s="13">
        <f>((((VLOOKUP(B196,Database!$F:$AY,MATCH($F$1,Database!$F$1:$AY$1,),))))-(((VLOOKUP(EDATE(B196,-12),Database!$F:$AY,MATCH($F$1,Database!$F$1:$AY$1,),)))))/(((VLOOKUP(EDATE(B196,-12),Database!$F:$AY,MATCH($F$1,Database!$F$1:$AY$1,),))))</f>
        <v>5.3097344013869056E-2</v>
      </c>
      <c r="G196" s="13">
        <f>((((VLOOKUP(B196,Database!$F:$AY,MATCH($G$1,Database!$F$1:$AY$1,),))))-(((VLOOKUP(EDATE(B196,-12),Database!$F:$AY,MATCH($G$1,Database!$F$1:$AY$1,),)))))/(((VLOOKUP(EDATE(B196,-12),Database!$F:$AY,MATCH($G$1,Database!$F$1:$AY$1,),))))</f>
        <v>2.6039495732988263E-2</v>
      </c>
      <c r="H196" s="13">
        <f>((((VLOOKUP(B196,Database!$F:$AY,MATCH($H$1,Database!$F$1:$AY$1,),))))-(((VLOOKUP(EDATE(B196,-12),Database!$F:$AY,MATCH($H$1,Database!$F$1:$AY$1,),)))))/(((VLOOKUP(EDATE(B196,-12),Database!$F:$AY,MATCH($H$1,Database!$F$1:$AY$1,),))))</f>
        <v>2.4533800139701682E-2</v>
      </c>
      <c r="I196" s="13">
        <f>((((VLOOKUP(B196,Database!$F:$AY,MATCH($I$1,Database!$F$1:$AY$1,),))))-(((VLOOKUP(EDATE(B196,-12),Database!$F:$AY,MATCH($I$1,Database!$F$1:$AY$1,),)))))/(((VLOOKUP(EDATE(B196,-12),Database!$F:$AY,MATCH($I$1,Database!$F$1:$AY$1,),))))</f>
        <v>2.7431207914207223E-2</v>
      </c>
      <c r="J196" s="13">
        <f>((((VLOOKUP(B196,Database!$F:$AY,MATCH($J$1,Database!$F$1:$AY$1,),))))-(((VLOOKUP(EDATE(B196,-12),Database!$F:$AY,MATCH($J$1,Database!$F$1:$AY$1,),)))))/(((VLOOKUP(EDATE(B196,-12),Database!$F:$AY,MATCH($J$1,Database!$F$1:$AY$1,),))))</f>
        <v>2.661031477340536E-2</v>
      </c>
      <c r="K196" s="13">
        <f>((((VLOOKUP(B196,Database!$F:$AY,MATCH($K$1,Database!$F$1:$AY$1,),))))-(((VLOOKUP(EDATE(B196,-12),Database!$F:$AY,MATCH($K$1,Database!$F$1:$AY$1,),)))))/(((VLOOKUP(EDATE(B196,-12),Database!$F:$AY,MATCH($K$1,Database!$F$1:$AY$1,),))))</f>
        <v>5.2216748768472876E-2</v>
      </c>
      <c r="L196" s="13">
        <f>((((VLOOKUP(B196,Database!$F:$AY,MATCH($L$1,Database!$F$1:$AY$1,),))))-(((VLOOKUP(EDATE(B196,-12),Database!$F:$AY,MATCH($L$1,Database!$F$1:$AY$1,),)))))/(((VLOOKUP(EDATE(B196,-12),Database!$F:$AY,MATCH($L$1,Database!$F$1:$AY$1,),))))</f>
        <v>4.2590049178148855E-2</v>
      </c>
      <c r="M196" s="13">
        <f>((((VLOOKUP(B196,Database!$F:$AY,MATCH($M$1,Database!$F$1:$AY$1,),))))-(((VLOOKUP(EDATE(B196,-12),Database!$F:$AY,MATCH($M$1,Database!$F$1:$AY$1,),)))))/(((VLOOKUP(EDATE(B196,-12),Database!$F:$AY,MATCH($M$1,Database!$F$1:$AY$1,),))))</f>
        <v>8.0884099004475227E-2</v>
      </c>
      <c r="N196" s="13">
        <f>((((VLOOKUP(B196,Database!$F:$AY,MATCH($N$1,Database!$F$1:$AY$1,),))))-(((VLOOKUP(EDATE(B196,-12),Database!$F:$AY,MATCH($N$1,Database!$F$1:$AY$1,),)))))/(((VLOOKUP(EDATE(B196,-12),Database!$F:$AY,MATCH($N$1,Database!$F$1:$AY$1,),))))</f>
        <v>9.9152570506076523E-2</v>
      </c>
      <c r="O196" s="13">
        <f>((((VLOOKUP(B196,Database!$F:$AY,MATCH($O$1,Database!$F$1:$AY$1,),))))-(((VLOOKUP(EDATE(B196,-12),Database!$F:$AY,MATCH($O$1,Database!$F$1:$AY$1,),)))))/(((VLOOKUP(EDATE(B196,-12),Database!$F:$AY,MATCH($O$1,Database!$F$1:$AY$1,),))))</f>
        <v>1.9433038111492253E-2</v>
      </c>
      <c r="P196" s="13">
        <f>((((VLOOKUP(B196,Database!$F:$AY,MATCH($P$1,Database!$F$1:$AY$1,),))))-(((VLOOKUP(EDATE(B196,-12),Database!$F:$AY,MATCH($P$1,Database!$F$1:$AY$1,),)))))/(((VLOOKUP(EDATE(B196,-12),Database!$F:$AY,MATCH($P$1,Database!$F$1:$AY$1,),))))</f>
        <v>0.15712887167979786</v>
      </c>
      <c r="Q196" s="13">
        <f>((((VLOOKUP(B196,Database!$F:$AY,MATCH($Q$1,Database!$F$1:$AY$1,),))))-(((VLOOKUP(EDATE(B196,-12),Database!$F:$AY,MATCH($Q$1,Database!$F$1:$AY$1,),)))))/(((VLOOKUP(EDATE(B196,-12),Database!$F:$AY,MATCH($Q$1,Database!$F$1:$AY$1,),))))</f>
        <v>0.10411312359450349</v>
      </c>
      <c r="R196" s="13">
        <f>((((VLOOKUP(B196,Database!$F:$AY,MATCH($R$1,Database!$F$1:$AY$1,),))))-(((VLOOKUP(EDATE(B196,-12),Database!$F:$AY,MATCH($R$1,Database!$F$1:$AY$1,),)))))/(((VLOOKUP(EDATE(B196,-12),Database!$F:$AY,MATCH($R$1,Database!$F$1:$AY$1,),))))</f>
        <v>2.7971748904667856E-2</v>
      </c>
      <c r="S196" s="13">
        <f>((((VLOOKUP(B196,Database!$F:$AY,MATCH($S$1,Database!$F$1:$AY$1,),))))-(((VLOOKUP(EDATE(B196,-12),Database!$F:$AY,MATCH($S$1,Database!$F$1:$AY$1,),)))))/(((VLOOKUP(EDATE(B196,-12),Database!$F:$AY,MATCH($S$1,Database!$F$1:$AY$1,),))))</f>
        <v>1.5135105623069191E-2</v>
      </c>
      <c r="T196" s="13">
        <f>((((VLOOKUP(B196,Database!$F:$AY,MATCH($T$1,Database!$F$1:$AY$1,),))))-(((VLOOKUP(EDATE(B196,-12),Database!$F:$AY,MATCH($T$1,Database!$F$1:$AY$1,),)))))/(((VLOOKUP(EDATE(B196,-12),Database!$F:$AY,MATCH($T$1,Database!$F$1:$AY$1,),))))</f>
        <v>0.18061680025341317</v>
      </c>
      <c r="U196" s="13">
        <f>((((VLOOKUP(B196,Database!$F:$AY,MATCH($U$1,Database!$F$1:$AY$1,),))))-(((VLOOKUP(EDATE(B196,-12),Database!$F:$AY,MATCH($U$1,Database!$F$1:$AY$1,),)))))/(((VLOOKUP(EDATE(B196,-12),Database!$F:$AY,MATCH($U$1,Database!$F$1:$AY$1,),))))</f>
        <v>0.11644837458353668</v>
      </c>
      <c r="V196" s="13">
        <f>((((VLOOKUP(B196,Database!$F:$AY,MATCH($V$1,Database!$F$1:$AY$1,),))))-(((VLOOKUP(EDATE(B196,-12),Database!$F:$AY,MATCH($V$1,Database!$F$1:$AY$1,),)))))/(((VLOOKUP(EDATE(B196,-12),Database!$F:$AY,MATCH($V$1,Database!$F$1:$AY$1,),))))</f>
        <v>0.15175097276264601</v>
      </c>
    </row>
    <row r="197" spans="1:22" s="85" customFormat="1" x14ac:dyDescent="0.2">
      <c r="A197" s="44"/>
      <c r="B197" s="91">
        <v>38139</v>
      </c>
      <c r="C197" s="13">
        <f>((((VLOOKUP(B197,Database!$F:$AY,MATCH($C$1,Database!$F$1:$AY$1,),))))-(((VLOOKUP(EDATE(B197,-12),Database!$F:$AY,MATCH($C$1,Database!$F$1:$AY$1,),)))))/(((VLOOKUP(EDATE(B197,-12),Database!$F:$AY,MATCH($C$1,Database!$F$1:$AY$1,),))))</f>
        <v>2.5247861306862355E-2</v>
      </c>
      <c r="D197" s="13">
        <f>((((VLOOKUP(B197,Database!$F:$AY,MATCH($D$1,Database!$F$1:$AY$1,),))))-(((VLOOKUP(EDATE(B197,-12),Database!$F:$AY,MATCH($D$1,Database!$F$1:$AY$1,),)))))/(((VLOOKUP(EDATE(B197,-12),Database!$F:$AY,MATCH($D$1,Database!$F$1:$AY$1,),))))</f>
        <v>3.9278096243216813E-2</v>
      </c>
      <c r="E197" s="13">
        <f>((((VLOOKUP(B197,Database!$F:$AY,MATCH($E$1,Database!$F$1:$AY$1,),))))-(((VLOOKUP(EDATE(B197,-12),Database!$F:$AY,MATCH($E$1,Database!$F$1:$AY$1,),)))))/(((VLOOKUP(EDATE(B197,-12),Database!$F:$AY,MATCH($E$1,Database!$F$1:$AY$1,),))))</f>
        <v>6.781537705801266E-2</v>
      </c>
      <c r="F197" s="13">
        <f>((((VLOOKUP(B197,Database!$F:$AY,MATCH($F$1,Database!$F$1:$AY$1,),))))-(((VLOOKUP(EDATE(B197,-12),Database!$F:$AY,MATCH($F$1,Database!$F$1:$AY$1,),)))))/(((VLOOKUP(EDATE(B197,-12),Database!$F:$AY,MATCH($F$1,Database!$F$1:$AY$1,),))))</f>
        <v>5.0825964654741353E-2</v>
      </c>
      <c r="G197" s="13">
        <f>((((VLOOKUP(B197,Database!$F:$AY,MATCH($G$1,Database!$F$1:$AY$1,),))))-(((VLOOKUP(EDATE(B197,-12),Database!$F:$AY,MATCH($G$1,Database!$F$1:$AY$1,),)))))/(((VLOOKUP(EDATE(B197,-12),Database!$F:$AY,MATCH($G$1,Database!$F$1:$AY$1,),))))</f>
        <v>3.8403431332505206E-2</v>
      </c>
      <c r="H197" s="13">
        <f>((((VLOOKUP(B197,Database!$F:$AY,MATCH($H$1,Database!$F$1:$AY$1,),))))-(((VLOOKUP(EDATE(B197,-12),Database!$F:$AY,MATCH($H$1,Database!$F$1:$AY$1,),)))))/(((VLOOKUP(EDATE(B197,-12),Database!$F:$AY,MATCH($H$1,Database!$F$1:$AY$1,),))))</f>
        <v>1.9493332932796072E-2</v>
      </c>
      <c r="I197" s="13">
        <f>((((VLOOKUP(B197,Database!$F:$AY,MATCH($I$1,Database!$F$1:$AY$1,),))))-(((VLOOKUP(EDATE(B197,-12),Database!$F:$AY,MATCH($I$1,Database!$F$1:$AY$1,),)))))/(((VLOOKUP(EDATE(B197,-12),Database!$F:$AY,MATCH($I$1,Database!$F$1:$AY$1,),))))</f>
        <v>9.0319550569915898E-3</v>
      </c>
      <c r="J197" s="13">
        <f>((((VLOOKUP(B197,Database!$F:$AY,MATCH($J$1,Database!$F$1:$AY$1,),))))-(((VLOOKUP(EDATE(B197,-12),Database!$F:$AY,MATCH($J$1,Database!$F$1:$AY$1,),)))))/(((VLOOKUP(EDATE(B197,-12),Database!$F:$AY,MATCH($J$1,Database!$F$1:$AY$1,),))))</f>
        <v>2.8790327359090116E-2</v>
      </c>
      <c r="K197" s="13">
        <f>((((VLOOKUP(B197,Database!$F:$AY,MATCH($K$1,Database!$F$1:$AY$1,),))))-(((VLOOKUP(EDATE(B197,-12),Database!$F:$AY,MATCH($K$1,Database!$F$1:$AY$1,),)))))/(((VLOOKUP(EDATE(B197,-12),Database!$F:$AY,MATCH($K$1,Database!$F$1:$AY$1,),))))</f>
        <v>4.3095004897159707E-2</v>
      </c>
      <c r="L197" s="13">
        <f>((((VLOOKUP(B197,Database!$F:$AY,MATCH($L$1,Database!$F$1:$AY$1,),))))-(((VLOOKUP(EDATE(B197,-12),Database!$F:$AY,MATCH($L$1,Database!$F$1:$AY$1,),)))))/(((VLOOKUP(EDATE(B197,-12),Database!$F:$AY,MATCH($L$1,Database!$F$1:$AY$1,),))))</f>
        <v>3.8268955335698317E-2</v>
      </c>
      <c r="M197" s="13">
        <f>((((VLOOKUP(B197,Database!$F:$AY,MATCH($M$1,Database!$F$1:$AY$1,),))))-(((VLOOKUP(EDATE(B197,-12),Database!$F:$AY,MATCH($M$1,Database!$F$1:$AY$1,),)))))/(((VLOOKUP(EDATE(B197,-12),Database!$F:$AY,MATCH($M$1,Database!$F$1:$AY$1,),))))</f>
        <v>9.049486775178954E-2</v>
      </c>
      <c r="N197" s="13">
        <f>((((VLOOKUP(B197,Database!$F:$AY,MATCH($N$1,Database!$F$1:$AY$1,),))))-(((VLOOKUP(EDATE(B197,-12),Database!$F:$AY,MATCH($N$1,Database!$F$1:$AY$1,),)))))/(((VLOOKUP(EDATE(B197,-12),Database!$F:$AY,MATCH($N$1,Database!$F$1:$AY$1,),))))</f>
        <v>9.7075542113684313E-2</v>
      </c>
      <c r="O197" s="13">
        <f>((((VLOOKUP(B197,Database!$F:$AY,MATCH($O$1,Database!$F$1:$AY$1,),))))-(((VLOOKUP(EDATE(B197,-12),Database!$F:$AY,MATCH($O$1,Database!$F$1:$AY$1,),)))))/(((VLOOKUP(EDATE(B197,-12),Database!$F:$AY,MATCH($O$1,Database!$F$1:$AY$1,),))))</f>
        <v>3.9219239436989038E-2</v>
      </c>
      <c r="P197" s="13">
        <f>((((VLOOKUP(B197,Database!$F:$AY,MATCH($P$1,Database!$F$1:$AY$1,),))))-(((VLOOKUP(EDATE(B197,-12),Database!$F:$AY,MATCH($P$1,Database!$F$1:$AY$1,),)))))/(((VLOOKUP(EDATE(B197,-12),Database!$F:$AY,MATCH($P$1,Database!$F$1:$AY$1,),))))</f>
        <v>9.5395351890057573E-2</v>
      </c>
      <c r="Q197" s="13">
        <f>((((VLOOKUP(B197,Database!$F:$AY,MATCH($Q$1,Database!$F$1:$AY$1,),))))-(((VLOOKUP(EDATE(B197,-12),Database!$F:$AY,MATCH($Q$1,Database!$F$1:$AY$1,),)))))/(((VLOOKUP(EDATE(B197,-12),Database!$F:$AY,MATCH($Q$1,Database!$F$1:$AY$1,),))))</f>
        <v>0.10102307047973731</v>
      </c>
      <c r="R197" s="13">
        <f>((((VLOOKUP(B197,Database!$F:$AY,MATCH($R$1,Database!$F$1:$AY$1,),))))-(((VLOOKUP(EDATE(B197,-12),Database!$F:$AY,MATCH($R$1,Database!$F$1:$AY$1,),)))))/(((VLOOKUP(EDATE(B197,-12),Database!$F:$AY,MATCH($R$1,Database!$F$1:$AY$1,),))))</f>
        <v>2.7775421637156986E-3</v>
      </c>
      <c r="S197" s="13">
        <f>((((VLOOKUP(B197,Database!$F:$AY,MATCH($S$1,Database!$F$1:$AY$1,),))))-(((VLOOKUP(EDATE(B197,-12),Database!$F:$AY,MATCH($S$1,Database!$F$1:$AY$1,),)))))/(((VLOOKUP(EDATE(B197,-12),Database!$F:$AY,MATCH($S$1,Database!$F$1:$AY$1,),))))</f>
        <v>3.7715442960086394E-2</v>
      </c>
      <c r="T197" s="13">
        <f>((((VLOOKUP(B197,Database!$F:$AY,MATCH($T$1,Database!$F$1:$AY$1,),))))-(((VLOOKUP(EDATE(B197,-12),Database!$F:$AY,MATCH($T$1,Database!$F$1:$AY$1,),)))))/(((VLOOKUP(EDATE(B197,-12),Database!$F:$AY,MATCH($T$1,Database!$F$1:$AY$1,),))))</f>
        <v>0.12500002648525607</v>
      </c>
      <c r="U197" s="13">
        <f>((((VLOOKUP(B197,Database!$F:$AY,MATCH($U$1,Database!$F$1:$AY$1,),))))-(((VLOOKUP(EDATE(B197,-12),Database!$F:$AY,MATCH($U$1,Database!$F$1:$AY$1,),)))))/(((VLOOKUP(EDATE(B197,-12),Database!$F:$AY,MATCH($U$1,Database!$F$1:$AY$1,),))))</f>
        <v>0.10071937165933544</v>
      </c>
      <c r="V197" s="13">
        <f>((((VLOOKUP(B197,Database!$F:$AY,MATCH($V$1,Database!$F$1:$AY$1,),))))-(((VLOOKUP(EDATE(B197,-12),Database!$F:$AY,MATCH($V$1,Database!$F$1:$AY$1,),)))))/(((VLOOKUP(EDATE(B197,-12),Database!$F:$AY,MATCH($V$1,Database!$F$1:$AY$1,),))))</f>
        <v>0.13127413127413137</v>
      </c>
    </row>
    <row r="198" spans="1:22" s="85" customFormat="1" x14ac:dyDescent="0.2">
      <c r="A198" s="44"/>
      <c r="B198" s="91">
        <v>38169</v>
      </c>
      <c r="C198" s="13">
        <f>((((VLOOKUP(B198,Database!$F:$AY,MATCH($C$1,Database!$F$1:$AY$1,),))))-(((VLOOKUP(EDATE(B198,-12),Database!$F:$AY,MATCH($C$1,Database!$F$1:$AY$1,),)))))/(((VLOOKUP(EDATE(B198,-12),Database!$F:$AY,MATCH($C$1,Database!$F$1:$AY$1,),))))</f>
        <v>2.8617960575409333E-2</v>
      </c>
      <c r="D198" s="13">
        <f>((((VLOOKUP(B198,Database!$F:$AY,MATCH($D$1,Database!$F$1:$AY$1,),))))-(((VLOOKUP(EDATE(B198,-12),Database!$F:$AY,MATCH($D$1,Database!$F$1:$AY$1,),)))))/(((VLOOKUP(EDATE(B198,-12),Database!$F:$AY,MATCH($D$1,Database!$F$1:$AY$1,),))))</f>
        <v>3.0271539002900572E-2</v>
      </c>
      <c r="E198" s="13">
        <f>((((VLOOKUP(B198,Database!$F:$AY,MATCH($E$1,Database!$F$1:$AY$1,),))))-(((VLOOKUP(EDATE(B198,-12),Database!$F:$AY,MATCH($E$1,Database!$F$1:$AY$1,),)))))/(((VLOOKUP(EDATE(B198,-12),Database!$F:$AY,MATCH($E$1,Database!$F$1:$AY$1,),))))</f>
        <v>7.8241918624144424E-2</v>
      </c>
      <c r="F198" s="13">
        <f>((((VLOOKUP(B198,Database!$F:$AY,MATCH($F$1,Database!$F$1:$AY$1,),))))-(((VLOOKUP(EDATE(B198,-12),Database!$F:$AY,MATCH($F$1,Database!$F$1:$AY$1,),)))))/(((VLOOKUP(EDATE(B198,-12),Database!$F:$AY,MATCH($F$1,Database!$F$1:$AY$1,),))))</f>
        <v>3.8461519372334906E-2</v>
      </c>
      <c r="G198" s="13">
        <f>((((VLOOKUP(B198,Database!$F:$AY,MATCH($G$1,Database!$F$1:$AY$1,),))))-(((VLOOKUP(EDATE(B198,-12),Database!$F:$AY,MATCH($G$1,Database!$F$1:$AY$1,),)))))/(((VLOOKUP(EDATE(B198,-12),Database!$F:$AY,MATCH($G$1,Database!$F$1:$AY$1,),))))</f>
        <v>2.4259553236805481E-2</v>
      </c>
      <c r="H198" s="13">
        <f>((((VLOOKUP(B198,Database!$F:$AY,MATCH($H$1,Database!$F$1:$AY$1,),))))-(((VLOOKUP(EDATE(B198,-12),Database!$F:$AY,MATCH($H$1,Database!$F$1:$AY$1,),)))))/(((VLOOKUP(EDATE(B198,-12),Database!$F:$AY,MATCH($H$1,Database!$F$1:$AY$1,),))))</f>
        <v>-3.8722466303156167E-3</v>
      </c>
      <c r="I198" s="13">
        <f>((((VLOOKUP(B198,Database!$F:$AY,MATCH($I$1,Database!$F$1:$AY$1,),))))-(((VLOOKUP(EDATE(B198,-12),Database!$F:$AY,MATCH($I$1,Database!$F$1:$AY$1,),)))))/(((VLOOKUP(EDATE(B198,-12),Database!$F:$AY,MATCH($I$1,Database!$F$1:$AY$1,),))))</f>
        <v>-3.2391365433716793E-3</v>
      </c>
      <c r="J198" s="13">
        <f>((((VLOOKUP(B198,Database!$F:$AY,MATCH($J$1,Database!$F$1:$AY$1,),))))-(((VLOOKUP(EDATE(B198,-12),Database!$F:$AY,MATCH($J$1,Database!$F$1:$AY$1,),)))))/(((VLOOKUP(EDATE(B198,-12),Database!$F:$AY,MATCH($J$1,Database!$F$1:$AY$1,),))))</f>
        <v>2.1569842844833369E-2</v>
      </c>
      <c r="K198" s="13">
        <f>((((VLOOKUP(B198,Database!$F:$AY,MATCH($K$1,Database!$F$1:$AY$1,),))))-(((VLOOKUP(EDATE(B198,-12),Database!$F:$AY,MATCH($K$1,Database!$F$1:$AY$1,),)))))/(((VLOOKUP(EDATE(B198,-12),Database!$F:$AY,MATCH($K$1,Database!$F$1:$AY$1,),))))</f>
        <v>1.6441005802707818E-2</v>
      </c>
      <c r="L198" s="13">
        <f>((((VLOOKUP(B198,Database!$F:$AY,MATCH($L$1,Database!$F$1:$AY$1,),))))-(((VLOOKUP(EDATE(B198,-12),Database!$F:$AY,MATCH($L$1,Database!$F$1:$AY$1,),)))))/(((VLOOKUP(EDATE(B198,-12),Database!$F:$AY,MATCH($L$1,Database!$F$1:$AY$1,),))))</f>
        <v>3.6445670054688524E-2</v>
      </c>
      <c r="M198" s="13">
        <f>((((VLOOKUP(B198,Database!$F:$AY,MATCH($M$1,Database!$F$1:$AY$1,),))))-(((VLOOKUP(EDATE(B198,-12),Database!$F:$AY,MATCH($M$1,Database!$F$1:$AY$1,),)))))/(((VLOOKUP(EDATE(B198,-12),Database!$F:$AY,MATCH($M$1,Database!$F$1:$AY$1,),))))</f>
        <v>7.7349072131327176E-2</v>
      </c>
      <c r="N198" s="13">
        <f>((((VLOOKUP(B198,Database!$F:$AY,MATCH($N$1,Database!$F$1:$AY$1,),))))-(((VLOOKUP(EDATE(B198,-12),Database!$F:$AY,MATCH($N$1,Database!$F$1:$AY$1,),)))))/(((VLOOKUP(EDATE(B198,-12),Database!$F:$AY,MATCH($N$1,Database!$F$1:$AY$1,),))))</f>
        <v>0.11833398562616787</v>
      </c>
      <c r="O198" s="13">
        <f>((((VLOOKUP(B198,Database!$F:$AY,MATCH($O$1,Database!$F$1:$AY$1,),))))-(((VLOOKUP(EDATE(B198,-12),Database!$F:$AY,MATCH($O$1,Database!$F$1:$AY$1,),)))))/(((VLOOKUP(EDATE(B198,-12),Database!$F:$AY,MATCH($O$1,Database!$F$1:$AY$1,),))))</f>
        <v>2.1017291323361855E-2</v>
      </c>
      <c r="P198" s="13">
        <f>((((VLOOKUP(B198,Database!$F:$AY,MATCH($P$1,Database!$F$1:$AY$1,),))))-(((VLOOKUP(EDATE(B198,-12),Database!$F:$AY,MATCH($P$1,Database!$F$1:$AY$1,),)))))/(((VLOOKUP(EDATE(B198,-12),Database!$F:$AY,MATCH($P$1,Database!$F$1:$AY$1,),))))</f>
        <v>0.13067136893356662</v>
      </c>
      <c r="Q198" s="13">
        <f>((((VLOOKUP(B198,Database!$F:$AY,MATCH($Q$1,Database!$F$1:$AY$1,),))))-(((VLOOKUP(EDATE(B198,-12),Database!$F:$AY,MATCH($Q$1,Database!$F$1:$AY$1,),)))))/(((VLOOKUP(EDATE(B198,-12),Database!$F:$AY,MATCH($Q$1,Database!$F$1:$AY$1,),))))</f>
        <v>0.12015501738289527</v>
      </c>
      <c r="R198" s="13">
        <f>((((VLOOKUP(B198,Database!$F:$AY,MATCH($R$1,Database!$F$1:$AY$1,),))))-(((VLOOKUP(EDATE(B198,-12),Database!$F:$AY,MATCH($R$1,Database!$F$1:$AY$1,),)))))/(((VLOOKUP(EDATE(B198,-12),Database!$F:$AY,MATCH($R$1,Database!$F$1:$AY$1,),))))</f>
        <v>2.0862284554181352E-2</v>
      </c>
      <c r="S198" s="13">
        <f>((((VLOOKUP(B198,Database!$F:$AY,MATCH($S$1,Database!$F$1:$AY$1,),))))-(((VLOOKUP(EDATE(B198,-12),Database!$F:$AY,MATCH($S$1,Database!$F$1:$AY$1,),)))))/(((VLOOKUP(EDATE(B198,-12),Database!$F:$AY,MATCH($S$1,Database!$F$1:$AY$1,),))))</f>
        <v>0.1238195100848721</v>
      </c>
      <c r="T198" s="13">
        <f>((((VLOOKUP(B198,Database!$F:$AY,MATCH($T$1,Database!$F$1:$AY$1,),))))-(((VLOOKUP(EDATE(B198,-12),Database!$F:$AY,MATCH($T$1,Database!$F$1:$AY$1,),)))))/(((VLOOKUP(EDATE(B198,-12),Database!$F:$AY,MATCH($T$1,Database!$F$1:$AY$1,),))))</f>
        <v>0.11594217902653171</v>
      </c>
      <c r="U198" s="13">
        <f>((((VLOOKUP(B198,Database!$F:$AY,MATCH($U$1,Database!$F$1:$AY$1,),))))-(((VLOOKUP(EDATE(B198,-12),Database!$F:$AY,MATCH($U$1,Database!$F$1:$AY$1,),)))))/(((VLOOKUP(EDATE(B198,-12),Database!$F:$AY,MATCH($U$1,Database!$F$1:$AY$1,),))))</f>
        <v>0.11637931034482769</v>
      </c>
      <c r="V198" s="13">
        <f>((((VLOOKUP(B198,Database!$F:$AY,MATCH($V$1,Database!$F$1:$AY$1,),))))-(((VLOOKUP(EDATE(B198,-12),Database!$F:$AY,MATCH($V$1,Database!$F$1:$AY$1,),)))))/(((VLOOKUP(EDATE(B198,-12),Database!$F:$AY,MATCH($V$1,Database!$F$1:$AY$1,),))))</f>
        <v>8.9385474860335143E-2</v>
      </c>
    </row>
    <row r="199" spans="1:22" s="85" customFormat="1" x14ac:dyDescent="0.2">
      <c r="A199" s="44"/>
      <c r="B199" s="91">
        <v>38200</v>
      </c>
      <c r="C199" s="13">
        <f>((((VLOOKUP(B199,Database!$F:$AY,MATCH($C$1,Database!$F$1:$AY$1,),))))-(((VLOOKUP(EDATE(B199,-12),Database!$F:$AY,MATCH($C$1,Database!$F$1:$AY$1,),)))))/(((VLOOKUP(EDATE(B199,-12),Database!$F:$AY,MATCH($C$1,Database!$F$1:$AY$1,),))))</f>
        <v>3.0846385673941726E-2</v>
      </c>
      <c r="D199" s="13">
        <f>((((VLOOKUP(B199,Database!$F:$AY,MATCH($D$1,Database!$F$1:$AY$1,),))))-(((VLOOKUP(EDATE(B199,-12),Database!$F:$AY,MATCH($D$1,Database!$F$1:$AY$1,),)))))/(((VLOOKUP(EDATE(B199,-12),Database!$F:$AY,MATCH($D$1,Database!$F$1:$AY$1,),))))</f>
        <v>2.0042158925221751E-2</v>
      </c>
      <c r="E199" s="13">
        <f>((((VLOOKUP(B199,Database!$F:$AY,MATCH($E$1,Database!$F$1:$AY$1,),))))-(((VLOOKUP(EDATE(B199,-12),Database!$F:$AY,MATCH($E$1,Database!$F$1:$AY$1,),)))))/(((VLOOKUP(EDATE(B199,-12),Database!$F:$AY,MATCH($E$1,Database!$F$1:$AY$1,),))))</f>
        <v>7.3593168425475794E-2</v>
      </c>
      <c r="F199" s="13">
        <f>((((VLOOKUP(B199,Database!$F:$AY,MATCH($F$1,Database!$F$1:$AY$1,),))))-(((VLOOKUP(EDATE(B199,-12),Database!$F:$AY,MATCH($F$1,Database!$F$1:$AY$1,),)))))/(((VLOOKUP(EDATE(B199,-12),Database!$F:$AY,MATCH($F$1,Database!$F$1:$AY$1,),))))</f>
        <v>5.4707357928682303E-2</v>
      </c>
      <c r="G199" s="13">
        <f>((((VLOOKUP(B199,Database!$F:$AY,MATCH($G$1,Database!$F$1:$AY$1,),))))-(((VLOOKUP(EDATE(B199,-12),Database!$F:$AY,MATCH($G$1,Database!$F$1:$AY$1,),)))))/(((VLOOKUP(EDATE(B199,-12),Database!$F:$AY,MATCH($G$1,Database!$F$1:$AY$1,),))))</f>
        <v>-7.6893929919057405E-3</v>
      </c>
      <c r="H199" s="13">
        <f>((((VLOOKUP(B199,Database!$F:$AY,MATCH($H$1,Database!$F$1:$AY$1,),))))-(((VLOOKUP(EDATE(B199,-12),Database!$F:$AY,MATCH($H$1,Database!$F$1:$AY$1,),)))))/(((VLOOKUP(EDATE(B199,-12),Database!$F:$AY,MATCH($H$1,Database!$F$1:$AY$1,),))))</f>
        <v>-4.8456973903046111E-3</v>
      </c>
      <c r="I199" s="13">
        <f>((((VLOOKUP(B199,Database!$F:$AY,MATCH($I$1,Database!$F$1:$AY$1,),))))-(((VLOOKUP(EDATE(B199,-12),Database!$F:$AY,MATCH($I$1,Database!$F$1:$AY$1,),)))))/(((VLOOKUP(EDATE(B199,-12),Database!$F:$AY,MATCH($I$1,Database!$F$1:$AY$1,),))))</f>
        <v>-3.3052345691665366E-3</v>
      </c>
      <c r="J199" s="13">
        <f>((((VLOOKUP(B199,Database!$F:$AY,MATCH($J$1,Database!$F$1:$AY$1,),))))-(((VLOOKUP(EDATE(B199,-12),Database!$F:$AY,MATCH($J$1,Database!$F$1:$AY$1,),)))))/(((VLOOKUP(EDATE(B199,-12),Database!$F:$AY,MATCH($J$1,Database!$F$1:$AY$1,),))))</f>
        <v>8.6272285997474659E-3</v>
      </c>
      <c r="K199" s="13">
        <f>((((VLOOKUP(B199,Database!$F:$AY,MATCH($K$1,Database!$F$1:$AY$1,),))))-(((VLOOKUP(EDATE(B199,-12),Database!$F:$AY,MATCH($K$1,Database!$F$1:$AY$1,),)))))/(((VLOOKUP(EDATE(B199,-12),Database!$F:$AY,MATCH($K$1,Database!$F$1:$AY$1,),))))</f>
        <v>5.6695992179863118E-2</v>
      </c>
      <c r="L199" s="13">
        <f>((((VLOOKUP(B199,Database!$F:$AY,MATCH($L$1,Database!$F$1:$AY$1,),))))-(((VLOOKUP(EDATE(B199,-12),Database!$F:$AY,MATCH($L$1,Database!$F$1:$AY$1,),)))))/(((VLOOKUP(EDATE(B199,-12),Database!$F:$AY,MATCH($L$1,Database!$F$1:$AY$1,),))))</f>
        <v>3.745492259111298E-2</v>
      </c>
      <c r="M199" s="13">
        <f>((((VLOOKUP(B199,Database!$F:$AY,MATCH($M$1,Database!$F$1:$AY$1,),))))-(((VLOOKUP(EDATE(B199,-12),Database!$F:$AY,MATCH($M$1,Database!$F$1:$AY$1,),)))))/(((VLOOKUP(EDATE(B199,-12),Database!$F:$AY,MATCH($M$1,Database!$F$1:$AY$1,),))))</f>
        <v>0.10227465508169155</v>
      </c>
      <c r="N199" s="13">
        <f>((((VLOOKUP(B199,Database!$F:$AY,MATCH($N$1,Database!$F$1:$AY$1,),))))-(((VLOOKUP(EDATE(B199,-12),Database!$F:$AY,MATCH($N$1,Database!$F$1:$AY$1,),)))))/(((VLOOKUP(EDATE(B199,-12),Database!$F:$AY,MATCH($N$1,Database!$F$1:$AY$1,),))))</f>
        <v>0.11911152428060344</v>
      </c>
      <c r="O199" s="13">
        <f>((((VLOOKUP(B199,Database!$F:$AY,MATCH($O$1,Database!$F$1:$AY$1,),))))-(((VLOOKUP(EDATE(B199,-12),Database!$F:$AY,MATCH($O$1,Database!$F$1:$AY$1,),)))))/(((VLOOKUP(EDATE(B199,-12),Database!$F:$AY,MATCH($O$1,Database!$F$1:$AY$1,),))))</f>
        <v>4.0499973976031042E-2</v>
      </c>
      <c r="P199" s="13">
        <f>((((VLOOKUP(B199,Database!$F:$AY,MATCH($P$1,Database!$F$1:$AY$1,),))))-(((VLOOKUP(EDATE(B199,-12),Database!$F:$AY,MATCH($P$1,Database!$F$1:$AY$1,),)))))/(((VLOOKUP(EDATE(B199,-12),Database!$F:$AY,MATCH($P$1,Database!$F$1:$AY$1,),))))</f>
        <v>9.1208738717158427E-2</v>
      </c>
      <c r="Q199" s="13">
        <f>((((VLOOKUP(B199,Database!$F:$AY,MATCH($Q$1,Database!$F$1:$AY$1,),))))-(((VLOOKUP(EDATE(B199,-12),Database!$F:$AY,MATCH($Q$1,Database!$F$1:$AY$1,),)))))/(((VLOOKUP(EDATE(B199,-12),Database!$F:$AY,MATCH($Q$1,Database!$F$1:$AY$1,),))))</f>
        <v>0.11450386266243207</v>
      </c>
      <c r="R199" s="13">
        <f>((((VLOOKUP(B199,Database!$F:$AY,MATCH($R$1,Database!$F$1:$AY$1,),))))-(((VLOOKUP(EDATE(B199,-12),Database!$F:$AY,MATCH($R$1,Database!$F$1:$AY$1,),)))))/(((VLOOKUP(EDATE(B199,-12),Database!$F:$AY,MATCH($R$1,Database!$F$1:$AY$1,),))))</f>
        <v>-1.1644572751801892E-2</v>
      </c>
      <c r="S199" s="13">
        <f>((((VLOOKUP(B199,Database!$F:$AY,MATCH($S$1,Database!$F$1:$AY$1,),))))-(((VLOOKUP(EDATE(B199,-12),Database!$F:$AY,MATCH($S$1,Database!$F$1:$AY$1,),)))))/(((VLOOKUP(EDATE(B199,-12),Database!$F:$AY,MATCH($S$1,Database!$F$1:$AY$1,),))))</f>
        <v>-0.13941820954614254</v>
      </c>
      <c r="T199" s="13">
        <f>((((VLOOKUP(B199,Database!$F:$AY,MATCH($T$1,Database!$F$1:$AY$1,),))))-(((VLOOKUP(EDATE(B199,-12),Database!$F:$AY,MATCH($T$1,Database!$F$1:$AY$1,),)))))/(((VLOOKUP(EDATE(B199,-12),Database!$F:$AY,MATCH($T$1,Database!$F$1:$AY$1,),))))</f>
        <v>8.0807937953623593E-2</v>
      </c>
      <c r="U199" s="13">
        <f>((((VLOOKUP(B199,Database!$F:$AY,MATCH($U$1,Database!$F$1:$AY$1,),))))-(((VLOOKUP(EDATE(B199,-12),Database!$F:$AY,MATCH($U$1,Database!$F$1:$AY$1,),)))))/(((VLOOKUP(EDATE(B199,-12),Database!$F:$AY,MATCH($U$1,Database!$F$1:$AY$1,),))))</f>
        <v>9.4233427090169075E-2</v>
      </c>
      <c r="V199" s="13">
        <f>((((VLOOKUP(B199,Database!$F:$AY,MATCH($V$1,Database!$F$1:$AY$1,),))))-(((VLOOKUP(EDATE(B199,-12),Database!$F:$AY,MATCH($V$1,Database!$F$1:$AY$1,),)))))/(((VLOOKUP(EDATE(B199,-12),Database!$F:$AY,MATCH($V$1,Database!$F$1:$AY$1,),))))</f>
        <v>9.2936802973977703E-2</v>
      </c>
    </row>
    <row r="200" spans="1:22" s="85" customFormat="1" x14ac:dyDescent="0.2">
      <c r="A200" s="44"/>
      <c r="B200" s="91">
        <v>38231</v>
      </c>
      <c r="C200" s="13">
        <f>((((VLOOKUP(B200,Database!$F:$AY,MATCH($C$1,Database!$F$1:$AY$1,),))))-(((VLOOKUP(EDATE(B200,-12),Database!$F:$AY,MATCH($C$1,Database!$F$1:$AY$1,),)))))/(((VLOOKUP(EDATE(B200,-12),Database!$F:$AY,MATCH($C$1,Database!$F$1:$AY$1,),))))</f>
        <v>2.5677392980059912E-2</v>
      </c>
      <c r="D200" s="13">
        <f>((((VLOOKUP(B200,Database!$F:$AY,MATCH($D$1,Database!$F$1:$AY$1,),))))-(((VLOOKUP(EDATE(B200,-12),Database!$F:$AY,MATCH($D$1,Database!$F$1:$AY$1,),)))))/(((VLOOKUP(EDATE(B200,-12),Database!$F:$AY,MATCH($D$1,Database!$F$1:$AY$1,),))))</f>
        <v>3.8095343932983451E-2</v>
      </c>
      <c r="E200" s="13">
        <f>((((VLOOKUP(B200,Database!$F:$AY,MATCH($E$1,Database!$F$1:$AY$1,),))))-(((VLOOKUP(EDATE(B200,-12),Database!$F:$AY,MATCH($E$1,Database!$F$1:$AY$1,),)))))/(((VLOOKUP(EDATE(B200,-12),Database!$F:$AY,MATCH($E$1,Database!$F$1:$AY$1,),))))</f>
        <v>4.516821138289949E-2</v>
      </c>
      <c r="F200" s="13">
        <f>((((VLOOKUP(B200,Database!$F:$AY,MATCH($F$1,Database!$F$1:$AY$1,),))))-(((VLOOKUP(EDATE(B200,-12),Database!$F:$AY,MATCH($F$1,Database!$F$1:$AY$1,),)))))/(((VLOOKUP(EDATE(B200,-12),Database!$F:$AY,MATCH($F$1,Database!$F$1:$AY$1,),))))</f>
        <v>5.4846915183114249E-2</v>
      </c>
      <c r="G200" s="13">
        <f>((((VLOOKUP(B200,Database!$F:$AY,MATCH($G$1,Database!$F$1:$AY$1,),))))-(((VLOOKUP(EDATE(B200,-12),Database!$F:$AY,MATCH($G$1,Database!$F$1:$AY$1,),)))))/(((VLOOKUP(EDATE(B200,-12),Database!$F:$AY,MATCH($G$1,Database!$F$1:$AY$1,),))))</f>
        <v>3.0680293675489859E-2</v>
      </c>
      <c r="H200" s="13">
        <f>((((VLOOKUP(B200,Database!$F:$AY,MATCH($H$1,Database!$F$1:$AY$1,),))))-(((VLOOKUP(EDATE(B200,-12),Database!$F:$AY,MATCH($H$1,Database!$F$1:$AY$1,),)))))/(((VLOOKUP(EDATE(B200,-12),Database!$F:$AY,MATCH($H$1,Database!$F$1:$AY$1,),))))</f>
        <v>0</v>
      </c>
      <c r="I200" s="13">
        <f>((((VLOOKUP(B200,Database!$F:$AY,MATCH($I$1,Database!$F$1:$AY$1,),))))-(((VLOOKUP(EDATE(B200,-12),Database!$F:$AY,MATCH($I$1,Database!$F$1:$AY$1,),)))))/(((VLOOKUP(EDATE(B200,-12),Database!$F:$AY,MATCH($I$1,Database!$F$1:$AY$1,),))))</f>
        <v>7.4133020951496157E-3</v>
      </c>
      <c r="J200" s="13">
        <f>((((VLOOKUP(B200,Database!$F:$AY,MATCH($J$1,Database!$F$1:$AY$1,),))))-(((VLOOKUP(EDATE(B200,-12),Database!$F:$AY,MATCH($J$1,Database!$F$1:$AY$1,),)))))/(((VLOOKUP(EDATE(B200,-12),Database!$F:$AY,MATCH($J$1,Database!$F$1:$AY$1,),))))</f>
        <v>3.44207041878659E-2</v>
      </c>
      <c r="K200" s="13">
        <f>((((VLOOKUP(B200,Database!$F:$AY,MATCH($K$1,Database!$F$1:$AY$1,),))))-(((VLOOKUP(EDATE(B200,-12),Database!$F:$AY,MATCH($K$1,Database!$F$1:$AY$1,),)))))/(((VLOOKUP(EDATE(B200,-12),Database!$F:$AY,MATCH($K$1,Database!$F$1:$AY$1,),))))</f>
        <v>5.4368932038834895E-2</v>
      </c>
      <c r="L200" s="13">
        <f>((((VLOOKUP(B200,Database!$F:$AY,MATCH($L$1,Database!$F$1:$AY$1,),))))-(((VLOOKUP(EDATE(B200,-12),Database!$F:$AY,MATCH($L$1,Database!$F$1:$AY$1,),)))))/(((VLOOKUP(EDATE(B200,-12),Database!$F:$AY,MATCH($L$1,Database!$F$1:$AY$1,),))))</f>
        <v>4.297645689416113E-2</v>
      </c>
      <c r="M200" s="13">
        <f>((((VLOOKUP(B200,Database!$F:$AY,MATCH($M$1,Database!$F$1:$AY$1,),))))-(((VLOOKUP(EDATE(B200,-12),Database!$F:$AY,MATCH($M$1,Database!$F$1:$AY$1,),)))))/(((VLOOKUP(EDATE(B200,-12),Database!$F:$AY,MATCH($M$1,Database!$F$1:$AY$1,),))))</f>
        <v>5.6136538264559444E-2</v>
      </c>
      <c r="N200" s="13">
        <f>((((VLOOKUP(B200,Database!$F:$AY,MATCH($N$1,Database!$F$1:$AY$1,),))))-(((VLOOKUP(EDATE(B200,-12),Database!$F:$AY,MATCH($N$1,Database!$F$1:$AY$1,),)))))/(((VLOOKUP(EDATE(B200,-12),Database!$F:$AY,MATCH($N$1,Database!$F$1:$AY$1,),))))</f>
        <v>0.13058978546026465</v>
      </c>
      <c r="O200" s="13">
        <f>((((VLOOKUP(B200,Database!$F:$AY,MATCH($O$1,Database!$F$1:$AY$1,),))))-(((VLOOKUP(EDATE(B200,-12),Database!$F:$AY,MATCH($O$1,Database!$F$1:$AY$1,),)))))/(((VLOOKUP(EDATE(B200,-12),Database!$F:$AY,MATCH($O$1,Database!$F$1:$AY$1,),))))</f>
        <v>2.5342352705915772E-2</v>
      </c>
      <c r="P200" s="13">
        <f>((((VLOOKUP(B200,Database!$F:$AY,MATCH($P$1,Database!$F$1:$AY$1,),))))-(((VLOOKUP(EDATE(B200,-12),Database!$F:$AY,MATCH($P$1,Database!$F$1:$AY$1,),)))))/(((VLOOKUP(EDATE(B200,-12),Database!$F:$AY,MATCH($P$1,Database!$F$1:$AY$1,),))))</f>
        <v>8.7418846229961739E-2</v>
      </c>
      <c r="Q200" s="13">
        <f>((((VLOOKUP(B200,Database!$F:$AY,MATCH($Q$1,Database!$F$1:$AY$1,),))))-(((VLOOKUP(EDATE(B200,-12),Database!$F:$AY,MATCH($Q$1,Database!$F$1:$AY$1,),)))))/(((VLOOKUP(EDATE(B200,-12),Database!$F:$AY,MATCH($Q$1,Database!$F$1:$AY$1,),))))</f>
        <v>8.6207025761752751E-2</v>
      </c>
      <c r="R200" s="13">
        <f>((((VLOOKUP(B200,Database!$F:$AY,MATCH($R$1,Database!$F$1:$AY$1,),))))-(((VLOOKUP(EDATE(B200,-12),Database!$F:$AY,MATCH($R$1,Database!$F$1:$AY$1,),)))))/(((VLOOKUP(EDATE(B200,-12),Database!$F:$AY,MATCH($R$1,Database!$F$1:$AY$1,),))))</f>
        <v>-6.8544568722980308E-3</v>
      </c>
      <c r="S200" s="13">
        <f>((((VLOOKUP(B200,Database!$F:$AY,MATCH($S$1,Database!$F$1:$AY$1,),))))-(((VLOOKUP(EDATE(B200,-12),Database!$F:$AY,MATCH($S$1,Database!$F$1:$AY$1,),)))))/(((VLOOKUP(EDATE(B200,-12),Database!$F:$AY,MATCH($S$1,Database!$F$1:$AY$1,),))))</f>
        <v>6.1878333003780352E-2</v>
      </c>
      <c r="T200" s="13">
        <f>((((VLOOKUP(B200,Database!$F:$AY,MATCH($T$1,Database!$F$1:$AY$1,),))))-(((VLOOKUP(EDATE(B200,-12),Database!$F:$AY,MATCH($T$1,Database!$F$1:$AY$1,),)))))/(((VLOOKUP(EDATE(B200,-12),Database!$F:$AY,MATCH($T$1,Database!$F$1:$AY$1,),))))</f>
        <v>5.858568430342076E-2</v>
      </c>
      <c r="U200" s="13">
        <f>((((VLOOKUP(B200,Database!$F:$AY,MATCH($U$1,Database!$F$1:$AY$1,),))))-(((VLOOKUP(EDATE(B200,-12),Database!$F:$AY,MATCH($U$1,Database!$F$1:$AY$1,),)))))/(((VLOOKUP(EDATE(B200,-12),Database!$F:$AY,MATCH($U$1,Database!$F$1:$AY$1,),))))</f>
        <v>8.5434126976344962E-2</v>
      </c>
      <c r="V200" s="13">
        <f>((((VLOOKUP(B200,Database!$F:$AY,MATCH($V$1,Database!$F$1:$AY$1,),))))-(((VLOOKUP(EDATE(B200,-12),Database!$F:$AY,MATCH($V$1,Database!$F$1:$AY$1,),)))))/(((VLOOKUP(EDATE(B200,-12),Database!$F:$AY,MATCH($V$1,Database!$F$1:$AY$1,),))))</f>
        <v>9.8696461824953383E-2</v>
      </c>
    </row>
    <row r="201" spans="1:22" s="85" customFormat="1" x14ac:dyDescent="0.2">
      <c r="A201" s="44"/>
      <c r="B201" s="91">
        <v>38261</v>
      </c>
      <c r="C201" s="13">
        <f>((((VLOOKUP(B201,Database!$F:$AY,MATCH($C$1,Database!$F$1:$AY$1,),))))-(((VLOOKUP(EDATE(B201,-12),Database!$F:$AY,MATCH($C$1,Database!$F$1:$AY$1,),)))))/(((VLOOKUP(EDATE(B201,-12),Database!$F:$AY,MATCH($C$1,Database!$F$1:$AY$1,),))))</f>
        <v>3.3983334068240702E-2</v>
      </c>
      <c r="D201" s="13">
        <f>((((VLOOKUP(B201,Database!$F:$AY,MATCH($D$1,Database!$F$1:$AY$1,),))))-(((VLOOKUP(EDATE(B201,-12),Database!$F:$AY,MATCH($D$1,Database!$F$1:$AY$1,),)))))/(((VLOOKUP(EDATE(B201,-12),Database!$F:$AY,MATCH($D$1,Database!$F$1:$AY$1,),))))</f>
        <v>1.7543894054581847E-2</v>
      </c>
      <c r="E201" s="13">
        <f>((((VLOOKUP(B201,Database!$F:$AY,MATCH($E$1,Database!$F$1:$AY$1,),))))-(((VLOOKUP(EDATE(B201,-12),Database!$F:$AY,MATCH($E$1,Database!$F$1:$AY$1,),)))))/(((VLOOKUP(EDATE(B201,-12),Database!$F:$AY,MATCH($E$1,Database!$F$1:$AY$1,),))))</f>
        <v>1.350000859873156E-2</v>
      </c>
      <c r="F201" s="13">
        <f>((((VLOOKUP(B201,Database!$F:$AY,MATCH($F$1,Database!$F$1:$AY$1,),))))-(((VLOOKUP(EDATE(B201,-12),Database!$F:$AY,MATCH($F$1,Database!$F$1:$AY$1,),)))))/(((VLOOKUP(EDATE(B201,-12),Database!$F:$AY,MATCH($F$1,Database!$F$1:$AY$1,),))))</f>
        <v>3.5890984484227423E-2</v>
      </c>
      <c r="G201" s="13">
        <f>((((VLOOKUP(B201,Database!$F:$AY,MATCH($G$1,Database!$F$1:$AY$1,),))))-(((VLOOKUP(EDATE(B201,-12),Database!$F:$AY,MATCH($G$1,Database!$F$1:$AY$1,),)))))/(((VLOOKUP(EDATE(B201,-12),Database!$F:$AY,MATCH($G$1,Database!$F$1:$AY$1,),))))</f>
        <v>1.3797999108576601E-2</v>
      </c>
      <c r="H201" s="13">
        <f>((((VLOOKUP(B201,Database!$F:$AY,MATCH($H$1,Database!$F$1:$AY$1,),))))-(((VLOOKUP(EDATE(B201,-12),Database!$F:$AY,MATCH($H$1,Database!$F$1:$AY$1,),)))))/(((VLOOKUP(EDATE(B201,-12),Database!$F:$AY,MATCH($H$1,Database!$F$1:$AY$1,),))))</f>
        <v>-3.8461823421981865E-3</v>
      </c>
      <c r="I201" s="13">
        <f>((((VLOOKUP(B201,Database!$F:$AY,MATCH($I$1,Database!$F$1:$AY$1,),))))-(((VLOOKUP(EDATE(B201,-12),Database!$F:$AY,MATCH($I$1,Database!$F$1:$AY$1,),)))))/(((VLOOKUP(EDATE(B201,-12),Database!$F:$AY,MATCH($I$1,Database!$F$1:$AY$1,),))))</f>
        <v>4.0745033409460008E-3</v>
      </c>
      <c r="J201" s="13">
        <f>((((VLOOKUP(B201,Database!$F:$AY,MATCH($J$1,Database!$F$1:$AY$1,),))))-(((VLOOKUP(EDATE(B201,-12),Database!$F:$AY,MATCH($J$1,Database!$F$1:$AY$1,),)))))/(((VLOOKUP(EDATE(B201,-12),Database!$F:$AY,MATCH($J$1,Database!$F$1:$AY$1,),))))</f>
        <v>3.2429219443827787E-3</v>
      </c>
      <c r="K201" s="13">
        <f>((((VLOOKUP(B201,Database!$F:$AY,MATCH($K$1,Database!$F$1:$AY$1,),))))-(((VLOOKUP(EDATE(B201,-12),Database!$F:$AY,MATCH($K$1,Database!$F$1:$AY$1,),)))))/(((VLOOKUP(EDATE(B201,-12),Database!$F:$AY,MATCH($K$1,Database!$F$1:$AY$1,),))))</f>
        <v>5.5555555555555587E-2</v>
      </c>
      <c r="L201" s="13">
        <f>((((VLOOKUP(B201,Database!$F:$AY,MATCH($L$1,Database!$F$1:$AY$1,),))))-(((VLOOKUP(EDATE(B201,-12),Database!$F:$AY,MATCH($L$1,Database!$F$1:$AY$1,),)))))/(((VLOOKUP(EDATE(B201,-12),Database!$F:$AY,MATCH($L$1,Database!$F$1:$AY$1,),))))</f>
        <v>4.5161976998874052E-2</v>
      </c>
      <c r="M201" s="13">
        <f>((((VLOOKUP(B201,Database!$F:$AY,MATCH($M$1,Database!$F$1:$AY$1,),))))-(((VLOOKUP(EDATE(B201,-12),Database!$F:$AY,MATCH($M$1,Database!$F$1:$AY$1,),)))))/(((VLOOKUP(EDATE(B201,-12),Database!$F:$AY,MATCH($M$1,Database!$F$1:$AY$1,),))))</f>
        <v>6.4515123555928894E-2</v>
      </c>
      <c r="N201" s="13">
        <f>((((VLOOKUP(B201,Database!$F:$AY,MATCH($N$1,Database!$F$1:$AY$1,),))))-(((VLOOKUP(EDATE(B201,-12),Database!$F:$AY,MATCH($N$1,Database!$F$1:$AY$1,),)))))/(((VLOOKUP(EDATE(B201,-12),Database!$F:$AY,MATCH($N$1,Database!$F$1:$AY$1,),))))</f>
        <v>0.13852891994374261</v>
      </c>
      <c r="O201" s="13">
        <f>((((VLOOKUP(B201,Database!$F:$AY,MATCH($O$1,Database!$F$1:$AY$1,),))))-(((VLOOKUP(EDATE(B201,-12),Database!$F:$AY,MATCH($O$1,Database!$F$1:$AY$1,),)))))/(((VLOOKUP(EDATE(B201,-12),Database!$F:$AY,MATCH($O$1,Database!$F$1:$AY$1,),))))</f>
        <v>1.8619375295846556E-2</v>
      </c>
      <c r="P201" s="13">
        <f>((((VLOOKUP(B201,Database!$F:$AY,MATCH($P$1,Database!$F$1:$AY$1,),))))-(((VLOOKUP(EDATE(B201,-12),Database!$F:$AY,MATCH($P$1,Database!$F$1:$AY$1,),)))))/(((VLOOKUP(EDATE(B201,-12),Database!$F:$AY,MATCH($P$1,Database!$F$1:$AY$1,),))))</f>
        <v>6.0754606805929388E-2</v>
      </c>
      <c r="Q201" s="13">
        <f>((((VLOOKUP(B201,Database!$F:$AY,MATCH($Q$1,Database!$F$1:$AY$1,),))))-(((VLOOKUP(EDATE(B201,-12),Database!$F:$AY,MATCH($Q$1,Database!$F$1:$AY$1,),)))))/(((VLOOKUP(EDATE(B201,-12),Database!$F:$AY,MATCH($Q$1,Database!$F$1:$AY$1,),))))</f>
        <v>7.3529519796177889E-2</v>
      </c>
      <c r="R201" s="13">
        <f>((((VLOOKUP(B201,Database!$F:$AY,MATCH($R$1,Database!$F$1:$AY$1,),))))-(((VLOOKUP(EDATE(B201,-12),Database!$F:$AY,MATCH($R$1,Database!$F$1:$AY$1,),)))))/(((VLOOKUP(EDATE(B201,-12),Database!$F:$AY,MATCH($R$1,Database!$F$1:$AY$1,),))))</f>
        <v>-4.2787624774495617E-2</v>
      </c>
      <c r="S201" s="13">
        <f>((((VLOOKUP(B201,Database!$F:$AY,MATCH($S$1,Database!$F$1:$AY$1,),))))-(((VLOOKUP(EDATE(B201,-12),Database!$F:$AY,MATCH($S$1,Database!$F$1:$AY$1,),)))))/(((VLOOKUP(EDATE(B201,-12),Database!$F:$AY,MATCH($S$1,Database!$F$1:$AY$1,),))))</f>
        <v>-6.2862620592689863E-2</v>
      </c>
      <c r="T201" s="13">
        <f>((((VLOOKUP(B201,Database!$F:$AY,MATCH($T$1,Database!$F$1:$AY$1,),))))-(((VLOOKUP(EDATE(B201,-12),Database!$F:$AY,MATCH($T$1,Database!$F$1:$AY$1,),)))))/(((VLOOKUP(EDATE(B201,-12),Database!$F:$AY,MATCH($T$1,Database!$F$1:$AY$1,),))))</f>
        <v>3.2652922937256808E-2</v>
      </c>
      <c r="U201" s="13">
        <f>((((VLOOKUP(B201,Database!$F:$AY,MATCH($U$1,Database!$F$1:$AY$1,),))))-(((VLOOKUP(EDATE(B201,-12),Database!$F:$AY,MATCH($U$1,Database!$F$1:$AY$1,),)))))/(((VLOOKUP(EDATE(B201,-12),Database!$F:$AY,MATCH($U$1,Database!$F$1:$AY$1,),))))</f>
        <v>9.0529298547404047E-2</v>
      </c>
      <c r="V201" s="13">
        <f>((((VLOOKUP(B201,Database!$F:$AY,MATCH($V$1,Database!$F$1:$AY$1,),))))-(((VLOOKUP(EDATE(B201,-12),Database!$F:$AY,MATCH($V$1,Database!$F$1:$AY$1,),)))))/(((VLOOKUP(EDATE(B201,-12),Database!$F:$AY,MATCH($V$1,Database!$F$1:$AY$1,),))))</f>
        <v>8.5454545454545505E-2</v>
      </c>
    </row>
    <row r="202" spans="1:22" s="85" customFormat="1" x14ac:dyDescent="0.2">
      <c r="A202" s="44"/>
      <c r="B202" s="91">
        <v>38292</v>
      </c>
      <c r="C202" s="13">
        <f>((((VLOOKUP(B202,Database!$F:$AY,MATCH($C$1,Database!$F$1:$AY$1,),))))-(((VLOOKUP(EDATE(B202,-12),Database!$F:$AY,MATCH($C$1,Database!$F$1:$AY$1,),)))))/(((VLOOKUP(EDATE(B202,-12),Database!$F:$AY,MATCH($C$1,Database!$F$1:$AY$1,),))))</f>
        <v>2.8229150422186409E-2</v>
      </c>
      <c r="D202" s="13">
        <f>((((VLOOKUP(B202,Database!$F:$AY,MATCH($D$1,Database!$F$1:$AY$1,),))))-(((VLOOKUP(EDATE(B202,-12),Database!$F:$AY,MATCH($D$1,Database!$F$1:$AY$1,),)))))/(((VLOOKUP(EDATE(B202,-12),Database!$F:$AY,MATCH($D$1,Database!$F$1:$AY$1,),))))</f>
        <v>1.0362659394435911E-2</v>
      </c>
      <c r="E202" s="13">
        <f>((((VLOOKUP(B202,Database!$F:$AY,MATCH($E$1,Database!$F$1:$AY$1,),))))-(((VLOOKUP(EDATE(B202,-12),Database!$F:$AY,MATCH($E$1,Database!$F$1:$AY$1,),)))))/(((VLOOKUP(EDATE(B202,-12),Database!$F:$AY,MATCH($E$1,Database!$F$1:$AY$1,),))))</f>
        <v>2.3833949887494692E-2</v>
      </c>
      <c r="F202" s="13">
        <f>((((VLOOKUP(B202,Database!$F:$AY,MATCH($F$1,Database!$F$1:$AY$1,),))))-(((VLOOKUP(EDATE(B202,-12),Database!$F:$AY,MATCH($F$1,Database!$F$1:$AY$1,),)))))/(((VLOOKUP(EDATE(B202,-12),Database!$F:$AY,MATCH($F$1,Database!$F$1:$AY$1,),))))</f>
        <v>8.5784109460101832E-3</v>
      </c>
      <c r="G202" s="13">
        <f>((((VLOOKUP(B202,Database!$F:$AY,MATCH($G$1,Database!$F$1:$AY$1,),))))-(((VLOOKUP(EDATE(B202,-12),Database!$F:$AY,MATCH($G$1,Database!$F$1:$AY$1,),)))))/(((VLOOKUP(EDATE(B202,-12),Database!$F:$AY,MATCH($G$1,Database!$F$1:$AY$1,),))))</f>
        <v>1.6757567986193874E-2</v>
      </c>
      <c r="H202" s="13">
        <f>((((VLOOKUP(B202,Database!$F:$AY,MATCH($H$1,Database!$F$1:$AY$1,),))))-(((VLOOKUP(EDATE(B202,-12),Database!$F:$AY,MATCH($H$1,Database!$F$1:$AY$1,),)))))/(((VLOOKUP(EDATE(B202,-12),Database!$F:$AY,MATCH($H$1,Database!$F$1:$AY$1,),))))</f>
        <v>4.8260582975943045E-3</v>
      </c>
      <c r="I202" s="13">
        <f>((((VLOOKUP(B202,Database!$F:$AY,MATCH($I$1,Database!$F$1:$AY$1,),))))-(((VLOOKUP(EDATE(B202,-12),Database!$F:$AY,MATCH($I$1,Database!$F$1:$AY$1,),)))))/(((VLOOKUP(EDATE(B202,-12),Database!$F:$AY,MATCH($I$1,Database!$F$1:$AY$1,),))))</f>
        <v>-2.2562710684287179E-2</v>
      </c>
      <c r="J202" s="13">
        <f>((((VLOOKUP(B202,Database!$F:$AY,MATCH($J$1,Database!$F$1:$AY$1,),))))-(((VLOOKUP(EDATE(B202,-12),Database!$F:$AY,MATCH($J$1,Database!$F$1:$AY$1,),)))))/(((VLOOKUP(EDATE(B202,-12),Database!$F:$AY,MATCH($J$1,Database!$F$1:$AY$1,),))))</f>
        <v>2.0466879588668715E-2</v>
      </c>
      <c r="K202" s="13">
        <f>((((VLOOKUP(B202,Database!$F:$AY,MATCH($K$1,Database!$F$1:$AY$1,),))))-(((VLOOKUP(EDATE(B202,-12),Database!$F:$AY,MATCH($K$1,Database!$F$1:$AY$1,),)))))/(((VLOOKUP(EDATE(B202,-12),Database!$F:$AY,MATCH($K$1,Database!$F$1:$AY$1,),))))</f>
        <v>6.4516129032258146E-2</v>
      </c>
      <c r="L202" s="13">
        <f>((((VLOOKUP(B202,Database!$F:$AY,MATCH($L$1,Database!$F$1:$AY$1,),))))-(((VLOOKUP(EDATE(B202,-12),Database!$F:$AY,MATCH($L$1,Database!$F$1:$AY$1,),)))))/(((VLOOKUP(EDATE(B202,-12),Database!$F:$AY,MATCH($L$1,Database!$F$1:$AY$1,),))))</f>
        <v>4.2984397584247977E-2</v>
      </c>
      <c r="M202" s="13">
        <f>((((VLOOKUP(B202,Database!$F:$AY,MATCH($M$1,Database!$F$1:$AY$1,),))))-(((VLOOKUP(EDATE(B202,-12),Database!$F:$AY,MATCH($M$1,Database!$F$1:$AY$1,),)))))/(((VLOOKUP(EDATE(B202,-12),Database!$F:$AY,MATCH($M$1,Database!$F$1:$AY$1,),))))</f>
        <v>8.3366214926970633E-2</v>
      </c>
      <c r="N202" s="13">
        <f>((((VLOOKUP(B202,Database!$F:$AY,MATCH($N$1,Database!$F$1:$AY$1,),))))-(((VLOOKUP(EDATE(B202,-12),Database!$F:$AY,MATCH($N$1,Database!$F$1:$AY$1,),)))))/(((VLOOKUP(EDATE(B202,-12),Database!$F:$AY,MATCH($N$1,Database!$F$1:$AY$1,),))))</f>
        <v>0.11018117257450766</v>
      </c>
      <c r="O202" s="13">
        <f>((((VLOOKUP(B202,Database!$F:$AY,MATCH($O$1,Database!$F$1:$AY$1,),))))-(((VLOOKUP(EDATE(B202,-12),Database!$F:$AY,MATCH($O$1,Database!$F$1:$AY$1,),)))))/(((VLOOKUP(EDATE(B202,-12),Database!$F:$AY,MATCH($O$1,Database!$F$1:$AY$1,),))))</f>
        <v>1.7888561899075291E-2</v>
      </c>
      <c r="P202" s="13">
        <f>((((VLOOKUP(B202,Database!$F:$AY,MATCH($P$1,Database!$F$1:$AY$1,),))))-(((VLOOKUP(EDATE(B202,-12),Database!$F:$AY,MATCH($P$1,Database!$F$1:$AY$1,),)))))/(((VLOOKUP(EDATE(B202,-12),Database!$F:$AY,MATCH($P$1,Database!$F$1:$AY$1,),))))</f>
        <v>7.8525531281591537E-2</v>
      </c>
      <c r="Q202" s="13">
        <f>((((VLOOKUP(B202,Database!$F:$AY,MATCH($Q$1,Database!$F$1:$AY$1,),))))-(((VLOOKUP(EDATE(B202,-12),Database!$F:$AY,MATCH($Q$1,Database!$F$1:$AY$1,),)))))/(((VLOOKUP(EDATE(B202,-12),Database!$F:$AY,MATCH($Q$1,Database!$F$1:$AY$1,),))))</f>
        <v>5.8111398515923895E-2</v>
      </c>
      <c r="R202" s="13">
        <f>((((VLOOKUP(B202,Database!$F:$AY,MATCH($R$1,Database!$F$1:$AY$1,),))))-(((VLOOKUP(EDATE(B202,-12),Database!$F:$AY,MATCH($R$1,Database!$F$1:$AY$1,),)))))/(((VLOOKUP(EDATE(B202,-12),Database!$F:$AY,MATCH($R$1,Database!$F$1:$AY$1,),))))</f>
        <v>1.2676041442667324E-2</v>
      </c>
      <c r="S202" s="13">
        <f>((((VLOOKUP(B202,Database!$F:$AY,MATCH($S$1,Database!$F$1:$AY$1,),))))-(((VLOOKUP(EDATE(B202,-12),Database!$F:$AY,MATCH($S$1,Database!$F$1:$AY$1,),)))))/(((VLOOKUP(EDATE(B202,-12),Database!$F:$AY,MATCH($S$1,Database!$F$1:$AY$1,),))))</f>
        <v>-7.3500875165472199E-2</v>
      </c>
      <c r="T202" s="13">
        <f>((((VLOOKUP(B202,Database!$F:$AY,MATCH($T$1,Database!$F$1:$AY$1,),))))-(((VLOOKUP(EDATE(B202,-12),Database!$F:$AY,MATCH($T$1,Database!$F$1:$AY$1,),)))))/(((VLOOKUP(EDATE(B202,-12),Database!$F:$AY,MATCH($T$1,Database!$F$1:$AY$1,),))))</f>
        <v>4.3032892292451531E-2</v>
      </c>
      <c r="U202" s="13">
        <f>((((VLOOKUP(B202,Database!$F:$AY,MATCH($U$1,Database!$F$1:$AY$1,),))))-(((VLOOKUP(EDATE(B202,-12),Database!$F:$AY,MATCH($U$1,Database!$F$1:$AY$1,),)))))/(((VLOOKUP(EDATE(B202,-12),Database!$F:$AY,MATCH($U$1,Database!$F$1:$AY$1,),))))</f>
        <v>7.6922981810018734E-2</v>
      </c>
      <c r="V202" s="13">
        <f>((((VLOOKUP(B202,Database!$F:$AY,MATCH($V$1,Database!$F$1:$AY$1,),))))-(((VLOOKUP(EDATE(B202,-12),Database!$F:$AY,MATCH($V$1,Database!$F$1:$AY$1,),)))))/(((VLOOKUP(EDATE(B202,-12),Database!$F:$AY,MATCH($V$1,Database!$F$1:$AY$1,),))))</f>
        <v>8.6642599277978419E-2</v>
      </c>
    </row>
    <row r="203" spans="1:22" s="85" customFormat="1" x14ac:dyDescent="0.2">
      <c r="A203" s="44"/>
      <c r="B203" s="91">
        <v>38322</v>
      </c>
      <c r="C203" s="13">
        <f>((((VLOOKUP(B203,Database!$F:$AY,MATCH($C$1,Database!$F$1:$AY$1,),))))-(((VLOOKUP(EDATE(B203,-12),Database!$F:$AY,MATCH($C$1,Database!$F$1:$AY$1,),)))))/(((VLOOKUP(EDATE(B203,-12),Database!$F:$AY,MATCH($C$1,Database!$F$1:$AY$1,),))))</f>
        <v>3.6531431282456513E-2</v>
      </c>
      <c r="D203" s="13">
        <f>((((VLOOKUP(B203,Database!$F:$AY,MATCH($D$1,Database!$F$1:$AY$1,),))))-(((VLOOKUP(EDATE(B203,-12),Database!$F:$AY,MATCH($D$1,Database!$F$1:$AY$1,),)))))/(((VLOOKUP(EDATE(B203,-12),Database!$F:$AY,MATCH($D$1,Database!$F$1:$AY$1,),))))</f>
        <v>7.231370268620251E-3</v>
      </c>
      <c r="E203" s="13">
        <f>((((VLOOKUP(B203,Database!$F:$AY,MATCH($E$1,Database!$F$1:$AY$1,),))))-(((VLOOKUP(EDATE(B203,-12),Database!$F:$AY,MATCH($E$1,Database!$F$1:$AY$1,),)))))/(((VLOOKUP(EDATE(B203,-12),Database!$F:$AY,MATCH($E$1,Database!$F$1:$AY$1,),))))</f>
        <v>1.35140434151795E-2</v>
      </c>
      <c r="F203" s="13">
        <f>((((VLOOKUP(B203,Database!$F:$AY,MATCH($F$1,Database!$F$1:$AY$1,),))))-(((VLOOKUP(EDATE(B203,-12),Database!$F:$AY,MATCH($F$1,Database!$F$1:$AY$1,),)))))/(((VLOOKUP(EDATE(B203,-12),Database!$F:$AY,MATCH($F$1,Database!$F$1:$AY$1,),))))</f>
        <v>-1.2194919673788075E-3</v>
      </c>
      <c r="G203" s="13">
        <f>((((VLOOKUP(B203,Database!$F:$AY,MATCH($G$1,Database!$F$1:$AY$1,),))))-(((VLOOKUP(EDATE(B203,-12),Database!$F:$AY,MATCH($G$1,Database!$F$1:$AY$1,),)))))/(((VLOOKUP(EDATE(B203,-12),Database!$F:$AY,MATCH($G$1,Database!$F$1:$AY$1,),))))</f>
        <v>1.2978537548934117E-2</v>
      </c>
      <c r="H203" s="13">
        <f>((((VLOOKUP(B203,Database!$F:$AY,MATCH($H$1,Database!$F$1:$AY$1,),))))-(((VLOOKUP(EDATE(B203,-12),Database!$F:$AY,MATCH($H$1,Database!$F$1:$AY$1,),)))))/(((VLOOKUP(EDATE(B203,-12),Database!$F:$AY,MATCH($H$1,Database!$F$1:$AY$1,),))))</f>
        <v>-1.9170993068522387E-3</v>
      </c>
      <c r="I203" s="13">
        <f>((((VLOOKUP(B203,Database!$F:$AY,MATCH($I$1,Database!$F$1:$AY$1,),))))-(((VLOOKUP(EDATE(B203,-12),Database!$F:$AY,MATCH($I$1,Database!$F$1:$AY$1,),)))))/(((VLOOKUP(EDATE(B203,-12),Database!$F:$AY,MATCH($I$1,Database!$F$1:$AY$1,),))))</f>
        <v>-3.0595935089624996E-2</v>
      </c>
      <c r="J203" s="13">
        <f>((((VLOOKUP(B203,Database!$F:$AY,MATCH($J$1,Database!$F$1:$AY$1,),))))-(((VLOOKUP(EDATE(B203,-12),Database!$F:$AY,MATCH($J$1,Database!$F$1:$AY$1,),)))))/(((VLOOKUP(EDATE(B203,-12),Database!$F:$AY,MATCH($J$1,Database!$F$1:$AY$1,),))))</f>
        <v>5.2459239009626686E-3</v>
      </c>
      <c r="K203" s="13">
        <f>((((VLOOKUP(B203,Database!$F:$AY,MATCH($K$1,Database!$F$1:$AY$1,),))))-(((VLOOKUP(EDATE(B203,-12),Database!$F:$AY,MATCH($K$1,Database!$F$1:$AY$1,),)))))/(((VLOOKUP(EDATE(B203,-12),Database!$F:$AY,MATCH($K$1,Database!$F$1:$AY$1,),))))</f>
        <v>2.8598665395614597E-3</v>
      </c>
      <c r="L203" s="13">
        <f>((((VLOOKUP(B203,Database!$F:$AY,MATCH($L$1,Database!$F$1:$AY$1,),))))-(((VLOOKUP(EDATE(B203,-12),Database!$F:$AY,MATCH($L$1,Database!$F$1:$AY$1,),)))))/(((VLOOKUP(EDATE(B203,-12),Database!$F:$AY,MATCH($L$1,Database!$F$1:$AY$1,),))))</f>
        <v>2.3133060207126053E-2</v>
      </c>
      <c r="M203" s="13">
        <f>((((VLOOKUP(B203,Database!$F:$AY,MATCH($M$1,Database!$F$1:$AY$1,),))))-(((VLOOKUP(EDATE(B203,-12),Database!$F:$AY,MATCH($M$1,Database!$F$1:$AY$1,),)))))/(((VLOOKUP(EDATE(B203,-12),Database!$F:$AY,MATCH($M$1,Database!$F$1:$AY$1,),))))</f>
        <v>6.4761137117524875E-2</v>
      </c>
      <c r="N203" s="13">
        <f>((((VLOOKUP(B203,Database!$F:$AY,MATCH($N$1,Database!$F$1:$AY$1,),))))-(((VLOOKUP(EDATE(B203,-12),Database!$F:$AY,MATCH($N$1,Database!$F$1:$AY$1,),)))))/(((VLOOKUP(EDATE(B203,-12),Database!$F:$AY,MATCH($N$1,Database!$F$1:$AY$1,),))))</f>
        <v>0.12411103373971327</v>
      </c>
      <c r="O203" s="13">
        <f>((((VLOOKUP(B203,Database!$F:$AY,MATCH($O$1,Database!$F$1:$AY$1,),))))-(((VLOOKUP(EDATE(B203,-12),Database!$F:$AY,MATCH($O$1,Database!$F$1:$AY$1,),)))))/(((VLOOKUP(EDATE(B203,-12),Database!$F:$AY,MATCH($O$1,Database!$F$1:$AY$1,),))))</f>
        <v>1.6407903149807796E-2</v>
      </c>
      <c r="P203" s="13">
        <f>((((VLOOKUP(B203,Database!$F:$AY,MATCH($P$1,Database!$F$1:$AY$1,),))))-(((VLOOKUP(EDATE(B203,-12),Database!$F:$AY,MATCH($P$1,Database!$F$1:$AY$1,),)))))/(((VLOOKUP(EDATE(B203,-12),Database!$F:$AY,MATCH($P$1,Database!$F$1:$AY$1,),))))</f>
        <v>4.2130364871094915E-2</v>
      </c>
      <c r="Q203" s="13">
        <f>((((VLOOKUP(B203,Database!$F:$AY,MATCH($Q$1,Database!$F$1:$AY$1,),))))-(((VLOOKUP(EDATE(B203,-12),Database!$F:$AY,MATCH($Q$1,Database!$F$1:$AY$1,),)))))/(((VLOOKUP(EDATE(B203,-12),Database!$F:$AY,MATCH($Q$1,Database!$F$1:$AY$1,),))))</f>
        <v>8.6100758774164177E-2</v>
      </c>
      <c r="R203" s="13">
        <f>((((VLOOKUP(B203,Database!$F:$AY,MATCH($R$1,Database!$F$1:$AY$1,),))))-(((VLOOKUP(EDATE(B203,-12),Database!$F:$AY,MATCH($R$1,Database!$F$1:$AY$1,),)))))/(((VLOOKUP(EDATE(B203,-12),Database!$F:$AY,MATCH($R$1,Database!$F$1:$AY$1,),))))</f>
        <v>-3.3333401439909142E-2</v>
      </c>
      <c r="S203" s="13">
        <f>((((VLOOKUP(B203,Database!$F:$AY,MATCH($S$1,Database!$F$1:$AY$1,),))))-(((VLOOKUP(EDATE(B203,-12),Database!$F:$AY,MATCH($S$1,Database!$F$1:$AY$1,),)))))/(((VLOOKUP(EDATE(B203,-12),Database!$F:$AY,MATCH($S$1,Database!$F$1:$AY$1,),))))</f>
        <v>1.2244972980289755E-2</v>
      </c>
      <c r="T203" s="13">
        <f>((((VLOOKUP(B203,Database!$F:$AY,MATCH($T$1,Database!$F$1:$AY$1,),))))-(((VLOOKUP(EDATE(B203,-12),Database!$F:$AY,MATCH($T$1,Database!$F$1:$AY$1,),)))))/(((VLOOKUP(EDATE(B203,-12),Database!$F:$AY,MATCH($T$1,Database!$F$1:$AY$1,),))))</f>
        <v>4.2253419097687289E-2</v>
      </c>
      <c r="U203" s="13">
        <f>((((VLOOKUP(B203,Database!$F:$AY,MATCH($U$1,Database!$F$1:$AY$1,),))))-(((VLOOKUP(EDATE(B203,-12),Database!$F:$AY,MATCH($U$1,Database!$F$1:$AY$1,),)))))/(((VLOOKUP(EDATE(B203,-12),Database!$F:$AY,MATCH($U$1,Database!$F$1:$AY$1,),))))</f>
        <v>4.1610689780673532E-2</v>
      </c>
      <c r="V203" s="13">
        <f>((((VLOOKUP(B203,Database!$F:$AY,MATCH($V$1,Database!$F$1:$AY$1,),))))-(((VLOOKUP(EDATE(B203,-12),Database!$F:$AY,MATCH($V$1,Database!$F$1:$AY$1,),)))))/(((VLOOKUP(EDATE(B203,-12),Database!$F:$AY,MATCH($V$1,Database!$F$1:$AY$1,),))))</f>
        <v>2.1201413427561763E-2</v>
      </c>
    </row>
    <row r="204" spans="1:22" s="85" customFormat="1" x14ac:dyDescent="0.2">
      <c r="A204" s="44"/>
      <c r="B204" s="91">
        <v>38353</v>
      </c>
      <c r="C204" s="13">
        <f>((((VLOOKUP(B204,Database!$F:$AY,MATCH($C$1,Database!$F$1:$AY$1,),))))-(((VLOOKUP(EDATE(B204,-12),Database!$F:$AY,MATCH($C$1,Database!$F$1:$AY$1,),)))))/(((VLOOKUP(EDATE(B204,-12),Database!$F:$AY,MATCH($C$1,Database!$F$1:$AY$1,),))))</f>
        <v>3.8650560870613172E-2</v>
      </c>
      <c r="D204" s="13">
        <f>((((VLOOKUP(B204,Database!$F:$AY,MATCH($D$1,Database!$F$1:$AY$1,),))))-(((VLOOKUP(EDATE(B204,-12),Database!$F:$AY,MATCH($D$1,Database!$F$1:$AY$1,),)))))/(((VLOOKUP(EDATE(B204,-12),Database!$F:$AY,MATCH($D$1,Database!$F$1:$AY$1,),))))</f>
        <v>1.6546088137960505E-2</v>
      </c>
      <c r="E204" s="13">
        <f>((((VLOOKUP(B204,Database!$F:$AY,MATCH($E$1,Database!$F$1:$AY$1,),))))-(((VLOOKUP(EDATE(B204,-12),Database!$F:$AY,MATCH($E$1,Database!$F$1:$AY$1,),)))))/(((VLOOKUP(EDATE(B204,-12),Database!$F:$AY,MATCH($E$1,Database!$F$1:$AY$1,),))))</f>
        <v>1.9407813122617482E-2</v>
      </c>
      <c r="F204" s="13">
        <f>((((VLOOKUP(B204,Database!$F:$AY,MATCH($F$1,Database!$F$1:$AY$1,),))))-(((VLOOKUP(EDATE(B204,-12),Database!$F:$AY,MATCH($F$1,Database!$F$1:$AY$1,),)))))/(((VLOOKUP(EDATE(B204,-12),Database!$F:$AY,MATCH($F$1,Database!$F$1:$AY$1,),))))</f>
        <v>3.8130358456663752E-2</v>
      </c>
      <c r="G204" s="13">
        <f>((((VLOOKUP(B204,Database!$F:$AY,MATCH($G$1,Database!$F$1:$AY$1,),))))-(((VLOOKUP(EDATE(B204,-12),Database!$F:$AY,MATCH($G$1,Database!$F$1:$AY$1,),)))))/(((VLOOKUP(EDATE(B204,-12),Database!$F:$AY,MATCH($G$1,Database!$F$1:$AY$1,),))))</f>
        <v>2.2951530208694379E-2</v>
      </c>
      <c r="H204" s="13">
        <f>((((VLOOKUP(B204,Database!$F:$AY,MATCH($H$1,Database!$F$1:$AY$1,),))))-(((VLOOKUP(EDATE(B204,-12),Database!$F:$AY,MATCH($H$1,Database!$F$1:$AY$1,),)))))/(((VLOOKUP(EDATE(B204,-12),Database!$F:$AY,MATCH($H$1,Database!$F$1:$AY$1,),))))</f>
        <v>-1.9291194874505313E-3</v>
      </c>
      <c r="I204" s="13">
        <f>((((VLOOKUP(B204,Database!$F:$AY,MATCH($I$1,Database!$F$1:$AY$1,),))))-(((VLOOKUP(EDATE(B204,-12),Database!$F:$AY,MATCH($I$1,Database!$F$1:$AY$1,),)))))/(((VLOOKUP(EDATE(B204,-12),Database!$F:$AY,MATCH($I$1,Database!$F$1:$AY$1,),))))</f>
        <v>-2.9814722736858847E-2</v>
      </c>
      <c r="J204" s="13">
        <f>((((VLOOKUP(B204,Database!$F:$AY,MATCH($J$1,Database!$F$1:$AY$1,),))))-(((VLOOKUP(EDATE(B204,-12),Database!$F:$AY,MATCH($J$1,Database!$F$1:$AY$1,),)))))/(((VLOOKUP(EDATE(B204,-12),Database!$F:$AY,MATCH($J$1,Database!$F$1:$AY$1,),))))</f>
        <v>8.6194291789085508E-3</v>
      </c>
      <c r="K204" s="13">
        <f>((((VLOOKUP(B204,Database!$F:$AY,MATCH($K$1,Database!$F$1:$AY$1,),))))-(((VLOOKUP(EDATE(B204,-12),Database!$F:$AY,MATCH($K$1,Database!$F$1:$AY$1,),)))))/(((VLOOKUP(EDATE(B204,-12),Database!$F:$AY,MATCH($K$1,Database!$F$1:$AY$1,),))))</f>
        <v>-6.6037735849056875E-3</v>
      </c>
      <c r="L204" s="13">
        <f>((((VLOOKUP(B204,Database!$F:$AY,MATCH($L$1,Database!$F$1:$AY$1,),))))-(((VLOOKUP(EDATE(B204,-12),Database!$F:$AY,MATCH($L$1,Database!$F$1:$AY$1,),)))))/(((VLOOKUP(EDATE(B204,-12),Database!$F:$AY,MATCH($L$1,Database!$F$1:$AY$1,),))))</f>
        <v>2.9545896750037281E-2</v>
      </c>
      <c r="M204" s="13">
        <f>((((VLOOKUP(B204,Database!$F:$AY,MATCH($M$1,Database!$F$1:$AY$1,),))))-(((VLOOKUP(EDATE(B204,-12),Database!$F:$AY,MATCH($M$1,Database!$F$1:$AY$1,),)))))/(((VLOOKUP(EDATE(B204,-12),Database!$F:$AY,MATCH($M$1,Database!$F$1:$AY$1,),))))</f>
        <v>4.9175399036123169E-2</v>
      </c>
      <c r="N204" s="13">
        <f>((((VLOOKUP(B204,Database!$F:$AY,MATCH($N$1,Database!$F$1:$AY$1,),))))-(((VLOOKUP(EDATE(B204,-12),Database!$F:$AY,MATCH($N$1,Database!$F$1:$AY$1,),)))))/(((VLOOKUP(EDATE(B204,-12),Database!$F:$AY,MATCH($N$1,Database!$F$1:$AY$1,),))))</f>
        <v>0.1069619342979584</v>
      </c>
      <c r="O204" s="13">
        <f>((((VLOOKUP(B204,Database!$F:$AY,MATCH($O$1,Database!$F$1:$AY$1,),))))-(((VLOOKUP(EDATE(B204,-12),Database!$F:$AY,MATCH($O$1,Database!$F$1:$AY$1,),)))))/(((VLOOKUP(EDATE(B204,-12),Database!$F:$AY,MATCH($O$1,Database!$F$1:$AY$1,),))))</f>
        <v>3.3746681272259618E-2</v>
      </c>
      <c r="P204" s="13">
        <f>((((VLOOKUP(B204,Database!$F:$AY,MATCH($P$1,Database!$F$1:$AY$1,),))))-(((VLOOKUP(EDATE(B204,-12),Database!$F:$AY,MATCH($P$1,Database!$F$1:$AY$1,),)))))/(((VLOOKUP(EDATE(B204,-12),Database!$F:$AY,MATCH($P$1,Database!$F$1:$AY$1,),))))</f>
        <v>7.2543322941606009E-2</v>
      </c>
      <c r="Q204" s="13">
        <f>((((VLOOKUP(B204,Database!$F:$AY,MATCH($Q$1,Database!$F$1:$AY$1,),))))-(((VLOOKUP(EDATE(B204,-12),Database!$F:$AY,MATCH($Q$1,Database!$F$1:$AY$1,),)))))/(((VLOOKUP(EDATE(B204,-12),Database!$F:$AY,MATCH($Q$1,Database!$F$1:$AY$1,),))))</f>
        <v>7.2551497338618723E-2</v>
      </c>
      <c r="R204" s="13">
        <f>((((VLOOKUP(B204,Database!$F:$AY,MATCH($R$1,Database!$F$1:$AY$1,),))))-(((VLOOKUP(EDATE(B204,-12),Database!$F:$AY,MATCH($R$1,Database!$F$1:$AY$1,),)))))/(((VLOOKUP(EDATE(B204,-12),Database!$F:$AY,MATCH($R$1,Database!$F$1:$AY$1,),))))</f>
        <v>1.6311915231720417E-2</v>
      </c>
      <c r="S204" s="13">
        <f>((((VLOOKUP(B204,Database!$F:$AY,MATCH($S$1,Database!$F$1:$AY$1,),))))-(((VLOOKUP(EDATE(B204,-12),Database!$F:$AY,MATCH($S$1,Database!$F$1:$AY$1,),)))))/(((VLOOKUP(EDATE(B204,-12),Database!$F:$AY,MATCH($S$1,Database!$F$1:$AY$1,),))))</f>
        <v>3.1982956206560637E-2</v>
      </c>
      <c r="T204" s="13">
        <f>((((VLOOKUP(B204,Database!$F:$AY,MATCH($T$1,Database!$F$1:$AY$1,),))))-(((VLOOKUP(EDATE(B204,-12),Database!$F:$AY,MATCH($T$1,Database!$F$1:$AY$1,),)))))/(((VLOOKUP(EDATE(B204,-12),Database!$F:$AY,MATCH($T$1,Database!$F$1:$AY$1,),))))</f>
        <v>0.19207918125451651</v>
      </c>
      <c r="U204" s="13">
        <f>((((VLOOKUP(B204,Database!$F:$AY,MATCH($U$1,Database!$F$1:$AY$1,),))))-(((VLOOKUP(EDATE(B204,-12),Database!$F:$AY,MATCH($U$1,Database!$F$1:$AY$1,),)))))/(((VLOOKUP(EDATE(B204,-12),Database!$F:$AY,MATCH($U$1,Database!$F$1:$AY$1,),))))</f>
        <v>3.897853943399162E-2</v>
      </c>
      <c r="V204" s="13">
        <f>((((VLOOKUP(B204,Database!$F:$AY,MATCH($V$1,Database!$F$1:$AY$1,),))))-(((VLOOKUP(EDATE(B204,-12),Database!$F:$AY,MATCH($V$1,Database!$F$1:$AY$1,),)))))/(((VLOOKUP(EDATE(B204,-12),Database!$F:$AY,MATCH($V$1,Database!$F$1:$AY$1,),))))</f>
        <v>4.4982698961937746E-2</v>
      </c>
    </row>
    <row r="205" spans="1:22" s="85" customFormat="1" x14ac:dyDescent="0.2">
      <c r="A205" s="44"/>
      <c r="B205" s="91">
        <v>38384</v>
      </c>
      <c r="C205" s="13">
        <f>((((VLOOKUP(B205,Database!$F:$AY,MATCH($C$1,Database!$F$1:$AY$1,),))))-(((VLOOKUP(EDATE(B205,-12),Database!$F:$AY,MATCH($C$1,Database!$F$1:$AY$1,),)))))/(((VLOOKUP(EDATE(B205,-12),Database!$F:$AY,MATCH($C$1,Database!$F$1:$AY$1,),))))</f>
        <v>3.9496411934489169E-2</v>
      </c>
      <c r="D205" s="13">
        <f>((((VLOOKUP(B205,Database!$F:$AY,MATCH($D$1,Database!$F$1:$AY$1,),))))-(((VLOOKUP(EDATE(B205,-12),Database!$F:$AY,MATCH($D$1,Database!$F$1:$AY$1,),)))))/(((VLOOKUP(EDATE(B205,-12),Database!$F:$AY,MATCH($D$1,Database!$F$1:$AY$1,),))))</f>
        <v>1.0298729489630629E-2</v>
      </c>
      <c r="E205" s="13">
        <f>((((VLOOKUP(B205,Database!$F:$AY,MATCH($E$1,Database!$F$1:$AY$1,),))))-(((VLOOKUP(EDATE(B205,-12),Database!$F:$AY,MATCH($E$1,Database!$F$1:$AY$1,),)))))/(((VLOOKUP(EDATE(B205,-12),Database!$F:$AY,MATCH($E$1,Database!$F$1:$AY$1,),))))</f>
        <v>2.2540620439745196E-2</v>
      </c>
      <c r="F205" s="13">
        <f>((((VLOOKUP(B205,Database!$F:$AY,MATCH($F$1,Database!$F$1:$AY$1,),))))-(((VLOOKUP(EDATE(B205,-12),Database!$F:$AY,MATCH($F$1,Database!$F$1:$AY$1,),)))))/(((VLOOKUP(EDATE(B205,-12),Database!$F:$AY,MATCH($F$1,Database!$F$1:$AY$1,),))))</f>
        <v>1.7135944868844014E-2</v>
      </c>
      <c r="G205" s="13">
        <f>((((VLOOKUP(B205,Database!$F:$AY,MATCH($G$1,Database!$F$1:$AY$1,),))))-(((VLOOKUP(EDATE(B205,-12),Database!$F:$AY,MATCH($G$1,Database!$F$1:$AY$1,),)))))/(((VLOOKUP(EDATE(B205,-12),Database!$F:$AY,MATCH($G$1,Database!$F$1:$AY$1,),))))</f>
        <v>9.052157627030676E-4</v>
      </c>
      <c r="H205" s="13">
        <f>((((VLOOKUP(B205,Database!$F:$AY,MATCH($H$1,Database!$F$1:$AY$1,),))))-(((VLOOKUP(EDATE(B205,-12),Database!$F:$AY,MATCH($H$1,Database!$F$1:$AY$1,),)))))/(((VLOOKUP(EDATE(B205,-12),Database!$F:$AY,MATCH($H$1,Database!$F$1:$AY$1,),))))</f>
        <v>2.9016098112602507E-3</v>
      </c>
      <c r="I205" s="13">
        <f>((((VLOOKUP(B205,Database!$F:$AY,MATCH($I$1,Database!$F$1:$AY$1,),))))-(((VLOOKUP(EDATE(B205,-12),Database!$F:$AY,MATCH($I$1,Database!$F$1:$AY$1,),)))))/(((VLOOKUP(EDATE(B205,-12),Database!$F:$AY,MATCH($I$1,Database!$F$1:$AY$1,),))))</f>
        <v>-2.1827201456548088E-2</v>
      </c>
      <c r="J205" s="13">
        <f>((((VLOOKUP(B205,Database!$F:$AY,MATCH($J$1,Database!$F$1:$AY$1,),))))-(((VLOOKUP(EDATE(B205,-12),Database!$F:$AY,MATCH($J$1,Database!$F$1:$AY$1,),)))))/(((VLOOKUP(EDATE(B205,-12),Database!$F:$AY,MATCH($J$1,Database!$F$1:$AY$1,),))))</f>
        <v>9.1771798413843413E-3</v>
      </c>
      <c r="K205" s="13">
        <f>((((VLOOKUP(B205,Database!$F:$AY,MATCH($K$1,Database!$F$1:$AY$1,),))))-(((VLOOKUP(EDATE(B205,-12),Database!$F:$AY,MATCH($K$1,Database!$F$1:$AY$1,),)))))/(((VLOOKUP(EDATE(B205,-12),Database!$F:$AY,MATCH($K$1,Database!$F$1:$AY$1,),))))</f>
        <v>3.6688617121354711E-2</v>
      </c>
      <c r="L205" s="13">
        <f>((((VLOOKUP(B205,Database!$F:$AY,MATCH($L$1,Database!$F$1:$AY$1,),))))-(((VLOOKUP(EDATE(B205,-12),Database!$F:$AY,MATCH($L$1,Database!$F$1:$AY$1,),)))))/(((VLOOKUP(EDATE(B205,-12),Database!$F:$AY,MATCH($L$1,Database!$F$1:$AY$1,),))))</f>
        <v>2.4415351972463986E-2</v>
      </c>
      <c r="M205" s="13">
        <f>((((VLOOKUP(B205,Database!$F:$AY,MATCH($M$1,Database!$F$1:$AY$1,),))))-(((VLOOKUP(EDATE(B205,-12),Database!$F:$AY,MATCH($M$1,Database!$F$1:$AY$1,),)))))/(((VLOOKUP(EDATE(B205,-12),Database!$F:$AY,MATCH($M$1,Database!$F$1:$AY$1,),))))</f>
        <v>0.10136363675038045</v>
      </c>
      <c r="N205" s="13">
        <f>((((VLOOKUP(B205,Database!$F:$AY,MATCH($N$1,Database!$F$1:$AY$1,),))))-(((VLOOKUP(EDATE(B205,-12),Database!$F:$AY,MATCH($N$1,Database!$F$1:$AY$1,),)))))/(((VLOOKUP(EDATE(B205,-12),Database!$F:$AY,MATCH($N$1,Database!$F$1:$AY$1,),))))</f>
        <v>0.13783282405567421</v>
      </c>
      <c r="O205" s="13">
        <f>((((VLOOKUP(B205,Database!$F:$AY,MATCH($O$1,Database!$F$1:$AY$1,),))))-(((VLOOKUP(EDATE(B205,-12),Database!$F:$AY,MATCH($O$1,Database!$F$1:$AY$1,),)))))/(((VLOOKUP(EDATE(B205,-12),Database!$F:$AY,MATCH($O$1,Database!$F$1:$AY$1,),))))</f>
        <v>2.6848440717265481E-2</v>
      </c>
      <c r="P205" s="13">
        <f>((((VLOOKUP(B205,Database!$F:$AY,MATCH($P$1,Database!$F$1:$AY$1,),))))-(((VLOOKUP(EDATE(B205,-12),Database!$F:$AY,MATCH($P$1,Database!$F$1:$AY$1,),)))))/(((VLOOKUP(EDATE(B205,-12),Database!$F:$AY,MATCH($P$1,Database!$F$1:$AY$1,),))))</f>
        <v>1.2047661401174629E-2</v>
      </c>
      <c r="Q205" s="13">
        <f>((((VLOOKUP(B205,Database!$F:$AY,MATCH($Q$1,Database!$F$1:$AY$1,),))))-(((VLOOKUP(EDATE(B205,-12),Database!$F:$AY,MATCH($Q$1,Database!$F$1:$AY$1,),)))))/(((VLOOKUP(EDATE(B205,-12),Database!$F:$AY,MATCH($Q$1,Database!$F$1:$AY$1,),))))</f>
        <v>4.0476160870535981E-2</v>
      </c>
      <c r="R205" s="13">
        <f>((((VLOOKUP(B205,Database!$F:$AY,MATCH($R$1,Database!$F$1:$AY$1,),))))-(((VLOOKUP(EDATE(B205,-12),Database!$F:$AY,MATCH($R$1,Database!$F$1:$AY$1,),)))))/(((VLOOKUP(EDATE(B205,-12),Database!$F:$AY,MATCH($R$1,Database!$F$1:$AY$1,),))))</f>
        <v>-4.8747600791173764E-3</v>
      </c>
      <c r="S205" s="13">
        <f>((((VLOOKUP(B205,Database!$F:$AY,MATCH($S$1,Database!$F$1:$AY$1,),))))-(((VLOOKUP(EDATE(B205,-12),Database!$F:$AY,MATCH($S$1,Database!$F$1:$AY$1,),)))))/(((VLOOKUP(EDATE(B205,-12),Database!$F:$AY,MATCH($S$1,Database!$F$1:$AY$1,),))))</f>
        <v>5.1633198766368918E-2</v>
      </c>
      <c r="T205" s="13">
        <f>((((VLOOKUP(B205,Database!$F:$AY,MATCH($T$1,Database!$F$1:$AY$1,),))))-(((VLOOKUP(EDATE(B205,-12),Database!$F:$AY,MATCH($T$1,Database!$F$1:$AY$1,),)))))/(((VLOOKUP(EDATE(B205,-12),Database!$F:$AY,MATCH($T$1,Database!$F$1:$AY$1,),))))</f>
        <v>0.13359521500415739</v>
      </c>
      <c r="U205" s="13">
        <f>((((VLOOKUP(B205,Database!$F:$AY,MATCH($U$1,Database!$F$1:$AY$1,),))))-(((VLOOKUP(EDATE(B205,-12),Database!$F:$AY,MATCH($U$1,Database!$F$1:$AY$1,),)))))/(((VLOOKUP(EDATE(B205,-12),Database!$F:$AY,MATCH($U$1,Database!$F$1:$AY$1,),))))</f>
        <v>7.822685448761935E-3</v>
      </c>
      <c r="V205" s="13">
        <f>((((VLOOKUP(B205,Database!$F:$AY,MATCH($V$1,Database!$F$1:$AY$1,),))))-(((VLOOKUP(EDATE(B205,-12),Database!$F:$AY,MATCH($V$1,Database!$F$1:$AY$1,),)))))/(((VLOOKUP(EDATE(B205,-12),Database!$F:$AY,MATCH($V$1,Database!$F$1:$AY$1,),))))</f>
        <v>3.6144578313253038E-2</v>
      </c>
    </row>
    <row r="206" spans="1:22" s="85" customFormat="1" x14ac:dyDescent="0.2">
      <c r="A206" s="44"/>
      <c r="B206" s="91">
        <v>38412</v>
      </c>
      <c r="C206" s="13">
        <f>((((VLOOKUP(B206,Database!$F:$AY,MATCH($C$1,Database!$F$1:$AY$1,),))))-(((VLOOKUP(EDATE(B206,-12),Database!$F:$AY,MATCH($C$1,Database!$F$1:$AY$1,),)))))/(((VLOOKUP(EDATE(B206,-12),Database!$F:$AY,MATCH($C$1,Database!$F$1:$AY$1,),))))</f>
        <v>4.303482510900071E-2</v>
      </c>
      <c r="D206" s="13">
        <f>((((VLOOKUP(B206,Database!$F:$AY,MATCH($D$1,Database!$F$1:$AY$1,),))))-(((VLOOKUP(EDATE(B206,-12),Database!$F:$AY,MATCH($D$1,Database!$F$1:$AY$1,),)))))/(((VLOOKUP(EDATE(B206,-12),Database!$F:$AY,MATCH($D$1,Database!$F$1:$AY$1,),))))</f>
        <v>1.1351943590185654E-2</v>
      </c>
      <c r="E206" s="13">
        <f>((((VLOOKUP(B206,Database!$F:$AY,MATCH($E$1,Database!$F$1:$AY$1,),))))-(((VLOOKUP(EDATE(B206,-12),Database!$F:$AY,MATCH($E$1,Database!$F$1:$AY$1,),)))))/(((VLOOKUP(EDATE(B206,-12),Database!$F:$AY,MATCH($E$1,Database!$F$1:$AY$1,),))))</f>
        <v>3.0896536824840028E-2</v>
      </c>
      <c r="F206" s="13">
        <f>((((VLOOKUP(B206,Database!$F:$AY,MATCH($F$1,Database!$F$1:$AY$1,),))))-(((VLOOKUP(EDATE(B206,-12),Database!$F:$AY,MATCH($F$1,Database!$F$1:$AY$1,),)))))/(((VLOOKUP(EDATE(B206,-12),Database!$F:$AY,MATCH($F$1,Database!$F$1:$AY$1,),))))</f>
        <v>3.694580977431116E-2</v>
      </c>
      <c r="G206" s="13">
        <f>((((VLOOKUP(B206,Database!$F:$AY,MATCH($G$1,Database!$F$1:$AY$1,),))))-(((VLOOKUP(EDATE(B206,-12),Database!$F:$AY,MATCH($G$1,Database!$F$1:$AY$1,),)))))/(((VLOOKUP(EDATE(B206,-12),Database!$F:$AY,MATCH($G$1,Database!$F$1:$AY$1,),))))</f>
        <v>-1.7347723769742088E-2</v>
      </c>
      <c r="H206" s="13">
        <f>((((VLOOKUP(B206,Database!$F:$AY,MATCH($H$1,Database!$F$1:$AY$1,),))))-(((VLOOKUP(EDATE(B206,-12),Database!$F:$AY,MATCH($H$1,Database!$F$1:$AY$1,),)))))/(((VLOOKUP(EDATE(B206,-12),Database!$F:$AY,MATCH($H$1,Database!$F$1:$AY$1,),))))</f>
        <v>-3.4122582382719605E-2</v>
      </c>
      <c r="I206" s="13">
        <f>((((VLOOKUP(B206,Database!$F:$AY,MATCH($I$1,Database!$F$1:$AY$1,),))))-(((VLOOKUP(EDATE(B206,-12),Database!$F:$AY,MATCH($I$1,Database!$F$1:$AY$1,),)))))/(((VLOOKUP(EDATE(B206,-12),Database!$F:$AY,MATCH($I$1,Database!$F$1:$AY$1,),))))</f>
        <v>-4.1121836599914956E-3</v>
      </c>
      <c r="J206" s="13">
        <f>((((VLOOKUP(B206,Database!$F:$AY,MATCH($J$1,Database!$F$1:$AY$1,),))))-(((VLOOKUP(EDATE(B206,-12),Database!$F:$AY,MATCH($J$1,Database!$F$1:$AY$1,),)))))/(((VLOOKUP(EDATE(B206,-12),Database!$F:$AY,MATCH($J$1,Database!$F$1:$AY$1,),))))</f>
        <v>4.7557487094088743E-4</v>
      </c>
      <c r="K206" s="13">
        <f>((((VLOOKUP(B206,Database!$F:$AY,MATCH($K$1,Database!$F$1:$AY$1,),))))-(((VLOOKUP(EDATE(B206,-12),Database!$F:$AY,MATCH($K$1,Database!$F$1:$AY$1,),)))))/(((VLOOKUP(EDATE(B206,-12),Database!$F:$AY,MATCH($K$1,Database!$F$1:$AY$1,),))))</f>
        <v>4.9665711556829063E-2</v>
      </c>
      <c r="L206" s="13">
        <f>((((VLOOKUP(B206,Database!$F:$AY,MATCH($L$1,Database!$F$1:$AY$1,),))))-(((VLOOKUP(EDATE(B206,-12),Database!$F:$AY,MATCH($L$1,Database!$F$1:$AY$1,),)))))/(((VLOOKUP(EDATE(B206,-12),Database!$F:$AY,MATCH($L$1,Database!$F$1:$AY$1,),))))</f>
        <v>8.8601945447062125E-3</v>
      </c>
      <c r="M206" s="13">
        <f>((((VLOOKUP(B206,Database!$F:$AY,MATCH($M$1,Database!$F$1:$AY$1,),))))-(((VLOOKUP(EDATE(B206,-12),Database!$F:$AY,MATCH($M$1,Database!$F$1:$AY$1,),)))))/(((VLOOKUP(EDATE(B206,-12),Database!$F:$AY,MATCH($M$1,Database!$F$1:$AY$1,),))))</f>
        <v>5.467812292265721E-2</v>
      </c>
      <c r="N206" s="13">
        <f>((((VLOOKUP(B206,Database!$F:$AY,MATCH($N$1,Database!$F$1:$AY$1,),))))-(((VLOOKUP(EDATE(B206,-12),Database!$F:$AY,MATCH($N$1,Database!$F$1:$AY$1,),)))))/(((VLOOKUP(EDATE(B206,-12),Database!$F:$AY,MATCH($N$1,Database!$F$1:$AY$1,),))))</f>
        <v>0.14257490823489913</v>
      </c>
      <c r="O206" s="13">
        <f>((((VLOOKUP(B206,Database!$F:$AY,MATCH($O$1,Database!$F$1:$AY$1,),))))-(((VLOOKUP(EDATE(B206,-12),Database!$F:$AY,MATCH($O$1,Database!$F$1:$AY$1,),)))))/(((VLOOKUP(EDATE(B206,-12),Database!$F:$AY,MATCH($O$1,Database!$F$1:$AY$1,),))))</f>
        <v>3.8918078445140162E-3</v>
      </c>
      <c r="P206" s="13">
        <f>((((VLOOKUP(B206,Database!$F:$AY,MATCH($P$1,Database!$F$1:$AY$1,),))))-(((VLOOKUP(EDATE(B206,-12),Database!$F:$AY,MATCH($P$1,Database!$F$1:$AY$1,),)))))/(((VLOOKUP(EDATE(B206,-12),Database!$F:$AY,MATCH($P$1,Database!$F$1:$AY$1,),))))</f>
        <v>5.6975621244497107E-2</v>
      </c>
      <c r="Q206" s="13">
        <f>((((VLOOKUP(B206,Database!$F:$AY,MATCH($Q$1,Database!$F$1:$AY$1,),))))-(((VLOOKUP(EDATE(B206,-12),Database!$F:$AY,MATCH($Q$1,Database!$F$1:$AY$1,),)))))/(((VLOOKUP(EDATE(B206,-12),Database!$F:$AY,MATCH($Q$1,Database!$F$1:$AY$1,),))))</f>
        <v>4.3787000438324619E-2</v>
      </c>
      <c r="R206" s="13">
        <f>((((VLOOKUP(B206,Database!$F:$AY,MATCH($R$1,Database!$F$1:$AY$1,),))))-(((VLOOKUP(EDATE(B206,-12),Database!$F:$AY,MATCH($R$1,Database!$F$1:$AY$1,),)))))/(((VLOOKUP(EDATE(B206,-12),Database!$F:$AY,MATCH($R$1,Database!$F$1:$AY$1,),))))</f>
        <v>-5.7142779306770357E-2</v>
      </c>
      <c r="S206" s="13">
        <f>((((VLOOKUP(B206,Database!$F:$AY,MATCH($S$1,Database!$F$1:$AY$1,),))))-(((VLOOKUP(EDATE(B206,-12),Database!$F:$AY,MATCH($S$1,Database!$F$1:$AY$1,),)))))/(((VLOOKUP(EDATE(B206,-12),Database!$F:$AY,MATCH($S$1,Database!$F$1:$AY$1,),))))</f>
        <v>-1.6410298025308297E-2</v>
      </c>
      <c r="T206" s="13">
        <f>((((VLOOKUP(B206,Database!$F:$AY,MATCH($T$1,Database!$F$1:$AY$1,),))))-(((VLOOKUP(EDATE(B206,-12),Database!$F:$AY,MATCH($T$1,Database!$F$1:$AY$1,),)))))/(((VLOOKUP(EDATE(B206,-12),Database!$F:$AY,MATCH($T$1,Database!$F$1:$AY$1,),))))</f>
        <v>0.11523441505766203</v>
      </c>
      <c r="U206" s="13">
        <f>((((VLOOKUP(B206,Database!$F:$AY,MATCH($U$1,Database!$F$1:$AY$1,),))))-(((VLOOKUP(EDATE(B206,-12),Database!$F:$AY,MATCH($U$1,Database!$F$1:$AY$1,),)))))/(((VLOOKUP(EDATE(B206,-12),Database!$F:$AY,MATCH($U$1,Database!$F$1:$AY$1,),))))</f>
        <v>1.7082741250447491E-2</v>
      </c>
      <c r="V206" s="13">
        <f>((((VLOOKUP(B206,Database!$F:$AY,MATCH($V$1,Database!$F$1:$AY$1,),))))-(((VLOOKUP(EDATE(B206,-12),Database!$F:$AY,MATCH($V$1,Database!$F$1:$AY$1,),)))))/(((VLOOKUP(EDATE(B206,-12),Database!$F:$AY,MATCH($V$1,Database!$F$1:$AY$1,),))))</f>
        <v>-1.1784511784511714E-2</v>
      </c>
    </row>
    <row r="207" spans="1:22" s="85" customFormat="1" x14ac:dyDescent="0.2">
      <c r="A207" s="44"/>
      <c r="B207" s="91">
        <v>38443</v>
      </c>
      <c r="C207" s="13">
        <f>((((VLOOKUP(B207,Database!$F:$AY,MATCH($C$1,Database!$F$1:$AY$1,),))))-(((VLOOKUP(EDATE(B207,-12),Database!$F:$AY,MATCH($C$1,Database!$F$1:$AY$1,),)))))/(((VLOOKUP(EDATE(B207,-12),Database!$F:$AY,MATCH($C$1,Database!$F$1:$AY$1,),))))</f>
        <v>4.0097890644076012E-2</v>
      </c>
      <c r="D207" s="13">
        <f>((((VLOOKUP(B207,Database!$F:$AY,MATCH($D$1,Database!$F$1:$AY$1,),))))-(((VLOOKUP(EDATE(B207,-12),Database!$F:$AY,MATCH($D$1,Database!$F$1:$AY$1,),)))))/(((VLOOKUP(EDATE(B207,-12),Database!$F:$AY,MATCH($D$1,Database!$F$1:$AY$1,),))))</f>
        <v>1.6359986378097751E-2</v>
      </c>
      <c r="E207" s="13">
        <f>((((VLOOKUP(B207,Database!$F:$AY,MATCH($E$1,Database!$F$1:$AY$1,),))))-(((VLOOKUP(EDATE(B207,-12),Database!$F:$AY,MATCH($E$1,Database!$F$1:$AY$1,),)))))/(((VLOOKUP(EDATE(B207,-12),Database!$F:$AY,MATCH($E$1,Database!$F$1:$AY$1,),))))</f>
        <v>1.7206506009286349E-2</v>
      </c>
      <c r="F207" s="13">
        <f>((((VLOOKUP(B207,Database!$F:$AY,MATCH($F$1,Database!$F$1:$AY$1,),))))-(((VLOOKUP(EDATE(B207,-12),Database!$F:$AY,MATCH($F$1,Database!$F$1:$AY$1,),)))))/(((VLOOKUP(EDATE(B207,-12),Database!$F:$AY,MATCH($F$1,Database!$F$1:$AY$1,),))))</f>
        <v>2.9126089866219396E-2</v>
      </c>
      <c r="G207" s="13">
        <f>((((VLOOKUP(B207,Database!$F:$AY,MATCH($G$1,Database!$F$1:$AY$1,),))))-(((VLOOKUP(EDATE(B207,-12),Database!$F:$AY,MATCH($G$1,Database!$F$1:$AY$1,),)))))/(((VLOOKUP(EDATE(B207,-12),Database!$F:$AY,MATCH($G$1,Database!$F$1:$AY$1,),))))</f>
        <v>7.5364861269634435E-3</v>
      </c>
      <c r="H207" s="13">
        <f>((((VLOOKUP(B207,Database!$F:$AY,MATCH($H$1,Database!$F$1:$AY$1,),))))-(((VLOOKUP(EDATE(B207,-12),Database!$F:$AY,MATCH($H$1,Database!$F$1:$AY$1,),)))))/(((VLOOKUP(EDATE(B207,-12),Database!$F:$AY,MATCH($H$1,Database!$F$1:$AY$1,),))))</f>
        <v>-1.1439552811638116E-2</v>
      </c>
      <c r="I207" s="13">
        <f>((((VLOOKUP(B207,Database!$F:$AY,MATCH($I$1,Database!$F$1:$AY$1,),))))-(((VLOOKUP(EDATE(B207,-12),Database!$F:$AY,MATCH($I$1,Database!$F$1:$AY$1,),)))))/(((VLOOKUP(EDATE(B207,-12),Database!$F:$AY,MATCH($I$1,Database!$F$1:$AY$1,),))))</f>
        <v>-2.4234649571006081E-3</v>
      </c>
      <c r="J207" s="13">
        <f>((((VLOOKUP(B207,Database!$F:$AY,MATCH($J$1,Database!$F$1:$AY$1,),))))-(((VLOOKUP(EDATE(B207,-12),Database!$F:$AY,MATCH($J$1,Database!$F$1:$AY$1,),)))))/(((VLOOKUP(EDATE(B207,-12),Database!$F:$AY,MATCH($J$1,Database!$F$1:$AY$1,),))))</f>
        <v>1.683417145507974E-2</v>
      </c>
      <c r="K207" s="13">
        <f>((((VLOOKUP(B207,Database!$F:$AY,MATCH($K$1,Database!$F$1:$AY$1,),))))-(((VLOOKUP(EDATE(B207,-12),Database!$F:$AY,MATCH($K$1,Database!$F$1:$AY$1,),)))))/(((VLOOKUP(EDATE(B207,-12),Database!$F:$AY,MATCH($K$1,Database!$F$1:$AY$1,),))))</f>
        <v>-9.2592592592592587E-3</v>
      </c>
      <c r="L207" s="13">
        <f>((((VLOOKUP(B207,Database!$F:$AY,MATCH($L$1,Database!$F$1:$AY$1,),))))-(((VLOOKUP(EDATE(B207,-12),Database!$F:$AY,MATCH($L$1,Database!$F$1:$AY$1,),)))))/(((VLOOKUP(EDATE(B207,-12),Database!$F:$AY,MATCH($L$1,Database!$F$1:$AY$1,),))))</f>
        <v>1.8339695236638545E-2</v>
      </c>
      <c r="M207" s="13">
        <f>((((VLOOKUP(B207,Database!$F:$AY,MATCH($M$1,Database!$F$1:$AY$1,),))))-(((VLOOKUP(EDATE(B207,-12),Database!$F:$AY,MATCH($M$1,Database!$F$1:$AY$1,),)))))/(((VLOOKUP(EDATE(B207,-12),Database!$F:$AY,MATCH($M$1,Database!$F$1:$AY$1,),))))</f>
        <v>5.7446534227780156E-2</v>
      </c>
      <c r="N207" s="13">
        <f>((((VLOOKUP(B207,Database!$F:$AY,MATCH($N$1,Database!$F$1:$AY$1,),))))-(((VLOOKUP(EDATE(B207,-12),Database!$F:$AY,MATCH($N$1,Database!$F$1:$AY$1,),)))))/(((VLOOKUP(EDATE(B207,-12),Database!$F:$AY,MATCH($N$1,Database!$F$1:$AY$1,),))))</f>
        <v>4.383771614163192E-2</v>
      </c>
      <c r="O207" s="13">
        <f>((((VLOOKUP(B207,Database!$F:$AY,MATCH($O$1,Database!$F$1:$AY$1,),))))-(((VLOOKUP(EDATE(B207,-12),Database!$F:$AY,MATCH($O$1,Database!$F$1:$AY$1,),)))))/(((VLOOKUP(EDATE(B207,-12),Database!$F:$AY,MATCH($O$1,Database!$F$1:$AY$1,),))))</f>
        <v>1.8461177311683803E-2</v>
      </c>
      <c r="P207" s="13">
        <f>((((VLOOKUP(B207,Database!$F:$AY,MATCH($P$1,Database!$F$1:$AY$1,),))))-(((VLOOKUP(EDATE(B207,-12),Database!$F:$AY,MATCH($P$1,Database!$F$1:$AY$1,),)))))/(((VLOOKUP(EDATE(B207,-12),Database!$F:$AY,MATCH($P$1,Database!$F$1:$AY$1,),))))</f>
        <v>3.4659101759248696E-2</v>
      </c>
      <c r="Q207" s="13">
        <f>((((VLOOKUP(B207,Database!$F:$AY,MATCH($Q$1,Database!$F$1:$AY$1,),))))-(((VLOOKUP(EDATE(B207,-12),Database!$F:$AY,MATCH($Q$1,Database!$F$1:$AY$1,),)))))/(((VLOOKUP(EDATE(B207,-12),Database!$F:$AY,MATCH($Q$1,Database!$F$1:$AY$1,),))))</f>
        <v>3.7602723768091276E-2</v>
      </c>
      <c r="R207" s="13">
        <f>((((VLOOKUP(B207,Database!$F:$AY,MATCH($R$1,Database!$F$1:$AY$1,),))))-(((VLOOKUP(EDATE(B207,-12),Database!$F:$AY,MATCH($R$1,Database!$F$1:$AY$1,),)))))/(((VLOOKUP(EDATE(B207,-12),Database!$F:$AY,MATCH($R$1,Database!$F$1:$AY$1,),))))</f>
        <v>-6.0297908131426881E-2</v>
      </c>
      <c r="S207" s="13">
        <f>((((VLOOKUP(B207,Database!$F:$AY,MATCH($S$1,Database!$F$1:$AY$1,),))))-(((VLOOKUP(EDATE(B207,-12),Database!$F:$AY,MATCH($S$1,Database!$F$1:$AY$1,),)))))/(((VLOOKUP(EDATE(B207,-12),Database!$F:$AY,MATCH($S$1,Database!$F$1:$AY$1,),))))</f>
        <v>1.3144613557825244E-2</v>
      </c>
      <c r="T207" s="13">
        <f>((((VLOOKUP(B207,Database!$F:$AY,MATCH($T$1,Database!$F$1:$AY$1,),))))-(((VLOOKUP(EDATE(B207,-12),Database!$F:$AY,MATCH($T$1,Database!$F$1:$AY$1,),)))))/(((VLOOKUP(EDATE(B207,-12),Database!$F:$AY,MATCH($T$1,Database!$F$1:$AY$1,),))))</f>
        <v>0.10748553718294372</v>
      </c>
      <c r="U207" s="13">
        <f>((((VLOOKUP(B207,Database!$F:$AY,MATCH($U$1,Database!$F$1:$AY$1,),))))-(((VLOOKUP(EDATE(B207,-12),Database!$F:$AY,MATCH($U$1,Database!$F$1:$AY$1,),)))))/(((VLOOKUP(EDATE(B207,-12),Database!$F:$AY,MATCH($U$1,Database!$F$1:$AY$1,),))))</f>
        <v>2.3316192738349058E-2</v>
      </c>
      <c r="V207" s="13">
        <f>((((VLOOKUP(B207,Database!$F:$AY,MATCH($V$1,Database!$F$1:$AY$1,),))))-(((VLOOKUP(EDATE(B207,-12),Database!$F:$AY,MATCH($V$1,Database!$F$1:$AY$1,),)))))/(((VLOOKUP(EDATE(B207,-12),Database!$F:$AY,MATCH($V$1,Database!$F$1:$AY$1,),))))</f>
        <v>-1.3008130081300766E-2</v>
      </c>
    </row>
    <row r="208" spans="1:22" s="85" customFormat="1" x14ac:dyDescent="0.2">
      <c r="A208" s="44"/>
      <c r="B208" s="91">
        <v>38473</v>
      </c>
      <c r="C208" s="13">
        <f>((((VLOOKUP(B208,Database!$F:$AY,MATCH($C$1,Database!$F$1:$AY$1,),))))-(((VLOOKUP(EDATE(B208,-12),Database!$F:$AY,MATCH($C$1,Database!$F$1:$AY$1,),)))))/(((VLOOKUP(EDATE(B208,-12),Database!$F:$AY,MATCH($C$1,Database!$F$1:$AY$1,),))))</f>
        <v>3.32657413312583E-2</v>
      </c>
      <c r="D208" s="13">
        <f>((((VLOOKUP(B208,Database!$F:$AY,MATCH($D$1,Database!$F$1:$AY$1,),))))-(((VLOOKUP(EDATE(B208,-12),Database!$F:$AY,MATCH($D$1,Database!$F$1:$AY$1,),)))))/(((VLOOKUP(EDATE(B208,-12),Database!$F:$AY,MATCH($D$1,Database!$F$1:$AY$1,),))))</f>
        <v>2.0430372049763199E-3</v>
      </c>
      <c r="E208" s="13">
        <f>((((VLOOKUP(B208,Database!$F:$AY,MATCH($E$1,Database!$F$1:$AY$1,),))))-(((VLOOKUP(EDATE(B208,-12),Database!$F:$AY,MATCH($E$1,Database!$F$1:$AY$1,),)))))/(((VLOOKUP(EDATE(B208,-12),Database!$F:$AY,MATCH($E$1,Database!$F$1:$AY$1,),))))</f>
        <v>8.088936437425755E-3</v>
      </c>
      <c r="F208" s="13">
        <f>((((VLOOKUP(B208,Database!$F:$AY,MATCH($F$1,Database!$F$1:$AY$1,),))))-(((VLOOKUP(EDATE(B208,-12),Database!$F:$AY,MATCH($F$1,Database!$F$1:$AY$1,),)))))/(((VLOOKUP(EDATE(B208,-12),Database!$F:$AY,MATCH($F$1,Database!$F$1:$AY$1,),))))</f>
        <v>4.8018406335414649E-3</v>
      </c>
      <c r="G208" s="13">
        <f>((((VLOOKUP(B208,Database!$F:$AY,MATCH($G$1,Database!$F$1:$AY$1,),))))-(((VLOOKUP(EDATE(B208,-12),Database!$F:$AY,MATCH($G$1,Database!$F$1:$AY$1,),)))))/(((VLOOKUP(EDATE(B208,-12),Database!$F:$AY,MATCH($G$1,Database!$F$1:$AY$1,),))))</f>
        <v>1.7345119494180891E-3</v>
      </c>
      <c r="H208" s="13">
        <f>((((VLOOKUP(B208,Database!$F:$AY,MATCH($H$1,Database!$F$1:$AY$1,),))))-(((VLOOKUP(EDATE(B208,-12),Database!$F:$AY,MATCH($H$1,Database!$F$1:$AY$1,),)))))/(((VLOOKUP(EDATE(B208,-12),Database!$F:$AY,MATCH($H$1,Database!$F$1:$AY$1,),))))</f>
        <v>-3.8314459026224323E-3</v>
      </c>
      <c r="I208" s="13">
        <f>((((VLOOKUP(B208,Database!$F:$AY,MATCH($I$1,Database!$F$1:$AY$1,),))))-(((VLOOKUP(EDATE(B208,-12),Database!$F:$AY,MATCH($I$1,Database!$F$1:$AY$1,),)))))/(((VLOOKUP(EDATE(B208,-12),Database!$F:$AY,MATCH($I$1,Database!$F$1:$AY$1,),))))</f>
        <v>-2.2653991392486514E-2</v>
      </c>
      <c r="J208" s="13">
        <f>((((VLOOKUP(B208,Database!$F:$AY,MATCH($J$1,Database!$F$1:$AY$1,),))))-(((VLOOKUP(EDATE(B208,-12),Database!$F:$AY,MATCH($J$1,Database!$F$1:$AY$1,),)))))/(((VLOOKUP(EDATE(B208,-12),Database!$F:$AY,MATCH($J$1,Database!$F$1:$AY$1,),))))</f>
        <v>1.5779111469510876E-3</v>
      </c>
      <c r="K208" s="13">
        <f>((((VLOOKUP(B208,Database!$F:$AY,MATCH($K$1,Database!$F$1:$AY$1,),))))-(((VLOOKUP(EDATE(B208,-12),Database!$F:$AY,MATCH($K$1,Database!$F$1:$AY$1,),)))))/(((VLOOKUP(EDATE(B208,-12),Database!$F:$AY,MATCH($K$1,Database!$F$1:$AY$1,),))))</f>
        <v>6.5543071161048953E-3</v>
      </c>
      <c r="L208" s="13">
        <f>((((VLOOKUP(B208,Database!$F:$AY,MATCH($L$1,Database!$F$1:$AY$1,),))))-(((VLOOKUP(EDATE(B208,-12),Database!$F:$AY,MATCH($L$1,Database!$F$1:$AY$1,),)))))/(((VLOOKUP(EDATE(B208,-12),Database!$F:$AY,MATCH($L$1,Database!$F$1:$AY$1,),))))</f>
        <v>3.8948169112241526E-2</v>
      </c>
      <c r="M208" s="13">
        <f>((((VLOOKUP(B208,Database!$F:$AY,MATCH($M$1,Database!$F$1:$AY$1,),))))-(((VLOOKUP(EDATE(B208,-12),Database!$F:$AY,MATCH($M$1,Database!$F$1:$AY$1,),)))))/(((VLOOKUP(EDATE(B208,-12),Database!$F:$AY,MATCH($M$1,Database!$F$1:$AY$1,),))))</f>
        <v>2.748927637300249E-2</v>
      </c>
      <c r="N208" s="13">
        <f>((((VLOOKUP(B208,Database!$F:$AY,MATCH($N$1,Database!$F$1:$AY$1,),))))-(((VLOOKUP(EDATE(B208,-12),Database!$F:$AY,MATCH($N$1,Database!$F$1:$AY$1,),)))))/(((VLOOKUP(EDATE(B208,-12),Database!$F:$AY,MATCH($N$1,Database!$F$1:$AY$1,),))))</f>
        <v>5.716776489468637E-2</v>
      </c>
      <c r="O208" s="13">
        <f>((((VLOOKUP(B208,Database!$F:$AY,MATCH($O$1,Database!$F$1:$AY$1,),))))-(((VLOOKUP(EDATE(B208,-12),Database!$F:$AY,MATCH($O$1,Database!$F$1:$AY$1,),)))))/(((VLOOKUP(EDATE(B208,-12),Database!$F:$AY,MATCH($O$1,Database!$F$1:$AY$1,),))))</f>
        <v>3.1505711335945388E-2</v>
      </c>
      <c r="P208" s="13">
        <f>((((VLOOKUP(B208,Database!$F:$AY,MATCH($P$1,Database!$F$1:$AY$1,),))))-(((VLOOKUP(EDATE(B208,-12),Database!$F:$AY,MATCH($P$1,Database!$F$1:$AY$1,),)))))/(((VLOOKUP(EDATE(B208,-12),Database!$F:$AY,MATCH($P$1,Database!$F$1:$AY$1,),))))</f>
        <v>1.8834364446666581E-2</v>
      </c>
      <c r="Q208" s="13">
        <f>((((VLOOKUP(B208,Database!$F:$AY,MATCH($Q$1,Database!$F$1:$AY$1,),))))-(((VLOOKUP(EDATE(B208,-12),Database!$F:$AY,MATCH($Q$1,Database!$F$1:$AY$1,),)))))/(((VLOOKUP(EDATE(B208,-12),Database!$F:$AY,MATCH($Q$1,Database!$F$1:$AY$1,),))))</f>
        <v>6.2864013716584566E-2</v>
      </c>
      <c r="R208" s="13">
        <f>((((VLOOKUP(B208,Database!$F:$AY,MATCH($R$1,Database!$F$1:$AY$1,),))))-(((VLOOKUP(EDATE(B208,-12),Database!$F:$AY,MATCH($R$1,Database!$F$1:$AY$1,),)))))/(((VLOOKUP(EDATE(B208,-12),Database!$F:$AY,MATCH($R$1,Database!$F$1:$AY$1,),))))</f>
        <v>-3.6054259146883441E-2</v>
      </c>
      <c r="S208" s="13">
        <f>((((VLOOKUP(B208,Database!$F:$AY,MATCH($S$1,Database!$F$1:$AY$1,),))))-(((VLOOKUP(EDATE(B208,-12),Database!$F:$AY,MATCH($S$1,Database!$F$1:$AY$1,),)))))/(((VLOOKUP(EDATE(B208,-12),Database!$F:$AY,MATCH($S$1,Database!$F$1:$AY$1,),))))</f>
        <v>6.3897794507971506E-2</v>
      </c>
      <c r="T208" s="13">
        <f>((((VLOOKUP(B208,Database!$F:$AY,MATCH($T$1,Database!$F$1:$AY$1,),))))-(((VLOOKUP(EDATE(B208,-12),Database!$F:$AY,MATCH($T$1,Database!$F$1:$AY$1,),)))))/(((VLOOKUP(EDATE(B208,-12),Database!$F:$AY,MATCH($T$1,Database!$F$1:$AY$1,),))))</f>
        <v>8.5820760458799342E-2</v>
      </c>
      <c r="U208" s="13">
        <f>((((VLOOKUP(B208,Database!$F:$AY,MATCH($U$1,Database!$F$1:$AY$1,),))))-(((VLOOKUP(EDATE(B208,-12),Database!$F:$AY,MATCH($U$1,Database!$F$1:$AY$1,),)))))/(((VLOOKUP(EDATE(B208,-12),Database!$F:$AY,MATCH($U$1,Database!$F$1:$AY$1,),))))</f>
        <v>1.6949108339042653E-2</v>
      </c>
      <c r="V208" s="13">
        <f>((((VLOOKUP(B208,Database!$F:$AY,MATCH($V$1,Database!$F$1:$AY$1,),))))-(((VLOOKUP(EDATE(B208,-12),Database!$F:$AY,MATCH($V$1,Database!$F$1:$AY$1,),)))))/(((VLOOKUP(EDATE(B208,-12),Database!$F:$AY,MATCH($V$1,Database!$F$1:$AY$1,),))))</f>
        <v>1.0135135135135039E-2</v>
      </c>
    </row>
    <row r="209" spans="1:22" s="85" customFormat="1" x14ac:dyDescent="0.2">
      <c r="A209" s="44"/>
      <c r="B209" s="91">
        <v>38504</v>
      </c>
      <c r="C209" s="13">
        <f>((((VLOOKUP(B209,Database!$F:$AY,MATCH($C$1,Database!$F$1:$AY$1,),))))-(((VLOOKUP(EDATE(B209,-12),Database!$F:$AY,MATCH($C$1,Database!$F$1:$AY$1,),)))))/(((VLOOKUP(EDATE(B209,-12),Database!$F:$AY,MATCH($C$1,Database!$F$1:$AY$1,),))))</f>
        <v>4.5850469809708617E-2</v>
      </c>
      <c r="D209" s="13">
        <f>((((VLOOKUP(B209,Database!$F:$AY,MATCH($D$1,Database!$F$1:$AY$1,),))))-(((VLOOKUP(EDATE(B209,-12),Database!$F:$AY,MATCH($D$1,Database!$F$1:$AY$1,),)))))/(((VLOOKUP(EDATE(B209,-12),Database!$F:$AY,MATCH($D$1,Database!$F$1:$AY$1,),))))</f>
        <v>1.1236091654911188E-2</v>
      </c>
      <c r="E209" s="13">
        <f>((((VLOOKUP(B209,Database!$F:$AY,MATCH($E$1,Database!$F$1:$AY$1,),))))-(((VLOOKUP(EDATE(B209,-12),Database!$F:$AY,MATCH($E$1,Database!$F$1:$AY$1,),)))))/(((VLOOKUP(EDATE(B209,-12),Database!$F:$AY,MATCH($E$1,Database!$F$1:$AY$1,),))))</f>
        <v>9.0726460926036975E-3</v>
      </c>
      <c r="F209" s="13">
        <f>((((VLOOKUP(B209,Database!$F:$AY,MATCH($F$1,Database!$F$1:$AY$1,),))))-(((VLOOKUP(EDATE(B209,-12),Database!$F:$AY,MATCH($F$1,Database!$F$1:$AY$1,),)))))/(((VLOOKUP(EDATE(B209,-12),Database!$F:$AY,MATCH($F$1,Database!$F$1:$AY$1,),))))</f>
        <v>3.3857234296787143E-2</v>
      </c>
      <c r="G209" s="13">
        <f>((((VLOOKUP(B209,Database!$F:$AY,MATCH($G$1,Database!$F$1:$AY$1,),))))-(((VLOOKUP(EDATE(B209,-12),Database!$F:$AY,MATCH($G$1,Database!$F$1:$AY$1,),)))))/(((VLOOKUP(EDATE(B209,-12),Database!$F:$AY,MATCH($G$1,Database!$F$1:$AY$1,),))))</f>
        <v>-8.318948484911522E-3</v>
      </c>
      <c r="H209" s="13">
        <f>((((VLOOKUP(B209,Database!$F:$AY,MATCH($H$1,Database!$F$1:$AY$1,),))))-(((VLOOKUP(EDATE(B209,-12),Database!$F:$AY,MATCH($H$1,Database!$F$1:$AY$1,),)))))/(((VLOOKUP(EDATE(B209,-12),Database!$F:$AY,MATCH($H$1,Database!$F$1:$AY$1,),))))</f>
        <v>-4.779921933773492E-3</v>
      </c>
      <c r="I209" s="13">
        <f>((((VLOOKUP(B209,Database!$F:$AY,MATCH($I$1,Database!$F$1:$AY$1,),))))-(((VLOOKUP(EDATE(B209,-12),Database!$F:$AY,MATCH($I$1,Database!$F$1:$AY$1,),)))))/(((VLOOKUP(EDATE(B209,-12),Database!$F:$AY,MATCH($I$1,Database!$F$1:$AY$1,),))))</f>
        <v>-1.7087667161961296E-2</v>
      </c>
      <c r="J209" s="13">
        <f>((((VLOOKUP(B209,Database!$F:$AY,MATCH($J$1,Database!$F$1:$AY$1,),))))-(((VLOOKUP(EDATE(B209,-12),Database!$F:$AY,MATCH($J$1,Database!$F$1:$AY$1,),)))))/(((VLOOKUP(EDATE(B209,-12),Database!$F:$AY,MATCH($J$1,Database!$F$1:$AY$1,),))))</f>
        <v>1.0966633819363763E-3</v>
      </c>
      <c r="K209" s="13">
        <f>((((VLOOKUP(B209,Database!$F:$AY,MATCH($K$1,Database!$F$1:$AY$1,),))))-(((VLOOKUP(EDATE(B209,-12),Database!$F:$AY,MATCH($K$1,Database!$F$1:$AY$1,),)))))/(((VLOOKUP(EDATE(B209,-12),Database!$F:$AY,MATCH($K$1,Database!$F$1:$AY$1,),))))</f>
        <v>4.4131455399061062E-2</v>
      </c>
      <c r="L209" s="13">
        <f>((((VLOOKUP(B209,Database!$F:$AY,MATCH($L$1,Database!$F$1:$AY$1,),))))-(((VLOOKUP(EDATE(B209,-12),Database!$F:$AY,MATCH($L$1,Database!$F$1:$AY$1,),)))))/(((VLOOKUP(EDATE(B209,-12),Database!$F:$AY,MATCH($L$1,Database!$F$1:$AY$1,),))))</f>
        <v>1.8423162596753546E-2</v>
      </c>
      <c r="M209" s="13">
        <f>((((VLOOKUP(B209,Database!$F:$AY,MATCH($M$1,Database!$F$1:$AY$1,),))))-(((VLOOKUP(EDATE(B209,-12),Database!$F:$AY,MATCH($M$1,Database!$F$1:$AY$1,),)))))/(((VLOOKUP(EDATE(B209,-12),Database!$F:$AY,MATCH($M$1,Database!$F$1:$AY$1,),))))</f>
        <v>5.4292409375598878E-2</v>
      </c>
      <c r="N209" s="13">
        <f>((((VLOOKUP(B209,Database!$F:$AY,MATCH($N$1,Database!$F$1:$AY$1,),))))-(((VLOOKUP(EDATE(B209,-12),Database!$F:$AY,MATCH($N$1,Database!$F$1:$AY$1,),)))))/(((VLOOKUP(EDATE(B209,-12),Database!$F:$AY,MATCH($N$1,Database!$F$1:$AY$1,),))))</f>
        <v>7.3664528174395255E-2</v>
      </c>
      <c r="O209" s="13">
        <f>((((VLOOKUP(B209,Database!$F:$AY,MATCH($O$1,Database!$F$1:$AY$1,),))))-(((VLOOKUP(EDATE(B209,-12),Database!$F:$AY,MATCH($O$1,Database!$F$1:$AY$1,),)))))/(((VLOOKUP(EDATE(B209,-12),Database!$F:$AY,MATCH($O$1,Database!$F$1:$AY$1,),))))</f>
        <v>9.9287554949219082E-3</v>
      </c>
      <c r="P209" s="13">
        <f>((((VLOOKUP(B209,Database!$F:$AY,MATCH($P$1,Database!$F$1:$AY$1,),))))-(((VLOOKUP(EDATE(B209,-12),Database!$F:$AY,MATCH($P$1,Database!$F$1:$AY$1,),)))))/(((VLOOKUP(EDATE(B209,-12),Database!$F:$AY,MATCH($P$1,Database!$F$1:$AY$1,),))))</f>
        <v>5.7777584881728912E-2</v>
      </c>
      <c r="Q209" s="13">
        <f>((((VLOOKUP(B209,Database!$F:$AY,MATCH($Q$1,Database!$F$1:$AY$1,),))))-(((VLOOKUP(EDATE(B209,-12),Database!$F:$AY,MATCH($Q$1,Database!$F$1:$AY$1,),)))))/(((VLOOKUP(EDATE(B209,-12),Database!$F:$AY,MATCH($Q$1,Database!$F$1:$AY$1,),))))</f>
        <v>3.948893691396909E-2</v>
      </c>
      <c r="R209" s="13">
        <f>((((VLOOKUP(B209,Database!$F:$AY,MATCH($R$1,Database!$F$1:$AY$1,),))))-(((VLOOKUP(EDATE(B209,-12),Database!$F:$AY,MATCH($R$1,Database!$F$1:$AY$1,),)))))/(((VLOOKUP(EDATE(B209,-12),Database!$F:$AY,MATCH($R$1,Database!$F$1:$AY$1,),))))</f>
        <v>-4.362841178464924E-2</v>
      </c>
      <c r="S209" s="13">
        <f>((((VLOOKUP(B209,Database!$F:$AY,MATCH($S$1,Database!$F$1:$AY$1,),))))-(((VLOOKUP(EDATE(B209,-12),Database!$F:$AY,MATCH($S$1,Database!$F$1:$AY$1,),)))))/(((VLOOKUP(EDATE(B209,-12),Database!$F:$AY,MATCH($S$1,Database!$F$1:$AY$1,),))))</f>
        <v>4.7767452739320614E-2</v>
      </c>
      <c r="T209" s="13">
        <f>((((VLOOKUP(B209,Database!$F:$AY,MATCH($T$1,Database!$F$1:$AY$1,),))))-(((VLOOKUP(EDATE(B209,-12),Database!$F:$AY,MATCH($T$1,Database!$F$1:$AY$1,),)))))/(((VLOOKUP(EDATE(B209,-12),Database!$F:$AY,MATCH($T$1,Database!$F$1:$AY$1,),))))</f>
        <v>9.2278679317562853E-2</v>
      </c>
      <c r="U209" s="13">
        <f>((((VLOOKUP(B209,Database!$F:$AY,MATCH($U$1,Database!$F$1:$AY$1,),))))-(((VLOOKUP(EDATE(B209,-12),Database!$F:$AY,MATCH($U$1,Database!$F$1:$AY$1,),)))))/(((VLOOKUP(EDATE(B209,-12),Database!$F:$AY,MATCH($U$1,Database!$F$1:$AY$1,),))))</f>
        <v>3.6601394350038639E-2</v>
      </c>
      <c r="V209" s="13">
        <f>((((VLOOKUP(B209,Database!$F:$AY,MATCH($V$1,Database!$F$1:$AY$1,),))))-(((VLOOKUP(EDATE(B209,-12),Database!$F:$AY,MATCH($V$1,Database!$F$1:$AY$1,),)))))/(((VLOOKUP(EDATE(B209,-12),Database!$F:$AY,MATCH($V$1,Database!$F$1:$AY$1,),))))</f>
        <v>4.2662116040955628E-2</v>
      </c>
    </row>
    <row r="210" spans="1:22" s="85" customFormat="1" x14ac:dyDescent="0.2">
      <c r="A210" s="44"/>
      <c r="B210" s="91">
        <v>38534</v>
      </c>
      <c r="C210" s="13">
        <f>((((VLOOKUP(B210,Database!$F:$AY,MATCH($C$1,Database!$F$1:$AY$1,),))))-(((VLOOKUP(EDATE(B210,-12),Database!$F:$AY,MATCH($C$1,Database!$F$1:$AY$1,),)))))/(((VLOOKUP(EDATE(B210,-12),Database!$F:$AY,MATCH($C$1,Database!$F$1:$AY$1,),))))</f>
        <v>3.4572895058629871E-2</v>
      </c>
      <c r="D210" s="13">
        <f>((((VLOOKUP(B210,Database!$F:$AY,MATCH($D$1,Database!$F$1:$AY$1,),))))-(((VLOOKUP(EDATE(B210,-12),Database!$F:$AY,MATCH($D$1,Database!$F$1:$AY$1,),)))))/(((VLOOKUP(EDATE(B210,-12),Database!$F:$AY,MATCH($D$1,Database!$F$1:$AY$1,),))))</f>
        <v>8.1053014301469811E-3</v>
      </c>
      <c r="E210" s="13">
        <f>((((VLOOKUP(B210,Database!$F:$AY,MATCH($E$1,Database!$F$1:$AY$1,),))))-(((VLOOKUP(EDATE(B210,-12),Database!$F:$AY,MATCH($E$1,Database!$F$1:$AY$1,),)))))/(((VLOOKUP(EDATE(B210,-12),Database!$F:$AY,MATCH($E$1,Database!$F$1:$AY$1,),))))</f>
        <v>-1.0934679102470993E-2</v>
      </c>
      <c r="F210" s="13">
        <f>((((VLOOKUP(B210,Database!$F:$AY,MATCH($F$1,Database!$F$1:$AY$1,),))))-(((VLOOKUP(EDATE(B210,-12),Database!$F:$AY,MATCH($F$1,Database!$F$1:$AY$1,),)))))/(((VLOOKUP(EDATE(B210,-12),Database!$F:$AY,MATCH($F$1,Database!$F$1:$AY$1,),))))</f>
        <v>3.7037138819939822E-2</v>
      </c>
      <c r="G210" s="13">
        <f>((((VLOOKUP(B210,Database!$F:$AY,MATCH($G$1,Database!$F$1:$AY$1,),))))-(((VLOOKUP(EDATE(B210,-12),Database!$F:$AY,MATCH($G$1,Database!$F$1:$AY$1,),)))))/(((VLOOKUP(EDATE(B210,-12),Database!$F:$AY,MATCH($G$1,Database!$F$1:$AY$1,),))))</f>
        <v>-1.5489787997035317E-2</v>
      </c>
      <c r="H210" s="13">
        <f>((((VLOOKUP(B210,Database!$F:$AY,MATCH($H$1,Database!$F$1:$AY$1,),))))-(((VLOOKUP(EDATE(B210,-12),Database!$F:$AY,MATCH($H$1,Database!$F$1:$AY$1,),)))))/(((VLOOKUP(EDATE(B210,-12),Database!$F:$AY,MATCH($H$1,Database!$F$1:$AY$1,),))))</f>
        <v>6.8030076257709054E-3</v>
      </c>
      <c r="I210" s="13">
        <f>((((VLOOKUP(B210,Database!$F:$AY,MATCH($I$1,Database!$F$1:$AY$1,),))))-(((VLOOKUP(EDATE(B210,-12),Database!$F:$AY,MATCH($I$1,Database!$F$1:$AY$1,),)))))/(((VLOOKUP(EDATE(B210,-12),Database!$F:$AY,MATCH($I$1,Database!$F$1:$AY$1,),))))</f>
        <v>-4.8736815509339204E-3</v>
      </c>
      <c r="J210" s="13">
        <f>((((VLOOKUP(B210,Database!$F:$AY,MATCH($J$1,Database!$F$1:$AY$1,),))))-(((VLOOKUP(EDATE(B210,-12),Database!$F:$AY,MATCH($J$1,Database!$F$1:$AY$1,),)))))/(((VLOOKUP(EDATE(B210,-12),Database!$F:$AY,MATCH($J$1,Database!$F$1:$AY$1,),))))</f>
        <v>2.9588576757896795E-3</v>
      </c>
      <c r="K210" s="13">
        <f>((((VLOOKUP(B210,Database!$F:$AY,MATCH($K$1,Database!$F$1:$AY$1,),))))-(((VLOOKUP(EDATE(B210,-12),Database!$F:$AY,MATCH($K$1,Database!$F$1:$AY$1,),)))))/(((VLOOKUP(EDATE(B210,-12),Database!$F:$AY,MATCH($K$1,Database!$F$1:$AY$1,),))))</f>
        <v>6.470028544243589E-2</v>
      </c>
      <c r="L210" s="13">
        <f>((((VLOOKUP(B210,Database!$F:$AY,MATCH($L$1,Database!$F$1:$AY$1,),))))-(((VLOOKUP(EDATE(B210,-12),Database!$F:$AY,MATCH($L$1,Database!$F$1:$AY$1,),)))))/(((VLOOKUP(EDATE(B210,-12),Database!$F:$AY,MATCH($L$1,Database!$F$1:$AY$1,),))))</f>
        <v>3.2142389733997114E-3</v>
      </c>
      <c r="M210" s="13">
        <f>((((VLOOKUP(B210,Database!$F:$AY,MATCH($M$1,Database!$F$1:$AY$1,),))))-(((VLOOKUP(EDATE(B210,-12),Database!$F:$AY,MATCH($M$1,Database!$F$1:$AY$1,),)))))/(((VLOOKUP(EDATE(B210,-12),Database!$F:$AY,MATCH($M$1,Database!$F$1:$AY$1,),))))</f>
        <v>5.4007284394082235E-2</v>
      </c>
      <c r="N210" s="13">
        <f>((((VLOOKUP(B210,Database!$F:$AY,MATCH($N$1,Database!$F$1:$AY$1,),))))-(((VLOOKUP(EDATE(B210,-12),Database!$F:$AY,MATCH($N$1,Database!$F$1:$AY$1,),)))))/(((VLOOKUP(EDATE(B210,-12),Database!$F:$AY,MATCH($N$1,Database!$F$1:$AY$1,),))))</f>
        <v>2.0988955155312621E-2</v>
      </c>
      <c r="O210" s="13">
        <f>((((VLOOKUP(B210,Database!$F:$AY,MATCH($O$1,Database!$F$1:$AY$1,),))))-(((VLOOKUP(EDATE(B210,-12),Database!$F:$AY,MATCH($O$1,Database!$F$1:$AY$1,),)))))/(((VLOOKUP(EDATE(B210,-12),Database!$F:$AY,MATCH($O$1,Database!$F$1:$AY$1,),))))</f>
        <v>1.9748853022129947E-2</v>
      </c>
      <c r="P210" s="13">
        <f>((((VLOOKUP(B210,Database!$F:$AY,MATCH($P$1,Database!$F$1:$AY$1,),))))-(((VLOOKUP(EDATE(B210,-12),Database!$F:$AY,MATCH($P$1,Database!$F$1:$AY$1,),)))))/(((VLOOKUP(EDATE(B210,-12),Database!$F:$AY,MATCH($P$1,Database!$F$1:$AY$1,),))))</f>
        <v>7.6899171853057044E-2</v>
      </c>
      <c r="Q210" s="13">
        <f>((((VLOOKUP(B210,Database!$F:$AY,MATCH($Q$1,Database!$F$1:$AY$1,),))))-(((VLOOKUP(EDATE(B210,-12),Database!$F:$AY,MATCH($Q$1,Database!$F$1:$AY$1,),)))))/(((VLOOKUP(EDATE(B210,-12),Database!$F:$AY,MATCH($Q$1,Database!$F$1:$AY$1,),))))</f>
        <v>2.5374849541632338E-2</v>
      </c>
      <c r="R210" s="13">
        <f>((((VLOOKUP(B210,Database!$F:$AY,MATCH($R$1,Database!$F$1:$AY$1,),))))-(((VLOOKUP(EDATE(B210,-12),Database!$F:$AY,MATCH($R$1,Database!$F$1:$AY$1,),)))))/(((VLOOKUP(EDATE(B210,-12),Database!$F:$AY,MATCH($R$1,Database!$F$1:$AY$1,),))))</f>
        <v>-5.5176708002310546E-2</v>
      </c>
      <c r="S210" s="13">
        <f>((((VLOOKUP(B210,Database!$F:$AY,MATCH($S$1,Database!$F$1:$AY$1,),))))-(((VLOOKUP(EDATE(B210,-12),Database!$F:$AY,MATCH($S$1,Database!$F$1:$AY$1,),)))))/(((VLOOKUP(EDATE(B210,-12),Database!$F:$AY,MATCH($S$1,Database!$F$1:$AY$1,),))))</f>
        <v>-9.1503252563871582E-2</v>
      </c>
      <c r="T210" s="13">
        <f>((((VLOOKUP(B210,Database!$F:$AY,MATCH($T$1,Database!$F$1:$AY$1,),))))-(((VLOOKUP(EDATE(B210,-12),Database!$F:$AY,MATCH($T$1,Database!$F$1:$AY$1,),)))))/(((VLOOKUP(EDATE(B210,-12),Database!$F:$AY,MATCH($T$1,Database!$F$1:$AY$1,),))))</f>
        <v>0.10018552565881643</v>
      </c>
      <c r="U210" s="13">
        <f>((((VLOOKUP(B210,Database!$F:$AY,MATCH($U$1,Database!$F$1:$AY$1,),))))-(((VLOOKUP(EDATE(B210,-12),Database!$F:$AY,MATCH($U$1,Database!$F$1:$AY$1,),)))))/(((VLOOKUP(EDATE(B210,-12),Database!$F:$AY,MATCH($U$1,Database!$F$1:$AY$1,),))))</f>
        <v>2.1879064786215967E-2</v>
      </c>
      <c r="V210" s="13">
        <f>((((VLOOKUP(B210,Database!$F:$AY,MATCH($V$1,Database!$F$1:$AY$1,),))))-(((VLOOKUP(EDATE(B210,-12),Database!$F:$AY,MATCH($V$1,Database!$F$1:$AY$1,),)))))/(((VLOOKUP(EDATE(B210,-12),Database!$F:$AY,MATCH($V$1,Database!$F$1:$AY$1,),))))</f>
        <v>5.128205128205128E-2</v>
      </c>
    </row>
    <row r="211" spans="1:22" s="85" customFormat="1" x14ac:dyDescent="0.2">
      <c r="A211" s="44"/>
      <c r="B211" s="91">
        <v>38565</v>
      </c>
      <c r="C211" s="13">
        <f>((((VLOOKUP(B211,Database!$F:$AY,MATCH($C$1,Database!$F$1:$AY$1,),))))-(((VLOOKUP(EDATE(B211,-12),Database!$F:$AY,MATCH($C$1,Database!$F$1:$AY$1,),)))))/(((VLOOKUP(EDATE(B211,-12),Database!$F:$AY,MATCH($C$1,Database!$F$1:$AY$1,),))))</f>
        <v>3.6656132724219234E-2</v>
      </c>
      <c r="D211" s="13">
        <f>((((VLOOKUP(B211,Database!$F:$AY,MATCH($D$1,Database!$F$1:$AY$1,),))))-(((VLOOKUP(EDATE(B211,-12),Database!$F:$AY,MATCH($D$1,Database!$F$1:$AY$1,),)))))/(((VLOOKUP(EDATE(B211,-12),Database!$F:$AY,MATCH($D$1,Database!$F$1:$AY$1,),))))</f>
        <v>1.758028329024448E-2</v>
      </c>
      <c r="E211" s="13">
        <f>((((VLOOKUP(B211,Database!$F:$AY,MATCH($E$1,Database!$F$1:$AY$1,),))))-(((VLOOKUP(EDATE(B211,-12),Database!$F:$AY,MATCH($E$1,Database!$F$1:$AY$1,),)))))/(((VLOOKUP(EDATE(B211,-12),Database!$F:$AY,MATCH($E$1,Database!$F$1:$AY$1,),))))</f>
        <v>3.0235970416977536E-3</v>
      </c>
      <c r="F211" s="13">
        <f>((((VLOOKUP(B211,Database!$F:$AY,MATCH($F$1,Database!$F$1:$AY$1,),))))-(((VLOOKUP(EDATE(B211,-12),Database!$F:$AY,MATCH($F$1,Database!$F$1:$AY$1,),)))))/(((VLOOKUP(EDATE(B211,-12),Database!$F:$AY,MATCH($F$1,Database!$F$1:$AY$1,),))))</f>
        <v>1.6887897410990459E-2</v>
      </c>
      <c r="G211" s="13">
        <f>((((VLOOKUP(B211,Database!$F:$AY,MATCH($G$1,Database!$F$1:$AY$1,),))))-(((VLOOKUP(EDATE(B211,-12),Database!$F:$AY,MATCH($G$1,Database!$F$1:$AY$1,),)))))/(((VLOOKUP(EDATE(B211,-12),Database!$F:$AY,MATCH($G$1,Database!$F$1:$AY$1,),))))</f>
        <v>1.4937788777799405E-2</v>
      </c>
      <c r="H211" s="13">
        <f>((((VLOOKUP(B211,Database!$F:$AY,MATCH($H$1,Database!$F$1:$AY$1,),))))-(((VLOOKUP(EDATE(B211,-12),Database!$F:$AY,MATCH($H$1,Database!$F$1:$AY$1,),)))))/(((VLOOKUP(EDATE(B211,-12),Database!$F:$AY,MATCH($H$1,Database!$F$1:$AY$1,),))))</f>
        <v>9.7442120880758694E-4</v>
      </c>
      <c r="I211" s="13">
        <f>((((VLOOKUP(B211,Database!$F:$AY,MATCH($I$1,Database!$F$1:$AY$1,),))))-(((VLOOKUP(EDATE(B211,-12),Database!$F:$AY,MATCH($I$1,Database!$F$1:$AY$1,),)))))/(((VLOOKUP(EDATE(B211,-12),Database!$F:$AY,MATCH($I$1,Database!$F$1:$AY$1,),))))</f>
        <v>8.2917323161124188E-3</v>
      </c>
      <c r="J211" s="13">
        <f>((((VLOOKUP(B211,Database!$F:$AY,MATCH($J$1,Database!$F$1:$AY$1,),))))-(((VLOOKUP(EDATE(B211,-12),Database!$F:$AY,MATCH($J$1,Database!$F$1:$AY$1,),)))))/(((VLOOKUP(EDATE(B211,-12),Database!$F:$AY,MATCH($J$1,Database!$F$1:$AY$1,),))))</f>
        <v>2.8271188775457094E-2</v>
      </c>
      <c r="K211" s="13">
        <f>((((VLOOKUP(B211,Database!$F:$AY,MATCH($K$1,Database!$F$1:$AY$1,),))))-(((VLOOKUP(EDATE(B211,-12),Database!$F:$AY,MATCH($K$1,Database!$F$1:$AY$1,),)))))/(((VLOOKUP(EDATE(B211,-12),Database!$F:$AY,MATCH($K$1,Database!$F$1:$AY$1,),))))</f>
        <v>-8.3256244218315595E-3</v>
      </c>
      <c r="L211" s="13">
        <f>((((VLOOKUP(B211,Database!$F:$AY,MATCH($L$1,Database!$F$1:$AY$1,),))))-(((VLOOKUP(EDATE(B211,-12),Database!$F:$AY,MATCH($L$1,Database!$F$1:$AY$1,),)))))/(((VLOOKUP(EDATE(B211,-12),Database!$F:$AY,MATCH($L$1,Database!$F$1:$AY$1,),))))</f>
        <v>3.3241626567579841E-2</v>
      </c>
      <c r="M211" s="13">
        <f>((((VLOOKUP(B211,Database!$F:$AY,MATCH($M$1,Database!$F$1:$AY$1,),))))-(((VLOOKUP(EDATE(B211,-12),Database!$F:$AY,MATCH($M$1,Database!$F$1:$AY$1,),)))))/(((VLOOKUP(EDATE(B211,-12),Database!$F:$AY,MATCH($M$1,Database!$F$1:$AY$1,),))))</f>
        <v>3.2490449301647746E-2</v>
      </c>
      <c r="N211" s="13">
        <f>((((VLOOKUP(B211,Database!$F:$AY,MATCH($N$1,Database!$F$1:$AY$1,),))))-(((VLOOKUP(EDATE(B211,-12),Database!$F:$AY,MATCH($N$1,Database!$F$1:$AY$1,),)))))/(((VLOOKUP(EDATE(B211,-12),Database!$F:$AY,MATCH($N$1,Database!$F$1:$AY$1,),))))</f>
        <v>4.0275416808294981E-2</v>
      </c>
      <c r="O211" s="13">
        <f>((((VLOOKUP(B211,Database!$F:$AY,MATCH($O$1,Database!$F$1:$AY$1,),))))-(((VLOOKUP(EDATE(B211,-12),Database!$F:$AY,MATCH($O$1,Database!$F$1:$AY$1,),)))))/(((VLOOKUP(EDATE(B211,-12),Database!$F:$AY,MATCH($O$1,Database!$F$1:$AY$1,),))))</f>
        <v>2.3031331935296873E-2</v>
      </c>
      <c r="P211" s="13">
        <f>((((VLOOKUP(B211,Database!$F:$AY,MATCH($P$1,Database!$F$1:$AY$1,),))))-(((VLOOKUP(EDATE(B211,-12),Database!$F:$AY,MATCH($P$1,Database!$F$1:$AY$1,),)))))/(((VLOOKUP(EDATE(B211,-12),Database!$F:$AY,MATCH($P$1,Database!$F$1:$AY$1,),))))</f>
        <v>6.3443822301020344E-2</v>
      </c>
      <c r="Q211" s="13">
        <f>((((VLOOKUP(B211,Database!$F:$AY,MATCH($Q$1,Database!$F$1:$AY$1,),))))-(((VLOOKUP(EDATE(B211,-12),Database!$F:$AY,MATCH($Q$1,Database!$F$1:$AY$1,),)))))/(((VLOOKUP(EDATE(B211,-12),Database!$F:$AY,MATCH($Q$1,Database!$F$1:$AY$1,),))))</f>
        <v>1.7123311106093012E-2</v>
      </c>
      <c r="R211" s="13">
        <f>((((VLOOKUP(B211,Database!$F:$AY,MATCH($R$1,Database!$F$1:$AY$1,),))))-(((VLOOKUP(EDATE(B211,-12),Database!$F:$AY,MATCH($R$1,Database!$F$1:$AY$1,),)))))/(((VLOOKUP(EDATE(B211,-12),Database!$F:$AY,MATCH($R$1,Database!$F$1:$AY$1,),))))</f>
        <v>3.6081797793895483E-2</v>
      </c>
      <c r="S211" s="13">
        <f>((((VLOOKUP(B211,Database!$F:$AY,MATCH($S$1,Database!$F$1:$AY$1,),))))-(((VLOOKUP(EDATE(B211,-12),Database!$F:$AY,MATCH($S$1,Database!$F$1:$AY$1,),)))))/(((VLOOKUP(EDATE(B211,-12),Database!$F:$AY,MATCH($S$1,Database!$F$1:$AY$1,),))))</f>
        <v>0.17365961809183253</v>
      </c>
      <c r="T211" s="13">
        <f>((((VLOOKUP(B211,Database!$F:$AY,MATCH($T$1,Database!$F$1:$AY$1,),))))-(((VLOOKUP(EDATE(B211,-12),Database!$F:$AY,MATCH($T$1,Database!$F$1:$AY$1,),)))))/(((VLOOKUP(EDATE(B211,-12),Database!$F:$AY,MATCH($T$1,Database!$F$1:$AY$1,),))))</f>
        <v>0.12710293231921771</v>
      </c>
      <c r="U211" s="13">
        <f>((((VLOOKUP(B211,Database!$F:$AY,MATCH($U$1,Database!$F$1:$AY$1,),))))-(((VLOOKUP(EDATE(B211,-12),Database!$F:$AY,MATCH($U$1,Database!$F$1:$AY$1,),)))))/(((VLOOKUP(EDATE(B211,-12),Database!$F:$AY,MATCH($U$1,Database!$F$1:$AY$1,),))))</f>
        <v>3.0848458926893026E-2</v>
      </c>
      <c r="V211" s="13">
        <f>((((VLOOKUP(B211,Database!$F:$AY,MATCH($V$1,Database!$F$1:$AY$1,),))))-(((VLOOKUP(EDATE(B211,-12),Database!$F:$AY,MATCH($V$1,Database!$F$1:$AY$1,),)))))/(((VLOOKUP(EDATE(B211,-12),Database!$F:$AY,MATCH($V$1,Database!$F$1:$AY$1,),))))</f>
        <v>5.4421768707483047E-2</v>
      </c>
    </row>
    <row r="212" spans="1:22" s="85" customFormat="1" x14ac:dyDescent="0.2">
      <c r="A212" s="44"/>
      <c r="B212" s="91">
        <v>38596</v>
      </c>
      <c r="C212" s="13">
        <f>((((VLOOKUP(B212,Database!$F:$AY,MATCH($C$1,Database!$F$1:$AY$1,),))))-(((VLOOKUP(EDATE(B212,-12),Database!$F:$AY,MATCH($C$1,Database!$F$1:$AY$1,),)))))/(((VLOOKUP(EDATE(B212,-12),Database!$F:$AY,MATCH($C$1,Database!$F$1:$AY$1,),))))</f>
        <v>1.6449245276015635E-2</v>
      </c>
      <c r="D212" s="13">
        <f>((((VLOOKUP(B212,Database!$F:$AY,MATCH($D$1,Database!$F$1:$AY$1,),))))-(((VLOOKUP(EDATE(B212,-12),Database!$F:$AY,MATCH($D$1,Database!$F$1:$AY$1,),)))))/(((VLOOKUP(EDATE(B212,-12),Database!$F:$AY,MATCH($D$1,Database!$F$1:$AY$1,),))))</f>
        <v>1.6309852222072548E-2</v>
      </c>
      <c r="E212" s="13">
        <f>((((VLOOKUP(B212,Database!$F:$AY,MATCH($E$1,Database!$F$1:$AY$1,),))))-(((VLOOKUP(EDATE(B212,-12),Database!$F:$AY,MATCH($E$1,Database!$F$1:$AY$1,),)))))/(((VLOOKUP(EDATE(B212,-12),Database!$F:$AY,MATCH($E$1,Database!$F$1:$AY$1,),))))</f>
        <v>8.0401610436397399E-3</v>
      </c>
      <c r="F212" s="13">
        <f>((((VLOOKUP(B212,Database!$F:$AY,MATCH($F$1,Database!$F$1:$AY$1,),))))-(((VLOOKUP(EDATE(B212,-12),Database!$F:$AY,MATCH($F$1,Database!$F$1:$AY$1,),)))))/(((VLOOKUP(EDATE(B212,-12),Database!$F:$AY,MATCH($F$1,Database!$F$1:$AY$1,),))))</f>
        <v>4.8367512117998598E-2</v>
      </c>
      <c r="G212" s="13">
        <f>((((VLOOKUP(B212,Database!$F:$AY,MATCH($G$1,Database!$F$1:$AY$1,),))))-(((VLOOKUP(EDATE(B212,-12),Database!$F:$AY,MATCH($G$1,Database!$F$1:$AY$1,),)))))/(((VLOOKUP(EDATE(B212,-12),Database!$F:$AY,MATCH($G$1,Database!$F$1:$AY$1,),))))</f>
        <v>5.6827970907686607E-3</v>
      </c>
      <c r="H212" s="13">
        <f>((((VLOOKUP(B212,Database!$F:$AY,MATCH($H$1,Database!$F$1:$AY$1,),))))-(((VLOOKUP(EDATE(B212,-12),Database!$F:$AY,MATCH($H$1,Database!$F$1:$AY$1,),)))))/(((VLOOKUP(EDATE(B212,-12),Database!$F:$AY,MATCH($H$1,Database!$F$1:$AY$1,),))))</f>
        <v>-8.7207620213801528E-3</v>
      </c>
      <c r="I212" s="13">
        <f>((((VLOOKUP(B212,Database!$F:$AY,MATCH($I$1,Database!$F$1:$AY$1,),))))-(((VLOOKUP(EDATE(B212,-12),Database!$F:$AY,MATCH($I$1,Database!$F$1:$AY$1,),)))))/(((VLOOKUP(EDATE(B212,-12),Database!$F:$AY,MATCH($I$1,Database!$F$1:$AY$1,),))))</f>
        <v>-1.635459376006853E-3</v>
      </c>
      <c r="J212" s="13">
        <f>((((VLOOKUP(B212,Database!$F:$AY,MATCH($J$1,Database!$F$1:$AY$1,),))))-(((VLOOKUP(EDATE(B212,-12),Database!$F:$AY,MATCH($J$1,Database!$F$1:$AY$1,),)))))/(((VLOOKUP(EDATE(B212,-12),Database!$F:$AY,MATCH($J$1,Database!$F$1:$AY$1,),))))</f>
        <v>4.6580759785696934E-3</v>
      </c>
      <c r="K212" s="13">
        <f>((((VLOOKUP(B212,Database!$F:$AY,MATCH($K$1,Database!$F$1:$AY$1,),))))-(((VLOOKUP(EDATE(B212,-12),Database!$F:$AY,MATCH($K$1,Database!$F$1:$AY$1,),)))))/(((VLOOKUP(EDATE(B212,-12),Database!$F:$AY,MATCH($K$1,Database!$F$1:$AY$1,),))))</f>
        <v>2.2099447513812209E-2</v>
      </c>
      <c r="L212" s="13">
        <f>((((VLOOKUP(B212,Database!$F:$AY,MATCH($L$1,Database!$F$1:$AY$1,),))))-(((VLOOKUP(EDATE(B212,-12),Database!$F:$AY,MATCH($L$1,Database!$F$1:$AY$1,),)))))/(((VLOOKUP(EDATE(B212,-12),Database!$F:$AY,MATCH($L$1,Database!$F$1:$AY$1,),))))</f>
        <v>2.707587035555984E-2</v>
      </c>
      <c r="M212" s="13">
        <f>((((VLOOKUP(B212,Database!$F:$AY,MATCH($M$1,Database!$F$1:$AY$1,),))))-(((VLOOKUP(EDATE(B212,-12),Database!$F:$AY,MATCH($M$1,Database!$F$1:$AY$1,),)))))/(((VLOOKUP(EDATE(B212,-12),Database!$F:$AY,MATCH($M$1,Database!$F$1:$AY$1,),))))</f>
        <v>6.7422189464173332E-2</v>
      </c>
      <c r="N212" s="13">
        <f>((((VLOOKUP(B212,Database!$F:$AY,MATCH($N$1,Database!$F$1:$AY$1,),))))-(((VLOOKUP(EDATE(B212,-12),Database!$F:$AY,MATCH($N$1,Database!$F$1:$AY$1,),)))))/(((VLOOKUP(EDATE(B212,-12),Database!$F:$AY,MATCH($N$1,Database!$F$1:$AY$1,),))))</f>
        <v>1.8771065421338308E-2</v>
      </c>
      <c r="O212" s="13">
        <f>((((VLOOKUP(B212,Database!$F:$AY,MATCH($O$1,Database!$F$1:$AY$1,),))))-(((VLOOKUP(EDATE(B212,-12),Database!$F:$AY,MATCH($O$1,Database!$F$1:$AY$1,),)))))/(((VLOOKUP(EDATE(B212,-12),Database!$F:$AY,MATCH($O$1,Database!$F$1:$AY$1,),))))</f>
        <v>1.9688212859922002E-2</v>
      </c>
      <c r="P212" s="13">
        <f>((((VLOOKUP(B212,Database!$F:$AY,MATCH($P$1,Database!$F$1:$AY$1,),))))-(((VLOOKUP(EDATE(B212,-12),Database!$F:$AY,MATCH($P$1,Database!$F$1:$AY$1,),)))))/(((VLOOKUP(EDATE(B212,-12),Database!$F:$AY,MATCH($P$1,Database!$F$1:$AY$1,),))))</f>
        <v>5.2542733196109317E-2</v>
      </c>
      <c r="Q212" s="13">
        <f>((((VLOOKUP(B212,Database!$F:$AY,MATCH($Q$1,Database!$F$1:$AY$1,),))))-(((VLOOKUP(EDATE(B212,-12),Database!$F:$AY,MATCH($Q$1,Database!$F$1:$AY$1,),)))))/(((VLOOKUP(EDATE(B212,-12),Database!$F:$AY,MATCH($Q$1,Database!$F$1:$AY$1,),))))</f>
        <v>0</v>
      </c>
      <c r="R212" s="13">
        <f>((((VLOOKUP(B212,Database!$F:$AY,MATCH($R$1,Database!$F$1:$AY$1,),))))-(((VLOOKUP(EDATE(B212,-12),Database!$F:$AY,MATCH($R$1,Database!$F$1:$AY$1,),)))))/(((VLOOKUP(EDATE(B212,-12),Database!$F:$AY,MATCH($R$1,Database!$F$1:$AY$1,),))))</f>
        <v>-1.1041856242369388E-2</v>
      </c>
      <c r="S212" s="13">
        <f>((((VLOOKUP(B212,Database!$F:$AY,MATCH($S$1,Database!$F$1:$AY$1,),))))-(((VLOOKUP(EDATE(B212,-12),Database!$F:$AY,MATCH($S$1,Database!$F$1:$AY$1,),)))))/(((VLOOKUP(EDATE(B212,-12),Database!$F:$AY,MATCH($S$1,Database!$F$1:$AY$1,),))))</f>
        <v>3.433926733670549E-2</v>
      </c>
      <c r="T212" s="13">
        <f>((((VLOOKUP(B212,Database!$F:$AY,MATCH($T$1,Database!$F$1:$AY$1,),))))-(((VLOOKUP(EDATE(B212,-12),Database!$F:$AY,MATCH($T$1,Database!$F$1:$AY$1,),)))))/(((VLOOKUP(EDATE(B212,-12),Database!$F:$AY,MATCH($T$1,Database!$F$1:$AY$1,),))))</f>
        <v>0.16412227508286481</v>
      </c>
      <c r="U212" s="13">
        <f>((((VLOOKUP(B212,Database!$F:$AY,MATCH($U$1,Database!$F$1:$AY$1,),))))-(((VLOOKUP(EDATE(B212,-12),Database!$F:$AY,MATCH($U$1,Database!$F$1:$AY$1,),)))))/(((VLOOKUP(EDATE(B212,-12),Database!$F:$AY,MATCH($U$1,Database!$F$1:$AY$1,),))))</f>
        <v>3.7419399466336781E-2</v>
      </c>
      <c r="V212" s="13">
        <f>((((VLOOKUP(B212,Database!$F:$AY,MATCH($V$1,Database!$F$1:$AY$1,),))))-(((VLOOKUP(EDATE(B212,-12),Database!$F:$AY,MATCH($V$1,Database!$F$1:$AY$1,),)))))/(((VLOOKUP(EDATE(B212,-12),Database!$F:$AY,MATCH($V$1,Database!$F$1:$AY$1,),))))</f>
        <v>6.1016949152542396E-2</v>
      </c>
    </row>
    <row r="213" spans="1:22" s="85" customFormat="1" x14ac:dyDescent="0.2">
      <c r="A213" s="44"/>
      <c r="B213" s="91">
        <v>38626</v>
      </c>
      <c r="C213" s="13">
        <f>((((VLOOKUP(B213,Database!$F:$AY,MATCH($C$1,Database!$F$1:$AY$1,),))))-(((VLOOKUP(EDATE(B213,-12),Database!$F:$AY,MATCH($C$1,Database!$F$1:$AY$1,),)))))/(((VLOOKUP(EDATE(B213,-12),Database!$F:$AY,MATCH($C$1,Database!$F$1:$AY$1,),))))</f>
        <v>1.9561756794858193E-2</v>
      </c>
      <c r="D213" s="13">
        <f>((((VLOOKUP(B213,Database!$F:$AY,MATCH($D$1,Database!$F$1:$AY$1,),))))-(((VLOOKUP(EDATE(B213,-12),Database!$F:$AY,MATCH($D$1,Database!$F$1:$AY$1,),)))))/(((VLOOKUP(EDATE(B213,-12),Database!$F:$AY,MATCH($D$1,Database!$F$1:$AY$1,),))))</f>
        <v>1.3184549920438045E-2</v>
      </c>
      <c r="E213" s="13">
        <f>((((VLOOKUP(B213,Database!$F:$AY,MATCH($E$1,Database!$F$1:$AY$1,),))))-(((VLOOKUP(EDATE(B213,-12),Database!$F:$AY,MATCH($E$1,Database!$F$1:$AY$1,),)))))/(((VLOOKUP(EDATE(B213,-12),Database!$F:$AY,MATCH($E$1,Database!$F$1:$AY$1,),))))</f>
        <v>1.8441811620707457E-2</v>
      </c>
      <c r="F213" s="13">
        <f>((((VLOOKUP(B213,Database!$F:$AY,MATCH($F$1,Database!$F$1:$AY$1,),))))-(((VLOOKUP(EDATE(B213,-12),Database!$F:$AY,MATCH($F$1,Database!$F$1:$AY$1,),)))))/(((VLOOKUP(EDATE(B213,-12),Database!$F:$AY,MATCH($F$1,Database!$F$1:$AY$1,),))))</f>
        <v>5.6152950389411121E-2</v>
      </c>
      <c r="G213" s="13">
        <f>((((VLOOKUP(B213,Database!$F:$AY,MATCH($G$1,Database!$F$1:$AY$1,),))))-(((VLOOKUP(EDATE(B213,-12),Database!$F:$AY,MATCH($G$1,Database!$F$1:$AY$1,),)))))/(((VLOOKUP(EDATE(B213,-12),Database!$F:$AY,MATCH($G$1,Database!$F$1:$AY$1,),))))</f>
        <v>-3.1070666515044192E-2</v>
      </c>
      <c r="H213" s="13">
        <f>((((VLOOKUP(B213,Database!$F:$AY,MATCH($H$1,Database!$F$1:$AY$1,),))))-(((VLOOKUP(EDATE(B213,-12),Database!$F:$AY,MATCH($H$1,Database!$F$1:$AY$1,),)))))/(((VLOOKUP(EDATE(B213,-12),Database!$F:$AY,MATCH($H$1,Database!$F$1:$AY$1,),))))</f>
        <v>-1.3514078869934377E-2</v>
      </c>
      <c r="I213" s="13">
        <f>((((VLOOKUP(B213,Database!$F:$AY,MATCH($I$1,Database!$F$1:$AY$1,),))))-(((VLOOKUP(EDATE(B213,-12),Database!$F:$AY,MATCH($I$1,Database!$F$1:$AY$1,),)))))/(((VLOOKUP(EDATE(B213,-12),Database!$F:$AY,MATCH($I$1,Database!$F$1:$AY$1,),))))</f>
        <v>-7.3049938428294114E-3</v>
      </c>
      <c r="J213" s="13">
        <f>((((VLOOKUP(B213,Database!$F:$AY,MATCH($J$1,Database!$F$1:$AY$1,),))))-(((VLOOKUP(EDATE(B213,-12),Database!$F:$AY,MATCH($J$1,Database!$F$1:$AY$1,),)))))/(((VLOOKUP(EDATE(B213,-12),Database!$F:$AY,MATCH($J$1,Database!$F$1:$AY$1,),))))</f>
        <v>6.1233679953554589E-3</v>
      </c>
      <c r="K213" s="13">
        <f>((((VLOOKUP(B213,Database!$F:$AY,MATCH($K$1,Database!$F$1:$AY$1,),))))-(((VLOOKUP(EDATE(B213,-12),Database!$F:$AY,MATCH($K$1,Database!$F$1:$AY$1,),)))))/(((VLOOKUP(EDATE(B213,-12),Database!$F:$AY,MATCH($K$1,Database!$F$1:$AY$1,),))))</f>
        <v>3.2317636195752543E-2</v>
      </c>
      <c r="L213" s="13">
        <f>((((VLOOKUP(B213,Database!$F:$AY,MATCH($L$1,Database!$F$1:$AY$1,),))))-(((VLOOKUP(EDATE(B213,-12),Database!$F:$AY,MATCH($L$1,Database!$F$1:$AY$1,),)))))/(((VLOOKUP(EDATE(B213,-12),Database!$F:$AY,MATCH($L$1,Database!$F$1:$AY$1,),))))</f>
        <v>1.8373623601926403E-2</v>
      </c>
      <c r="M213" s="13">
        <f>((((VLOOKUP(B213,Database!$F:$AY,MATCH($M$1,Database!$F$1:$AY$1,),))))-(((VLOOKUP(EDATE(B213,-12),Database!$F:$AY,MATCH($M$1,Database!$F$1:$AY$1,),)))))/(((VLOOKUP(EDATE(B213,-12),Database!$F:$AY,MATCH($M$1,Database!$F$1:$AY$1,),))))</f>
        <v>6.0090630005559219E-2</v>
      </c>
      <c r="N213" s="13">
        <f>((((VLOOKUP(B213,Database!$F:$AY,MATCH($N$1,Database!$F$1:$AY$1,),))))-(((VLOOKUP(EDATE(B213,-12),Database!$F:$AY,MATCH($N$1,Database!$F$1:$AY$1,),)))))/(((VLOOKUP(EDATE(B213,-12),Database!$F:$AY,MATCH($N$1,Database!$F$1:$AY$1,),))))</f>
        <v>3.7604824520544824E-2</v>
      </c>
      <c r="O213" s="13">
        <f>((((VLOOKUP(B213,Database!$F:$AY,MATCH($O$1,Database!$F$1:$AY$1,),))))-(((VLOOKUP(EDATE(B213,-12),Database!$F:$AY,MATCH($O$1,Database!$F$1:$AY$1,),)))))/(((VLOOKUP(EDATE(B213,-12),Database!$F:$AY,MATCH($O$1,Database!$F$1:$AY$1,),))))</f>
        <v>2.1506783739156463E-2</v>
      </c>
      <c r="P213" s="13">
        <f>((((VLOOKUP(B213,Database!$F:$AY,MATCH($P$1,Database!$F$1:$AY$1,),))))-(((VLOOKUP(EDATE(B213,-12),Database!$F:$AY,MATCH($P$1,Database!$F$1:$AY$1,),)))))/(((VLOOKUP(EDATE(B213,-12),Database!$F:$AY,MATCH($P$1,Database!$F$1:$AY$1,),))))</f>
        <v>7.3912455173554673E-2</v>
      </c>
      <c r="Q213" s="13">
        <f>((((VLOOKUP(B213,Database!$F:$AY,MATCH($Q$1,Database!$F$1:$AY$1,),))))-(((VLOOKUP(EDATE(B213,-12),Database!$F:$AY,MATCH($Q$1,Database!$F$1:$AY$1,),)))))/(((VLOOKUP(EDATE(B213,-12),Database!$F:$AY,MATCH($Q$1,Database!$F$1:$AY$1,),))))</f>
        <v>1.1415333374391495E-3</v>
      </c>
      <c r="R213" s="13">
        <f>((((VLOOKUP(B213,Database!$F:$AY,MATCH($R$1,Database!$F$1:$AY$1,),))))-(((VLOOKUP(EDATE(B213,-12),Database!$F:$AY,MATCH($R$1,Database!$F$1:$AY$1,),)))))/(((VLOOKUP(EDATE(B213,-12),Database!$F:$AY,MATCH($R$1,Database!$F$1:$AY$1,),))))</f>
        <v>2.0908282468976157E-2</v>
      </c>
      <c r="S213" s="13">
        <f>((((VLOOKUP(B213,Database!$F:$AY,MATCH($S$1,Database!$F$1:$AY$1,),))))-(((VLOOKUP(EDATE(B213,-12),Database!$F:$AY,MATCH($S$1,Database!$F$1:$AY$1,),)))))/(((VLOOKUP(EDATE(B213,-12),Database!$F:$AY,MATCH($S$1,Database!$F$1:$AY$1,),))))</f>
        <v>4.3343569345332907E-2</v>
      </c>
      <c r="T213" s="13">
        <f>((((VLOOKUP(B213,Database!$F:$AY,MATCH($T$1,Database!$F$1:$AY$1,),))))-(((VLOOKUP(EDATE(B213,-12),Database!$F:$AY,MATCH($T$1,Database!$F$1:$AY$1,),)))))/(((VLOOKUP(EDATE(B213,-12),Database!$F:$AY,MATCH($T$1,Database!$F$1:$AY$1,),))))</f>
        <v>0.22529645753064786</v>
      </c>
      <c r="U213" s="13">
        <f>((((VLOOKUP(B213,Database!$F:$AY,MATCH($U$1,Database!$F$1:$AY$1,),))))-(((VLOOKUP(EDATE(B213,-12),Database!$F:$AY,MATCH($U$1,Database!$F$1:$AY$1,),)))))/(((VLOOKUP(EDATE(B213,-12),Database!$F:$AY,MATCH($U$1,Database!$F$1:$AY$1,),))))</f>
        <v>3.7037079615440317E-2</v>
      </c>
      <c r="V213" s="13">
        <f>((((VLOOKUP(B213,Database!$F:$AY,MATCH($V$1,Database!$F$1:$AY$1,),))))-(((VLOOKUP(EDATE(B213,-12),Database!$F:$AY,MATCH($V$1,Database!$F$1:$AY$1,),)))))/(((VLOOKUP(EDATE(B213,-12),Database!$F:$AY,MATCH($V$1,Database!$F$1:$AY$1,),))))</f>
        <v>7.7051926298157353E-2</v>
      </c>
    </row>
    <row r="214" spans="1:22" s="85" customFormat="1" x14ac:dyDescent="0.2">
      <c r="A214" s="44"/>
      <c r="B214" s="91">
        <v>38657</v>
      </c>
      <c r="C214" s="13">
        <f>((((VLOOKUP(B214,Database!$F:$AY,MATCH($C$1,Database!$F$1:$AY$1,),))))-(((VLOOKUP(EDATE(B214,-12),Database!$F:$AY,MATCH($C$1,Database!$F$1:$AY$1,),)))))/(((VLOOKUP(EDATE(B214,-12),Database!$F:$AY,MATCH($C$1,Database!$F$1:$AY$1,),))))</f>
        <v>2.7741049408754773E-2</v>
      </c>
      <c r="D214" s="13">
        <f>((((VLOOKUP(B214,Database!$F:$AY,MATCH($D$1,Database!$F$1:$AY$1,),))))-(((VLOOKUP(EDATE(B214,-12),Database!$F:$AY,MATCH($D$1,Database!$F$1:$AY$1,),)))))/(((VLOOKUP(EDATE(B214,-12),Database!$F:$AY,MATCH($D$1,Database!$F$1:$AY$1,),))))</f>
        <v>4.20516239886135E-2</v>
      </c>
      <c r="E214" s="13">
        <f>((((VLOOKUP(B214,Database!$F:$AY,MATCH($E$1,Database!$F$1:$AY$1,),))))-(((VLOOKUP(EDATE(B214,-12),Database!$F:$AY,MATCH($E$1,Database!$F$1:$AY$1,),)))))/(((VLOOKUP(EDATE(B214,-12),Database!$F:$AY,MATCH($E$1,Database!$F$1:$AY$1,),))))</f>
        <v>2.6315887498859273E-2</v>
      </c>
      <c r="F214" s="13">
        <f>((((VLOOKUP(B214,Database!$F:$AY,MATCH($F$1,Database!$F$1:$AY$1,),))))-(((VLOOKUP(EDATE(B214,-12),Database!$F:$AY,MATCH($F$1,Database!$F$1:$AY$1,),)))))/(((VLOOKUP(EDATE(B214,-12),Database!$F:$AY,MATCH($F$1,Database!$F$1:$AY$1,),))))</f>
        <v>6.1968470275894243E-2</v>
      </c>
      <c r="G214" s="13">
        <f>((((VLOOKUP(B214,Database!$F:$AY,MATCH($G$1,Database!$F$1:$AY$1,),))))-(((VLOOKUP(EDATE(B214,-12),Database!$F:$AY,MATCH($G$1,Database!$F$1:$AY$1,),)))))/(((VLOOKUP(EDATE(B214,-12),Database!$F:$AY,MATCH($G$1,Database!$F$1:$AY$1,),))))</f>
        <v>2.485865623028043E-2</v>
      </c>
      <c r="H214" s="13">
        <f>((((VLOOKUP(B214,Database!$F:$AY,MATCH($H$1,Database!$F$1:$AY$1,),))))-(((VLOOKUP(EDATE(B214,-12),Database!$F:$AY,MATCH($H$1,Database!$F$1:$AY$1,),)))))/(((VLOOKUP(EDATE(B214,-12),Database!$F:$AY,MATCH($H$1,Database!$F$1:$AY$1,),))))</f>
        <v>-6.7245861899871131E-3</v>
      </c>
      <c r="I214" s="13">
        <f>((((VLOOKUP(B214,Database!$F:$AY,MATCH($I$1,Database!$F$1:$AY$1,),))))-(((VLOOKUP(EDATE(B214,-12),Database!$F:$AY,MATCH($I$1,Database!$F$1:$AY$1,),)))))/(((VLOOKUP(EDATE(B214,-12),Database!$F:$AY,MATCH($I$1,Database!$F$1:$AY$1,),))))</f>
        <v>1.8961183082845237E-2</v>
      </c>
      <c r="J214" s="13">
        <f>((((VLOOKUP(B214,Database!$F:$AY,MATCH($J$1,Database!$F$1:$AY$1,),))))-(((VLOOKUP(EDATE(B214,-12),Database!$F:$AY,MATCH($J$1,Database!$F$1:$AY$1,),)))))/(((VLOOKUP(EDATE(B214,-12),Database!$F:$AY,MATCH($J$1,Database!$F$1:$AY$1,),))))</f>
        <v>1.2816866902312121E-2</v>
      </c>
      <c r="K214" s="13">
        <f>((((VLOOKUP(B214,Database!$F:$AY,MATCH($K$1,Database!$F$1:$AY$1,),))))-(((VLOOKUP(EDATE(B214,-12),Database!$F:$AY,MATCH($K$1,Database!$F$1:$AY$1,),)))))/(((VLOOKUP(EDATE(B214,-12),Database!$F:$AY,MATCH($K$1,Database!$F$1:$AY$1,),))))</f>
        <v>7.3461891643709564E-3</v>
      </c>
      <c r="L214" s="13">
        <f>((((VLOOKUP(B214,Database!$F:$AY,MATCH($L$1,Database!$F$1:$AY$1,),))))-(((VLOOKUP(EDATE(B214,-12),Database!$F:$AY,MATCH($L$1,Database!$F$1:$AY$1,),)))))/(((VLOOKUP(EDATE(B214,-12),Database!$F:$AY,MATCH($L$1,Database!$F$1:$AY$1,),))))</f>
        <v>3.6464476933912332E-2</v>
      </c>
      <c r="M214" s="13">
        <f>((((VLOOKUP(B214,Database!$F:$AY,MATCH($M$1,Database!$F$1:$AY$1,),))))-(((VLOOKUP(EDATE(B214,-12),Database!$F:$AY,MATCH($M$1,Database!$F$1:$AY$1,),)))))/(((VLOOKUP(EDATE(B214,-12),Database!$F:$AY,MATCH($M$1,Database!$F$1:$AY$1,),))))</f>
        <v>5.6959061168542775E-2</v>
      </c>
      <c r="N214" s="13">
        <f>((((VLOOKUP(B214,Database!$F:$AY,MATCH($N$1,Database!$F$1:$AY$1,),))))-(((VLOOKUP(EDATE(B214,-12),Database!$F:$AY,MATCH($N$1,Database!$F$1:$AY$1,),)))))/(((VLOOKUP(EDATE(B214,-12),Database!$F:$AY,MATCH($N$1,Database!$F$1:$AY$1,),))))</f>
        <v>2.3287908965398764E-2</v>
      </c>
      <c r="O214" s="13">
        <f>((((VLOOKUP(B214,Database!$F:$AY,MATCH($O$1,Database!$F$1:$AY$1,),))))-(((VLOOKUP(EDATE(B214,-12),Database!$F:$AY,MATCH($O$1,Database!$F$1:$AY$1,),)))))/(((VLOOKUP(EDATE(B214,-12),Database!$F:$AY,MATCH($O$1,Database!$F$1:$AY$1,),))))</f>
        <v>2.9212798741666286E-2</v>
      </c>
      <c r="P214" s="13">
        <f>((((VLOOKUP(B214,Database!$F:$AY,MATCH($P$1,Database!$F$1:$AY$1,),))))-(((VLOOKUP(EDATE(B214,-12),Database!$F:$AY,MATCH($P$1,Database!$F$1:$AY$1,),)))))/(((VLOOKUP(EDATE(B214,-12),Database!$F:$AY,MATCH($P$1,Database!$F$1:$AY$1,),))))</f>
        <v>0.10488262187694992</v>
      </c>
      <c r="Q214" s="13">
        <f>((((VLOOKUP(B214,Database!$F:$AY,MATCH($Q$1,Database!$F$1:$AY$1,),))))-(((VLOOKUP(EDATE(B214,-12),Database!$F:$AY,MATCH($Q$1,Database!$F$1:$AY$1,),)))))/(((VLOOKUP(EDATE(B214,-12),Database!$F:$AY,MATCH($Q$1,Database!$F$1:$AY$1,),))))</f>
        <v>1.3729955239069764E-2</v>
      </c>
      <c r="R214" s="13">
        <f>((((VLOOKUP(B214,Database!$F:$AY,MATCH($R$1,Database!$F$1:$AY$1,),))))-(((VLOOKUP(EDATE(B214,-12),Database!$F:$AY,MATCH($R$1,Database!$F$1:$AY$1,),)))))/(((VLOOKUP(EDATE(B214,-12),Database!$F:$AY,MATCH($R$1,Database!$F$1:$AY$1,),))))</f>
        <v>-1.3212896254605434E-2</v>
      </c>
      <c r="S214" s="13">
        <f>((((VLOOKUP(B214,Database!$F:$AY,MATCH($S$1,Database!$F$1:$AY$1,),))))-(((VLOOKUP(EDATE(B214,-12),Database!$F:$AY,MATCH($S$1,Database!$F$1:$AY$1,),)))))/(((VLOOKUP(EDATE(B214,-12),Database!$F:$AY,MATCH($S$1,Database!$F$1:$AY$1,),))))</f>
        <v>0.1993735508421039</v>
      </c>
      <c r="T214" s="13">
        <f>((((VLOOKUP(B214,Database!$F:$AY,MATCH($T$1,Database!$F$1:$AY$1,),))))-(((VLOOKUP(EDATE(B214,-12),Database!$F:$AY,MATCH($T$1,Database!$F$1:$AY$1,),)))))/(((VLOOKUP(EDATE(B214,-12),Database!$F:$AY,MATCH($T$1,Database!$F$1:$AY$1,),))))</f>
        <v>0.22200395474986515</v>
      </c>
      <c r="U214" s="13">
        <f>((((VLOOKUP(B214,Database!$F:$AY,MATCH($U$1,Database!$F$1:$AY$1,),))))-(((VLOOKUP(EDATE(B214,-12),Database!$F:$AY,MATCH($U$1,Database!$F$1:$AY$1,),)))))/(((VLOOKUP(EDATE(B214,-12),Database!$F:$AY,MATCH($U$1,Database!$F$1:$AY$1,),))))</f>
        <v>5.1020495381053819E-2</v>
      </c>
      <c r="V214" s="13">
        <f>((((VLOOKUP(B214,Database!$F:$AY,MATCH($V$1,Database!$F$1:$AY$1,),))))-(((VLOOKUP(EDATE(B214,-12),Database!$F:$AY,MATCH($V$1,Database!$F$1:$AY$1,),)))))/(((VLOOKUP(EDATE(B214,-12),Database!$F:$AY,MATCH($V$1,Database!$F$1:$AY$1,),))))</f>
        <v>9.1362126245847178E-2</v>
      </c>
    </row>
    <row r="215" spans="1:22" s="85" customFormat="1" x14ac:dyDescent="0.2">
      <c r="A215" s="44"/>
      <c r="B215" s="91">
        <v>38687</v>
      </c>
      <c r="C215" s="13">
        <f>((((VLOOKUP(B215,Database!$F:$AY,MATCH($C$1,Database!$F$1:$AY$1,),))))-(((VLOOKUP(EDATE(B215,-12),Database!$F:$AY,MATCH($C$1,Database!$F$1:$AY$1,),)))))/(((VLOOKUP(EDATE(B215,-12),Database!$F:$AY,MATCH($C$1,Database!$F$1:$AY$1,),))))</f>
        <v>2.6562058126200522E-2</v>
      </c>
      <c r="D215" s="13">
        <f>((((VLOOKUP(B215,Database!$F:$AY,MATCH($D$1,Database!$F$1:$AY$1,),))))-(((VLOOKUP(EDATE(B215,-12),Database!$F:$AY,MATCH($D$1,Database!$F$1:$AY$1,),)))))/(((VLOOKUP(EDATE(B215,-12),Database!$F:$AY,MATCH($D$1,Database!$F$1:$AY$1,),))))</f>
        <v>3.0769743675227914E-2</v>
      </c>
      <c r="E215" s="13">
        <f>((((VLOOKUP(B215,Database!$F:$AY,MATCH($E$1,Database!$F$1:$AY$1,),))))-(((VLOOKUP(EDATE(B215,-12),Database!$F:$AY,MATCH($E$1,Database!$F$1:$AY$1,),)))))/(((VLOOKUP(EDATE(B215,-12),Database!$F:$AY,MATCH($E$1,Database!$F$1:$AY$1,),))))</f>
        <v>4.4101729814505719E-2</v>
      </c>
      <c r="F215" s="13">
        <f>((((VLOOKUP(B215,Database!$F:$AY,MATCH($F$1,Database!$F$1:$AY$1,),))))-(((VLOOKUP(EDATE(B215,-12),Database!$F:$AY,MATCH($F$1,Database!$F$1:$AY$1,),)))))/(((VLOOKUP(EDATE(B215,-12),Database!$F:$AY,MATCH($F$1,Database!$F$1:$AY$1,),))))</f>
        <v>6.4713089015848324E-2</v>
      </c>
      <c r="G215" s="13">
        <f>((((VLOOKUP(B215,Database!$F:$AY,MATCH($G$1,Database!$F$1:$AY$1,),))))-(((VLOOKUP(EDATE(B215,-12),Database!$F:$AY,MATCH($G$1,Database!$F$1:$AY$1,),)))))/(((VLOOKUP(EDATE(B215,-12),Database!$F:$AY,MATCH($G$1,Database!$F$1:$AY$1,),))))</f>
        <v>1.0722311221443957E-2</v>
      </c>
      <c r="H215" s="13">
        <f>((((VLOOKUP(B215,Database!$F:$AY,MATCH($H$1,Database!$F$1:$AY$1,),))))-(((VLOOKUP(EDATE(B215,-12),Database!$F:$AY,MATCH($H$1,Database!$F$1:$AY$1,),)))))/(((VLOOKUP(EDATE(B215,-12),Database!$F:$AY,MATCH($H$1,Database!$F$1:$AY$1,),))))</f>
        <v>1.9207816359952197E-3</v>
      </c>
      <c r="I215" s="13">
        <f>((((VLOOKUP(B215,Database!$F:$AY,MATCH($I$1,Database!$F$1:$AY$1,),))))-(((VLOOKUP(EDATE(B215,-12),Database!$F:$AY,MATCH($I$1,Database!$F$1:$AY$1,),)))))/(((VLOOKUP(EDATE(B215,-12),Database!$F:$AY,MATCH($I$1,Database!$F$1:$AY$1,),))))</f>
        <v>1.1627211562422119E-2</v>
      </c>
      <c r="J215" s="13">
        <f>((((VLOOKUP(B215,Database!$F:$AY,MATCH($J$1,Database!$F$1:$AY$1,),))))-(((VLOOKUP(EDATE(B215,-12),Database!$F:$AY,MATCH($J$1,Database!$F$1:$AY$1,),)))))/(((VLOOKUP(EDATE(B215,-12),Database!$F:$AY,MATCH($J$1,Database!$F$1:$AY$1,),))))</f>
        <v>4.4643108421160184E-2</v>
      </c>
      <c r="K215" s="13">
        <f>((((VLOOKUP(B215,Database!$F:$AY,MATCH($K$1,Database!$F$1:$AY$1,),))))-(((VLOOKUP(EDATE(B215,-12),Database!$F:$AY,MATCH($K$1,Database!$F$1:$AY$1,),)))))/(((VLOOKUP(EDATE(B215,-12),Database!$F:$AY,MATCH($K$1,Database!$F$1:$AY$1,),))))</f>
        <v>3.9923954372623603E-2</v>
      </c>
      <c r="L215" s="13">
        <f>((((VLOOKUP(B215,Database!$F:$AY,MATCH($L$1,Database!$F$1:$AY$1,),))))-(((VLOOKUP(EDATE(B215,-12),Database!$F:$AY,MATCH($L$1,Database!$F$1:$AY$1,),)))))/(((VLOOKUP(EDATE(B215,-12),Database!$F:$AY,MATCH($L$1,Database!$F$1:$AY$1,),))))</f>
        <v>5.3144182343399515E-2</v>
      </c>
      <c r="M215" s="13">
        <f>((((VLOOKUP(B215,Database!$F:$AY,MATCH($M$1,Database!$F$1:$AY$1,),))))-(((VLOOKUP(EDATE(B215,-12),Database!$F:$AY,MATCH($M$1,Database!$F$1:$AY$1,),)))))/(((VLOOKUP(EDATE(B215,-12),Database!$F:$AY,MATCH($M$1,Database!$F$1:$AY$1,),))))</f>
        <v>5.6967573951286203E-2</v>
      </c>
      <c r="N215" s="13">
        <f>((((VLOOKUP(B215,Database!$F:$AY,MATCH($N$1,Database!$F$1:$AY$1,),))))-(((VLOOKUP(EDATE(B215,-12),Database!$F:$AY,MATCH($N$1,Database!$F$1:$AY$1,),)))))/(((VLOOKUP(EDATE(B215,-12),Database!$F:$AY,MATCH($N$1,Database!$F$1:$AY$1,),))))</f>
        <v>5.3121592529426546E-2</v>
      </c>
      <c r="O215" s="13">
        <f>((((VLOOKUP(B215,Database!$F:$AY,MATCH($O$1,Database!$F$1:$AY$1,),))))-(((VLOOKUP(EDATE(B215,-12),Database!$F:$AY,MATCH($O$1,Database!$F$1:$AY$1,),)))))/(((VLOOKUP(EDATE(B215,-12),Database!$F:$AY,MATCH($O$1,Database!$F$1:$AY$1,),))))</f>
        <v>3.5538960331160996E-2</v>
      </c>
      <c r="P215" s="13">
        <f>((((VLOOKUP(B215,Database!$F:$AY,MATCH($P$1,Database!$F$1:$AY$1,),))))-(((VLOOKUP(EDATE(B215,-12),Database!$F:$AY,MATCH($P$1,Database!$F$1:$AY$1,),)))))/(((VLOOKUP(EDATE(B215,-12),Database!$F:$AY,MATCH($P$1,Database!$F$1:$AY$1,),))))</f>
        <v>9.1325931126952267E-2</v>
      </c>
      <c r="Q215" s="13">
        <f>((((VLOOKUP(B215,Database!$F:$AY,MATCH($Q$1,Database!$F$1:$AY$1,),))))-(((VLOOKUP(EDATE(B215,-12),Database!$F:$AY,MATCH($Q$1,Database!$F$1:$AY$1,),)))))/(((VLOOKUP(EDATE(B215,-12),Database!$F:$AY,MATCH($Q$1,Database!$F$1:$AY$1,),))))</f>
        <v>2.3782677459516552E-2</v>
      </c>
      <c r="R215" s="13">
        <f>((((VLOOKUP(B215,Database!$F:$AY,MATCH($R$1,Database!$F$1:$AY$1,),))))-(((VLOOKUP(EDATE(B215,-12),Database!$F:$AY,MATCH($R$1,Database!$F$1:$AY$1,),)))))/(((VLOOKUP(EDATE(B215,-12),Database!$F:$AY,MATCH($R$1,Database!$F$1:$AY$1,),))))</f>
        <v>-2.0408019479421523E-2</v>
      </c>
      <c r="S215" s="13">
        <f>((((VLOOKUP(B215,Database!$F:$AY,MATCH($S$1,Database!$F$1:$AY$1,),))))-(((VLOOKUP(EDATE(B215,-12),Database!$F:$AY,MATCH($S$1,Database!$F$1:$AY$1,),)))))/(((VLOOKUP(EDATE(B215,-12),Database!$F:$AY,MATCH($S$1,Database!$F$1:$AY$1,),))))</f>
        <v>-4.8387219943065933E-2</v>
      </c>
      <c r="T215" s="13">
        <f>((((VLOOKUP(B215,Database!$F:$AY,MATCH($T$1,Database!$F$1:$AY$1,),))))-(((VLOOKUP(EDATE(B215,-12),Database!$F:$AY,MATCH($T$1,Database!$F$1:$AY$1,),)))))/(((VLOOKUP(EDATE(B215,-12),Database!$F:$AY,MATCH($T$1,Database!$F$1:$AY$1,),))))</f>
        <v>0.18918933007540403</v>
      </c>
      <c r="U215" s="13">
        <f>((((VLOOKUP(B215,Database!$F:$AY,MATCH($U$1,Database!$F$1:$AY$1,),))))-(((VLOOKUP(EDATE(B215,-12),Database!$F:$AY,MATCH($U$1,Database!$F$1:$AY$1,),)))))/(((VLOOKUP(EDATE(B215,-12),Database!$F:$AY,MATCH($U$1,Database!$F$1:$AY$1,),))))</f>
        <v>6.0567050669654066E-2</v>
      </c>
      <c r="V215" s="13">
        <f>((((VLOOKUP(B215,Database!$F:$AY,MATCH($V$1,Database!$F$1:$AY$1,),))))-(((VLOOKUP(EDATE(B215,-12),Database!$F:$AY,MATCH($V$1,Database!$F$1:$AY$1,),)))))/(((VLOOKUP(EDATE(B215,-12),Database!$F:$AY,MATCH($V$1,Database!$F$1:$AY$1,),))))</f>
        <v>0.15743944636678217</v>
      </c>
    </row>
    <row r="216" spans="1:22" s="85" customFormat="1" x14ac:dyDescent="0.2">
      <c r="A216" s="44"/>
      <c r="B216" s="91">
        <v>38718</v>
      </c>
      <c r="C216" s="13">
        <f>((((VLOOKUP(B216,Database!$F:$AY,MATCH($C$1,Database!$F$1:$AY$1,),))))-(((VLOOKUP(EDATE(B216,-12),Database!$F:$AY,MATCH($C$1,Database!$F$1:$AY$1,),)))))/(((VLOOKUP(EDATE(B216,-12),Database!$F:$AY,MATCH($C$1,Database!$F$1:$AY$1,),))))</f>
        <v>2.3062399185527167E-2</v>
      </c>
      <c r="D216" s="13">
        <f>((((VLOOKUP(B216,Database!$F:$AY,MATCH($D$1,Database!$F$1:$AY$1,),))))-(((VLOOKUP(EDATE(B216,-12),Database!$F:$AY,MATCH($D$1,Database!$F$1:$AY$1,),)))))/(((VLOOKUP(EDATE(B216,-12),Database!$F:$AY,MATCH($D$1,Database!$F$1:$AY$1,),))))</f>
        <v>3.051861541119472E-2</v>
      </c>
      <c r="E216" s="13">
        <f>((((VLOOKUP(B216,Database!$F:$AY,MATCH($E$1,Database!$F$1:$AY$1,),))))-(((VLOOKUP(EDATE(B216,-12),Database!$F:$AY,MATCH($E$1,Database!$F$1:$AY$1,),)))))/(((VLOOKUP(EDATE(B216,-12),Database!$F:$AY,MATCH($E$1,Database!$F$1:$AY$1,),))))</f>
        <v>2.3045854779216949E-2</v>
      </c>
      <c r="F216" s="13">
        <f>((((VLOOKUP(B216,Database!$F:$AY,MATCH($F$1,Database!$F$1:$AY$1,),))))-(((VLOOKUP(EDATE(B216,-12),Database!$F:$AY,MATCH($F$1,Database!$F$1:$AY$1,),)))))/(((VLOOKUP(EDATE(B216,-12),Database!$F:$AY,MATCH($F$1,Database!$F$1:$AY$1,),))))</f>
        <v>3.9099583768647986E-2</v>
      </c>
      <c r="G216" s="13">
        <f>((((VLOOKUP(B216,Database!$F:$AY,MATCH($G$1,Database!$F$1:$AY$1,),))))-(((VLOOKUP(EDATE(B216,-12),Database!$F:$AY,MATCH($G$1,Database!$F$1:$AY$1,),)))))/(((VLOOKUP(EDATE(B216,-12),Database!$F:$AY,MATCH($G$1,Database!$F$1:$AY$1,),))))</f>
        <v>-1.206748135574138E-2</v>
      </c>
      <c r="H216" s="13">
        <f>((((VLOOKUP(B216,Database!$F:$AY,MATCH($H$1,Database!$F$1:$AY$1,),))))-(((VLOOKUP(EDATE(B216,-12),Database!$F:$AY,MATCH($H$1,Database!$F$1:$AY$1,),)))))/(((VLOOKUP(EDATE(B216,-12),Database!$F:$AY,MATCH($H$1,Database!$F$1:$AY$1,),))))</f>
        <v>1.1594297306854828E-2</v>
      </c>
      <c r="I216" s="13">
        <f>((((VLOOKUP(B216,Database!$F:$AY,MATCH($I$1,Database!$F$1:$AY$1,),))))-(((VLOOKUP(EDATE(B216,-12),Database!$F:$AY,MATCH($I$1,Database!$F$1:$AY$1,),)))))/(((VLOOKUP(EDATE(B216,-12),Database!$F:$AY,MATCH($I$1,Database!$F$1:$AY$1,),))))</f>
        <v>1.5780380430268286E-2</v>
      </c>
      <c r="J216" s="13">
        <f>((((VLOOKUP(B216,Database!$F:$AY,MATCH($J$1,Database!$F$1:$AY$1,),))))-(((VLOOKUP(EDATE(B216,-12),Database!$F:$AY,MATCH($J$1,Database!$F$1:$AY$1,),)))))/(((VLOOKUP(EDATE(B216,-12),Database!$F:$AY,MATCH($J$1,Database!$F$1:$AY$1,),))))</f>
        <v>4.4875301444611548E-2</v>
      </c>
      <c r="K216" s="13">
        <f>((((VLOOKUP(B216,Database!$F:$AY,MATCH($K$1,Database!$F$1:$AY$1,),))))-(((VLOOKUP(EDATE(B216,-12),Database!$F:$AY,MATCH($K$1,Database!$F$1:$AY$1,),)))))/(((VLOOKUP(EDATE(B216,-12),Database!$F:$AY,MATCH($K$1,Database!$F$1:$AY$1,),))))</f>
        <v>7.0275403608736992E-2</v>
      </c>
      <c r="L216" s="13">
        <f>((((VLOOKUP(B216,Database!$F:$AY,MATCH($L$1,Database!$F$1:$AY$1,),))))-(((VLOOKUP(EDATE(B216,-12),Database!$F:$AY,MATCH($L$1,Database!$F$1:$AY$1,),)))))/(((VLOOKUP(EDATE(B216,-12),Database!$F:$AY,MATCH($L$1,Database!$F$1:$AY$1,),))))</f>
        <v>4.1763043749587093E-2</v>
      </c>
      <c r="M216" s="13">
        <f>((((VLOOKUP(B216,Database!$F:$AY,MATCH($M$1,Database!$F$1:$AY$1,),))))-(((VLOOKUP(EDATE(B216,-12),Database!$F:$AY,MATCH($M$1,Database!$F$1:$AY$1,),)))))/(((VLOOKUP(EDATE(B216,-12),Database!$F:$AY,MATCH($M$1,Database!$F$1:$AY$1,),))))</f>
        <v>6.3070244745415158E-2</v>
      </c>
      <c r="N216" s="13">
        <f>((((VLOOKUP(B216,Database!$F:$AY,MATCH($N$1,Database!$F$1:$AY$1,),))))-(((VLOOKUP(EDATE(B216,-12),Database!$F:$AY,MATCH($N$1,Database!$F$1:$AY$1,),)))))/(((VLOOKUP(EDATE(B216,-12),Database!$F:$AY,MATCH($N$1,Database!$F$1:$AY$1,),))))</f>
        <v>7.1123845619478099E-2</v>
      </c>
      <c r="O216" s="13">
        <f>((((VLOOKUP(B216,Database!$F:$AY,MATCH($O$1,Database!$F$1:$AY$1,),))))-(((VLOOKUP(EDATE(B216,-12),Database!$F:$AY,MATCH($O$1,Database!$F$1:$AY$1,),)))))/(((VLOOKUP(EDATE(B216,-12),Database!$F:$AY,MATCH($O$1,Database!$F$1:$AY$1,),))))</f>
        <v>1.8088992976114517E-2</v>
      </c>
      <c r="P216" s="13">
        <f>((((VLOOKUP(B216,Database!$F:$AY,MATCH($P$1,Database!$F$1:$AY$1,),))))-(((VLOOKUP(EDATE(B216,-12),Database!$F:$AY,MATCH($P$1,Database!$F$1:$AY$1,),)))))/(((VLOOKUP(EDATE(B216,-12),Database!$F:$AY,MATCH($P$1,Database!$F$1:$AY$1,),))))</f>
        <v>0.10180368018942997</v>
      </c>
      <c r="Q216" s="13">
        <f>((((VLOOKUP(B216,Database!$F:$AY,MATCH($Q$1,Database!$F$1:$AY$1,),))))-(((VLOOKUP(EDATE(B216,-12),Database!$F:$AY,MATCH($Q$1,Database!$F$1:$AY$1,),)))))/(((VLOOKUP(EDATE(B216,-12),Database!$F:$AY,MATCH($Q$1,Database!$F$1:$AY$1,),))))</f>
        <v>2.3675219643920921E-2</v>
      </c>
      <c r="R216" s="13">
        <f>((((VLOOKUP(B216,Database!$F:$AY,MATCH($R$1,Database!$F$1:$AY$1,),))))-(((VLOOKUP(EDATE(B216,-12),Database!$F:$AY,MATCH($R$1,Database!$F$1:$AY$1,),)))))/(((VLOOKUP(EDATE(B216,-12),Database!$F:$AY,MATCH($R$1,Database!$F$1:$AY$1,),))))</f>
        <v>-3.8381086122697174E-2</v>
      </c>
      <c r="S216" s="13">
        <f>((((VLOOKUP(B216,Database!$F:$AY,MATCH($S$1,Database!$F$1:$AY$1,),))))-(((VLOOKUP(EDATE(B216,-12),Database!$F:$AY,MATCH($S$1,Database!$F$1:$AY$1,),)))))/(((VLOOKUP(EDATE(B216,-12),Database!$F:$AY,MATCH($S$1,Database!$F$1:$AY$1,),))))</f>
        <v>9.504125763798453E-2</v>
      </c>
      <c r="T216" s="13">
        <f>((((VLOOKUP(B216,Database!$F:$AY,MATCH($T$1,Database!$F$1:$AY$1,),))))-(((VLOOKUP(EDATE(B216,-12),Database!$F:$AY,MATCH($T$1,Database!$F$1:$AY$1,),)))))/(((VLOOKUP(EDATE(B216,-12),Database!$F:$AY,MATCH($T$1,Database!$F$1:$AY$1,),))))</f>
        <v>3.1561601980763195E-2</v>
      </c>
      <c r="U216" s="13">
        <f>((((VLOOKUP(B216,Database!$F:$AY,MATCH($U$1,Database!$F$1:$AY$1,),))))-(((VLOOKUP(EDATE(B216,-12),Database!$F:$AY,MATCH($U$1,Database!$F$1:$AY$1,),)))))/(((VLOOKUP(EDATE(B216,-12),Database!$F:$AY,MATCH($U$1,Database!$F$1:$AY$1,),))))</f>
        <v>8.5381626330493371E-2</v>
      </c>
      <c r="V216" s="13">
        <f>((((VLOOKUP(B216,Database!$F:$AY,MATCH($V$1,Database!$F$1:$AY$1,),))))-(((VLOOKUP(EDATE(B216,-12),Database!$F:$AY,MATCH($V$1,Database!$F$1:$AY$1,),)))))/(((VLOOKUP(EDATE(B216,-12),Database!$F:$AY,MATCH($V$1,Database!$F$1:$AY$1,),))))</f>
        <v>7.7814569536423767E-2</v>
      </c>
    </row>
    <row r="217" spans="1:22" s="85" customFormat="1" x14ac:dyDescent="0.2">
      <c r="A217" s="44"/>
      <c r="B217" s="91">
        <v>38749</v>
      </c>
      <c r="C217" s="13">
        <f>((((VLOOKUP(B217,Database!$F:$AY,MATCH($C$1,Database!$F$1:$AY$1,),))))-(((VLOOKUP(EDATE(B217,-12),Database!$F:$AY,MATCH($C$1,Database!$F$1:$AY$1,),)))))/(((VLOOKUP(EDATE(B217,-12),Database!$F:$AY,MATCH($C$1,Database!$F$1:$AY$1,),))))</f>
        <v>1.6116328049218785E-2</v>
      </c>
      <c r="D217" s="13">
        <f>((((VLOOKUP(B217,Database!$F:$AY,MATCH($D$1,Database!$F$1:$AY$1,),))))-(((VLOOKUP(EDATE(B217,-12),Database!$F:$AY,MATCH($D$1,Database!$F$1:$AY$1,),)))))/(((VLOOKUP(EDATE(B217,-12),Database!$F:$AY,MATCH($D$1,Database!$F$1:$AY$1,),))))</f>
        <v>3.261950053658285E-2</v>
      </c>
      <c r="E217" s="13">
        <f>((((VLOOKUP(B217,Database!$F:$AY,MATCH($E$1,Database!$F$1:$AY$1,),))))-(((VLOOKUP(EDATE(B217,-12),Database!$F:$AY,MATCH($E$1,Database!$F$1:$AY$1,),)))))/(((VLOOKUP(EDATE(B217,-12),Database!$F:$AY,MATCH($E$1,Database!$F$1:$AY$1,),))))</f>
        <v>2.1041626909386681E-2</v>
      </c>
      <c r="F217" s="13">
        <f>((((VLOOKUP(B217,Database!$F:$AY,MATCH($F$1,Database!$F$1:$AY$1,),))))-(((VLOOKUP(EDATE(B217,-12),Database!$F:$AY,MATCH($F$1,Database!$F$1:$AY$1,),)))))/(((VLOOKUP(EDATE(B217,-12),Database!$F:$AY,MATCH($F$1,Database!$F$1:$AY$1,),))))</f>
        <v>6.1371777288794685E-2</v>
      </c>
      <c r="G217" s="13">
        <f>((((VLOOKUP(B217,Database!$F:$AY,MATCH($G$1,Database!$F$1:$AY$1,),))))-(((VLOOKUP(EDATE(B217,-12),Database!$F:$AY,MATCH($G$1,Database!$F$1:$AY$1,),)))))/(((VLOOKUP(EDATE(B217,-12),Database!$F:$AY,MATCH($G$1,Database!$F$1:$AY$1,),))))</f>
        <v>-7.3256164144452846E-3</v>
      </c>
      <c r="H217" s="13">
        <f>((((VLOOKUP(B217,Database!$F:$AY,MATCH($H$1,Database!$F$1:$AY$1,),))))-(((VLOOKUP(EDATE(B217,-12),Database!$F:$AY,MATCH($H$1,Database!$F$1:$AY$1,),)))))/(((VLOOKUP(EDATE(B217,-12),Database!$F:$AY,MATCH($H$1,Database!$F$1:$AY$1,),))))</f>
        <v>3.8573101739922929E-3</v>
      </c>
      <c r="I217" s="13">
        <f>((((VLOOKUP(B217,Database!$F:$AY,MATCH($I$1,Database!$F$1:$AY$1,),))))-(((VLOOKUP(EDATE(B217,-12),Database!$F:$AY,MATCH($I$1,Database!$F$1:$AY$1,),)))))/(((VLOOKUP(EDATE(B217,-12),Database!$F:$AY,MATCH($I$1,Database!$F$1:$AY$1,),))))</f>
        <v>2.9752070214125299E-2</v>
      </c>
      <c r="J217" s="13">
        <f>((((VLOOKUP(B217,Database!$F:$AY,MATCH($J$1,Database!$F$1:$AY$1,),))))-(((VLOOKUP(EDATE(B217,-12),Database!$F:$AY,MATCH($J$1,Database!$F$1:$AY$1,),)))))/(((VLOOKUP(EDATE(B217,-12),Database!$F:$AY,MATCH($J$1,Database!$F$1:$AY$1,),))))</f>
        <v>3.8931017485911462E-2</v>
      </c>
      <c r="K217" s="13">
        <f>((((VLOOKUP(B217,Database!$F:$AY,MATCH($K$1,Database!$F$1:$AY$1,),))))-(((VLOOKUP(EDATE(B217,-12),Database!$F:$AY,MATCH($K$1,Database!$F$1:$AY$1,),)))))/(((VLOOKUP(EDATE(B217,-12),Database!$F:$AY,MATCH($K$1,Database!$F$1:$AY$1,),))))</f>
        <v>3.6297640653356758E-3</v>
      </c>
      <c r="L217" s="13">
        <f>((((VLOOKUP(B217,Database!$F:$AY,MATCH($L$1,Database!$F$1:$AY$1,),))))-(((VLOOKUP(EDATE(B217,-12),Database!$F:$AY,MATCH($L$1,Database!$F$1:$AY$1,),)))))/(((VLOOKUP(EDATE(B217,-12),Database!$F:$AY,MATCH($L$1,Database!$F$1:$AY$1,),))))</f>
        <v>3.5250443082969408E-2</v>
      </c>
      <c r="M217" s="13">
        <f>((((VLOOKUP(B217,Database!$F:$AY,MATCH($M$1,Database!$F$1:$AY$1,),))))-(((VLOOKUP(EDATE(B217,-12),Database!$F:$AY,MATCH($M$1,Database!$F$1:$AY$1,),)))))/(((VLOOKUP(EDATE(B217,-12),Database!$F:$AY,MATCH($M$1,Database!$F$1:$AY$1,),))))</f>
        <v>1.5877822730478785E-2</v>
      </c>
      <c r="N217" s="13">
        <f>((((VLOOKUP(B217,Database!$F:$AY,MATCH($N$1,Database!$F$1:$AY$1,),))))-(((VLOOKUP(EDATE(B217,-12),Database!$F:$AY,MATCH($N$1,Database!$F$1:$AY$1,),)))))/(((VLOOKUP(EDATE(B217,-12),Database!$F:$AY,MATCH($N$1,Database!$F$1:$AY$1,),))))</f>
        <v>6.341827614394327E-2</v>
      </c>
      <c r="O217" s="13">
        <f>((((VLOOKUP(B217,Database!$F:$AY,MATCH($O$1,Database!$F$1:$AY$1,),))))-(((VLOOKUP(EDATE(B217,-12),Database!$F:$AY,MATCH($O$1,Database!$F$1:$AY$1,),)))))/(((VLOOKUP(EDATE(B217,-12),Database!$F:$AY,MATCH($O$1,Database!$F$1:$AY$1,),))))</f>
        <v>2.605664554997018E-2</v>
      </c>
      <c r="P217" s="13">
        <f>((((VLOOKUP(B217,Database!$F:$AY,MATCH($P$1,Database!$F$1:$AY$1,),))))-(((VLOOKUP(EDATE(B217,-12),Database!$F:$AY,MATCH($P$1,Database!$F$1:$AY$1,),)))))/(((VLOOKUP(EDATE(B217,-12),Database!$F:$AY,MATCH($P$1,Database!$F$1:$AY$1,),))))</f>
        <v>0.10682208466516728</v>
      </c>
      <c r="Q217" s="13">
        <f>((((VLOOKUP(B217,Database!$F:$AY,MATCH($Q$1,Database!$F$1:$AY$1,),))))-(((VLOOKUP(EDATE(B217,-12),Database!$F:$AY,MATCH($Q$1,Database!$F$1:$AY$1,),)))))/(((VLOOKUP(EDATE(B217,-12),Database!$F:$AY,MATCH($Q$1,Database!$F$1:$AY$1,),))))</f>
        <v>4.5766759940687289E-2</v>
      </c>
      <c r="R217" s="13">
        <f>((((VLOOKUP(B217,Database!$F:$AY,MATCH($R$1,Database!$F$1:$AY$1,),))))-(((VLOOKUP(EDATE(B217,-12),Database!$F:$AY,MATCH($R$1,Database!$F$1:$AY$1,),)))))/(((VLOOKUP(EDATE(B217,-12),Database!$F:$AY,MATCH($R$1,Database!$F$1:$AY$1,),))))</f>
        <v>-7.69756224011868E-3</v>
      </c>
      <c r="S217" s="13">
        <f>((((VLOOKUP(B217,Database!$F:$AY,MATCH($S$1,Database!$F$1:$AY$1,),))))-(((VLOOKUP(EDATE(B217,-12),Database!$F:$AY,MATCH($S$1,Database!$F$1:$AY$1,),)))))/(((VLOOKUP(EDATE(B217,-12),Database!$F:$AY,MATCH($S$1,Database!$F$1:$AY$1,),))))</f>
        <v>-9.0180243761571396E-2</v>
      </c>
      <c r="T217" s="13">
        <f>((((VLOOKUP(B217,Database!$F:$AY,MATCH($T$1,Database!$F$1:$AY$1,),))))-(((VLOOKUP(EDATE(B217,-12),Database!$F:$AY,MATCH($T$1,Database!$F$1:$AY$1,),)))))/(((VLOOKUP(EDATE(B217,-12),Database!$F:$AY,MATCH($T$1,Database!$F$1:$AY$1,),))))</f>
        <v>8.3188910548695746E-2</v>
      </c>
      <c r="U217" s="13">
        <f>((((VLOOKUP(B217,Database!$F:$AY,MATCH($U$1,Database!$F$1:$AY$1,),))))-(((VLOOKUP(EDATE(B217,-12),Database!$F:$AY,MATCH($U$1,Database!$F$1:$AY$1,),)))))/(((VLOOKUP(EDATE(B217,-12),Database!$F:$AY,MATCH($U$1,Database!$F$1:$AY$1,),))))</f>
        <v>6.7270329131166956E-2</v>
      </c>
      <c r="V217" s="13">
        <f>((((VLOOKUP(B217,Database!$F:$AY,MATCH($V$1,Database!$F$1:$AY$1,),))))-(((VLOOKUP(EDATE(B217,-12),Database!$F:$AY,MATCH($V$1,Database!$F$1:$AY$1,),)))))/(((VLOOKUP(EDATE(B217,-12),Database!$F:$AY,MATCH($V$1,Database!$F$1:$AY$1,),))))</f>
        <v>9.9667774086378738E-2</v>
      </c>
    </row>
    <row r="218" spans="1:22" s="85" customFormat="1" x14ac:dyDescent="0.2">
      <c r="A218" s="44"/>
      <c r="B218" s="91">
        <v>38777</v>
      </c>
      <c r="C218" s="13">
        <f>((((VLOOKUP(B218,Database!$F:$AY,MATCH($C$1,Database!$F$1:$AY$1,),))))-(((VLOOKUP(EDATE(B218,-12),Database!$F:$AY,MATCH($C$1,Database!$F$1:$AY$1,),)))))/(((VLOOKUP(EDATE(B218,-12),Database!$F:$AY,MATCH($C$1,Database!$F$1:$AY$1,),))))</f>
        <v>1.9827655346337892E-2</v>
      </c>
      <c r="D218" s="13">
        <f>((((VLOOKUP(B218,Database!$F:$AY,MATCH($D$1,Database!$F$1:$AY$1,),))))-(((VLOOKUP(EDATE(B218,-12),Database!$F:$AY,MATCH($D$1,Database!$F$1:$AY$1,),)))))/(((VLOOKUP(EDATE(B218,-12),Database!$F:$AY,MATCH($D$1,Database!$F$1:$AY$1,),))))</f>
        <v>4.0816291122796285E-2</v>
      </c>
      <c r="E218" s="13">
        <f>((((VLOOKUP(B218,Database!$F:$AY,MATCH($E$1,Database!$F$1:$AY$1,),))))-(((VLOOKUP(EDATE(B218,-12),Database!$F:$AY,MATCH($E$1,Database!$F$1:$AY$1,),)))))/(((VLOOKUP(EDATE(B218,-12),Database!$F:$AY,MATCH($E$1,Database!$F$1:$AY$1,),))))</f>
        <v>2.4974999264684172E-2</v>
      </c>
      <c r="F218" s="13">
        <f>((((VLOOKUP(B218,Database!$F:$AY,MATCH($F$1,Database!$F$1:$AY$1,),))))-(((VLOOKUP(EDATE(B218,-12),Database!$F:$AY,MATCH($F$1,Database!$F$1:$AY$1,),)))))/(((VLOOKUP(EDATE(B218,-12),Database!$F:$AY,MATCH($F$1,Database!$F$1:$AY$1,),))))</f>
        <v>3.8004707992910128E-2</v>
      </c>
      <c r="G218" s="13">
        <f>((((VLOOKUP(B218,Database!$F:$AY,MATCH($G$1,Database!$F$1:$AY$1,),))))-(((VLOOKUP(EDATE(B218,-12),Database!$F:$AY,MATCH($G$1,Database!$F$1:$AY$1,),)))))/(((VLOOKUP(EDATE(B218,-12),Database!$F:$AY,MATCH($G$1,Database!$F$1:$AY$1,),))))</f>
        <v>3.3274517542602883E-2</v>
      </c>
      <c r="H218" s="13">
        <f>((((VLOOKUP(B218,Database!$F:$AY,MATCH($H$1,Database!$F$1:$AY$1,),))))-(((VLOOKUP(EDATE(B218,-12),Database!$F:$AY,MATCH($H$1,Database!$F$1:$AY$1,),)))))/(((VLOOKUP(EDATE(B218,-12),Database!$F:$AY,MATCH($H$1,Database!$F$1:$AY$1,),))))</f>
        <v>2.5514925295542796E-2</v>
      </c>
      <c r="I218" s="13">
        <f>((((VLOOKUP(B218,Database!$F:$AY,MATCH($I$1,Database!$F$1:$AY$1,),))))-(((VLOOKUP(EDATE(B218,-12),Database!$F:$AY,MATCH($I$1,Database!$F$1:$AY$1,),)))))/(((VLOOKUP(EDATE(B218,-12),Database!$F:$AY,MATCH($I$1,Database!$F$1:$AY$1,),))))</f>
        <v>3.3856663520244037E-2</v>
      </c>
      <c r="J218" s="13">
        <f>((((VLOOKUP(B218,Database!$F:$AY,MATCH($J$1,Database!$F$1:$AY$1,),))))-(((VLOOKUP(EDATE(B218,-12),Database!$F:$AY,MATCH($J$1,Database!$F$1:$AY$1,),)))))/(((VLOOKUP(EDATE(B218,-12),Database!$F:$AY,MATCH($J$1,Database!$F$1:$AY$1,),))))</f>
        <v>3.9034059534269139E-2</v>
      </c>
      <c r="K218" s="13">
        <f>((((VLOOKUP(B218,Database!$F:$AY,MATCH($K$1,Database!$F$1:$AY$1,),))))-(((VLOOKUP(EDATE(B218,-12),Database!$F:$AY,MATCH($K$1,Database!$F$1:$AY$1,),)))))/(((VLOOKUP(EDATE(B218,-12),Database!$F:$AY,MATCH($K$1,Database!$F$1:$AY$1,),))))</f>
        <v>1.2738853503184636E-2</v>
      </c>
      <c r="L218" s="13">
        <f>((((VLOOKUP(B218,Database!$F:$AY,MATCH($L$1,Database!$F$1:$AY$1,),))))-(((VLOOKUP(EDATE(B218,-12),Database!$F:$AY,MATCH($L$1,Database!$F$1:$AY$1,),)))))/(((VLOOKUP(EDATE(B218,-12),Database!$F:$AY,MATCH($L$1,Database!$F$1:$AY$1,),))))</f>
        <v>4.9381473018956158E-2</v>
      </c>
      <c r="M218" s="13">
        <f>((((VLOOKUP(B218,Database!$F:$AY,MATCH($M$1,Database!$F$1:$AY$1,),))))-(((VLOOKUP(EDATE(B218,-12),Database!$F:$AY,MATCH($M$1,Database!$F$1:$AY$1,),)))))/(((VLOOKUP(EDATE(B218,-12),Database!$F:$AY,MATCH($M$1,Database!$F$1:$AY$1,),))))</f>
        <v>6.9164962142750724E-2</v>
      </c>
      <c r="N218" s="13">
        <f>((((VLOOKUP(B218,Database!$F:$AY,MATCH($N$1,Database!$F$1:$AY$1,),))))-(((VLOOKUP(EDATE(B218,-12),Database!$F:$AY,MATCH($N$1,Database!$F$1:$AY$1,),)))))/(((VLOOKUP(EDATE(B218,-12),Database!$F:$AY,MATCH($N$1,Database!$F$1:$AY$1,),))))</f>
        <v>6.5734385569488185E-2</v>
      </c>
      <c r="O218" s="13">
        <f>((((VLOOKUP(B218,Database!$F:$AY,MATCH($O$1,Database!$F$1:$AY$1,),))))-(((VLOOKUP(EDATE(B218,-12),Database!$F:$AY,MATCH($O$1,Database!$F$1:$AY$1,),)))))/(((VLOOKUP(EDATE(B218,-12),Database!$F:$AY,MATCH($O$1,Database!$F$1:$AY$1,),))))</f>
        <v>3.8404109497346697E-2</v>
      </c>
      <c r="P218" s="13">
        <f>((((VLOOKUP(B218,Database!$F:$AY,MATCH($P$1,Database!$F$1:$AY$1,),))))-(((VLOOKUP(EDATE(B218,-12),Database!$F:$AY,MATCH($P$1,Database!$F$1:$AY$1,),)))))/(((VLOOKUP(EDATE(B218,-12),Database!$F:$AY,MATCH($P$1,Database!$F$1:$AY$1,),))))</f>
        <v>8.8352177384468503E-2</v>
      </c>
      <c r="Q218" s="13">
        <f>((((VLOOKUP(B218,Database!$F:$AY,MATCH($Q$1,Database!$F$1:$AY$1,),))))-(((VLOOKUP(EDATE(B218,-12),Database!$F:$AY,MATCH($Q$1,Database!$F$1:$AY$1,),)))))/(((VLOOKUP(EDATE(B218,-12),Database!$F:$AY,MATCH($Q$1,Database!$F$1:$AY$1,),))))</f>
        <v>2.8344607337897679E-2</v>
      </c>
      <c r="R218" s="13">
        <f>((((VLOOKUP(B218,Database!$F:$AY,MATCH($R$1,Database!$F$1:$AY$1,),))))-(((VLOOKUP(EDATE(B218,-12),Database!$F:$AY,MATCH($R$1,Database!$F$1:$AY$1,),)))))/(((VLOOKUP(EDATE(B218,-12),Database!$F:$AY,MATCH($R$1,Database!$F$1:$AY$1,),))))</f>
        <v>4.8340598894093659E-2</v>
      </c>
      <c r="S218" s="13">
        <f>((((VLOOKUP(B218,Database!$F:$AY,MATCH($S$1,Database!$F$1:$AY$1,),))))-(((VLOOKUP(EDATE(B218,-12),Database!$F:$AY,MATCH($S$1,Database!$F$1:$AY$1,),)))))/(((VLOOKUP(EDATE(B218,-12),Database!$F:$AY,MATCH($S$1,Database!$F$1:$AY$1,),))))</f>
        <v>5.005209115029724E-2</v>
      </c>
      <c r="T218" s="13">
        <f>((((VLOOKUP(B218,Database!$F:$AY,MATCH($T$1,Database!$F$1:$AY$1,),))))-(((VLOOKUP(EDATE(B218,-12),Database!$F:$AY,MATCH($T$1,Database!$F$1:$AY$1,),)))))/(((VLOOKUP(EDATE(B218,-12),Database!$F:$AY,MATCH($T$1,Database!$F$1:$AY$1,),))))</f>
        <v>0.12259200591853206</v>
      </c>
      <c r="U218" s="13">
        <f>((((VLOOKUP(B218,Database!$F:$AY,MATCH($U$1,Database!$F$1:$AY$1,),))))-(((VLOOKUP(EDATE(B218,-12),Database!$F:$AY,MATCH($U$1,Database!$F$1:$AY$1,),)))))/(((VLOOKUP(EDATE(B218,-12),Database!$F:$AY,MATCH($U$1,Database!$F$1:$AY$1,),))))</f>
        <v>8.5271317829457363E-2</v>
      </c>
      <c r="V218" s="13">
        <f>((((VLOOKUP(B218,Database!$F:$AY,MATCH($V$1,Database!$F$1:$AY$1,),))))-(((VLOOKUP(EDATE(B218,-12),Database!$F:$AY,MATCH($V$1,Database!$F$1:$AY$1,),)))))/(((VLOOKUP(EDATE(B218,-12),Database!$F:$AY,MATCH($V$1,Database!$F$1:$AY$1,),))))</f>
        <v>0.1362862010221465</v>
      </c>
    </row>
    <row r="219" spans="1:22" s="85" customFormat="1" x14ac:dyDescent="0.2">
      <c r="A219" s="44"/>
      <c r="B219" s="91">
        <v>38808</v>
      </c>
      <c r="C219" s="13">
        <f>((((VLOOKUP(B219,Database!$F:$AY,MATCH($C$1,Database!$F$1:$AY$1,),))))-(((VLOOKUP(EDATE(B219,-12),Database!$F:$AY,MATCH($C$1,Database!$F$1:$AY$1,),)))))/(((VLOOKUP(EDATE(B219,-12),Database!$F:$AY,MATCH($C$1,Database!$F$1:$AY$1,),))))</f>
        <v>2.2195893773781172E-2</v>
      </c>
      <c r="D219" s="13">
        <f>((((VLOOKUP(B219,Database!$F:$AY,MATCH($D$1,Database!$F$1:$AY$1,),))))-(((VLOOKUP(EDATE(B219,-12),Database!$F:$AY,MATCH($D$1,Database!$F$1:$AY$1,),)))))/(((VLOOKUP(EDATE(B219,-12),Database!$F:$AY,MATCH($D$1,Database!$F$1:$AY$1,),))))</f>
        <v>2.9175484366409619E-2</v>
      </c>
      <c r="E219" s="13">
        <f>((((VLOOKUP(B219,Database!$F:$AY,MATCH($E$1,Database!$F$1:$AY$1,),))))-(((VLOOKUP(EDATE(B219,-12),Database!$F:$AY,MATCH($E$1,Database!$F$1:$AY$1,),)))))/(((VLOOKUP(EDATE(B219,-12),Database!$F:$AY,MATCH($E$1,Database!$F$1:$AY$1,),))))</f>
        <v>3.9800790065136857E-2</v>
      </c>
      <c r="F219" s="13">
        <f>((((VLOOKUP(B219,Database!$F:$AY,MATCH($F$1,Database!$F$1:$AY$1,),))))-(((VLOOKUP(EDATE(B219,-12),Database!$F:$AY,MATCH($F$1,Database!$F$1:$AY$1,),)))))/(((VLOOKUP(EDATE(B219,-12),Database!$F:$AY,MATCH($F$1,Database!$F$1:$AY$1,),))))</f>
        <v>5.424532446278247E-2</v>
      </c>
      <c r="G219" s="13">
        <f>((((VLOOKUP(B219,Database!$F:$AY,MATCH($G$1,Database!$F$1:$AY$1,),))))-(((VLOOKUP(EDATE(B219,-12),Database!$F:$AY,MATCH($G$1,Database!$F$1:$AY$1,),)))))/(((VLOOKUP(EDATE(B219,-12),Database!$F:$AY,MATCH($G$1,Database!$F$1:$AY$1,),))))</f>
        <v>2.3431677284521408E-3</v>
      </c>
      <c r="H219" s="13">
        <f>((((VLOOKUP(B219,Database!$F:$AY,MATCH($H$1,Database!$F$1:$AY$1,),))))-(((VLOOKUP(EDATE(B219,-12),Database!$F:$AY,MATCH($H$1,Database!$F$1:$AY$1,),)))))/(((VLOOKUP(EDATE(B219,-12),Database!$F:$AY,MATCH($H$1,Database!$F$1:$AY$1,),))))</f>
        <v>2.8932148307213462E-3</v>
      </c>
      <c r="I219" s="13">
        <f>((((VLOOKUP(B219,Database!$F:$AY,MATCH($I$1,Database!$F$1:$AY$1,),))))-(((VLOOKUP(EDATE(B219,-12),Database!$F:$AY,MATCH($I$1,Database!$F$1:$AY$1,),)))))/(((VLOOKUP(EDATE(B219,-12),Database!$F:$AY,MATCH($I$1,Database!$F$1:$AY$1,),))))</f>
        <v>4.8587048150574045E-3</v>
      </c>
      <c r="J219" s="13">
        <f>((((VLOOKUP(B219,Database!$F:$AY,MATCH($J$1,Database!$F$1:$AY$1,),))))-(((VLOOKUP(EDATE(B219,-12),Database!$F:$AY,MATCH($J$1,Database!$F$1:$AY$1,),)))))/(((VLOOKUP(EDATE(B219,-12),Database!$F:$AY,MATCH($J$1,Database!$F$1:$AY$1,),))))</f>
        <v>1.8734650716345523E-2</v>
      </c>
      <c r="K219" s="13">
        <f>((((VLOOKUP(B219,Database!$F:$AY,MATCH($K$1,Database!$F$1:$AY$1,),))))-(((VLOOKUP(EDATE(B219,-12),Database!$F:$AY,MATCH($K$1,Database!$F$1:$AY$1,),)))))/(((VLOOKUP(EDATE(B219,-12),Database!$F:$AY,MATCH($K$1,Database!$F$1:$AY$1,),))))</f>
        <v>4.6728971962616821E-2</v>
      </c>
      <c r="L219" s="13">
        <f>((((VLOOKUP(B219,Database!$F:$AY,MATCH($L$1,Database!$F$1:$AY$1,),))))-(((VLOOKUP(EDATE(B219,-12),Database!$F:$AY,MATCH($L$1,Database!$F$1:$AY$1,),)))))/(((VLOOKUP(EDATE(B219,-12),Database!$F:$AY,MATCH($L$1,Database!$F$1:$AY$1,),))))</f>
        <v>4.7899542072867791E-2</v>
      </c>
      <c r="M219" s="13">
        <f>((((VLOOKUP(B219,Database!$F:$AY,MATCH($M$1,Database!$F$1:$AY$1,),))))-(((VLOOKUP(EDATE(B219,-12),Database!$F:$AY,MATCH($M$1,Database!$F$1:$AY$1,),)))))/(((VLOOKUP(EDATE(B219,-12),Database!$F:$AY,MATCH($M$1,Database!$F$1:$AY$1,),))))</f>
        <v>5.8307609297607879E-2</v>
      </c>
      <c r="N219" s="13">
        <f>((((VLOOKUP(B219,Database!$F:$AY,MATCH($N$1,Database!$F$1:$AY$1,),))))-(((VLOOKUP(EDATE(B219,-12),Database!$F:$AY,MATCH($N$1,Database!$F$1:$AY$1,),)))))/(((VLOOKUP(EDATE(B219,-12),Database!$F:$AY,MATCH($N$1,Database!$F$1:$AY$1,),))))</f>
        <v>0.10121036584283703</v>
      </c>
      <c r="O219" s="13">
        <f>((((VLOOKUP(B219,Database!$F:$AY,MATCH($O$1,Database!$F$1:$AY$1,),))))-(((VLOOKUP(EDATE(B219,-12),Database!$F:$AY,MATCH($O$1,Database!$F$1:$AY$1,),)))))/(((VLOOKUP(EDATE(B219,-12),Database!$F:$AY,MATCH($O$1,Database!$F$1:$AY$1,),))))</f>
        <v>1.8842337550648534E-2</v>
      </c>
      <c r="P219" s="13">
        <f>((((VLOOKUP(B219,Database!$F:$AY,MATCH($P$1,Database!$F$1:$AY$1,),))))-(((VLOOKUP(EDATE(B219,-12),Database!$F:$AY,MATCH($P$1,Database!$F$1:$AY$1,),)))))/(((VLOOKUP(EDATE(B219,-12),Database!$F:$AY,MATCH($P$1,Database!$F$1:$AY$1,),))))</f>
        <v>9.6416133726205236E-2</v>
      </c>
      <c r="Q219" s="13">
        <f>((((VLOOKUP(B219,Database!$F:$AY,MATCH($Q$1,Database!$F$1:$AY$1,),))))-(((VLOOKUP(EDATE(B219,-12),Database!$F:$AY,MATCH($Q$1,Database!$F$1:$AY$1,),)))))/(((VLOOKUP(EDATE(B219,-12),Database!$F:$AY,MATCH($Q$1,Database!$F$1:$AY$1,),))))</f>
        <v>3.5107825639025383E-2</v>
      </c>
      <c r="R219" s="13">
        <f>((((VLOOKUP(B219,Database!$F:$AY,MATCH($R$1,Database!$F$1:$AY$1,),))))-(((VLOOKUP(EDATE(B219,-12),Database!$F:$AY,MATCH($R$1,Database!$F$1:$AY$1,),)))))/(((VLOOKUP(EDATE(B219,-12),Database!$F:$AY,MATCH($R$1,Database!$F$1:$AY$1,),))))</f>
        <v>2.8117835921304096E-2</v>
      </c>
      <c r="S219" s="13">
        <f>((((VLOOKUP(B219,Database!$F:$AY,MATCH($S$1,Database!$F$1:$AY$1,),))))-(((VLOOKUP(EDATE(B219,-12),Database!$F:$AY,MATCH($S$1,Database!$F$1:$AY$1,),)))))/(((VLOOKUP(EDATE(B219,-12),Database!$F:$AY,MATCH($S$1,Database!$F$1:$AY$1,),))))</f>
        <v>4.2914039197080416E-2</v>
      </c>
      <c r="T219" s="13">
        <f>((((VLOOKUP(B219,Database!$F:$AY,MATCH($T$1,Database!$F$1:$AY$1,),))))-(((VLOOKUP(EDATE(B219,-12),Database!$F:$AY,MATCH($T$1,Database!$F$1:$AY$1,),)))))/(((VLOOKUP(EDATE(B219,-12),Database!$F:$AY,MATCH($T$1,Database!$F$1:$AY$1,),))))</f>
        <v>0.10225306477021753</v>
      </c>
      <c r="U219" s="13">
        <f>((((VLOOKUP(B219,Database!$F:$AY,MATCH($U$1,Database!$F$1:$AY$1,),))))-(((VLOOKUP(EDATE(B219,-12),Database!$F:$AY,MATCH($U$1,Database!$F$1:$AY$1,),)))))/(((VLOOKUP(EDATE(B219,-12),Database!$F:$AY,MATCH($U$1,Database!$F$1:$AY$1,),))))</f>
        <v>4.9366957837533379E-2</v>
      </c>
      <c r="V219" s="13">
        <f>((((VLOOKUP(B219,Database!$F:$AY,MATCH($V$1,Database!$F$1:$AY$1,),))))-(((VLOOKUP(EDATE(B219,-12),Database!$F:$AY,MATCH($V$1,Database!$F$1:$AY$1,),)))))/(((VLOOKUP(EDATE(B219,-12),Database!$F:$AY,MATCH($V$1,Database!$F$1:$AY$1,),))))</f>
        <v>0.11532125205930807</v>
      </c>
    </row>
    <row r="220" spans="1:22" s="85" customFormat="1" x14ac:dyDescent="0.2">
      <c r="A220" s="44"/>
      <c r="B220" s="91">
        <v>38838</v>
      </c>
      <c r="C220" s="13">
        <f>((((VLOOKUP(B220,Database!$F:$AY,MATCH($C$1,Database!$F$1:$AY$1,),))))-(((VLOOKUP(EDATE(B220,-12),Database!$F:$AY,MATCH($C$1,Database!$F$1:$AY$1,),)))))/(((VLOOKUP(EDATE(B220,-12),Database!$F:$AY,MATCH($C$1,Database!$F$1:$AY$1,),))))</f>
        <v>1.9835701754532604E-2</v>
      </c>
      <c r="D220" s="13">
        <f>((((VLOOKUP(B220,Database!$F:$AY,MATCH($D$1,Database!$F$1:$AY$1,),))))-(((VLOOKUP(EDATE(B220,-12),Database!$F:$AY,MATCH($D$1,Database!$F$1:$AY$1,),)))))/(((VLOOKUP(EDATE(B220,-12),Database!$F:$AY,MATCH($D$1,Database!$F$1:$AY$1,),))))</f>
        <v>5.8103867657467216E-2</v>
      </c>
      <c r="E220" s="13">
        <f>((((VLOOKUP(B220,Database!$F:$AY,MATCH($E$1,Database!$F$1:$AY$1,),))))-(((VLOOKUP(EDATE(B220,-12),Database!$F:$AY,MATCH($E$1,Database!$F$1:$AY$1,),)))))/(((VLOOKUP(EDATE(B220,-12),Database!$F:$AY,MATCH($E$1,Database!$F$1:$AY$1,),))))</f>
        <v>3.20961222568798E-2</v>
      </c>
      <c r="F220" s="13">
        <f>((((VLOOKUP(B220,Database!$F:$AY,MATCH($F$1,Database!$F$1:$AY$1,),))))-(((VLOOKUP(EDATE(B220,-12),Database!$F:$AY,MATCH($F$1,Database!$F$1:$AY$1,),)))))/(((VLOOKUP(EDATE(B220,-12),Database!$F:$AY,MATCH($F$1,Database!$F$1:$AY$1,),))))</f>
        <v>8.3632063940338161E-2</v>
      </c>
      <c r="G220" s="13">
        <f>((((VLOOKUP(B220,Database!$F:$AY,MATCH($G$1,Database!$F$1:$AY$1,),))))-(((VLOOKUP(EDATE(B220,-12),Database!$F:$AY,MATCH($G$1,Database!$F$1:$AY$1,),)))))/(((VLOOKUP(EDATE(B220,-12),Database!$F:$AY,MATCH($G$1,Database!$F$1:$AY$1,),))))</f>
        <v>2.9891306824240037E-2</v>
      </c>
      <c r="H220" s="13">
        <f>((((VLOOKUP(B220,Database!$F:$AY,MATCH($H$1,Database!$F$1:$AY$1,),))))-(((VLOOKUP(EDATE(B220,-12),Database!$F:$AY,MATCH($H$1,Database!$F$1:$AY$1,),)))))/(((VLOOKUP(EDATE(B220,-12),Database!$F:$AY,MATCH($H$1,Database!$F$1:$AY$1,),))))</f>
        <v>0</v>
      </c>
      <c r="I220" s="13">
        <f>((((VLOOKUP(B220,Database!$F:$AY,MATCH($I$1,Database!$F$1:$AY$1,),))))-(((VLOOKUP(EDATE(B220,-12),Database!$F:$AY,MATCH($I$1,Database!$F$1:$AY$1,),)))))/(((VLOOKUP(EDATE(B220,-12),Database!$F:$AY,MATCH($I$1,Database!$F$1:$AY$1,),))))</f>
        <v>5.1324655455464406E-2</v>
      </c>
      <c r="J220" s="13">
        <f>((((VLOOKUP(B220,Database!$F:$AY,MATCH($J$1,Database!$F$1:$AY$1,),))))-(((VLOOKUP(EDATE(B220,-12),Database!$F:$AY,MATCH($J$1,Database!$F$1:$AY$1,),)))))/(((VLOOKUP(EDATE(B220,-12),Database!$F:$AY,MATCH($J$1,Database!$F$1:$AY$1,),))))</f>
        <v>4.3581487882287988E-2</v>
      </c>
      <c r="K220" s="13">
        <f>((((VLOOKUP(B220,Database!$F:$AY,MATCH($K$1,Database!$F$1:$AY$1,),))))-(((VLOOKUP(EDATE(B220,-12),Database!$F:$AY,MATCH($K$1,Database!$F$1:$AY$1,),)))))/(((VLOOKUP(EDATE(B220,-12),Database!$F:$AY,MATCH($K$1,Database!$F$1:$AY$1,),))))</f>
        <v>6.2325581395348863E-2</v>
      </c>
      <c r="L220" s="13">
        <f>((((VLOOKUP(B220,Database!$F:$AY,MATCH($L$1,Database!$F$1:$AY$1,),))))-(((VLOOKUP(EDATE(B220,-12),Database!$F:$AY,MATCH($L$1,Database!$F$1:$AY$1,),)))))/(((VLOOKUP(EDATE(B220,-12),Database!$F:$AY,MATCH($L$1,Database!$F$1:$AY$1,),))))</f>
        <v>4.079068781995375E-2</v>
      </c>
      <c r="M220" s="13">
        <f>((((VLOOKUP(B220,Database!$F:$AY,MATCH($M$1,Database!$F$1:$AY$1,),))))-(((VLOOKUP(EDATE(B220,-12),Database!$F:$AY,MATCH($M$1,Database!$F$1:$AY$1,),)))))/(((VLOOKUP(EDATE(B220,-12),Database!$F:$AY,MATCH($M$1,Database!$F$1:$AY$1,),))))</f>
        <v>8.9307876963214544E-2</v>
      </c>
      <c r="N220" s="13">
        <f>((((VLOOKUP(B220,Database!$F:$AY,MATCH($N$1,Database!$F$1:$AY$1,),))))-(((VLOOKUP(EDATE(B220,-12),Database!$F:$AY,MATCH($N$1,Database!$F$1:$AY$1,),)))))/(((VLOOKUP(EDATE(B220,-12),Database!$F:$AY,MATCH($N$1,Database!$F$1:$AY$1,),))))</f>
        <v>0.10697763907768519</v>
      </c>
      <c r="O220" s="13">
        <f>((((VLOOKUP(B220,Database!$F:$AY,MATCH($O$1,Database!$F$1:$AY$1,),))))-(((VLOOKUP(EDATE(B220,-12),Database!$F:$AY,MATCH($O$1,Database!$F$1:$AY$1,),)))))/(((VLOOKUP(EDATE(B220,-12),Database!$F:$AY,MATCH($O$1,Database!$F$1:$AY$1,),))))</f>
        <v>6.8155679825111972E-3</v>
      </c>
      <c r="P220" s="13">
        <f>((((VLOOKUP(B220,Database!$F:$AY,MATCH($P$1,Database!$F$1:$AY$1,),))))-(((VLOOKUP(EDATE(B220,-12),Database!$F:$AY,MATCH($P$1,Database!$F$1:$AY$1,),)))))/(((VLOOKUP(EDATE(B220,-12),Database!$F:$AY,MATCH($P$1,Database!$F$1:$AY$1,),))))</f>
        <v>0.11442316371930544</v>
      </c>
      <c r="Q220" s="13">
        <f>((((VLOOKUP(B220,Database!$F:$AY,MATCH($Q$1,Database!$F$1:$AY$1,),))))-(((VLOOKUP(EDATE(B220,-12),Database!$F:$AY,MATCH($Q$1,Database!$F$1:$AY$1,),)))))/(((VLOOKUP(EDATE(B220,-12),Database!$F:$AY,MATCH($Q$1,Database!$F$1:$AY$1,),))))</f>
        <v>9.8574455597227554E-3</v>
      </c>
      <c r="R220" s="13">
        <f>((((VLOOKUP(B220,Database!$F:$AY,MATCH($R$1,Database!$F$1:$AY$1,),))))-(((VLOOKUP(EDATE(B220,-12),Database!$F:$AY,MATCH($R$1,Database!$F$1:$AY$1,),)))))/(((VLOOKUP(EDATE(B220,-12),Database!$F:$AY,MATCH($R$1,Database!$F$1:$AY$1,),))))</f>
        <v>2.1171456651327678E-2</v>
      </c>
      <c r="S220" s="13">
        <f>((((VLOOKUP(B220,Database!$F:$AY,MATCH($S$1,Database!$F$1:$AY$1,),))))-(((VLOOKUP(EDATE(B220,-12),Database!$F:$AY,MATCH($S$1,Database!$F$1:$AY$1,),)))))/(((VLOOKUP(EDATE(B220,-12),Database!$F:$AY,MATCH($S$1,Database!$F$1:$AY$1,),))))</f>
        <v>0.1111109426008581</v>
      </c>
      <c r="T220" s="13">
        <f>((((VLOOKUP(B220,Database!$F:$AY,MATCH($T$1,Database!$F$1:$AY$1,),))))-(((VLOOKUP(EDATE(B220,-12),Database!$F:$AY,MATCH($T$1,Database!$F$1:$AY$1,),)))))/(((VLOOKUP(EDATE(B220,-12),Database!$F:$AY,MATCH($T$1,Database!$F$1:$AY$1,),))))</f>
        <v>0.10137459908600642</v>
      </c>
      <c r="U220" s="13">
        <f>((((VLOOKUP(B220,Database!$F:$AY,MATCH($U$1,Database!$F$1:$AY$1,),))))-(((VLOOKUP(EDATE(B220,-12),Database!$F:$AY,MATCH($U$1,Database!$F$1:$AY$1,),)))))/(((VLOOKUP(EDATE(B220,-12),Database!$F:$AY,MATCH($U$1,Database!$F$1:$AY$1,),))))</f>
        <v>0.10769230769230773</v>
      </c>
      <c r="V220" s="13">
        <f>((((VLOOKUP(B220,Database!$F:$AY,MATCH($V$1,Database!$F$1:$AY$1,),))))-(((VLOOKUP(EDATE(B220,-12),Database!$F:$AY,MATCH($V$1,Database!$F$1:$AY$1,),)))))/(((VLOOKUP(EDATE(B220,-12),Database!$F:$AY,MATCH($V$1,Database!$F$1:$AY$1,),))))</f>
        <v>0.16387959866220733</v>
      </c>
    </row>
    <row r="221" spans="1:22" s="85" customFormat="1" x14ac:dyDescent="0.2">
      <c r="A221" s="44"/>
      <c r="B221" s="91">
        <v>38869</v>
      </c>
      <c r="C221" s="13">
        <f>((((VLOOKUP(B221,Database!$F:$AY,MATCH($C$1,Database!$F$1:$AY$1,),))))-(((VLOOKUP(EDATE(B221,-12),Database!$F:$AY,MATCH($C$1,Database!$F$1:$AY$1,),)))))/(((VLOOKUP(EDATE(B221,-12),Database!$F:$AY,MATCH($C$1,Database!$F$1:$AY$1,),))))</f>
        <v>1.9842908184287304E-2</v>
      </c>
      <c r="D221" s="13">
        <f>((((VLOOKUP(B221,Database!$F:$AY,MATCH($D$1,Database!$F$1:$AY$1,),))))-(((VLOOKUP(EDATE(B221,-12),Database!$F:$AY,MATCH($D$1,Database!$F$1:$AY$1,),)))))/(((VLOOKUP(EDATE(B221,-12),Database!$F:$AY,MATCH($D$1,Database!$F$1:$AY$1,),))))</f>
        <v>4.7474473273376561E-2</v>
      </c>
      <c r="E221" s="13">
        <f>((((VLOOKUP(B221,Database!$F:$AY,MATCH($E$1,Database!$F$1:$AY$1,),))))-(((VLOOKUP(EDATE(B221,-12),Database!$F:$AY,MATCH($E$1,Database!$F$1:$AY$1,),)))))/(((VLOOKUP(EDATE(B221,-12),Database!$F:$AY,MATCH($E$1,Database!$F$1:$AY$1,),))))</f>
        <v>4.1957116385775969E-2</v>
      </c>
      <c r="F221" s="13">
        <f>((((VLOOKUP(B221,Database!$F:$AY,MATCH($F$1,Database!$F$1:$AY$1,),))))-(((VLOOKUP(EDATE(B221,-12),Database!$F:$AY,MATCH($F$1,Database!$F$1:$AY$1,),)))))/(((VLOOKUP(EDATE(B221,-12),Database!$F:$AY,MATCH($F$1,Database!$F$1:$AY$1,),))))</f>
        <v>5.4970782943653748E-2</v>
      </c>
      <c r="G221" s="13">
        <f>((((VLOOKUP(B221,Database!$F:$AY,MATCH($G$1,Database!$F$1:$AY$1,),))))-(((VLOOKUP(EDATE(B221,-12),Database!$F:$AY,MATCH($G$1,Database!$F$1:$AY$1,),)))))/(((VLOOKUP(EDATE(B221,-12),Database!$F:$AY,MATCH($G$1,Database!$F$1:$AY$1,),))))</f>
        <v>2.8722295522330823E-2</v>
      </c>
      <c r="H221" s="13">
        <f>((((VLOOKUP(B221,Database!$F:$AY,MATCH($H$1,Database!$F$1:$AY$1,),))))-(((VLOOKUP(EDATE(B221,-12),Database!$F:$AY,MATCH($H$1,Database!$F$1:$AY$1,),)))))/(((VLOOKUP(EDATE(B221,-12),Database!$F:$AY,MATCH($H$1,Database!$F$1:$AY$1,),))))</f>
        <v>6.7245861899871131E-3</v>
      </c>
      <c r="I221" s="13">
        <f>((((VLOOKUP(B221,Database!$F:$AY,MATCH($I$1,Database!$F$1:$AY$1,),))))-(((VLOOKUP(EDATE(B221,-12),Database!$F:$AY,MATCH($I$1,Database!$F$1:$AY$1,),)))))/(((VLOOKUP(EDATE(B221,-12),Database!$F:$AY,MATCH($I$1,Database!$F$1:$AY$1,),))))</f>
        <v>5.4636190608651818E-2</v>
      </c>
      <c r="J221" s="13">
        <f>((((VLOOKUP(B221,Database!$F:$AY,MATCH($J$1,Database!$F$1:$AY$1,),))))-(((VLOOKUP(EDATE(B221,-12),Database!$F:$AY,MATCH($J$1,Database!$F$1:$AY$1,),)))))/(((VLOOKUP(EDATE(B221,-12),Database!$F:$AY,MATCH($J$1,Database!$F$1:$AY$1,),))))</f>
        <v>4.4173127134279129E-2</v>
      </c>
      <c r="K221" s="13">
        <f>((((VLOOKUP(B221,Database!$F:$AY,MATCH($K$1,Database!$F$1:$AY$1,),))))-(((VLOOKUP(EDATE(B221,-12),Database!$F:$AY,MATCH($K$1,Database!$F$1:$AY$1,),)))))/(((VLOOKUP(EDATE(B221,-12),Database!$F:$AY,MATCH($K$1,Database!$F$1:$AY$1,),))))</f>
        <v>7.1942446043165211E-3</v>
      </c>
      <c r="L221" s="13">
        <f>((((VLOOKUP(B221,Database!$F:$AY,MATCH($L$1,Database!$F$1:$AY$1,),))))-(((VLOOKUP(EDATE(B221,-12),Database!$F:$AY,MATCH($L$1,Database!$F$1:$AY$1,),)))))/(((VLOOKUP(EDATE(B221,-12),Database!$F:$AY,MATCH($L$1,Database!$F$1:$AY$1,),))))</f>
        <v>5.8651194140684038E-2</v>
      </c>
      <c r="M221" s="13">
        <f>((((VLOOKUP(B221,Database!$F:$AY,MATCH($M$1,Database!$F$1:$AY$1,),))))-(((VLOOKUP(EDATE(B221,-12),Database!$F:$AY,MATCH($M$1,Database!$F$1:$AY$1,),)))))/(((VLOOKUP(EDATE(B221,-12),Database!$F:$AY,MATCH($M$1,Database!$F$1:$AY$1,),))))</f>
        <v>5.4290211821108603E-2</v>
      </c>
      <c r="N221" s="13">
        <f>((((VLOOKUP(B221,Database!$F:$AY,MATCH($N$1,Database!$F$1:$AY$1,),))))-(((VLOOKUP(EDATE(B221,-12),Database!$F:$AY,MATCH($N$1,Database!$F$1:$AY$1,),)))))/(((VLOOKUP(EDATE(B221,-12),Database!$F:$AY,MATCH($N$1,Database!$F$1:$AY$1,),))))</f>
        <v>9.0301795990674602E-2</v>
      </c>
      <c r="O221" s="13">
        <f>((((VLOOKUP(B221,Database!$F:$AY,MATCH($O$1,Database!$F$1:$AY$1,),))))-(((VLOOKUP(EDATE(B221,-12),Database!$F:$AY,MATCH($O$1,Database!$F$1:$AY$1,),)))))/(((VLOOKUP(EDATE(B221,-12),Database!$F:$AY,MATCH($O$1,Database!$F$1:$AY$1,),))))</f>
        <v>8.114635405517821E-3</v>
      </c>
      <c r="P221" s="13">
        <f>((((VLOOKUP(B221,Database!$F:$AY,MATCH($P$1,Database!$F$1:$AY$1,),))))-(((VLOOKUP(EDATE(B221,-12),Database!$F:$AY,MATCH($P$1,Database!$F$1:$AY$1,),)))))/(((VLOOKUP(EDATE(B221,-12),Database!$F:$AY,MATCH($P$1,Database!$F$1:$AY$1,),))))</f>
        <v>9.0061540289323422E-2</v>
      </c>
      <c r="Q221" s="13">
        <f>((((VLOOKUP(B221,Database!$F:$AY,MATCH($Q$1,Database!$F$1:$AY$1,),))))-(((VLOOKUP(EDATE(B221,-12),Database!$F:$AY,MATCH($Q$1,Database!$F$1:$AY$1,),)))))/(((VLOOKUP(EDATE(B221,-12),Database!$F:$AY,MATCH($Q$1,Database!$F$1:$AY$1,),))))</f>
        <v>1.2290499958646657E-2</v>
      </c>
      <c r="R221" s="13">
        <f>((((VLOOKUP(B221,Database!$F:$AY,MATCH($R$1,Database!$F$1:$AY$1,),))))-(((VLOOKUP(EDATE(B221,-12),Database!$F:$AY,MATCH($R$1,Database!$F$1:$AY$1,),)))))/(((VLOOKUP(EDATE(B221,-12),Database!$F:$AY,MATCH($R$1,Database!$F$1:$AY$1,),))))</f>
        <v>3.6205107906315204E-2</v>
      </c>
      <c r="S221" s="13">
        <f>((((VLOOKUP(B221,Database!$F:$AY,MATCH($S$1,Database!$F$1:$AY$1,),))))-(((VLOOKUP(EDATE(B221,-12),Database!$F:$AY,MATCH($S$1,Database!$F$1:$AY$1,),)))))/(((VLOOKUP(EDATE(B221,-12),Database!$F:$AY,MATCH($S$1,Database!$F$1:$AY$1,),))))</f>
        <v>4.261632097381271E-2</v>
      </c>
      <c r="T221" s="13">
        <f>((((VLOOKUP(B221,Database!$F:$AY,MATCH($T$1,Database!$F$1:$AY$1,),))))-(((VLOOKUP(EDATE(B221,-12),Database!$F:$AY,MATCH($T$1,Database!$F$1:$AY$1,),)))))/(((VLOOKUP(EDATE(B221,-12),Database!$F:$AY,MATCH($T$1,Database!$F$1:$AY$1,),))))</f>
        <v>0.11206898781398518</v>
      </c>
      <c r="U221" s="13">
        <f>((((VLOOKUP(B221,Database!$F:$AY,MATCH($U$1,Database!$F$1:$AY$1,),))))-(((VLOOKUP(EDATE(B221,-12),Database!$F:$AY,MATCH($U$1,Database!$F$1:$AY$1,),)))))/(((VLOOKUP(EDATE(B221,-12),Database!$F:$AY,MATCH($U$1,Database!$F$1:$AY$1,),))))</f>
        <v>8.5750350089844829E-2</v>
      </c>
      <c r="V221" s="13">
        <f>((((VLOOKUP(B221,Database!$F:$AY,MATCH($V$1,Database!$F$1:$AY$1,),))))-(((VLOOKUP(EDATE(B221,-12),Database!$F:$AY,MATCH($V$1,Database!$F$1:$AY$1,),)))))/(((VLOOKUP(EDATE(B221,-12),Database!$F:$AY,MATCH($V$1,Database!$F$1:$AY$1,),))))</f>
        <v>0.14729950900163655</v>
      </c>
    </row>
    <row r="222" spans="1:22" s="85" customFormat="1" x14ac:dyDescent="0.2">
      <c r="A222" s="44"/>
      <c r="B222" s="91">
        <v>38899</v>
      </c>
      <c r="C222" s="13">
        <f>((((VLOOKUP(B222,Database!$F:$AY,MATCH($C$1,Database!$F$1:$AY$1,),))))-(((VLOOKUP(EDATE(B222,-12),Database!$F:$AY,MATCH($C$1,Database!$F$1:$AY$1,),)))))/(((VLOOKUP(EDATE(B222,-12),Database!$F:$AY,MATCH($C$1,Database!$F$1:$AY$1,),))))</f>
        <v>2.2702046374288843E-2</v>
      </c>
      <c r="D222" s="13">
        <f>((((VLOOKUP(B222,Database!$F:$AY,MATCH($D$1,Database!$F$1:$AY$1,),))))-(((VLOOKUP(EDATE(B222,-12),Database!$F:$AY,MATCH($D$1,Database!$F$1:$AY$1,),)))))/(((VLOOKUP(EDATE(B222,-12),Database!$F:$AY,MATCH($D$1,Database!$F$1:$AY$1,),))))</f>
        <v>4.0200467575400994E-2</v>
      </c>
      <c r="E222" s="13">
        <f>((((VLOOKUP(B222,Database!$F:$AY,MATCH($E$1,Database!$F$1:$AY$1,),))))-(((VLOOKUP(EDATE(B222,-12),Database!$F:$AY,MATCH($E$1,Database!$F$1:$AY$1,),)))))/(((VLOOKUP(EDATE(B222,-12),Database!$F:$AY,MATCH($E$1,Database!$F$1:$AY$1,),))))</f>
        <v>5.2261509127594065E-2</v>
      </c>
      <c r="F222" s="13">
        <f>((((VLOOKUP(B222,Database!$F:$AY,MATCH($F$1,Database!$F$1:$AY$1,),))))-(((VLOOKUP(EDATE(B222,-12),Database!$F:$AY,MATCH($F$1,Database!$F$1:$AY$1,),)))))/(((VLOOKUP(EDATE(B222,-12),Database!$F:$AY,MATCH($F$1,Database!$F$1:$AY$1,),))))</f>
        <v>5.7603646017980466E-2</v>
      </c>
      <c r="G222" s="13">
        <f>((((VLOOKUP(B222,Database!$F:$AY,MATCH($G$1,Database!$F$1:$AY$1,),))))-(((VLOOKUP(EDATE(B222,-12),Database!$F:$AY,MATCH($G$1,Database!$F$1:$AY$1,),)))))/(((VLOOKUP(EDATE(B222,-12),Database!$F:$AY,MATCH($G$1,Database!$F$1:$AY$1,),))))</f>
        <v>1.7745920496446809E-2</v>
      </c>
      <c r="H222" s="13">
        <f>((((VLOOKUP(B222,Database!$F:$AY,MATCH($H$1,Database!$F$1:$AY$1,),))))-(((VLOOKUP(EDATE(B222,-12),Database!$F:$AY,MATCH($H$1,Database!$F$1:$AY$1,),)))))/(((VLOOKUP(EDATE(B222,-12),Database!$F:$AY,MATCH($H$1,Database!$F$1:$AY$1,),))))</f>
        <v>2.8950771602212879E-3</v>
      </c>
      <c r="I222" s="13">
        <f>((((VLOOKUP(B222,Database!$F:$AY,MATCH($I$1,Database!$F$1:$AY$1,),))))-(((VLOOKUP(EDATE(B222,-12),Database!$F:$AY,MATCH($I$1,Database!$F$1:$AY$1,),)))))/(((VLOOKUP(EDATE(B222,-12),Database!$F:$AY,MATCH($I$1,Database!$F$1:$AY$1,),))))</f>
        <v>2.5305780562952986E-2</v>
      </c>
      <c r="J222" s="13">
        <f>((((VLOOKUP(B222,Database!$F:$AY,MATCH($J$1,Database!$F$1:$AY$1,),))))-(((VLOOKUP(EDATE(B222,-12),Database!$F:$AY,MATCH($J$1,Database!$F$1:$AY$1,),)))))/(((VLOOKUP(EDATE(B222,-12),Database!$F:$AY,MATCH($J$1,Database!$F$1:$AY$1,),))))</f>
        <v>3.5991569712326962E-2</v>
      </c>
      <c r="K222" s="13">
        <f>((((VLOOKUP(B222,Database!$F:$AY,MATCH($K$1,Database!$F$1:$AY$1,),))))-(((VLOOKUP(EDATE(B222,-12),Database!$F:$AY,MATCH($K$1,Database!$F$1:$AY$1,),)))))/(((VLOOKUP(EDATE(B222,-12),Database!$F:$AY,MATCH($K$1,Database!$F$1:$AY$1,),))))</f>
        <v>-2.1447721179624714E-2</v>
      </c>
      <c r="L222" s="13">
        <f>((((VLOOKUP(B222,Database!$F:$AY,MATCH($L$1,Database!$F$1:$AY$1,),))))-(((VLOOKUP(EDATE(B222,-12),Database!$F:$AY,MATCH($L$1,Database!$F$1:$AY$1,),)))))/(((VLOOKUP(EDATE(B222,-12),Database!$F:$AY,MATCH($L$1,Database!$F$1:$AY$1,),))))</f>
        <v>7.2700725038235756E-2</v>
      </c>
      <c r="M222" s="13">
        <f>((((VLOOKUP(B222,Database!$F:$AY,MATCH($M$1,Database!$F$1:$AY$1,),))))-(((VLOOKUP(EDATE(B222,-12),Database!$F:$AY,MATCH($M$1,Database!$F$1:$AY$1,),)))))/(((VLOOKUP(EDATE(B222,-12),Database!$F:$AY,MATCH($M$1,Database!$F$1:$AY$1,),))))</f>
        <v>6.3614467717798259E-2</v>
      </c>
      <c r="N222" s="13">
        <f>((((VLOOKUP(B222,Database!$F:$AY,MATCH($N$1,Database!$F$1:$AY$1,),))))-(((VLOOKUP(EDATE(B222,-12),Database!$F:$AY,MATCH($N$1,Database!$F$1:$AY$1,),)))))/(((VLOOKUP(EDATE(B222,-12),Database!$F:$AY,MATCH($N$1,Database!$F$1:$AY$1,),))))</f>
        <v>0.14855257439504665</v>
      </c>
      <c r="O222" s="13">
        <f>((((VLOOKUP(B222,Database!$F:$AY,MATCH($O$1,Database!$F$1:$AY$1,),))))-(((VLOOKUP(EDATE(B222,-12),Database!$F:$AY,MATCH($O$1,Database!$F$1:$AY$1,),)))))/(((VLOOKUP(EDATE(B222,-12),Database!$F:$AY,MATCH($O$1,Database!$F$1:$AY$1,),))))</f>
        <v>5.6050423383943969E-3</v>
      </c>
      <c r="P222" s="13">
        <f>((((VLOOKUP(B222,Database!$F:$AY,MATCH($P$1,Database!$F$1:$AY$1,),))))-(((VLOOKUP(EDATE(B222,-12),Database!$F:$AY,MATCH($P$1,Database!$F$1:$AY$1,),)))))/(((VLOOKUP(EDATE(B222,-12),Database!$F:$AY,MATCH($P$1,Database!$F$1:$AY$1,),))))</f>
        <v>2.7426004446909718E-2</v>
      </c>
      <c r="Q222" s="13">
        <f>((((VLOOKUP(B222,Database!$F:$AY,MATCH($Q$1,Database!$F$1:$AY$1,),))))-(((VLOOKUP(EDATE(B222,-12),Database!$F:$AY,MATCH($Q$1,Database!$F$1:$AY$1,),)))))/(((VLOOKUP(EDATE(B222,-12),Database!$F:$AY,MATCH($Q$1,Database!$F$1:$AY$1,),))))</f>
        <v>3.0371307718572129E-2</v>
      </c>
      <c r="R222" s="13">
        <f>((((VLOOKUP(B222,Database!$F:$AY,MATCH($R$1,Database!$F$1:$AY$1,),))))-(((VLOOKUP(EDATE(B222,-12),Database!$F:$AY,MATCH($R$1,Database!$F$1:$AY$1,),)))))/(((VLOOKUP(EDATE(B222,-12),Database!$F:$AY,MATCH($R$1,Database!$F$1:$AY$1,),))))</f>
        <v>2.162577307085964E-3</v>
      </c>
      <c r="S222" s="13">
        <f>((((VLOOKUP(B222,Database!$F:$AY,MATCH($S$1,Database!$F$1:$AY$1,),))))-(((VLOOKUP(EDATE(B222,-12),Database!$F:$AY,MATCH($S$1,Database!$F$1:$AY$1,),)))))/(((VLOOKUP(EDATE(B222,-12),Database!$F:$AY,MATCH($S$1,Database!$F$1:$AY$1,),))))</f>
        <v>6.9886913444485041E-2</v>
      </c>
      <c r="T222" s="13">
        <f>((((VLOOKUP(B222,Database!$F:$AY,MATCH($T$1,Database!$F$1:$AY$1,),))))-(((VLOOKUP(EDATE(B222,-12),Database!$F:$AY,MATCH($T$1,Database!$F$1:$AY$1,),)))))/(((VLOOKUP(EDATE(B222,-12),Database!$F:$AY,MATCH($T$1,Database!$F$1:$AY$1,),))))</f>
        <v>8.6003285939840635E-2</v>
      </c>
      <c r="U222" s="13">
        <f>((((VLOOKUP(B222,Database!$F:$AY,MATCH($U$1,Database!$F$1:$AY$1,),))))-(((VLOOKUP(EDATE(B222,-12),Database!$F:$AY,MATCH($U$1,Database!$F$1:$AY$1,),)))))/(((VLOOKUP(EDATE(B222,-12),Database!$F:$AY,MATCH($U$1,Database!$F$1:$AY$1,),))))</f>
        <v>8.3123422202465228E-2</v>
      </c>
      <c r="V222" s="13">
        <f>((((VLOOKUP(B222,Database!$F:$AY,MATCH($V$1,Database!$F$1:$AY$1,),))))-(((VLOOKUP(EDATE(B222,-12),Database!$F:$AY,MATCH($V$1,Database!$F$1:$AY$1,),)))))/(((VLOOKUP(EDATE(B222,-12),Database!$F:$AY,MATCH($V$1,Database!$F$1:$AY$1,),))))</f>
        <v>0.14959349593495941</v>
      </c>
    </row>
    <row r="223" spans="1:22" s="85" customFormat="1" x14ac:dyDescent="0.2">
      <c r="A223" s="44"/>
      <c r="B223" s="91">
        <v>38930</v>
      </c>
      <c r="C223" s="13">
        <f>((((VLOOKUP(B223,Database!$F:$AY,MATCH($C$1,Database!$F$1:$AY$1,),))))-(((VLOOKUP(EDATE(B223,-12),Database!$F:$AY,MATCH($C$1,Database!$F$1:$AY$1,),)))))/(((VLOOKUP(EDATE(B223,-12),Database!$F:$AY,MATCH($C$1,Database!$F$1:$AY$1,),))))</f>
        <v>2.390551423236717E-2</v>
      </c>
      <c r="D223" s="13">
        <f>((((VLOOKUP(B223,Database!$F:$AY,MATCH($D$1,Database!$F$1:$AY$1,),))))-(((VLOOKUP(EDATE(B223,-12),Database!$F:$AY,MATCH($D$1,Database!$F$1:$AY$1,),)))))/(((VLOOKUP(EDATE(B223,-12),Database!$F:$AY,MATCH($D$1,Database!$F$1:$AY$1,),))))</f>
        <v>5.4877941559574817E-2</v>
      </c>
      <c r="E223" s="13">
        <f>((((VLOOKUP(B223,Database!$F:$AY,MATCH($E$1,Database!$F$1:$AY$1,),))))-(((VLOOKUP(EDATE(B223,-12),Database!$F:$AY,MATCH($E$1,Database!$F$1:$AY$1,),)))))/(((VLOOKUP(EDATE(B223,-12),Database!$F:$AY,MATCH($E$1,Database!$F$1:$AY$1,),))))</f>
        <v>5.5276916276910781E-2</v>
      </c>
      <c r="F223" s="13">
        <f>((((VLOOKUP(B223,Database!$F:$AY,MATCH($F$1,Database!$F$1:$AY$1,),))))-(((VLOOKUP(EDATE(B223,-12),Database!$F:$AY,MATCH($F$1,Database!$F$1:$AY$1,),)))))/(((VLOOKUP(EDATE(B223,-12),Database!$F:$AY,MATCH($F$1,Database!$F$1:$AY$1,),))))</f>
        <v>9.6085344236257947E-2</v>
      </c>
      <c r="G223" s="13">
        <f>((((VLOOKUP(B223,Database!$F:$AY,MATCH($G$1,Database!$F$1:$AY$1,),))))-(((VLOOKUP(EDATE(B223,-12),Database!$F:$AY,MATCH($G$1,Database!$F$1:$AY$1,),)))))/(((VLOOKUP(EDATE(B223,-12),Database!$F:$AY,MATCH($G$1,Database!$F$1:$AY$1,),))))</f>
        <v>1.6557677289030001E-2</v>
      </c>
      <c r="H223" s="13">
        <f>((((VLOOKUP(B223,Database!$F:$AY,MATCH($H$1,Database!$F$1:$AY$1,),))))-(((VLOOKUP(EDATE(B223,-12),Database!$F:$AY,MATCH($H$1,Database!$F$1:$AY$1,),)))))/(((VLOOKUP(EDATE(B223,-12),Database!$F:$AY,MATCH($H$1,Database!$F$1:$AY$1,),))))</f>
        <v>1.8481926107898995E-2</v>
      </c>
      <c r="I223" s="13">
        <f>((((VLOOKUP(B223,Database!$F:$AY,MATCH($I$1,Database!$F$1:$AY$1,),))))-(((VLOOKUP(EDATE(B223,-12),Database!$F:$AY,MATCH($I$1,Database!$F$1:$AY$1,),)))))/(((VLOOKUP(EDATE(B223,-12),Database!$F:$AY,MATCH($I$1,Database!$F$1:$AY$1,),))))</f>
        <v>4.6052344808244813E-2</v>
      </c>
      <c r="J223" s="13">
        <f>((((VLOOKUP(B223,Database!$F:$AY,MATCH($J$1,Database!$F$1:$AY$1,),))))-(((VLOOKUP(EDATE(B223,-12),Database!$F:$AY,MATCH($J$1,Database!$F$1:$AY$1,),)))))/(((VLOOKUP(EDATE(B223,-12),Database!$F:$AY,MATCH($J$1,Database!$F$1:$AY$1,),))))</f>
        <v>2.5461068087522562E-2</v>
      </c>
      <c r="K223" s="13">
        <f>((((VLOOKUP(B223,Database!$F:$AY,MATCH($K$1,Database!$F$1:$AY$1,),))))-(((VLOOKUP(EDATE(B223,-12),Database!$F:$AY,MATCH($K$1,Database!$F$1:$AY$1,),)))))/(((VLOOKUP(EDATE(B223,-12),Database!$F:$AY,MATCH($K$1,Database!$F$1:$AY$1,),))))</f>
        <v>4.1977611940298504E-2</v>
      </c>
      <c r="L223" s="13">
        <f>((((VLOOKUP(B223,Database!$F:$AY,MATCH($L$1,Database!$F$1:$AY$1,),))))-(((VLOOKUP(EDATE(B223,-12),Database!$F:$AY,MATCH($L$1,Database!$F$1:$AY$1,),)))))/(((VLOOKUP(EDATE(B223,-12),Database!$F:$AY,MATCH($L$1,Database!$F$1:$AY$1,),))))</f>
        <v>5.1507333167099829E-2</v>
      </c>
      <c r="M223" s="13">
        <f>((((VLOOKUP(B223,Database!$F:$AY,MATCH($M$1,Database!$F$1:$AY$1,),))))-(((VLOOKUP(EDATE(B223,-12),Database!$F:$AY,MATCH($M$1,Database!$F$1:$AY$1,),)))))/(((VLOOKUP(EDATE(B223,-12),Database!$F:$AY,MATCH($M$1,Database!$F$1:$AY$1,),))))</f>
        <v>8.1721583415692578E-2</v>
      </c>
      <c r="N223" s="13">
        <f>((((VLOOKUP(B223,Database!$F:$AY,MATCH($N$1,Database!$F$1:$AY$1,),))))-(((VLOOKUP(EDATE(B223,-12),Database!$F:$AY,MATCH($N$1,Database!$F$1:$AY$1,),)))))/(((VLOOKUP(EDATE(B223,-12),Database!$F:$AY,MATCH($N$1,Database!$F$1:$AY$1,),))))</f>
        <v>0.10066026525325045</v>
      </c>
      <c r="O223" s="13">
        <f>((((VLOOKUP(B223,Database!$F:$AY,MATCH($O$1,Database!$F$1:$AY$1,),))))-(((VLOOKUP(EDATE(B223,-12),Database!$F:$AY,MATCH($O$1,Database!$F$1:$AY$1,),)))))/(((VLOOKUP(EDATE(B223,-12),Database!$F:$AY,MATCH($O$1,Database!$F$1:$AY$1,),))))</f>
        <v>-1.0081818489624271E-2</v>
      </c>
      <c r="P223" s="13">
        <f>((((VLOOKUP(B223,Database!$F:$AY,MATCH($P$1,Database!$F$1:$AY$1,),))))-(((VLOOKUP(EDATE(B223,-12),Database!$F:$AY,MATCH($P$1,Database!$F$1:$AY$1,),)))))/(((VLOOKUP(EDATE(B223,-12),Database!$F:$AY,MATCH($P$1,Database!$F$1:$AY$1,),))))</f>
        <v>9.9937708388679519E-2</v>
      </c>
      <c r="Q223" s="13">
        <f>((((VLOOKUP(B223,Database!$F:$AY,MATCH($Q$1,Database!$F$1:$AY$1,),))))-(((VLOOKUP(EDATE(B223,-12),Database!$F:$AY,MATCH($Q$1,Database!$F$1:$AY$1,),)))))/(((VLOOKUP(EDATE(B223,-12),Database!$F:$AY,MATCH($Q$1,Database!$F$1:$AY$1,),))))</f>
        <v>2.5813767988521939E-2</v>
      </c>
      <c r="R223" s="13">
        <f>((((VLOOKUP(B223,Database!$F:$AY,MATCH($R$1,Database!$F$1:$AY$1,),))))-(((VLOOKUP(EDATE(B223,-12),Database!$F:$AY,MATCH($R$1,Database!$F$1:$AY$1,),)))))/(((VLOOKUP(EDATE(B223,-12),Database!$F:$AY,MATCH($R$1,Database!$F$1:$AY$1,),))))</f>
        <v>1.4214863095576997E-2</v>
      </c>
      <c r="S223" s="13">
        <f>((((VLOOKUP(B223,Database!$F:$AY,MATCH($S$1,Database!$F$1:$AY$1,),))))-(((VLOOKUP(EDATE(B223,-12),Database!$F:$AY,MATCH($S$1,Database!$F$1:$AY$1,),)))))/(((VLOOKUP(EDATE(B223,-12),Database!$F:$AY,MATCH($S$1,Database!$F$1:$AY$1,),))))</f>
        <v>3.078447424295945E-2</v>
      </c>
      <c r="T223" s="13">
        <f>((((VLOOKUP(B223,Database!$F:$AY,MATCH($T$1,Database!$F$1:$AY$1,),))))-(((VLOOKUP(EDATE(B223,-12),Database!$F:$AY,MATCH($T$1,Database!$F$1:$AY$1,),)))))/(((VLOOKUP(EDATE(B223,-12),Database!$F:$AY,MATCH($T$1,Database!$F$1:$AY$1,),))))</f>
        <v>6.4676528626429489E-2</v>
      </c>
      <c r="U223" s="13">
        <f>((((VLOOKUP(B223,Database!$F:$AY,MATCH($U$1,Database!$F$1:$AY$1,),))))-(((VLOOKUP(EDATE(B223,-12),Database!$F:$AY,MATCH($U$1,Database!$F$1:$AY$1,),)))))/(((VLOOKUP(EDATE(B223,-12),Database!$F:$AY,MATCH($U$1,Database!$F$1:$AY$1,),))))</f>
        <v>6.8578506344697907E-2</v>
      </c>
      <c r="V223" s="13">
        <f>((((VLOOKUP(B223,Database!$F:$AY,MATCH($V$1,Database!$F$1:$AY$1,),))))-(((VLOOKUP(EDATE(B223,-12),Database!$F:$AY,MATCH($V$1,Database!$F$1:$AY$1,),)))))/(((VLOOKUP(EDATE(B223,-12),Database!$F:$AY,MATCH($V$1,Database!$F$1:$AY$1,),))))</f>
        <v>0.13387096774193544</v>
      </c>
    </row>
    <row r="224" spans="1:22" s="85" customFormat="1" x14ac:dyDescent="0.2">
      <c r="A224" s="44"/>
      <c r="B224" s="91">
        <v>38961</v>
      </c>
      <c r="C224" s="13">
        <f>((((VLOOKUP(B224,Database!$F:$AY,MATCH($C$1,Database!$F$1:$AY$1,),))))-(((VLOOKUP(EDATE(B224,-12),Database!$F:$AY,MATCH($C$1,Database!$F$1:$AY$1,),)))))/(((VLOOKUP(EDATE(B224,-12),Database!$F:$AY,MATCH($C$1,Database!$F$1:$AY$1,),))))</f>
        <v>4.1266173811174804E-2</v>
      </c>
      <c r="D224" s="13">
        <f>((((VLOOKUP(B224,Database!$F:$AY,MATCH($D$1,Database!$F$1:$AY$1,),))))-(((VLOOKUP(EDATE(B224,-12),Database!$F:$AY,MATCH($D$1,Database!$F$1:$AY$1,),)))))/(((VLOOKUP(EDATE(B224,-12),Database!$F:$AY,MATCH($D$1,Database!$F$1:$AY$1,),))))</f>
        <v>4.2126476637682535E-2</v>
      </c>
      <c r="E224" s="13">
        <f>((((VLOOKUP(B224,Database!$F:$AY,MATCH($E$1,Database!$F$1:$AY$1,),))))-(((VLOOKUP(EDATE(B224,-12),Database!$F:$AY,MATCH($E$1,Database!$F$1:$AY$1,),)))))/(((VLOOKUP(EDATE(B224,-12),Database!$F:$AY,MATCH($E$1,Database!$F$1:$AY$1,),))))</f>
        <v>4.5862874618971344E-2</v>
      </c>
      <c r="F224" s="13">
        <f>((((VLOOKUP(B224,Database!$F:$AY,MATCH($F$1,Database!$F$1:$AY$1,),))))-(((VLOOKUP(EDATE(B224,-12),Database!$F:$AY,MATCH($F$1,Database!$F$1:$AY$1,),)))))/(((VLOOKUP(EDATE(B224,-12),Database!$F:$AY,MATCH($F$1,Database!$F$1:$AY$1,),))))</f>
        <v>6.4590622724363347E-2</v>
      </c>
      <c r="G224" s="13">
        <f>((((VLOOKUP(B224,Database!$F:$AY,MATCH($G$1,Database!$F$1:$AY$1,),))))-(((VLOOKUP(EDATE(B224,-12),Database!$F:$AY,MATCH($G$1,Database!$F$1:$AY$1,),)))))/(((VLOOKUP(EDATE(B224,-12),Database!$F:$AY,MATCH($G$1,Database!$F$1:$AY$1,),))))</f>
        <v>6.4579261625836628E-3</v>
      </c>
      <c r="H224" s="13">
        <f>((((VLOOKUP(B224,Database!$F:$AY,MATCH($H$1,Database!$F$1:$AY$1,),))))-(((VLOOKUP(EDATE(B224,-12),Database!$F:$AY,MATCH($H$1,Database!$F$1:$AY$1,),)))))/(((VLOOKUP(EDATE(B224,-12),Database!$F:$AY,MATCH($H$1,Database!$F$1:$AY$1,),))))</f>
        <v>2.541515946379052E-2</v>
      </c>
      <c r="I224" s="13">
        <f>((((VLOOKUP(B224,Database!$F:$AY,MATCH($I$1,Database!$F$1:$AY$1,),))))-(((VLOOKUP(EDATE(B224,-12),Database!$F:$AY,MATCH($I$1,Database!$F$1:$AY$1,),)))))/(((VLOOKUP(EDATE(B224,-12),Database!$F:$AY,MATCH($I$1,Database!$F$1:$AY$1,),))))</f>
        <v>4.0131116604335555E-2</v>
      </c>
      <c r="J224" s="13">
        <f>((((VLOOKUP(B224,Database!$F:$AY,MATCH($J$1,Database!$F$1:$AY$1,),))))-(((VLOOKUP(EDATE(B224,-12),Database!$F:$AY,MATCH($J$1,Database!$F$1:$AY$1,),)))))/(((VLOOKUP(EDATE(B224,-12),Database!$F:$AY,MATCH($J$1,Database!$F$1:$AY$1,),))))</f>
        <v>4.0310738069486027E-2</v>
      </c>
      <c r="K224" s="13">
        <f>((((VLOOKUP(B224,Database!$F:$AY,MATCH($K$1,Database!$F$1:$AY$1,),))))-(((VLOOKUP(EDATE(B224,-12),Database!$F:$AY,MATCH($K$1,Database!$F$1:$AY$1,),)))))/(((VLOOKUP(EDATE(B224,-12),Database!$F:$AY,MATCH($K$1,Database!$F$1:$AY$1,),))))</f>
        <v>2.6126126126126178E-2</v>
      </c>
      <c r="L224" s="13">
        <f>((((VLOOKUP(B224,Database!$F:$AY,MATCH($L$1,Database!$F$1:$AY$1,),))))-(((VLOOKUP(EDATE(B224,-12),Database!$F:$AY,MATCH($L$1,Database!$F$1:$AY$1,),)))))/(((VLOOKUP(EDATE(B224,-12),Database!$F:$AY,MATCH($L$1,Database!$F$1:$AY$1,),))))</f>
        <v>5.0107002032451234E-2</v>
      </c>
      <c r="M224" s="13">
        <f>((((VLOOKUP(B224,Database!$F:$AY,MATCH($M$1,Database!$F$1:$AY$1,),))))-(((VLOOKUP(EDATE(B224,-12),Database!$F:$AY,MATCH($M$1,Database!$F$1:$AY$1,),)))))/(((VLOOKUP(EDATE(B224,-12),Database!$F:$AY,MATCH($M$1,Database!$F$1:$AY$1,),))))</f>
        <v>7.5550776480357809E-2</v>
      </c>
      <c r="N224" s="13">
        <f>((((VLOOKUP(B224,Database!$F:$AY,MATCH($N$1,Database!$F$1:$AY$1,),))))-(((VLOOKUP(EDATE(B224,-12),Database!$F:$AY,MATCH($N$1,Database!$F$1:$AY$1,),)))))/(((VLOOKUP(EDATE(B224,-12),Database!$F:$AY,MATCH($N$1,Database!$F$1:$AY$1,),))))</f>
        <v>0.13477018286599071</v>
      </c>
      <c r="O224" s="13">
        <f>((((VLOOKUP(B224,Database!$F:$AY,MATCH($O$1,Database!$F$1:$AY$1,),))))-(((VLOOKUP(EDATE(B224,-12),Database!$F:$AY,MATCH($O$1,Database!$F$1:$AY$1,),)))))/(((VLOOKUP(EDATE(B224,-12),Database!$F:$AY,MATCH($O$1,Database!$F$1:$AY$1,),))))</f>
        <v>-2.8031337790846763E-2</v>
      </c>
      <c r="P224" s="13">
        <f>((((VLOOKUP(B224,Database!$F:$AY,MATCH($P$1,Database!$F$1:$AY$1,),))))-(((VLOOKUP(EDATE(B224,-12),Database!$F:$AY,MATCH($P$1,Database!$F$1:$AY$1,),)))))/(((VLOOKUP(EDATE(B224,-12),Database!$F:$AY,MATCH($P$1,Database!$F$1:$AY$1,),))))</f>
        <v>0.10698600449735576</v>
      </c>
      <c r="Q224" s="13">
        <f>((((VLOOKUP(B224,Database!$F:$AY,MATCH($Q$1,Database!$F$1:$AY$1,),))))-(((VLOOKUP(EDATE(B224,-12),Database!$F:$AY,MATCH($Q$1,Database!$F$1:$AY$1,),)))))/(((VLOOKUP(EDATE(B224,-12),Database!$F:$AY,MATCH($Q$1,Database!$F$1:$AY$1,),))))</f>
        <v>2.3809536068593668E-2</v>
      </c>
      <c r="R224" s="13">
        <f>((((VLOOKUP(B224,Database!$F:$AY,MATCH($R$1,Database!$F$1:$AY$1,),))))-(((VLOOKUP(EDATE(B224,-12),Database!$F:$AY,MATCH($R$1,Database!$F$1:$AY$1,),)))))/(((VLOOKUP(EDATE(B224,-12),Database!$F:$AY,MATCH($R$1,Database!$F$1:$AY$1,),))))</f>
        <v>-2.5122089245666595E-2</v>
      </c>
      <c r="S224" s="13">
        <f>((((VLOOKUP(B224,Database!$F:$AY,MATCH($S$1,Database!$F$1:$AY$1,),))))-(((VLOOKUP(EDATE(B224,-12),Database!$F:$AY,MATCH($S$1,Database!$F$1:$AY$1,),)))))/(((VLOOKUP(EDATE(B224,-12),Database!$F:$AY,MATCH($S$1,Database!$F$1:$AY$1,),))))</f>
        <v>5.0301838126020855E-2</v>
      </c>
      <c r="T224" s="13">
        <f>((((VLOOKUP(B224,Database!$F:$AY,MATCH($T$1,Database!$F$1:$AY$1,),))))-(((VLOOKUP(EDATE(B224,-12),Database!$F:$AY,MATCH($T$1,Database!$F$1:$AY$1,),)))))/(((VLOOKUP(EDATE(B224,-12),Database!$F:$AY,MATCH($T$1,Database!$F$1:$AY$1,),))))</f>
        <v>5.245895887723101E-2</v>
      </c>
      <c r="U224" s="13">
        <f>((((VLOOKUP(B224,Database!$F:$AY,MATCH($U$1,Database!$F$1:$AY$1,),))))-(((VLOOKUP(EDATE(B224,-12),Database!$F:$AY,MATCH($U$1,Database!$F$1:$AY$1,),)))))/(((VLOOKUP(EDATE(B224,-12),Database!$F:$AY,MATCH($U$1,Database!$F$1:$AY$1,),))))</f>
        <v>8.9552238805970213E-2</v>
      </c>
      <c r="V224" s="13">
        <f>((((VLOOKUP(B224,Database!$F:$AY,MATCH($V$1,Database!$F$1:$AY$1,),))))-(((VLOOKUP(EDATE(B224,-12),Database!$F:$AY,MATCH($V$1,Database!$F$1:$AY$1,),)))))/(((VLOOKUP(EDATE(B224,-12),Database!$F:$AY,MATCH($V$1,Database!$F$1:$AY$1,),))))</f>
        <v>0.14057507987220455</v>
      </c>
    </row>
    <row r="225" spans="1:22" s="85" customFormat="1" x14ac:dyDescent="0.2">
      <c r="A225" s="44"/>
      <c r="B225" s="91">
        <v>38991</v>
      </c>
      <c r="C225" s="13">
        <f>((((VLOOKUP(B225,Database!$F:$AY,MATCH($C$1,Database!$F$1:$AY$1,),))))-(((VLOOKUP(EDATE(B225,-12),Database!$F:$AY,MATCH($C$1,Database!$F$1:$AY$1,),)))))/(((VLOOKUP(EDATE(B225,-12),Database!$F:$AY,MATCH($C$1,Database!$F$1:$AY$1,),))))</f>
        <v>2.7708767873838837E-2</v>
      </c>
      <c r="D225" s="13">
        <f>((((VLOOKUP(B225,Database!$F:$AY,MATCH($D$1,Database!$F$1:$AY$1,),))))-(((VLOOKUP(EDATE(B225,-12),Database!$F:$AY,MATCH($D$1,Database!$F$1:$AY$1,),)))))/(((VLOOKUP(EDATE(B225,-12),Database!$F:$AY,MATCH($D$1,Database!$F$1:$AY$1,),))))</f>
        <v>3.7036703314416365E-2</v>
      </c>
      <c r="E225" s="13">
        <f>((((VLOOKUP(B225,Database!$F:$AY,MATCH($E$1,Database!$F$1:$AY$1,),))))-(((VLOOKUP(EDATE(B225,-12),Database!$F:$AY,MATCH($E$1,Database!$F$1:$AY$1,),)))))/(((VLOOKUP(EDATE(B225,-12),Database!$F:$AY,MATCH($E$1,Database!$F$1:$AY$1,),))))</f>
        <v>5.9356195486870544E-2</v>
      </c>
      <c r="F225" s="13">
        <f>((((VLOOKUP(B225,Database!$F:$AY,MATCH($F$1,Database!$F$1:$AY$1,),))))-(((VLOOKUP(EDATE(B225,-12),Database!$F:$AY,MATCH($F$1,Database!$F$1:$AY$1,),)))))/(((VLOOKUP(EDATE(B225,-12),Database!$F:$AY,MATCH($F$1,Database!$F$1:$AY$1,),))))</f>
        <v>4.1855186343024348E-2</v>
      </c>
      <c r="G225" s="13">
        <f>((((VLOOKUP(B225,Database!$F:$AY,MATCH($G$1,Database!$F$1:$AY$1,),))))-(((VLOOKUP(EDATE(B225,-12),Database!$F:$AY,MATCH($G$1,Database!$F$1:$AY$1,),)))))/(((VLOOKUP(EDATE(B225,-12),Database!$F:$AY,MATCH($G$1,Database!$F$1:$AY$1,),))))</f>
        <v>2.8647760992654241E-2</v>
      </c>
      <c r="H225" s="13">
        <f>((((VLOOKUP(B225,Database!$F:$AY,MATCH($H$1,Database!$F$1:$AY$1,),))))-(((VLOOKUP(EDATE(B225,-12),Database!$F:$AY,MATCH($H$1,Database!$F$1:$AY$1,),)))))/(((VLOOKUP(EDATE(B225,-12),Database!$F:$AY,MATCH($H$1,Database!$F$1:$AY$1,),))))</f>
        <v>2.2505308255810385E-2</v>
      </c>
      <c r="I225" s="13">
        <f>((((VLOOKUP(B225,Database!$F:$AY,MATCH($I$1,Database!$F$1:$AY$1,),))))-(((VLOOKUP(EDATE(B225,-12),Database!$F:$AY,MATCH($I$1,Database!$F$1:$AY$1,),)))))/(((VLOOKUP(EDATE(B225,-12),Database!$F:$AY,MATCH($I$1,Database!$F$1:$AY$1,),))))</f>
        <v>4.0065483793415367E-2</v>
      </c>
      <c r="J225" s="13">
        <f>((((VLOOKUP(B225,Database!$F:$AY,MATCH($J$1,Database!$F$1:$AY$1,),))))-(((VLOOKUP(EDATE(B225,-12),Database!$F:$AY,MATCH($J$1,Database!$F$1:$AY$1,),)))))/(((VLOOKUP(EDATE(B225,-12),Database!$F:$AY,MATCH($J$1,Database!$F$1:$AY$1,),))))</f>
        <v>4.0534534871146E-2</v>
      </c>
      <c r="K225" s="13">
        <f>((((VLOOKUP(B225,Database!$F:$AY,MATCH($K$1,Database!$F$1:$AY$1,),))))-(((VLOOKUP(EDATE(B225,-12),Database!$F:$AY,MATCH($K$1,Database!$F$1:$AY$1,),)))))/(((VLOOKUP(EDATE(B225,-12),Database!$F:$AY,MATCH($K$1,Database!$F$1:$AY$1,),))))</f>
        <v>2.7728085867620829E-2</v>
      </c>
      <c r="L225" s="13">
        <f>((((VLOOKUP(B225,Database!$F:$AY,MATCH($L$1,Database!$F$1:$AY$1,),))))-(((VLOOKUP(EDATE(B225,-12),Database!$F:$AY,MATCH($L$1,Database!$F$1:$AY$1,),)))))/(((VLOOKUP(EDATE(B225,-12),Database!$F:$AY,MATCH($L$1,Database!$F$1:$AY$1,),))))</f>
        <v>4.3945009760420678E-2</v>
      </c>
      <c r="M225" s="13">
        <f>((((VLOOKUP(B225,Database!$F:$AY,MATCH($M$1,Database!$F$1:$AY$1,),))))-(((VLOOKUP(EDATE(B225,-12),Database!$F:$AY,MATCH($M$1,Database!$F$1:$AY$1,),)))))/(((VLOOKUP(EDATE(B225,-12),Database!$F:$AY,MATCH($M$1,Database!$F$1:$AY$1,),))))</f>
        <v>8.6683638642159E-2</v>
      </c>
      <c r="N225" s="13">
        <f>((((VLOOKUP(B225,Database!$F:$AY,MATCH($N$1,Database!$F$1:$AY$1,),))))-(((VLOOKUP(EDATE(B225,-12),Database!$F:$AY,MATCH($N$1,Database!$F$1:$AY$1,),)))))/(((VLOOKUP(EDATE(B225,-12),Database!$F:$AY,MATCH($N$1,Database!$F$1:$AY$1,),))))</f>
        <v>9.1370565254791689E-2</v>
      </c>
      <c r="O225" s="13">
        <f>((((VLOOKUP(B225,Database!$F:$AY,MATCH($O$1,Database!$F$1:$AY$1,),))))-(((VLOOKUP(EDATE(B225,-12),Database!$F:$AY,MATCH($O$1,Database!$F$1:$AY$1,),)))))/(((VLOOKUP(EDATE(B225,-12),Database!$F:$AY,MATCH($O$1,Database!$F$1:$AY$1,),))))</f>
        <v>-3.0753177972414947E-2</v>
      </c>
      <c r="P225" s="13">
        <f>((((VLOOKUP(B225,Database!$F:$AY,MATCH($P$1,Database!$F$1:$AY$1,),))))-(((VLOOKUP(EDATE(B225,-12),Database!$F:$AY,MATCH($P$1,Database!$F$1:$AY$1,),)))))/(((VLOOKUP(EDATE(B225,-12),Database!$F:$AY,MATCH($P$1,Database!$F$1:$AY$1,),))))</f>
        <v>0.13261996198116452</v>
      </c>
      <c r="Q225" s="13">
        <f>((((VLOOKUP(B225,Database!$F:$AY,MATCH($Q$1,Database!$F$1:$AY$1,),))))-(((VLOOKUP(EDATE(B225,-12),Database!$F:$AY,MATCH($Q$1,Database!$F$1:$AY$1,),)))))/(((VLOOKUP(EDATE(B225,-12),Database!$F:$AY,MATCH($Q$1,Database!$F$1:$AY$1,),))))</f>
        <v>3.5347701288700059E-2</v>
      </c>
      <c r="R225" s="13">
        <f>((((VLOOKUP(B225,Database!$F:$AY,MATCH($R$1,Database!$F$1:$AY$1,),))))-(((VLOOKUP(EDATE(B225,-12),Database!$F:$AY,MATCH($R$1,Database!$F$1:$AY$1,),)))))/(((VLOOKUP(EDATE(B225,-12),Database!$F:$AY,MATCH($R$1,Database!$F$1:$AY$1,),))))</f>
        <v>5.6499452045109758E-3</v>
      </c>
      <c r="S225" s="13">
        <f>((((VLOOKUP(B225,Database!$F:$AY,MATCH($S$1,Database!$F$1:$AY$1,),))))-(((VLOOKUP(EDATE(B225,-12),Database!$F:$AY,MATCH($S$1,Database!$F$1:$AY$1,),)))))/(((VLOOKUP(EDATE(B225,-12),Database!$F:$AY,MATCH($S$1,Database!$F$1:$AY$1,),))))</f>
        <v>-2.9673773319746103E-3</v>
      </c>
      <c r="T225" s="13">
        <f>((((VLOOKUP(B225,Database!$F:$AY,MATCH($T$1,Database!$F$1:$AY$1,),))))-(((VLOOKUP(EDATE(B225,-12),Database!$F:$AY,MATCH($T$1,Database!$F$1:$AY$1,),)))))/(((VLOOKUP(EDATE(B225,-12),Database!$F:$AY,MATCH($T$1,Database!$F$1:$AY$1,),))))</f>
        <v>4.1935593661600587E-2</v>
      </c>
      <c r="U225" s="13">
        <f>((((VLOOKUP(B225,Database!$F:$AY,MATCH($U$1,Database!$F$1:$AY$1,),))))-(((VLOOKUP(EDATE(B225,-12),Database!$F:$AY,MATCH($U$1,Database!$F$1:$AY$1,),)))))/(((VLOOKUP(EDATE(B225,-12),Database!$F:$AY,MATCH($U$1,Database!$F$1:$AY$1,),))))</f>
        <v>7.3891622581940014E-2</v>
      </c>
      <c r="V225" s="13">
        <f>((((VLOOKUP(B225,Database!$F:$AY,MATCH($V$1,Database!$F$1:$AY$1,),))))-(((VLOOKUP(EDATE(B225,-12),Database!$F:$AY,MATCH($V$1,Database!$F$1:$AY$1,),)))))/(((VLOOKUP(EDATE(B225,-12),Database!$F:$AY,MATCH($V$1,Database!$F$1:$AY$1,),))))</f>
        <v>0.115085536547434</v>
      </c>
    </row>
    <row r="226" spans="1:22" s="85" customFormat="1" x14ac:dyDescent="0.2">
      <c r="A226" s="44"/>
      <c r="B226" s="91">
        <v>39022</v>
      </c>
      <c r="C226" s="13">
        <f>((((VLOOKUP(B226,Database!$F:$AY,MATCH($C$1,Database!$F$1:$AY$1,),))))-(((VLOOKUP(EDATE(B226,-12),Database!$F:$AY,MATCH($C$1,Database!$F$1:$AY$1,),)))))/(((VLOOKUP(EDATE(B226,-12),Database!$F:$AY,MATCH($C$1,Database!$F$1:$AY$1,),))))</f>
        <v>1.6419077404222E-2</v>
      </c>
      <c r="D226" s="13">
        <f>((((VLOOKUP(B226,Database!$F:$AY,MATCH($D$1,Database!$F$1:$AY$1,),))))-(((VLOOKUP(EDATE(B226,-12),Database!$F:$AY,MATCH($D$1,Database!$F$1:$AY$1,),)))))/(((VLOOKUP(EDATE(B226,-12),Database!$F:$AY,MATCH($D$1,Database!$F$1:$AY$1,),))))</f>
        <v>2.9527549365987036E-2</v>
      </c>
      <c r="E226" s="13">
        <f>((((VLOOKUP(B226,Database!$F:$AY,MATCH($E$1,Database!$F$1:$AY$1,),))))-(((VLOOKUP(EDATE(B226,-12),Database!$F:$AY,MATCH($E$1,Database!$F$1:$AY$1,),)))))/(((VLOOKUP(EDATE(B226,-12),Database!$F:$AY,MATCH($E$1,Database!$F$1:$AY$1,),))))</f>
        <v>4.8323332701205049E-2</v>
      </c>
      <c r="F226" s="13">
        <f>((((VLOOKUP(B226,Database!$F:$AY,MATCH($F$1,Database!$F$1:$AY$1,),))))-(((VLOOKUP(EDATE(B226,-12),Database!$F:$AY,MATCH($F$1,Database!$F$1:$AY$1,),)))))/(((VLOOKUP(EDATE(B226,-12),Database!$F:$AY,MATCH($F$1,Database!$F$1:$AY$1,),))))</f>
        <v>7.2082319900330372E-2</v>
      </c>
      <c r="G226" s="13">
        <f>((((VLOOKUP(B226,Database!$F:$AY,MATCH($G$1,Database!$F$1:$AY$1,),))))-(((VLOOKUP(EDATE(B226,-12),Database!$F:$AY,MATCH($G$1,Database!$F$1:$AY$1,),)))))/(((VLOOKUP(EDATE(B226,-12),Database!$F:$AY,MATCH($G$1,Database!$F$1:$AY$1,),))))</f>
        <v>-1.6614704991252886E-2</v>
      </c>
      <c r="H226" s="13">
        <f>((((VLOOKUP(B226,Database!$F:$AY,MATCH($H$1,Database!$F$1:$AY$1,),))))-(((VLOOKUP(EDATE(B226,-12),Database!$F:$AY,MATCH($H$1,Database!$F$1:$AY$1,),)))))/(((VLOOKUP(EDATE(B226,-12),Database!$F:$AY,MATCH($H$1,Database!$F$1:$AY$1,),))))</f>
        <v>1.4507117560374918E-2</v>
      </c>
      <c r="I226" s="13">
        <f>((((VLOOKUP(B226,Database!$F:$AY,MATCH($I$1,Database!$F$1:$AY$1,),))))-(((VLOOKUP(EDATE(B226,-12),Database!$F:$AY,MATCH($I$1,Database!$F$1:$AY$1,),)))))/(((VLOOKUP(EDATE(B226,-12),Database!$F:$AY,MATCH($I$1,Database!$F$1:$AY$1,),))))</f>
        <v>3.0744471424398647E-2</v>
      </c>
      <c r="J226" s="13">
        <f>((((VLOOKUP(B226,Database!$F:$AY,MATCH($J$1,Database!$F$1:$AY$1,),))))-(((VLOOKUP(EDATE(B226,-12),Database!$F:$AY,MATCH($J$1,Database!$F$1:$AY$1,),)))))/(((VLOOKUP(EDATE(B226,-12),Database!$F:$AY,MATCH($J$1,Database!$F$1:$AY$1,),))))</f>
        <v>3.9317378748081826E-2</v>
      </c>
      <c r="K226" s="13">
        <f>((((VLOOKUP(B226,Database!$F:$AY,MATCH($K$1,Database!$F$1:$AY$1,),))))-(((VLOOKUP(EDATE(B226,-12),Database!$F:$AY,MATCH($K$1,Database!$F$1:$AY$1,),)))))/(((VLOOKUP(EDATE(B226,-12),Database!$F:$AY,MATCH($K$1,Database!$F$1:$AY$1,),))))</f>
        <v>5.1048313582497666E-2</v>
      </c>
      <c r="L226" s="13">
        <f>((((VLOOKUP(B226,Database!$F:$AY,MATCH($L$1,Database!$F$1:$AY$1,),))))-(((VLOOKUP(EDATE(B226,-12),Database!$F:$AY,MATCH($L$1,Database!$F$1:$AY$1,),)))))/(((VLOOKUP(EDATE(B226,-12),Database!$F:$AY,MATCH($L$1,Database!$F$1:$AY$1,),))))</f>
        <v>2.4488703029208088E-2</v>
      </c>
      <c r="M226" s="13">
        <f>((((VLOOKUP(B226,Database!$F:$AY,MATCH($M$1,Database!$F$1:$AY$1,),))))-(((VLOOKUP(EDATE(B226,-12),Database!$F:$AY,MATCH($M$1,Database!$F$1:$AY$1,),)))))/(((VLOOKUP(EDATE(B226,-12),Database!$F:$AY,MATCH($M$1,Database!$F$1:$AY$1,),))))</f>
        <v>6.5579247729159948E-2</v>
      </c>
      <c r="N226" s="13">
        <f>((((VLOOKUP(B226,Database!$F:$AY,MATCH($N$1,Database!$F$1:$AY$1,),))))-(((VLOOKUP(EDATE(B226,-12),Database!$F:$AY,MATCH($N$1,Database!$F$1:$AY$1,),)))))/(((VLOOKUP(EDATE(B226,-12),Database!$F:$AY,MATCH($N$1,Database!$F$1:$AY$1,),))))</f>
        <v>0.20441074862186673</v>
      </c>
      <c r="O226" s="13">
        <f>((((VLOOKUP(B226,Database!$F:$AY,MATCH($O$1,Database!$F$1:$AY$1,),))))-(((VLOOKUP(EDATE(B226,-12),Database!$F:$AY,MATCH($O$1,Database!$F$1:$AY$1,),)))))/(((VLOOKUP(EDATE(B226,-12),Database!$F:$AY,MATCH($O$1,Database!$F$1:$AY$1,),))))</f>
        <v>-3.8879365664543121E-2</v>
      </c>
      <c r="P226" s="13">
        <f>((((VLOOKUP(B226,Database!$F:$AY,MATCH($P$1,Database!$F$1:$AY$1,),))))-(((VLOOKUP(EDATE(B226,-12),Database!$F:$AY,MATCH($P$1,Database!$F$1:$AY$1,),)))))/(((VLOOKUP(EDATE(B226,-12),Database!$F:$AY,MATCH($P$1,Database!$F$1:$AY$1,),))))</f>
        <v>7.2055446042553456E-2</v>
      </c>
      <c r="Q226" s="13">
        <f>((((VLOOKUP(B226,Database!$F:$AY,MATCH($Q$1,Database!$F$1:$AY$1,),))))-(((VLOOKUP(EDATE(B226,-12),Database!$F:$AY,MATCH($Q$1,Database!$F$1:$AY$1,),)))))/(((VLOOKUP(EDATE(B226,-12),Database!$F:$AY,MATCH($Q$1,Database!$F$1:$AY$1,),))))</f>
        <v>3.9503443508026634E-2</v>
      </c>
      <c r="R226" s="13">
        <f>((((VLOOKUP(B226,Database!$F:$AY,MATCH($R$1,Database!$F$1:$AY$1,),))))-(((VLOOKUP(EDATE(B226,-12),Database!$F:$AY,MATCH($R$1,Database!$F$1:$AY$1,),)))))/(((VLOOKUP(EDATE(B226,-12),Database!$F:$AY,MATCH($R$1,Database!$F$1:$AY$1,),))))</f>
        <v>-2.8188600384098268E-2</v>
      </c>
      <c r="S226" s="13">
        <f>((((VLOOKUP(B226,Database!$F:$AY,MATCH($S$1,Database!$F$1:$AY$1,),))))-(((VLOOKUP(EDATE(B226,-12),Database!$F:$AY,MATCH($S$1,Database!$F$1:$AY$1,),)))))/(((VLOOKUP(EDATE(B226,-12),Database!$F:$AY,MATCH($S$1,Database!$F$1:$AY$1,),))))</f>
        <v>-0.12358570580688219</v>
      </c>
      <c r="T226" s="13">
        <f>((((VLOOKUP(B226,Database!$F:$AY,MATCH($T$1,Database!$F$1:$AY$1,),))))-(((VLOOKUP(EDATE(B226,-12),Database!$F:$AY,MATCH($T$1,Database!$F$1:$AY$1,),)))))/(((VLOOKUP(EDATE(B226,-12),Database!$F:$AY,MATCH($T$1,Database!$F$1:$AY$1,),))))</f>
        <v>3.3761975675787807E-2</v>
      </c>
      <c r="U226" s="13">
        <f>((((VLOOKUP(B226,Database!$F:$AY,MATCH($U$1,Database!$F$1:$AY$1,),))))-(((VLOOKUP(EDATE(B226,-12),Database!$F:$AY,MATCH($U$1,Database!$F$1:$AY$1,),)))))/(((VLOOKUP(EDATE(B226,-12),Database!$F:$AY,MATCH($U$1,Database!$F$1:$AY$1,),))))</f>
        <v>8.0097084137927363E-2</v>
      </c>
      <c r="V226" s="13">
        <f>((((VLOOKUP(B226,Database!$F:$AY,MATCH($V$1,Database!$F$1:$AY$1,),))))-(((VLOOKUP(EDATE(B226,-12),Database!$F:$AY,MATCH($V$1,Database!$F$1:$AY$1,),)))))/(((VLOOKUP(EDATE(B226,-12),Database!$F:$AY,MATCH($V$1,Database!$F$1:$AY$1,),))))</f>
        <v>8.9802130898021179E-2</v>
      </c>
    </row>
    <row r="227" spans="1:22" s="85" customFormat="1" x14ac:dyDescent="0.2">
      <c r="A227" s="44"/>
      <c r="B227" s="91">
        <v>39052</v>
      </c>
      <c r="C227" s="13">
        <f>((((VLOOKUP(B227,Database!$F:$AY,MATCH($C$1,Database!$F$1:$AY$1,),))))-(((VLOOKUP(EDATE(B227,-12),Database!$F:$AY,MATCH($C$1,Database!$F$1:$AY$1,),)))))/(((VLOOKUP(EDATE(B227,-12),Database!$F:$AY,MATCH($C$1,Database!$F$1:$AY$1,),))))</f>
        <v>2.0660108596168802E-2</v>
      </c>
      <c r="D227" s="13">
        <f>((((VLOOKUP(B227,Database!$F:$AY,MATCH($D$1,Database!$F$1:$AY$1,),))))-(((VLOOKUP(EDATE(B227,-12),Database!$F:$AY,MATCH($D$1,Database!$F$1:$AY$1,),)))))/(((VLOOKUP(EDATE(B227,-12),Database!$F:$AY,MATCH($D$1,Database!$F$1:$AY$1,),))))</f>
        <v>5.5720701847968804E-2</v>
      </c>
      <c r="E227" s="13">
        <f>((((VLOOKUP(B227,Database!$F:$AY,MATCH($E$1,Database!$F$1:$AY$1,),))))-(((VLOOKUP(EDATE(B227,-12),Database!$F:$AY,MATCH($E$1,Database!$F$1:$AY$1,),)))))/(((VLOOKUP(EDATE(B227,-12),Database!$F:$AY,MATCH($E$1,Database!$F$1:$AY$1,),))))</f>
        <v>4.5187103911268803E-2</v>
      </c>
      <c r="F227" s="13">
        <f>((((VLOOKUP(B227,Database!$F:$AY,MATCH($F$1,Database!$F$1:$AY$1,),))))-(((VLOOKUP(EDATE(B227,-12),Database!$F:$AY,MATCH($F$1,Database!$F$1:$AY$1,),)))))/(((VLOOKUP(EDATE(B227,-12),Database!$F:$AY,MATCH($F$1,Database!$F$1:$AY$1,),))))</f>
        <v>8.4862465024320224E-2</v>
      </c>
      <c r="G227" s="13">
        <f>((((VLOOKUP(B227,Database!$F:$AY,MATCH($G$1,Database!$F$1:$AY$1,),))))-(((VLOOKUP(EDATE(B227,-12),Database!$F:$AY,MATCH($G$1,Database!$F$1:$AY$1,),)))))/(((VLOOKUP(EDATE(B227,-12),Database!$F:$AY,MATCH($G$1,Database!$F$1:$AY$1,),))))</f>
        <v>1.1687399814260219E-2</v>
      </c>
      <c r="H227" s="13">
        <f>((((VLOOKUP(B227,Database!$F:$AY,MATCH($H$1,Database!$F$1:$AY$1,),))))-(((VLOOKUP(EDATE(B227,-12),Database!$F:$AY,MATCH($H$1,Database!$F$1:$AY$1,),)))))/(((VLOOKUP(EDATE(B227,-12),Database!$F:$AY,MATCH($H$1,Database!$F$1:$AY$1,),))))</f>
        <v>-9.5854965342618496E-4</v>
      </c>
      <c r="I227" s="13">
        <f>((((VLOOKUP(B227,Database!$F:$AY,MATCH($I$1,Database!$F$1:$AY$1,),))))-(((VLOOKUP(EDATE(B227,-12),Database!$F:$AY,MATCH($I$1,Database!$F$1:$AY$1,),)))))/(((VLOOKUP(EDATE(B227,-12),Database!$F:$AY,MATCH($I$1,Database!$F$1:$AY$1,),))))</f>
        <v>6.2397672054638309E-2</v>
      </c>
      <c r="J227" s="13">
        <f>((((VLOOKUP(B227,Database!$F:$AY,MATCH($J$1,Database!$F$1:$AY$1,),))))-(((VLOOKUP(EDATE(B227,-12),Database!$F:$AY,MATCH($J$1,Database!$F$1:$AY$1,),)))))/(((VLOOKUP(EDATE(B227,-12),Database!$F:$AY,MATCH($J$1,Database!$F$1:$AY$1,),))))</f>
        <v>4.9439599864835856E-2</v>
      </c>
      <c r="K227" s="13">
        <f>((((VLOOKUP(B227,Database!$F:$AY,MATCH($K$1,Database!$F$1:$AY$1,),))))-(((VLOOKUP(EDATE(B227,-12),Database!$F:$AY,MATCH($K$1,Database!$F$1:$AY$1,),)))))/(((VLOOKUP(EDATE(B227,-12),Database!$F:$AY,MATCH($K$1,Database!$F$1:$AY$1,),))))</f>
        <v>9.1407678244972576E-2</v>
      </c>
      <c r="L227" s="13">
        <f>((((VLOOKUP(B227,Database!$F:$AY,MATCH($L$1,Database!$F$1:$AY$1,),))))-(((VLOOKUP(EDATE(B227,-12),Database!$F:$AY,MATCH($L$1,Database!$F$1:$AY$1,),)))))/(((VLOOKUP(EDATE(B227,-12),Database!$F:$AY,MATCH($L$1,Database!$F$1:$AY$1,),))))</f>
        <v>8.8894221745381297E-3</v>
      </c>
      <c r="M227" s="13">
        <f>((((VLOOKUP(B227,Database!$F:$AY,MATCH($M$1,Database!$F$1:$AY$1,),))))-(((VLOOKUP(EDATE(B227,-12),Database!$F:$AY,MATCH($M$1,Database!$F$1:$AY$1,),)))))/(((VLOOKUP(EDATE(B227,-12),Database!$F:$AY,MATCH($M$1,Database!$F$1:$AY$1,),))))</f>
        <v>6.6305679880309637E-2</v>
      </c>
      <c r="N227" s="13">
        <f>((((VLOOKUP(B227,Database!$F:$AY,MATCH($N$1,Database!$F$1:$AY$1,),))))-(((VLOOKUP(EDATE(B227,-12),Database!$F:$AY,MATCH($N$1,Database!$F$1:$AY$1,),)))))/(((VLOOKUP(EDATE(B227,-12),Database!$F:$AY,MATCH($N$1,Database!$F$1:$AY$1,),))))</f>
        <v>0.14281051716356499</v>
      </c>
      <c r="O227" s="13">
        <f>((((VLOOKUP(B227,Database!$F:$AY,MATCH($O$1,Database!$F$1:$AY$1,),))))-(((VLOOKUP(EDATE(B227,-12),Database!$F:$AY,MATCH($O$1,Database!$F$1:$AY$1,),)))))/(((VLOOKUP(EDATE(B227,-12),Database!$F:$AY,MATCH($O$1,Database!$F$1:$AY$1,),))))</f>
        <v>-3.5474508874673676E-2</v>
      </c>
      <c r="P227" s="13">
        <f>((((VLOOKUP(B227,Database!$F:$AY,MATCH($P$1,Database!$F$1:$AY$1,),))))-(((VLOOKUP(EDATE(B227,-12),Database!$F:$AY,MATCH($P$1,Database!$F$1:$AY$1,),)))))/(((VLOOKUP(EDATE(B227,-12),Database!$F:$AY,MATCH($P$1,Database!$F$1:$AY$1,),))))</f>
        <v>5.6074921263958237E-2</v>
      </c>
      <c r="Q227" s="13">
        <f>((((VLOOKUP(B227,Database!$F:$AY,MATCH($Q$1,Database!$F$1:$AY$1,),))))-(((VLOOKUP(EDATE(B227,-12),Database!$F:$AY,MATCH($Q$1,Database!$F$1:$AY$1,),)))))/(((VLOOKUP(EDATE(B227,-12),Database!$F:$AY,MATCH($Q$1,Database!$F$1:$AY$1,),))))</f>
        <v>3.2079409179372936E-2</v>
      </c>
      <c r="R227" s="13">
        <f>((((VLOOKUP(B227,Database!$F:$AY,MATCH($R$1,Database!$F$1:$AY$1,),))))-(((VLOOKUP(EDATE(B227,-12),Database!$F:$AY,MATCH($R$1,Database!$F$1:$AY$1,),)))))/(((VLOOKUP(EDATE(B227,-12),Database!$F:$AY,MATCH($R$1,Database!$F$1:$AY$1,),))))</f>
        <v>2.3706502835919407E-2</v>
      </c>
      <c r="S227" s="13">
        <f>((((VLOOKUP(B227,Database!$F:$AY,MATCH($S$1,Database!$F$1:$AY$1,),))))-(((VLOOKUP(EDATE(B227,-12),Database!$F:$AY,MATCH($S$1,Database!$F$1:$AY$1,),)))))/(((VLOOKUP(EDATE(B227,-12),Database!$F:$AY,MATCH($S$1,Database!$F$1:$AY$1,),))))</f>
        <v>0.13559340471214268</v>
      </c>
      <c r="T227" s="13">
        <f>((((VLOOKUP(B227,Database!$F:$AY,MATCH($T$1,Database!$F$1:$AY$1,),))))-(((VLOOKUP(EDATE(B227,-12),Database!$F:$AY,MATCH($T$1,Database!$F$1:$AY$1,),)))))/(((VLOOKUP(EDATE(B227,-12),Database!$F:$AY,MATCH($T$1,Database!$F$1:$AY$1,),))))</f>
        <v>8.2792122136145424E-2</v>
      </c>
      <c r="U227" s="13">
        <f>((((VLOOKUP(B227,Database!$F:$AY,MATCH($U$1,Database!$F$1:$AY$1,),))))-(((VLOOKUP(EDATE(B227,-12),Database!$F:$AY,MATCH($U$1,Database!$F$1:$AY$1,),)))))/(((VLOOKUP(EDATE(B227,-12),Database!$F:$AY,MATCH($U$1,Database!$F$1:$AY$1,),))))</f>
        <v>9.4775083431274013E-2</v>
      </c>
      <c r="V227" s="13">
        <f>((((VLOOKUP(B227,Database!$F:$AY,MATCH($V$1,Database!$F$1:$AY$1,),))))-(((VLOOKUP(EDATE(B227,-12),Database!$F:$AY,MATCH($V$1,Database!$F$1:$AY$1,),)))))/(((VLOOKUP(EDATE(B227,-12),Database!$F:$AY,MATCH($V$1,Database!$F$1:$AY$1,),))))</f>
        <v>0.12107623318385641</v>
      </c>
    </row>
    <row r="228" spans="1:22" s="85" customFormat="1" x14ac:dyDescent="0.2">
      <c r="A228" s="44"/>
      <c r="B228" s="91">
        <v>39083</v>
      </c>
      <c r="C228" s="13">
        <f>((((VLOOKUP(B228,Database!$F:$AY,MATCH($C$1,Database!$F$1:$AY$1,),))))-(((VLOOKUP(EDATE(B228,-12),Database!$F:$AY,MATCH($C$1,Database!$F$1:$AY$1,),)))))/(((VLOOKUP(EDATE(B228,-12),Database!$F:$AY,MATCH($C$1,Database!$F$1:$AY$1,),))))</f>
        <v>1.4155517432528459E-2</v>
      </c>
      <c r="D228" s="13">
        <f>((((VLOOKUP(B228,Database!$F:$AY,MATCH($D$1,Database!$F$1:$AY$1,),))))-(((VLOOKUP(EDATE(B228,-12),Database!$F:$AY,MATCH($D$1,Database!$F$1:$AY$1,),)))))/(((VLOOKUP(EDATE(B228,-12),Database!$F:$AY,MATCH($D$1,Database!$F$1:$AY$1,),))))</f>
        <v>4.343567683058671E-2</v>
      </c>
      <c r="E228" s="13">
        <f>((((VLOOKUP(B228,Database!$F:$AY,MATCH($E$1,Database!$F$1:$AY$1,),))))-(((VLOOKUP(EDATE(B228,-12),Database!$F:$AY,MATCH($E$1,Database!$F$1:$AY$1,),)))))/(((VLOOKUP(EDATE(B228,-12),Database!$F:$AY,MATCH($E$1,Database!$F$1:$AY$1,),))))</f>
        <v>3.134166287436746E-2</v>
      </c>
      <c r="F228" s="13">
        <f>((((VLOOKUP(B228,Database!$F:$AY,MATCH($F$1,Database!$F$1:$AY$1,),))))-(((VLOOKUP(EDATE(B228,-12),Database!$F:$AY,MATCH($F$1,Database!$F$1:$AY$1,),)))))/(((VLOOKUP(EDATE(B228,-12),Database!$F:$AY,MATCH($F$1,Database!$F$1:$AY$1,),))))</f>
        <v>8.4378517254001681E-2</v>
      </c>
      <c r="G228" s="13">
        <f>((((VLOOKUP(B228,Database!$F:$AY,MATCH($G$1,Database!$F$1:$AY$1,),))))-(((VLOOKUP(EDATE(B228,-12),Database!$F:$AY,MATCH($G$1,Database!$F$1:$AY$1,),)))))/(((VLOOKUP(EDATE(B228,-12),Database!$F:$AY,MATCH($G$1,Database!$F$1:$AY$1,),))))</f>
        <v>7.0574886740878981E-3</v>
      </c>
      <c r="H228" s="13">
        <f>((((VLOOKUP(B228,Database!$F:$AY,MATCH($H$1,Database!$F$1:$AY$1,),))))-(((VLOOKUP(EDATE(B228,-12),Database!$F:$AY,MATCH($H$1,Database!$F$1:$AY$1,),)))))/(((VLOOKUP(EDATE(B228,-12),Database!$F:$AY,MATCH($H$1,Database!$F$1:$AY$1,),))))</f>
        <v>9.5516352219192913E-3</v>
      </c>
      <c r="I228" s="13">
        <f>((((VLOOKUP(B228,Database!$F:$AY,MATCH($I$1,Database!$F$1:$AY$1,),))))-(((VLOOKUP(EDATE(B228,-12),Database!$F:$AY,MATCH($I$1,Database!$F$1:$AY$1,),)))))/(((VLOOKUP(EDATE(B228,-12),Database!$F:$AY,MATCH($I$1,Database!$F$1:$AY$1,),))))</f>
        <v>4.8241962943761485E-2</v>
      </c>
      <c r="J228" s="13">
        <f>((((VLOOKUP(B228,Database!$F:$AY,MATCH($J$1,Database!$F$1:$AY$1,),))))-(((VLOOKUP(EDATE(B228,-12),Database!$F:$AY,MATCH($J$1,Database!$F$1:$AY$1,),)))))/(((VLOOKUP(EDATE(B228,-12),Database!$F:$AY,MATCH($J$1,Database!$F$1:$AY$1,),))))</f>
        <v>3.1457894022770064E-2</v>
      </c>
      <c r="K228" s="13">
        <f>((((VLOOKUP(B228,Database!$F:$AY,MATCH($K$1,Database!$F$1:$AY$1,),))))-(((VLOOKUP(EDATE(B228,-12),Database!$F:$AY,MATCH($K$1,Database!$F$1:$AY$1,),)))))/(((VLOOKUP(EDATE(B228,-12),Database!$F:$AY,MATCH($K$1,Database!$F$1:$AY$1,),))))</f>
        <v>3.3717834960070962E-2</v>
      </c>
      <c r="L228" s="13">
        <f>((((VLOOKUP(B228,Database!$F:$AY,MATCH($L$1,Database!$F$1:$AY$1,),))))-(((VLOOKUP(EDATE(B228,-12),Database!$F:$AY,MATCH($L$1,Database!$F$1:$AY$1,),)))))/(((VLOOKUP(EDATE(B228,-12),Database!$F:$AY,MATCH($L$1,Database!$F$1:$AY$1,),))))</f>
        <v>1.0724792008518952E-2</v>
      </c>
      <c r="M228" s="13">
        <f>((((VLOOKUP(B228,Database!$F:$AY,MATCH($M$1,Database!$F$1:$AY$1,),))))-(((VLOOKUP(EDATE(B228,-12),Database!$F:$AY,MATCH($M$1,Database!$F$1:$AY$1,),)))))/(((VLOOKUP(EDATE(B228,-12),Database!$F:$AY,MATCH($M$1,Database!$F$1:$AY$1,),))))</f>
        <v>9.4629156010230073E-2</v>
      </c>
      <c r="N228" s="13">
        <f>((((VLOOKUP(B228,Database!$F:$AY,MATCH($N$1,Database!$F$1:$AY$1,),))))-(((VLOOKUP(EDATE(B228,-12),Database!$F:$AY,MATCH($N$1,Database!$F$1:$AY$1,),)))))/(((VLOOKUP(EDATE(B228,-12),Database!$F:$AY,MATCH($N$1,Database!$F$1:$AY$1,),))))</f>
        <v>0.13921890497560876</v>
      </c>
      <c r="O228" s="13">
        <f>((((VLOOKUP(B228,Database!$F:$AY,MATCH($O$1,Database!$F$1:$AY$1,),))))-(((VLOOKUP(EDATE(B228,-12),Database!$F:$AY,MATCH($O$1,Database!$F$1:$AY$1,),)))))/(((VLOOKUP(EDATE(B228,-12),Database!$F:$AY,MATCH($O$1,Database!$F$1:$AY$1,),))))</f>
        <v>-3.5595565279382464E-2</v>
      </c>
      <c r="P228" s="13">
        <f>((((VLOOKUP(B228,Database!$F:$AY,MATCH($P$1,Database!$F$1:$AY$1,),))))-(((VLOOKUP(EDATE(B228,-12),Database!$F:$AY,MATCH($P$1,Database!$F$1:$AY$1,),)))))/(((VLOOKUP(EDATE(B228,-12),Database!$F:$AY,MATCH($P$1,Database!$F$1:$AY$1,),))))</f>
        <v>2.7609612412381457E-2</v>
      </c>
      <c r="Q228" s="13">
        <f>((((VLOOKUP(B228,Database!$F:$AY,MATCH($Q$1,Database!$F$1:$AY$1,),))))-(((VLOOKUP(EDATE(B228,-12),Database!$F:$AY,MATCH($Q$1,Database!$F$1:$AY$1,),)))))/(((VLOOKUP(EDATE(B228,-12),Database!$F:$AY,MATCH($Q$1,Database!$F$1:$AY$1,),))))</f>
        <v>2.0925060669202279E-2</v>
      </c>
      <c r="R228" s="13">
        <f>((((VLOOKUP(B228,Database!$F:$AY,MATCH($R$1,Database!$F$1:$AY$1,),))))-(((VLOOKUP(EDATE(B228,-12),Database!$F:$AY,MATCH($R$1,Database!$F$1:$AY$1,),)))))/(((VLOOKUP(EDATE(B228,-12),Database!$F:$AY,MATCH($R$1,Database!$F$1:$AY$1,),))))</f>
        <v>8.7082623144245169E-2</v>
      </c>
      <c r="S228" s="13">
        <f>((((VLOOKUP(B228,Database!$F:$AY,MATCH($S$1,Database!$F$1:$AY$1,),))))-(((VLOOKUP(EDATE(B228,-12),Database!$F:$AY,MATCH($S$1,Database!$F$1:$AY$1,),)))))/(((VLOOKUP(EDATE(B228,-12),Database!$F:$AY,MATCH($S$1,Database!$F$1:$AY$1,),))))</f>
        <v>8.4906177268623401E-3</v>
      </c>
      <c r="T228" s="13">
        <f>((((VLOOKUP(B228,Database!$F:$AY,MATCH($T$1,Database!$F$1:$AY$1,),))))-(((VLOOKUP(EDATE(B228,-12),Database!$F:$AY,MATCH($T$1,Database!$F$1:$AY$1,),)))))/(((VLOOKUP(EDATE(B228,-12),Database!$F:$AY,MATCH($T$1,Database!$F$1:$AY$1,),))))</f>
        <v>0.11755229863742284</v>
      </c>
      <c r="U228" s="13">
        <f>((((VLOOKUP(B228,Database!$F:$AY,MATCH($U$1,Database!$F$1:$AY$1,),))))-(((VLOOKUP(EDATE(B228,-12),Database!$F:$AY,MATCH($U$1,Database!$F$1:$AY$1,),)))))/(((VLOOKUP(EDATE(B228,-12),Database!$F:$AY,MATCH($U$1,Database!$F$1:$AY$1,),))))</f>
        <v>0.12038144138916115</v>
      </c>
      <c r="V228" s="13">
        <f>((((VLOOKUP(B228,Database!$F:$AY,MATCH($V$1,Database!$F$1:$AY$1,),))))-(((VLOOKUP(EDATE(B228,-12),Database!$F:$AY,MATCH($V$1,Database!$F$1:$AY$1,),)))))/(((VLOOKUP(EDATE(B228,-12),Database!$F:$AY,MATCH($V$1,Database!$F$1:$AY$1,),))))</f>
        <v>0.14285714285714304</v>
      </c>
    </row>
    <row r="229" spans="1:22" s="85" customFormat="1" x14ac:dyDescent="0.2">
      <c r="A229" s="44"/>
      <c r="B229" s="91">
        <v>39114</v>
      </c>
      <c r="C229" s="13">
        <f>((((VLOOKUP(B229,Database!$F:$AY,MATCH($C$1,Database!$F$1:$AY$1,),))))-(((VLOOKUP(EDATE(B229,-12),Database!$F:$AY,MATCH($C$1,Database!$F$1:$AY$1,),)))))/(((VLOOKUP(EDATE(B229,-12),Database!$F:$AY,MATCH($C$1,Database!$F$1:$AY$1,),))))</f>
        <v>2.4335436296532249E-2</v>
      </c>
      <c r="D229" s="13">
        <f>((((VLOOKUP(B229,Database!$F:$AY,MATCH($D$1,Database!$F$1:$AY$1,),))))-(((VLOOKUP(EDATE(B229,-12),Database!$F:$AY,MATCH($D$1,Database!$F$1:$AY$1,),)))))/(((VLOOKUP(EDATE(B229,-12),Database!$F:$AY,MATCH($D$1,Database!$F$1:$AY$1,),))))</f>
        <v>4.9358678792414547E-2</v>
      </c>
      <c r="E229" s="13">
        <f>((((VLOOKUP(B229,Database!$F:$AY,MATCH($E$1,Database!$F$1:$AY$1,),))))-(((VLOOKUP(EDATE(B229,-12),Database!$F:$AY,MATCH($E$1,Database!$F$1:$AY$1,),)))))/(((VLOOKUP(EDATE(B229,-12),Database!$F:$AY,MATCH($E$1,Database!$F$1:$AY$1,),))))</f>
        <v>3.9254883159026699E-2</v>
      </c>
      <c r="F229" s="13">
        <f>((((VLOOKUP(B229,Database!$F:$AY,MATCH($F$1,Database!$F$1:$AY$1,),))))-(((VLOOKUP(EDATE(B229,-12),Database!$F:$AY,MATCH($F$1,Database!$F$1:$AY$1,),)))))/(((VLOOKUP(EDATE(B229,-12),Database!$F:$AY,MATCH($F$1,Database!$F$1:$AY$1,),))))</f>
        <v>8.2766421011274779E-2</v>
      </c>
      <c r="G229" s="13">
        <f>((((VLOOKUP(B229,Database!$F:$AY,MATCH($G$1,Database!$F$1:$AY$1,),))))-(((VLOOKUP(EDATE(B229,-12),Database!$F:$AY,MATCH($G$1,Database!$F$1:$AY$1,),)))))/(((VLOOKUP(EDATE(B229,-12),Database!$F:$AY,MATCH($G$1,Database!$F$1:$AY$1,),))))</f>
        <v>2.32323167904053E-2</v>
      </c>
      <c r="H229" s="13">
        <f>((((VLOOKUP(B229,Database!$F:$AY,MATCH($H$1,Database!$F$1:$AY$1,),))))-(((VLOOKUP(EDATE(B229,-12),Database!$F:$AY,MATCH($H$1,Database!$F$1:$AY$1,),)))))/(((VLOOKUP(EDATE(B229,-12),Database!$F:$AY,MATCH($H$1,Database!$F$1:$AY$1,),))))</f>
        <v>7.684977007984789E-3</v>
      </c>
      <c r="I229" s="13">
        <f>((((VLOOKUP(B229,Database!$F:$AY,MATCH($I$1,Database!$F$1:$AY$1,),))))-(((VLOOKUP(EDATE(B229,-12),Database!$F:$AY,MATCH($I$1,Database!$F$1:$AY$1,),)))))/(((VLOOKUP(EDATE(B229,-12),Database!$F:$AY,MATCH($I$1,Database!$F$1:$AY$1,),))))</f>
        <v>3.5313541419187328E-2</v>
      </c>
      <c r="J229" s="13">
        <f>((((VLOOKUP(B229,Database!$F:$AY,MATCH($J$1,Database!$F$1:$AY$1,),))))-(((VLOOKUP(EDATE(B229,-12),Database!$F:$AY,MATCH($J$1,Database!$F$1:$AY$1,),)))))/(((VLOOKUP(EDATE(B229,-12),Database!$F:$AY,MATCH($J$1,Database!$F$1:$AY$1,),))))</f>
        <v>2.9340055690920776E-2</v>
      </c>
      <c r="K229" s="13">
        <f>((((VLOOKUP(B229,Database!$F:$AY,MATCH($K$1,Database!$F$1:$AY$1,),))))-(((VLOOKUP(EDATE(B229,-12),Database!$F:$AY,MATCH($K$1,Database!$F$1:$AY$1,),)))))/(((VLOOKUP(EDATE(B229,-12),Database!$F:$AY,MATCH($K$1,Database!$F$1:$AY$1,),))))</f>
        <v>6.4195298372513643E-2</v>
      </c>
      <c r="L229" s="13">
        <f>((((VLOOKUP(B229,Database!$F:$AY,MATCH($L$1,Database!$F$1:$AY$1,),))))-(((VLOOKUP(EDATE(B229,-12),Database!$F:$AY,MATCH($L$1,Database!$F$1:$AY$1,),)))))/(((VLOOKUP(EDATE(B229,-12),Database!$F:$AY,MATCH($L$1,Database!$F$1:$AY$1,),))))</f>
        <v>2.5342505219960901E-2</v>
      </c>
      <c r="M229" s="13">
        <f>((((VLOOKUP(B229,Database!$F:$AY,MATCH($M$1,Database!$F$1:$AY$1,),))))-(((VLOOKUP(EDATE(B229,-12),Database!$F:$AY,MATCH($M$1,Database!$F$1:$AY$1,),)))))/(((VLOOKUP(EDATE(B229,-12),Database!$F:$AY,MATCH($M$1,Database!$F$1:$AY$1,),))))</f>
        <v>7.7313054499366207E-2</v>
      </c>
      <c r="N229" s="13">
        <f>((((VLOOKUP(B229,Database!$F:$AY,MATCH($N$1,Database!$F$1:$AY$1,),))))-(((VLOOKUP(EDATE(B229,-12),Database!$F:$AY,MATCH($N$1,Database!$F$1:$AY$1,),)))))/(((VLOOKUP(EDATE(B229,-12),Database!$F:$AY,MATCH($N$1,Database!$F$1:$AY$1,),))))</f>
        <v>0.1405064105417293</v>
      </c>
      <c r="O229" s="13">
        <f>((((VLOOKUP(B229,Database!$F:$AY,MATCH($O$1,Database!$F$1:$AY$1,),))))-(((VLOOKUP(EDATE(B229,-12),Database!$F:$AY,MATCH($O$1,Database!$F$1:$AY$1,),)))))/(((VLOOKUP(EDATE(B229,-12),Database!$F:$AY,MATCH($O$1,Database!$F$1:$AY$1,),))))</f>
        <v>-2.2940149104858271E-2</v>
      </c>
      <c r="P229" s="13">
        <f>((((VLOOKUP(B229,Database!$F:$AY,MATCH($P$1,Database!$F$1:$AY$1,),))))-(((VLOOKUP(EDATE(B229,-12),Database!$F:$AY,MATCH($P$1,Database!$F$1:$AY$1,),)))))/(((VLOOKUP(EDATE(B229,-12),Database!$F:$AY,MATCH($P$1,Database!$F$1:$AY$1,),))))</f>
        <v>6.0095584597589992E-2</v>
      </c>
      <c r="Q229" s="13">
        <f>((((VLOOKUP(B229,Database!$F:$AY,MATCH($Q$1,Database!$F$1:$AY$1,),))))-(((VLOOKUP(EDATE(B229,-12),Database!$F:$AY,MATCH($Q$1,Database!$F$1:$AY$1,),)))))/(((VLOOKUP(EDATE(B229,-12),Database!$F:$AY,MATCH($Q$1,Database!$F$1:$AY$1,),))))</f>
        <v>2.7351835529264207E-2</v>
      </c>
      <c r="R229" s="13">
        <f>((((VLOOKUP(B229,Database!$F:$AY,MATCH($R$1,Database!$F$1:$AY$1,),))))-(((VLOOKUP(EDATE(B229,-12),Database!$F:$AY,MATCH($R$1,Database!$F$1:$AY$1,),)))))/(((VLOOKUP(EDATE(B229,-12),Database!$F:$AY,MATCH($R$1,Database!$F$1:$AY$1,),))))</f>
        <v>4.6544352094259278E-2</v>
      </c>
      <c r="S229" s="13">
        <f>((((VLOOKUP(B229,Database!$F:$AY,MATCH($S$1,Database!$F$1:$AY$1,),))))-(((VLOOKUP(EDATE(B229,-12),Database!$F:$AY,MATCH($S$1,Database!$F$1:$AY$1,),)))))/(((VLOOKUP(EDATE(B229,-12),Database!$F:$AY,MATCH($S$1,Database!$F$1:$AY$1,),))))</f>
        <v>0.20264303949541962</v>
      </c>
      <c r="T229" s="13">
        <f>((((VLOOKUP(B229,Database!$F:$AY,MATCH($T$1,Database!$F$1:$AY$1,),))))-(((VLOOKUP(EDATE(B229,-12),Database!$F:$AY,MATCH($T$1,Database!$F$1:$AY$1,),)))))/(((VLOOKUP(EDATE(B229,-12),Database!$F:$AY,MATCH($T$1,Database!$F$1:$AY$1,),))))</f>
        <v>8.4800028930411511E-2</v>
      </c>
      <c r="U229" s="13">
        <f>((((VLOOKUP(B229,Database!$F:$AY,MATCH($U$1,Database!$F$1:$AY$1,),))))-(((VLOOKUP(EDATE(B229,-12),Database!$F:$AY,MATCH($U$1,Database!$F$1:$AY$1,),)))))/(((VLOOKUP(EDATE(B229,-12),Database!$F:$AY,MATCH($U$1,Database!$F$1:$AY$1,),))))</f>
        <v>0.13454545454545461</v>
      </c>
      <c r="V229" s="13">
        <f>((((VLOOKUP(B229,Database!$F:$AY,MATCH($V$1,Database!$F$1:$AY$1,),))))-(((VLOOKUP(EDATE(B229,-12),Database!$F:$AY,MATCH($V$1,Database!$F$1:$AY$1,),)))))/(((VLOOKUP(EDATE(B229,-12),Database!$F:$AY,MATCH($V$1,Database!$F$1:$AY$1,),))))</f>
        <v>0.12084592145015105</v>
      </c>
    </row>
    <row r="230" spans="1:22" s="85" customFormat="1" x14ac:dyDescent="0.2">
      <c r="A230" s="44"/>
      <c r="B230" s="91">
        <v>39142</v>
      </c>
      <c r="C230" s="13">
        <f>((((VLOOKUP(B230,Database!$F:$AY,MATCH($C$1,Database!$F$1:$AY$1,),))))-(((VLOOKUP(EDATE(B230,-12),Database!$F:$AY,MATCH($C$1,Database!$F$1:$AY$1,),)))))/(((VLOOKUP(EDATE(B230,-12),Database!$F:$AY,MATCH($C$1,Database!$F$1:$AY$1,),))))</f>
        <v>2.4458112354884161E-2</v>
      </c>
      <c r="D230" s="13">
        <f>((((VLOOKUP(B230,Database!$F:$AY,MATCH($D$1,Database!$F$1:$AY$1,),))))-(((VLOOKUP(EDATE(B230,-12),Database!$F:$AY,MATCH($D$1,Database!$F$1:$AY$1,),)))))/(((VLOOKUP(EDATE(B230,-12),Database!$F:$AY,MATCH($D$1,Database!$F$1:$AY$1,),))))</f>
        <v>4.705882352941175E-2</v>
      </c>
      <c r="E230" s="13">
        <f>((((VLOOKUP(B230,Database!$F:$AY,MATCH($E$1,Database!$F$1:$AY$1,),))))-(((VLOOKUP(EDATE(B230,-12),Database!$F:$AY,MATCH($E$1,Database!$F$1:$AY$1,),)))))/(((VLOOKUP(EDATE(B230,-12),Database!$F:$AY,MATCH($E$1,Database!$F$1:$AY$1,),))))</f>
        <v>3.2163674516204312E-2</v>
      </c>
      <c r="F230" s="13">
        <f>((((VLOOKUP(B230,Database!$F:$AY,MATCH($F$1,Database!$F$1:$AY$1,),))))-(((VLOOKUP(EDATE(B230,-12),Database!$F:$AY,MATCH($F$1,Database!$F$1:$AY$1,),)))))/(((VLOOKUP(EDATE(B230,-12),Database!$F:$AY,MATCH($F$1,Database!$F$1:$AY$1,),))))</f>
        <v>9.8398127441278946E-2</v>
      </c>
      <c r="G230" s="13">
        <f>((((VLOOKUP(B230,Database!$F:$AY,MATCH($G$1,Database!$F$1:$AY$1,),))))-(((VLOOKUP(EDATE(B230,-12),Database!$F:$AY,MATCH($G$1,Database!$F$1:$AY$1,),)))))/(((VLOOKUP(EDATE(B230,-12),Database!$F:$AY,MATCH($G$1,Database!$F$1:$AY$1,),))))</f>
        <v>1.2165569827239958E-2</v>
      </c>
      <c r="H230" s="13">
        <f>((((VLOOKUP(B230,Database!$F:$AY,MATCH($H$1,Database!$F$1:$AY$1,),))))-(((VLOOKUP(EDATE(B230,-12),Database!$F:$AY,MATCH($H$1,Database!$F$1:$AY$1,),)))))/(((VLOOKUP(EDATE(B230,-12),Database!$F:$AY,MATCH($H$1,Database!$F$1:$AY$1,),))))</f>
        <v>3.8277803021854384E-3</v>
      </c>
      <c r="I230" s="13">
        <f>((((VLOOKUP(B230,Database!$F:$AY,MATCH($I$1,Database!$F$1:$AY$1,),))))-(((VLOOKUP(EDATE(B230,-12),Database!$F:$AY,MATCH($I$1,Database!$F$1:$AY$1,),)))))/(((VLOOKUP(EDATE(B230,-12),Database!$F:$AY,MATCH($I$1,Database!$F$1:$AY$1,),))))</f>
        <v>3.6741071143289818E-2</v>
      </c>
      <c r="J230" s="13">
        <f>((((VLOOKUP(B230,Database!$F:$AY,MATCH($J$1,Database!$F$1:$AY$1,),))))-(((VLOOKUP(EDATE(B230,-12),Database!$F:$AY,MATCH($J$1,Database!$F$1:$AY$1,),)))))/(((VLOOKUP(EDATE(B230,-12),Database!$F:$AY,MATCH($J$1,Database!$F$1:$AY$1,),))))</f>
        <v>3.9557728129829772E-2</v>
      </c>
      <c r="K230" s="13">
        <f>((((VLOOKUP(B230,Database!$F:$AY,MATCH($K$1,Database!$F$1:$AY$1,),))))-(((VLOOKUP(EDATE(B230,-12),Database!$F:$AY,MATCH($K$1,Database!$F$1:$AY$1,),)))))/(((VLOOKUP(EDATE(B230,-12),Database!$F:$AY,MATCH($K$1,Database!$F$1:$AY$1,),))))</f>
        <v>7.0080862533692695E-2</v>
      </c>
      <c r="L230" s="13">
        <f>((((VLOOKUP(B230,Database!$F:$AY,MATCH($L$1,Database!$F$1:$AY$1,),))))-(((VLOOKUP(EDATE(B230,-12),Database!$F:$AY,MATCH($L$1,Database!$F$1:$AY$1,),)))))/(((VLOOKUP(EDATE(B230,-12),Database!$F:$AY,MATCH($L$1,Database!$F$1:$AY$1,),))))</f>
        <v>2.4162846168913222E-2</v>
      </c>
      <c r="M230" s="13">
        <f>((((VLOOKUP(B230,Database!$F:$AY,MATCH($M$1,Database!$F$1:$AY$1,),))))-(((VLOOKUP(EDATE(B230,-12),Database!$F:$AY,MATCH($M$1,Database!$F$1:$AY$1,),)))))/(((VLOOKUP(EDATE(B230,-12),Database!$F:$AY,MATCH($M$1,Database!$F$1:$AY$1,),))))</f>
        <v>7.615480649188526E-2</v>
      </c>
      <c r="N230" s="13">
        <f>((((VLOOKUP(B230,Database!$F:$AY,MATCH($N$1,Database!$F$1:$AY$1,),))))-(((VLOOKUP(EDATE(B230,-12),Database!$F:$AY,MATCH($N$1,Database!$F$1:$AY$1,),)))))/(((VLOOKUP(EDATE(B230,-12),Database!$F:$AY,MATCH($N$1,Database!$F$1:$AY$1,),))))</f>
        <v>0.14371227587254218</v>
      </c>
      <c r="O230" s="13">
        <f>((((VLOOKUP(B230,Database!$F:$AY,MATCH($O$1,Database!$F$1:$AY$1,),))))-(((VLOOKUP(EDATE(B230,-12),Database!$F:$AY,MATCH($O$1,Database!$F$1:$AY$1,),)))))/(((VLOOKUP(EDATE(B230,-12),Database!$F:$AY,MATCH($O$1,Database!$F$1:$AY$1,),))))</f>
        <v>-2.2600242295886423E-2</v>
      </c>
      <c r="P230" s="13">
        <f>((((VLOOKUP(B230,Database!$F:$AY,MATCH($P$1,Database!$F$1:$AY$1,),))))-(((VLOOKUP(EDATE(B230,-12),Database!$F:$AY,MATCH($P$1,Database!$F$1:$AY$1,),)))))/(((VLOOKUP(EDATE(B230,-12),Database!$F:$AY,MATCH($P$1,Database!$F$1:$AY$1,),))))</f>
        <v>3.6360372905354203E-2</v>
      </c>
      <c r="Q230" s="13">
        <f>((((VLOOKUP(B230,Database!$F:$AY,MATCH($Q$1,Database!$F$1:$AY$1,),))))-(((VLOOKUP(EDATE(B230,-12),Database!$F:$AY,MATCH($Q$1,Database!$F$1:$AY$1,),)))))/(((VLOOKUP(EDATE(B230,-12),Database!$F:$AY,MATCH($Q$1,Database!$F$1:$AY$1,),))))</f>
        <v>4.6306030990452135E-2</v>
      </c>
      <c r="R230" s="13">
        <f>((((VLOOKUP(B230,Database!$F:$AY,MATCH($R$1,Database!$F$1:$AY$1,),))))-(((VLOOKUP(EDATE(B230,-12),Database!$F:$AY,MATCH($R$1,Database!$F$1:$AY$1,),)))))/(((VLOOKUP(EDATE(B230,-12),Database!$F:$AY,MATCH($R$1,Database!$F$1:$AY$1,),))))</f>
        <v>-2.3400286775988748E-2</v>
      </c>
      <c r="S230" s="13">
        <f>((((VLOOKUP(B230,Database!$F:$AY,MATCH($S$1,Database!$F$1:$AY$1,),))))-(((VLOOKUP(EDATE(B230,-12),Database!$F:$AY,MATCH($S$1,Database!$F$1:$AY$1,),)))))/(((VLOOKUP(EDATE(B230,-12),Database!$F:$AY,MATCH($S$1,Database!$F$1:$AY$1,),))))</f>
        <v>8.1429931966193247E-2</v>
      </c>
      <c r="T230" s="13">
        <f>((((VLOOKUP(B230,Database!$F:$AY,MATCH($T$1,Database!$F$1:$AY$1,),))))-(((VLOOKUP(EDATE(B230,-12),Database!$F:$AY,MATCH($T$1,Database!$F$1:$AY$1,),)))))/(((VLOOKUP(EDATE(B230,-12),Database!$F:$AY,MATCH($T$1,Database!$F$1:$AY$1,),))))</f>
        <v>7.4882993372614781E-2</v>
      </c>
      <c r="U230" s="13">
        <f>((((VLOOKUP(B230,Database!$F:$AY,MATCH($U$1,Database!$F$1:$AY$1,),))))-(((VLOOKUP(EDATE(B230,-12),Database!$F:$AY,MATCH($U$1,Database!$F$1:$AY$1,),)))))/(((VLOOKUP(EDATE(B230,-12),Database!$F:$AY,MATCH($U$1,Database!$F$1:$AY$1,),))))</f>
        <v>0.12619055556878514</v>
      </c>
      <c r="V230" s="13">
        <f>((((VLOOKUP(B230,Database!$F:$AY,MATCH($V$1,Database!$F$1:$AY$1,),))))-(((VLOOKUP(EDATE(B230,-12),Database!$F:$AY,MATCH($V$1,Database!$F$1:$AY$1,),)))))/(((VLOOKUP(EDATE(B230,-12),Database!$F:$AY,MATCH($V$1,Database!$F$1:$AY$1,),))))</f>
        <v>0.13343328335832069</v>
      </c>
    </row>
    <row r="231" spans="1:22" s="85" customFormat="1" x14ac:dyDescent="0.2">
      <c r="A231" s="44"/>
      <c r="B231" s="91">
        <v>39173</v>
      </c>
      <c r="C231" s="13">
        <f>((((VLOOKUP(B231,Database!$F:$AY,MATCH($C$1,Database!$F$1:$AY$1,),))))-(((VLOOKUP(EDATE(B231,-12),Database!$F:$AY,MATCH($C$1,Database!$F$1:$AY$1,),)))))/(((VLOOKUP(EDATE(B231,-12),Database!$F:$AY,MATCH($C$1,Database!$F$1:$AY$1,),))))</f>
        <v>2.7538179666876512E-2</v>
      </c>
      <c r="D231" s="13">
        <f>((((VLOOKUP(B231,Database!$F:$AY,MATCH($D$1,Database!$F$1:$AY$1,),))))-(((VLOOKUP(EDATE(B231,-12),Database!$F:$AY,MATCH($D$1,Database!$F$1:$AY$1,),)))))/(((VLOOKUP(EDATE(B231,-12),Database!$F:$AY,MATCH($D$1,Database!$F$1:$AY$1,),))))</f>
        <v>3.1279880332019956E-2</v>
      </c>
      <c r="E231" s="13">
        <f>((((VLOOKUP(B231,Database!$F:$AY,MATCH($E$1,Database!$F$1:$AY$1,),))))-(((VLOOKUP(EDATE(B231,-12),Database!$F:$AY,MATCH($E$1,Database!$F$1:$AY$1,),)))))/(((VLOOKUP(EDATE(B231,-12),Database!$F:$AY,MATCH($E$1,Database!$F$1:$AY$1,),))))</f>
        <v>1.0526593824562756E-2</v>
      </c>
      <c r="F231" s="13">
        <f>((((VLOOKUP(B231,Database!$F:$AY,MATCH($F$1,Database!$F$1:$AY$1,),))))-(((VLOOKUP(EDATE(B231,-12),Database!$F:$AY,MATCH($F$1,Database!$F$1:$AY$1,),)))))/(((VLOOKUP(EDATE(B231,-12),Database!$F:$AY,MATCH($F$1,Database!$F$1:$AY$1,),))))</f>
        <v>6.3758445194817645E-2</v>
      </c>
      <c r="G231" s="13">
        <f>((((VLOOKUP(B231,Database!$F:$AY,MATCH($G$1,Database!$F$1:$AY$1,),))))-(((VLOOKUP(EDATE(B231,-12),Database!$F:$AY,MATCH($G$1,Database!$F$1:$AY$1,),)))))/(((VLOOKUP(EDATE(B231,-12),Database!$F:$AY,MATCH($G$1,Database!$F$1:$AY$1,),))))</f>
        <v>4.4955579392000209E-4</v>
      </c>
      <c r="H231" s="13">
        <f>((((VLOOKUP(B231,Database!$F:$AY,MATCH($H$1,Database!$F$1:$AY$1,),))))-(((VLOOKUP(EDATE(B231,-12),Database!$F:$AY,MATCH($H$1,Database!$F$1:$AY$1,),)))))/(((VLOOKUP(EDATE(B231,-12),Database!$F:$AY,MATCH($H$1,Database!$F$1:$AY$1,),))))</f>
        <v>5.7688104525770384E-3</v>
      </c>
      <c r="I231" s="13">
        <f>((((VLOOKUP(B231,Database!$F:$AY,MATCH($I$1,Database!$F$1:$AY$1,),))))-(((VLOOKUP(EDATE(B231,-12),Database!$F:$AY,MATCH($I$1,Database!$F$1:$AY$1,),)))))/(((VLOOKUP(EDATE(B231,-12),Database!$F:$AY,MATCH($I$1,Database!$F$1:$AY$1,),))))</f>
        <v>2.7397116763115795E-2</v>
      </c>
      <c r="J231" s="13">
        <f>((((VLOOKUP(B231,Database!$F:$AY,MATCH($J$1,Database!$F$1:$AY$1,),))))-(((VLOOKUP(EDATE(B231,-12),Database!$F:$AY,MATCH($J$1,Database!$F$1:$AY$1,),)))))/(((VLOOKUP(EDATE(B231,-12),Database!$F:$AY,MATCH($J$1,Database!$F$1:$AY$1,),))))</f>
        <v>2.0406106134835851E-2</v>
      </c>
      <c r="K231" s="13">
        <f>((((VLOOKUP(B231,Database!$F:$AY,MATCH($K$1,Database!$F$1:$AY$1,),))))-(((VLOOKUP(EDATE(B231,-12),Database!$F:$AY,MATCH($K$1,Database!$F$1:$AY$1,),)))))/(((VLOOKUP(EDATE(B231,-12),Database!$F:$AY,MATCH($K$1,Database!$F$1:$AY$1,),))))</f>
        <v>4.9999999999999947E-2</v>
      </c>
      <c r="L231" s="13">
        <f>((((VLOOKUP(B231,Database!$F:$AY,MATCH($L$1,Database!$F$1:$AY$1,),))))-(((VLOOKUP(EDATE(B231,-12),Database!$F:$AY,MATCH($L$1,Database!$F$1:$AY$1,),)))))/(((VLOOKUP(EDATE(B231,-12),Database!$F:$AY,MATCH($L$1,Database!$F$1:$AY$1,),))))</f>
        <v>1.7923505729327983E-2</v>
      </c>
      <c r="M231" s="13">
        <f>((((VLOOKUP(B231,Database!$F:$AY,MATCH($M$1,Database!$F$1:$AY$1,),))))-(((VLOOKUP(EDATE(B231,-12),Database!$F:$AY,MATCH($M$1,Database!$F$1:$AY$1,),)))))/(((VLOOKUP(EDATE(B231,-12),Database!$F:$AY,MATCH($M$1,Database!$F$1:$AY$1,),))))</f>
        <v>6.8493150684931503E-2</v>
      </c>
      <c r="N231" s="13">
        <f>((((VLOOKUP(B231,Database!$F:$AY,MATCH($N$1,Database!$F$1:$AY$1,),))))-(((VLOOKUP(EDATE(B231,-12),Database!$F:$AY,MATCH($N$1,Database!$F$1:$AY$1,),)))))/(((VLOOKUP(EDATE(B231,-12),Database!$F:$AY,MATCH($N$1,Database!$F$1:$AY$1,),))))</f>
        <v>0.16966787462775648</v>
      </c>
      <c r="O231" s="13">
        <f>((((VLOOKUP(B231,Database!$F:$AY,MATCH($O$1,Database!$F$1:$AY$1,),))))-(((VLOOKUP(EDATE(B231,-12),Database!$F:$AY,MATCH($O$1,Database!$F$1:$AY$1,),)))))/(((VLOOKUP(EDATE(B231,-12),Database!$F:$AY,MATCH($O$1,Database!$F$1:$AY$1,),))))</f>
        <v>-2.0648300207806378E-2</v>
      </c>
      <c r="P231" s="13">
        <f>((((VLOOKUP(B231,Database!$F:$AY,MATCH($P$1,Database!$F$1:$AY$1,),))))-(((VLOOKUP(EDATE(B231,-12),Database!$F:$AY,MATCH($P$1,Database!$F$1:$AY$1,),)))))/(((VLOOKUP(EDATE(B231,-12),Database!$F:$AY,MATCH($P$1,Database!$F$1:$AY$1,),))))</f>
        <v>6.3452908676795719E-2</v>
      </c>
      <c r="Q231" s="13">
        <f>((((VLOOKUP(B231,Database!$F:$AY,MATCH($Q$1,Database!$F$1:$AY$1,),))))-(((VLOOKUP(EDATE(B231,-12),Database!$F:$AY,MATCH($Q$1,Database!$F$1:$AY$1,),)))))/(((VLOOKUP(EDATE(B231,-12),Database!$F:$AY,MATCH($Q$1,Database!$F$1:$AY$1,),))))</f>
        <v>5.0328371082675599E-2</v>
      </c>
      <c r="R231" s="13">
        <f>((((VLOOKUP(B231,Database!$F:$AY,MATCH($R$1,Database!$F$1:$AY$1,),))))-(((VLOOKUP(EDATE(B231,-12),Database!$F:$AY,MATCH($R$1,Database!$F$1:$AY$1,),)))))/(((VLOOKUP(EDATE(B231,-12),Database!$F:$AY,MATCH($R$1,Database!$F$1:$AY$1,),))))</f>
        <v>7.0137846494314855E-4</v>
      </c>
      <c r="S231" s="13">
        <f>((((VLOOKUP(B231,Database!$F:$AY,MATCH($S$1,Database!$F$1:$AY$1,),))))-(((VLOOKUP(EDATE(B231,-12),Database!$F:$AY,MATCH($S$1,Database!$F$1:$AY$1,),)))))/(((VLOOKUP(EDATE(B231,-12),Database!$F:$AY,MATCH($S$1,Database!$F$1:$AY$1,),))))</f>
        <v>3.2535871293460777E-2</v>
      </c>
      <c r="T231" s="13">
        <f>((((VLOOKUP(B231,Database!$F:$AY,MATCH($T$1,Database!$F$1:$AY$1,),))))-(((VLOOKUP(EDATE(B231,-12),Database!$F:$AY,MATCH($T$1,Database!$F$1:$AY$1,),)))))/(((VLOOKUP(EDATE(B231,-12),Database!$F:$AY,MATCH($T$1,Database!$F$1:$AY$1,),))))</f>
        <v>8.9622720132338005E-2</v>
      </c>
      <c r="U231" s="13">
        <f>((((VLOOKUP(B231,Database!$F:$AY,MATCH($U$1,Database!$F$1:$AY$1,),))))-(((VLOOKUP(EDATE(B231,-12),Database!$F:$AY,MATCH($U$1,Database!$F$1:$AY$1,),)))))/(((VLOOKUP(EDATE(B231,-12),Database!$F:$AY,MATCH($U$1,Database!$F$1:$AY$1,),))))</f>
        <v>0.12545239749256162</v>
      </c>
      <c r="V231" s="13">
        <f>((((VLOOKUP(B231,Database!$F:$AY,MATCH($V$1,Database!$F$1:$AY$1,),))))-(((VLOOKUP(EDATE(B231,-12),Database!$F:$AY,MATCH($V$1,Database!$F$1:$AY$1,),)))))/(((VLOOKUP(EDATE(B231,-12),Database!$F:$AY,MATCH($V$1,Database!$F$1:$AY$1,),))))</f>
        <v>0.10044313146233377</v>
      </c>
    </row>
    <row r="232" spans="1:22" s="85" customFormat="1" x14ac:dyDescent="0.2">
      <c r="A232" s="44"/>
      <c r="B232" s="91">
        <v>39203</v>
      </c>
      <c r="C232" s="13">
        <f>((((VLOOKUP(B232,Database!$F:$AY,MATCH($C$1,Database!$F$1:$AY$1,),))))-(((VLOOKUP(EDATE(B232,-12),Database!$F:$AY,MATCH($C$1,Database!$F$1:$AY$1,),)))))/(((VLOOKUP(EDATE(B232,-12),Database!$F:$AY,MATCH($C$1,Database!$F$1:$AY$1,),))))</f>
        <v>2.9073175931354306E-2</v>
      </c>
      <c r="D232" s="13">
        <f>((((VLOOKUP(B232,Database!$F:$AY,MATCH($D$1,Database!$F$1:$AY$1,),))))-(((VLOOKUP(EDATE(B232,-12),Database!$F:$AY,MATCH($D$1,Database!$F$1:$AY$1,),)))))/(((VLOOKUP(EDATE(B232,-12),Database!$F:$AY,MATCH($D$1,Database!$F$1:$AY$1,),))))</f>
        <v>3.4682080924855377E-2</v>
      </c>
      <c r="E232" s="13">
        <f>((((VLOOKUP(B232,Database!$F:$AY,MATCH($E$1,Database!$F$1:$AY$1,),))))-(((VLOOKUP(EDATE(B232,-12),Database!$F:$AY,MATCH($E$1,Database!$F$1:$AY$1,),)))))/(((VLOOKUP(EDATE(B232,-12),Database!$F:$AY,MATCH($E$1,Database!$F$1:$AY$1,),))))</f>
        <v>3.7900572246065786E-2</v>
      </c>
      <c r="F232" s="13">
        <f>((((VLOOKUP(B232,Database!$F:$AY,MATCH($F$1,Database!$F$1:$AY$1,),))))-(((VLOOKUP(EDATE(B232,-12),Database!$F:$AY,MATCH($F$1,Database!$F$1:$AY$1,),)))))/(((VLOOKUP(EDATE(B232,-12),Database!$F:$AY,MATCH($F$1,Database!$F$1:$AY$1,),))))</f>
        <v>6.7254668636106699E-2</v>
      </c>
      <c r="G232" s="13">
        <f>((((VLOOKUP(B232,Database!$F:$AY,MATCH($G$1,Database!$F$1:$AY$1,),))))-(((VLOOKUP(EDATE(B232,-12),Database!$F:$AY,MATCH($G$1,Database!$F$1:$AY$1,),)))))/(((VLOOKUP(EDATE(B232,-12),Database!$F:$AY,MATCH($G$1,Database!$F$1:$AY$1,),))))</f>
        <v>8.2292946963522327E-3</v>
      </c>
      <c r="H232" s="13">
        <f>((((VLOOKUP(B232,Database!$F:$AY,MATCH($H$1,Database!$F$1:$AY$1,),))))-(((VLOOKUP(EDATE(B232,-12),Database!$F:$AY,MATCH($H$1,Database!$F$1:$AY$1,),)))))/(((VLOOKUP(EDATE(B232,-12),Database!$F:$AY,MATCH($H$1,Database!$F$1:$AY$1,),))))</f>
        <v>2.2114853876559145E-2</v>
      </c>
      <c r="I232" s="13">
        <f>((((VLOOKUP(B232,Database!$F:$AY,MATCH($I$1,Database!$F$1:$AY$1,),))))-(((VLOOKUP(EDATE(B232,-12),Database!$F:$AY,MATCH($I$1,Database!$F$1:$AY$1,),)))))/(((VLOOKUP(EDATE(B232,-12),Database!$F:$AY,MATCH($I$1,Database!$F$1:$AY$1,),))))</f>
        <v>2.5196591211549883E-2</v>
      </c>
      <c r="J232" s="13">
        <f>((((VLOOKUP(B232,Database!$F:$AY,MATCH($J$1,Database!$F$1:$AY$1,),))))-(((VLOOKUP(EDATE(B232,-12),Database!$F:$AY,MATCH($J$1,Database!$F$1:$AY$1,),)))))/(((VLOOKUP(EDATE(B232,-12),Database!$F:$AY,MATCH($J$1,Database!$F$1:$AY$1,),))))</f>
        <v>3.5199487786764044E-2</v>
      </c>
      <c r="K232" s="13">
        <f>((((VLOOKUP(B232,Database!$F:$AY,MATCH($K$1,Database!$F$1:$AY$1,),))))-(((VLOOKUP(EDATE(B232,-12),Database!$F:$AY,MATCH($K$1,Database!$F$1:$AY$1,),)))))/(((VLOOKUP(EDATE(B232,-12),Database!$F:$AY,MATCH($K$1,Database!$F$1:$AY$1,),))))</f>
        <v>3.2399299474605979E-2</v>
      </c>
      <c r="L232" s="13">
        <f>((((VLOOKUP(B232,Database!$F:$AY,MATCH($L$1,Database!$F$1:$AY$1,),))))-(((VLOOKUP(EDATE(B232,-12),Database!$F:$AY,MATCH($L$1,Database!$F$1:$AY$1,),)))))/(((VLOOKUP(EDATE(B232,-12),Database!$F:$AY,MATCH($L$1,Database!$F$1:$AY$1,),))))</f>
        <v>5.7346649047743756E-3</v>
      </c>
      <c r="M232" s="13">
        <f>((((VLOOKUP(B232,Database!$F:$AY,MATCH($M$1,Database!$F$1:$AY$1,),))))-(((VLOOKUP(EDATE(B232,-12),Database!$F:$AY,MATCH($M$1,Database!$F$1:$AY$1,),)))))/(((VLOOKUP(EDATE(B232,-12),Database!$F:$AY,MATCH($M$1,Database!$F$1:$AY$1,),))))</f>
        <v>6.8069306930693074E-2</v>
      </c>
      <c r="N232" s="13">
        <f>((((VLOOKUP(B232,Database!$F:$AY,MATCH($N$1,Database!$F$1:$AY$1,),))))-(((VLOOKUP(EDATE(B232,-12),Database!$F:$AY,MATCH($N$1,Database!$F$1:$AY$1,),)))))/(((VLOOKUP(EDATE(B232,-12),Database!$F:$AY,MATCH($N$1,Database!$F$1:$AY$1,),))))</f>
        <v>0.1896461658581908</v>
      </c>
      <c r="O232" s="13">
        <f>((((VLOOKUP(B232,Database!$F:$AY,MATCH($O$1,Database!$F$1:$AY$1,),))))-(((VLOOKUP(EDATE(B232,-12),Database!$F:$AY,MATCH($O$1,Database!$F$1:$AY$1,),)))))/(((VLOOKUP(EDATE(B232,-12),Database!$F:$AY,MATCH($O$1,Database!$F$1:$AY$1,),))))</f>
        <v>-1.5081510665662214E-2</v>
      </c>
      <c r="P232" s="13">
        <f>((((VLOOKUP(B232,Database!$F:$AY,MATCH($P$1,Database!$F$1:$AY$1,),))))-(((VLOOKUP(EDATE(B232,-12),Database!$F:$AY,MATCH($P$1,Database!$F$1:$AY$1,),)))))/(((VLOOKUP(EDATE(B232,-12),Database!$F:$AY,MATCH($P$1,Database!$F$1:$AY$1,),))))</f>
        <v>5.6416932525617532E-2</v>
      </c>
      <c r="Q232" s="13">
        <f>((((VLOOKUP(B232,Database!$F:$AY,MATCH($Q$1,Database!$F$1:$AY$1,),))))-(((VLOOKUP(EDATE(B232,-12),Database!$F:$AY,MATCH($Q$1,Database!$F$1:$AY$1,),)))))/(((VLOOKUP(EDATE(B232,-12),Database!$F:$AY,MATCH($Q$1,Database!$F$1:$AY$1,),))))</f>
        <v>4.4468787033105694E-2</v>
      </c>
      <c r="R232" s="13">
        <f>((((VLOOKUP(B232,Database!$F:$AY,MATCH($R$1,Database!$F$1:$AY$1,),))))-(((VLOOKUP(EDATE(B232,-12),Database!$F:$AY,MATCH($R$1,Database!$F$1:$AY$1,),)))))/(((VLOOKUP(EDATE(B232,-12),Database!$F:$AY,MATCH($R$1,Database!$F$1:$AY$1,),))))</f>
        <v>1.382190997942322E-2</v>
      </c>
      <c r="S232" s="13">
        <f>((((VLOOKUP(B232,Database!$F:$AY,MATCH($S$1,Database!$F$1:$AY$1,),))))-(((VLOOKUP(EDATE(B232,-12),Database!$F:$AY,MATCH($S$1,Database!$F$1:$AY$1,),)))))/(((VLOOKUP(EDATE(B232,-12),Database!$F:$AY,MATCH($S$1,Database!$F$1:$AY$1,),))))</f>
        <v>-7.3873827692948979E-2</v>
      </c>
      <c r="T232" s="13">
        <f>((((VLOOKUP(B232,Database!$F:$AY,MATCH($T$1,Database!$F$1:$AY$1,),))))-(((VLOOKUP(EDATE(B232,-12),Database!$F:$AY,MATCH($T$1,Database!$F$1:$AY$1,),)))))/(((VLOOKUP(EDATE(B232,-12),Database!$F:$AY,MATCH($T$1,Database!$F$1:$AY$1,),))))</f>
        <v>9.8283850791938035E-2</v>
      </c>
      <c r="U232" s="13">
        <f>((((VLOOKUP(B232,Database!$F:$AY,MATCH($U$1,Database!$F$1:$AY$1,),))))-(((VLOOKUP(EDATE(B232,-12),Database!$F:$AY,MATCH($U$1,Database!$F$1:$AY$1,),)))))/(((VLOOKUP(EDATE(B232,-12),Database!$F:$AY,MATCH($U$1,Database!$F$1:$AY$1,),))))</f>
        <v>8.5648186734826159E-2</v>
      </c>
      <c r="V232" s="13">
        <f>((((VLOOKUP(B232,Database!$F:$AY,MATCH($V$1,Database!$F$1:$AY$1,),))))-(((VLOOKUP(EDATE(B232,-12),Database!$F:$AY,MATCH($V$1,Database!$F$1:$AY$1,),)))))/(((VLOOKUP(EDATE(B232,-12),Database!$F:$AY,MATCH($V$1,Database!$F$1:$AY$1,),))))</f>
        <v>8.1896551724137984E-2</v>
      </c>
    </row>
    <row r="233" spans="1:22" s="85" customFormat="1" x14ac:dyDescent="0.2">
      <c r="A233" s="44"/>
      <c r="B233" s="91">
        <v>39234</v>
      </c>
      <c r="C233" s="13">
        <f>((((VLOOKUP(B233,Database!$F:$AY,MATCH($C$1,Database!$F$1:$AY$1,),))))-(((VLOOKUP(EDATE(B233,-12),Database!$F:$AY,MATCH($C$1,Database!$F$1:$AY$1,),)))))/(((VLOOKUP(EDATE(B233,-12),Database!$F:$AY,MATCH($C$1,Database!$F$1:$AY$1,),))))</f>
        <v>2.5423289261207203E-2</v>
      </c>
      <c r="D233" s="13">
        <f>((((VLOOKUP(B233,Database!$F:$AY,MATCH($D$1,Database!$F$1:$AY$1,),))))-(((VLOOKUP(EDATE(B233,-12),Database!$F:$AY,MATCH($D$1,Database!$F$1:$AY$1,),)))))/(((VLOOKUP(EDATE(B233,-12),Database!$F:$AY,MATCH($D$1,Database!$F$1:$AY$1,),))))</f>
        <v>3.5680012191040521E-2</v>
      </c>
      <c r="E233" s="13">
        <f>((((VLOOKUP(B233,Database!$F:$AY,MATCH($E$1,Database!$F$1:$AY$1,),))))-(((VLOOKUP(EDATE(B233,-12),Database!$F:$AY,MATCH($E$1,Database!$F$1:$AY$1,),)))))/(((VLOOKUP(EDATE(B233,-12),Database!$F:$AY,MATCH($E$1,Database!$F$1:$AY$1,),))))</f>
        <v>2.396931588827262E-2</v>
      </c>
      <c r="F233" s="13">
        <f>((((VLOOKUP(B233,Database!$F:$AY,MATCH($F$1,Database!$F$1:$AY$1,),))))-(((VLOOKUP(EDATE(B233,-12),Database!$F:$AY,MATCH($F$1,Database!$F$1:$AY$1,),)))))/(((VLOOKUP(EDATE(B233,-12),Database!$F:$AY,MATCH($F$1,Database!$F$1:$AY$1,),))))</f>
        <v>7.2062105399474538E-2</v>
      </c>
      <c r="G233" s="13">
        <f>((((VLOOKUP(B233,Database!$F:$AY,MATCH($G$1,Database!$F$1:$AY$1,),))))-(((VLOOKUP(EDATE(B233,-12),Database!$F:$AY,MATCH($G$1,Database!$F$1:$AY$1,),)))))/(((VLOOKUP(EDATE(B233,-12),Database!$F:$AY,MATCH($G$1,Database!$F$1:$AY$1,),))))</f>
        <v>6.1158881022932094E-3</v>
      </c>
      <c r="H233" s="13">
        <f>((((VLOOKUP(B233,Database!$F:$AY,MATCH($H$1,Database!$F$1:$AY$1,),))))-(((VLOOKUP(EDATE(B233,-12),Database!$F:$AY,MATCH($H$1,Database!$F$1:$AY$1,),)))))/(((VLOOKUP(EDATE(B233,-12),Database!$F:$AY,MATCH($H$1,Database!$F$1:$AY$1,),))))</f>
        <v>3.8159029040197366E-3</v>
      </c>
      <c r="I233" s="13">
        <f>((((VLOOKUP(B233,Database!$F:$AY,MATCH($I$1,Database!$F$1:$AY$1,),))))-(((VLOOKUP(EDATE(B233,-12),Database!$F:$AY,MATCH($I$1,Database!$F$1:$AY$1,),)))))/(((VLOOKUP(EDATE(B233,-12),Database!$F:$AY,MATCH($I$1,Database!$F$1:$AY$1,),))))</f>
        <v>1.5698323408384007E-2</v>
      </c>
      <c r="J233" s="13">
        <f>((((VLOOKUP(B233,Database!$F:$AY,MATCH($J$1,Database!$F$1:$AY$1,),))))-(((VLOOKUP(EDATE(B233,-12),Database!$F:$AY,MATCH($J$1,Database!$F$1:$AY$1,),)))))/(((VLOOKUP(EDATE(B233,-12),Database!$F:$AY,MATCH($J$1,Database!$F$1:$AY$1,),))))</f>
        <v>3.2115122335595825E-2</v>
      </c>
      <c r="K233" s="13">
        <f>((((VLOOKUP(B233,Database!$F:$AY,MATCH($K$1,Database!$F$1:$AY$1,),))))-(((VLOOKUP(EDATE(B233,-12),Database!$F:$AY,MATCH($K$1,Database!$F$1:$AY$1,),)))))/(((VLOOKUP(EDATE(B233,-12),Database!$F:$AY,MATCH($K$1,Database!$F$1:$AY$1,),))))</f>
        <v>5.089285714285717E-2</v>
      </c>
      <c r="L233" s="13">
        <f>((((VLOOKUP(B233,Database!$F:$AY,MATCH($L$1,Database!$F$1:$AY$1,),))))-(((VLOOKUP(EDATE(B233,-12),Database!$F:$AY,MATCH($L$1,Database!$F$1:$AY$1,),)))))/(((VLOOKUP(EDATE(B233,-12),Database!$F:$AY,MATCH($L$1,Database!$F$1:$AY$1,),))))</f>
        <v>9.7318236933687952E-3</v>
      </c>
      <c r="M233" s="13">
        <f>((((VLOOKUP(B233,Database!$F:$AY,MATCH($M$1,Database!$F$1:$AY$1,),))))-(((VLOOKUP(EDATE(B233,-12),Database!$F:$AY,MATCH($M$1,Database!$F$1:$AY$1,),)))))/(((VLOOKUP(EDATE(B233,-12),Database!$F:$AY,MATCH($M$1,Database!$F$1:$AY$1,),))))</f>
        <v>7.9110012360939314E-2</v>
      </c>
      <c r="N233" s="13">
        <f>((((VLOOKUP(B233,Database!$F:$AY,MATCH($N$1,Database!$F$1:$AY$1,),))))-(((VLOOKUP(EDATE(B233,-12),Database!$F:$AY,MATCH($N$1,Database!$F$1:$AY$1,),)))))/(((VLOOKUP(EDATE(B233,-12),Database!$F:$AY,MATCH($N$1,Database!$F$1:$AY$1,),))))</f>
        <v>0.19532355768351606</v>
      </c>
      <c r="O233" s="13">
        <f>((((VLOOKUP(B233,Database!$F:$AY,MATCH($O$1,Database!$F$1:$AY$1,),))))-(((VLOOKUP(EDATE(B233,-12),Database!$F:$AY,MATCH($O$1,Database!$F$1:$AY$1,),)))))/(((VLOOKUP(EDATE(B233,-12),Database!$F:$AY,MATCH($O$1,Database!$F$1:$AY$1,),))))</f>
        <v>-7.0735675001599701E-3</v>
      </c>
      <c r="P233" s="13">
        <f>((((VLOOKUP(B233,Database!$F:$AY,MATCH($P$1,Database!$F$1:$AY$1,),))))-(((VLOOKUP(EDATE(B233,-12),Database!$F:$AY,MATCH($P$1,Database!$F$1:$AY$1,),)))))/(((VLOOKUP(EDATE(B233,-12),Database!$F:$AY,MATCH($P$1,Database!$F$1:$AY$1,),))))</f>
        <v>6.3394367370247798E-2</v>
      </c>
      <c r="Q233" s="13">
        <f>((((VLOOKUP(B233,Database!$F:$AY,MATCH($Q$1,Database!$F$1:$AY$1,),))))-(((VLOOKUP(EDATE(B233,-12),Database!$F:$AY,MATCH($Q$1,Database!$F$1:$AY$1,),)))))/(((VLOOKUP(EDATE(B233,-12),Database!$F:$AY,MATCH($Q$1,Database!$F$1:$AY$1,),))))</f>
        <v>7.0640297208274097E-2</v>
      </c>
      <c r="R233" s="13">
        <f>((((VLOOKUP(B233,Database!$F:$AY,MATCH($R$1,Database!$F$1:$AY$1,),))))-(((VLOOKUP(EDATE(B233,-12),Database!$F:$AY,MATCH($R$1,Database!$F$1:$AY$1,),)))))/(((VLOOKUP(EDATE(B233,-12),Database!$F:$AY,MATCH($R$1,Database!$F$1:$AY$1,),))))</f>
        <v>1.4675386824054873E-2</v>
      </c>
      <c r="S233" s="13">
        <f>((((VLOOKUP(B233,Database!$F:$AY,MATCH($S$1,Database!$F$1:$AY$1,),))))-(((VLOOKUP(EDATE(B233,-12),Database!$F:$AY,MATCH($S$1,Database!$F$1:$AY$1,),)))))/(((VLOOKUP(EDATE(B233,-12),Database!$F:$AY,MATCH($S$1,Database!$F$1:$AY$1,),))))</f>
        <v>-2.4714715118370454E-2</v>
      </c>
      <c r="T233" s="13">
        <f>((((VLOOKUP(B233,Database!$F:$AY,MATCH($T$1,Database!$F$1:$AY$1,),))))-(((VLOOKUP(EDATE(B233,-12),Database!$F:$AY,MATCH($T$1,Database!$F$1:$AY$1,),)))))/(((VLOOKUP(EDATE(B233,-12),Database!$F:$AY,MATCH($T$1,Database!$F$1:$AY$1,),))))</f>
        <v>6.8216997291092332E-2</v>
      </c>
      <c r="U233" s="13">
        <f>((((VLOOKUP(B233,Database!$F:$AY,MATCH($U$1,Database!$F$1:$AY$1,),))))-(((VLOOKUP(EDATE(B233,-12),Database!$F:$AY,MATCH($U$1,Database!$F$1:$AY$1,),)))))/(((VLOOKUP(EDATE(B233,-12),Database!$F:$AY,MATCH($U$1,Database!$F$1:$AY$1,),))))</f>
        <v>8.9430806478105543E-2</v>
      </c>
      <c r="V233" s="13">
        <f>((((VLOOKUP(B233,Database!$F:$AY,MATCH($V$1,Database!$F$1:$AY$1,),))))-(((VLOOKUP(EDATE(B233,-12),Database!$F:$AY,MATCH($V$1,Database!$F$1:$AY$1,),)))))/(((VLOOKUP(EDATE(B233,-12),Database!$F:$AY,MATCH($V$1,Database!$F$1:$AY$1,),))))</f>
        <v>7.988587731811711E-2</v>
      </c>
    </row>
    <row r="234" spans="1:22" s="85" customFormat="1" x14ac:dyDescent="0.2">
      <c r="A234" s="44"/>
      <c r="B234" s="91">
        <v>39264</v>
      </c>
      <c r="C234" s="13">
        <f>((((VLOOKUP(B234,Database!$F:$AY,MATCH($C$1,Database!$F$1:$AY$1,),))))-(((VLOOKUP(EDATE(B234,-12),Database!$F:$AY,MATCH($C$1,Database!$F$1:$AY$1,),)))))/(((VLOOKUP(EDATE(B234,-12),Database!$F:$AY,MATCH($C$1,Database!$F$1:$AY$1,),))))</f>
        <v>2.5417500114394791E-2</v>
      </c>
      <c r="D234" s="13">
        <f>((((VLOOKUP(B234,Database!$F:$AY,MATCH($D$1,Database!$F$1:$AY$1,),))))-(((VLOOKUP(EDATE(B234,-12),Database!$F:$AY,MATCH($D$1,Database!$F$1:$AY$1,),)))))/(((VLOOKUP(EDATE(B234,-12),Database!$F:$AY,MATCH($D$1,Database!$F$1:$AY$1,),))))</f>
        <v>3.9614350997799662E-2</v>
      </c>
      <c r="E234" s="13">
        <f>((((VLOOKUP(B234,Database!$F:$AY,MATCH($E$1,Database!$F$1:$AY$1,),))))-(((VLOOKUP(EDATE(B234,-12),Database!$F:$AY,MATCH($E$1,Database!$F$1:$AY$1,),)))))/(((VLOOKUP(EDATE(B234,-12),Database!$F:$AY,MATCH($E$1,Database!$F$1:$AY$1,),))))</f>
        <v>2.1012088255867447E-2</v>
      </c>
      <c r="F234" s="13">
        <f>((((VLOOKUP(B234,Database!$F:$AY,MATCH($F$1,Database!$F$1:$AY$1,),))))-(((VLOOKUP(EDATE(B234,-12),Database!$F:$AY,MATCH($F$1,Database!$F$1:$AY$1,),)))))/(((VLOOKUP(EDATE(B234,-12),Database!$F:$AY,MATCH($F$1,Database!$F$1:$AY$1,),))))</f>
        <v>6.1002142335390711E-2</v>
      </c>
      <c r="G234" s="13">
        <f>((((VLOOKUP(B234,Database!$F:$AY,MATCH($G$1,Database!$F$1:$AY$1,),))))-(((VLOOKUP(EDATE(B234,-12),Database!$F:$AY,MATCH($G$1,Database!$F$1:$AY$1,),)))))/(((VLOOKUP(EDATE(B234,-12),Database!$F:$AY,MATCH($G$1,Database!$F$1:$AY$1,),))))</f>
        <v>2.1570920242421115E-2</v>
      </c>
      <c r="H234" s="13">
        <f>((((VLOOKUP(B234,Database!$F:$AY,MATCH($H$1,Database!$F$1:$AY$1,),))))-(((VLOOKUP(EDATE(B234,-12),Database!$F:$AY,MATCH($H$1,Database!$F$1:$AY$1,),)))))/(((VLOOKUP(EDATE(B234,-12),Database!$F:$AY,MATCH($H$1,Database!$F$1:$AY$1,),))))</f>
        <v>9.6251806517461385E-3</v>
      </c>
      <c r="I234" s="13">
        <f>((((VLOOKUP(B234,Database!$F:$AY,MATCH($I$1,Database!$F$1:$AY$1,),))))-(((VLOOKUP(EDATE(B234,-12),Database!$F:$AY,MATCH($I$1,Database!$F$1:$AY$1,),)))))/(((VLOOKUP(EDATE(B234,-12),Database!$F:$AY,MATCH($I$1,Database!$F$1:$AY$1,),))))</f>
        <v>2.3885754780455432E-2</v>
      </c>
      <c r="J234" s="13">
        <f>((((VLOOKUP(B234,Database!$F:$AY,MATCH($J$1,Database!$F$1:$AY$1,),))))-(((VLOOKUP(EDATE(B234,-12),Database!$F:$AY,MATCH($J$1,Database!$F$1:$AY$1,),)))))/(((VLOOKUP(EDATE(B234,-12),Database!$F:$AY,MATCH($J$1,Database!$F$1:$AY$1,),))))</f>
        <v>1.1519643764318842E-2</v>
      </c>
      <c r="K234" s="13">
        <f>((((VLOOKUP(B234,Database!$F:$AY,MATCH($K$1,Database!$F$1:$AY$1,),))))-(((VLOOKUP(EDATE(B234,-12),Database!$F:$AY,MATCH($K$1,Database!$F$1:$AY$1,),)))))/(((VLOOKUP(EDATE(B234,-12),Database!$F:$AY,MATCH($K$1,Database!$F$1:$AY$1,),))))</f>
        <v>5.8447488584474939E-2</v>
      </c>
      <c r="L234" s="13">
        <f>((((VLOOKUP(B234,Database!$F:$AY,MATCH($L$1,Database!$F$1:$AY$1,),))))-(((VLOOKUP(EDATE(B234,-12),Database!$F:$AY,MATCH($L$1,Database!$F$1:$AY$1,),)))))/(((VLOOKUP(EDATE(B234,-12),Database!$F:$AY,MATCH($L$1,Database!$F$1:$AY$1,),))))</f>
        <v>1.8923733058294669E-2</v>
      </c>
      <c r="M234" s="13">
        <f>((((VLOOKUP(B234,Database!$F:$AY,MATCH($M$1,Database!$F$1:$AY$1,),))))-(((VLOOKUP(EDATE(B234,-12),Database!$F:$AY,MATCH($M$1,Database!$F$1:$AY$1,),)))))/(((VLOOKUP(EDATE(B234,-12),Database!$F:$AY,MATCH($M$1,Database!$F$1:$AY$1,),))))</f>
        <v>8.5995085995085985E-2</v>
      </c>
      <c r="N234" s="13">
        <f>((((VLOOKUP(B234,Database!$F:$AY,MATCH($N$1,Database!$F$1:$AY$1,),))))-(((VLOOKUP(EDATE(B234,-12),Database!$F:$AY,MATCH($N$1,Database!$F$1:$AY$1,),)))))/(((VLOOKUP(EDATE(B234,-12),Database!$F:$AY,MATCH($N$1,Database!$F$1:$AY$1,),))))</f>
        <v>0.15755915779393923</v>
      </c>
      <c r="O234" s="13">
        <f>((((VLOOKUP(B234,Database!$F:$AY,MATCH($O$1,Database!$F$1:$AY$1,),))))-(((VLOOKUP(EDATE(B234,-12),Database!$F:$AY,MATCH($O$1,Database!$F$1:$AY$1,),)))))/(((VLOOKUP(EDATE(B234,-12),Database!$F:$AY,MATCH($O$1,Database!$F$1:$AY$1,),))))</f>
        <v>-1.7908618550769848E-2</v>
      </c>
      <c r="P234" s="13">
        <f>((((VLOOKUP(B234,Database!$F:$AY,MATCH($P$1,Database!$F$1:$AY$1,),))))-(((VLOOKUP(EDATE(B234,-12),Database!$F:$AY,MATCH($P$1,Database!$F$1:$AY$1,),)))))/(((VLOOKUP(EDATE(B234,-12),Database!$F:$AY,MATCH($P$1,Database!$F$1:$AY$1,),))))</f>
        <v>0.13046558235641179</v>
      </c>
      <c r="Q234" s="13">
        <f>((((VLOOKUP(B234,Database!$F:$AY,MATCH($Q$1,Database!$F$1:$AY$1,),))))-(((VLOOKUP(EDATE(B234,-12),Database!$F:$AY,MATCH($Q$1,Database!$F$1:$AY$1,),)))))/(((VLOOKUP(EDATE(B234,-12),Database!$F:$AY,MATCH($Q$1,Database!$F$1:$AY$1,),))))</f>
        <v>5.3493539626368158E-2</v>
      </c>
      <c r="R234" s="13">
        <f>((((VLOOKUP(B234,Database!$F:$AY,MATCH($R$1,Database!$F$1:$AY$1,),))))-(((VLOOKUP(EDATE(B234,-12),Database!$F:$AY,MATCH($R$1,Database!$F$1:$AY$1,),)))))/(((VLOOKUP(EDATE(B234,-12),Database!$F:$AY,MATCH($R$1,Database!$F$1:$AY$1,),))))</f>
        <v>4.7481957389187361E-2</v>
      </c>
      <c r="S234" s="13">
        <f>((((VLOOKUP(B234,Database!$F:$AY,MATCH($S$1,Database!$F$1:$AY$1,),))))-(((VLOOKUP(EDATE(B234,-12),Database!$F:$AY,MATCH($S$1,Database!$F$1:$AY$1,),)))))/(((VLOOKUP(EDATE(B234,-12),Database!$F:$AY,MATCH($S$1,Database!$F$1:$AY$1,),))))</f>
        <v>9.2219101727742656E-2</v>
      </c>
      <c r="T234" s="13">
        <f>((((VLOOKUP(B234,Database!$F:$AY,MATCH($T$1,Database!$F$1:$AY$1,),))))-(((VLOOKUP(EDATE(B234,-12),Database!$F:$AY,MATCH($T$1,Database!$F$1:$AY$1,),)))))/(((VLOOKUP(EDATE(B234,-12),Database!$F:$AY,MATCH($T$1,Database!$F$1:$AY$1,),))))</f>
        <v>6.521739468027056E-2</v>
      </c>
      <c r="U234" s="13">
        <f>((((VLOOKUP(B234,Database!$F:$AY,MATCH($U$1,Database!$F$1:$AY$1,),))))-(((VLOOKUP(EDATE(B234,-12),Database!$F:$AY,MATCH($U$1,Database!$F$1:$AY$1,),)))))/(((VLOOKUP(EDATE(B234,-12),Database!$F:$AY,MATCH($U$1,Database!$F$1:$AY$1,),))))</f>
        <v>0.10581391062022305</v>
      </c>
      <c r="V234" s="13">
        <f>((((VLOOKUP(B234,Database!$F:$AY,MATCH($V$1,Database!$F$1:$AY$1,),))))-(((VLOOKUP(EDATE(B234,-12),Database!$F:$AY,MATCH($V$1,Database!$F$1:$AY$1,),)))))/(((VLOOKUP(EDATE(B234,-12),Database!$F:$AY,MATCH($V$1,Database!$F$1:$AY$1,),))))</f>
        <v>8.0622347949080658E-2</v>
      </c>
    </row>
    <row r="235" spans="1:22" s="85" customFormat="1" x14ac:dyDescent="0.2">
      <c r="A235" s="44"/>
      <c r="B235" s="91">
        <v>39295</v>
      </c>
      <c r="C235" s="13">
        <f>((((VLOOKUP(B235,Database!$F:$AY,MATCH($C$1,Database!$F$1:$AY$1,),))))-(((VLOOKUP(EDATE(B235,-12),Database!$F:$AY,MATCH($C$1,Database!$F$1:$AY$1,),)))))/(((VLOOKUP(EDATE(B235,-12),Database!$F:$AY,MATCH($C$1,Database!$F$1:$AY$1,),))))</f>
        <v>2.3677218169256279E-2</v>
      </c>
      <c r="D235" s="13">
        <f>((((VLOOKUP(B235,Database!$F:$AY,MATCH($D$1,Database!$F$1:$AY$1,),))))-(((VLOOKUP(EDATE(B235,-12),Database!$F:$AY,MATCH($D$1,Database!$F$1:$AY$1,),)))))/(((VLOOKUP(EDATE(B235,-12),Database!$F:$AY,MATCH($D$1,Database!$F$1:$AY$1,),))))</f>
        <v>4.3353082931933656E-2</v>
      </c>
      <c r="E235" s="13">
        <f>((((VLOOKUP(B235,Database!$F:$AY,MATCH($E$1,Database!$F$1:$AY$1,),))))-(((VLOOKUP(EDATE(B235,-12),Database!$F:$AY,MATCH($E$1,Database!$F$1:$AY$1,),)))))/(((VLOOKUP(EDATE(B235,-12),Database!$F:$AY,MATCH($E$1,Database!$F$1:$AY$1,),))))</f>
        <v>4.3809064820697068E-2</v>
      </c>
      <c r="F235" s="13">
        <f>((((VLOOKUP(B235,Database!$F:$AY,MATCH($F$1,Database!$F$1:$AY$1,),))))-(((VLOOKUP(EDATE(B235,-12),Database!$F:$AY,MATCH($F$1,Database!$F$1:$AY$1,),)))))/(((VLOOKUP(EDATE(B235,-12),Database!$F:$AY,MATCH($F$1,Database!$F$1:$AY$1,),))))</f>
        <v>5.7359325398328644E-2</v>
      </c>
      <c r="G235" s="13">
        <f>((((VLOOKUP(B235,Database!$F:$AY,MATCH($G$1,Database!$F$1:$AY$1,),))))-(((VLOOKUP(EDATE(B235,-12),Database!$F:$AY,MATCH($G$1,Database!$F$1:$AY$1,),)))))/(((VLOOKUP(EDATE(B235,-12),Database!$F:$AY,MATCH($G$1,Database!$F$1:$AY$1,),))))</f>
        <v>3.4748608508300922E-2</v>
      </c>
      <c r="H235" s="13">
        <f>((((VLOOKUP(B235,Database!$F:$AY,MATCH($H$1,Database!$F$1:$AY$1,),))))-(((VLOOKUP(EDATE(B235,-12),Database!$F:$AY,MATCH($H$1,Database!$F$1:$AY$1,),)))))/(((VLOOKUP(EDATE(B235,-12),Database!$F:$AY,MATCH($H$1,Database!$F$1:$AY$1,),))))</f>
        <v>9.5516352219192913E-3</v>
      </c>
      <c r="I235" s="13">
        <f>((((VLOOKUP(B235,Database!$F:$AY,MATCH($I$1,Database!$F$1:$AY$1,),))))-(((VLOOKUP(EDATE(B235,-12),Database!$F:$AY,MATCH($I$1,Database!$F$1:$AY$1,),)))))/(((VLOOKUP(EDATE(B235,-12),Database!$F:$AY,MATCH($I$1,Database!$F$1:$AY$1,),))))</f>
        <v>4.7956040361854101E-2</v>
      </c>
      <c r="J235" s="13">
        <f>((((VLOOKUP(B235,Database!$F:$AY,MATCH($J$1,Database!$F$1:$AY$1,),))))-(((VLOOKUP(EDATE(B235,-12),Database!$F:$AY,MATCH($J$1,Database!$F$1:$AY$1,),)))))/(((VLOOKUP(EDATE(B235,-12),Database!$F:$AY,MATCH($J$1,Database!$F$1:$AY$1,),))))</f>
        <v>1.5904469885182442E-2</v>
      </c>
      <c r="K235" s="13">
        <f>((((VLOOKUP(B235,Database!$F:$AY,MATCH($K$1,Database!$F$1:$AY$1,),))))-(((VLOOKUP(EDATE(B235,-12),Database!$F:$AY,MATCH($K$1,Database!$F$1:$AY$1,),)))))/(((VLOOKUP(EDATE(B235,-12),Database!$F:$AY,MATCH($K$1,Database!$F$1:$AY$1,),))))</f>
        <v>5.1029543419874687E-2</v>
      </c>
      <c r="L235" s="13">
        <f>((((VLOOKUP(B235,Database!$F:$AY,MATCH($L$1,Database!$F$1:$AY$1,),))))-(((VLOOKUP(EDATE(B235,-12),Database!$F:$AY,MATCH($L$1,Database!$F$1:$AY$1,),)))))/(((VLOOKUP(EDATE(B235,-12),Database!$F:$AY,MATCH($L$1,Database!$F$1:$AY$1,),))))</f>
        <v>-5.4678489501832858E-4</v>
      </c>
      <c r="M235" s="13">
        <f>((((VLOOKUP(B235,Database!$F:$AY,MATCH($M$1,Database!$F$1:$AY$1,),))))-(((VLOOKUP(EDATE(B235,-12),Database!$F:$AY,MATCH($M$1,Database!$F$1:$AY$1,),)))))/(((VLOOKUP(EDATE(B235,-12),Database!$F:$AY,MATCH($M$1,Database!$F$1:$AY$1,),))))</f>
        <v>6.4009661835748757E-2</v>
      </c>
      <c r="N235" s="13">
        <f>((((VLOOKUP(B235,Database!$F:$AY,MATCH($N$1,Database!$F$1:$AY$1,),))))-(((VLOOKUP(EDATE(B235,-12),Database!$F:$AY,MATCH($N$1,Database!$F$1:$AY$1,),)))))/(((VLOOKUP(EDATE(B235,-12),Database!$F:$AY,MATCH($N$1,Database!$F$1:$AY$1,),))))</f>
        <v>0.18112267413655489</v>
      </c>
      <c r="O235" s="13">
        <f>((((VLOOKUP(B235,Database!$F:$AY,MATCH($O$1,Database!$F$1:$AY$1,),))))-(((VLOOKUP(EDATE(B235,-12),Database!$F:$AY,MATCH($O$1,Database!$F$1:$AY$1,),)))))/(((VLOOKUP(EDATE(B235,-12),Database!$F:$AY,MATCH($O$1,Database!$F$1:$AY$1,),))))</f>
        <v>-4.6963427698463569E-3</v>
      </c>
      <c r="P235" s="13">
        <f>((((VLOOKUP(B235,Database!$F:$AY,MATCH($P$1,Database!$F$1:$AY$1,),))))-(((VLOOKUP(EDATE(B235,-12),Database!$F:$AY,MATCH($P$1,Database!$F$1:$AY$1,),)))))/(((VLOOKUP(EDATE(B235,-12),Database!$F:$AY,MATCH($P$1,Database!$F$1:$AY$1,),))))</f>
        <v>8.9338860368078671E-2</v>
      </c>
      <c r="Q235" s="13">
        <f>((((VLOOKUP(B235,Database!$F:$AY,MATCH($Q$1,Database!$F$1:$AY$1,),))))-(((VLOOKUP(EDATE(B235,-12),Database!$F:$AY,MATCH($Q$1,Database!$F$1:$AY$1,),)))))/(((VLOOKUP(EDATE(B235,-12),Database!$F:$AY,MATCH($Q$1,Database!$F$1:$AY$1,),))))</f>
        <v>7.1115766084916363E-2</v>
      </c>
      <c r="R235" s="13">
        <f>((((VLOOKUP(B235,Database!$F:$AY,MATCH($R$1,Database!$F$1:$AY$1,),))))-(((VLOOKUP(EDATE(B235,-12),Database!$F:$AY,MATCH($R$1,Database!$F$1:$AY$1,),)))))/(((VLOOKUP(EDATE(B235,-12),Database!$F:$AY,MATCH($R$1,Database!$F$1:$AY$1,),))))</f>
        <v>3.5037328014355905E-3</v>
      </c>
      <c r="S235" s="13">
        <f>((((VLOOKUP(B235,Database!$F:$AY,MATCH($S$1,Database!$F$1:$AY$1,),))))-(((VLOOKUP(EDATE(B235,-12),Database!$F:$AY,MATCH($S$1,Database!$F$1:$AY$1,),)))))/(((VLOOKUP(EDATE(B235,-12),Database!$F:$AY,MATCH($S$1,Database!$F$1:$AY$1,),))))</f>
        <v>2.6011558818740309E-2</v>
      </c>
      <c r="T235" s="13">
        <f>((((VLOOKUP(B235,Database!$F:$AY,MATCH($T$1,Database!$F$1:$AY$1,),))))-(((VLOOKUP(EDATE(B235,-12),Database!$F:$AY,MATCH($T$1,Database!$F$1:$AY$1,),)))))/(((VLOOKUP(EDATE(B235,-12),Database!$F:$AY,MATCH($T$1,Database!$F$1:$AY$1,),))))</f>
        <v>8.5669755968760808E-2</v>
      </c>
      <c r="U235" s="13">
        <f>((((VLOOKUP(B235,Database!$F:$AY,MATCH($U$1,Database!$F$1:$AY$1,),))))-(((VLOOKUP(EDATE(B235,-12),Database!$F:$AY,MATCH($U$1,Database!$F$1:$AY$1,),)))))/(((VLOOKUP(EDATE(B235,-12),Database!$F:$AY,MATCH($U$1,Database!$F$1:$AY$1,),))))</f>
        <v>9.2181987850484287E-2</v>
      </c>
      <c r="V235" s="13">
        <f>((((VLOOKUP(B235,Database!$F:$AY,MATCH($V$1,Database!$F$1:$AY$1,),))))-(((VLOOKUP(EDATE(B235,-12),Database!$F:$AY,MATCH($V$1,Database!$F$1:$AY$1,),)))))/(((VLOOKUP(EDATE(B235,-12),Database!$F:$AY,MATCH($V$1,Database!$F$1:$AY$1,),))))</f>
        <v>8.9615931721194836E-2</v>
      </c>
    </row>
    <row r="236" spans="1:22" s="85" customFormat="1" x14ac:dyDescent="0.2">
      <c r="A236" s="44"/>
      <c r="B236" s="91">
        <v>39326</v>
      </c>
      <c r="C236" s="13">
        <f>((((VLOOKUP(B236,Database!$F:$AY,MATCH($C$1,Database!$F$1:$AY$1,),))))-(((VLOOKUP(EDATE(B236,-12),Database!$F:$AY,MATCH($C$1,Database!$F$1:$AY$1,),)))))/(((VLOOKUP(EDATE(B236,-12),Database!$F:$AY,MATCH($C$1,Database!$F$1:$AY$1,),))))</f>
        <v>2.9726819341348458E-2</v>
      </c>
      <c r="D236" s="13">
        <f>((((VLOOKUP(B236,Database!$F:$AY,MATCH($D$1,Database!$F$1:$AY$1,),))))-(((VLOOKUP(EDATE(B236,-12),Database!$F:$AY,MATCH($D$1,Database!$F$1:$AY$1,),)))))/(((VLOOKUP(EDATE(B236,-12),Database!$F:$AY,MATCH($D$1,Database!$F$1:$AY$1,),))))</f>
        <v>3.7535605062248061E-2</v>
      </c>
      <c r="E236" s="13">
        <f>((((VLOOKUP(B236,Database!$F:$AY,MATCH($E$1,Database!$F$1:$AY$1,),))))-(((VLOOKUP(EDATE(B236,-12),Database!$F:$AY,MATCH($E$1,Database!$F$1:$AY$1,),)))))/(((VLOOKUP(EDATE(B236,-12),Database!$F:$AY,MATCH($E$1,Database!$F$1:$AY$1,),))))</f>
        <v>2.9551685848555134E-2</v>
      </c>
      <c r="F236" s="13">
        <f>((((VLOOKUP(B236,Database!$F:$AY,MATCH($F$1,Database!$F$1:$AY$1,),))))-(((VLOOKUP(EDATE(B236,-12),Database!$F:$AY,MATCH($F$1,Database!$F$1:$AY$1,),)))))/(((VLOOKUP(EDATE(B236,-12),Database!$F:$AY,MATCH($F$1,Database!$F$1:$AY$1,),))))</f>
        <v>6.9339038106208464E-2</v>
      </c>
      <c r="G236" s="13">
        <f>((((VLOOKUP(B236,Database!$F:$AY,MATCH($G$1,Database!$F$1:$AY$1,),))))-(((VLOOKUP(EDATE(B236,-12),Database!$F:$AY,MATCH($G$1,Database!$F$1:$AY$1,),)))))/(((VLOOKUP(EDATE(B236,-12),Database!$F:$AY,MATCH($G$1,Database!$F$1:$AY$1,),))))</f>
        <v>-4.3667772025711843E-3</v>
      </c>
      <c r="H236" s="13">
        <f>((((VLOOKUP(B236,Database!$F:$AY,MATCH($H$1,Database!$F$1:$AY$1,),))))-(((VLOOKUP(EDATE(B236,-12),Database!$F:$AY,MATCH($H$1,Database!$F$1:$AY$1,),)))))/(((VLOOKUP(EDATE(B236,-12),Database!$F:$AY,MATCH($H$1,Database!$F$1:$AY$1,),))))</f>
        <v>-2.8601177468700252E-3</v>
      </c>
      <c r="I236" s="13">
        <f>((((VLOOKUP(B236,Database!$F:$AY,MATCH($I$1,Database!$F$1:$AY$1,),))))-(((VLOOKUP(EDATE(B236,-12),Database!$F:$AY,MATCH($I$1,Database!$F$1:$AY$1,),)))))/(((VLOOKUP(EDATE(B236,-12),Database!$F:$AY,MATCH($I$1,Database!$F$1:$AY$1,),))))</f>
        <v>2.2047509477168884E-2</v>
      </c>
      <c r="J236" s="13">
        <f>((((VLOOKUP(B236,Database!$F:$AY,MATCH($J$1,Database!$F$1:$AY$1,),))))-(((VLOOKUP(EDATE(B236,-12),Database!$F:$AY,MATCH($J$1,Database!$F$1:$AY$1,),)))))/(((VLOOKUP(EDATE(B236,-12),Database!$F:$AY,MATCH($J$1,Database!$F$1:$AY$1,),))))</f>
        <v>1.1766911264841454E-2</v>
      </c>
      <c r="K236" s="13">
        <f>((((VLOOKUP(B236,Database!$F:$AY,MATCH($K$1,Database!$F$1:$AY$1,),))))-(((VLOOKUP(EDATE(B236,-12),Database!$F:$AY,MATCH($K$1,Database!$F$1:$AY$1,),)))))/(((VLOOKUP(EDATE(B236,-12),Database!$F:$AY,MATCH($K$1,Database!$F$1:$AY$1,),))))</f>
        <v>1.1413520632133425E-2</v>
      </c>
      <c r="L236" s="13">
        <f>((((VLOOKUP(B236,Database!$F:$AY,MATCH($L$1,Database!$F$1:$AY$1,),))))-(((VLOOKUP(EDATE(B236,-12),Database!$F:$AY,MATCH($L$1,Database!$F$1:$AY$1,),)))))/(((VLOOKUP(EDATE(B236,-12),Database!$F:$AY,MATCH($L$1,Database!$F$1:$AY$1,),))))</f>
        <v>1.1757870884229934E-2</v>
      </c>
      <c r="M236" s="13">
        <f>((((VLOOKUP(B236,Database!$F:$AY,MATCH($M$1,Database!$F$1:$AY$1,),))))-(((VLOOKUP(EDATE(B236,-12),Database!$F:$AY,MATCH($M$1,Database!$F$1:$AY$1,),)))))/(((VLOOKUP(EDATE(B236,-12),Database!$F:$AY,MATCH($M$1,Database!$F$1:$AY$1,),))))</f>
        <v>5.4151624548736468E-2</v>
      </c>
      <c r="N236" s="13">
        <f>((((VLOOKUP(B236,Database!$F:$AY,MATCH($N$1,Database!$F$1:$AY$1,),))))-(((VLOOKUP(EDATE(B236,-12),Database!$F:$AY,MATCH($N$1,Database!$F$1:$AY$1,),)))))/(((VLOOKUP(EDATE(B236,-12),Database!$F:$AY,MATCH($N$1,Database!$F$1:$AY$1,),))))</f>
        <v>0.13600859187830841</v>
      </c>
      <c r="O236" s="13">
        <f>((((VLOOKUP(B236,Database!$F:$AY,MATCH($O$1,Database!$F$1:$AY$1,),))))-(((VLOOKUP(EDATE(B236,-12),Database!$F:$AY,MATCH($O$1,Database!$F$1:$AY$1,),)))))/(((VLOOKUP(EDATE(B236,-12),Database!$F:$AY,MATCH($O$1,Database!$F$1:$AY$1,),))))</f>
        <v>6.4821664482556376E-3</v>
      </c>
      <c r="P236" s="13">
        <f>((((VLOOKUP(B236,Database!$F:$AY,MATCH($P$1,Database!$F$1:$AY$1,),))))-(((VLOOKUP(EDATE(B236,-12),Database!$F:$AY,MATCH($P$1,Database!$F$1:$AY$1,),)))))/(((VLOOKUP(EDATE(B236,-12),Database!$F:$AY,MATCH($P$1,Database!$F$1:$AY$1,),))))</f>
        <v>6.1525673968054979E-2</v>
      </c>
      <c r="Q236" s="13">
        <f>((((VLOOKUP(B236,Database!$F:$AY,MATCH($Q$1,Database!$F$1:$AY$1,),))))-(((VLOOKUP(EDATE(B236,-12),Database!$F:$AY,MATCH($Q$1,Database!$F$1:$AY$1,),)))))/(((VLOOKUP(EDATE(B236,-12),Database!$F:$AY,MATCH($Q$1,Database!$F$1:$AY$1,),))))</f>
        <v>7.530458308158651E-2</v>
      </c>
      <c r="R236" s="13">
        <f>((((VLOOKUP(B236,Database!$F:$AY,MATCH($R$1,Database!$F$1:$AY$1,),))))-(((VLOOKUP(EDATE(B236,-12),Database!$F:$AY,MATCH($R$1,Database!$F$1:$AY$1,),)))))/(((VLOOKUP(EDATE(B236,-12),Database!$F:$AY,MATCH($R$1,Database!$F$1:$AY$1,),))))</f>
        <v>2.7201348457615449E-2</v>
      </c>
      <c r="S236" s="13">
        <f>((((VLOOKUP(B236,Database!$F:$AY,MATCH($S$1,Database!$F$1:$AY$1,),))))-(((VLOOKUP(EDATE(B236,-12),Database!$F:$AY,MATCH($S$1,Database!$F$1:$AY$1,),)))))/(((VLOOKUP(EDATE(B236,-12),Database!$F:$AY,MATCH($S$1,Database!$F$1:$AY$1,),))))</f>
        <v>9.5785490037360345E-3</v>
      </c>
      <c r="T236" s="13">
        <f>((((VLOOKUP(B236,Database!$F:$AY,MATCH($T$1,Database!$F$1:$AY$1,),))))-(((VLOOKUP(EDATE(B236,-12),Database!$F:$AY,MATCH($T$1,Database!$F$1:$AY$1,),)))))/(((VLOOKUP(EDATE(B236,-12),Database!$F:$AY,MATCH($T$1,Database!$F$1:$AY$1,),))))</f>
        <v>9.3457943925233614E-2</v>
      </c>
      <c r="U236" s="13">
        <f>((((VLOOKUP(B236,Database!$F:$AY,MATCH($U$1,Database!$F$1:$AY$1,),))))-(((VLOOKUP(EDATE(B236,-12),Database!$F:$AY,MATCH($U$1,Database!$F$1:$AY$1,),)))))/(((VLOOKUP(EDATE(B236,-12),Database!$F:$AY,MATCH($U$1,Database!$F$1:$AY$1,),))))</f>
        <v>7.1917808219177967E-2</v>
      </c>
      <c r="V236" s="13">
        <f>((((VLOOKUP(B236,Database!$F:$AY,MATCH($V$1,Database!$F$1:$AY$1,),))))-(((VLOOKUP(EDATE(B236,-12),Database!$F:$AY,MATCH($V$1,Database!$F$1:$AY$1,),)))))/(((VLOOKUP(EDATE(B236,-12),Database!$F:$AY,MATCH($V$1,Database!$F$1:$AY$1,),))))</f>
        <v>7.8431372549019523E-2</v>
      </c>
    </row>
    <row r="237" spans="1:22" s="85" customFormat="1" x14ac:dyDescent="0.2">
      <c r="A237" s="44"/>
      <c r="B237" s="91">
        <v>39356</v>
      </c>
      <c r="C237" s="13">
        <f>((((VLOOKUP(B237,Database!$F:$AY,MATCH($C$1,Database!$F$1:$AY$1,),))))-(((VLOOKUP(EDATE(B237,-12),Database!$F:$AY,MATCH($C$1,Database!$F$1:$AY$1,),)))))/(((VLOOKUP(EDATE(B237,-12),Database!$F:$AY,MATCH($C$1,Database!$F$1:$AY$1,),))))</f>
        <v>2.5966651274382222E-2</v>
      </c>
      <c r="D237" s="13">
        <f>((((VLOOKUP(B237,Database!$F:$AY,MATCH($D$1,Database!$F$1:$AY$1,),))))-(((VLOOKUP(EDATE(B237,-12),Database!$F:$AY,MATCH($D$1,Database!$F$1:$AY$1,),)))))/(((VLOOKUP(EDATE(B237,-12),Database!$F:$AY,MATCH($D$1,Database!$F$1:$AY$1,),))))</f>
        <v>4.922829777559376E-2</v>
      </c>
      <c r="E237" s="13">
        <f>((((VLOOKUP(B237,Database!$F:$AY,MATCH($E$1,Database!$F$1:$AY$1,),))))-(((VLOOKUP(EDATE(B237,-12),Database!$F:$AY,MATCH($E$1,Database!$F$1:$AY$1,),)))))/(((VLOOKUP(EDATE(B237,-12),Database!$F:$AY,MATCH($E$1,Database!$F$1:$AY$1,),))))</f>
        <v>3.8936290121757908E-2</v>
      </c>
      <c r="F237" s="13">
        <f>((((VLOOKUP(B237,Database!$F:$AY,MATCH($F$1,Database!$F$1:$AY$1,),))))-(((VLOOKUP(EDATE(B237,-12),Database!$F:$AY,MATCH($F$1,Database!$F$1:$AY$1,),)))))/(((VLOOKUP(EDATE(B237,-12),Database!$F:$AY,MATCH($F$1,Database!$F$1:$AY$1,),))))</f>
        <v>7.2747108553677428E-2</v>
      </c>
      <c r="G237" s="13">
        <f>((((VLOOKUP(B237,Database!$F:$AY,MATCH($G$1,Database!$F$1:$AY$1,),))))-(((VLOOKUP(EDATE(B237,-12),Database!$F:$AY,MATCH($G$1,Database!$F$1:$AY$1,),)))))/(((VLOOKUP(EDATE(B237,-12),Database!$F:$AY,MATCH($G$1,Database!$F$1:$AY$1,),))))</f>
        <v>2.641340605457328E-2</v>
      </c>
      <c r="H237" s="13">
        <f>((((VLOOKUP(B237,Database!$F:$AY,MATCH($H$1,Database!$F$1:$AY$1,),))))-(((VLOOKUP(EDATE(B237,-12),Database!$F:$AY,MATCH($H$1,Database!$F$1:$AY$1,),)))))/(((VLOOKUP(EDATE(B237,-12),Database!$F:$AY,MATCH($H$1,Database!$F$1:$AY$1,),))))</f>
        <v>4.7844949551274513E-3</v>
      </c>
      <c r="I237" s="13">
        <f>((((VLOOKUP(B237,Database!$F:$AY,MATCH($I$1,Database!$F$1:$AY$1,),))))-(((VLOOKUP(EDATE(B237,-12),Database!$F:$AY,MATCH($I$1,Database!$F$1:$AY$1,),)))))/(((VLOOKUP(EDATE(B237,-12),Database!$F:$AY,MATCH($I$1,Database!$F$1:$AY$1,),))))</f>
        <v>1.022019130525012E-2</v>
      </c>
      <c r="J237" s="13">
        <f>((((VLOOKUP(B237,Database!$F:$AY,MATCH($J$1,Database!$F$1:$AY$1,),))))-(((VLOOKUP(EDATE(B237,-12),Database!$F:$AY,MATCH($J$1,Database!$F$1:$AY$1,),)))))/(((VLOOKUP(EDATE(B237,-12),Database!$F:$AY,MATCH($J$1,Database!$F$1:$AY$1,),))))</f>
        <v>1.7243589792219644E-2</v>
      </c>
      <c r="K237" s="13">
        <f>((((VLOOKUP(B237,Database!$F:$AY,MATCH($K$1,Database!$F$1:$AY$1,),))))-(((VLOOKUP(EDATE(B237,-12),Database!$F:$AY,MATCH($K$1,Database!$F$1:$AY$1,),)))))/(((VLOOKUP(EDATE(B237,-12),Database!$F:$AY,MATCH($K$1,Database!$F$1:$AY$1,),))))</f>
        <v>1.5665796344647494E-2</v>
      </c>
      <c r="L237" s="13">
        <f>((((VLOOKUP(B237,Database!$F:$AY,MATCH($L$1,Database!$F$1:$AY$1,),))))-(((VLOOKUP(EDATE(B237,-12),Database!$F:$AY,MATCH($L$1,Database!$F$1:$AY$1,),)))))/(((VLOOKUP(EDATE(B237,-12),Database!$F:$AY,MATCH($L$1,Database!$F$1:$AY$1,),))))</f>
        <v>1.5055372731685286E-2</v>
      </c>
      <c r="M237" s="13">
        <f>((((VLOOKUP(B237,Database!$F:$AY,MATCH($M$1,Database!$F$1:$AY$1,),))))-(((VLOOKUP(EDATE(B237,-12),Database!$F:$AY,MATCH($M$1,Database!$F$1:$AY$1,),)))))/(((VLOOKUP(EDATE(B237,-12),Database!$F:$AY,MATCH($M$1,Database!$F$1:$AY$1,),))))</f>
        <v>5.2505966587112242E-2</v>
      </c>
      <c r="N237" s="13">
        <f>((((VLOOKUP(B237,Database!$F:$AY,MATCH($N$1,Database!$F$1:$AY$1,),))))-(((VLOOKUP(EDATE(B237,-12),Database!$F:$AY,MATCH($N$1,Database!$F$1:$AY$1,),)))))/(((VLOOKUP(EDATE(B237,-12),Database!$F:$AY,MATCH($N$1,Database!$F$1:$AY$1,),))))</f>
        <v>0.19018907601503382</v>
      </c>
      <c r="O237" s="13">
        <f>((((VLOOKUP(B237,Database!$F:$AY,MATCH($O$1,Database!$F$1:$AY$1,),))))-(((VLOOKUP(EDATE(B237,-12),Database!$F:$AY,MATCH($O$1,Database!$F$1:$AY$1,),)))))/(((VLOOKUP(EDATE(B237,-12),Database!$F:$AY,MATCH($O$1,Database!$F$1:$AY$1,),))))</f>
        <v>1.3818228399410436E-3</v>
      </c>
      <c r="P237" s="13">
        <f>((((VLOOKUP(B237,Database!$F:$AY,MATCH($P$1,Database!$F$1:$AY$1,),))))-(((VLOOKUP(EDATE(B237,-12),Database!$F:$AY,MATCH($P$1,Database!$F$1:$AY$1,),)))))/(((VLOOKUP(EDATE(B237,-12),Database!$F:$AY,MATCH($P$1,Database!$F$1:$AY$1,),))))</f>
        <v>6.4356361696172829E-2</v>
      </c>
      <c r="Q237" s="13">
        <f>((((VLOOKUP(B237,Database!$F:$AY,MATCH($Q$1,Database!$F$1:$AY$1,),))))-(((VLOOKUP(EDATE(B237,-12),Database!$F:$AY,MATCH($Q$1,Database!$F$1:$AY$1,),)))))/(((VLOOKUP(EDATE(B237,-12),Database!$F:$AY,MATCH($Q$1,Database!$F$1:$AY$1,),))))</f>
        <v>9.6915980969560916E-2</v>
      </c>
      <c r="R237" s="13">
        <f>((((VLOOKUP(B237,Database!$F:$AY,MATCH($R$1,Database!$F$1:$AY$1,),))))-(((VLOOKUP(EDATE(B237,-12),Database!$F:$AY,MATCH($R$1,Database!$F$1:$AY$1,),)))))/(((VLOOKUP(EDATE(B237,-12),Database!$F:$AY,MATCH($R$1,Database!$F$1:$AY$1,),))))</f>
        <v>2.1063865838079482E-3</v>
      </c>
      <c r="S237" s="13">
        <f>((((VLOOKUP(B237,Database!$F:$AY,MATCH($S$1,Database!$F$1:$AY$1,),))))-(((VLOOKUP(EDATE(B237,-12),Database!$F:$AY,MATCH($S$1,Database!$F$1:$AY$1,),)))))/(((VLOOKUP(EDATE(B237,-12),Database!$F:$AY,MATCH($S$1,Database!$F$1:$AY$1,),))))</f>
        <v>0.13492074493233677</v>
      </c>
      <c r="T237" s="13">
        <f>((((VLOOKUP(B237,Database!$F:$AY,MATCH($T$1,Database!$F$1:$AY$1,),))))-(((VLOOKUP(EDATE(B237,-12),Database!$F:$AY,MATCH($T$1,Database!$F$1:$AY$1,),)))))/(((VLOOKUP(EDATE(B237,-12),Database!$F:$AY,MATCH($T$1,Database!$F$1:$AY$1,),))))</f>
        <v>7.8947286941234415E-2</v>
      </c>
      <c r="U237" s="13">
        <f>((((VLOOKUP(B237,Database!$F:$AY,MATCH($U$1,Database!$F$1:$AY$1,),))))-(((VLOOKUP(EDATE(B237,-12),Database!$F:$AY,MATCH($U$1,Database!$F$1:$AY$1,),)))))/(((VLOOKUP(EDATE(B237,-12),Database!$F:$AY,MATCH($U$1,Database!$F$1:$AY$1,),))))</f>
        <v>9.0596288578819378E-2</v>
      </c>
      <c r="V237" s="13">
        <f>((((VLOOKUP(B237,Database!$F:$AY,MATCH($V$1,Database!$F$1:$AY$1,),))))-(((VLOOKUP(EDATE(B237,-12),Database!$F:$AY,MATCH($V$1,Database!$F$1:$AY$1,),)))))/(((VLOOKUP(EDATE(B237,-12),Database!$F:$AY,MATCH($V$1,Database!$F$1:$AY$1,),))))</f>
        <v>8.5076708507670767E-2</v>
      </c>
    </row>
    <row r="238" spans="1:22" s="85" customFormat="1" x14ac:dyDescent="0.2">
      <c r="A238" s="44"/>
      <c r="B238" s="91">
        <v>39387</v>
      </c>
      <c r="C238" s="13">
        <f>((((VLOOKUP(B238,Database!$F:$AY,MATCH($C$1,Database!$F$1:$AY$1,),))))-(((VLOOKUP(EDATE(B238,-12),Database!$F:$AY,MATCH($C$1,Database!$F$1:$AY$1,),)))))/(((VLOOKUP(EDATE(B238,-12),Database!$F:$AY,MATCH($C$1,Database!$F$1:$AY$1,),))))</f>
        <v>3.3000142941741056E-2</v>
      </c>
      <c r="D238" s="13">
        <f>((((VLOOKUP(B238,Database!$F:$AY,MATCH($D$1,Database!$F$1:$AY$1,),))))-(((VLOOKUP(EDATE(B238,-12),Database!$F:$AY,MATCH($D$1,Database!$F$1:$AY$1,),)))))/(((VLOOKUP(EDATE(B238,-12),Database!$F:$AY,MATCH($D$1,Database!$F$1:$AY$1,),))))</f>
        <v>3.2504451027226329E-2</v>
      </c>
      <c r="E238" s="13">
        <f>((((VLOOKUP(B238,Database!$F:$AY,MATCH($E$1,Database!$F$1:$AY$1,),))))-(((VLOOKUP(EDATE(B238,-12),Database!$F:$AY,MATCH($E$1,Database!$F$1:$AY$1,),)))))/(((VLOOKUP(EDATE(B238,-12),Database!$F:$AY,MATCH($E$1,Database!$F$1:$AY$1,),))))</f>
        <v>1.8815012541610623E-2</v>
      </c>
      <c r="F238" s="13">
        <f>((((VLOOKUP(B238,Database!$F:$AY,MATCH($F$1,Database!$F$1:$AY$1,),))))-(((VLOOKUP(EDATE(B238,-12),Database!$F:$AY,MATCH($F$1,Database!$F$1:$AY$1,),)))))/(((VLOOKUP(EDATE(B238,-12),Database!$F:$AY,MATCH($F$1,Database!$F$1:$AY$1,),))))</f>
        <v>5.2294540238626119E-2</v>
      </c>
      <c r="G238" s="13">
        <f>((((VLOOKUP(B238,Database!$F:$AY,MATCH($G$1,Database!$F$1:$AY$1,),))))-(((VLOOKUP(EDATE(B238,-12),Database!$F:$AY,MATCH($G$1,Database!$F$1:$AY$1,),)))))/(((VLOOKUP(EDATE(B238,-12),Database!$F:$AY,MATCH($G$1,Database!$F$1:$AY$1,),))))</f>
        <v>1.436562225280065E-2</v>
      </c>
      <c r="H238" s="13">
        <f>((((VLOOKUP(B238,Database!$F:$AY,MATCH($H$1,Database!$F$1:$AY$1,),))))-(((VLOOKUP(EDATE(B238,-12),Database!$F:$AY,MATCH($H$1,Database!$F$1:$AY$1,),)))))/(((VLOOKUP(EDATE(B238,-12),Database!$F:$AY,MATCH($H$1,Database!$F$1:$AY$1,),))))</f>
        <v>5.719317317898067E-3</v>
      </c>
      <c r="I238" s="13">
        <f>((((VLOOKUP(B238,Database!$F:$AY,MATCH($I$1,Database!$F$1:$AY$1,),))))-(((VLOOKUP(EDATE(B238,-12),Database!$F:$AY,MATCH($I$1,Database!$F$1:$AY$1,),)))))/(((VLOOKUP(EDATE(B238,-12),Database!$F:$AY,MATCH($I$1,Database!$F$1:$AY$1,),))))</f>
        <v>-1.5699893397722938E-3</v>
      </c>
      <c r="J238" s="13">
        <f>((((VLOOKUP(B238,Database!$F:$AY,MATCH($J$1,Database!$F$1:$AY$1,),))))-(((VLOOKUP(EDATE(B238,-12),Database!$F:$AY,MATCH($J$1,Database!$F$1:$AY$1,),)))))/(((VLOOKUP(EDATE(B238,-12),Database!$F:$AY,MATCH($J$1,Database!$F$1:$AY$1,),))))</f>
        <v>-6.6754425287054945E-3</v>
      </c>
      <c r="K238" s="13">
        <f>((((VLOOKUP(B238,Database!$F:$AY,MATCH($K$1,Database!$F$1:$AY$1,),))))-(((VLOOKUP(EDATE(B238,-12),Database!$F:$AY,MATCH($K$1,Database!$F$1:$AY$1,),)))))/(((VLOOKUP(EDATE(B238,-12),Database!$F:$AY,MATCH($K$1,Database!$F$1:$AY$1,),))))</f>
        <v>3.9895923677363478E-2</v>
      </c>
      <c r="L238" s="13">
        <f>((((VLOOKUP(B238,Database!$F:$AY,MATCH($L$1,Database!$F$1:$AY$1,),))))-(((VLOOKUP(EDATE(B238,-12),Database!$F:$AY,MATCH($L$1,Database!$F$1:$AY$1,),)))))/(((VLOOKUP(EDATE(B238,-12),Database!$F:$AY,MATCH($L$1,Database!$F$1:$AY$1,),))))</f>
        <v>3.5565976467936034E-3</v>
      </c>
      <c r="M238" s="13">
        <f>((((VLOOKUP(B238,Database!$F:$AY,MATCH($M$1,Database!$F$1:$AY$1,),))))-(((VLOOKUP(EDATE(B238,-12),Database!$F:$AY,MATCH($M$1,Database!$F$1:$AY$1,),)))))/(((VLOOKUP(EDATE(B238,-12),Database!$F:$AY,MATCH($M$1,Database!$F$1:$AY$1,),))))</f>
        <v>5.9952038369304551E-2</v>
      </c>
      <c r="N238" s="13">
        <f>((((VLOOKUP(B238,Database!$F:$AY,MATCH($N$1,Database!$F$1:$AY$1,),))))-(((VLOOKUP(EDATE(B238,-12),Database!$F:$AY,MATCH($N$1,Database!$F$1:$AY$1,),)))))/(((VLOOKUP(EDATE(B238,-12),Database!$F:$AY,MATCH($N$1,Database!$F$1:$AY$1,),))))</f>
        <v>0.10335399096433937</v>
      </c>
      <c r="O238" s="13">
        <f>((((VLOOKUP(B238,Database!$F:$AY,MATCH($O$1,Database!$F$1:$AY$1,),))))-(((VLOOKUP(EDATE(B238,-12),Database!$F:$AY,MATCH($O$1,Database!$F$1:$AY$1,),)))))/(((VLOOKUP(EDATE(B238,-12),Database!$F:$AY,MATCH($O$1,Database!$F$1:$AY$1,),))))</f>
        <v>-1.2539015198094303E-3</v>
      </c>
      <c r="P238" s="13">
        <f>((((VLOOKUP(B238,Database!$F:$AY,MATCH($P$1,Database!$F$1:$AY$1,),))))-(((VLOOKUP(EDATE(B238,-12),Database!$F:$AY,MATCH($P$1,Database!$F$1:$AY$1,),)))))/(((VLOOKUP(EDATE(B238,-12),Database!$F:$AY,MATCH($P$1,Database!$F$1:$AY$1,),))))</f>
        <v>7.8993752149489921E-2</v>
      </c>
      <c r="Q238" s="13">
        <f>((((VLOOKUP(B238,Database!$F:$AY,MATCH($Q$1,Database!$F$1:$AY$1,),))))-(((VLOOKUP(EDATE(B238,-12),Database!$F:$AY,MATCH($Q$1,Database!$F$1:$AY$1,),)))))/(((VLOOKUP(EDATE(B238,-12),Database!$F:$AY,MATCH($Q$1,Database!$F$1:$AY$1,),))))</f>
        <v>6.9489506310414353E-2</v>
      </c>
      <c r="R238" s="13">
        <f>((((VLOOKUP(B238,Database!$F:$AY,MATCH($R$1,Database!$F$1:$AY$1,),))))-(((VLOOKUP(EDATE(B238,-12),Database!$F:$AY,MATCH($R$1,Database!$F$1:$AY$1,),)))))/(((VLOOKUP(EDATE(B238,-12),Database!$F:$AY,MATCH($R$1,Database!$F$1:$AY$1,),))))</f>
        <v>4.4235014988460192E-2</v>
      </c>
      <c r="S238" s="13">
        <f>((((VLOOKUP(B238,Database!$F:$AY,MATCH($S$1,Database!$F$1:$AY$1,),))))-(((VLOOKUP(EDATE(B238,-12),Database!$F:$AY,MATCH($S$1,Database!$F$1:$AY$1,),)))))/(((VLOOKUP(EDATE(B238,-12),Database!$F:$AY,MATCH($S$1,Database!$F$1:$AY$1,),))))</f>
        <v>0.12413106316593822</v>
      </c>
      <c r="T238" s="13">
        <f>((((VLOOKUP(B238,Database!$F:$AY,MATCH($T$1,Database!$F$1:$AY$1,),))))-(((VLOOKUP(EDATE(B238,-12),Database!$F:$AY,MATCH($T$1,Database!$F$1:$AY$1,),)))))/(((VLOOKUP(EDATE(B238,-12),Database!$F:$AY,MATCH($T$1,Database!$F$1:$AY$1,),))))</f>
        <v>8.7091707800214788E-2</v>
      </c>
      <c r="U238" s="13">
        <f>((((VLOOKUP(B238,Database!$F:$AY,MATCH($U$1,Database!$F$1:$AY$1,),))))-(((VLOOKUP(EDATE(B238,-12),Database!$F:$AY,MATCH($U$1,Database!$F$1:$AY$1,),)))))/(((VLOOKUP(EDATE(B238,-12),Database!$F:$AY,MATCH($U$1,Database!$F$1:$AY$1,),))))</f>
        <v>7.5280858596999956E-2</v>
      </c>
      <c r="V238" s="13">
        <f>((((VLOOKUP(B238,Database!$F:$AY,MATCH($V$1,Database!$F$1:$AY$1,),))))-(((VLOOKUP(EDATE(B238,-12),Database!$F:$AY,MATCH($V$1,Database!$F$1:$AY$1,),)))))/(((VLOOKUP(EDATE(B238,-12),Database!$F:$AY,MATCH($V$1,Database!$F$1:$AY$1,),))))</f>
        <v>8.6592178770949768E-2</v>
      </c>
    </row>
    <row r="239" spans="1:22" s="85" customFormat="1" x14ac:dyDescent="0.2">
      <c r="A239" s="44"/>
      <c r="B239" s="91">
        <v>39417</v>
      </c>
      <c r="C239" s="13">
        <f>((((VLOOKUP(B239,Database!$F:$AY,MATCH($C$1,Database!$F$1:$AY$1,),))))-(((VLOOKUP(EDATE(B239,-12),Database!$F:$AY,MATCH($C$1,Database!$F$1:$AY$1,),)))))/(((VLOOKUP(EDATE(B239,-12),Database!$F:$AY,MATCH($C$1,Database!$F$1:$AY$1,),))))</f>
        <v>2.2483408284090626E-2</v>
      </c>
      <c r="D239" s="13">
        <f>((((VLOOKUP(B239,Database!$F:$AY,MATCH($D$1,Database!$F$1:$AY$1,),))))-(((VLOOKUP(EDATE(B239,-12),Database!$F:$AY,MATCH($D$1,Database!$F$1:$AY$1,),)))))/(((VLOOKUP(EDATE(B239,-12),Database!$F:$AY,MATCH($D$1,Database!$F$1:$AY$1,),))))</f>
        <v>2.3562837532745809E-2</v>
      </c>
      <c r="E239" s="13">
        <f>((((VLOOKUP(B239,Database!$F:$AY,MATCH($E$1,Database!$F$1:$AY$1,),))))-(((VLOOKUP(EDATE(B239,-12),Database!$F:$AY,MATCH($E$1,Database!$F$1:$AY$1,),)))))/(((VLOOKUP(EDATE(B239,-12),Database!$F:$AY,MATCH($E$1,Database!$F$1:$AY$1,),))))</f>
        <v>2.3496226785456462E-2</v>
      </c>
      <c r="F239" s="13">
        <f>((((VLOOKUP(B239,Database!$F:$AY,MATCH($F$1,Database!$F$1:$AY$1,),))))-(((VLOOKUP(EDATE(B239,-12),Database!$F:$AY,MATCH($F$1,Database!$F$1:$AY$1,),)))))/(((VLOOKUP(EDATE(B239,-12),Database!$F:$AY,MATCH($F$1,Database!$F$1:$AY$1,),))))</f>
        <v>5.2854085520020154E-2</v>
      </c>
      <c r="G239" s="13">
        <f>((((VLOOKUP(B239,Database!$F:$AY,MATCH($G$1,Database!$F$1:$AY$1,),))))-(((VLOOKUP(EDATE(B239,-12),Database!$F:$AY,MATCH($G$1,Database!$F$1:$AY$1,),)))))/(((VLOOKUP(EDATE(B239,-12),Database!$F:$AY,MATCH($G$1,Database!$F$1:$AY$1,),))))</f>
        <v>-7.1091584622533276E-4</v>
      </c>
      <c r="H239" s="13">
        <f>((((VLOOKUP(B239,Database!$F:$AY,MATCH($H$1,Database!$F$1:$AY$1,),))))-(((VLOOKUP(EDATE(B239,-12),Database!$F:$AY,MATCH($H$1,Database!$F$1:$AY$1,),)))))/(((VLOOKUP(EDATE(B239,-12),Database!$F:$AY,MATCH($H$1,Database!$F$1:$AY$1,),))))</f>
        <v>1.0556935909665676E-2</v>
      </c>
      <c r="I239" s="13">
        <f>((((VLOOKUP(B239,Database!$F:$AY,MATCH($I$1,Database!$F$1:$AY$1,),))))-(((VLOOKUP(EDATE(B239,-12),Database!$F:$AY,MATCH($I$1,Database!$F$1:$AY$1,),)))))/(((VLOOKUP(EDATE(B239,-12),Database!$F:$AY,MATCH($I$1,Database!$F$1:$AY$1,),))))</f>
        <v>-1.0046433550868077E-2</v>
      </c>
      <c r="J239" s="13">
        <f>((((VLOOKUP(B239,Database!$F:$AY,MATCH($J$1,Database!$F$1:$AY$1,),))))-(((VLOOKUP(EDATE(B239,-12),Database!$F:$AY,MATCH($J$1,Database!$F$1:$AY$1,),)))))/(((VLOOKUP(EDATE(B239,-12),Database!$F:$AY,MATCH($J$1,Database!$F$1:$AY$1,),))))</f>
        <v>-1.9634866300276242E-2</v>
      </c>
      <c r="K239" s="13">
        <f>((((VLOOKUP(B239,Database!$F:$AY,MATCH($K$1,Database!$F$1:$AY$1,),))))-(((VLOOKUP(EDATE(B239,-12),Database!$F:$AY,MATCH($K$1,Database!$F$1:$AY$1,),)))))/(((VLOOKUP(EDATE(B239,-12),Database!$F:$AY,MATCH($K$1,Database!$F$1:$AY$1,),))))</f>
        <v>8.3752093802345051E-3</v>
      </c>
      <c r="L239" s="13">
        <f>((((VLOOKUP(B239,Database!$F:$AY,MATCH($L$1,Database!$F$1:$AY$1,),))))-(((VLOOKUP(EDATE(B239,-12),Database!$F:$AY,MATCH($L$1,Database!$F$1:$AY$1,),)))))/(((VLOOKUP(EDATE(B239,-12),Database!$F:$AY,MATCH($L$1,Database!$F$1:$AY$1,),))))</f>
        <v>2.5260647792410978E-2</v>
      </c>
      <c r="M239" s="13">
        <f>((((VLOOKUP(B239,Database!$F:$AY,MATCH($M$1,Database!$F$1:$AY$1,),))))-(((VLOOKUP(EDATE(B239,-12),Database!$F:$AY,MATCH($M$1,Database!$F$1:$AY$1,),)))))/(((VLOOKUP(EDATE(B239,-12),Database!$F:$AY,MATCH($M$1,Database!$F$1:$AY$1,),))))</f>
        <v>5.2380952380952452E-2</v>
      </c>
      <c r="N239" s="13">
        <f>((((VLOOKUP(B239,Database!$F:$AY,MATCH($N$1,Database!$F$1:$AY$1,),))))-(((VLOOKUP(EDATE(B239,-12),Database!$F:$AY,MATCH($N$1,Database!$F$1:$AY$1,),)))))/(((VLOOKUP(EDATE(B239,-12),Database!$F:$AY,MATCH($N$1,Database!$F$1:$AY$1,),))))</f>
        <v>0.13876704398859421</v>
      </c>
      <c r="O239" s="13">
        <f>((((VLOOKUP(B239,Database!$F:$AY,MATCH($O$1,Database!$F$1:$AY$1,),))))-(((VLOOKUP(EDATE(B239,-12),Database!$F:$AY,MATCH($O$1,Database!$F$1:$AY$1,),)))))/(((VLOOKUP(EDATE(B239,-12),Database!$F:$AY,MATCH($O$1,Database!$F$1:$AY$1,),))))</f>
        <v>-2.9307413234912275E-2</v>
      </c>
      <c r="P239" s="13">
        <f>((((VLOOKUP(B239,Database!$F:$AY,MATCH($P$1,Database!$F$1:$AY$1,),))))-(((VLOOKUP(EDATE(B239,-12),Database!$F:$AY,MATCH($P$1,Database!$F$1:$AY$1,),)))))/(((VLOOKUP(EDATE(B239,-12),Database!$F:$AY,MATCH($P$1,Database!$F$1:$AY$1,),))))</f>
        <v>0.11276145659158006</v>
      </c>
      <c r="Q239" s="13">
        <f>((((VLOOKUP(B239,Database!$F:$AY,MATCH($Q$1,Database!$F$1:$AY$1,),))))-(((VLOOKUP(EDATE(B239,-12),Database!$F:$AY,MATCH($Q$1,Database!$F$1:$AY$1,),)))))/(((VLOOKUP(EDATE(B239,-12),Database!$F:$AY,MATCH($Q$1,Database!$F$1:$AY$1,),))))</f>
        <v>6.002141640301778E-2</v>
      </c>
      <c r="R239" s="13">
        <f>((((VLOOKUP(B239,Database!$F:$AY,MATCH($R$1,Database!$F$1:$AY$1,),))))-(((VLOOKUP(EDATE(B239,-12),Database!$F:$AY,MATCH($R$1,Database!$F$1:$AY$1,),)))))/(((VLOOKUP(EDATE(B239,-12),Database!$F:$AY,MATCH($R$1,Database!$F$1:$AY$1,),))))</f>
        <v>7.7198755883174097E-3</v>
      </c>
      <c r="S239" s="13">
        <f>((((VLOOKUP(B239,Database!$F:$AY,MATCH($S$1,Database!$F$1:$AY$1,),))))-(((VLOOKUP(EDATE(B239,-12),Database!$F:$AY,MATCH($S$1,Database!$F$1:$AY$1,),)))))/(((VLOOKUP(EDATE(B239,-12),Database!$F:$AY,MATCH($S$1,Database!$F$1:$AY$1,),))))</f>
        <v>5.9701328470686023E-2</v>
      </c>
      <c r="T239" s="13">
        <f>((((VLOOKUP(B239,Database!$F:$AY,MATCH($T$1,Database!$F$1:$AY$1,),))))-(((VLOOKUP(EDATE(B239,-12),Database!$F:$AY,MATCH($T$1,Database!$F$1:$AY$1,),)))))/(((VLOOKUP(EDATE(B239,-12),Database!$F:$AY,MATCH($T$1,Database!$F$1:$AY$1,),))))</f>
        <v>7.6461696057422479E-2</v>
      </c>
      <c r="U239" s="13">
        <f>((((VLOOKUP(B239,Database!$F:$AY,MATCH($U$1,Database!$F$1:$AY$1,),))))-(((VLOOKUP(EDATE(B239,-12),Database!$F:$AY,MATCH($U$1,Database!$F$1:$AY$1,),)))))/(((VLOOKUP(EDATE(B239,-12),Database!$F:$AY,MATCH($U$1,Database!$F$1:$AY$1,),))))</f>
        <v>7.8801371771409653E-2</v>
      </c>
      <c r="V239" s="13">
        <f>((((VLOOKUP(B239,Database!$F:$AY,MATCH($V$1,Database!$F$1:$AY$1,),))))-(((VLOOKUP(EDATE(B239,-12),Database!$F:$AY,MATCH($V$1,Database!$F$1:$AY$1,),)))))/(((VLOOKUP(EDATE(B239,-12),Database!$F:$AY,MATCH($V$1,Database!$F$1:$AY$1,),))))</f>
        <v>6.533333333333341E-2</v>
      </c>
    </row>
    <row r="240" spans="1:22" s="85" customFormat="1" x14ac:dyDescent="0.2">
      <c r="A240" s="44"/>
      <c r="B240" s="91">
        <v>39448</v>
      </c>
      <c r="C240" s="13">
        <f>((((VLOOKUP(B240,Database!$F:$AY,MATCH($C$1,Database!$F$1:$AY$1,),))))-(((VLOOKUP(EDATE(B240,-12),Database!$F:$AY,MATCH($C$1,Database!$F$1:$AY$1,),)))))/(((VLOOKUP(EDATE(B240,-12),Database!$F:$AY,MATCH($C$1,Database!$F$1:$AY$1,),))))</f>
        <v>2.506161004955107E-2</v>
      </c>
      <c r="D240" s="13">
        <f>((((VLOOKUP(B240,Database!$F:$AY,MATCH($D$1,Database!$F$1:$AY$1,),))))-(((VLOOKUP(EDATE(B240,-12),Database!$F:$AY,MATCH($D$1,Database!$F$1:$AY$1,),)))))/(((VLOOKUP(EDATE(B240,-12),Database!$F:$AY,MATCH($D$1,Database!$F$1:$AY$1,),))))</f>
        <v>3.5951113903545016E-2</v>
      </c>
      <c r="E240" s="13">
        <f>((((VLOOKUP(B240,Database!$F:$AY,MATCH($E$1,Database!$F$1:$AY$1,),))))-(((VLOOKUP(EDATE(B240,-12),Database!$F:$AY,MATCH($E$1,Database!$F$1:$AY$1,),)))))/(((VLOOKUP(EDATE(B240,-12),Database!$F:$AY,MATCH($E$1,Database!$F$1:$AY$1,),))))</f>
        <v>4.1213296810355807E-2</v>
      </c>
      <c r="F240" s="13">
        <f>((((VLOOKUP(B240,Database!$F:$AY,MATCH($F$1,Database!$F$1:$AY$1,),))))-(((VLOOKUP(EDATE(B240,-12),Database!$F:$AY,MATCH($F$1,Database!$F$1:$AY$1,),)))))/(((VLOOKUP(EDATE(B240,-12),Database!$F:$AY,MATCH($F$1,Database!$F$1:$AY$1,),))))</f>
        <v>6.3091689654911368E-2</v>
      </c>
      <c r="G240" s="13">
        <f>((((VLOOKUP(B240,Database!$F:$AY,MATCH($G$1,Database!$F$1:$AY$1,),))))-(((VLOOKUP(EDATE(B240,-12),Database!$F:$AY,MATCH($G$1,Database!$F$1:$AY$1,),)))))/(((VLOOKUP(EDATE(B240,-12),Database!$F:$AY,MATCH($G$1,Database!$F$1:$AY$1,),))))</f>
        <v>1.9047465024990853E-2</v>
      </c>
      <c r="H240" s="13">
        <f>((((VLOOKUP(B240,Database!$F:$AY,MATCH($H$1,Database!$F$1:$AY$1,),))))-(((VLOOKUP(EDATE(B240,-12),Database!$F:$AY,MATCH($H$1,Database!$F$1:$AY$1,),)))))/(((VLOOKUP(EDATE(B240,-12),Database!$F:$AY,MATCH($H$1,Database!$F$1:$AY$1,),))))</f>
        <v>0</v>
      </c>
      <c r="I240" s="13">
        <f>((((VLOOKUP(B240,Database!$F:$AY,MATCH($I$1,Database!$F$1:$AY$1,),))))-(((VLOOKUP(EDATE(B240,-12),Database!$F:$AY,MATCH($I$1,Database!$F$1:$AY$1,),)))))/(((VLOOKUP(EDATE(B240,-12),Database!$F:$AY,MATCH($I$1,Database!$F$1:$AY$1,),))))</f>
        <v>1.9500847574641513E-2</v>
      </c>
      <c r="J240" s="13">
        <f>((((VLOOKUP(B240,Database!$F:$AY,MATCH($J$1,Database!$F$1:$AY$1,),))))-(((VLOOKUP(EDATE(B240,-12),Database!$F:$AY,MATCH($J$1,Database!$F$1:$AY$1,),)))))/(((VLOOKUP(EDATE(B240,-12),Database!$F:$AY,MATCH($J$1,Database!$F$1:$AY$1,),))))</f>
        <v>1.0478277638686034E-3</v>
      </c>
      <c r="K240" s="13">
        <f>((((VLOOKUP(B240,Database!$F:$AY,MATCH($K$1,Database!$F$1:$AY$1,),))))-(((VLOOKUP(EDATE(B240,-12),Database!$F:$AY,MATCH($K$1,Database!$F$1:$AY$1,),)))))/(((VLOOKUP(EDATE(B240,-12),Database!$F:$AY,MATCH($K$1,Database!$F$1:$AY$1,),))))</f>
        <v>3.2618025751072935E-2</v>
      </c>
      <c r="L240" s="13">
        <f>((((VLOOKUP(B240,Database!$F:$AY,MATCH($L$1,Database!$F$1:$AY$1,),))))-(((VLOOKUP(EDATE(B240,-12),Database!$F:$AY,MATCH($L$1,Database!$F$1:$AY$1,),)))))/(((VLOOKUP(EDATE(B240,-12),Database!$F:$AY,MATCH($L$1,Database!$F$1:$AY$1,),))))</f>
        <v>2.1125610857758517E-2</v>
      </c>
      <c r="M240" s="13">
        <f>((((VLOOKUP(B240,Database!$F:$AY,MATCH($M$1,Database!$F$1:$AY$1,),))))-(((VLOOKUP(EDATE(B240,-12),Database!$F:$AY,MATCH($M$1,Database!$F$1:$AY$1,),)))))/(((VLOOKUP(EDATE(B240,-12),Database!$F:$AY,MATCH($M$1,Database!$F$1:$AY$1,),))))</f>
        <v>6.7757009345794525E-2</v>
      </c>
      <c r="N240" s="13">
        <f>((((VLOOKUP(B240,Database!$F:$AY,MATCH($N$1,Database!$F$1:$AY$1,),))))-(((VLOOKUP(EDATE(B240,-12),Database!$F:$AY,MATCH($N$1,Database!$F$1:$AY$1,),)))))/(((VLOOKUP(EDATE(B240,-12),Database!$F:$AY,MATCH($N$1,Database!$F$1:$AY$1,),))))</f>
        <v>0.1356041298707775</v>
      </c>
      <c r="O240" s="13">
        <f>((((VLOOKUP(B240,Database!$F:$AY,MATCH($O$1,Database!$F$1:$AY$1,),))))-(((VLOOKUP(EDATE(B240,-12),Database!$F:$AY,MATCH($O$1,Database!$F$1:$AY$1,),)))))/(((VLOOKUP(EDATE(B240,-12),Database!$F:$AY,MATCH($O$1,Database!$F$1:$AY$1,),))))</f>
        <v>-2.7503856133393342E-2</v>
      </c>
      <c r="P240" s="13">
        <f>((((VLOOKUP(B240,Database!$F:$AY,MATCH($P$1,Database!$F$1:$AY$1,),))))-(((VLOOKUP(EDATE(B240,-12),Database!$F:$AY,MATCH($P$1,Database!$F$1:$AY$1,),)))))/(((VLOOKUP(EDATE(B240,-12),Database!$F:$AY,MATCH($P$1,Database!$F$1:$AY$1,),))))</f>
        <v>0.12456230289357681</v>
      </c>
      <c r="Q240" s="13">
        <f>((((VLOOKUP(B240,Database!$F:$AY,MATCH($Q$1,Database!$F$1:$AY$1,),))))-(((VLOOKUP(EDATE(B240,-12),Database!$F:$AY,MATCH($Q$1,Database!$F$1:$AY$1,),)))))/(((VLOOKUP(EDATE(B240,-12),Database!$F:$AY,MATCH($Q$1,Database!$F$1:$AY$1,),))))</f>
        <v>8.5221683564494541E-2</v>
      </c>
      <c r="R240" s="13">
        <f>((((VLOOKUP(B240,Database!$F:$AY,MATCH($R$1,Database!$F$1:$AY$1,),))))-(((VLOOKUP(EDATE(B240,-12),Database!$F:$AY,MATCH($R$1,Database!$F$1:$AY$1,),)))))/(((VLOOKUP(EDATE(B240,-12),Database!$F:$AY,MATCH($R$1,Database!$F$1:$AY$1,),))))</f>
        <v>-1.3350674417578869E-2</v>
      </c>
      <c r="S240" s="13">
        <f>((((VLOOKUP(B240,Database!$F:$AY,MATCH($S$1,Database!$F$1:$AY$1,),))))-(((VLOOKUP(EDATE(B240,-12),Database!$F:$AY,MATCH($S$1,Database!$F$1:$AY$1,),)))))/(((VLOOKUP(EDATE(B240,-12),Database!$F:$AY,MATCH($S$1,Database!$F$1:$AY$1,),))))</f>
        <v>-1.8709711759260341E-3</v>
      </c>
      <c r="T240" s="13">
        <f>((((VLOOKUP(B240,Database!$F:$AY,MATCH($T$1,Database!$F$1:$AY$1,),))))-(((VLOOKUP(EDATE(B240,-12),Database!$F:$AY,MATCH($T$1,Database!$F$1:$AY$1,),)))))/(((VLOOKUP(EDATE(B240,-12),Database!$F:$AY,MATCH($T$1,Database!$F$1:$AY$1,),))))</f>
        <v>2.0172861659083365E-2</v>
      </c>
      <c r="U240" s="13">
        <f>((((VLOOKUP(B240,Database!$F:$AY,MATCH($U$1,Database!$F$1:$AY$1,),))))-(((VLOOKUP(EDATE(B240,-12),Database!$F:$AY,MATCH($U$1,Database!$F$1:$AY$1,),)))))/(((VLOOKUP(EDATE(B240,-12),Database!$F:$AY,MATCH($U$1,Database!$F$1:$AY$1,),))))</f>
        <v>3.4042479842918534E-2</v>
      </c>
      <c r="V240" s="13">
        <f>((((VLOOKUP(B240,Database!$F:$AY,MATCH($V$1,Database!$F$1:$AY$1,),))))-(((VLOOKUP(EDATE(B240,-12),Database!$F:$AY,MATCH($V$1,Database!$F$1:$AY$1,),)))))/(((VLOOKUP(EDATE(B240,-12),Database!$F:$AY,MATCH($V$1,Database!$F$1:$AY$1,),))))</f>
        <v>0.10618279569892461</v>
      </c>
    </row>
    <row r="241" spans="1:22" s="85" customFormat="1" x14ac:dyDescent="0.2">
      <c r="A241" s="44"/>
      <c r="B241" s="91">
        <v>39479</v>
      </c>
      <c r="C241" s="13">
        <f>((((VLOOKUP(B241,Database!$F:$AY,MATCH($C$1,Database!$F$1:$AY$1,),))))-(((VLOOKUP(EDATE(B241,-12),Database!$F:$AY,MATCH($C$1,Database!$F$1:$AY$1,),)))))/(((VLOOKUP(EDATE(B241,-12),Database!$F:$AY,MATCH($C$1,Database!$F$1:$AY$1,),))))</f>
        <v>1.1427209490124926E-2</v>
      </c>
      <c r="D241" s="13">
        <f>((((VLOOKUP(B241,Database!$F:$AY,MATCH($D$1,Database!$F$1:$AY$1,),))))-(((VLOOKUP(EDATE(B241,-12),Database!$F:$AY,MATCH($D$1,Database!$F$1:$AY$1,),)))))/(((VLOOKUP(EDATE(B241,-12),Database!$F:$AY,MATCH($D$1,Database!$F$1:$AY$1,),))))</f>
        <v>2.8222008744635724E-2</v>
      </c>
      <c r="E241" s="13">
        <f>((((VLOOKUP(B241,Database!$F:$AY,MATCH($E$1,Database!$F$1:$AY$1,),))))-(((VLOOKUP(EDATE(B241,-12),Database!$F:$AY,MATCH($E$1,Database!$F$1:$AY$1,),)))))/(((VLOOKUP(EDATE(B241,-12),Database!$F:$AY,MATCH($E$1,Database!$F$1:$AY$1,),))))</f>
        <v>3.7988474440207594E-2</v>
      </c>
      <c r="F241" s="13">
        <f>((((VLOOKUP(B241,Database!$F:$AY,MATCH($F$1,Database!$F$1:$AY$1,),))))-(((VLOOKUP(EDATE(B241,-12),Database!$F:$AY,MATCH($F$1,Database!$F$1:$AY$1,),)))))/(((VLOOKUP(EDATE(B241,-12),Database!$F:$AY,MATCH($F$1,Database!$F$1:$AY$1,),))))</f>
        <v>5.5497400621036051E-2</v>
      </c>
      <c r="G241" s="13">
        <f>((((VLOOKUP(B241,Database!$F:$AY,MATCH($G$1,Database!$F$1:$AY$1,),))))-(((VLOOKUP(EDATE(B241,-12),Database!$F:$AY,MATCH($G$1,Database!$F$1:$AY$1,),)))))/(((VLOOKUP(EDATE(B241,-12),Database!$F:$AY,MATCH($G$1,Database!$F$1:$AY$1,),))))</f>
        <v>1.9055140685365263E-2</v>
      </c>
      <c r="H241" s="13">
        <f>((((VLOOKUP(B241,Database!$F:$AY,MATCH($H$1,Database!$F$1:$AY$1,),))))-(((VLOOKUP(EDATE(B241,-12),Database!$F:$AY,MATCH($H$1,Database!$F$1:$AY$1,),)))))/(((VLOOKUP(EDATE(B241,-12),Database!$F:$AY,MATCH($H$1,Database!$F$1:$AY$1,),))))</f>
        <v>4.7662507942220532E-3</v>
      </c>
      <c r="I241" s="13">
        <f>((((VLOOKUP(B241,Database!$F:$AY,MATCH($I$1,Database!$F$1:$AY$1,),))))-(((VLOOKUP(EDATE(B241,-12),Database!$F:$AY,MATCH($I$1,Database!$F$1:$AY$1,),)))))/(((VLOOKUP(EDATE(B241,-12),Database!$F:$AY,MATCH($I$1,Database!$F$1:$AY$1,),))))</f>
        <v>5.4260314615244354E-3</v>
      </c>
      <c r="J241" s="13">
        <f>((((VLOOKUP(B241,Database!$F:$AY,MATCH($J$1,Database!$F$1:$AY$1,),))))-(((VLOOKUP(EDATE(B241,-12),Database!$F:$AY,MATCH($J$1,Database!$F$1:$AY$1,),)))))/(((VLOOKUP(EDATE(B241,-12),Database!$F:$AY,MATCH($J$1,Database!$F$1:$AY$1,),))))</f>
        <v>-4.0357979748038252E-3</v>
      </c>
      <c r="K241" s="13">
        <f>((((VLOOKUP(B241,Database!$F:$AY,MATCH($K$1,Database!$F$1:$AY$1,),))))-(((VLOOKUP(EDATE(B241,-12),Database!$F:$AY,MATCH($K$1,Database!$F$1:$AY$1,),)))))/(((VLOOKUP(EDATE(B241,-12),Database!$F:$AY,MATCH($K$1,Database!$F$1:$AY$1,),))))</f>
        <v>1.6992353440951572E-2</v>
      </c>
      <c r="L241" s="13">
        <f>((((VLOOKUP(B241,Database!$F:$AY,MATCH($L$1,Database!$F$1:$AY$1,),))))-(((VLOOKUP(EDATE(B241,-12),Database!$F:$AY,MATCH($L$1,Database!$F$1:$AY$1,),)))))/(((VLOOKUP(EDATE(B241,-12),Database!$F:$AY,MATCH($L$1,Database!$F$1:$AY$1,),))))</f>
        <v>2.0953301399806556E-2</v>
      </c>
      <c r="M241" s="13">
        <f>((((VLOOKUP(B241,Database!$F:$AY,MATCH($M$1,Database!$F$1:$AY$1,),))))-(((VLOOKUP(EDATE(B241,-12),Database!$F:$AY,MATCH($M$1,Database!$F$1:$AY$1,),)))))/(((VLOOKUP(EDATE(B241,-12),Database!$F:$AY,MATCH($M$1,Database!$F$1:$AY$1,),))))</f>
        <v>5.4117647058823465E-2</v>
      </c>
      <c r="N241" s="13">
        <f>((((VLOOKUP(B241,Database!$F:$AY,MATCH($N$1,Database!$F$1:$AY$1,),))))-(((VLOOKUP(EDATE(B241,-12),Database!$F:$AY,MATCH($N$1,Database!$F$1:$AY$1,),)))))/(((VLOOKUP(EDATE(B241,-12),Database!$F:$AY,MATCH($N$1,Database!$F$1:$AY$1,),))))</f>
        <v>0.12891600156959815</v>
      </c>
      <c r="O241" s="13">
        <f>((((VLOOKUP(B241,Database!$F:$AY,MATCH($O$1,Database!$F$1:$AY$1,),))))-(((VLOOKUP(EDATE(B241,-12),Database!$F:$AY,MATCH($O$1,Database!$F$1:$AY$1,),)))))/(((VLOOKUP(EDATE(B241,-12),Database!$F:$AY,MATCH($O$1,Database!$F$1:$AY$1,),))))</f>
        <v>-3.6306184564071177E-2</v>
      </c>
      <c r="P241" s="13">
        <f>((((VLOOKUP(B241,Database!$F:$AY,MATCH($P$1,Database!$F$1:$AY$1,),))))-(((VLOOKUP(EDATE(B241,-12),Database!$F:$AY,MATCH($P$1,Database!$F$1:$AY$1,),)))))/(((VLOOKUP(EDATE(B241,-12),Database!$F:$AY,MATCH($P$1,Database!$F$1:$AY$1,),))))</f>
        <v>0.10825103035439458</v>
      </c>
      <c r="Q241" s="13">
        <f>((((VLOOKUP(B241,Database!$F:$AY,MATCH($Q$1,Database!$F$1:$AY$1,),))))-(((VLOOKUP(EDATE(B241,-12),Database!$F:$AY,MATCH($Q$1,Database!$F$1:$AY$1,),)))))/(((VLOOKUP(EDATE(B241,-12),Database!$F:$AY,MATCH($Q$1,Database!$F$1:$AY$1,),))))</f>
        <v>6.7092515785564008E-2</v>
      </c>
      <c r="R241" s="13">
        <f>((((VLOOKUP(B241,Database!$F:$AY,MATCH($R$1,Database!$F$1:$AY$1,),))))-(((VLOOKUP(EDATE(B241,-12),Database!$F:$AY,MATCH($R$1,Database!$F$1:$AY$1,),)))))/(((VLOOKUP(EDATE(B241,-12),Database!$F:$AY,MATCH($R$1,Database!$F$1:$AY$1,),))))</f>
        <v>-6.1994736455074695E-2</v>
      </c>
      <c r="S241" s="13">
        <f>((((VLOOKUP(B241,Database!$F:$AY,MATCH($S$1,Database!$F$1:$AY$1,),))))-(((VLOOKUP(EDATE(B241,-12),Database!$F:$AY,MATCH($S$1,Database!$F$1:$AY$1,),)))))/(((VLOOKUP(EDATE(B241,-12),Database!$F:$AY,MATCH($S$1,Database!$F$1:$AY$1,),))))</f>
        <v>-1.9230733655587511E-2</v>
      </c>
      <c r="T241" s="13">
        <f>((((VLOOKUP(B241,Database!$F:$AY,MATCH($T$1,Database!$F$1:$AY$1,),))))-(((VLOOKUP(EDATE(B241,-12),Database!$F:$AY,MATCH($T$1,Database!$F$1:$AY$1,),)))))/(((VLOOKUP(EDATE(B241,-12),Database!$F:$AY,MATCH($T$1,Database!$F$1:$AY$1,),))))</f>
        <v>6.4896705993936113E-2</v>
      </c>
      <c r="U241" s="13">
        <f>((((VLOOKUP(B241,Database!$F:$AY,MATCH($U$1,Database!$F$1:$AY$1,),))))-(((VLOOKUP(EDATE(B241,-12),Database!$F:$AY,MATCH($U$1,Database!$F$1:$AY$1,),)))))/(((VLOOKUP(EDATE(B241,-12),Database!$F:$AY,MATCH($U$1,Database!$F$1:$AY$1,),))))</f>
        <v>5.1282158137467379E-2</v>
      </c>
      <c r="V241" s="13">
        <f>((((VLOOKUP(B241,Database!$F:$AY,MATCH($V$1,Database!$F$1:$AY$1,),))))-(((VLOOKUP(EDATE(B241,-12),Database!$F:$AY,MATCH($V$1,Database!$F$1:$AY$1,),)))))/(((VLOOKUP(EDATE(B241,-12),Database!$F:$AY,MATCH($V$1,Database!$F$1:$AY$1,),))))</f>
        <v>0.10646900269541767</v>
      </c>
    </row>
    <row r="242" spans="1:22" s="85" customFormat="1" x14ac:dyDescent="0.2">
      <c r="A242" s="44"/>
      <c r="B242" s="91">
        <v>39508</v>
      </c>
      <c r="C242" s="13">
        <f>((((VLOOKUP(B242,Database!$F:$AY,MATCH($C$1,Database!$F$1:$AY$1,),))))-(((VLOOKUP(EDATE(B242,-12),Database!$F:$AY,MATCH($C$1,Database!$F$1:$AY$1,),)))))/(((VLOOKUP(EDATE(B242,-12),Database!$F:$AY,MATCH($C$1,Database!$F$1:$AY$1,),))))</f>
        <v>6.8388020737167295E-3</v>
      </c>
      <c r="D242" s="13">
        <f>((((VLOOKUP(B242,Database!$F:$AY,MATCH($D$1,Database!$F$1:$AY$1,),))))-(((VLOOKUP(EDATE(B242,-12),Database!$F:$AY,MATCH($D$1,Database!$F$1:$AY$1,),)))))/(((VLOOKUP(EDATE(B242,-12),Database!$F:$AY,MATCH($D$1,Database!$F$1:$AY$1,),))))</f>
        <v>1.8726903922189186E-2</v>
      </c>
      <c r="E242" s="13">
        <f>((((VLOOKUP(B242,Database!$F:$AY,MATCH($E$1,Database!$F$1:$AY$1,),))))-(((VLOOKUP(EDATE(B242,-12),Database!$F:$AY,MATCH($E$1,Database!$F$1:$AY$1,),)))))/(((VLOOKUP(EDATE(B242,-12),Database!$F:$AY,MATCH($E$1,Database!$F$1:$AY$1,),))))</f>
        <v>2.7287410067879679E-2</v>
      </c>
      <c r="F242" s="13">
        <f>((((VLOOKUP(B242,Database!$F:$AY,MATCH($F$1,Database!$F$1:$AY$1,),))))-(((VLOOKUP(EDATE(B242,-12),Database!$F:$AY,MATCH($F$1,Database!$F$1:$AY$1,),)))))/(((VLOOKUP(EDATE(B242,-12),Database!$F:$AY,MATCH($F$1,Database!$F$1:$AY$1,),))))</f>
        <v>4.270876739728309E-2</v>
      </c>
      <c r="G242" s="13">
        <f>((((VLOOKUP(B242,Database!$F:$AY,MATCH($G$1,Database!$F$1:$AY$1,),))))-(((VLOOKUP(EDATE(B242,-12),Database!$F:$AY,MATCH($G$1,Database!$F$1:$AY$1,),)))))/(((VLOOKUP(EDATE(B242,-12),Database!$F:$AY,MATCH($G$1,Database!$F$1:$AY$1,),))))</f>
        <v>-2.6513266796805794E-4</v>
      </c>
      <c r="H242" s="13">
        <f>((((VLOOKUP(B242,Database!$F:$AY,MATCH($H$1,Database!$F$1:$AY$1,),))))-(((VLOOKUP(EDATE(B242,-12),Database!$F:$AY,MATCH($H$1,Database!$F$1:$AY$1,),)))))/(((VLOOKUP(EDATE(B242,-12),Database!$F:$AY,MATCH($H$1,Database!$F$1:$AY$1,),))))</f>
        <v>-8.5794350647682219E-3</v>
      </c>
      <c r="I242" s="13">
        <f>((((VLOOKUP(B242,Database!$F:$AY,MATCH($I$1,Database!$F$1:$AY$1,),))))-(((VLOOKUP(EDATE(B242,-12),Database!$F:$AY,MATCH($I$1,Database!$F$1:$AY$1,),)))))/(((VLOOKUP(EDATE(B242,-12),Database!$F:$AY,MATCH($I$1,Database!$F$1:$AY$1,),))))</f>
        <v>5.3925904466628483E-3</v>
      </c>
      <c r="J242" s="13">
        <f>((((VLOOKUP(B242,Database!$F:$AY,MATCH($J$1,Database!$F$1:$AY$1,),))))-(((VLOOKUP(EDATE(B242,-12),Database!$F:$AY,MATCH($J$1,Database!$F$1:$AY$1,),)))))/(((VLOOKUP(EDATE(B242,-12),Database!$F:$AY,MATCH($J$1,Database!$F$1:$AY$1,),))))</f>
        <v>-4.0128181337425149E-2</v>
      </c>
      <c r="K242" s="13">
        <f>((((VLOOKUP(B242,Database!$F:$AY,MATCH($K$1,Database!$F$1:$AY$1,),))))-(((VLOOKUP(EDATE(B242,-12),Database!$F:$AY,MATCH($K$1,Database!$F$1:$AY$1,),)))))/(((VLOOKUP(EDATE(B242,-12),Database!$F:$AY,MATCH($K$1,Database!$F$1:$AY$1,),))))</f>
        <v>-1.6792611251048584E-3</v>
      </c>
      <c r="L242" s="13">
        <f>((((VLOOKUP(B242,Database!$F:$AY,MATCH($L$1,Database!$F$1:$AY$1,),))))-(((VLOOKUP(EDATE(B242,-12),Database!$F:$AY,MATCH($L$1,Database!$F$1:$AY$1,),)))))/(((VLOOKUP(EDATE(B242,-12),Database!$F:$AY,MATCH($L$1,Database!$F$1:$AY$1,),))))</f>
        <v>-4.8540814573349285E-6</v>
      </c>
      <c r="M242" s="13">
        <f>((((VLOOKUP(B242,Database!$F:$AY,MATCH($M$1,Database!$F$1:$AY$1,),))))-(((VLOOKUP(EDATE(B242,-12),Database!$F:$AY,MATCH($M$1,Database!$F$1:$AY$1,),)))))/(((VLOOKUP(EDATE(B242,-12),Database!$F:$AY,MATCH($M$1,Database!$F$1:$AY$1,),))))</f>
        <v>3.8283062645011565E-2</v>
      </c>
      <c r="N242" s="13">
        <f>((((VLOOKUP(B242,Database!$F:$AY,MATCH($N$1,Database!$F$1:$AY$1,),))))-(((VLOOKUP(EDATE(B242,-12),Database!$F:$AY,MATCH($N$1,Database!$F$1:$AY$1,),)))))/(((VLOOKUP(EDATE(B242,-12),Database!$F:$AY,MATCH($N$1,Database!$F$1:$AY$1,),))))</f>
        <v>0.11835148614762046</v>
      </c>
      <c r="O242" s="13">
        <f>((((VLOOKUP(B242,Database!$F:$AY,MATCH($O$1,Database!$F$1:$AY$1,),))))-(((VLOOKUP(EDATE(B242,-12),Database!$F:$AY,MATCH($O$1,Database!$F$1:$AY$1,),)))))/(((VLOOKUP(EDATE(B242,-12),Database!$F:$AY,MATCH($O$1,Database!$F$1:$AY$1,),))))</f>
        <v>-4.6793400302834791E-2</v>
      </c>
      <c r="P242" s="13">
        <f>((((VLOOKUP(B242,Database!$F:$AY,MATCH($P$1,Database!$F$1:$AY$1,),))))-(((VLOOKUP(EDATE(B242,-12),Database!$F:$AY,MATCH($P$1,Database!$F$1:$AY$1,),)))))/(((VLOOKUP(EDATE(B242,-12),Database!$F:$AY,MATCH($P$1,Database!$F$1:$AY$1,),))))</f>
        <v>0.12546930772382961</v>
      </c>
      <c r="Q242" s="13">
        <f>((((VLOOKUP(B242,Database!$F:$AY,MATCH($Q$1,Database!$F$1:$AY$1,),))))-(((VLOOKUP(EDATE(B242,-12),Database!$F:$AY,MATCH($Q$1,Database!$F$1:$AY$1,),)))))/(((VLOOKUP(EDATE(B242,-12),Database!$F:$AY,MATCH($Q$1,Database!$F$1:$AY$1,),))))</f>
        <v>5.9010437702059444E-2</v>
      </c>
      <c r="R242" s="13">
        <f>((((VLOOKUP(B242,Database!$F:$AY,MATCH($R$1,Database!$F$1:$AY$1,),))))-(((VLOOKUP(EDATE(B242,-12),Database!$F:$AY,MATCH($R$1,Database!$F$1:$AY$1,),)))))/(((VLOOKUP(EDATE(B242,-12),Database!$F:$AY,MATCH($R$1,Database!$F$1:$AY$1,),))))</f>
        <v>-3.5235574094116776E-2</v>
      </c>
      <c r="S242" s="13">
        <f>((((VLOOKUP(B242,Database!$F:$AY,MATCH($S$1,Database!$F$1:$AY$1,),))))-(((VLOOKUP(EDATE(B242,-12),Database!$F:$AY,MATCH($S$1,Database!$F$1:$AY$1,),)))))/(((VLOOKUP(EDATE(B242,-12),Database!$F:$AY,MATCH($S$1,Database!$F$1:$AY$1,),))))</f>
        <v>-2.2956776977153912E-2</v>
      </c>
      <c r="T242" s="13">
        <f>((((VLOOKUP(B242,Database!$F:$AY,MATCH($T$1,Database!$F$1:$AY$1,),))))-(((VLOOKUP(EDATE(B242,-12),Database!$F:$AY,MATCH($T$1,Database!$F$1:$AY$1,),)))))/(((VLOOKUP(EDATE(B242,-12),Database!$F:$AY,MATCH($T$1,Database!$F$1:$AY$1,),))))</f>
        <v>4.7895426992030879E-2</v>
      </c>
      <c r="U242" s="13">
        <f>((((VLOOKUP(B242,Database!$F:$AY,MATCH($U$1,Database!$F$1:$AY$1,),))))-(((VLOOKUP(EDATE(B242,-12),Database!$F:$AY,MATCH($U$1,Database!$F$1:$AY$1,),)))))/(((VLOOKUP(EDATE(B242,-12),Database!$F:$AY,MATCH($U$1,Database!$F$1:$AY$1,),))))</f>
        <v>1.0570471359710898E-3</v>
      </c>
      <c r="V242" s="13">
        <f>((((VLOOKUP(B242,Database!$F:$AY,MATCH($V$1,Database!$F$1:$AY$1,),))))-(((VLOOKUP(EDATE(B242,-12),Database!$F:$AY,MATCH($V$1,Database!$F$1:$AY$1,),)))))/(((VLOOKUP(EDATE(B242,-12),Database!$F:$AY,MATCH($V$1,Database!$F$1:$AY$1,),))))</f>
        <v>5.2910052910052914E-2</v>
      </c>
    </row>
    <row r="243" spans="1:22" s="85" customFormat="1" x14ac:dyDescent="0.2">
      <c r="A243" s="44"/>
      <c r="B243" s="91">
        <v>39539</v>
      </c>
      <c r="C243" s="13">
        <f>((((VLOOKUP(B243,Database!$F:$AY,MATCH($C$1,Database!$F$1:$AY$1,),))))-(((VLOOKUP(EDATE(B243,-12),Database!$F:$AY,MATCH($C$1,Database!$F$1:$AY$1,),)))))/(((VLOOKUP(EDATE(B243,-12),Database!$F:$AY,MATCH($C$1,Database!$F$1:$AY$1,),))))</f>
        <v>-7.7623127405202644E-3</v>
      </c>
      <c r="D243" s="13">
        <f>((((VLOOKUP(B243,Database!$F:$AY,MATCH($D$1,Database!$F$1:$AY$1,),))))-(((VLOOKUP(EDATE(B243,-12),Database!$F:$AY,MATCH($D$1,Database!$F$1:$AY$1,),)))))/(((VLOOKUP(EDATE(B243,-12),Database!$F:$AY,MATCH($D$1,Database!$F$1:$AY$1,),))))</f>
        <v>4.3601586615397411E-2</v>
      </c>
      <c r="E243" s="13">
        <f>((((VLOOKUP(B243,Database!$F:$AY,MATCH($E$1,Database!$F$1:$AY$1,),))))-(((VLOOKUP(EDATE(B243,-12),Database!$F:$AY,MATCH($E$1,Database!$F$1:$AY$1,),)))))/(((VLOOKUP(EDATE(B243,-12),Database!$F:$AY,MATCH($E$1,Database!$F$1:$AY$1,),))))</f>
        <v>2.5734788010587688E-2</v>
      </c>
      <c r="F243" s="13">
        <f>((((VLOOKUP(B243,Database!$F:$AY,MATCH($F$1,Database!$F$1:$AY$1,),))))-(((VLOOKUP(EDATE(B243,-12),Database!$F:$AY,MATCH($F$1,Database!$F$1:$AY$1,),)))))/(((VLOOKUP(EDATE(B243,-12),Database!$F:$AY,MATCH($F$1,Database!$F$1:$AY$1,),))))</f>
        <v>5.4678791335724355E-2</v>
      </c>
      <c r="G243" s="13">
        <f>((((VLOOKUP(B243,Database!$F:$AY,MATCH($G$1,Database!$F$1:$AY$1,),))))-(((VLOOKUP(EDATE(B243,-12),Database!$F:$AY,MATCH($G$1,Database!$F$1:$AY$1,),)))))/(((VLOOKUP(EDATE(B243,-12),Database!$F:$AY,MATCH($G$1,Database!$F$1:$AY$1,),))))</f>
        <v>3.8645324159326477E-2</v>
      </c>
      <c r="H243" s="13">
        <f>((((VLOOKUP(B243,Database!$F:$AY,MATCH($H$1,Database!$F$1:$AY$1,),))))-(((VLOOKUP(EDATE(B243,-12),Database!$F:$AY,MATCH($H$1,Database!$F$1:$AY$1,),)))))/(((VLOOKUP(EDATE(B243,-12),Database!$F:$AY,MATCH($H$1,Database!$F$1:$AY$1,),))))</f>
        <v>5.7357221586352251E-3</v>
      </c>
      <c r="I243" s="13">
        <f>((((VLOOKUP(B243,Database!$F:$AY,MATCH($I$1,Database!$F$1:$AY$1,),))))-(((VLOOKUP(EDATE(B243,-12),Database!$F:$AY,MATCH($I$1,Database!$F$1:$AY$1,),)))))/(((VLOOKUP(EDATE(B243,-12),Database!$F:$AY,MATCH($I$1,Database!$F$1:$AY$1,),))))</f>
        <v>3.3725156758130349E-2</v>
      </c>
      <c r="J243" s="13">
        <f>((((VLOOKUP(B243,Database!$F:$AY,MATCH($J$1,Database!$F$1:$AY$1,),))))-(((VLOOKUP(EDATE(B243,-12),Database!$F:$AY,MATCH($J$1,Database!$F$1:$AY$1,),)))))/(((VLOOKUP(EDATE(B243,-12),Database!$F:$AY,MATCH($J$1,Database!$F$1:$AY$1,),))))</f>
        <v>2.556308539654066E-3</v>
      </c>
      <c r="K243" s="13">
        <f>((((VLOOKUP(B243,Database!$F:$AY,MATCH($K$1,Database!$F$1:$AY$1,),))))-(((VLOOKUP(EDATE(B243,-12),Database!$F:$AY,MATCH($K$1,Database!$F$1:$AY$1,),)))))/(((VLOOKUP(EDATE(B243,-12),Database!$F:$AY,MATCH($K$1,Database!$F$1:$AY$1,),))))</f>
        <v>9.3537414965987123E-3</v>
      </c>
      <c r="L243" s="13">
        <f>((((VLOOKUP(B243,Database!$F:$AY,MATCH($L$1,Database!$F$1:$AY$1,),))))-(((VLOOKUP(EDATE(B243,-12),Database!$F:$AY,MATCH($L$1,Database!$F$1:$AY$1,),)))))/(((VLOOKUP(EDATE(B243,-12),Database!$F:$AY,MATCH($L$1,Database!$F$1:$AY$1,),))))</f>
        <v>-1.8400690391562908E-3</v>
      </c>
      <c r="M243" s="13">
        <f>((((VLOOKUP(B243,Database!$F:$AY,MATCH($M$1,Database!$F$1:$AY$1,),))))-(((VLOOKUP(EDATE(B243,-12),Database!$F:$AY,MATCH($M$1,Database!$F$1:$AY$1,),)))))/(((VLOOKUP(EDATE(B243,-12),Database!$F:$AY,MATCH($M$1,Database!$F$1:$AY$1,),))))</f>
        <v>5.2447552447552448E-2</v>
      </c>
      <c r="N243" s="13">
        <f>((((VLOOKUP(B243,Database!$F:$AY,MATCH($N$1,Database!$F$1:$AY$1,),))))-(((VLOOKUP(EDATE(B243,-12),Database!$F:$AY,MATCH($N$1,Database!$F$1:$AY$1,),)))))/(((VLOOKUP(EDATE(B243,-12),Database!$F:$AY,MATCH($N$1,Database!$F$1:$AY$1,),))))</f>
        <v>0.1012603672279721</v>
      </c>
      <c r="O243" s="13">
        <f>((((VLOOKUP(B243,Database!$F:$AY,MATCH($O$1,Database!$F$1:$AY$1,),))))-(((VLOOKUP(EDATE(B243,-12),Database!$F:$AY,MATCH($O$1,Database!$F$1:$AY$1,),)))))/(((VLOOKUP(EDATE(B243,-12),Database!$F:$AY,MATCH($O$1,Database!$F$1:$AY$1,),))))</f>
        <v>-3.2390470530598403E-2</v>
      </c>
      <c r="P243" s="13">
        <f>((((VLOOKUP(B243,Database!$F:$AY,MATCH($P$1,Database!$F$1:$AY$1,),))))-(((VLOOKUP(EDATE(B243,-12),Database!$F:$AY,MATCH($P$1,Database!$F$1:$AY$1,),)))))/(((VLOOKUP(EDATE(B243,-12),Database!$F:$AY,MATCH($P$1,Database!$F$1:$AY$1,),))))</f>
        <v>0.11131368292179092</v>
      </c>
      <c r="Q243" s="13">
        <f>((((VLOOKUP(B243,Database!$F:$AY,MATCH($Q$1,Database!$F$1:$AY$1,),))))-(((VLOOKUP(EDATE(B243,-12),Database!$F:$AY,MATCH($Q$1,Database!$F$1:$AY$1,),)))))/(((VLOOKUP(EDATE(B243,-12),Database!$F:$AY,MATCH($Q$1,Database!$F$1:$AY$1,),))))</f>
        <v>4.5833498899693244E-2</v>
      </c>
      <c r="R243" s="13">
        <f>((((VLOOKUP(B243,Database!$F:$AY,MATCH($R$1,Database!$F$1:$AY$1,),))))-(((VLOOKUP(EDATE(B243,-12),Database!$F:$AY,MATCH($R$1,Database!$F$1:$AY$1,),)))))/(((VLOOKUP(EDATE(B243,-12),Database!$F:$AY,MATCH($R$1,Database!$F$1:$AY$1,),))))</f>
        <v>1.1912972160267916E-2</v>
      </c>
      <c r="S243" s="13">
        <f>((((VLOOKUP(B243,Database!$F:$AY,MATCH($S$1,Database!$F$1:$AY$1,),))))-(((VLOOKUP(EDATE(B243,-12),Database!$F:$AY,MATCH($S$1,Database!$F$1:$AY$1,),)))))/(((VLOOKUP(EDATE(B243,-12),Database!$F:$AY,MATCH($S$1,Database!$F$1:$AY$1,),))))</f>
        <v>-5.0973074678840068E-2</v>
      </c>
      <c r="T243" s="13">
        <f>((((VLOOKUP(B243,Database!$F:$AY,MATCH($T$1,Database!$F$1:$AY$1,),))))-(((VLOOKUP(EDATE(B243,-12),Database!$F:$AY,MATCH($T$1,Database!$F$1:$AY$1,),)))))/(((VLOOKUP(EDATE(B243,-12),Database!$F:$AY,MATCH($T$1,Database!$F$1:$AY$1,),))))</f>
        <v>2.8859978673549051E-2</v>
      </c>
      <c r="U243" s="13">
        <f>((((VLOOKUP(B243,Database!$F:$AY,MATCH($U$1,Database!$F$1:$AY$1,),))))-(((VLOOKUP(EDATE(B243,-12),Database!$F:$AY,MATCH($U$1,Database!$F$1:$AY$1,),)))))/(((VLOOKUP(EDATE(B243,-12),Database!$F:$AY,MATCH($U$1,Database!$F$1:$AY$1,),))))</f>
        <v>3.6441550547813652E-2</v>
      </c>
      <c r="V243" s="13">
        <f>((((VLOOKUP(B243,Database!$F:$AY,MATCH($V$1,Database!$F$1:$AY$1,),))))-(((VLOOKUP(EDATE(B243,-12),Database!$F:$AY,MATCH($V$1,Database!$F$1:$AY$1,),)))))/(((VLOOKUP(EDATE(B243,-12),Database!$F:$AY,MATCH($V$1,Database!$F$1:$AY$1,),))))</f>
        <v>9.1275167785234868E-2</v>
      </c>
    </row>
    <row r="244" spans="1:22" s="85" customFormat="1" x14ac:dyDescent="0.2">
      <c r="A244" s="44"/>
      <c r="B244" s="91">
        <v>39569</v>
      </c>
      <c r="C244" s="13">
        <f>((((VLOOKUP(B244,Database!$F:$AY,MATCH($C$1,Database!$F$1:$AY$1,),))))-(((VLOOKUP(EDATE(B244,-12),Database!$F:$AY,MATCH($C$1,Database!$F$1:$AY$1,),)))))/(((VLOOKUP(EDATE(B244,-12),Database!$F:$AY,MATCH($C$1,Database!$F$1:$AY$1,),))))</f>
        <v>-1.3832389481714894E-2</v>
      </c>
      <c r="D244" s="13">
        <f>((((VLOOKUP(B244,Database!$F:$AY,MATCH($D$1,Database!$F$1:$AY$1,),))))-(((VLOOKUP(EDATE(B244,-12),Database!$F:$AY,MATCH($D$1,Database!$F$1:$AY$1,),)))))/(((VLOOKUP(EDATE(B244,-12),Database!$F:$AY,MATCH($D$1,Database!$F$1:$AY$1,),))))</f>
        <v>-4.6553382733248534E-3</v>
      </c>
      <c r="E244" s="13">
        <f>((((VLOOKUP(B244,Database!$F:$AY,MATCH($E$1,Database!$F$1:$AY$1,),))))-(((VLOOKUP(EDATE(B244,-12),Database!$F:$AY,MATCH($E$1,Database!$F$1:$AY$1,),)))))/(((VLOOKUP(EDATE(B244,-12),Database!$F:$AY,MATCH($E$1,Database!$F$1:$AY$1,),))))</f>
        <v>1.9516052888210421E-2</v>
      </c>
      <c r="F244" s="13">
        <f>((((VLOOKUP(B244,Database!$F:$AY,MATCH($F$1,Database!$F$1:$AY$1,),))))-(((VLOOKUP(EDATE(B244,-12),Database!$F:$AY,MATCH($F$1,Database!$F$1:$AY$1,),)))))/(((VLOOKUP(EDATE(B244,-12),Database!$F:$AY,MATCH($F$1,Database!$F$1:$AY$1,),))))</f>
        <v>1.5495919959442947E-2</v>
      </c>
      <c r="G244" s="13">
        <f>((((VLOOKUP(B244,Database!$F:$AY,MATCH($G$1,Database!$F$1:$AY$1,),))))-(((VLOOKUP(EDATE(B244,-12),Database!$F:$AY,MATCH($G$1,Database!$F$1:$AY$1,),)))))/(((VLOOKUP(EDATE(B244,-12),Database!$F:$AY,MATCH($G$1,Database!$F$1:$AY$1,),))))</f>
        <v>-3.3526152593142525E-2</v>
      </c>
      <c r="H244" s="13">
        <f>((((VLOOKUP(B244,Database!$F:$AY,MATCH($H$1,Database!$F$1:$AY$1,),))))-(((VLOOKUP(EDATE(B244,-12),Database!$F:$AY,MATCH($H$1,Database!$F$1:$AY$1,),)))))/(((VLOOKUP(EDATE(B244,-12),Database!$F:$AY,MATCH($H$1,Database!$F$1:$AY$1,),))))</f>
        <v>-2.0695854033566725E-2</v>
      </c>
      <c r="I244" s="13">
        <f>((((VLOOKUP(B244,Database!$F:$AY,MATCH($I$1,Database!$F$1:$AY$1,),))))-(((VLOOKUP(EDATE(B244,-12),Database!$F:$AY,MATCH($I$1,Database!$F$1:$AY$1,),)))))/(((VLOOKUP(EDATE(B244,-12),Database!$F:$AY,MATCH($I$1,Database!$F$1:$AY$1,),))))</f>
        <v>-2.3041099446881423E-2</v>
      </c>
      <c r="J244" s="13">
        <f>((((VLOOKUP(B244,Database!$F:$AY,MATCH($J$1,Database!$F$1:$AY$1,),))))-(((VLOOKUP(EDATE(B244,-12),Database!$F:$AY,MATCH($J$1,Database!$F$1:$AY$1,),)))))/(((VLOOKUP(EDATE(B244,-12),Database!$F:$AY,MATCH($J$1,Database!$F$1:$AY$1,),))))</f>
        <v>-5.6785829704067509E-2</v>
      </c>
      <c r="K244" s="13">
        <f>((((VLOOKUP(B244,Database!$F:$AY,MATCH($K$1,Database!$F$1:$AY$1,),))))-(((VLOOKUP(EDATE(B244,-12),Database!$F:$AY,MATCH($K$1,Database!$F$1:$AY$1,),)))))/(((VLOOKUP(EDATE(B244,-12),Database!$F:$AY,MATCH($K$1,Database!$F$1:$AY$1,),))))</f>
        <v>-2.5445292620866105E-3</v>
      </c>
      <c r="L244" s="13">
        <f>((((VLOOKUP(B244,Database!$F:$AY,MATCH($L$1,Database!$F$1:$AY$1,),))))-(((VLOOKUP(EDATE(B244,-12),Database!$F:$AY,MATCH($L$1,Database!$F$1:$AY$1,),)))))/(((VLOOKUP(EDATE(B244,-12),Database!$F:$AY,MATCH($L$1,Database!$F$1:$AY$1,),))))</f>
        <v>2.5984631946249456E-3</v>
      </c>
      <c r="M244" s="13">
        <f>((((VLOOKUP(B244,Database!$F:$AY,MATCH($M$1,Database!$F$1:$AY$1,),))))-(((VLOOKUP(EDATE(B244,-12),Database!$F:$AY,MATCH($M$1,Database!$F$1:$AY$1,),)))))/(((VLOOKUP(EDATE(B244,-12),Database!$F:$AY,MATCH($M$1,Database!$F$1:$AY$1,),))))</f>
        <v>5.3302433371958384E-2</v>
      </c>
      <c r="N244" s="13">
        <f>((((VLOOKUP(B244,Database!$F:$AY,MATCH($N$1,Database!$F$1:$AY$1,),))))-(((VLOOKUP(EDATE(B244,-12),Database!$F:$AY,MATCH($N$1,Database!$F$1:$AY$1,),)))))/(((VLOOKUP(EDATE(B244,-12),Database!$F:$AY,MATCH($N$1,Database!$F$1:$AY$1,),))))</f>
        <v>7.381003938022776E-2</v>
      </c>
      <c r="O244" s="13">
        <f>((((VLOOKUP(B244,Database!$F:$AY,MATCH($O$1,Database!$F$1:$AY$1,),))))-(((VLOOKUP(EDATE(B244,-12),Database!$F:$AY,MATCH($O$1,Database!$F$1:$AY$1,),)))))/(((VLOOKUP(EDATE(B244,-12),Database!$F:$AY,MATCH($O$1,Database!$F$1:$AY$1,),))))</f>
        <v>-3.7331875072468192E-2</v>
      </c>
      <c r="P244" s="13">
        <f>((((VLOOKUP(B244,Database!$F:$AY,MATCH($P$1,Database!$F$1:$AY$1,),))))-(((VLOOKUP(EDATE(B244,-12),Database!$F:$AY,MATCH($P$1,Database!$F$1:$AY$1,),)))))/(((VLOOKUP(EDATE(B244,-12),Database!$F:$AY,MATCH($P$1,Database!$F$1:$AY$1,),))))</f>
        <v>9.138196245656445E-2</v>
      </c>
      <c r="Q244" s="13">
        <f>((((VLOOKUP(B244,Database!$F:$AY,MATCH($Q$1,Database!$F$1:$AY$1,),))))-(((VLOOKUP(EDATE(B244,-12),Database!$F:$AY,MATCH($Q$1,Database!$F$1:$AY$1,),)))))/(((VLOOKUP(EDATE(B244,-12),Database!$F:$AY,MATCH($Q$1,Database!$F$1:$AY$1,),))))</f>
        <v>4.9844333719080203E-2</v>
      </c>
      <c r="R244" s="13">
        <f>((((VLOOKUP(B244,Database!$F:$AY,MATCH($R$1,Database!$F$1:$AY$1,),))))-(((VLOOKUP(EDATE(B244,-12),Database!$F:$AY,MATCH($R$1,Database!$F$1:$AY$1,),)))))/(((VLOOKUP(EDATE(B244,-12),Database!$F:$AY,MATCH($R$1,Database!$F$1:$AY$1,),))))</f>
        <v>-6.8166664505548813E-2</v>
      </c>
      <c r="S244" s="13">
        <f>((((VLOOKUP(B244,Database!$F:$AY,MATCH($S$1,Database!$F$1:$AY$1,),))))-(((VLOOKUP(EDATE(B244,-12),Database!$F:$AY,MATCH($S$1,Database!$F$1:$AY$1,),)))))/(((VLOOKUP(EDATE(B244,-12),Database!$F:$AY,MATCH($S$1,Database!$F$1:$AY$1,),))))</f>
        <v>5.5447485313082114E-2</v>
      </c>
      <c r="T244" s="13">
        <f>((((VLOOKUP(B244,Database!$F:$AY,MATCH($T$1,Database!$F$1:$AY$1,),))))-(((VLOOKUP(EDATE(B244,-12),Database!$F:$AY,MATCH($T$1,Database!$F$1:$AY$1,),)))))/(((VLOOKUP(EDATE(B244,-12),Database!$F:$AY,MATCH($T$1,Database!$F$1:$AY$1,),))))</f>
        <v>9.9433006700985031E-3</v>
      </c>
      <c r="U244" s="13">
        <f>((((VLOOKUP(B244,Database!$F:$AY,MATCH($U$1,Database!$F$1:$AY$1,),))))-(((VLOOKUP(EDATE(B244,-12),Database!$F:$AY,MATCH($U$1,Database!$F$1:$AY$1,),)))))/(((VLOOKUP(EDATE(B244,-12),Database!$F:$AY,MATCH($U$1,Database!$F$1:$AY$1,),))))</f>
        <v>1.8123702275763001E-2</v>
      </c>
      <c r="V244" s="13">
        <f>((((VLOOKUP(B244,Database!$F:$AY,MATCH($V$1,Database!$F$1:$AY$1,),))))-(((VLOOKUP(EDATE(B244,-12),Database!$F:$AY,MATCH($V$1,Database!$F$1:$AY$1,),)))))/(((VLOOKUP(EDATE(B244,-12),Database!$F:$AY,MATCH($V$1,Database!$F$1:$AY$1,),))))</f>
        <v>3.4528552456839424E-2</v>
      </c>
    </row>
    <row r="245" spans="1:22" s="85" customFormat="1" x14ac:dyDescent="0.2">
      <c r="A245" s="44"/>
      <c r="B245" s="91">
        <v>39600</v>
      </c>
      <c r="C245" s="13">
        <f>((((VLOOKUP(B245,Database!$F:$AY,MATCH($C$1,Database!$F$1:$AY$1,),))))-(((VLOOKUP(EDATE(B245,-12),Database!$F:$AY,MATCH($C$1,Database!$F$1:$AY$1,),)))))/(((VLOOKUP(EDATE(B245,-12),Database!$F:$AY,MATCH($C$1,Database!$F$1:$AY$1,),))))</f>
        <v>-1.6422771513205463E-2</v>
      </c>
      <c r="D245" s="13">
        <f>((((VLOOKUP(B245,Database!$F:$AY,MATCH($D$1,Database!$F$1:$AY$1,),))))-(((VLOOKUP(EDATE(B245,-12),Database!$F:$AY,MATCH($D$1,Database!$F$1:$AY$1,),)))))/(((VLOOKUP(EDATE(B245,-12),Database!$F:$AY,MATCH($D$1,Database!$F$1:$AY$1,),))))</f>
        <v>-2.7928304624326946E-3</v>
      </c>
      <c r="E245" s="13">
        <f>((((VLOOKUP(B245,Database!$F:$AY,MATCH($E$1,Database!$F$1:$AY$1,),))))-(((VLOOKUP(EDATE(B245,-12),Database!$F:$AY,MATCH($E$1,Database!$F$1:$AY$1,),)))))/(((VLOOKUP(EDATE(B245,-12),Database!$F:$AY,MATCH($E$1,Database!$F$1:$AY$1,),))))</f>
        <v>-7.89549857510587E-3</v>
      </c>
      <c r="F245" s="13">
        <f>((((VLOOKUP(B245,Database!$F:$AY,MATCH($F$1,Database!$F$1:$AY$1,),))))-(((VLOOKUP(EDATE(B245,-12),Database!$F:$AY,MATCH($F$1,Database!$F$1:$AY$1,),)))))/(((VLOOKUP(EDATE(B245,-12),Database!$F:$AY,MATCH($F$1,Database!$F$1:$AY$1,),))))</f>
        <v>2.7921458603478264E-2</v>
      </c>
      <c r="G245" s="13">
        <f>((((VLOOKUP(B245,Database!$F:$AY,MATCH($G$1,Database!$F$1:$AY$1,),))))-(((VLOOKUP(EDATE(B245,-12),Database!$F:$AY,MATCH($G$1,Database!$F$1:$AY$1,),)))))/(((VLOOKUP(EDATE(B245,-12),Database!$F:$AY,MATCH($G$1,Database!$F$1:$AY$1,),))))</f>
        <v>-3.2684085845500366E-2</v>
      </c>
      <c r="H245" s="13">
        <f>((((VLOOKUP(B245,Database!$F:$AY,MATCH($H$1,Database!$F$1:$AY$1,),))))-(((VLOOKUP(EDATE(B245,-12),Database!$F:$AY,MATCH($H$1,Database!$F$1:$AY$1,),)))))/(((VLOOKUP(EDATE(B245,-12),Database!$F:$AY,MATCH($H$1,Database!$F$1:$AY$1,),))))</f>
        <v>-1.9010647940452034E-2</v>
      </c>
      <c r="I245" s="13">
        <f>((((VLOOKUP(B245,Database!$F:$AY,MATCH($I$1,Database!$F$1:$AY$1,),))))-(((VLOOKUP(EDATE(B245,-12),Database!$F:$AY,MATCH($I$1,Database!$F$1:$AY$1,),)))))/(((VLOOKUP(EDATE(B245,-12),Database!$F:$AY,MATCH($I$1,Database!$F$1:$AY$1,),))))</f>
        <v>-6.1821233920603862E-3</v>
      </c>
      <c r="J245" s="13">
        <f>((((VLOOKUP(B245,Database!$F:$AY,MATCH($J$1,Database!$F$1:$AY$1,),))))-(((VLOOKUP(EDATE(B245,-12),Database!$F:$AY,MATCH($J$1,Database!$F$1:$AY$1,),)))))/(((VLOOKUP(EDATE(B245,-12),Database!$F:$AY,MATCH($J$1,Database!$F$1:$AY$1,),))))</f>
        <v>-9.3647324148007416E-2</v>
      </c>
      <c r="K245" s="13">
        <f>((((VLOOKUP(B245,Database!$F:$AY,MATCH($K$1,Database!$F$1:$AY$1,),))))-(((VLOOKUP(EDATE(B245,-12),Database!$F:$AY,MATCH($K$1,Database!$F$1:$AY$1,),)))))/(((VLOOKUP(EDATE(B245,-12),Database!$F:$AY,MATCH($K$1,Database!$F$1:$AY$1,),))))</f>
        <v>-1.1894647408666149E-2</v>
      </c>
      <c r="L245" s="13">
        <f>((((VLOOKUP(B245,Database!$F:$AY,MATCH($L$1,Database!$F$1:$AY$1,),))))-(((VLOOKUP(EDATE(B245,-12),Database!$F:$AY,MATCH($L$1,Database!$F$1:$AY$1,),)))))/(((VLOOKUP(EDATE(B245,-12),Database!$F:$AY,MATCH($L$1,Database!$F$1:$AY$1,),))))</f>
        <v>4.1328114034404348E-3</v>
      </c>
      <c r="M245" s="13">
        <f>((((VLOOKUP(B245,Database!$F:$AY,MATCH($M$1,Database!$F$1:$AY$1,),))))-(((VLOOKUP(EDATE(B245,-12),Database!$F:$AY,MATCH($M$1,Database!$F$1:$AY$1,),)))))/(((VLOOKUP(EDATE(B245,-12),Database!$F:$AY,MATCH($M$1,Database!$F$1:$AY$1,),))))</f>
        <v>2.7491408934707969E-2</v>
      </c>
      <c r="N245" s="13">
        <f>((((VLOOKUP(B245,Database!$F:$AY,MATCH($N$1,Database!$F$1:$AY$1,),))))-(((VLOOKUP(EDATE(B245,-12),Database!$F:$AY,MATCH($N$1,Database!$F$1:$AY$1,),)))))/(((VLOOKUP(EDATE(B245,-12),Database!$F:$AY,MATCH($N$1,Database!$F$1:$AY$1,),))))</f>
        <v>8.1333658458843841E-2</v>
      </c>
      <c r="O245" s="13">
        <f>((((VLOOKUP(B245,Database!$F:$AY,MATCH($O$1,Database!$F$1:$AY$1,),))))-(((VLOOKUP(EDATE(B245,-12),Database!$F:$AY,MATCH($O$1,Database!$F$1:$AY$1,),)))))/(((VLOOKUP(EDATE(B245,-12),Database!$F:$AY,MATCH($O$1,Database!$F$1:$AY$1,),))))</f>
        <v>-3.3099188981663245E-2</v>
      </c>
      <c r="P245" s="13">
        <f>((((VLOOKUP(B245,Database!$F:$AY,MATCH($P$1,Database!$F$1:$AY$1,),))))-(((VLOOKUP(EDATE(B245,-12),Database!$F:$AY,MATCH($P$1,Database!$F$1:$AY$1,),)))))/(((VLOOKUP(EDATE(B245,-12),Database!$F:$AY,MATCH($P$1,Database!$F$1:$AY$1,),))))</f>
        <v>8.5870149376544525E-2</v>
      </c>
      <c r="Q245" s="13">
        <f>((((VLOOKUP(B245,Database!$F:$AY,MATCH($Q$1,Database!$F$1:$AY$1,),))))-(((VLOOKUP(EDATE(B245,-12),Database!$F:$AY,MATCH($Q$1,Database!$F$1:$AY$1,),)))))/(((VLOOKUP(EDATE(B245,-12),Database!$F:$AY,MATCH($Q$1,Database!$F$1:$AY$1,),))))</f>
        <v>6.0824653460525728E-2</v>
      </c>
      <c r="R245" s="13">
        <f>((((VLOOKUP(B245,Database!$F:$AY,MATCH($R$1,Database!$F$1:$AY$1,),))))-(((VLOOKUP(EDATE(B245,-12),Database!$F:$AY,MATCH($R$1,Database!$F$1:$AY$1,),)))))/(((VLOOKUP(EDATE(B245,-12),Database!$F:$AY,MATCH($R$1,Database!$F$1:$AY$1,),))))</f>
        <v>-8.9532706156208886E-3</v>
      </c>
      <c r="S245" s="13">
        <f>((((VLOOKUP(B245,Database!$F:$AY,MATCH($S$1,Database!$F$1:$AY$1,),))))-(((VLOOKUP(EDATE(B245,-12),Database!$F:$AY,MATCH($S$1,Database!$F$1:$AY$1,),)))))/(((VLOOKUP(EDATE(B245,-12),Database!$F:$AY,MATCH($S$1,Database!$F$1:$AY$1,),))))</f>
        <v>1.8518412173109674E-2</v>
      </c>
      <c r="T245" s="13">
        <f>((((VLOOKUP(B245,Database!$F:$AY,MATCH($T$1,Database!$F$1:$AY$1,),))))-(((VLOOKUP(EDATE(B245,-12),Database!$F:$AY,MATCH($T$1,Database!$F$1:$AY$1,),)))))/(((VLOOKUP(EDATE(B245,-12),Database!$F:$AY,MATCH($T$1,Database!$F$1:$AY$1,),))))</f>
        <v>3.6284445177290389E-2</v>
      </c>
      <c r="U245" s="13">
        <f>((((VLOOKUP(B245,Database!$F:$AY,MATCH($U$1,Database!$F$1:$AY$1,),))))-(((VLOOKUP(EDATE(B245,-12),Database!$F:$AY,MATCH($U$1,Database!$F$1:$AY$1,),)))))/(((VLOOKUP(EDATE(B245,-12),Database!$F:$AY,MATCH($U$1,Database!$F$1:$AY$1,),))))</f>
        <v>7.4626507593963413E-3</v>
      </c>
      <c r="V245" s="13">
        <f>((((VLOOKUP(B245,Database!$F:$AY,MATCH($V$1,Database!$F$1:$AY$1,),))))-(((VLOOKUP(EDATE(B245,-12),Database!$F:$AY,MATCH($V$1,Database!$F$1:$AY$1,),)))))/(((VLOOKUP(EDATE(B245,-12),Database!$F:$AY,MATCH($V$1,Database!$F$1:$AY$1,),))))</f>
        <v>3.5667107001321037E-2</v>
      </c>
    </row>
    <row r="246" spans="1:22" s="85" customFormat="1" x14ac:dyDescent="0.2">
      <c r="A246" s="44"/>
      <c r="B246" s="91">
        <v>39630</v>
      </c>
      <c r="C246" s="13">
        <f>((((VLOOKUP(B246,Database!$F:$AY,MATCH($C$1,Database!$F$1:$AY$1,),))))-(((VLOOKUP(EDATE(B246,-12),Database!$F:$AY,MATCH($C$1,Database!$F$1:$AY$1,),)))))/(((VLOOKUP(EDATE(B246,-12),Database!$F:$AY,MATCH($C$1,Database!$F$1:$AY$1,),))))</f>
        <v>-2.1263886384893241E-2</v>
      </c>
      <c r="D246" s="13">
        <f>((((VLOOKUP(B246,Database!$F:$AY,MATCH($D$1,Database!$F$1:$AY$1,),))))-(((VLOOKUP(EDATE(B246,-12),Database!$F:$AY,MATCH($D$1,Database!$F$1:$AY$1,),)))))/(((VLOOKUP(EDATE(B246,-12),Database!$F:$AY,MATCH($D$1,Database!$F$1:$AY$1,),))))</f>
        <v>-1.4870503550311826E-2</v>
      </c>
      <c r="E246" s="13">
        <f>((((VLOOKUP(B246,Database!$F:$AY,MATCH($E$1,Database!$F$1:$AY$1,),))))-(((VLOOKUP(EDATE(B246,-12),Database!$F:$AY,MATCH($E$1,Database!$F$1:$AY$1,),)))))/(((VLOOKUP(EDATE(B246,-12),Database!$F:$AY,MATCH($E$1,Database!$F$1:$AY$1,),))))</f>
        <v>-8.8236686390532389E-3</v>
      </c>
      <c r="F246" s="13">
        <f>((((VLOOKUP(B246,Database!$F:$AY,MATCH($F$1,Database!$F$1:$AY$1,),))))-(((VLOOKUP(EDATE(B246,-12),Database!$F:$AY,MATCH($F$1,Database!$F$1:$AY$1,),)))))/(((VLOOKUP(EDATE(B246,-12),Database!$F:$AY,MATCH($F$1,Database!$F$1:$AY$1,),))))</f>
        <v>3.0801335799247845E-3</v>
      </c>
      <c r="G246" s="13">
        <f>((((VLOOKUP(B246,Database!$F:$AY,MATCH($G$1,Database!$F$1:$AY$1,),))))-(((VLOOKUP(EDATE(B246,-12),Database!$F:$AY,MATCH($G$1,Database!$F$1:$AY$1,),)))))/(((VLOOKUP(EDATE(B246,-12),Database!$F:$AY,MATCH($G$1,Database!$F$1:$AY$1,),))))</f>
        <v>-2.6394300942540486E-2</v>
      </c>
      <c r="H246" s="13">
        <f>((((VLOOKUP(B246,Database!$F:$AY,MATCH($H$1,Database!$F$1:$AY$1,),))))-(((VLOOKUP(EDATE(B246,-12),Database!$F:$AY,MATCH($H$1,Database!$F$1:$AY$1,),)))))/(((VLOOKUP(EDATE(B246,-12),Database!$F:$AY,MATCH($H$1,Database!$F$1:$AY$1,),))))</f>
        <v>-1.9065921352730195E-2</v>
      </c>
      <c r="I246" s="13">
        <f>((((VLOOKUP(B246,Database!$F:$AY,MATCH($I$1,Database!$F$1:$AY$1,),))))-(((VLOOKUP(EDATE(B246,-12),Database!$F:$AY,MATCH($I$1,Database!$F$1:$AY$1,),)))))/(((VLOOKUP(EDATE(B246,-12),Database!$F:$AY,MATCH($I$1,Database!$F$1:$AY$1,),))))</f>
        <v>-3.1104454258635859E-2</v>
      </c>
      <c r="J246" s="13">
        <f>((((VLOOKUP(B246,Database!$F:$AY,MATCH($J$1,Database!$F$1:$AY$1,),))))-(((VLOOKUP(EDATE(B246,-12),Database!$F:$AY,MATCH($J$1,Database!$F$1:$AY$1,),)))))/(((VLOOKUP(EDATE(B246,-12),Database!$F:$AY,MATCH($J$1,Database!$F$1:$AY$1,),))))</f>
        <v>-4.4968248212718442E-2</v>
      </c>
      <c r="K246" s="13">
        <f>((((VLOOKUP(B246,Database!$F:$AY,MATCH($K$1,Database!$F$1:$AY$1,),))))-(((VLOOKUP(EDATE(B246,-12),Database!$F:$AY,MATCH($K$1,Database!$F$1:$AY$1,),)))))/(((VLOOKUP(EDATE(B246,-12),Database!$F:$AY,MATCH($K$1,Database!$F$1:$AY$1,),))))</f>
        <v>1.7256255392578829E-3</v>
      </c>
      <c r="L246" s="13">
        <f>((((VLOOKUP(B246,Database!$F:$AY,MATCH($L$1,Database!$F$1:$AY$1,),))))-(((VLOOKUP(EDATE(B246,-12),Database!$F:$AY,MATCH($L$1,Database!$F$1:$AY$1,),)))))/(((VLOOKUP(EDATE(B246,-12),Database!$F:$AY,MATCH($L$1,Database!$F$1:$AY$1,),))))</f>
        <v>-7.2039682909046665E-3</v>
      </c>
      <c r="M246" s="13">
        <f>((((VLOOKUP(B246,Database!$F:$AY,MATCH($M$1,Database!$F$1:$AY$1,),))))-(((VLOOKUP(EDATE(B246,-12),Database!$F:$AY,MATCH($M$1,Database!$F$1:$AY$1,),)))))/(((VLOOKUP(EDATE(B246,-12),Database!$F:$AY,MATCH($M$1,Database!$F$1:$AY$1,),))))</f>
        <v>1.2443438914027084E-2</v>
      </c>
      <c r="N246" s="13">
        <f>((((VLOOKUP(B246,Database!$F:$AY,MATCH($N$1,Database!$F$1:$AY$1,),))))-(((VLOOKUP(EDATE(B246,-12),Database!$F:$AY,MATCH($N$1,Database!$F$1:$AY$1,),)))))/(((VLOOKUP(EDATE(B246,-12),Database!$F:$AY,MATCH($N$1,Database!$F$1:$AY$1,),))))</f>
        <v>5.1847530593380958E-2</v>
      </c>
      <c r="O246" s="13">
        <f>((((VLOOKUP(B246,Database!$F:$AY,MATCH($O$1,Database!$F$1:$AY$1,),))))-(((VLOOKUP(EDATE(B246,-12),Database!$F:$AY,MATCH($O$1,Database!$F$1:$AY$1,),)))))/(((VLOOKUP(EDATE(B246,-12),Database!$F:$AY,MATCH($O$1,Database!$F$1:$AY$1,),))))</f>
        <v>-7.3410618910099631E-3</v>
      </c>
      <c r="P246" s="13">
        <f>((((VLOOKUP(B246,Database!$F:$AY,MATCH($P$1,Database!$F$1:$AY$1,),))))-(((VLOOKUP(EDATE(B246,-12),Database!$F:$AY,MATCH($P$1,Database!$F$1:$AY$1,),)))))/(((VLOOKUP(EDATE(B246,-12),Database!$F:$AY,MATCH($P$1,Database!$F$1:$AY$1,),))))</f>
        <v>6.9792462865368832E-2</v>
      </c>
      <c r="Q246" s="13">
        <f>((((VLOOKUP(B246,Database!$F:$AY,MATCH($Q$1,Database!$F$1:$AY$1,),))))-(((VLOOKUP(EDATE(B246,-12),Database!$F:$AY,MATCH($Q$1,Database!$F$1:$AY$1,),)))))/(((VLOOKUP(EDATE(B246,-12),Database!$F:$AY,MATCH($Q$1,Database!$F$1:$AY$1,),))))</f>
        <v>6.9429816759421115E-2</v>
      </c>
      <c r="R246" s="13">
        <f>((((VLOOKUP(B246,Database!$F:$AY,MATCH($R$1,Database!$F$1:$AY$1,),))))-(((VLOOKUP(EDATE(B246,-12),Database!$F:$AY,MATCH($R$1,Database!$F$1:$AY$1,),)))))/(((VLOOKUP(EDATE(B246,-12),Database!$F:$AY,MATCH($R$1,Database!$F$1:$AY$1,),))))</f>
        <v>-3.5714015579971885E-2</v>
      </c>
      <c r="S246" s="13">
        <f>((((VLOOKUP(B246,Database!$F:$AY,MATCH($S$1,Database!$F$1:$AY$1,),))))-(((VLOOKUP(EDATE(B246,-12),Database!$F:$AY,MATCH($S$1,Database!$F$1:$AY$1,),)))))/(((VLOOKUP(EDATE(B246,-12),Database!$F:$AY,MATCH($S$1,Database!$F$1:$AY$1,),))))</f>
        <v>-9.1468789855314897E-2</v>
      </c>
      <c r="T246" s="13">
        <f>((((VLOOKUP(B246,Database!$F:$AY,MATCH($T$1,Database!$F$1:$AY$1,),))))-(((VLOOKUP(EDATE(B246,-12),Database!$F:$AY,MATCH($T$1,Database!$F$1:$AY$1,),)))))/(((VLOOKUP(EDATE(B246,-12),Database!$F:$AY,MATCH($T$1,Database!$F$1:$AY$1,),))))</f>
        <v>1.8950413941220826E-2</v>
      </c>
      <c r="U246" s="13">
        <f>((((VLOOKUP(B246,Database!$F:$AY,MATCH($U$1,Database!$F$1:$AY$1,),))))-(((VLOOKUP(EDATE(B246,-12),Database!$F:$AY,MATCH($U$1,Database!$F$1:$AY$1,),)))))/(((VLOOKUP(EDATE(B246,-12),Database!$F:$AY,MATCH($U$1,Database!$F$1:$AY$1,),))))</f>
        <v>-3.4700210287413727E-2</v>
      </c>
      <c r="V246" s="13">
        <f>((((VLOOKUP(B246,Database!$F:$AY,MATCH($V$1,Database!$F$1:$AY$1,),))))-(((VLOOKUP(EDATE(B246,-12),Database!$F:$AY,MATCH($V$1,Database!$F$1:$AY$1,),)))))/(((VLOOKUP(EDATE(B246,-12),Database!$F:$AY,MATCH($V$1,Database!$F$1:$AY$1,),))))</f>
        <v>2.0942408376963276E-2</v>
      </c>
    </row>
    <row r="247" spans="1:22" s="85" customFormat="1" x14ac:dyDescent="0.2">
      <c r="A247" s="44"/>
      <c r="B247" s="91">
        <v>39661</v>
      </c>
      <c r="C247" s="13">
        <f>((((VLOOKUP(B247,Database!$F:$AY,MATCH($C$1,Database!$F$1:$AY$1,),))))-(((VLOOKUP(EDATE(B247,-12),Database!$F:$AY,MATCH($C$1,Database!$F$1:$AY$1,),)))))/(((VLOOKUP(EDATE(B247,-12),Database!$F:$AY,MATCH($C$1,Database!$F$1:$AY$1,),))))</f>
        <v>-3.8378314986861201E-2</v>
      </c>
      <c r="D247" s="13">
        <f>((((VLOOKUP(B247,Database!$F:$AY,MATCH($D$1,Database!$F$1:$AY$1,),))))-(((VLOOKUP(EDATE(B247,-12),Database!$F:$AY,MATCH($D$1,Database!$F$1:$AY$1,),)))))/(((VLOOKUP(EDATE(B247,-12),Database!$F:$AY,MATCH($D$1,Database!$F$1:$AY$1,),))))</f>
        <v>-2.4931198167747082E-2</v>
      </c>
      <c r="E247" s="13">
        <f>((((VLOOKUP(B247,Database!$F:$AY,MATCH($E$1,Database!$F$1:$AY$1,),))))-(((VLOOKUP(EDATE(B247,-12),Database!$F:$AY,MATCH($E$1,Database!$F$1:$AY$1,),)))))/(((VLOOKUP(EDATE(B247,-12),Database!$F:$AY,MATCH($E$1,Database!$F$1:$AY$1,),))))</f>
        <v>-6.8568300928207329E-2</v>
      </c>
      <c r="F247" s="13">
        <f>((((VLOOKUP(B247,Database!$F:$AY,MATCH($F$1,Database!$F$1:$AY$1,),))))-(((VLOOKUP(EDATE(B247,-12),Database!$F:$AY,MATCH($F$1,Database!$F$1:$AY$1,),)))))/(((VLOOKUP(EDATE(B247,-12),Database!$F:$AY,MATCH($F$1,Database!$F$1:$AY$1,),))))</f>
        <v>2.0470896961118274E-2</v>
      </c>
      <c r="G247" s="13">
        <f>((((VLOOKUP(B247,Database!$F:$AY,MATCH($G$1,Database!$F$1:$AY$1,),))))-(((VLOOKUP(EDATE(B247,-12),Database!$F:$AY,MATCH($G$1,Database!$F$1:$AY$1,),)))))/(((VLOOKUP(EDATE(B247,-12),Database!$F:$AY,MATCH($G$1,Database!$F$1:$AY$1,),))))</f>
        <v>-4.5912147685634612E-2</v>
      </c>
      <c r="H247" s="13">
        <f>((((VLOOKUP(B247,Database!$F:$AY,MATCH($H$1,Database!$F$1:$AY$1,),))))-(((VLOOKUP(EDATE(B247,-12),Database!$F:$AY,MATCH($H$1,Database!$F$1:$AY$1,),)))))/(((VLOOKUP(EDATE(B247,-12),Database!$F:$AY,MATCH($H$1,Database!$F$1:$AY$1,),))))</f>
        <v>-1.8921618119556522E-2</v>
      </c>
      <c r="I247" s="13">
        <f>((((VLOOKUP(B247,Database!$F:$AY,MATCH($I$1,Database!$F$1:$AY$1,),))))-(((VLOOKUP(EDATE(B247,-12),Database!$F:$AY,MATCH($I$1,Database!$F$1:$AY$1,),)))))/(((VLOOKUP(EDATE(B247,-12),Database!$F:$AY,MATCH($I$1,Database!$F$1:$AY$1,),))))</f>
        <v>-9.0772750018943943E-2</v>
      </c>
      <c r="J247" s="13">
        <f>((((VLOOKUP(B247,Database!$F:$AY,MATCH($J$1,Database!$F$1:$AY$1,),))))-(((VLOOKUP(EDATE(B247,-12),Database!$F:$AY,MATCH($J$1,Database!$F$1:$AY$1,),)))))/(((VLOOKUP(EDATE(B247,-12),Database!$F:$AY,MATCH($J$1,Database!$F$1:$AY$1,),))))</f>
        <v>-8.2666006754135005E-2</v>
      </c>
      <c r="K247" s="13">
        <f>((((VLOOKUP(B247,Database!$F:$AY,MATCH($K$1,Database!$F$1:$AY$1,),))))-(((VLOOKUP(EDATE(B247,-12),Database!$F:$AY,MATCH($K$1,Database!$F$1:$AY$1,),)))))/(((VLOOKUP(EDATE(B247,-12),Database!$F:$AY,MATCH($K$1,Database!$F$1:$AY$1,),))))</f>
        <v>-1.0221465076661012E-2</v>
      </c>
      <c r="L247" s="13">
        <f>((((VLOOKUP(B247,Database!$F:$AY,MATCH($L$1,Database!$F$1:$AY$1,),))))-(((VLOOKUP(EDATE(B247,-12),Database!$F:$AY,MATCH($L$1,Database!$F$1:$AY$1,),)))))/(((VLOOKUP(EDATE(B247,-12),Database!$F:$AY,MATCH($L$1,Database!$F$1:$AY$1,),))))</f>
        <v>1.9932290997722317E-3</v>
      </c>
      <c r="M247" s="13">
        <f>((((VLOOKUP(B247,Database!$F:$AY,MATCH($M$1,Database!$F$1:$AY$1,),))))-(((VLOOKUP(EDATE(B247,-12),Database!$F:$AY,MATCH($M$1,Database!$F$1:$AY$1,),)))))/(((VLOOKUP(EDATE(B247,-12),Database!$F:$AY,MATCH($M$1,Database!$F$1:$AY$1,),))))</f>
        <v>2.1566401816118113E-2</v>
      </c>
      <c r="N247" s="13">
        <f>((((VLOOKUP(B247,Database!$F:$AY,MATCH($N$1,Database!$F$1:$AY$1,),))))-(((VLOOKUP(EDATE(B247,-12),Database!$F:$AY,MATCH($N$1,Database!$F$1:$AY$1,),)))))/(((VLOOKUP(EDATE(B247,-12),Database!$F:$AY,MATCH($N$1,Database!$F$1:$AY$1,),))))</f>
        <v>6.2242265377691119E-2</v>
      </c>
      <c r="O247" s="13">
        <f>((((VLOOKUP(B247,Database!$F:$AY,MATCH($O$1,Database!$F$1:$AY$1,),))))-(((VLOOKUP(EDATE(B247,-12),Database!$F:$AY,MATCH($O$1,Database!$F$1:$AY$1,),)))))/(((VLOOKUP(EDATE(B247,-12),Database!$F:$AY,MATCH($O$1,Database!$F$1:$AY$1,),))))</f>
        <v>-2.5033816574533341E-2</v>
      </c>
      <c r="P247" s="13">
        <f>((((VLOOKUP(B247,Database!$F:$AY,MATCH($P$1,Database!$F$1:$AY$1,),))))-(((VLOOKUP(EDATE(B247,-12),Database!$F:$AY,MATCH($P$1,Database!$F$1:$AY$1,),)))))/(((VLOOKUP(EDATE(B247,-12),Database!$F:$AY,MATCH($P$1,Database!$F$1:$AY$1,),))))</f>
        <v>3.7596139060648598E-2</v>
      </c>
      <c r="Q247" s="13">
        <f>((((VLOOKUP(B247,Database!$F:$AY,MATCH($Q$1,Database!$F$1:$AY$1,),))))-(((VLOOKUP(EDATE(B247,-12),Database!$F:$AY,MATCH($Q$1,Database!$F$1:$AY$1,),)))))/(((VLOOKUP(EDATE(B247,-12),Database!$F:$AY,MATCH($Q$1,Database!$F$1:$AY$1,),))))</f>
        <v>4.0858263822981231E-2</v>
      </c>
      <c r="R247" s="13">
        <f>((((VLOOKUP(B247,Database!$F:$AY,MATCH($R$1,Database!$F$1:$AY$1,),))))-(((VLOOKUP(EDATE(B247,-12),Database!$F:$AY,MATCH($R$1,Database!$F$1:$AY$1,),)))))/(((VLOOKUP(EDATE(B247,-12),Database!$F:$AY,MATCH($R$1,Database!$F$1:$AY$1,),))))</f>
        <v>-4.5390892038276481E-2</v>
      </c>
      <c r="S247" s="13">
        <f>((((VLOOKUP(B247,Database!$F:$AY,MATCH($S$1,Database!$F$1:$AY$1,),))))-(((VLOOKUP(EDATE(B247,-12),Database!$F:$AY,MATCH($S$1,Database!$F$1:$AY$1,),)))))/(((VLOOKUP(EDATE(B247,-12),Database!$F:$AY,MATCH($S$1,Database!$F$1:$AY$1,),))))</f>
        <v>3.3802867215813881E-2</v>
      </c>
      <c r="T247" s="13">
        <f>((((VLOOKUP(B247,Database!$F:$AY,MATCH($T$1,Database!$F$1:$AY$1,),))))-(((VLOOKUP(EDATE(B247,-12),Database!$F:$AY,MATCH($T$1,Database!$F$1:$AY$1,),)))))/(((VLOOKUP(EDATE(B247,-12),Database!$F:$AY,MATCH($T$1,Database!$F$1:$AY$1,),))))</f>
        <v>-1.0043017933058869E-2</v>
      </c>
      <c r="U247" s="13">
        <f>((((VLOOKUP(B247,Database!$F:$AY,MATCH($U$1,Database!$F$1:$AY$1,),))))-(((VLOOKUP(EDATE(B247,-12),Database!$F:$AY,MATCH($U$1,Database!$F$1:$AY$1,),)))))/(((VLOOKUP(EDATE(B247,-12),Database!$F:$AY,MATCH($U$1,Database!$F$1:$AY$1,),))))</f>
        <v>-4.0598326216762577E-2</v>
      </c>
      <c r="V247" s="13">
        <f>((((VLOOKUP(B247,Database!$F:$AY,MATCH($V$1,Database!$F$1:$AY$1,),))))-(((VLOOKUP(EDATE(B247,-12),Database!$F:$AY,MATCH($V$1,Database!$F$1:$AY$1,),)))))/(((VLOOKUP(EDATE(B247,-12),Database!$F:$AY,MATCH($V$1,Database!$F$1:$AY$1,),))))</f>
        <v>1.3054830287207381E-3</v>
      </c>
    </row>
    <row r="248" spans="1:22" s="85" customFormat="1" x14ac:dyDescent="0.2">
      <c r="A248" s="44"/>
      <c r="B248" s="91">
        <v>39692</v>
      </c>
      <c r="C248" s="13">
        <f>((((VLOOKUP(B248,Database!$F:$AY,MATCH($C$1,Database!$F$1:$AY$1,),))))-(((VLOOKUP(EDATE(B248,-12),Database!$F:$AY,MATCH($C$1,Database!$F$1:$AY$1,),)))))/(((VLOOKUP(EDATE(B248,-12),Database!$F:$AY,MATCH($C$1,Database!$F$1:$AY$1,),))))</f>
        <v>-8.3628457887577404E-2</v>
      </c>
      <c r="D248" s="13">
        <f>((((VLOOKUP(B248,Database!$F:$AY,MATCH($D$1,Database!$F$1:$AY$1,),))))-(((VLOOKUP(EDATE(B248,-12),Database!$F:$AY,MATCH($D$1,Database!$F$1:$AY$1,),)))))/(((VLOOKUP(EDATE(B248,-12),Database!$F:$AY,MATCH($D$1,Database!$F$1:$AY$1,),))))</f>
        <v>-2.7829322150266258E-2</v>
      </c>
      <c r="E248" s="13">
        <f>((((VLOOKUP(B248,Database!$F:$AY,MATCH($E$1,Database!$F$1:$AY$1,),))))-(((VLOOKUP(EDATE(B248,-12),Database!$F:$AY,MATCH($E$1,Database!$F$1:$AY$1,),)))))/(((VLOOKUP(EDATE(B248,-12),Database!$F:$AY,MATCH($E$1,Database!$F$1:$AY$1,),))))</f>
        <v>-4.2528268549731553E-2</v>
      </c>
      <c r="F248" s="13">
        <f>((((VLOOKUP(B248,Database!$F:$AY,MATCH($F$1,Database!$F$1:$AY$1,),))))-(((VLOOKUP(EDATE(B248,-12),Database!$F:$AY,MATCH($F$1,Database!$F$1:$AY$1,),)))))/(((VLOOKUP(EDATE(B248,-12),Database!$F:$AY,MATCH($F$1,Database!$F$1:$AY$1,),))))</f>
        <v>-1.3171209716879177E-2</v>
      </c>
      <c r="G248" s="13">
        <f>((((VLOOKUP(B248,Database!$F:$AY,MATCH($G$1,Database!$F$1:$AY$1,),))))-(((VLOOKUP(EDATE(B248,-12),Database!$F:$AY,MATCH($G$1,Database!$F$1:$AY$1,),)))))/(((VLOOKUP(EDATE(B248,-12),Database!$F:$AY,MATCH($G$1,Database!$F$1:$AY$1,),))))</f>
        <v>-2.7658208983278899E-2</v>
      </c>
      <c r="H248" s="13">
        <f>((((VLOOKUP(B248,Database!$F:$AY,MATCH($H$1,Database!$F$1:$AY$1,),))))-(((VLOOKUP(EDATE(B248,-12),Database!$F:$AY,MATCH($H$1,Database!$F$1:$AY$1,),)))))/(((VLOOKUP(EDATE(B248,-12),Database!$F:$AY,MATCH($H$1,Database!$F$1:$AY$1,),))))</f>
        <v>-2.2944730253471202E-2</v>
      </c>
      <c r="I248" s="13">
        <f>((((VLOOKUP(B248,Database!$F:$AY,MATCH($I$1,Database!$F$1:$AY$1,),))))-(((VLOOKUP(EDATE(B248,-12),Database!$F:$AY,MATCH($I$1,Database!$F$1:$AY$1,),)))))/(((VLOOKUP(EDATE(B248,-12),Database!$F:$AY,MATCH($I$1,Database!$F$1:$AY$1,),))))</f>
        <v>-7.2418968604475512E-2</v>
      </c>
      <c r="J248" s="13">
        <f>((((VLOOKUP(B248,Database!$F:$AY,MATCH($J$1,Database!$F$1:$AY$1,),))))-(((VLOOKUP(EDATE(B248,-12),Database!$F:$AY,MATCH($J$1,Database!$F$1:$AY$1,),)))))/(((VLOOKUP(EDATE(B248,-12),Database!$F:$AY,MATCH($J$1,Database!$F$1:$AY$1,),))))</f>
        <v>-9.3472060693592138E-2</v>
      </c>
      <c r="K248" s="13">
        <f>((((VLOOKUP(B248,Database!$F:$AY,MATCH($K$1,Database!$F$1:$AY$1,),))))-(((VLOOKUP(EDATE(B248,-12),Database!$F:$AY,MATCH($K$1,Database!$F$1:$AY$1,),)))))/(((VLOOKUP(EDATE(B248,-12),Database!$F:$AY,MATCH($K$1,Database!$F$1:$AY$1,),))))</f>
        <v>-1.9097222222222248E-2</v>
      </c>
      <c r="L248" s="13">
        <f>((((VLOOKUP(B248,Database!$F:$AY,MATCH($L$1,Database!$F$1:$AY$1,),))))-(((VLOOKUP(EDATE(B248,-12),Database!$F:$AY,MATCH($L$1,Database!$F$1:$AY$1,),)))))/(((VLOOKUP(EDATE(B248,-12),Database!$F:$AY,MATCH($L$1,Database!$F$1:$AY$1,),))))</f>
        <v>-2.2740014627171942E-2</v>
      </c>
      <c r="M248" s="13">
        <f>((((VLOOKUP(B248,Database!$F:$AY,MATCH($M$1,Database!$F$1:$AY$1,),))))-(((VLOOKUP(EDATE(B248,-12),Database!$F:$AY,MATCH($M$1,Database!$F$1:$AY$1,),)))))/(((VLOOKUP(EDATE(B248,-12),Database!$F:$AY,MATCH($M$1,Database!$F$1:$AY$1,),))))</f>
        <v>1.7123287671232879E-2</v>
      </c>
      <c r="N248" s="13">
        <f>((((VLOOKUP(B248,Database!$F:$AY,MATCH($N$1,Database!$F$1:$AY$1,),))))-(((VLOOKUP(EDATE(B248,-12),Database!$F:$AY,MATCH($N$1,Database!$F$1:$AY$1,),)))))/(((VLOOKUP(EDATE(B248,-12),Database!$F:$AY,MATCH($N$1,Database!$F$1:$AY$1,),))))</f>
        <v>0.10302425278945933</v>
      </c>
      <c r="O248" s="13">
        <f>((((VLOOKUP(B248,Database!$F:$AY,MATCH($O$1,Database!$F$1:$AY$1,),))))-(((VLOOKUP(EDATE(B248,-12),Database!$F:$AY,MATCH($O$1,Database!$F$1:$AY$1,),)))))/(((VLOOKUP(EDATE(B248,-12),Database!$F:$AY,MATCH($O$1,Database!$F$1:$AY$1,),))))</f>
        <v>-2.9493985257325991E-2</v>
      </c>
      <c r="P248" s="13">
        <f>((((VLOOKUP(B248,Database!$F:$AY,MATCH($P$1,Database!$F$1:$AY$1,),))))-(((VLOOKUP(EDATE(B248,-12),Database!$F:$AY,MATCH($P$1,Database!$F$1:$AY$1,),)))))/(((VLOOKUP(EDATE(B248,-12),Database!$F:$AY,MATCH($P$1,Database!$F$1:$AY$1,),))))</f>
        <v>3.5456454224521088E-2</v>
      </c>
      <c r="Q248" s="13">
        <f>((((VLOOKUP(B248,Database!$F:$AY,MATCH($Q$1,Database!$F$1:$AY$1,),))))-(((VLOOKUP(EDATE(B248,-12),Database!$F:$AY,MATCH($Q$1,Database!$F$1:$AY$1,),)))))/(((VLOOKUP(EDATE(B248,-12),Database!$F:$AY,MATCH($Q$1,Database!$F$1:$AY$1,),))))</f>
        <v>6.3851559598873467E-2</v>
      </c>
      <c r="R248" s="13">
        <f>((((VLOOKUP(B248,Database!$F:$AY,MATCH($R$1,Database!$F$1:$AY$1,),))))-(((VLOOKUP(EDATE(B248,-12),Database!$F:$AY,MATCH($R$1,Database!$F$1:$AY$1,),)))))/(((VLOOKUP(EDATE(B248,-12),Database!$F:$AY,MATCH($R$1,Database!$F$1:$AY$1,),))))</f>
        <v>-4.8083899847069171E-2</v>
      </c>
      <c r="S248" s="13">
        <f>((((VLOOKUP(B248,Database!$F:$AY,MATCH($S$1,Database!$F$1:$AY$1,),))))-(((VLOOKUP(EDATE(B248,-12),Database!$F:$AY,MATCH($S$1,Database!$F$1:$AY$1,),)))))/(((VLOOKUP(EDATE(B248,-12),Database!$F:$AY,MATCH($S$1,Database!$F$1:$AY$1,),))))</f>
        <v>1.4231586183390609E-2</v>
      </c>
      <c r="T248" s="13">
        <f>((((VLOOKUP(B248,Database!$F:$AY,MATCH($T$1,Database!$F$1:$AY$1,),))))-(((VLOOKUP(EDATE(B248,-12),Database!$F:$AY,MATCH($T$1,Database!$F$1:$AY$1,),)))))/(((VLOOKUP(EDATE(B248,-12),Database!$F:$AY,MATCH($T$1,Database!$F$1:$AY$1,),))))</f>
        <v>-1.9942972455681794E-2</v>
      </c>
      <c r="U248" s="13">
        <f>((((VLOOKUP(B248,Database!$F:$AY,MATCH($U$1,Database!$F$1:$AY$1,),))))-(((VLOOKUP(EDATE(B248,-12),Database!$F:$AY,MATCH($U$1,Database!$F$1:$AY$1,),)))))/(((VLOOKUP(EDATE(B248,-12),Database!$F:$AY,MATCH($U$1,Database!$F$1:$AY$1,),))))</f>
        <v>-3.6208697189680658E-2</v>
      </c>
      <c r="V248" s="13">
        <f>((((VLOOKUP(B248,Database!$F:$AY,MATCH($V$1,Database!$F$1:$AY$1,),))))-(((VLOOKUP(EDATE(B248,-12),Database!$F:$AY,MATCH($V$1,Database!$F$1:$AY$1,),)))))/(((VLOOKUP(EDATE(B248,-12),Database!$F:$AY,MATCH($V$1,Database!$F$1:$AY$1,),))))</f>
        <v>2.5974025974026343E-3</v>
      </c>
    </row>
    <row r="249" spans="1:22" s="85" customFormat="1" x14ac:dyDescent="0.2">
      <c r="A249" s="44"/>
      <c r="B249" s="91">
        <v>39722</v>
      </c>
      <c r="C249" s="13">
        <f>((((VLOOKUP(B249,Database!$F:$AY,MATCH($C$1,Database!$F$1:$AY$1,),))))-(((VLOOKUP(EDATE(B249,-12),Database!$F:$AY,MATCH($C$1,Database!$F$1:$AY$1,),)))))/(((VLOOKUP(EDATE(B249,-12),Database!$F:$AY,MATCH($C$1,Database!$F$1:$AY$1,),))))</f>
        <v>-7.0990576824037754E-2</v>
      </c>
      <c r="D249" s="13">
        <f>((((VLOOKUP(B249,Database!$F:$AY,MATCH($D$1,Database!$F$1:$AY$1,),))))-(((VLOOKUP(EDATE(B249,-12),Database!$F:$AY,MATCH($D$1,Database!$F$1:$AY$1,),)))))/(((VLOOKUP(EDATE(B249,-12),Database!$F:$AY,MATCH($D$1,Database!$F$1:$AY$1,),))))</f>
        <v>-6.0717561985942463E-2</v>
      </c>
      <c r="E249" s="13">
        <f>((((VLOOKUP(B249,Database!$F:$AY,MATCH($E$1,Database!$F$1:$AY$1,),))))-(((VLOOKUP(EDATE(B249,-12),Database!$F:$AY,MATCH($E$1,Database!$F$1:$AY$1,),)))))/(((VLOOKUP(EDATE(B249,-12),Database!$F:$AY,MATCH($E$1,Database!$F$1:$AY$1,),))))</f>
        <v>-7.5497436182085348E-2</v>
      </c>
      <c r="F249" s="13">
        <f>((((VLOOKUP(B249,Database!$F:$AY,MATCH($F$1,Database!$F$1:$AY$1,),))))-(((VLOOKUP(EDATE(B249,-12),Database!$F:$AY,MATCH($F$1,Database!$F$1:$AY$1,),)))))/(((VLOOKUP(EDATE(B249,-12),Database!$F:$AY,MATCH($F$1,Database!$F$1:$AY$1,),))))</f>
        <v>-3.5425116889797534E-2</v>
      </c>
      <c r="G249" s="13">
        <f>((((VLOOKUP(B249,Database!$F:$AY,MATCH($G$1,Database!$F$1:$AY$1,),))))-(((VLOOKUP(EDATE(B249,-12),Database!$F:$AY,MATCH($G$1,Database!$F$1:$AY$1,),)))))/(((VLOOKUP(EDATE(B249,-12),Database!$F:$AY,MATCH($G$1,Database!$F$1:$AY$1,),))))</f>
        <v>-6.6958713709289269E-2</v>
      </c>
      <c r="H249" s="13">
        <f>((((VLOOKUP(B249,Database!$F:$AY,MATCH($H$1,Database!$F$1:$AY$1,),))))-(((VLOOKUP(EDATE(B249,-12),Database!$F:$AY,MATCH($H$1,Database!$F$1:$AY$1,),)))))/(((VLOOKUP(EDATE(B249,-12),Database!$F:$AY,MATCH($H$1,Database!$F$1:$AY$1,),))))</f>
        <v>-3.5238140666364534E-2</v>
      </c>
      <c r="I249" s="13">
        <f>((((VLOOKUP(B249,Database!$F:$AY,MATCH($I$1,Database!$F$1:$AY$1,),))))-(((VLOOKUP(EDATE(B249,-12),Database!$F:$AY,MATCH($I$1,Database!$F$1:$AY$1,),)))))/(((VLOOKUP(EDATE(B249,-12),Database!$F:$AY,MATCH($I$1,Database!$F$1:$AY$1,),))))</f>
        <v>-8.2490137311044529E-2</v>
      </c>
      <c r="J249" s="13">
        <f>((((VLOOKUP(B249,Database!$F:$AY,MATCH($J$1,Database!$F$1:$AY$1,),))))-(((VLOOKUP(EDATE(B249,-12),Database!$F:$AY,MATCH($J$1,Database!$F$1:$AY$1,),)))))/(((VLOOKUP(EDATE(B249,-12),Database!$F:$AY,MATCH($J$1,Database!$F$1:$AY$1,),))))</f>
        <v>-0.14505918035708831</v>
      </c>
      <c r="K249" s="13">
        <f>((((VLOOKUP(B249,Database!$F:$AY,MATCH($K$1,Database!$F$1:$AY$1,),))))-(((VLOOKUP(EDATE(B249,-12),Database!$F:$AY,MATCH($K$1,Database!$F$1:$AY$1,),)))))/(((VLOOKUP(EDATE(B249,-12),Database!$F:$AY,MATCH($K$1,Database!$F$1:$AY$1,),))))</f>
        <v>-5.655526992287925E-2</v>
      </c>
      <c r="L249" s="13">
        <f>((((VLOOKUP(B249,Database!$F:$AY,MATCH($L$1,Database!$F$1:$AY$1,),))))-(((VLOOKUP(EDATE(B249,-12),Database!$F:$AY,MATCH($L$1,Database!$F$1:$AY$1,),)))))/(((VLOOKUP(EDATE(B249,-12),Database!$F:$AY,MATCH($L$1,Database!$F$1:$AY$1,),))))</f>
        <v>-1.8634066626478311E-2</v>
      </c>
      <c r="M249" s="13">
        <f>((((VLOOKUP(B249,Database!$F:$AY,MATCH($M$1,Database!$F$1:$AY$1,),))))-(((VLOOKUP(EDATE(B249,-12),Database!$F:$AY,MATCH($M$1,Database!$F$1:$AY$1,),)))))/(((VLOOKUP(EDATE(B249,-12),Database!$F:$AY,MATCH($M$1,Database!$F$1:$AY$1,),))))</f>
        <v>-1.7006802721088433E-2</v>
      </c>
      <c r="N249" s="13">
        <f>((((VLOOKUP(B249,Database!$F:$AY,MATCH($N$1,Database!$F$1:$AY$1,),))))-(((VLOOKUP(EDATE(B249,-12),Database!$F:$AY,MATCH($N$1,Database!$F$1:$AY$1,),)))))/(((VLOOKUP(EDATE(B249,-12),Database!$F:$AY,MATCH($N$1,Database!$F$1:$AY$1,),))))</f>
        <v>3.8969705545386819E-2</v>
      </c>
      <c r="O249" s="13">
        <f>((((VLOOKUP(B249,Database!$F:$AY,MATCH($O$1,Database!$F$1:$AY$1,),))))-(((VLOOKUP(EDATE(B249,-12),Database!$F:$AY,MATCH($O$1,Database!$F$1:$AY$1,),)))))/(((VLOOKUP(EDATE(B249,-12),Database!$F:$AY,MATCH($O$1,Database!$F$1:$AY$1,),))))</f>
        <v>-2.6488575218267477E-2</v>
      </c>
      <c r="P249" s="13">
        <f>((((VLOOKUP(B249,Database!$F:$AY,MATCH($P$1,Database!$F$1:$AY$1,),))))-(((VLOOKUP(EDATE(B249,-12),Database!$F:$AY,MATCH($P$1,Database!$F$1:$AY$1,),)))))/(((VLOOKUP(EDATE(B249,-12),Database!$F:$AY,MATCH($P$1,Database!$F$1:$AY$1,),))))</f>
        <v>-1.4463827075215815E-2</v>
      </c>
      <c r="Q249" s="13">
        <f>((((VLOOKUP(B249,Database!$F:$AY,MATCH($Q$1,Database!$F$1:$AY$1,),))))-(((VLOOKUP(EDATE(B249,-12),Database!$F:$AY,MATCH($Q$1,Database!$F$1:$AY$1,),)))))/(((VLOOKUP(EDATE(B249,-12),Database!$F:$AY,MATCH($Q$1,Database!$F$1:$AY$1,),))))</f>
        <v>7.0289089871184767E-3</v>
      </c>
      <c r="R249" s="13">
        <f>((((VLOOKUP(B249,Database!$F:$AY,MATCH($R$1,Database!$F$1:$AY$1,),))))-(((VLOOKUP(EDATE(B249,-12),Database!$F:$AY,MATCH($R$1,Database!$F$1:$AY$1,),)))))/(((VLOOKUP(EDATE(B249,-12),Database!$F:$AY,MATCH($R$1,Database!$F$1:$AY$1,),))))</f>
        <v>-5.2558096786935467E-2</v>
      </c>
      <c r="S249" s="13">
        <f>((((VLOOKUP(B249,Database!$F:$AY,MATCH($S$1,Database!$F$1:$AY$1,),))))-(((VLOOKUP(EDATE(B249,-12),Database!$F:$AY,MATCH($S$1,Database!$F$1:$AY$1,),)))))/(((VLOOKUP(EDATE(B249,-12),Database!$F:$AY,MATCH($S$1,Database!$F$1:$AY$1,),))))</f>
        <v>-9.8776285003752337E-2</v>
      </c>
      <c r="T249" s="13">
        <f>((((VLOOKUP(B249,Database!$F:$AY,MATCH($T$1,Database!$F$1:$AY$1,),))))-(((VLOOKUP(EDATE(B249,-12),Database!$F:$AY,MATCH($T$1,Database!$F$1:$AY$1,),)))))/(((VLOOKUP(EDATE(B249,-12),Database!$F:$AY,MATCH($T$1,Database!$F$1:$AY$1,),))))</f>
        <v>-6.1692947432203611E-2</v>
      </c>
      <c r="U249" s="13">
        <f>((((VLOOKUP(B249,Database!$F:$AY,MATCH($U$1,Database!$F$1:$AY$1,),))))-(((VLOOKUP(EDATE(B249,-12),Database!$F:$AY,MATCH($U$1,Database!$F$1:$AY$1,),)))))/(((VLOOKUP(EDATE(B249,-12),Database!$F:$AY,MATCH($U$1,Database!$F$1:$AY$1,),))))</f>
        <v>-7.360669470148283E-2</v>
      </c>
      <c r="V249" s="13">
        <f>((((VLOOKUP(B249,Database!$F:$AY,MATCH($V$1,Database!$F$1:$AY$1,),))))-(((VLOOKUP(EDATE(B249,-12),Database!$F:$AY,MATCH($V$1,Database!$F$1:$AY$1,),)))))/(((VLOOKUP(EDATE(B249,-12),Database!$F:$AY,MATCH($V$1,Database!$F$1:$AY$1,),))))</f>
        <v>-2.3136246786632356E-2</v>
      </c>
    </row>
    <row r="250" spans="1:22" s="85" customFormat="1" x14ac:dyDescent="0.2">
      <c r="A250" s="44"/>
      <c r="B250" s="91">
        <v>39753</v>
      </c>
      <c r="C250" s="13">
        <f>((((VLOOKUP(B250,Database!$F:$AY,MATCH($C$1,Database!$F$1:$AY$1,),))))-(((VLOOKUP(EDATE(B250,-12),Database!$F:$AY,MATCH($C$1,Database!$F$1:$AY$1,),)))))/(((VLOOKUP(EDATE(B250,-12),Database!$F:$AY,MATCH($C$1,Database!$F$1:$AY$1,),))))</f>
        <v>-8.803705691476367E-2</v>
      </c>
      <c r="D250" s="13">
        <f>((((VLOOKUP(B250,Database!$F:$AY,MATCH($D$1,Database!$F$1:$AY$1,),))))-(((VLOOKUP(EDATE(B250,-12),Database!$F:$AY,MATCH($D$1,Database!$F$1:$AY$1,),)))))/(((VLOOKUP(EDATE(B250,-12),Database!$F:$AY,MATCH($D$1,Database!$F$1:$AY$1,),))))</f>
        <v>-8.8888796280861576E-2</v>
      </c>
      <c r="E250" s="13">
        <f>((((VLOOKUP(B250,Database!$F:$AY,MATCH($E$1,Database!$F$1:$AY$1,),))))-(((VLOOKUP(EDATE(B250,-12),Database!$F:$AY,MATCH($E$1,Database!$F$1:$AY$1,),)))))/(((VLOOKUP(EDATE(B250,-12),Database!$F:$AY,MATCH($E$1,Database!$F$1:$AY$1,),))))</f>
        <v>-0.12627475167616461</v>
      </c>
      <c r="F250" s="13">
        <f>((((VLOOKUP(B250,Database!$F:$AY,MATCH($F$1,Database!$F$1:$AY$1,),))))-(((VLOOKUP(EDATE(B250,-12),Database!$F:$AY,MATCH($F$1,Database!$F$1:$AY$1,),)))))/(((VLOOKUP(EDATE(B250,-12),Database!$F:$AY,MATCH($F$1,Database!$F$1:$AY$1,),))))</f>
        <v>-7.6064860579654808E-2</v>
      </c>
      <c r="G250" s="13">
        <f>((((VLOOKUP(B250,Database!$F:$AY,MATCH($G$1,Database!$F$1:$AY$1,),))))-(((VLOOKUP(EDATE(B250,-12),Database!$F:$AY,MATCH($G$1,Database!$F$1:$AY$1,),)))))/(((VLOOKUP(EDATE(B250,-12),Database!$F:$AY,MATCH($G$1,Database!$F$1:$AY$1,),))))</f>
        <v>-9.8156334366251624E-2</v>
      </c>
      <c r="H250" s="13">
        <f>((((VLOOKUP(B250,Database!$F:$AY,MATCH($H$1,Database!$F$1:$AY$1,),))))-(((VLOOKUP(EDATE(B250,-12),Database!$F:$AY,MATCH($H$1,Database!$F$1:$AY$1,),)))))/(((VLOOKUP(EDATE(B250,-12),Database!$F:$AY,MATCH($H$1,Database!$F$1:$AY$1,),))))</f>
        <v>-7.0142283937937297E-2</v>
      </c>
      <c r="I250" s="13">
        <f>((((VLOOKUP(B250,Database!$F:$AY,MATCH($I$1,Database!$F$1:$AY$1,),))))-(((VLOOKUP(EDATE(B250,-12),Database!$F:$AY,MATCH($I$1,Database!$F$1:$AY$1,),)))))/(((VLOOKUP(EDATE(B250,-12),Database!$F:$AY,MATCH($I$1,Database!$F$1:$AY$1,),))))</f>
        <v>-0.10455981394675974</v>
      </c>
      <c r="J250" s="13">
        <f>((((VLOOKUP(B250,Database!$F:$AY,MATCH($J$1,Database!$F$1:$AY$1,),))))-(((VLOOKUP(EDATE(B250,-12),Database!$F:$AY,MATCH($J$1,Database!$F$1:$AY$1,),)))))/(((VLOOKUP(EDATE(B250,-12),Database!$F:$AY,MATCH($J$1,Database!$F$1:$AY$1,),))))</f>
        <v>-0.16422553398914055</v>
      </c>
      <c r="K250" s="13">
        <f>((((VLOOKUP(B250,Database!$F:$AY,MATCH($K$1,Database!$F$1:$AY$1,),))))-(((VLOOKUP(EDATE(B250,-12),Database!$F:$AY,MATCH($K$1,Database!$F$1:$AY$1,),)))))/(((VLOOKUP(EDATE(B250,-12),Database!$F:$AY,MATCH($K$1,Database!$F$1:$AY$1,),))))</f>
        <v>-0.11759799833194336</v>
      </c>
      <c r="L250" s="13">
        <f>((((VLOOKUP(B250,Database!$F:$AY,MATCH($L$1,Database!$F$1:$AY$1,),))))-(((VLOOKUP(EDATE(B250,-12),Database!$F:$AY,MATCH($L$1,Database!$F$1:$AY$1,),)))))/(((VLOOKUP(EDATE(B250,-12),Database!$F:$AY,MATCH($L$1,Database!$F$1:$AY$1,),))))</f>
        <v>-2.1584375698727034E-2</v>
      </c>
      <c r="M250" s="13">
        <f>((((VLOOKUP(B250,Database!$F:$AY,MATCH($M$1,Database!$F$1:$AY$1,),))))-(((VLOOKUP(EDATE(B250,-12),Database!$F:$AY,MATCH($M$1,Database!$F$1:$AY$1,),)))))/(((VLOOKUP(EDATE(B250,-12),Database!$F:$AY,MATCH($M$1,Database!$F$1:$AY$1,),))))</f>
        <v>-0.11425339366515846</v>
      </c>
      <c r="N250" s="13">
        <f>((((VLOOKUP(B250,Database!$F:$AY,MATCH($N$1,Database!$F$1:$AY$1,),))))-(((VLOOKUP(EDATE(B250,-12),Database!$F:$AY,MATCH($N$1,Database!$F$1:$AY$1,),)))))/(((VLOOKUP(EDATE(B250,-12),Database!$F:$AY,MATCH($N$1,Database!$F$1:$AY$1,),))))</f>
        <v>2.2271130885121802E-2</v>
      </c>
      <c r="O250" s="13">
        <f>((((VLOOKUP(B250,Database!$F:$AY,MATCH($O$1,Database!$F$1:$AY$1,),))))-(((VLOOKUP(EDATE(B250,-12),Database!$F:$AY,MATCH($O$1,Database!$F$1:$AY$1,),)))))/(((VLOOKUP(EDATE(B250,-12),Database!$F:$AY,MATCH($O$1,Database!$F$1:$AY$1,),))))</f>
        <v>-4.137072979329421E-2</v>
      </c>
      <c r="P250" s="13">
        <f>((((VLOOKUP(B250,Database!$F:$AY,MATCH($P$1,Database!$F$1:$AY$1,),))))-(((VLOOKUP(EDATE(B250,-12),Database!$F:$AY,MATCH($P$1,Database!$F$1:$AY$1,),)))))/(((VLOOKUP(EDATE(B250,-12),Database!$F:$AY,MATCH($P$1,Database!$F$1:$AY$1,),))))</f>
        <v>-0.11939453680769685</v>
      </c>
      <c r="Q250" s="13">
        <f>((((VLOOKUP(B250,Database!$F:$AY,MATCH($Q$1,Database!$F$1:$AY$1,),))))-(((VLOOKUP(EDATE(B250,-12),Database!$F:$AY,MATCH($Q$1,Database!$F$1:$AY$1,),)))))/(((VLOOKUP(EDATE(B250,-12),Database!$F:$AY,MATCH($Q$1,Database!$F$1:$AY$1,),))))</f>
        <v>-4.1624596704665659E-2</v>
      </c>
      <c r="R250" s="13">
        <f>((((VLOOKUP(B250,Database!$F:$AY,MATCH($R$1,Database!$F$1:$AY$1,),))))-(((VLOOKUP(EDATE(B250,-12),Database!$F:$AY,MATCH($R$1,Database!$F$1:$AY$1,),)))))/(((VLOOKUP(EDATE(B250,-12),Database!$F:$AY,MATCH($R$1,Database!$F$1:$AY$1,),))))</f>
        <v>-9.4444776621646687E-2</v>
      </c>
      <c r="S250" s="13">
        <f>((((VLOOKUP(B250,Database!$F:$AY,MATCH($S$1,Database!$F$1:$AY$1,),))))-(((VLOOKUP(EDATE(B250,-12),Database!$F:$AY,MATCH($S$1,Database!$F$1:$AY$1,),)))))/(((VLOOKUP(EDATE(B250,-12),Database!$F:$AY,MATCH($S$1,Database!$F$1:$AY$1,),))))</f>
        <v>4.4170378513168048E-3</v>
      </c>
      <c r="T250" s="13">
        <f>((((VLOOKUP(B250,Database!$F:$AY,MATCH($T$1,Database!$F$1:$AY$1,),))))-(((VLOOKUP(EDATE(B250,-12),Database!$F:$AY,MATCH($T$1,Database!$F$1:$AY$1,),)))))/(((VLOOKUP(EDATE(B250,-12),Database!$F:$AY,MATCH($T$1,Database!$F$1:$AY$1,),))))</f>
        <v>-0.10014297329805912</v>
      </c>
      <c r="U250" s="13">
        <f>((((VLOOKUP(B250,Database!$F:$AY,MATCH($U$1,Database!$F$1:$AY$1,),))))-(((VLOOKUP(EDATE(B250,-12),Database!$F:$AY,MATCH($U$1,Database!$F$1:$AY$1,),)))))/(((VLOOKUP(EDATE(B250,-12),Database!$F:$AY,MATCH($U$1,Database!$F$1:$AY$1,),))))</f>
        <v>-0.11180776733426305</v>
      </c>
      <c r="V250" s="13">
        <f>((((VLOOKUP(B250,Database!$F:$AY,MATCH($V$1,Database!$F$1:$AY$1,),))))-(((VLOOKUP(EDATE(B250,-12),Database!$F:$AY,MATCH($V$1,Database!$F$1:$AY$1,),)))))/(((VLOOKUP(EDATE(B250,-12),Database!$F:$AY,MATCH($V$1,Database!$F$1:$AY$1,),))))</f>
        <v>-6.4267352185089971E-2</v>
      </c>
    </row>
    <row r="251" spans="1:22" s="85" customFormat="1" x14ac:dyDescent="0.2">
      <c r="A251" s="44"/>
      <c r="B251" s="91">
        <v>39783</v>
      </c>
      <c r="C251" s="13">
        <f>((((VLOOKUP(B251,Database!$F:$AY,MATCH($C$1,Database!$F$1:$AY$1,),))))-(((VLOOKUP(EDATE(B251,-12),Database!$F:$AY,MATCH($C$1,Database!$F$1:$AY$1,),)))))/(((VLOOKUP(EDATE(B251,-12),Database!$F:$AY,MATCH($C$1,Database!$F$1:$AY$1,),))))</f>
        <v>-0.11479876069199642</v>
      </c>
      <c r="D251" s="13">
        <f>((((VLOOKUP(B251,Database!$F:$AY,MATCH($D$1,Database!$F$1:$AY$1,),))))-(((VLOOKUP(EDATE(B251,-12),Database!$F:$AY,MATCH($D$1,Database!$F$1:$AY$1,),)))))/(((VLOOKUP(EDATE(B251,-12),Database!$F:$AY,MATCH($D$1,Database!$F$1:$AY$1,),))))</f>
        <v>-0.1252301718794753</v>
      </c>
      <c r="E251" s="13">
        <f>((((VLOOKUP(B251,Database!$F:$AY,MATCH($E$1,Database!$F$1:$AY$1,),))))-(((VLOOKUP(EDATE(B251,-12),Database!$F:$AY,MATCH($E$1,Database!$F$1:$AY$1,),)))))/(((VLOOKUP(EDATE(B251,-12),Database!$F:$AY,MATCH($E$1,Database!$F$1:$AY$1,),))))</f>
        <v>-0.20132974206940951</v>
      </c>
      <c r="F251" s="13">
        <f>((((VLOOKUP(B251,Database!$F:$AY,MATCH($F$1,Database!$F$1:$AY$1,),))))-(((VLOOKUP(EDATE(B251,-12),Database!$F:$AY,MATCH($F$1,Database!$F$1:$AY$1,),)))))/(((VLOOKUP(EDATE(B251,-12),Database!$F:$AY,MATCH($F$1,Database!$F$1:$AY$1,),))))</f>
        <v>-0.11947782797160808</v>
      </c>
      <c r="G251" s="13">
        <f>((((VLOOKUP(B251,Database!$F:$AY,MATCH($G$1,Database!$F$1:$AY$1,),))))-(((VLOOKUP(EDATE(B251,-12),Database!$F:$AY,MATCH($G$1,Database!$F$1:$AY$1,),)))))/(((VLOOKUP(EDATE(B251,-12),Database!$F:$AY,MATCH($G$1,Database!$F$1:$AY$1,),))))</f>
        <v>-0.11204952561517961</v>
      </c>
      <c r="H251" s="13">
        <f>((((VLOOKUP(B251,Database!$F:$AY,MATCH($H$1,Database!$F$1:$AY$1,),))))-(((VLOOKUP(EDATE(B251,-12),Database!$F:$AY,MATCH($H$1,Database!$F$1:$AY$1,),)))))/(((VLOOKUP(EDATE(B251,-12),Database!$F:$AY,MATCH($H$1,Database!$F$1:$AY$1,),))))</f>
        <v>-8.0722127856913461E-2</v>
      </c>
      <c r="I251" s="13">
        <f>((((VLOOKUP(B251,Database!$F:$AY,MATCH($I$1,Database!$F$1:$AY$1,),))))-(((VLOOKUP(EDATE(B251,-12),Database!$F:$AY,MATCH($I$1,Database!$F$1:$AY$1,),)))))/(((VLOOKUP(EDATE(B251,-12),Database!$F:$AY,MATCH($I$1,Database!$F$1:$AY$1,),))))</f>
        <v>-0.14676011189068888</v>
      </c>
      <c r="J251" s="13">
        <f>((((VLOOKUP(B251,Database!$F:$AY,MATCH($J$1,Database!$F$1:$AY$1,),))))-(((VLOOKUP(EDATE(B251,-12),Database!$F:$AY,MATCH($J$1,Database!$F$1:$AY$1,),)))))/(((VLOOKUP(EDATE(B251,-12),Database!$F:$AY,MATCH($J$1,Database!$F$1:$AY$1,),))))</f>
        <v>-0.19804417258145729</v>
      </c>
      <c r="K251" s="13">
        <f>((((VLOOKUP(B251,Database!$F:$AY,MATCH($K$1,Database!$F$1:$AY$1,),))))-(((VLOOKUP(EDATE(B251,-12),Database!$F:$AY,MATCH($K$1,Database!$F$1:$AY$1,),)))))/(((VLOOKUP(EDATE(B251,-12),Database!$F:$AY,MATCH($K$1,Database!$F$1:$AY$1,),))))</f>
        <v>-0.17524916943521601</v>
      </c>
      <c r="L251" s="13">
        <f>((((VLOOKUP(B251,Database!$F:$AY,MATCH($L$1,Database!$F$1:$AY$1,),))))-(((VLOOKUP(EDATE(B251,-12),Database!$F:$AY,MATCH($L$1,Database!$F$1:$AY$1,),)))))/(((VLOOKUP(EDATE(B251,-12),Database!$F:$AY,MATCH($L$1,Database!$F$1:$AY$1,),))))</f>
        <v>-4.911425204528129E-2</v>
      </c>
      <c r="M251" s="13">
        <f>((((VLOOKUP(B251,Database!$F:$AY,MATCH($M$1,Database!$F$1:$AY$1,),))))-(((VLOOKUP(EDATE(B251,-12),Database!$F:$AY,MATCH($M$1,Database!$F$1:$AY$1,),)))))/(((VLOOKUP(EDATE(B251,-12),Database!$F:$AY,MATCH($M$1,Database!$F$1:$AY$1,),))))</f>
        <v>-0.14027149321266974</v>
      </c>
      <c r="N251" s="13">
        <f>((((VLOOKUP(B251,Database!$F:$AY,MATCH($N$1,Database!$F$1:$AY$1,),))))-(((VLOOKUP(EDATE(B251,-12),Database!$F:$AY,MATCH($N$1,Database!$F$1:$AY$1,),)))))/(((VLOOKUP(EDATE(B251,-12),Database!$F:$AY,MATCH($N$1,Database!$F$1:$AY$1,),))))</f>
        <v>-2.0007922844196654E-2</v>
      </c>
      <c r="O251" s="13">
        <f>((((VLOOKUP(B251,Database!$F:$AY,MATCH($O$1,Database!$F$1:$AY$1,),))))-(((VLOOKUP(EDATE(B251,-12),Database!$F:$AY,MATCH($O$1,Database!$F$1:$AY$1,),)))))/(((VLOOKUP(EDATE(B251,-12),Database!$F:$AY,MATCH($O$1,Database!$F$1:$AY$1,),))))</f>
        <v>-5.4665629900693298E-2</v>
      </c>
      <c r="P251" s="13">
        <f>((((VLOOKUP(B251,Database!$F:$AY,MATCH($P$1,Database!$F$1:$AY$1,),))))-(((VLOOKUP(EDATE(B251,-12),Database!$F:$AY,MATCH($P$1,Database!$F$1:$AY$1,),)))))/(((VLOOKUP(EDATE(B251,-12),Database!$F:$AY,MATCH($P$1,Database!$F$1:$AY$1,),))))</f>
        <v>-0.20692549489472586</v>
      </c>
      <c r="Q251" s="13">
        <f>((((VLOOKUP(B251,Database!$F:$AY,MATCH($Q$1,Database!$F$1:$AY$1,),))))-(((VLOOKUP(EDATE(B251,-12),Database!$F:$AY,MATCH($Q$1,Database!$F$1:$AY$1,),)))))/(((VLOOKUP(EDATE(B251,-12),Database!$F:$AY,MATCH($Q$1,Database!$F$1:$AY$1,),))))</f>
        <v>-0.15267933808856038</v>
      </c>
      <c r="R251" s="13">
        <f>((((VLOOKUP(B251,Database!$F:$AY,MATCH($R$1,Database!$F$1:$AY$1,),))))-(((VLOOKUP(EDATE(B251,-12),Database!$F:$AY,MATCH($R$1,Database!$F$1:$AY$1,),)))))/(((VLOOKUP(EDATE(B251,-12),Database!$F:$AY,MATCH($R$1,Database!$F$1:$AY$1,),))))</f>
        <v>-9.8189603904827963E-2</v>
      </c>
      <c r="S251" s="13">
        <f>((((VLOOKUP(B251,Database!$F:$AY,MATCH($S$1,Database!$F$1:$AY$1,),))))-(((VLOOKUP(EDATE(B251,-12),Database!$F:$AY,MATCH($S$1,Database!$F$1:$AY$1,),)))))/(((VLOOKUP(EDATE(B251,-12),Database!$F:$AY,MATCH($S$1,Database!$F$1:$AY$1,),))))</f>
        <v>-0.10563371411271515</v>
      </c>
      <c r="T251" s="13">
        <f>((((VLOOKUP(B251,Database!$F:$AY,MATCH($T$1,Database!$F$1:$AY$1,),))))-(((VLOOKUP(EDATE(B251,-12),Database!$F:$AY,MATCH($T$1,Database!$F$1:$AY$1,),)))))/(((VLOOKUP(EDATE(B251,-12),Database!$F:$AY,MATCH($T$1,Database!$F$1:$AY$1,),))))</f>
        <v>-0.14902496740326945</v>
      </c>
      <c r="U251" s="13">
        <f>((((VLOOKUP(B251,Database!$F:$AY,MATCH($U$1,Database!$F$1:$AY$1,),))))-(((VLOOKUP(EDATE(B251,-12),Database!$F:$AY,MATCH($U$1,Database!$F$1:$AY$1,),)))))/(((VLOOKUP(EDATE(B251,-12),Database!$F:$AY,MATCH($U$1,Database!$F$1:$AY$1,),))))</f>
        <v>-0.14917692043324091</v>
      </c>
      <c r="V251" s="13">
        <f>((((VLOOKUP(B251,Database!$F:$AY,MATCH($V$1,Database!$F$1:$AY$1,),))))-(((VLOOKUP(EDATE(B251,-12),Database!$F:$AY,MATCH($V$1,Database!$F$1:$AY$1,),)))))/(((VLOOKUP(EDATE(B251,-12),Database!$F:$AY,MATCH($V$1,Database!$F$1:$AY$1,),))))</f>
        <v>-9.3867334167709635E-2</v>
      </c>
    </row>
    <row r="252" spans="1:22" s="85" customFormat="1" x14ac:dyDescent="0.2">
      <c r="A252" s="44"/>
      <c r="B252" s="91">
        <v>39814</v>
      </c>
      <c r="C252" s="13">
        <f>((((VLOOKUP(B252,Database!$F:$AY,MATCH($C$1,Database!$F$1:$AY$1,),))))-(((VLOOKUP(EDATE(B252,-12),Database!$F:$AY,MATCH($C$1,Database!$F$1:$AY$1,),)))))/(((VLOOKUP(EDATE(B252,-12),Database!$F:$AY,MATCH($C$1,Database!$F$1:$AY$1,),))))</f>
        <v>-0.13348934230475756</v>
      </c>
      <c r="D252" s="13">
        <f>((((VLOOKUP(B252,Database!$F:$AY,MATCH($D$1,Database!$F$1:$AY$1,),))))-(((VLOOKUP(EDATE(B252,-12),Database!$F:$AY,MATCH($D$1,Database!$F$1:$AY$1,),)))))/(((VLOOKUP(EDATE(B252,-12),Database!$F:$AY,MATCH($D$1,Database!$F$1:$AY$1,),))))</f>
        <v>-0.16803687918905255</v>
      </c>
      <c r="E252" s="13">
        <f>((((VLOOKUP(B252,Database!$F:$AY,MATCH($E$1,Database!$F$1:$AY$1,),))))-(((VLOOKUP(EDATE(B252,-12),Database!$F:$AY,MATCH($E$1,Database!$F$1:$AY$1,),)))))/(((VLOOKUP(EDATE(B252,-12),Database!$F:$AY,MATCH($E$1,Database!$F$1:$AY$1,),))))</f>
        <v>-0.27045650034028368</v>
      </c>
      <c r="F252" s="13">
        <f>((((VLOOKUP(B252,Database!$F:$AY,MATCH($F$1,Database!$F$1:$AY$1,),))))-(((VLOOKUP(EDATE(B252,-12),Database!$F:$AY,MATCH($F$1,Database!$F$1:$AY$1,),)))))/(((VLOOKUP(EDATE(B252,-12),Database!$F:$AY,MATCH($F$1,Database!$F$1:$AY$1,),))))</f>
        <v>-0.20178056337025033</v>
      </c>
      <c r="G252" s="13">
        <f>((((VLOOKUP(B252,Database!$F:$AY,MATCH($G$1,Database!$F$1:$AY$1,),))))-(((VLOOKUP(EDATE(B252,-12),Database!$F:$AY,MATCH($G$1,Database!$F$1:$AY$1,),)))))/(((VLOOKUP(EDATE(B252,-12),Database!$F:$AY,MATCH($G$1,Database!$F$1:$AY$1,),))))</f>
        <v>-0.15200108621955916</v>
      </c>
      <c r="H252" s="13">
        <f>((((VLOOKUP(B252,Database!$F:$AY,MATCH($H$1,Database!$F$1:$AY$1,),))))-(((VLOOKUP(EDATE(B252,-12),Database!$F:$AY,MATCH($H$1,Database!$F$1:$AY$1,),)))))/(((VLOOKUP(EDATE(B252,-12),Database!$F:$AY,MATCH($H$1,Database!$F$1:$AY$1,),))))</f>
        <v>-0.10690664120092359</v>
      </c>
      <c r="I252" s="13">
        <f>((((VLOOKUP(B252,Database!$F:$AY,MATCH($I$1,Database!$F$1:$AY$1,),))))-(((VLOOKUP(EDATE(B252,-12),Database!$F:$AY,MATCH($I$1,Database!$F$1:$AY$1,),)))))/(((VLOOKUP(EDATE(B252,-12),Database!$F:$AY,MATCH($I$1,Database!$F$1:$AY$1,),))))</f>
        <v>-0.19663384322028379</v>
      </c>
      <c r="J252" s="13">
        <f>((((VLOOKUP(B252,Database!$F:$AY,MATCH($J$1,Database!$F$1:$AY$1,),))))-(((VLOOKUP(EDATE(B252,-12),Database!$F:$AY,MATCH($J$1,Database!$F$1:$AY$1,),)))))/(((VLOOKUP(EDATE(B252,-12),Database!$F:$AY,MATCH($J$1,Database!$F$1:$AY$1,),))))</f>
        <v>-0.20844051190340968</v>
      </c>
      <c r="K252" s="13">
        <f>((((VLOOKUP(B252,Database!$F:$AY,MATCH($K$1,Database!$F$1:$AY$1,),))))-(((VLOOKUP(EDATE(B252,-12),Database!$F:$AY,MATCH($K$1,Database!$F$1:$AY$1,),)))))/(((VLOOKUP(EDATE(B252,-12),Database!$F:$AY,MATCH($K$1,Database!$F$1:$AY$1,),))))</f>
        <v>-0.20365752285951788</v>
      </c>
      <c r="L252" s="13">
        <f>((((VLOOKUP(B252,Database!$F:$AY,MATCH($L$1,Database!$F$1:$AY$1,),))))-(((VLOOKUP(EDATE(B252,-12),Database!$F:$AY,MATCH($L$1,Database!$F$1:$AY$1,),)))))/(((VLOOKUP(EDATE(B252,-12),Database!$F:$AY,MATCH($L$1,Database!$F$1:$AY$1,),))))</f>
        <v>-7.5446309180054627E-2</v>
      </c>
      <c r="M252" s="13">
        <f>((((VLOOKUP(B252,Database!$F:$AY,MATCH($M$1,Database!$F$1:$AY$1,),))))-(((VLOOKUP(EDATE(B252,-12),Database!$F:$AY,MATCH($M$1,Database!$F$1:$AY$1,),)))))/(((VLOOKUP(EDATE(B252,-12),Database!$F:$AY,MATCH($M$1,Database!$F$1:$AY$1,),))))</f>
        <v>-0.17505470459518599</v>
      </c>
      <c r="N252" s="13">
        <f>((((VLOOKUP(B252,Database!$F:$AY,MATCH($N$1,Database!$F$1:$AY$1,),))))-(((VLOOKUP(EDATE(B252,-12),Database!$F:$AY,MATCH($N$1,Database!$F$1:$AY$1,),)))))/(((VLOOKUP(EDATE(B252,-12),Database!$F:$AY,MATCH($N$1,Database!$F$1:$AY$1,),))))</f>
        <v>-4.897623647189904E-2</v>
      </c>
      <c r="O252" s="13">
        <f>((((VLOOKUP(B252,Database!$F:$AY,MATCH($O$1,Database!$F$1:$AY$1,),))))-(((VLOOKUP(EDATE(B252,-12),Database!$F:$AY,MATCH($O$1,Database!$F$1:$AY$1,),)))))/(((VLOOKUP(EDATE(B252,-12),Database!$F:$AY,MATCH($O$1,Database!$F$1:$AY$1,),))))</f>
        <v>-7.0604626692741965E-2</v>
      </c>
      <c r="P252" s="13">
        <f>((((VLOOKUP(B252,Database!$F:$AY,MATCH($P$1,Database!$F$1:$AY$1,),))))-(((VLOOKUP(EDATE(B252,-12),Database!$F:$AY,MATCH($P$1,Database!$F$1:$AY$1,),)))))/(((VLOOKUP(EDATE(B252,-12),Database!$F:$AY,MATCH($P$1,Database!$F$1:$AY$1,),))))</f>
        <v>-0.20436242402340296</v>
      </c>
      <c r="Q252" s="13">
        <f>((((VLOOKUP(B252,Database!$F:$AY,MATCH($Q$1,Database!$F$1:$AY$1,),))))-(((VLOOKUP(EDATE(B252,-12),Database!$F:$AY,MATCH($Q$1,Database!$F$1:$AY$1,),)))))/(((VLOOKUP(EDATE(B252,-12),Database!$F:$AY,MATCH($Q$1,Database!$F$1:$AY$1,),))))</f>
        <v>-0.14910569913102362</v>
      </c>
      <c r="R252" s="13">
        <f>((((VLOOKUP(B252,Database!$F:$AY,MATCH($R$1,Database!$F$1:$AY$1,),))))-(((VLOOKUP(EDATE(B252,-12),Database!$F:$AY,MATCH($R$1,Database!$F$1:$AY$1,),)))))/(((VLOOKUP(EDATE(B252,-12),Database!$F:$AY,MATCH($R$1,Database!$F$1:$AY$1,),))))</f>
        <v>-0.16238201747909276</v>
      </c>
      <c r="S252" s="13">
        <f>((((VLOOKUP(B252,Database!$F:$AY,MATCH($S$1,Database!$F$1:$AY$1,),))))-(((VLOOKUP(EDATE(B252,-12),Database!$F:$AY,MATCH($S$1,Database!$F$1:$AY$1,),)))))/(((VLOOKUP(EDATE(B252,-12),Database!$F:$AY,MATCH($S$1,Database!$F$1:$AY$1,),))))</f>
        <v>-9.3720758115311362E-3</v>
      </c>
      <c r="T252" s="13">
        <f>((((VLOOKUP(B252,Database!$F:$AY,MATCH($T$1,Database!$F$1:$AY$1,),))))-(((VLOOKUP(EDATE(B252,-12),Database!$F:$AY,MATCH($T$1,Database!$F$1:$AY$1,),)))))/(((VLOOKUP(EDATE(B252,-12),Database!$F:$AY,MATCH($T$1,Database!$F$1:$AY$1,),))))</f>
        <v>-0.19491525423728817</v>
      </c>
      <c r="U252" s="13">
        <f>((((VLOOKUP(B252,Database!$F:$AY,MATCH($U$1,Database!$F$1:$AY$1,),))))-(((VLOOKUP(EDATE(B252,-12),Database!$F:$AY,MATCH($U$1,Database!$F$1:$AY$1,),)))))/(((VLOOKUP(EDATE(B252,-12),Database!$F:$AY,MATCH($U$1,Database!$F$1:$AY$1,),))))</f>
        <v>-0.19444444444444445</v>
      </c>
      <c r="V252" s="13">
        <f>((((VLOOKUP(B252,Database!$F:$AY,MATCH($V$1,Database!$F$1:$AY$1,),))))-(((VLOOKUP(EDATE(B252,-12),Database!$F:$AY,MATCH($V$1,Database!$F$1:$AY$1,),)))))/(((VLOOKUP(EDATE(B252,-12),Database!$F:$AY,MATCH($V$1,Database!$F$1:$AY$1,),))))</f>
        <v>-0.13244228432563782</v>
      </c>
    </row>
    <row r="253" spans="1:22" s="85" customFormat="1" x14ac:dyDescent="0.2">
      <c r="A253" s="44"/>
      <c r="B253" s="91">
        <v>39845</v>
      </c>
      <c r="C253" s="13">
        <f>((((VLOOKUP(B253,Database!$F:$AY,MATCH($C$1,Database!$F$1:$AY$1,),))))-(((VLOOKUP(EDATE(B253,-12),Database!$F:$AY,MATCH($C$1,Database!$F$1:$AY$1,),)))))/(((VLOOKUP(EDATE(B253,-12),Database!$F:$AY,MATCH($C$1,Database!$F$1:$AY$1,),))))</f>
        <v>-0.13617898789353944</v>
      </c>
      <c r="D253" s="13">
        <f>((((VLOOKUP(B253,Database!$F:$AY,MATCH($D$1,Database!$F$1:$AY$1,),))))-(((VLOOKUP(EDATE(B253,-12),Database!$F:$AY,MATCH($D$1,Database!$F$1:$AY$1,),)))))/(((VLOOKUP(EDATE(B253,-12),Database!$F:$AY,MATCH($D$1,Database!$F$1:$AY$1,),))))</f>
        <v>-0.18572744958446885</v>
      </c>
      <c r="E253" s="13">
        <f>((((VLOOKUP(B253,Database!$F:$AY,MATCH($E$1,Database!$F$1:$AY$1,),))))-(((VLOOKUP(EDATE(B253,-12),Database!$F:$AY,MATCH($E$1,Database!$F$1:$AY$1,),)))))/(((VLOOKUP(EDATE(B253,-12),Database!$F:$AY,MATCH($E$1,Database!$F$1:$AY$1,),))))</f>
        <v>-0.33333324963255362</v>
      </c>
      <c r="F253" s="13">
        <f>((((VLOOKUP(B253,Database!$F:$AY,MATCH($F$1,Database!$F$1:$AY$1,),))))-(((VLOOKUP(EDATE(B253,-12),Database!$F:$AY,MATCH($F$1,Database!$F$1:$AY$1,),)))))/(((VLOOKUP(EDATE(B253,-12),Database!$F:$AY,MATCH($F$1,Database!$F$1:$AY$1,),))))</f>
        <v>-0.22420638227788831</v>
      </c>
      <c r="G253" s="13">
        <f>((((VLOOKUP(B253,Database!$F:$AY,MATCH($G$1,Database!$F$1:$AY$1,),))))-(((VLOOKUP(EDATE(B253,-12),Database!$F:$AY,MATCH($G$1,Database!$F$1:$AY$1,),)))))/(((VLOOKUP(EDATE(B253,-12),Database!$F:$AY,MATCH($G$1,Database!$F$1:$AY$1,),))))</f>
        <v>-0.17134153480528783</v>
      </c>
      <c r="H253" s="13">
        <f>((((VLOOKUP(B253,Database!$F:$AY,MATCH($H$1,Database!$F$1:$AY$1,),))))-(((VLOOKUP(EDATE(B253,-12),Database!$F:$AY,MATCH($H$1,Database!$F$1:$AY$1,),)))))/(((VLOOKUP(EDATE(B253,-12),Database!$F:$AY,MATCH($H$1,Database!$F$1:$AY$1,),))))</f>
        <v>-0.10436440596651581</v>
      </c>
      <c r="I253" s="13">
        <f>((((VLOOKUP(B253,Database!$F:$AY,MATCH($I$1,Database!$F$1:$AY$1,),))))-(((VLOOKUP(EDATE(B253,-12),Database!$F:$AY,MATCH($I$1,Database!$F$1:$AY$1,),)))))/(((VLOOKUP(EDATE(B253,-12),Database!$F:$AY,MATCH($I$1,Database!$F$1:$AY$1,),))))</f>
        <v>-0.21896657547428774</v>
      </c>
      <c r="J253" s="13">
        <f>((((VLOOKUP(B253,Database!$F:$AY,MATCH($J$1,Database!$F$1:$AY$1,),))))-(((VLOOKUP(EDATE(B253,-12),Database!$F:$AY,MATCH($J$1,Database!$F$1:$AY$1,),)))))/(((VLOOKUP(EDATE(B253,-12),Database!$F:$AY,MATCH($J$1,Database!$F$1:$AY$1,),))))</f>
        <v>-0.20784846448124611</v>
      </c>
      <c r="K253" s="13">
        <f>((((VLOOKUP(B253,Database!$F:$AY,MATCH($K$1,Database!$F$1:$AY$1,),))))-(((VLOOKUP(EDATE(B253,-12),Database!$F:$AY,MATCH($K$1,Database!$F$1:$AY$1,),)))))/(((VLOOKUP(EDATE(B253,-12),Database!$F:$AY,MATCH($K$1,Database!$F$1:$AY$1,),))))</f>
        <v>-0.19548872180451132</v>
      </c>
      <c r="L253" s="13">
        <f>((((VLOOKUP(B253,Database!$F:$AY,MATCH($L$1,Database!$F$1:$AY$1,),))))-(((VLOOKUP(EDATE(B253,-12),Database!$F:$AY,MATCH($L$1,Database!$F$1:$AY$1,),)))))/(((VLOOKUP(EDATE(B253,-12),Database!$F:$AY,MATCH($L$1,Database!$F$1:$AY$1,),))))</f>
        <v>-7.5833534967161761E-2</v>
      </c>
      <c r="M253" s="13">
        <f>((((VLOOKUP(B253,Database!$F:$AY,MATCH($M$1,Database!$F$1:$AY$1,),))))-(((VLOOKUP(EDATE(B253,-12),Database!$F:$AY,MATCH($M$1,Database!$F$1:$AY$1,),)))))/(((VLOOKUP(EDATE(B253,-12),Database!$F:$AY,MATCH($M$1,Database!$F$1:$AY$1,),))))</f>
        <v>-0.1462053571428571</v>
      </c>
      <c r="N253" s="13">
        <f>((((VLOOKUP(B253,Database!$F:$AY,MATCH($N$1,Database!$F$1:$AY$1,),))))-(((VLOOKUP(EDATE(B253,-12),Database!$F:$AY,MATCH($N$1,Database!$F$1:$AY$1,),)))))/(((VLOOKUP(EDATE(B253,-12),Database!$F:$AY,MATCH($N$1,Database!$F$1:$AY$1,),))))</f>
        <v>-3.810062361752662E-2</v>
      </c>
      <c r="O253" s="13">
        <f>((((VLOOKUP(B253,Database!$F:$AY,MATCH($O$1,Database!$F$1:$AY$1,),))))-(((VLOOKUP(EDATE(B253,-12),Database!$F:$AY,MATCH($O$1,Database!$F$1:$AY$1,),)))))/(((VLOOKUP(EDATE(B253,-12),Database!$F:$AY,MATCH($O$1,Database!$F$1:$AY$1,),))))</f>
        <v>-8.3376983518862399E-2</v>
      </c>
      <c r="P253" s="13">
        <f>((((VLOOKUP(B253,Database!$F:$AY,MATCH($P$1,Database!$F$1:$AY$1,),))))-(((VLOOKUP(EDATE(B253,-12),Database!$F:$AY,MATCH($P$1,Database!$F$1:$AY$1,),)))))/(((VLOOKUP(EDATE(B253,-12),Database!$F:$AY,MATCH($P$1,Database!$F$1:$AY$1,),))))</f>
        <v>-0.14777271008573251</v>
      </c>
      <c r="Q253" s="13">
        <f>((((VLOOKUP(B253,Database!$F:$AY,MATCH($Q$1,Database!$F$1:$AY$1,),))))-(((VLOOKUP(EDATE(B253,-12),Database!$F:$AY,MATCH($Q$1,Database!$F$1:$AY$1,),)))))/(((VLOOKUP(EDATE(B253,-12),Database!$F:$AY,MATCH($Q$1,Database!$F$1:$AY$1,),))))</f>
        <v>-0.12574808288464681</v>
      </c>
      <c r="R253" s="13">
        <f>((((VLOOKUP(B253,Database!$F:$AY,MATCH($R$1,Database!$F$1:$AY$1,),))))-(((VLOOKUP(EDATE(B253,-12),Database!$F:$AY,MATCH($R$1,Database!$F$1:$AY$1,),)))))/(((VLOOKUP(EDATE(B253,-12),Database!$F:$AY,MATCH($R$1,Database!$F$1:$AY$1,),))))</f>
        <v>-7.1120946965501419E-2</v>
      </c>
      <c r="S253" s="13">
        <f>((((VLOOKUP(B253,Database!$F:$AY,MATCH($S$1,Database!$F$1:$AY$1,),))))-(((VLOOKUP(EDATE(B253,-12),Database!$F:$AY,MATCH($S$1,Database!$F$1:$AY$1,),)))))/(((VLOOKUP(EDATE(B253,-12),Database!$F:$AY,MATCH($S$1,Database!$F$1:$AY$1,),))))</f>
        <v>-2.6143741537722549E-2</v>
      </c>
      <c r="T253" s="13">
        <f>((((VLOOKUP(B253,Database!$F:$AY,MATCH($T$1,Database!$F$1:$AY$1,),))))-(((VLOOKUP(EDATE(B253,-12),Database!$F:$AY,MATCH($T$1,Database!$F$1:$AY$1,),)))))/(((VLOOKUP(EDATE(B253,-12),Database!$F:$AY,MATCH($T$1,Database!$F$1:$AY$1,),))))</f>
        <v>-0.193905779955614</v>
      </c>
      <c r="U253" s="13">
        <f>((((VLOOKUP(B253,Database!$F:$AY,MATCH($U$1,Database!$F$1:$AY$1,),))))-(((VLOOKUP(EDATE(B253,-12),Database!$F:$AY,MATCH($U$1,Database!$F$1:$AY$1,),)))))/(((VLOOKUP(EDATE(B253,-12),Database!$F:$AY,MATCH($U$1,Database!$F$1:$AY$1,),))))</f>
        <v>-0.20121959338552431</v>
      </c>
      <c r="V253" s="13">
        <f>((((VLOOKUP(B253,Database!$F:$AY,MATCH($V$1,Database!$F$1:$AY$1,),))))-(((VLOOKUP(EDATE(B253,-12),Database!$F:$AY,MATCH($V$1,Database!$F$1:$AY$1,),)))))/(((VLOOKUP(EDATE(B253,-12),Database!$F:$AY,MATCH($V$1,Database!$F$1:$AY$1,),))))</f>
        <v>-0.11571254567600488</v>
      </c>
    </row>
    <row r="254" spans="1:22" s="85" customFormat="1" x14ac:dyDescent="0.2">
      <c r="A254" s="44"/>
      <c r="B254" s="91">
        <v>39873</v>
      </c>
      <c r="C254" s="13">
        <f>((((VLOOKUP(B254,Database!$F:$AY,MATCH($C$1,Database!$F$1:$AY$1,),))))-(((VLOOKUP(EDATE(B254,-12),Database!$F:$AY,MATCH($C$1,Database!$F$1:$AY$1,),)))))/(((VLOOKUP(EDATE(B254,-12),Database!$F:$AY,MATCH($C$1,Database!$F$1:$AY$1,),))))</f>
        <v>-0.14785940097511965</v>
      </c>
      <c r="D254" s="13">
        <f>((((VLOOKUP(B254,Database!$F:$AY,MATCH($D$1,Database!$F$1:$AY$1,),))))-(((VLOOKUP(EDATE(B254,-12),Database!$F:$AY,MATCH($D$1,Database!$F$1:$AY$1,),)))))/(((VLOOKUP(EDATE(B254,-12),Database!$F:$AY,MATCH($D$1,Database!$F$1:$AY$1,),))))</f>
        <v>-0.19209583579621234</v>
      </c>
      <c r="E254" s="13">
        <f>((((VLOOKUP(B254,Database!$F:$AY,MATCH($E$1,Database!$F$1:$AY$1,),))))-(((VLOOKUP(EDATE(B254,-12),Database!$F:$AY,MATCH($E$1,Database!$F$1:$AY$1,),)))))/(((VLOOKUP(EDATE(B254,-12),Database!$F:$AY,MATCH($E$1,Database!$F$1:$AY$1,),))))</f>
        <v>-0.32031232689030503</v>
      </c>
      <c r="F254" s="13">
        <f>((((VLOOKUP(B254,Database!$F:$AY,MATCH($F$1,Database!$F$1:$AY$1,),))))-(((VLOOKUP(EDATE(B254,-12),Database!$F:$AY,MATCH($F$1,Database!$F$1:$AY$1,),)))))/(((VLOOKUP(EDATE(B254,-12),Database!$F:$AY,MATCH($F$1,Database!$F$1:$AY$1,),))))</f>
        <v>-0.21578452559003397</v>
      </c>
      <c r="G254" s="13">
        <f>((((VLOOKUP(B254,Database!$F:$AY,MATCH($G$1,Database!$F$1:$AY$1,),))))-(((VLOOKUP(EDATE(B254,-12),Database!$F:$AY,MATCH($G$1,Database!$F$1:$AY$1,),)))))/(((VLOOKUP(EDATE(B254,-12),Database!$F:$AY,MATCH($G$1,Database!$F$1:$AY$1,),))))</f>
        <v>-0.17697985076144201</v>
      </c>
      <c r="H254" s="13">
        <f>((((VLOOKUP(B254,Database!$F:$AY,MATCH($H$1,Database!$F$1:$AY$1,),))))-(((VLOOKUP(EDATE(B254,-12),Database!$F:$AY,MATCH($H$1,Database!$F$1:$AY$1,),)))))/(((VLOOKUP(EDATE(B254,-12),Database!$F:$AY,MATCH($H$1,Database!$F$1:$AY$1,),))))</f>
        <v>-9.5192688826900462E-2</v>
      </c>
      <c r="I254" s="13">
        <f>((((VLOOKUP(B254,Database!$F:$AY,MATCH($I$1,Database!$F$1:$AY$1,),))))-(((VLOOKUP(EDATE(B254,-12),Database!$F:$AY,MATCH($I$1,Database!$F$1:$AY$1,),)))))/(((VLOOKUP(EDATE(B254,-12),Database!$F:$AY,MATCH($I$1,Database!$F$1:$AY$1,),))))</f>
        <v>-0.25440600019465237</v>
      </c>
      <c r="J254" s="13">
        <f>((((VLOOKUP(B254,Database!$F:$AY,MATCH($J$1,Database!$F$1:$AY$1,),))))-(((VLOOKUP(EDATE(B254,-12),Database!$F:$AY,MATCH($J$1,Database!$F$1:$AY$1,),)))))/(((VLOOKUP(EDATE(B254,-12),Database!$F:$AY,MATCH($J$1,Database!$F$1:$AY$1,),))))</f>
        <v>-0.21417147625338984</v>
      </c>
      <c r="K254" s="13">
        <f>((((VLOOKUP(B254,Database!$F:$AY,MATCH($K$1,Database!$F$1:$AY$1,),))))-(((VLOOKUP(EDATE(B254,-12),Database!$F:$AY,MATCH($K$1,Database!$F$1:$AY$1,),)))))/(((VLOOKUP(EDATE(B254,-12),Database!$F:$AY,MATCH($K$1,Database!$F$1:$AY$1,),))))</f>
        <v>-0.21194280908326327</v>
      </c>
      <c r="L254" s="13">
        <f>((((VLOOKUP(B254,Database!$F:$AY,MATCH($L$1,Database!$F$1:$AY$1,),))))-(((VLOOKUP(EDATE(B254,-12),Database!$F:$AY,MATCH($L$1,Database!$F$1:$AY$1,),)))))/(((VLOOKUP(EDATE(B254,-12),Database!$F:$AY,MATCH($L$1,Database!$F$1:$AY$1,),))))</f>
        <v>-7.8171866383963534E-2</v>
      </c>
      <c r="M254" s="13">
        <f>((((VLOOKUP(B254,Database!$F:$AY,MATCH($M$1,Database!$F$1:$AY$1,),))))-(((VLOOKUP(EDATE(B254,-12),Database!$F:$AY,MATCH($M$1,Database!$F$1:$AY$1,),)))))/(((VLOOKUP(EDATE(B254,-12),Database!$F:$AY,MATCH($M$1,Database!$F$1:$AY$1,),))))</f>
        <v>-0.14636871508379881</v>
      </c>
      <c r="N254" s="13">
        <f>((((VLOOKUP(B254,Database!$F:$AY,MATCH($N$1,Database!$F$1:$AY$1,),))))-(((VLOOKUP(EDATE(B254,-12),Database!$F:$AY,MATCH($N$1,Database!$F$1:$AY$1,),)))))/(((VLOOKUP(EDATE(B254,-12),Database!$F:$AY,MATCH($N$1,Database!$F$1:$AY$1,),))))</f>
        <v>-5.613934966282895E-2</v>
      </c>
      <c r="O254" s="13">
        <f>((((VLOOKUP(B254,Database!$F:$AY,MATCH($O$1,Database!$F$1:$AY$1,),))))-(((VLOOKUP(EDATE(B254,-12),Database!$F:$AY,MATCH($O$1,Database!$F$1:$AY$1,),)))))/(((VLOOKUP(EDATE(B254,-12),Database!$F:$AY,MATCH($O$1,Database!$F$1:$AY$1,),))))</f>
        <v>-9.3758179938686542E-2</v>
      </c>
      <c r="P254" s="13">
        <f>((((VLOOKUP(B254,Database!$F:$AY,MATCH($P$1,Database!$F$1:$AY$1,),))))-(((VLOOKUP(EDATE(B254,-12),Database!$F:$AY,MATCH($P$1,Database!$F$1:$AY$1,),)))))/(((VLOOKUP(EDATE(B254,-12),Database!$F:$AY,MATCH($P$1,Database!$F$1:$AY$1,),))))</f>
        <v>-0.11447944257121648</v>
      </c>
      <c r="Q254" s="13">
        <f>((((VLOOKUP(B254,Database!$F:$AY,MATCH($Q$1,Database!$F$1:$AY$1,),))))-(((VLOOKUP(EDATE(B254,-12),Database!$F:$AY,MATCH($Q$1,Database!$F$1:$AY$1,),)))))/(((VLOOKUP(EDATE(B254,-12),Database!$F:$AY,MATCH($Q$1,Database!$F$1:$AY$1,),))))</f>
        <v>-0.12437841384371241</v>
      </c>
      <c r="R254" s="13">
        <f>((((VLOOKUP(B254,Database!$F:$AY,MATCH($R$1,Database!$F$1:$AY$1,),))))-(((VLOOKUP(EDATE(B254,-12),Database!$F:$AY,MATCH($R$1,Database!$F$1:$AY$1,),)))))/(((VLOOKUP(EDATE(B254,-12),Database!$F:$AY,MATCH($R$1,Database!$F$1:$AY$1,),))))</f>
        <v>-8.5464072458415696E-2</v>
      </c>
      <c r="S254" s="13">
        <f>((((VLOOKUP(B254,Database!$F:$AY,MATCH($S$1,Database!$F$1:$AY$1,),))))-(((VLOOKUP(EDATE(B254,-12),Database!$F:$AY,MATCH($S$1,Database!$F$1:$AY$1,),)))))/(((VLOOKUP(EDATE(B254,-12),Database!$F:$AY,MATCH($S$1,Database!$F$1:$AY$1,),))))</f>
        <v>4.6993296074535574E-3</v>
      </c>
      <c r="T254" s="13">
        <f>((((VLOOKUP(B254,Database!$F:$AY,MATCH($T$1,Database!$F$1:$AY$1,),))))-(((VLOOKUP(EDATE(B254,-12),Database!$F:$AY,MATCH($T$1,Database!$F$1:$AY$1,),)))))/(((VLOOKUP(EDATE(B254,-12),Database!$F:$AY,MATCH($T$1,Database!$F$1:$AY$1,),))))</f>
        <v>-0.20221602964679325</v>
      </c>
      <c r="U254" s="13">
        <f>((((VLOOKUP(B254,Database!$F:$AY,MATCH($U$1,Database!$F$1:$AY$1,),))))-(((VLOOKUP(EDATE(B254,-12),Database!$F:$AY,MATCH($U$1,Database!$F$1:$AY$1,),)))))/(((VLOOKUP(EDATE(B254,-12),Database!$F:$AY,MATCH($U$1,Database!$F$1:$AY$1,),))))</f>
        <v>-0.15522702727022511</v>
      </c>
      <c r="V254" s="13">
        <f>((((VLOOKUP(B254,Database!$F:$AY,MATCH($V$1,Database!$F$1:$AY$1,),))))-(((VLOOKUP(EDATE(B254,-12),Database!$F:$AY,MATCH($V$1,Database!$F$1:$AY$1,),)))))/(((VLOOKUP(EDATE(B254,-12),Database!$F:$AY,MATCH($V$1,Database!$F$1:$AY$1,),))))</f>
        <v>-6.5326633165829012E-2</v>
      </c>
    </row>
    <row r="255" spans="1:22" s="85" customFormat="1" x14ac:dyDescent="0.2">
      <c r="A255" s="44"/>
      <c r="B255" s="91">
        <v>39904</v>
      </c>
      <c r="C255" s="13">
        <f>((((VLOOKUP(B255,Database!$F:$AY,MATCH($C$1,Database!$F$1:$AY$1,),))))-(((VLOOKUP(EDATE(B255,-12),Database!$F:$AY,MATCH($C$1,Database!$F$1:$AY$1,),)))))/(((VLOOKUP(EDATE(B255,-12),Database!$F:$AY,MATCH($C$1,Database!$F$1:$AY$1,),))))</f>
        <v>-0.14820819509359692</v>
      </c>
      <c r="D255" s="13">
        <f>((((VLOOKUP(B255,Database!$F:$AY,MATCH($D$1,Database!$F$1:$AY$1,),))))-(((VLOOKUP(EDATE(B255,-12),Database!$F:$AY,MATCH($D$1,Database!$F$1:$AY$1,),)))))/(((VLOOKUP(EDATE(B255,-12),Database!$F:$AY,MATCH($D$1,Database!$F$1:$AY$1,),))))</f>
        <v>-0.21253370227176921</v>
      </c>
      <c r="E255" s="13">
        <f>((((VLOOKUP(B255,Database!$F:$AY,MATCH($E$1,Database!$F$1:$AY$1,),))))-(((VLOOKUP(EDATE(B255,-12),Database!$F:$AY,MATCH($E$1,Database!$F$1:$AY$1,),)))))/(((VLOOKUP(EDATE(B255,-12),Database!$F:$AY,MATCH($E$1,Database!$F$1:$AY$1,),))))</f>
        <v>-0.28770686402504747</v>
      </c>
      <c r="F255" s="13">
        <f>((((VLOOKUP(B255,Database!$F:$AY,MATCH($F$1,Database!$F$1:$AY$1,),))))-(((VLOOKUP(EDATE(B255,-12),Database!$F:$AY,MATCH($F$1,Database!$F$1:$AY$1,),)))))/(((VLOOKUP(EDATE(B255,-12),Database!$F:$AY,MATCH($F$1,Database!$F$1:$AY$1,),))))</f>
        <v>-0.24027884688249063</v>
      </c>
      <c r="G255" s="13">
        <f>((((VLOOKUP(B255,Database!$F:$AY,MATCH($G$1,Database!$F$1:$AY$1,),))))-(((VLOOKUP(EDATE(B255,-12),Database!$F:$AY,MATCH($G$1,Database!$F$1:$AY$1,),)))))/(((VLOOKUP(EDATE(B255,-12),Database!$F:$AY,MATCH($G$1,Database!$F$1:$AY$1,),))))</f>
        <v>-0.19477394848188564</v>
      </c>
      <c r="H255" s="13">
        <f>((((VLOOKUP(B255,Database!$F:$AY,MATCH($H$1,Database!$F$1:$AY$1,),))))-(((VLOOKUP(EDATE(B255,-12),Database!$F:$AY,MATCH($H$1,Database!$F$1:$AY$1,),)))))/(((VLOOKUP(EDATE(B255,-12),Database!$F:$AY,MATCH($H$1,Database!$F$1:$AY$1,),))))</f>
        <v>-9.1254314567444525E-2</v>
      </c>
      <c r="I255" s="13">
        <f>((((VLOOKUP(B255,Database!$F:$AY,MATCH($I$1,Database!$F$1:$AY$1,),))))-(((VLOOKUP(EDATE(B255,-12),Database!$F:$AY,MATCH($I$1,Database!$F$1:$AY$1,),)))))/(((VLOOKUP(EDATE(B255,-12),Database!$F:$AY,MATCH($I$1,Database!$F$1:$AY$1,),))))</f>
        <v>-0.25796652224388983</v>
      </c>
      <c r="J255" s="13">
        <f>((((VLOOKUP(B255,Database!$F:$AY,MATCH($J$1,Database!$F$1:$AY$1,),))))-(((VLOOKUP(EDATE(B255,-12),Database!$F:$AY,MATCH($J$1,Database!$F$1:$AY$1,),)))))/(((VLOOKUP(EDATE(B255,-12),Database!$F:$AY,MATCH($J$1,Database!$F$1:$AY$1,),))))</f>
        <v>-0.21786041739844653</v>
      </c>
      <c r="K255" s="13">
        <f>((((VLOOKUP(B255,Database!$F:$AY,MATCH($K$1,Database!$F$1:$AY$1,),))))-(((VLOOKUP(EDATE(B255,-12),Database!$F:$AY,MATCH($K$1,Database!$F$1:$AY$1,),)))))/(((VLOOKUP(EDATE(B255,-12),Database!$F:$AY,MATCH($K$1,Database!$F$1:$AY$1,),))))</f>
        <v>-0.21398483572030333</v>
      </c>
      <c r="L255" s="13">
        <f>((((VLOOKUP(B255,Database!$F:$AY,MATCH($L$1,Database!$F$1:$AY$1,),))))-(((VLOOKUP(EDATE(B255,-12),Database!$F:$AY,MATCH($L$1,Database!$F$1:$AY$1,),)))))/(((VLOOKUP(EDATE(B255,-12),Database!$F:$AY,MATCH($L$1,Database!$F$1:$AY$1,),))))</f>
        <v>-7.179406770885241E-2</v>
      </c>
      <c r="M255" s="13">
        <f>((((VLOOKUP(B255,Database!$F:$AY,MATCH($M$1,Database!$F$1:$AY$1,),))))-(((VLOOKUP(EDATE(B255,-12),Database!$F:$AY,MATCH($M$1,Database!$F$1:$AY$1,),)))))/(((VLOOKUP(EDATE(B255,-12),Database!$F:$AY,MATCH($M$1,Database!$F$1:$AY$1,),))))</f>
        <v>-0.14839424141749713</v>
      </c>
      <c r="N255" s="13">
        <f>((((VLOOKUP(B255,Database!$F:$AY,MATCH($N$1,Database!$F$1:$AY$1,),))))-(((VLOOKUP(EDATE(B255,-12),Database!$F:$AY,MATCH($N$1,Database!$F$1:$AY$1,),)))))/(((VLOOKUP(EDATE(B255,-12),Database!$F:$AY,MATCH($N$1,Database!$F$1:$AY$1,),))))</f>
        <v>-2.3596315913403398E-2</v>
      </c>
      <c r="O255" s="13">
        <f>((((VLOOKUP(B255,Database!$F:$AY,MATCH($O$1,Database!$F$1:$AY$1,),))))-(((VLOOKUP(EDATE(B255,-12),Database!$F:$AY,MATCH($O$1,Database!$F$1:$AY$1,),)))))/(((VLOOKUP(EDATE(B255,-12),Database!$F:$AY,MATCH($O$1,Database!$F$1:$AY$1,),))))</f>
        <v>-0.12014979070191371</v>
      </c>
      <c r="P255" s="13">
        <f>((((VLOOKUP(B255,Database!$F:$AY,MATCH($P$1,Database!$F$1:$AY$1,),))))-(((VLOOKUP(EDATE(B255,-12),Database!$F:$AY,MATCH($P$1,Database!$F$1:$AY$1,),)))))/(((VLOOKUP(EDATE(B255,-12),Database!$F:$AY,MATCH($P$1,Database!$F$1:$AY$1,),))))</f>
        <v>-8.8051929211725707E-2</v>
      </c>
      <c r="Q255" s="13">
        <f>((((VLOOKUP(B255,Database!$F:$AY,MATCH($Q$1,Database!$F$1:$AY$1,),))))-(((VLOOKUP(EDATE(B255,-12),Database!$F:$AY,MATCH($Q$1,Database!$F$1:$AY$1,),)))))/(((VLOOKUP(EDATE(B255,-12),Database!$F:$AY,MATCH($Q$1,Database!$F$1:$AY$1,),))))</f>
        <v>-0.11255012786960279</v>
      </c>
      <c r="R255" s="13">
        <f>((((VLOOKUP(B255,Database!$F:$AY,MATCH($R$1,Database!$F$1:$AY$1,),))))-(((VLOOKUP(EDATE(B255,-12),Database!$F:$AY,MATCH($R$1,Database!$F$1:$AY$1,),)))))/(((VLOOKUP(EDATE(B255,-12),Database!$F:$AY,MATCH($R$1,Database!$F$1:$AY$1,),))))</f>
        <v>-0.14404392376987851</v>
      </c>
      <c r="S255" s="13">
        <f>((((VLOOKUP(B255,Database!$F:$AY,MATCH($S$1,Database!$F$1:$AY$1,),))))-(((VLOOKUP(EDATE(B255,-12),Database!$F:$AY,MATCH($S$1,Database!$F$1:$AY$1,),)))))/(((VLOOKUP(EDATE(B255,-12),Database!$F:$AY,MATCH($S$1,Database!$F$1:$AY$1,),))))</f>
        <v>3.4179787678961751E-2</v>
      </c>
      <c r="T255" s="13">
        <f>((((VLOOKUP(B255,Database!$F:$AY,MATCH($T$1,Database!$F$1:$AY$1,),))))-(((VLOOKUP(EDATE(B255,-12),Database!$F:$AY,MATCH($T$1,Database!$F$1:$AY$1,),)))))/(((VLOOKUP(EDATE(B255,-12),Database!$F:$AY,MATCH($T$1,Database!$F$1:$AY$1,),))))</f>
        <v>-0.17952323096762901</v>
      </c>
      <c r="U255" s="13">
        <f>((((VLOOKUP(B255,Database!$F:$AY,MATCH($U$1,Database!$F$1:$AY$1,),))))-(((VLOOKUP(EDATE(B255,-12),Database!$F:$AY,MATCH($U$1,Database!$F$1:$AY$1,),)))))/(((VLOOKUP(EDATE(B255,-12),Database!$F:$AY,MATCH($U$1,Database!$F$1:$AY$1,),))))</f>
        <v>-0.1892450944252547</v>
      </c>
      <c r="V255" s="13">
        <f>((((VLOOKUP(B255,Database!$F:$AY,MATCH($V$1,Database!$F$1:$AY$1,),))))-(((VLOOKUP(EDATE(B255,-12),Database!$F:$AY,MATCH($V$1,Database!$F$1:$AY$1,),)))))/(((VLOOKUP(EDATE(B255,-12),Database!$F:$AY,MATCH($V$1,Database!$F$1:$AY$1,),))))</f>
        <v>-0.10086100861008614</v>
      </c>
    </row>
    <row r="256" spans="1:22" s="85" customFormat="1" x14ac:dyDescent="0.2">
      <c r="A256" s="44"/>
      <c r="B256" s="91">
        <v>39934</v>
      </c>
      <c r="C256" s="13">
        <f>((((VLOOKUP(B256,Database!$F:$AY,MATCH($C$1,Database!$F$1:$AY$1,),))))-(((VLOOKUP(EDATE(B256,-12),Database!$F:$AY,MATCH($C$1,Database!$F$1:$AY$1,),)))))/(((VLOOKUP(EDATE(B256,-12),Database!$F:$AY,MATCH($C$1,Database!$F$1:$AY$1,),))))</f>
        <v>-0.15201629807574324</v>
      </c>
      <c r="D256" s="13">
        <f>((((VLOOKUP(B256,Database!$F:$AY,MATCH($D$1,Database!$F$1:$AY$1,),))))-(((VLOOKUP(EDATE(B256,-12),Database!$F:$AY,MATCH($D$1,Database!$F$1:$AY$1,),)))))/(((VLOOKUP(EDATE(B256,-12),Database!$F:$AY,MATCH($D$1,Database!$F$1:$AY$1,),))))</f>
        <v>-0.17025267069727229</v>
      </c>
      <c r="E256" s="13">
        <f>((((VLOOKUP(B256,Database!$F:$AY,MATCH($E$1,Database!$F$1:$AY$1,),))))-(((VLOOKUP(EDATE(B256,-12),Database!$F:$AY,MATCH($E$1,Database!$F$1:$AY$1,),)))))/(((VLOOKUP(EDATE(B256,-12),Database!$F:$AY,MATCH($E$1,Database!$F$1:$AY$1,),))))</f>
        <v>-0.26539475529852757</v>
      </c>
      <c r="F256" s="13">
        <f>((((VLOOKUP(B256,Database!$F:$AY,MATCH($F$1,Database!$F$1:$AY$1,),))))-(((VLOOKUP(EDATE(B256,-12),Database!$F:$AY,MATCH($F$1,Database!$F$1:$AY$1,),)))))/(((VLOOKUP(EDATE(B256,-12),Database!$F:$AY,MATCH($F$1,Database!$F$1:$AY$1,),))))</f>
        <v>-0.18921668041314937</v>
      </c>
      <c r="G256" s="13">
        <f>((((VLOOKUP(B256,Database!$F:$AY,MATCH($G$1,Database!$F$1:$AY$1,),))))-(((VLOOKUP(EDATE(B256,-12),Database!$F:$AY,MATCH($G$1,Database!$F$1:$AY$1,),)))))/(((VLOOKUP(EDATE(B256,-12),Database!$F:$AY,MATCH($G$1,Database!$F$1:$AY$1,),))))</f>
        <v>-0.14493270578064657</v>
      </c>
      <c r="H256" s="13">
        <f>((((VLOOKUP(B256,Database!$F:$AY,MATCH($H$1,Database!$F$1:$AY$1,),))))-(((VLOOKUP(EDATE(B256,-12),Database!$F:$AY,MATCH($H$1,Database!$F$1:$AY$1,),)))))/(((VLOOKUP(EDATE(B256,-12),Database!$F:$AY,MATCH($H$1,Database!$F$1:$AY$1,),))))</f>
        <v>-9.6061657460608268E-2</v>
      </c>
      <c r="I256" s="13">
        <f>((((VLOOKUP(B256,Database!$F:$AY,MATCH($I$1,Database!$F$1:$AY$1,),))))-(((VLOOKUP(EDATE(B256,-12),Database!$F:$AY,MATCH($I$1,Database!$F$1:$AY$1,),)))))/(((VLOOKUP(EDATE(B256,-12),Database!$F:$AY,MATCH($I$1,Database!$F$1:$AY$1,),))))</f>
        <v>-0.21776728249366697</v>
      </c>
      <c r="J256" s="13">
        <f>((((VLOOKUP(B256,Database!$F:$AY,MATCH($J$1,Database!$F$1:$AY$1,),))))-(((VLOOKUP(EDATE(B256,-12),Database!$F:$AY,MATCH($J$1,Database!$F$1:$AY$1,),)))))/(((VLOOKUP(EDATE(B256,-12),Database!$F:$AY,MATCH($J$1,Database!$F$1:$AY$1,),))))</f>
        <v>-0.19914366360010902</v>
      </c>
      <c r="K256" s="13">
        <f>((((VLOOKUP(B256,Database!$F:$AY,MATCH($K$1,Database!$F$1:$AY$1,),))))-(((VLOOKUP(EDATE(B256,-12),Database!$F:$AY,MATCH($K$1,Database!$F$1:$AY$1,),)))))/(((VLOOKUP(EDATE(B256,-12),Database!$F:$AY,MATCH($K$1,Database!$F$1:$AY$1,),))))</f>
        <v>-0.23044217687074825</v>
      </c>
      <c r="L256" s="13">
        <f>((((VLOOKUP(B256,Database!$F:$AY,MATCH($L$1,Database!$F$1:$AY$1,),))))-(((VLOOKUP(EDATE(B256,-12),Database!$F:$AY,MATCH($L$1,Database!$F$1:$AY$1,),)))))/(((VLOOKUP(EDATE(B256,-12),Database!$F:$AY,MATCH($L$1,Database!$F$1:$AY$1,),))))</f>
        <v>-7.9235381578460218E-2</v>
      </c>
      <c r="M256" s="13">
        <f>((((VLOOKUP(B256,Database!$F:$AY,MATCH($M$1,Database!$F$1:$AY$1,),))))-(((VLOOKUP(EDATE(B256,-12),Database!$F:$AY,MATCH($M$1,Database!$F$1:$AY$1,),)))))/(((VLOOKUP(EDATE(B256,-12),Database!$F:$AY,MATCH($M$1,Database!$F$1:$AY$1,),))))</f>
        <v>-0.15511551155115519</v>
      </c>
      <c r="N256" s="13">
        <f>((((VLOOKUP(B256,Database!$F:$AY,MATCH($N$1,Database!$F$1:$AY$1,),))))-(((VLOOKUP(EDATE(B256,-12),Database!$F:$AY,MATCH($N$1,Database!$F$1:$AY$1,),)))))/(((VLOOKUP(EDATE(B256,-12),Database!$F:$AY,MATCH($N$1,Database!$F$1:$AY$1,),))))</f>
        <v>-1.4698278732540997E-2</v>
      </c>
      <c r="O256" s="13">
        <f>((((VLOOKUP(B256,Database!$F:$AY,MATCH($O$1,Database!$F$1:$AY$1,),))))-(((VLOOKUP(EDATE(B256,-12),Database!$F:$AY,MATCH($O$1,Database!$F$1:$AY$1,),)))))/(((VLOOKUP(EDATE(B256,-12),Database!$F:$AY,MATCH($O$1,Database!$F$1:$AY$1,),))))</f>
        <v>-0.12542522836435135</v>
      </c>
      <c r="P256" s="13">
        <f>((((VLOOKUP(B256,Database!$F:$AY,MATCH($P$1,Database!$F$1:$AY$1,),))))-(((VLOOKUP(EDATE(B256,-12),Database!$F:$AY,MATCH($P$1,Database!$F$1:$AY$1,),)))))/(((VLOOKUP(EDATE(B256,-12),Database!$F:$AY,MATCH($P$1,Database!$F$1:$AY$1,),))))</f>
        <v>-6.8811880530778469E-2</v>
      </c>
      <c r="Q256" s="13">
        <f>((((VLOOKUP(B256,Database!$F:$AY,MATCH($Q$1,Database!$F$1:$AY$1,),))))-(((VLOOKUP(EDATE(B256,-12),Database!$F:$AY,MATCH($Q$1,Database!$F$1:$AY$1,),)))))/(((VLOOKUP(EDATE(B256,-12),Database!$F:$AY,MATCH($Q$1,Database!$F$1:$AY$1,),))))</f>
        <v>-0.10682516866852929</v>
      </c>
      <c r="R256" s="13">
        <f>((((VLOOKUP(B256,Database!$F:$AY,MATCH($R$1,Database!$F$1:$AY$1,),))))-(((VLOOKUP(EDATE(B256,-12),Database!$F:$AY,MATCH($R$1,Database!$F$1:$AY$1,),)))))/(((VLOOKUP(EDATE(B256,-12),Database!$F:$AY,MATCH($R$1,Database!$F$1:$AY$1,),))))</f>
        <v>-8.9978299510695289E-2</v>
      </c>
      <c r="S256" s="13">
        <f>((((VLOOKUP(B256,Database!$F:$AY,MATCH($S$1,Database!$F$1:$AY$1,),))))-(((VLOOKUP(EDATE(B256,-12),Database!$F:$AY,MATCH($S$1,Database!$F$1:$AY$1,),)))))/(((VLOOKUP(EDATE(B256,-12),Database!$F:$AY,MATCH($S$1,Database!$F$1:$AY$1,),))))</f>
        <v>-6.0829401997324485E-2</v>
      </c>
      <c r="T256" s="13">
        <f>((((VLOOKUP(B256,Database!$F:$AY,MATCH($T$1,Database!$F$1:$AY$1,),))))-(((VLOOKUP(EDATE(B256,-12),Database!$F:$AY,MATCH($T$1,Database!$F$1:$AY$1,),)))))/(((VLOOKUP(EDATE(B256,-12),Database!$F:$AY,MATCH($T$1,Database!$F$1:$AY$1,),))))</f>
        <v>-0.15049227727540751</v>
      </c>
      <c r="U256" s="13">
        <f>((((VLOOKUP(B256,Database!$F:$AY,MATCH($U$1,Database!$F$1:$AY$1,),))))-(((VLOOKUP(EDATE(B256,-12),Database!$F:$AY,MATCH($U$1,Database!$F$1:$AY$1,),)))))/(((VLOOKUP(EDATE(B256,-12),Database!$F:$AY,MATCH($U$1,Database!$F$1:$AY$1,),))))</f>
        <v>-0.18010476928669469</v>
      </c>
      <c r="V256" s="13">
        <f>((((VLOOKUP(B256,Database!$F:$AY,MATCH($V$1,Database!$F$1:$AY$1,),))))-(((VLOOKUP(EDATE(B256,-12),Database!$F:$AY,MATCH($V$1,Database!$F$1:$AY$1,),)))))/(((VLOOKUP(EDATE(B256,-12),Database!$F:$AY,MATCH($V$1,Database!$F$1:$AY$1,),))))</f>
        <v>-5.3915275994865244E-2</v>
      </c>
    </row>
    <row r="257" spans="1:22" s="85" customFormat="1" x14ac:dyDescent="0.2">
      <c r="A257" s="44"/>
      <c r="B257" s="91">
        <v>39965</v>
      </c>
      <c r="C257" s="13">
        <f>((((VLOOKUP(B257,Database!$F:$AY,MATCH($C$1,Database!$F$1:$AY$1,),))))-(((VLOOKUP(EDATE(B257,-12),Database!$F:$AY,MATCH($C$1,Database!$F$1:$AY$1,),)))))/(((VLOOKUP(EDATE(B257,-12),Database!$F:$AY,MATCH($C$1,Database!$F$1:$AY$1,),))))</f>
        <v>-0.153341178128409</v>
      </c>
      <c r="D257" s="13">
        <f>((((VLOOKUP(B257,Database!$F:$AY,MATCH($D$1,Database!$F$1:$AY$1,),))))-(((VLOOKUP(EDATE(B257,-12),Database!$F:$AY,MATCH($D$1,Database!$F$1:$AY$1,),)))))/(((VLOOKUP(EDATE(B257,-12),Database!$F:$AY,MATCH($D$1,Database!$F$1:$AY$1,),))))</f>
        <v>-0.1662001714570675</v>
      </c>
      <c r="E257" s="13">
        <f>((((VLOOKUP(B257,Database!$F:$AY,MATCH($E$1,Database!$F$1:$AY$1,),))))-(((VLOOKUP(EDATE(B257,-12),Database!$F:$AY,MATCH($E$1,Database!$F$1:$AY$1,),)))))/(((VLOOKUP(EDATE(B257,-12),Database!$F:$AY,MATCH($E$1,Database!$F$1:$AY$1,),))))</f>
        <v>-0.23262005013793582</v>
      </c>
      <c r="F257" s="13">
        <f>((((VLOOKUP(B257,Database!$F:$AY,MATCH($F$1,Database!$F$1:$AY$1,),))))-(((VLOOKUP(EDATE(B257,-12),Database!$F:$AY,MATCH($F$1,Database!$F$1:$AY$1,),)))))/(((VLOOKUP(EDATE(B257,-12),Database!$F:$AY,MATCH($F$1,Database!$F$1:$AY$1,),))))</f>
        <v>-0.19215292782940069</v>
      </c>
      <c r="G257" s="13">
        <f>((((VLOOKUP(B257,Database!$F:$AY,MATCH($G$1,Database!$F$1:$AY$1,),))))-(((VLOOKUP(EDATE(B257,-12),Database!$F:$AY,MATCH($G$1,Database!$F$1:$AY$1,),)))))/(((VLOOKUP(EDATE(B257,-12),Database!$F:$AY,MATCH($G$1,Database!$F$1:$AY$1,),))))</f>
        <v>-0.13123854176058669</v>
      </c>
      <c r="H257" s="13">
        <f>((((VLOOKUP(B257,Database!$F:$AY,MATCH($H$1,Database!$F$1:$AY$1,),))))-(((VLOOKUP(EDATE(B257,-12),Database!$F:$AY,MATCH($H$1,Database!$F$1:$AY$1,),)))))/(((VLOOKUP(EDATE(B257,-12),Database!$F:$AY,MATCH($H$1,Database!$F$1:$AY$1,),))))</f>
        <v>-8.3333675543601049E-2</v>
      </c>
      <c r="I257" s="13">
        <f>((((VLOOKUP(B257,Database!$F:$AY,MATCH($I$1,Database!$F$1:$AY$1,),))))-(((VLOOKUP(EDATE(B257,-12),Database!$F:$AY,MATCH($I$1,Database!$F$1:$AY$1,),)))))/(((VLOOKUP(EDATE(B257,-12),Database!$F:$AY,MATCH($I$1,Database!$F$1:$AY$1,),))))</f>
        <v>-0.231726356703085</v>
      </c>
      <c r="J257" s="13">
        <f>((((VLOOKUP(B257,Database!$F:$AY,MATCH($J$1,Database!$F$1:$AY$1,),))))-(((VLOOKUP(EDATE(B257,-12),Database!$F:$AY,MATCH($J$1,Database!$F$1:$AY$1,),)))))/(((VLOOKUP(EDATE(B257,-12),Database!$F:$AY,MATCH($J$1,Database!$F$1:$AY$1,),))))</f>
        <v>-0.16195596133970092</v>
      </c>
      <c r="K257" s="13">
        <f>((((VLOOKUP(B257,Database!$F:$AY,MATCH($K$1,Database!$F$1:$AY$1,),))))-(((VLOOKUP(EDATE(B257,-12),Database!$F:$AY,MATCH($K$1,Database!$F$1:$AY$1,),)))))/(((VLOOKUP(EDATE(B257,-12),Database!$F:$AY,MATCH($K$1,Database!$F$1:$AY$1,),))))</f>
        <v>-0.2029234737747205</v>
      </c>
      <c r="L257" s="13">
        <f>((((VLOOKUP(B257,Database!$F:$AY,MATCH($L$1,Database!$F$1:$AY$1,),))))-(((VLOOKUP(EDATE(B257,-12),Database!$F:$AY,MATCH($L$1,Database!$F$1:$AY$1,),)))))/(((VLOOKUP(EDATE(B257,-12),Database!$F:$AY,MATCH($L$1,Database!$F$1:$AY$1,),))))</f>
        <v>-8.166788975864317E-2</v>
      </c>
      <c r="M257" s="13">
        <f>((((VLOOKUP(B257,Database!$F:$AY,MATCH($M$1,Database!$F$1:$AY$1,),))))-(((VLOOKUP(EDATE(B257,-12),Database!$F:$AY,MATCH($M$1,Database!$F$1:$AY$1,),)))))/(((VLOOKUP(EDATE(B257,-12),Database!$F:$AY,MATCH($M$1,Database!$F$1:$AY$1,),))))</f>
        <v>-0.13266443701226316</v>
      </c>
      <c r="N257" s="13">
        <f>((((VLOOKUP(B257,Database!$F:$AY,MATCH($N$1,Database!$F$1:$AY$1,),))))-(((VLOOKUP(EDATE(B257,-12),Database!$F:$AY,MATCH($N$1,Database!$F$1:$AY$1,),)))))/(((VLOOKUP(EDATE(B257,-12),Database!$F:$AY,MATCH($N$1,Database!$F$1:$AY$1,),))))</f>
        <v>-2.109813753846029E-2</v>
      </c>
      <c r="O257" s="13">
        <f>((((VLOOKUP(B257,Database!$F:$AY,MATCH($O$1,Database!$F$1:$AY$1,),))))-(((VLOOKUP(EDATE(B257,-12),Database!$F:$AY,MATCH($O$1,Database!$F$1:$AY$1,),)))))/(((VLOOKUP(EDATE(B257,-12),Database!$F:$AY,MATCH($O$1,Database!$F$1:$AY$1,),))))</f>
        <v>-0.13541941719946116</v>
      </c>
      <c r="P257" s="13">
        <f>((((VLOOKUP(B257,Database!$F:$AY,MATCH($P$1,Database!$F$1:$AY$1,),))))-(((VLOOKUP(EDATE(B257,-12),Database!$F:$AY,MATCH($P$1,Database!$F$1:$AY$1,),)))))/(((VLOOKUP(EDATE(B257,-12),Database!$F:$AY,MATCH($P$1,Database!$F$1:$AY$1,),))))</f>
        <v>-2.3899049007987182E-2</v>
      </c>
      <c r="Q257" s="13">
        <f>((((VLOOKUP(B257,Database!$F:$AY,MATCH($Q$1,Database!$F$1:$AY$1,),))))-(((VLOOKUP(EDATE(B257,-12),Database!$F:$AY,MATCH($Q$1,Database!$F$1:$AY$1,),)))))/(((VLOOKUP(EDATE(B257,-12),Database!$F:$AY,MATCH($Q$1,Database!$F$1:$AY$1,),))))</f>
        <v>-0.1107870793716922</v>
      </c>
      <c r="R257" s="13">
        <f>((((VLOOKUP(B257,Database!$F:$AY,MATCH($R$1,Database!$F$1:$AY$1,),))))-(((VLOOKUP(EDATE(B257,-12),Database!$F:$AY,MATCH($R$1,Database!$F$1:$AY$1,),)))))/(((VLOOKUP(EDATE(B257,-12),Database!$F:$AY,MATCH($R$1,Database!$F$1:$AY$1,),))))</f>
        <v>-0.14176493383881014</v>
      </c>
      <c r="S257" s="13">
        <f>((((VLOOKUP(B257,Database!$F:$AY,MATCH($S$1,Database!$F$1:$AY$1,),))))-(((VLOOKUP(EDATE(B257,-12),Database!$F:$AY,MATCH($S$1,Database!$F$1:$AY$1,),)))))/(((VLOOKUP(EDATE(B257,-12),Database!$F:$AY,MATCH($S$1,Database!$F$1:$AY$1,),))))</f>
        <v>-9.5693833858763126E-3</v>
      </c>
      <c r="T257" s="13">
        <f>((((VLOOKUP(B257,Database!$F:$AY,MATCH($T$1,Database!$F$1:$AY$1,),))))-(((VLOOKUP(EDATE(B257,-12),Database!$F:$AY,MATCH($T$1,Database!$F$1:$AY$1,),)))))/(((VLOOKUP(EDATE(B257,-12),Database!$F:$AY,MATCH($T$1,Database!$F$1:$AY$1,),))))</f>
        <v>-0.13025203080648867</v>
      </c>
      <c r="U257" s="13">
        <f>((((VLOOKUP(B257,Database!$F:$AY,MATCH($U$1,Database!$F$1:$AY$1,),))))-(((VLOOKUP(EDATE(B257,-12),Database!$F:$AY,MATCH($U$1,Database!$F$1:$AY$1,),)))))/(((VLOOKUP(EDATE(B257,-12),Database!$F:$AY,MATCH($U$1,Database!$F$1:$AY$1,),))))</f>
        <v>-0.1460317460317461</v>
      </c>
      <c r="V257" s="13">
        <f>((((VLOOKUP(B257,Database!$F:$AY,MATCH($V$1,Database!$F$1:$AY$1,),))))-(((VLOOKUP(EDATE(B257,-12),Database!$F:$AY,MATCH($V$1,Database!$F$1:$AY$1,),)))))/(((VLOOKUP(EDATE(B257,-12),Database!$F:$AY,MATCH($V$1,Database!$F$1:$AY$1,),))))</f>
        <v>-4.719387755102044E-2</v>
      </c>
    </row>
    <row r="258" spans="1:22" s="85" customFormat="1" x14ac:dyDescent="0.2">
      <c r="A258" s="44"/>
      <c r="B258" s="91">
        <v>39995</v>
      </c>
      <c r="C258" s="13">
        <f>((((VLOOKUP(B258,Database!$F:$AY,MATCH($C$1,Database!$F$1:$AY$1,),))))-(((VLOOKUP(EDATE(B258,-12),Database!$F:$AY,MATCH($C$1,Database!$F$1:$AY$1,),)))))/(((VLOOKUP(EDATE(B258,-12),Database!$F:$AY,MATCH($C$1,Database!$F$1:$AY$1,),))))</f>
        <v>-0.13947086061503375</v>
      </c>
      <c r="D258" s="13">
        <f>((((VLOOKUP(B258,Database!$F:$AY,MATCH($D$1,Database!$F$1:$AY$1,),))))-(((VLOOKUP(EDATE(B258,-12),Database!$F:$AY,MATCH($D$1,Database!$F$1:$AY$1,),)))))/(((VLOOKUP(EDATE(B258,-12),Database!$F:$AY,MATCH($D$1,Database!$F$1:$AY$1,),))))</f>
        <v>-0.15660350832167261</v>
      </c>
      <c r="E258" s="13">
        <f>((((VLOOKUP(B258,Database!$F:$AY,MATCH($E$1,Database!$F$1:$AY$1,),))))-(((VLOOKUP(EDATE(B258,-12),Database!$F:$AY,MATCH($E$1,Database!$F$1:$AY$1,),)))))/(((VLOOKUP(EDATE(B258,-12),Database!$F:$AY,MATCH($E$1,Database!$F$1:$AY$1,),))))</f>
        <v>-0.22370741119272536</v>
      </c>
      <c r="F258" s="13">
        <f>((((VLOOKUP(B258,Database!$F:$AY,MATCH($F$1,Database!$F$1:$AY$1,),))))-(((VLOOKUP(EDATE(B258,-12),Database!$F:$AY,MATCH($F$1,Database!$F$1:$AY$1,),)))))/(((VLOOKUP(EDATE(B258,-12),Database!$F:$AY,MATCH($F$1,Database!$F$1:$AY$1,),))))</f>
        <v>-0.18628450722506462</v>
      </c>
      <c r="G258" s="13">
        <f>((((VLOOKUP(B258,Database!$F:$AY,MATCH($G$1,Database!$F$1:$AY$1,),))))-(((VLOOKUP(EDATE(B258,-12),Database!$F:$AY,MATCH($G$1,Database!$F$1:$AY$1,),)))))/(((VLOOKUP(EDATE(B258,-12),Database!$F:$AY,MATCH($G$1,Database!$F$1:$AY$1,),))))</f>
        <v>-0.14142402601099394</v>
      </c>
      <c r="H258" s="13">
        <f>((((VLOOKUP(B258,Database!$F:$AY,MATCH($H$1,Database!$F$1:$AY$1,),))))-(((VLOOKUP(EDATE(B258,-12),Database!$F:$AY,MATCH($H$1,Database!$F$1:$AY$1,),)))))/(((VLOOKUP(EDATE(B258,-12),Database!$F:$AY,MATCH($H$1,Database!$F$1:$AY$1,),))))</f>
        <v>-6.899904619361992E-2</v>
      </c>
      <c r="I258" s="13">
        <f>((((VLOOKUP(B258,Database!$F:$AY,MATCH($I$1,Database!$F$1:$AY$1,),))))-(((VLOOKUP(EDATE(B258,-12),Database!$F:$AY,MATCH($I$1,Database!$F$1:$AY$1,),)))))/(((VLOOKUP(EDATE(B258,-12),Database!$F:$AY,MATCH($I$1,Database!$F$1:$AY$1,),))))</f>
        <v>-0.19020849252265043</v>
      </c>
      <c r="J258" s="13">
        <f>((((VLOOKUP(B258,Database!$F:$AY,MATCH($J$1,Database!$F$1:$AY$1,),))))-(((VLOOKUP(EDATE(B258,-12),Database!$F:$AY,MATCH($J$1,Database!$F$1:$AY$1,),)))))/(((VLOOKUP(EDATE(B258,-12),Database!$F:$AY,MATCH($J$1,Database!$F$1:$AY$1,),))))</f>
        <v>-0.17631554744680472</v>
      </c>
      <c r="K258" s="13">
        <f>((((VLOOKUP(B258,Database!$F:$AY,MATCH($K$1,Database!$F$1:$AY$1,),))))-(((VLOOKUP(EDATE(B258,-12),Database!$F:$AY,MATCH($K$1,Database!$F$1:$AY$1,),)))))/(((VLOOKUP(EDATE(B258,-12),Database!$F:$AY,MATCH($K$1,Database!$F$1:$AY$1,),))))</f>
        <v>-0.20499569336778636</v>
      </c>
      <c r="L258" s="13">
        <f>((((VLOOKUP(B258,Database!$F:$AY,MATCH($L$1,Database!$F$1:$AY$1,),))))-(((VLOOKUP(EDATE(B258,-12),Database!$F:$AY,MATCH($L$1,Database!$F$1:$AY$1,),)))))/(((VLOOKUP(EDATE(B258,-12),Database!$F:$AY,MATCH($L$1,Database!$F$1:$AY$1,),))))</f>
        <v>-6.3779437587529034E-2</v>
      </c>
      <c r="M258" s="13">
        <f>((((VLOOKUP(B258,Database!$F:$AY,MATCH($M$1,Database!$F$1:$AY$1,),))))-(((VLOOKUP(EDATE(B258,-12),Database!$F:$AY,MATCH($M$1,Database!$F$1:$AY$1,),)))))/(((VLOOKUP(EDATE(B258,-12),Database!$F:$AY,MATCH($M$1,Database!$F$1:$AY$1,),))))</f>
        <v>-0.11731843575418995</v>
      </c>
      <c r="N258" s="13">
        <f>((((VLOOKUP(B258,Database!$F:$AY,MATCH($N$1,Database!$F$1:$AY$1,),))))-(((VLOOKUP(EDATE(B258,-12),Database!$F:$AY,MATCH($N$1,Database!$F$1:$AY$1,),)))))/(((VLOOKUP(EDATE(B258,-12),Database!$F:$AY,MATCH($N$1,Database!$F$1:$AY$1,),))))</f>
        <v>1.5687432804134416E-2</v>
      </c>
      <c r="O258" s="13">
        <f>((((VLOOKUP(B258,Database!$F:$AY,MATCH($O$1,Database!$F$1:$AY$1,),))))-(((VLOOKUP(EDATE(B258,-12),Database!$F:$AY,MATCH($O$1,Database!$F$1:$AY$1,),)))))/(((VLOOKUP(EDATE(B258,-12),Database!$F:$AY,MATCH($O$1,Database!$F$1:$AY$1,),))))</f>
        <v>-0.14796133474929007</v>
      </c>
      <c r="P258" s="13">
        <f>((((VLOOKUP(B258,Database!$F:$AY,MATCH($P$1,Database!$F$1:$AY$1,),))))-(((VLOOKUP(EDATE(B258,-12),Database!$F:$AY,MATCH($P$1,Database!$F$1:$AY$1,),)))))/(((VLOOKUP(EDATE(B258,-12),Database!$F:$AY,MATCH($P$1,Database!$F$1:$AY$1,),))))</f>
        <v>5.2489385203881977E-3</v>
      </c>
      <c r="Q258" s="13">
        <f>((((VLOOKUP(B258,Database!$F:$AY,MATCH($Q$1,Database!$F$1:$AY$1,),))))-(((VLOOKUP(EDATE(B258,-12),Database!$F:$AY,MATCH($Q$1,Database!$F$1:$AY$1,),)))))/(((VLOOKUP(EDATE(B258,-12),Database!$F:$AY,MATCH($Q$1,Database!$F$1:$AY$1,),))))</f>
        <v>-0.10271322093445902</v>
      </c>
      <c r="R258" s="13">
        <f>((((VLOOKUP(B258,Database!$F:$AY,MATCH($R$1,Database!$F$1:$AY$1,),))))-(((VLOOKUP(EDATE(B258,-12),Database!$F:$AY,MATCH($R$1,Database!$F$1:$AY$1,),)))))/(((VLOOKUP(EDATE(B258,-12),Database!$F:$AY,MATCH($R$1,Database!$F$1:$AY$1,),))))</f>
        <v>-0.11253568973533261</v>
      </c>
      <c r="S258" s="13">
        <f>((((VLOOKUP(B258,Database!$F:$AY,MATCH($S$1,Database!$F$1:$AY$1,),))))-(((VLOOKUP(EDATE(B258,-12),Database!$F:$AY,MATCH($S$1,Database!$F$1:$AY$1,),)))))/(((VLOOKUP(EDATE(B258,-12),Database!$F:$AY,MATCH($S$1,Database!$F$1:$AY$1,),))))</f>
        <v>-7.7443721626960262E-3</v>
      </c>
      <c r="T258" s="13">
        <f>((((VLOOKUP(B258,Database!$F:$AY,MATCH($T$1,Database!$F$1:$AY$1,),))))-(((VLOOKUP(EDATE(B258,-12),Database!$F:$AY,MATCH($T$1,Database!$F$1:$AY$1,),)))))/(((VLOOKUP(EDATE(B258,-12),Database!$F:$AY,MATCH($T$1,Database!$F$1:$AY$1,),))))</f>
        <v>-9.5851199034197018E-2</v>
      </c>
      <c r="U258" s="13">
        <f>((((VLOOKUP(B258,Database!$F:$AY,MATCH($U$1,Database!$F$1:$AY$1,),))))-(((VLOOKUP(EDATE(B258,-12),Database!$F:$AY,MATCH($U$1,Database!$F$1:$AY$1,),)))))/(((VLOOKUP(EDATE(B258,-12),Database!$F:$AY,MATCH($U$1,Database!$F$1:$AY$1,),))))</f>
        <v>-0.14161225764073351</v>
      </c>
      <c r="V258" s="13">
        <f>((((VLOOKUP(B258,Database!$F:$AY,MATCH($V$1,Database!$F$1:$AY$1,),))))-(((VLOOKUP(EDATE(B258,-12),Database!$F:$AY,MATCH($V$1,Database!$F$1:$AY$1,),)))))/(((VLOOKUP(EDATE(B258,-12),Database!$F:$AY,MATCH($V$1,Database!$F$1:$AY$1,),))))</f>
        <v>-4.3589743589743664E-2</v>
      </c>
    </row>
    <row r="259" spans="1:22" s="85" customFormat="1" x14ac:dyDescent="0.2">
      <c r="A259" s="44"/>
      <c r="B259" s="91">
        <v>40026</v>
      </c>
      <c r="C259" s="13">
        <f>((((VLOOKUP(B259,Database!$F:$AY,MATCH($C$1,Database!$F$1:$AY$1,),))))-(((VLOOKUP(EDATE(B259,-12),Database!$F:$AY,MATCH($C$1,Database!$F$1:$AY$1,),)))))/(((VLOOKUP(EDATE(B259,-12),Database!$F:$AY,MATCH($C$1,Database!$F$1:$AY$1,),))))</f>
        <v>-0.11630780628050287</v>
      </c>
      <c r="D259" s="13">
        <f>((((VLOOKUP(B259,Database!$F:$AY,MATCH($D$1,Database!$F$1:$AY$1,),))))-(((VLOOKUP(EDATE(B259,-12),Database!$F:$AY,MATCH($D$1,Database!$F$1:$AY$1,),)))))/(((VLOOKUP(EDATE(B259,-12),Database!$F:$AY,MATCH($D$1,Database!$F$1:$AY$1,),))))</f>
        <v>-0.15340909090909102</v>
      </c>
      <c r="E259" s="13">
        <f>((((VLOOKUP(B259,Database!$F:$AY,MATCH($E$1,Database!$F$1:$AY$1,),))))-(((VLOOKUP(EDATE(B259,-12),Database!$F:$AY,MATCH($E$1,Database!$F$1:$AY$1,),)))))/(((VLOOKUP(EDATE(B259,-12),Database!$F:$AY,MATCH($E$1,Database!$F$1:$AY$1,),))))</f>
        <v>-0.1822387816223105</v>
      </c>
      <c r="F259" s="13">
        <f>((((VLOOKUP(B259,Database!$F:$AY,MATCH($F$1,Database!$F$1:$AY$1,),))))-(((VLOOKUP(EDATE(B259,-12),Database!$F:$AY,MATCH($F$1,Database!$F$1:$AY$1,),)))))/(((VLOOKUP(EDATE(B259,-12),Database!$F:$AY,MATCH($F$1,Database!$F$1:$AY$1,),))))</f>
        <v>-0.19257781741107832</v>
      </c>
      <c r="G259" s="13">
        <f>((((VLOOKUP(B259,Database!$F:$AY,MATCH($G$1,Database!$F$1:$AY$1,),))))-(((VLOOKUP(EDATE(B259,-12),Database!$F:$AY,MATCH($G$1,Database!$F$1:$AY$1,),)))))/(((VLOOKUP(EDATE(B259,-12),Database!$F:$AY,MATCH($G$1,Database!$F$1:$AY$1,),))))</f>
        <v>-0.11457366529515339</v>
      </c>
      <c r="H259" s="13">
        <f>((((VLOOKUP(B259,Database!$F:$AY,MATCH($H$1,Database!$F$1:$AY$1,),))))-(((VLOOKUP(EDATE(B259,-12),Database!$F:$AY,MATCH($H$1,Database!$F$1:$AY$1,),)))))/(((VLOOKUP(EDATE(B259,-12),Database!$F:$AY,MATCH($H$1,Database!$F$1:$AY$1,),))))</f>
        <v>-9.9325133259710402E-2</v>
      </c>
      <c r="I259" s="13">
        <f>((((VLOOKUP(B259,Database!$F:$AY,MATCH($I$1,Database!$F$1:$AY$1,),))))-(((VLOOKUP(EDATE(B259,-12),Database!$F:$AY,MATCH($I$1,Database!$F$1:$AY$1,),)))))/(((VLOOKUP(EDATE(B259,-12),Database!$F:$AY,MATCH($I$1,Database!$F$1:$AY$1,),))))</f>
        <v>-0.1864686743697288</v>
      </c>
      <c r="J259" s="13">
        <f>((((VLOOKUP(B259,Database!$F:$AY,MATCH($J$1,Database!$F$1:$AY$1,),))))-(((VLOOKUP(EDATE(B259,-12),Database!$F:$AY,MATCH($J$1,Database!$F$1:$AY$1,),)))))/(((VLOOKUP(EDATE(B259,-12),Database!$F:$AY,MATCH($J$1,Database!$F$1:$AY$1,),))))</f>
        <v>-0.14468031697312342</v>
      </c>
      <c r="K259" s="13">
        <f>((((VLOOKUP(B259,Database!$F:$AY,MATCH($K$1,Database!$F$1:$AY$1,),))))-(((VLOOKUP(EDATE(B259,-12),Database!$F:$AY,MATCH($K$1,Database!$F$1:$AY$1,),)))))/(((VLOOKUP(EDATE(B259,-12),Database!$F:$AY,MATCH($K$1,Database!$F$1:$AY$1,),))))</f>
        <v>-0.19449225473321866</v>
      </c>
      <c r="L259" s="13">
        <f>((((VLOOKUP(B259,Database!$F:$AY,MATCH($L$1,Database!$F$1:$AY$1,),))))-(((VLOOKUP(EDATE(B259,-12),Database!$F:$AY,MATCH($L$1,Database!$F$1:$AY$1,),)))))/(((VLOOKUP(EDATE(B259,-12),Database!$F:$AY,MATCH($L$1,Database!$F$1:$AY$1,),))))</f>
        <v>-7.1279156465939783E-2</v>
      </c>
      <c r="M259" s="13">
        <f>((((VLOOKUP(B259,Database!$F:$AY,MATCH($M$1,Database!$F$1:$AY$1,),))))-(((VLOOKUP(EDATE(B259,-12),Database!$F:$AY,MATCH($M$1,Database!$F$1:$AY$1,),)))))/(((VLOOKUP(EDATE(B259,-12),Database!$F:$AY,MATCH($M$1,Database!$F$1:$AY$1,),))))</f>
        <v>-0.12777777777777777</v>
      </c>
      <c r="N259" s="13">
        <f>((((VLOOKUP(B259,Database!$F:$AY,MATCH($N$1,Database!$F$1:$AY$1,),))))-(((VLOOKUP(EDATE(B259,-12),Database!$F:$AY,MATCH($N$1,Database!$F$1:$AY$1,),)))))/(((VLOOKUP(EDATE(B259,-12),Database!$F:$AY,MATCH($N$1,Database!$F$1:$AY$1,),))))</f>
        <v>5.4775787004670541E-2</v>
      </c>
      <c r="O259" s="13">
        <f>((((VLOOKUP(B259,Database!$F:$AY,MATCH($O$1,Database!$F$1:$AY$1,),))))-(((VLOOKUP(EDATE(B259,-12),Database!$F:$AY,MATCH($O$1,Database!$F$1:$AY$1,),)))))/(((VLOOKUP(EDATE(B259,-12),Database!$F:$AY,MATCH($O$1,Database!$F$1:$AY$1,),))))</f>
        <v>-0.14046400128880612</v>
      </c>
      <c r="P259" s="13">
        <f>((((VLOOKUP(B259,Database!$F:$AY,MATCH($P$1,Database!$F$1:$AY$1,),))))-(((VLOOKUP(EDATE(B259,-12),Database!$F:$AY,MATCH($P$1,Database!$F$1:$AY$1,),)))))/(((VLOOKUP(EDATE(B259,-12),Database!$F:$AY,MATCH($P$1,Database!$F$1:$AY$1,),))))</f>
        <v>1.4293187870814681E-2</v>
      </c>
      <c r="Q259" s="13">
        <f>((((VLOOKUP(B259,Database!$F:$AY,MATCH($Q$1,Database!$F$1:$AY$1,),))))-(((VLOOKUP(EDATE(B259,-12),Database!$F:$AY,MATCH($Q$1,Database!$F$1:$AY$1,),)))))/(((VLOOKUP(EDATE(B259,-12),Database!$F:$AY,MATCH($Q$1,Database!$F$1:$AY$1,),))))</f>
        <v>-7.7527456953949303E-2</v>
      </c>
      <c r="R259" s="13">
        <f>((((VLOOKUP(B259,Database!$F:$AY,MATCH($R$1,Database!$F$1:$AY$1,),))))-(((VLOOKUP(EDATE(B259,-12),Database!$F:$AY,MATCH($R$1,Database!$F$1:$AY$1,),)))))/(((VLOOKUP(EDATE(B259,-12),Database!$F:$AY,MATCH($R$1,Database!$F$1:$AY$1,),))))</f>
        <v>-0.12801750686791552</v>
      </c>
      <c r="S259" s="13">
        <f>((((VLOOKUP(B259,Database!$F:$AY,MATCH($S$1,Database!$F$1:$AY$1,),))))-(((VLOOKUP(EDATE(B259,-12),Database!$F:$AY,MATCH($S$1,Database!$F$1:$AY$1,),)))))/(((VLOOKUP(EDATE(B259,-12),Database!$F:$AY,MATCH($S$1,Database!$F$1:$AY$1,),))))</f>
        <v>-0.16893729262123394</v>
      </c>
      <c r="T259" s="13">
        <f>((((VLOOKUP(B259,Database!$F:$AY,MATCH($T$1,Database!$F$1:$AY$1,),))))-(((VLOOKUP(EDATE(B259,-12),Database!$F:$AY,MATCH($T$1,Database!$F$1:$AY$1,),)))))/(((VLOOKUP(EDATE(B259,-12),Database!$F:$AY,MATCH($T$1,Database!$F$1:$AY$1,),))))</f>
        <v>-9.5652173913043453E-2</v>
      </c>
      <c r="U259" s="13">
        <f>((((VLOOKUP(B259,Database!$F:$AY,MATCH($U$1,Database!$F$1:$AY$1,),))))-(((VLOOKUP(EDATE(B259,-12),Database!$F:$AY,MATCH($U$1,Database!$F$1:$AY$1,),)))))/(((VLOOKUP(EDATE(B259,-12),Database!$F:$AY,MATCH($U$1,Database!$F$1:$AY$1,),))))</f>
        <v>-9.3541094768248248E-2</v>
      </c>
      <c r="V259" s="13">
        <f>((((VLOOKUP(B259,Database!$F:$AY,MATCH($V$1,Database!$F$1:$AY$1,),))))-(((VLOOKUP(EDATE(B259,-12),Database!$F:$AY,MATCH($V$1,Database!$F$1:$AY$1,),)))))/(((VLOOKUP(EDATE(B259,-12),Database!$F:$AY,MATCH($V$1,Database!$F$1:$AY$1,),))))</f>
        <v>-2.0860495436766734E-2</v>
      </c>
    </row>
    <row r="260" spans="1:22" s="85" customFormat="1" x14ac:dyDescent="0.2">
      <c r="A260" s="44"/>
      <c r="B260" s="91">
        <v>40057</v>
      </c>
      <c r="C260" s="13">
        <f>((((VLOOKUP(B260,Database!$F:$AY,MATCH($C$1,Database!$F$1:$AY$1,),))))-(((VLOOKUP(EDATE(B260,-12),Database!$F:$AY,MATCH($C$1,Database!$F$1:$AY$1,),)))))/(((VLOOKUP(EDATE(B260,-12),Database!$F:$AY,MATCH($C$1,Database!$F$1:$AY$1,),))))</f>
        <v>-6.9256352348677247E-2</v>
      </c>
      <c r="D260" s="13">
        <f>((((VLOOKUP(B260,Database!$F:$AY,MATCH($D$1,Database!$F$1:$AY$1,),))))-(((VLOOKUP(EDATE(B260,-12),Database!$F:$AY,MATCH($D$1,Database!$F$1:$AY$1,),)))))/(((VLOOKUP(EDATE(B260,-12),Database!$F:$AY,MATCH($D$1,Database!$F$1:$AY$1,),))))</f>
        <v>-0.12595385679860666</v>
      </c>
      <c r="E260" s="13">
        <f>((((VLOOKUP(B260,Database!$F:$AY,MATCH($E$1,Database!$F$1:$AY$1,),))))-(((VLOOKUP(EDATE(B260,-12),Database!$F:$AY,MATCH($E$1,Database!$F$1:$AY$1,),)))))/(((VLOOKUP(EDATE(B260,-12),Database!$F:$AY,MATCH($E$1,Database!$F$1:$AY$1,),))))</f>
        <v>-0.16803614168394268</v>
      </c>
      <c r="F260" s="13">
        <f>((((VLOOKUP(B260,Database!$F:$AY,MATCH($F$1,Database!$F$1:$AY$1,),))))-(((VLOOKUP(EDATE(B260,-12),Database!$F:$AY,MATCH($F$1,Database!$F$1:$AY$1,),)))))/(((VLOOKUP(EDATE(B260,-12),Database!$F:$AY,MATCH($F$1,Database!$F$1:$AY$1,),))))</f>
        <v>-0.1365502955687887</v>
      </c>
      <c r="G260" s="13">
        <f>((((VLOOKUP(B260,Database!$F:$AY,MATCH($G$1,Database!$F$1:$AY$1,),))))-(((VLOOKUP(EDATE(B260,-12),Database!$F:$AY,MATCH($G$1,Database!$F$1:$AY$1,),)))))/(((VLOOKUP(EDATE(B260,-12),Database!$F:$AY,MATCH($G$1,Database!$F$1:$AY$1,),))))</f>
        <v>-0.1062321125941145</v>
      </c>
      <c r="H260" s="13">
        <f>((((VLOOKUP(B260,Database!$F:$AY,MATCH($H$1,Database!$F$1:$AY$1,),))))-(((VLOOKUP(EDATE(B260,-12),Database!$F:$AY,MATCH($H$1,Database!$F$1:$AY$1,),)))))/(((VLOOKUP(EDATE(B260,-12),Database!$F:$AY,MATCH($H$1,Database!$F$1:$AY$1,),))))</f>
        <v>-7.5342268229723758E-2</v>
      </c>
      <c r="I260" s="13">
        <f>((((VLOOKUP(B260,Database!$F:$AY,MATCH($I$1,Database!$F$1:$AY$1,),))))-(((VLOOKUP(EDATE(B260,-12),Database!$F:$AY,MATCH($I$1,Database!$F$1:$AY$1,),)))))/(((VLOOKUP(EDATE(B260,-12),Database!$F:$AY,MATCH($I$1,Database!$F$1:$AY$1,),))))</f>
        <v>-0.15614668992441236</v>
      </c>
      <c r="J260" s="13">
        <f>((((VLOOKUP(B260,Database!$F:$AY,MATCH($J$1,Database!$F$1:$AY$1,),))))-(((VLOOKUP(EDATE(B260,-12),Database!$F:$AY,MATCH($J$1,Database!$F$1:$AY$1,),)))))/(((VLOOKUP(EDATE(B260,-12),Database!$F:$AY,MATCH($J$1,Database!$F$1:$AY$1,),))))</f>
        <v>-0.12981086110196829</v>
      </c>
      <c r="K260" s="13">
        <f>((((VLOOKUP(B260,Database!$F:$AY,MATCH($K$1,Database!$F$1:$AY$1,),))))-(((VLOOKUP(EDATE(B260,-12),Database!$F:$AY,MATCH($K$1,Database!$F$1:$AY$1,),)))))/(((VLOOKUP(EDATE(B260,-12),Database!$F:$AY,MATCH($K$1,Database!$F$1:$AY$1,),))))</f>
        <v>-0.15929203539823009</v>
      </c>
      <c r="L260" s="13">
        <f>((((VLOOKUP(B260,Database!$F:$AY,MATCH($L$1,Database!$F$1:$AY$1,),))))-(((VLOOKUP(EDATE(B260,-12),Database!$F:$AY,MATCH($L$1,Database!$F$1:$AY$1,),)))))/(((VLOOKUP(EDATE(B260,-12),Database!$F:$AY,MATCH($L$1,Database!$F$1:$AY$1,),))))</f>
        <v>-5.4957350468579108E-2</v>
      </c>
      <c r="M260" s="13">
        <f>((((VLOOKUP(B260,Database!$F:$AY,MATCH($M$1,Database!$F$1:$AY$1,),))))-(((VLOOKUP(EDATE(B260,-12),Database!$F:$AY,MATCH($M$1,Database!$F$1:$AY$1,),)))))/(((VLOOKUP(EDATE(B260,-12),Database!$F:$AY,MATCH($M$1,Database!$F$1:$AY$1,),))))</f>
        <v>-0.10662177328843996</v>
      </c>
      <c r="N260" s="13">
        <f>((((VLOOKUP(B260,Database!$F:$AY,MATCH($N$1,Database!$F$1:$AY$1,),))))-(((VLOOKUP(EDATE(B260,-12),Database!$F:$AY,MATCH($N$1,Database!$F$1:$AY$1,),)))))/(((VLOOKUP(EDATE(B260,-12),Database!$F:$AY,MATCH($N$1,Database!$F$1:$AY$1,),))))</f>
        <v>1.7276349920198327E-2</v>
      </c>
      <c r="O260" s="13">
        <f>((((VLOOKUP(B260,Database!$F:$AY,MATCH($O$1,Database!$F$1:$AY$1,),))))-(((VLOOKUP(EDATE(B260,-12),Database!$F:$AY,MATCH($O$1,Database!$F$1:$AY$1,),)))))/(((VLOOKUP(EDATE(B260,-12),Database!$F:$AY,MATCH($O$1,Database!$F$1:$AY$1,),))))</f>
        <v>-0.11696677948709901</v>
      </c>
      <c r="P260" s="13">
        <f>((((VLOOKUP(B260,Database!$F:$AY,MATCH($P$1,Database!$F$1:$AY$1,),))))-(((VLOOKUP(EDATE(B260,-12),Database!$F:$AY,MATCH($P$1,Database!$F$1:$AY$1,),)))))/(((VLOOKUP(EDATE(B260,-12),Database!$F:$AY,MATCH($P$1,Database!$F$1:$AY$1,),))))</f>
        <v>6.032147234338197E-2</v>
      </c>
      <c r="Q260" s="13">
        <f>((((VLOOKUP(B260,Database!$F:$AY,MATCH($Q$1,Database!$F$1:$AY$1,),))))-(((VLOOKUP(EDATE(B260,-12),Database!$F:$AY,MATCH($Q$1,Database!$F$1:$AY$1,),)))))/(((VLOOKUP(EDATE(B260,-12),Database!$F:$AY,MATCH($Q$1,Database!$F$1:$AY$1,),))))</f>
        <v>-7.4539808256370951E-2</v>
      </c>
      <c r="R260" s="13">
        <f>((((VLOOKUP(B260,Database!$F:$AY,MATCH($R$1,Database!$F$1:$AY$1,),))))-(((VLOOKUP(EDATE(B260,-12),Database!$F:$AY,MATCH($R$1,Database!$F$1:$AY$1,),)))))/(((VLOOKUP(EDATE(B260,-12),Database!$F:$AY,MATCH($R$1,Database!$F$1:$AY$1,),))))</f>
        <v>-9.6632385620723349E-2</v>
      </c>
      <c r="S260" s="13">
        <f>((((VLOOKUP(B260,Database!$F:$AY,MATCH($S$1,Database!$F$1:$AY$1,),))))-(((VLOOKUP(EDATE(B260,-12),Database!$F:$AY,MATCH($S$1,Database!$F$1:$AY$1,),)))))/(((VLOOKUP(EDATE(B260,-12),Database!$F:$AY,MATCH($S$1,Database!$F$1:$AY$1,),))))</f>
        <v>-6.2675408468864921E-2</v>
      </c>
      <c r="T260" s="13">
        <f>((((VLOOKUP(B260,Database!$F:$AY,MATCH($T$1,Database!$F$1:$AY$1,),))))-(((VLOOKUP(EDATE(B260,-12),Database!$F:$AY,MATCH($T$1,Database!$F$1:$AY$1,),)))))/(((VLOOKUP(EDATE(B260,-12),Database!$F:$AY,MATCH($T$1,Database!$F$1:$AY$1,),))))</f>
        <v>-8.2848905875445675E-2</v>
      </c>
      <c r="U260" s="13">
        <f>((((VLOOKUP(B260,Database!$F:$AY,MATCH($U$1,Database!$F$1:$AY$1,),))))-(((VLOOKUP(EDATE(B260,-12),Database!$F:$AY,MATCH($U$1,Database!$F$1:$AY$1,),)))))/(((VLOOKUP(EDATE(B260,-12),Database!$F:$AY,MATCH($U$1,Database!$F$1:$AY$1,),))))</f>
        <v>-9.9447510148652468E-2</v>
      </c>
      <c r="V260" s="13">
        <f>((((VLOOKUP(B260,Database!$F:$AY,MATCH($V$1,Database!$F$1:$AY$1,),))))-(((VLOOKUP(EDATE(B260,-12),Database!$F:$AY,MATCH($V$1,Database!$F$1:$AY$1,),)))))/(((VLOOKUP(EDATE(B260,-12),Database!$F:$AY,MATCH($V$1,Database!$F$1:$AY$1,),))))</f>
        <v>-1.5544041450777238E-2</v>
      </c>
    </row>
    <row r="261" spans="1:22" s="85" customFormat="1" x14ac:dyDescent="0.2">
      <c r="A261" s="44"/>
      <c r="B261" s="91">
        <v>40087</v>
      </c>
      <c r="C261" s="13">
        <f>((((VLOOKUP(B261,Database!$F:$AY,MATCH($C$1,Database!$F$1:$AY$1,),))))-(((VLOOKUP(EDATE(B261,-12),Database!$F:$AY,MATCH($C$1,Database!$F$1:$AY$1,),)))))/(((VLOOKUP(EDATE(B261,-12),Database!$F:$AY,MATCH($C$1,Database!$F$1:$AY$1,),))))</f>
        <v>-7.5074613576160618E-2</v>
      </c>
      <c r="D261" s="13">
        <f>((((VLOOKUP(B261,Database!$F:$AY,MATCH($D$1,Database!$F$1:$AY$1,),))))-(((VLOOKUP(EDATE(B261,-12),Database!$F:$AY,MATCH($D$1,Database!$F$1:$AY$1,),)))))/(((VLOOKUP(EDATE(B261,-12),Database!$F:$AY,MATCH($D$1,Database!$F$1:$AY$1,),))))</f>
        <v>-0.10675822614930991</v>
      </c>
      <c r="E261" s="13">
        <f>((((VLOOKUP(B261,Database!$F:$AY,MATCH($E$1,Database!$F$1:$AY$1,),))))-(((VLOOKUP(EDATE(B261,-12),Database!$F:$AY,MATCH($E$1,Database!$F$1:$AY$1,),)))))/(((VLOOKUP(EDATE(B261,-12),Database!$F:$AY,MATCH($E$1,Database!$F$1:$AY$1,),))))</f>
        <v>-0.1260505768791669</v>
      </c>
      <c r="F261" s="13">
        <f>((((VLOOKUP(B261,Database!$F:$AY,MATCH($F$1,Database!$F$1:$AY$1,),))))-(((VLOOKUP(EDATE(B261,-12),Database!$F:$AY,MATCH($F$1,Database!$F$1:$AY$1,),)))))/(((VLOOKUP(EDATE(B261,-12),Database!$F:$AY,MATCH($F$1,Database!$F$1:$AY$1,),))))</f>
        <v>-0.13641136522812092</v>
      </c>
      <c r="G261" s="13">
        <f>((((VLOOKUP(B261,Database!$F:$AY,MATCH($G$1,Database!$F$1:$AY$1,),))))-(((VLOOKUP(EDATE(B261,-12),Database!$F:$AY,MATCH($G$1,Database!$F$1:$AY$1,),)))))/(((VLOOKUP(EDATE(B261,-12),Database!$F:$AY,MATCH($G$1,Database!$F$1:$AY$1,),))))</f>
        <v>-9.5309701888070364E-2</v>
      </c>
      <c r="H261" s="13">
        <f>((((VLOOKUP(B261,Database!$F:$AY,MATCH($H$1,Database!$F$1:$AY$1,),))))-(((VLOOKUP(EDATE(B261,-12),Database!$F:$AY,MATCH($H$1,Database!$F$1:$AY$1,),)))))/(((VLOOKUP(EDATE(B261,-12),Database!$F:$AY,MATCH($H$1,Database!$F$1:$AY$1,),))))</f>
        <v>-6.3178602295816719E-2</v>
      </c>
      <c r="I261" s="13">
        <f>((((VLOOKUP(B261,Database!$F:$AY,MATCH($I$1,Database!$F$1:$AY$1,),))))-(((VLOOKUP(EDATE(B261,-12),Database!$F:$AY,MATCH($I$1,Database!$F$1:$AY$1,),)))))/(((VLOOKUP(EDATE(B261,-12),Database!$F:$AY,MATCH($I$1,Database!$F$1:$AY$1,),))))</f>
        <v>-0.12468211946370429</v>
      </c>
      <c r="J261" s="13">
        <f>((((VLOOKUP(B261,Database!$F:$AY,MATCH($J$1,Database!$F$1:$AY$1,),))))-(((VLOOKUP(EDATE(B261,-12),Database!$F:$AY,MATCH($J$1,Database!$F$1:$AY$1,),)))))/(((VLOOKUP(EDATE(B261,-12),Database!$F:$AY,MATCH($J$1,Database!$F$1:$AY$1,),))))</f>
        <v>-8.2659406781804806E-2</v>
      </c>
      <c r="K261" s="13">
        <f>((((VLOOKUP(B261,Database!$F:$AY,MATCH($K$1,Database!$F$1:$AY$1,),))))-(((VLOOKUP(EDATE(B261,-12),Database!$F:$AY,MATCH($K$1,Database!$F$1:$AY$1,),)))))/(((VLOOKUP(EDATE(B261,-12),Database!$F:$AY,MATCH($K$1,Database!$F$1:$AY$1,),))))</f>
        <v>-0.1407811080835604</v>
      </c>
      <c r="L261" s="13">
        <f>((((VLOOKUP(B261,Database!$F:$AY,MATCH($L$1,Database!$F$1:$AY$1,),))))-(((VLOOKUP(EDATE(B261,-12),Database!$F:$AY,MATCH($L$1,Database!$F$1:$AY$1,),)))))/(((VLOOKUP(EDATE(B261,-12),Database!$F:$AY,MATCH($L$1,Database!$F$1:$AY$1,),))))</f>
        <v>-4.6321357156679288E-2</v>
      </c>
      <c r="M261" s="13">
        <f>((((VLOOKUP(B261,Database!$F:$AY,MATCH($M$1,Database!$F$1:$AY$1,),))))-(((VLOOKUP(EDATE(B261,-12),Database!$F:$AY,MATCH($M$1,Database!$F$1:$AY$1,),)))))/(((VLOOKUP(EDATE(B261,-12),Database!$F:$AY,MATCH($M$1,Database!$F$1:$AY$1,),))))</f>
        <v>-7.3817762399077336E-2</v>
      </c>
      <c r="N261" s="13">
        <f>((((VLOOKUP(B261,Database!$F:$AY,MATCH($N$1,Database!$F$1:$AY$1,),))))-(((VLOOKUP(EDATE(B261,-12),Database!$F:$AY,MATCH($N$1,Database!$F$1:$AY$1,),)))))/(((VLOOKUP(EDATE(B261,-12),Database!$F:$AY,MATCH($N$1,Database!$F$1:$AY$1,),))))</f>
        <v>2.514309212033404E-2</v>
      </c>
      <c r="O261" s="13">
        <f>((((VLOOKUP(B261,Database!$F:$AY,MATCH($O$1,Database!$F$1:$AY$1,),))))-(((VLOOKUP(EDATE(B261,-12),Database!$F:$AY,MATCH($O$1,Database!$F$1:$AY$1,),)))))/(((VLOOKUP(EDATE(B261,-12),Database!$F:$AY,MATCH($O$1,Database!$F$1:$AY$1,),))))</f>
        <v>-0.11341845327329904</v>
      </c>
      <c r="P261" s="13">
        <f>((((VLOOKUP(B261,Database!$F:$AY,MATCH($P$1,Database!$F$1:$AY$1,),))))-(((VLOOKUP(EDATE(B261,-12),Database!$F:$AY,MATCH($P$1,Database!$F$1:$AY$1,),)))))/(((VLOOKUP(EDATE(B261,-12),Database!$F:$AY,MATCH($P$1,Database!$F$1:$AY$1,),))))</f>
        <v>5.6830944298149846E-2</v>
      </c>
      <c r="Q261" s="13">
        <f>((((VLOOKUP(B261,Database!$F:$AY,MATCH($Q$1,Database!$F$1:$AY$1,),))))-(((VLOOKUP(EDATE(B261,-12),Database!$F:$AY,MATCH($Q$1,Database!$F$1:$AY$1,),)))))/(((VLOOKUP(EDATE(B261,-12),Database!$F:$AY,MATCH($Q$1,Database!$F$1:$AY$1,),))))</f>
        <v>-2.8913668296022339E-2</v>
      </c>
      <c r="R261" s="13">
        <f>((((VLOOKUP(B261,Database!$F:$AY,MATCH($R$1,Database!$F$1:$AY$1,),))))-(((VLOOKUP(EDATE(B261,-12),Database!$F:$AY,MATCH($R$1,Database!$F$1:$AY$1,),)))))/(((VLOOKUP(EDATE(B261,-12),Database!$F:$AY,MATCH($R$1,Database!$F$1:$AY$1,),))))</f>
        <v>-0.10798756538687096</v>
      </c>
      <c r="S261" s="13">
        <f>((((VLOOKUP(B261,Database!$F:$AY,MATCH($S$1,Database!$F$1:$AY$1,),))))-(((VLOOKUP(EDATE(B261,-12),Database!$F:$AY,MATCH($S$1,Database!$F$1:$AY$1,),)))))/(((VLOOKUP(EDATE(B261,-12),Database!$F:$AY,MATCH($S$1,Database!$F$1:$AY$1,),))))</f>
        <v>-2.6188164611133755E-2</v>
      </c>
      <c r="T261" s="13">
        <f>((((VLOOKUP(B261,Database!$F:$AY,MATCH($T$1,Database!$F$1:$AY$1,),))))-(((VLOOKUP(EDATE(B261,-12),Database!$F:$AY,MATCH($T$1,Database!$F$1:$AY$1,),)))))/(((VLOOKUP(EDATE(B261,-12),Database!$F:$AY,MATCH($T$1,Database!$F$1:$AY$1,),))))</f>
        <v>-1.6819597351766993E-2</v>
      </c>
      <c r="U261" s="13">
        <f>((((VLOOKUP(B261,Database!$F:$AY,MATCH($U$1,Database!$F$1:$AY$1,),))))-(((VLOOKUP(EDATE(B261,-12),Database!$F:$AY,MATCH($U$1,Database!$F$1:$AY$1,),)))))/(((VLOOKUP(EDATE(B261,-12),Database!$F:$AY,MATCH($U$1,Database!$F$1:$AY$1,),))))</f>
        <v>-6.4699203000000455E-2</v>
      </c>
      <c r="V261" s="13">
        <f>((((VLOOKUP(B261,Database!$F:$AY,MATCH($V$1,Database!$F$1:$AY$1,),))))-(((VLOOKUP(EDATE(B261,-12),Database!$F:$AY,MATCH($V$1,Database!$F$1:$AY$1,),)))))/(((VLOOKUP(EDATE(B261,-12),Database!$F:$AY,MATCH($V$1,Database!$F$1:$AY$1,),))))</f>
        <v>1.0526315789473648E-2</v>
      </c>
    </row>
    <row r="262" spans="1:22" s="85" customFormat="1" x14ac:dyDescent="0.2">
      <c r="A262" s="44"/>
      <c r="B262" s="91">
        <v>40118</v>
      </c>
      <c r="C262" s="13">
        <f>((((VLOOKUP(B262,Database!$F:$AY,MATCH($C$1,Database!$F$1:$AY$1,),))))-(((VLOOKUP(EDATE(B262,-12),Database!$F:$AY,MATCH($C$1,Database!$F$1:$AY$1,),)))))/(((VLOOKUP(EDATE(B262,-12),Database!$F:$AY,MATCH($C$1,Database!$F$1:$AY$1,),))))</f>
        <v>-5.9577077532462025E-2</v>
      </c>
      <c r="D262" s="13">
        <f>((((VLOOKUP(B262,Database!$F:$AY,MATCH($D$1,Database!$F$1:$AY$1,),))))-(((VLOOKUP(EDATE(B262,-12),Database!$F:$AY,MATCH($D$1,Database!$F$1:$AY$1,),)))))/(((VLOOKUP(EDATE(B262,-12),Database!$F:$AY,MATCH($D$1,Database!$F$1:$AY$1,),))))</f>
        <v>-7.1138271913380707E-2</v>
      </c>
      <c r="E262" s="13">
        <f>((((VLOOKUP(B262,Database!$F:$AY,MATCH($E$1,Database!$F$1:$AY$1,),))))-(((VLOOKUP(EDATE(B262,-12),Database!$F:$AY,MATCH($E$1,Database!$F$1:$AY$1,),)))))/(((VLOOKUP(EDATE(B262,-12),Database!$F:$AY,MATCH($E$1,Database!$F$1:$AY$1,),))))</f>
        <v>-4.690608728626916E-2</v>
      </c>
      <c r="F262" s="13">
        <f>((((VLOOKUP(B262,Database!$F:$AY,MATCH($F$1,Database!$F$1:$AY$1,),))))-(((VLOOKUP(EDATE(B262,-12),Database!$F:$AY,MATCH($F$1,Database!$F$1:$AY$1,),)))))/(((VLOOKUP(EDATE(B262,-12),Database!$F:$AY,MATCH($F$1,Database!$F$1:$AY$1,),))))</f>
        <v>-8.5620196018526717E-2</v>
      </c>
      <c r="G262" s="13">
        <f>((((VLOOKUP(B262,Database!$F:$AY,MATCH($G$1,Database!$F$1:$AY$1,),))))-(((VLOOKUP(EDATE(B262,-12),Database!$F:$AY,MATCH($G$1,Database!$F$1:$AY$1,),)))))/(((VLOOKUP(EDATE(B262,-12),Database!$F:$AY,MATCH($G$1,Database!$F$1:$AY$1,),))))</f>
        <v>-3.8221821457213194E-2</v>
      </c>
      <c r="H262" s="13">
        <f>((((VLOOKUP(B262,Database!$F:$AY,MATCH($H$1,Database!$F$1:$AY$1,),))))-(((VLOOKUP(EDATE(B262,-12),Database!$F:$AY,MATCH($H$1,Database!$F$1:$AY$1,),)))))/(((VLOOKUP(EDATE(B262,-12),Database!$F:$AY,MATCH($H$1,Database!$F$1:$AY$1,),))))</f>
        <v>-2.5483866216992338E-2</v>
      </c>
      <c r="I262" s="13">
        <f>((((VLOOKUP(B262,Database!$F:$AY,MATCH($I$1,Database!$F$1:$AY$1,),))))-(((VLOOKUP(EDATE(B262,-12),Database!$F:$AY,MATCH($I$1,Database!$F$1:$AY$1,),)))))/(((VLOOKUP(EDATE(B262,-12),Database!$F:$AY,MATCH($I$1,Database!$F$1:$AY$1,),))))</f>
        <v>-9.1307879059271874E-2</v>
      </c>
      <c r="J262" s="13">
        <f>((((VLOOKUP(B262,Database!$F:$AY,MATCH($J$1,Database!$F$1:$AY$1,),))))-(((VLOOKUP(EDATE(B262,-12),Database!$F:$AY,MATCH($J$1,Database!$F$1:$AY$1,),)))))/(((VLOOKUP(EDATE(B262,-12),Database!$F:$AY,MATCH($J$1,Database!$F$1:$AY$1,),))))</f>
        <v>-5.6655257490708419E-2</v>
      </c>
      <c r="K262" s="13">
        <f>((((VLOOKUP(B262,Database!$F:$AY,MATCH($K$1,Database!$F$1:$AY$1,),))))-(((VLOOKUP(EDATE(B262,-12),Database!$F:$AY,MATCH($K$1,Database!$F$1:$AY$1,),)))))/(((VLOOKUP(EDATE(B262,-12),Database!$F:$AY,MATCH($K$1,Database!$F$1:$AY$1,),))))</f>
        <v>-0.11531190926275996</v>
      </c>
      <c r="L262" s="13">
        <f>((((VLOOKUP(B262,Database!$F:$AY,MATCH($L$1,Database!$F$1:$AY$1,),))))-(((VLOOKUP(EDATE(B262,-12),Database!$F:$AY,MATCH($L$1,Database!$F$1:$AY$1,),)))))/(((VLOOKUP(EDATE(B262,-12),Database!$F:$AY,MATCH($L$1,Database!$F$1:$AY$1,),))))</f>
        <v>-1.6430461831401341E-2</v>
      </c>
      <c r="M262" s="13">
        <f>((((VLOOKUP(B262,Database!$F:$AY,MATCH($M$1,Database!$F$1:$AY$1,),))))-(((VLOOKUP(EDATE(B262,-12),Database!$F:$AY,MATCH($M$1,Database!$F$1:$AY$1,),)))))/(((VLOOKUP(EDATE(B262,-12),Database!$F:$AY,MATCH($M$1,Database!$F$1:$AY$1,),))))</f>
        <v>2.554278416347382E-2</v>
      </c>
      <c r="N262" s="13">
        <f>((((VLOOKUP(B262,Database!$F:$AY,MATCH($N$1,Database!$F$1:$AY$1,),))))-(((VLOOKUP(EDATE(B262,-12),Database!$F:$AY,MATCH($N$1,Database!$F$1:$AY$1,),)))))/(((VLOOKUP(EDATE(B262,-12),Database!$F:$AY,MATCH($N$1,Database!$F$1:$AY$1,),))))</f>
        <v>6.431627524426331E-2</v>
      </c>
      <c r="O262" s="13">
        <f>((((VLOOKUP(B262,Database!$F:$AY,MATCH($O$1,Database!$F$1:$AY$1,),))))-(((VLOOKUP(EDATE(B262,-12),Database!$F:$AY,MATCH($O$1,Database!$F$1:$AY$1,),)))))/(((VLOOKUP(EDATE(B262,-12),Database!$F:$AY,MATCH($O$1,Database!$F$1:$AY$1,),))))</f>
        <v>-8.2549540361298732E-2</v>
      </c>
      <c r="P262" s="13">
        <f>((((VLOOKUP(B262,Database!$F:$AY,MATCH($P$1,Database!$F$1:$AY$1,),))))-(((VLOOKUP(EDATE(B262,-12),Database!$F:$AY,MATCH($P$1,Database!$F$1:$AY$1,),)))))/(((VLOOKUP(EDATE(B262,-12),Database!$F:$AY,MATCH($P$1,Database!$F$1:$AY$1,),))))</f>
        <v>0.18816766076399122</v>
      </c>
      <c r="Q262" s="13">
        <f>((((VLOOKUP(B262,Database!$F:$AY,MATCH($Q$1,Database!$F$1:$AY$1,),))))-(((VLOOKUP(EDATE(B262,-12),Database!$F:$AY,MATCH($Q$1,Database!$F$1:$AY$1,),)))))/(((VLOOKUP(EDATE(B262,-12),Database!$F:$AY,MATCH($Q$1,Database!$F$1:$AY$1,),))))</f>
        <v>4.7669673963136962E-2</v>
      </c>
      <c r="R262" s="13">
        <f>((((VLOOKUP(B262,Database!$F:$AY,MATCH($R$1,Database!$F$1:$AY$1,),))))-(((VLOOKUP(EDATE(B262,-12),Database!$F:$AY,MATCH($R$1,Database!$F$1:$AY$1,),)))))/(((VLOOKUP(EDATE(B262,-12),Database!$F:$AY,MATCH($R$1,Database!$F$1:$AY$1,),))))</f>
        <v>-5.7514894662489963E-2</v>
      </c>
      <c r="S262" s="13">
        <f>((((VLOOKUP(B262,Database!$F:$AY,MATCH($S$1,Database!$F$1:$AY$1,),))))-(((VLOOKUP(EDATE(B262,-12),Database!$F:$AY,MATCH($S$1,Database!$F$1:$AY$1,),)))))/(((VLOOKUP(EDATE(B262,-12),Database!$F:$AY,MATCH($S$1,Database!$F$1:$AY$1,),))))</f>
        <v>-0.15919088177020299</v>
      </c>
      <c r="T262" s="13">
        <f>((((VLOOKUP(B262,Database!$F:$AY,MATCH($T$1,Database!$F$1:$AY$1,),))))-(((VLOOKUP(EDATE(B262,-12),Database!$F:$AY,MATCH($T$1,Database!$F$1:$AY$1,),)))))/(((VLOOKUP(EDATE(B262,-12),Database!$F:$AY,MATCH($T$1,Database!$F$1:$AY$1,),))))</f>
        <v>6.5182854660706349E-2</v>
      </c>
      <c r="U262" s="13">
        <f>((((VLOOKUP(B262,Database!$F:$AY,MATCH($U$1,Database!$F$1:$AY$1,),))))-(((VLOOKUP(EDATE(B262,-12),Database!$F:$AY,MATCH($U$1,Database!$F$1:$AY$1,),)))))/(((VLOOKUP(EDATE(B262,-12),Database!$F:$AY,MATCH($U$1,Database!$F$1:$AY$1,),))))</f>
        <v>-4.5882237074109988E-2</v>
      </c>
      <c r="V262" s="13">
        <f>((((VLOOKUP(B262,Database!$F:$AY,MATCH($V$1,Database!$F$1:$AY$1,),))))-(((VLOOKUP(EDATE(B262,-12),Database!$F:$AY,MATCH($V$1,Database!$F$1:$AY$1,),)))))/(((VLOOKUP(EDATE(B262,-12),Database!$F:$AY,MATCH($V$1,Database!$F$1:$AY$1,),))))</f>
        <v>7.0054945054945181E-2</v>
      </c>
    </row>
    <row r="263" spans="1:22" s="85" customFormat="1" x14ac:dyDescent="0.2">
      <c r="A263" s="44"/>
      <c r="B263" s="91">
        <v>40148</v>
      </c>
      <c r="C263" s="13">
        <f>((((VLOOKUP(B263,Database!$F:$AY,MATCH($C$1,Database!$F$1:$AY$1,),))))-(((VLOOKUP(EDATE(B263,-12),Database!$F:$AY,MATCH($C$1,Database!$F$1:$AY$1,),)))))/(((VLOOKUP(EDATE(B263,-12),Database!$F:$AY,MATCH($C$1,Database!$F$1:$AY$1,),))))</f>
        <v>-2.8298574303113989E-2</v>
      </c>
      <c r="D263" s="13">
        <f>((((VLOOKUP(B263,Database!$F:$AY,MATCH($D$1,Database!$F$1:$AY$1,),))))-(((VLOOKUP(EDATE(B263,-12),Database!$F:$AY,MATCH($D$1,Database!$F$1:$AY$1,),)))))/(((VLOOKUP(EDATE(B263,-12),Database!$F:$AY,MATCH($D$1,Database!$F$1:$AY$1,),))))</f>
        <v>-3.6842139063804007E-2</v>
      </c>
      <c r="E263" s="13">
        <f>((((VLOOKUP(B263,Database!$F:$AY,MATCH($E$1,Database!$F$1:$AY$1,),))))-(((VLOOKUP(EDATE(B263,-12),Database!$F:$AY,MATCH($E$1,Database!$F$1:$AY$1,),)))))/(((VLOOKUP(EDATE(B263,-12),Database!$F:$AY,MATCH($E$1,Database!$F$1:$AY$1,),))))</f>
        <v>4.56026103426736E-2</v>
      </c>
      <c r="F263" s="13">
        <f>((((VLOOKUP(B263,Database!$F:$AY,MATCH($F$1,Database!$F$1:$AY$1,),))))-(((VLOOKUP(EDATE(B263,-12),Database!$F:$AY,MATCH($F$1,Database!$F$1:$AY$1,),)))))/(((VLOOKUP(EDATE(B263,-12),Database!$F:$AY,MATCH($F$1,Database!$F$1:$AY$1,),))))</f>
        <v>-5.0171108883635754E-2</v>
      </c>
      <c r="G263" s="13">
        <f>((((VLOOKUP(B263,Database!$F:$AY,MATCH($G$1,Database!$F$1:$AY$1,),))))-(((VLOOKUP(EDATE(B263,-12),Database!$F:$AY,MATCH($G$1,Database!$F$1:$AY$1,),)))))/(((VLOOKUP(EDATE(B263,-12),Database!$F:$AY,MATCH($G$1,Database!$F$1:$AY$1,),))))</f>
        <v>-2.7741582118045512E-2</v>
      </c>
      <c r="H263" s="13">
        <f>((((VLOOKUP(B263,Database!$F:$AY,MATCH($H$1,Database!$F$1:$AY$1,),))))-(((VLOOKUP(EDATE(B263,-12),Database!$F:$AY,MATCH($H$1,Database!$F$1:$AY$1,),)))))/(((VLOOKUP(EDATE(B263,-12),Database!$F:$AY,MATCH($H$1,Database!$F$1:$AY$1,),))))</f>
        <v>-1.4462626540022143E-2</v>
      </c>
      <c r="I263" s="13">
        <f>((((VLOOKUP(B263,Database!$F:$AY,MATCH($I$1,Database!$F$1:$AY$1,),))))-(((VLOOKUP(EDATE(B263,-12),Database!$F:$AY,MATCH($I$1,Database!$F$1:$AY$1,),)))))/(((VLOOKUP(EDATE(B263,-12),Database!$F:$AY,MATCH($I$1,Database!$F$1:$AY$1,),))))</f>
        <v>-6.5873736971696614E-2</v>
      </c>
      <c r="J263" s="13">
        <f>((((VLOOKUP(B263,Database!$F:$AY,MATCH($J$1,Database!$F$1:$AY$1,),))))-(((VLOOKUP(EDATE(B263,-12),Database!$F:$AY,MATCH($J$1,Database!$F$1:$AY$1,),)))))/(((VLOOKUP(EDATE(B263,-12),Database!$F:$AY,MATCH($J$1,Database!$F$1:$AY$1,),))))</f>
        <v>-1.4292231351296989E-2</v>
      </c>
      <c r="K263" s="13">
        <f>((((VLOOKUP(B263,Database!$F:$AY,MATCH($K$1,Database!$F$1:$AY$1,),))))-(((VLOOKUP(EDATE(B263,-12),Database!$F:$AY,MATCH($K$1,Database!$F$1:$AY$1,),)))))/(((VLOOKUP(EDATE(B263,-12),Database!$F:$AY,MATCH($K$1,Database!$F$1:$AY$1,),))))</f>
        <v>-4.9345417925478266E-2</v>
      </c>
      <c r="L263" s="13">
        <f>((((VLOOKUP(B263,Database!$F:$AY,MATCH($L$1,Database!$F$1:$AY$1,),))))-(((VLOOKUP(EDATE(B263,-12),Database!$F:$AY,MATCH($L$1,Database!$F$1:$AY$1,),)))))/(((VLOOKUP(EDATE(B263,-12),Database!$F:$AY,MATCH($L$1,Database!$F$1:$AY$1,),))))</f>
        <v>-8.8245602994479148E-3</v>
      </c>
      <c r="M263" s="13">
        <f>((((VLOOKUP(B263,Database!$F:$AY,MATCH($M$1,Database!$F$1:$AY$1,),))))-(((VLOOKUP(EDATE(B263,-12),Database!$F:$AY,MATCH($M$1,Database!$F$1:$AY$1,),)))))/(((VLOOKUP(EDATE(B263,-12),Database!$F:$AY,MATCH($M$1,Database!$F$1:$AY$1,),))))</f>
        <v>6.5789473684210523E-2</v>
      </c>
      <c r="N263" s="13">
        <f>((((VLOOKUP(B263,Database!$F:$AY,MATCH($N$1,Database!$F$1:$AY$1,),))))-(((VLOOKUP(EDATE(B263,-12),Database!$F:$AY,MATCH($N$1,Database!$F$1:$AY$1,),)))))/(((VLOOKUP(EDATE(B263,-12),Database!$F:$AY,MATCH($N$1,Database!$F$1:$AY$1,),))))</f>
        <v>9.6026029966883572E-2</v>
      </c>
      <c r="O263" s="13">
        <f>((((VLOOKUP(B263,Database!$F:$AY,MATCH($O$1,Database!$F$1:$AY$1,),))))-(((VLOOKUP(EDATE(B263,-12),Database!$F:$AY,MATCH($O$1,Database!$F$1:$AY$1,),)))))/(((VLOOKUP(EDATE(B263,-12),Database!$F:$AY,MATCH($O$1,Database!$F$1:$AY$1,),))))</f>
        <v>-5.8022250927195748E-2</v>
      </c>
      <c r="P263" s="13">
        <f>((((VLOOKUP(B263,Database!$F:$AY,MATCH($P$1,Database!$F$1:$AY$1,),))))-(((VLOOKUP(EDATE(B263,-12),Database!$F:$AY,MATCH($P$1,Database!$F$1:$AY$1,),)))))/(((VLOOKUP(EDATE(B263,-12),Database!$F:$AY,MATCH($P$1,Database!$F$1:$AY$1,),))))</f>
        <v>0.34753912891269628</v>
      </c>
      <c r="Q263" s="13">
        <f>((((VLOOKUP(B263,Database!$F:$AY,MATCH($Q$1,Database!$F$1:$AY$1,),))))-(((VLOOKUP(EDATE(B263,-12),Database!$F:$AY,MATCH($Q$1,Database!$F$1:$AY$1,),)))))/(((VLOOKUP(EDATE(B263,-12),Database!$F:$AY,MATCH($Q$1,Database!$F$1:$AY$1,),))))</f>
        <v>0.18257733619146699</v>
      </c>
      <c r="R263" s="13">
        <f>((((VLOOKUP(B263,Database!$F:$AY,MATCH($R$1,Database!$F$1:$AY$1,),))))-(((VLOOKUP(EDATE(B263,-12),Database!$F:$AY,MATCH($R$1,Database!$F$1:$AY$1,),)))))/(((VLOOKUP(EDATE(B263,-12),Database!$F:$AY,MATCH($R$1,Database!$F$1:$AY$1,),))))</f>
        <v>-7.2587285106738272E-2</v>
      </c>
      <c r="S263" s="13">
        <f>((((VLOOKUP(B263,Database!$F:$AY,MATCH($S$1,Database!$F$1:$AY$1,),))))-(((VLOOKUP(EDATE(B263,-12),Database!$F:$AY,MATCH($S$1,Database!$F$1:$AY$1,),)))))/(((VLOOKUP(EDATE(B263,-12),Database!$F:$AY,MATCH($S$1,Database!$F$1:$AY$1,),))))</f>
        <v>-4.133866813181418E-2</v>
      </c>
      <c r="T263" s="13">
        <f>((((VLOOKUP(B263,Database!$F:$AY,MATCH($T$1,Database!$F$1:$AY$1,),))))-(((VLOOKUP(EDATE(B263,-12),Database!$F:$AY,MATCH($T$1,Database!$F$1:$AY$1,),)))))/(((VLOOKUP(EDATE(B263,-12),Database!$F:$AY,MATCH($T$1,Database!$F$1:$AY$1,),))))</f>
        <v>5.0736468880959104E-2</v>
      </c>
      <c r="U263" s="13">
        <f>((((VLOOKUP(B263,Database!$F:$AY,MATCH($U$1,Database!$F$1:$AY$1,),))))-(((VLOOKUP(EDATE(B263,-12),Database!$F:$AY,MATCH($U$1,Database!$F$1:$AY$1,),)))))/(((VLOOKUP(EDATE(B263,-12),Database!$F:$AY,MATCH($U$1,Database!$F$1:$AY$1,),))))</f>
        <v>0</v>
      </c>
      <c r="V263" s="13">
        <f>((((VLOOKUP(B263,Database!$F:$AY,MATCH($V$1,Database!$F$1:$AY$1,),))))-(((VLOOKUP(EDATE(B263,-12),Database!$F:$AY,MATCH($V$1,Database!$F$1:$AY$1,),)))))/(((VLOOKUP(EDATE(B263,-12),Database!$F:$AY,MATCH($V$1,Database!$F$1:$AY$1,),))))</f>
        <v>5.2486187845303824E-2</v>
      </c>
    </row>
    <row r="264" spans="1:22" s="85" customFormat="1" x14ac:dyDescent="0.2">
      <c r="A264" s="44"/>
      <c r="B264" s="91">
        <v>40179</v>
      </c>
      <c r="C264" s="13">
        <f>((((VLOOKUP(B264,Database!$F:$AY,MATCH($C$1,Database!$F$1:$AY$1,),))))-(((VLOOKUP(EDATE(B264,-12),Database!$F:$AY,MATCH($C$1,Database!$F$1:$AY$1,),)))))/(((VLOOKUP(EDATE(B264,-12),Database!$F:$AY,MATCH($C$1,Database!$F$1:$AY$1,),))))</f>
        <v>6.886149580654438E-3</v>
      </c>
      <c r="D264" s="13">
        <f>((((VLOOKUP(B264,Database!$F:$AY,MATCH($D$1,Database!$F$1:$AY$1,),))))-(((VLOOKUP(EDATE(B264,-12),Database!$F:$AY,MATCH($D$1,Database!$F$1:$AY$1,),)))))/(((VLOOKUP(EDATE(B264,-12),Database!$F:$AY,MATCH($D$1,Database!$F$1:$AY$1,),))))</f>
        <v>2.1953932609187887E-2</v>
      </c>
      <c r="E264" s="13">
        <f>((((VLOOKUP(B264,Database!$F:$AY,MATCH($E$1,Database!$F$1:$AY$1,),))))-(((VLOOKUP(EDATE(B264,-12),Database!$F:$AY,MATCH($E$1,Database!$F$1:$AY$1,),)))))/(((VLOOKUP(EDATE(B264,-12),Database!$F:$AY,MATCH($E$1,Database!$F$1:$AY$1,),))))</f>
        <v>0.16292774005602043</v>
      </c>
      <c r="F264" s="13">
        <f>((((VLOOKUP(B264,Database!$F:$AY,MATCH($F$1,Database!$F$1:$AY$1,),))))-(((VLOOKUP(EDATE(B264,-12),Database!$F:$AY,MATCH($F$1,Database!$F$1:$AY$1,),)))))/(((VLOOKUP(EDATE(B264,-12),Database!$F:$AY,MATCH($F$1,Database!$F$1:$AY$1,),))))</f>
        <v>4.2131265453579266E-2</v>
      </c>
      <c r="G264" s="13">
        <f>((((VLOOKUP(B264,Database!$F:$AY,MATCH($G$1,Database!$F$1:$AY$1,),))))-(((VLOOKUP(EDATE(B264,-12),Database!$F:$AY,MATCH($G$1,Database!$F$1:$AY$1,),)))))/(((VLOOKUP(EDATE(B264,-12),Database!$F:$AY,MATCH($G$1,Database!$F$1:$AY$1,),))))</f>
        <v>2.0170553790361378E-2</v>
      </c>
      <c r="H264" s="13">
        <f>((((VLOOKUP(B264,Database!$F:$AY,MATCH($H$1,Database!$F$1:$AY$1,),))))-(((VLOOKUP(EDATE(B264,-12),Database!$F:$AY,MATCH($H$1,Database!$F$1:$AY$1,),)))))/(((VLOOKUP(EDATE(B264,-12),Database!$F:$AY,MATCH($H$1,Database!$F$1:$AY$1,),))))</f>
        <v>1.4830624988075126E-2</v>
      </c>
      <c r="I264" s="13">
        <f>((((VLOOKUP(B264,Database!$F:$AY,MATCH($I$1,Database!$F$1:$AY$1,),))))-(((VLOOKUP(EDATE(B264,-12),Database!$F:$AY,MATCH($I$1,Database!$F$1:$AY$1,),)))))/(((VLOOKUP(EDATE(B264,-12),Database!$F:$AY,MATCH($I$1,Database!$F$1:$AY$1,),))))</f>
        <v>6.667225443656122E-3</v>
      </c>
      <c r="J264" s="13">
        <f>((((VLOOKUP(B264,Database!$F:$AY,MATCH($J$1,Database!$F$1:$AY$1,),))))-(((VLOOKUP(EDATE(B264,-12),Database!$F:$AY,MATCH($J$1,Database!$F$1:$AY$1,),)))))/(((VLOOKUP(EDATE(B264,-12),Database!$F:$AY,MATCH($J$1,Database!$F$1:$AY$1,),))))</f>
        <v>-2.1711178490271214E-2</v>
      </c>
      <c r="K264" s="13">
        <f>((((VLOOKUP(B264,Database!$F:$AY,MATCH($K$1,Database!$F$1:$AY$1,),))))-(((VLOOKUP(EDATE(B264,-12),Database!$F:$AY,MATCH($K$1,Database!$F$1:$AY$1,),)))))/(((VLOOKUP(EDATE(B264,-12),Database!$F:$AY,MATCH($K$1,Database!$F$1:$AY$1,),))))</f>
        <v>9.3945720250522523E-3</v>
      </c>
      <c r="L264" s="13">
        <f>((((VLOOKUP(B264,Database!$F:$AY,MATCH($L$1,Database!$F$1:$AY$1,),))))-(((VLOOKUP(EDATE(B264,-12),Database!$F:$AY,MATCH($L$1,Database!$F$1:$AY$1,),)))))/(((VLOOKUP(EDATE(B264,-12),Database!$F:$AY,MATCH($L$1,Database!$F$1:$AY$1,),))))</f>
        <v>2.6569501756470302E-2</v>
      </c>
      <c r="M264" s="13">
        <f>((((VLOOKUP(B264,Database!$F:$AY,MATCH($M$1,Database!$F$1:$AY$1,),))))-(((VLOOKUP(EDATE(B264,-12),Database!$F:$AY,MATCH($M$1,Database!$F$1:$AY$1,),)))))/(((VLOOKUP(EDATE(B264,-12),Database!$F:$AY,MATCH($M$1,Database!$F$1:$AY$1,),))))</f>
        <v>8.7533156498673659E-2</v>
      </c>
      <c r="N264" s="13">
        <f>((((VLOOKUP(B264,Database!$F:$AY,MATCH($N$1,Database!$F$1:$AY$1,),))))-(((VLOOKUP(EDATE(B264,-12),Database!$F:$AY,MATCH($N$1,Database!$F$1:$AY$1,),)))))/(((VLOOKUP(EDATE(B264,-12),Database!$F:$AY,MATCH($N$1,Database!$F$1:$AY$1,),))))</f>
        <v>0.13871666871212454</v>
      </c>
      <c r="O264" s="13">
        <f>((((VLOOKUP(B264,Database!$F:$AY,MATCH($O$1,Database!$F$1:$AY$1,),))))-(((VLOOKUP(EDATE(B264,-12),Database!$F:$AY,MATCH($O$1,Database!$F$1:$AY$1,),)))))/(((VLOOKUP(EDATE(B264,-12),Database!$F:$AY,MATCH($O$1,Database!$F$1:$AY$1,),))))</f>
        <v>-2.8891179655108117E-2</v>
      </c>
      <c r="P264" s="13">
        <f>((((VLOOKUP(B264,Database!$F:$AY,MATCH($P$1,Database!$F$1:$AY$1,),))))-(((VLOOKUP(EDATE(B264,-12),Database!$F:$AY,MATCH($P$1,Database!$F$1:$AY$1,),)))))/(((VLOOKUP(EDATE(B264,-12),Database!$F:$AY,MATCH($P$1,Database!$F$1:$AY$1,),))))</f>
        <v>0.32355807621741767</v>
      </c>
      <c r="Q264" s="13">
        <f>((((VLOOKUP(B264,Database!$F:$AY,MATCH($Q$1,Database!$F$1:$AY$1,),))))-(((VLOOKUP(EDATE(B264,-12),Database!$F:$AY,MATCH($Q$1,Database!$F$1:$AY$1,),)))))/(((VLOOKUP(EDATE(B264,-12),Database!$F:$AY,MATCH($Q$1,Database!$F$1:$AY$1,),))))</f>
        <v>0.1764023072096163</v>
      </c>
      <c r="R264" s="13">
        <f>((((VLOOKUP(B264,Database!$F:$AY,MATCH($R$1,Database!$F$1:$AY$1,),))))-(((VLOOKUP(EDATE(B264,-12),Database!$F:$AY,MATCH($R$1,Database!$F$1:$AY$1,),)))))/(((VLOOKUP(EDATE(B264,-12),Database!$F:$AY,MATCH($R$1,Database!$F$1:$AY$1,),))))</f>
        <v>-6.219689023635791E-2</v>
      </c>
      <c r="S264" s="13">
        <f>((((VLOOKUP(B264,Database!$F:$AY,MATCH($S$1,Database!$F$1:$AY$1,),))))-(((VLOOKUP(EDATE(B264,-12),Database!$F:$AY,MATCH($S$1,Database!$F$1:$AY$1,),)))))/(((VLOOKUP(EDATE(B264,-12),Database!$F:$AY,MATCH($S$1,Database!$F$1:$AY$1,),))))</f>
        <v>7.5881198185540292E-3</v>
      </c>
      <c r="T264" s="13">
        <f>((((VLOOKUP(B264,Database!$F:$AY,MATCH($T$1,Database!$F$1:$AY$1,),))))-(((VLOOKUP(EDATE(B264,-12),Database!$F:$AY,MATCH($T$1,Database!$F$1:$AY$1,),)))))/(((VLOOKUP(EDATE(B264,-12),Database!$F:$AY,MATCH($T$1,Database!$F$1:$AY$1,),))))</f>
        <v>0.11578947368421061</v>
      </c>
      <c r="U264" s="13">
        <f>((((VLOOKUP(B264,Database!$F:$AY,MATCH($U$1,Database!$F$1:$AY$1,),))))-(((VLOOKUP(EDATE(B264,-12),Database!$F:$AY,MATCH($U$1,Database!$F$1:$AY$1,),)))))/(((VLOOKUP(EDATE(B264,-12),Database!$F:$AY,MATCH($U$1,Database!$F$1:$AY$1,),))))</f>
        <v>4.7254235859233162E-2</v>
      </c>
      <c r="V264" s="13">
        <f>((((VLOOKUP(B264,Database!$F:$AY,MATCH($V$1,Database!$F$1:$AY$1,),))))-(((VLOOKUP(EDATE(B264,-12),Database!$F:$AY,MATCH($V$1,Database!$F$1:$AY$1,),)))))/(((VLOOKUP(EDATE(B264,-12),Database!$F:$AY,MATCH($V$1,Database!$F$1:$AY$1,),))))</f>
        <v>0.11204481792717086</v>
      </c>
    </row>
    <row r="265" spans="1:22" s="85" customFormat="1" x14ac:dyDescent="0.2">
      <c r="A265" s="44"/>
      <c r="B265" s="91">
        <v>40210</v>
      </c>
      <c r="C265" s="13">
        <f>((((VLOOKUP(B265,Database!$F:$AY,MATCH($C$1,Database!$F$1:$AY$1,),))))-(((VLOOKUP(EDATE(B265,-12),Database!$F:$AY,MATCH($C$1,Database!$F$1:$AY$1,),)))))/(((VLOOKUP(EDATE(B265,-12),Database!$F:$AY,MATCH($C$1,Database!$F$1:$AY$1,),))))</f>
        <v>1.7067902357182863E-2</v>
      </c>
      <c r="D265" s="13">
        <f>((((VLOOKUP(B265,Database!$F:$AY,MATCH($D$1,Database!$F$1:$AY$1,),))))-(((VLOOKUP(EDATE(B265,-12),Database!$F:$AY,MATCH($D$1,Database!$F$1:$AY$1,),)))))/(((VLOOKUP(EDATE(B265,-12),Database!$F:$AY,MATCH($D$1,Database!$F$1:$AY$1,),))))</f>
        <v>4.0449436687034511E-2</v>
      </c>
      <c r="E265" s="13">
        <f>((((VLOOKUP(B265,Database!$F:$AY,MATCH($E$1,Database!$F$1:$AY$1,),))))-(((VLOOKUP(EDATE(B265,-12),Database!$F:$AY,MATCH($E$1,Database!$F$1:$AY$1,),)))))/(((VLOOKUP(EDATE(B265,-12),Database!$F:$AY,MATCH($E$1,Database!$F$1:$AY$1,),))))</f>
        <v>0.27319541873883624</v>
      </c>
      <c r="F265" s="13">
        <f>((((VLOOKUP(B265,Database!$F:$AY,MATCH($F$1,Database!$F$1:$AY$1,),))))-(((VLOOKUP(EDATE(B265,-12),Database!$F:$AY,MATCH($F$1,Database!$F$1:$AY$1,),)))))/(((VLOOKUP(EDATE(B265,-12),Database!$F:$AY,MATCH($F$1,Database!$F$1:$AY$1,),))))</f>
        <v>6.5217458028469941E-2</v>
      </c>
      <c r="G265" s="13">
        <f>((((VLOOKUP(B265,Database!$F:$AY,MATCH($G$1,Database!$F$1:$AY$1,),))))-(((VLOOKUP(EDATE(B265,-12),Database!$F:$AY,MATCH($G$1,Database!$F$1:$AY$1,),)))))/(((VLOOKUP(EDATE(B265,-12),Database!$F:$AY,MATCH($G$1,Database!$F$1:$AY$1,),))))</f>
        <v>2.8047214705824393E-2</v>
      </c>
      <c r="H265" s="13">
        <f>((((VLOOKUP(B265,Database!$F:$AY,MATCH($H$1,Database!$F$1:$AY$1,),))))-(((VLOOKUP(EDATE(B265,-12),Database!$F:$AY,MATCH($H$1,Database!$F$1:$AY$1,),)))))/(((VLOOKUP(EDATE(B265,-12),Database!$F:$AY,MATCH($H$1,Database!$F$1:$AY$1,),))))</f>
        <v>2.6482697740221026E-2</v>
      </c>
      <c r="I265" s="13">
        <f>((((VLOOKUP(B265,Database!$F:$AY,MATCH($I$1,Database!$F$1:$AY$1,),))))-(((VLOOKUP(EDATE(B265,-12),Database!$F:$AY,MATCH($I$1,Database!$F$1:$AY$1,),)))))/(((VLOOKUP(EDATE(B265,-12),Database!$F:$AY,MATCH($I$1,Database!$F$1:$AY$1,),))))</f>
        <v>3.3563493912624497E-2</v>
      </c>
      <c r="J265" s="13">
        <f>((((VLOOKUP(B265,Database!$F:$AY,MATCH($J$1,Database!$F$1:$AY$1,),))))-(((VLOOKUP(EDATE(B265,-12),Database!$F:$AY,MATCH($J$1,Database!$F$1:$AY$1,),)))))/(((VLOOKUP(EDATE(B265,-12),Database!$F:$AY,MATCH($J$1,Database!$F$1:$AY$1,),))))</f>
        <v>-1.6922262354525704E-2</v>
      </c>
      <c r="K265" s="13">
        <f>((((VLOOKUP(B265,Database!$F:$AY,MATCH($K$1,Database!$F$1:$AY$1,),))))-(((VLOOKUP(EDATE(B265,-12),Database!$F:$AY,MATCH($K$1,Database!$F$1:$AY$1,),)))))/(((VLOOKUP(EDATE(B265,-12),Database!$F:$AY,MATCH($K$1,Database!$F$1:$AY$1,),))))</f>
        <v>-9.3457943925232771E-3</v>
      </c>
      <c r="L265" s="13">
        <f>((((VLOOKUP(B265,Database!$F:$AY,MATCH($L$1,Database!$F$1:$AY$1,),))))-(((VLOOKUP(EDATE(B265,-12),Database!$F:$AY,MATCH($L$1,Database!$F$1:$AY$1,),)))))/(((VLOOKUP(EDATE(B265,-12),Database!$F:$AY,MATCH($L$1,Database!$F$1:$AY$1,),))))</f>
        <v>2.3996226526881818E-2</v>
      </c>
      <c r="M265" s="13">
        <f>((((VLOOKUP(B265,Database!$F:$AY,MATCH($M$1,Database!$F$1:$AY$1,),))))-(((VLOOKUP(EDATE(B265,-12),Database!$F:$AY,MATCH($M$1,Database!$F$1:$AY$1,),)))))/(((VLOOKUP(EDATE(B265,-12),Database!$F:$AY,MATCH($M$1,Database!$F$1:$AY$1,),))))</f>
        <v>7.4509803921568668E-2</v>
      </c>
      <c r="N265" s="13">
        <f>((((VLOOKUP(B265,Database!$F:$AY,MATCH($N$1,Database!$F$1:$AY$1,),))))-(((VLOOKUP(EDATE(B265,-12),Database!$F:$AY,MATCH($N$1,Database!$F$1:$AY$1,),)))))/(((VLOOKUP(EDATE(B265,-12),Database!$F:$AY,MATCH($N$1,Database!$F$1:$AY$1,),))))</f>
        <v>0.13721674086630864</v>
      </c>
      <c r="O265" s="13">
        <f>((((VLOOKUP(B265,Database!$F:$AY,MATCH($O$1,Database!$F$1:$AY$1,),))))-(((VLOOKUP(EDATE(B265,-12),Database!$F:$AY,MATCH($O$1,Database!$F$1:$AY$1,),)))))/(((VLOOKUP(EDATE(B265,-12),Database!$F:$AY,MATCH($O$1,Database!$F$1:$AY$1,),))))</f>
        <v>-3.9900853117695373E-3</v>
      </c>
      <c r="P265" s="13">
        <f>((((VLOOKUP(B265,Database!$F:$AY,MATCH($P$1,Database!$F$1:$AY$1,),))))-(((VLOOKUP(EDATE(B265,-12),Database!$F:$AY,MATCH($P$1,Database!$F$1:$AY$1,),)))))/(((VLOOKUP(EDATE(B265,-12),Database!$F:$AY,MATCH($P$1,Database!$F$1:$AY$1,),))))</f>
        <v>0.26595617511432113</v>
      </c>
      <c r="Q265" s="13">
        <f>((((VLOOKUP(B265,Database!$F:$AY,MATCH($Q$1,Database!$F$1:$AY$1,),))))-(((VLOOKUP(EDATE(B265,-12),Database!$F:$AY,MATCH($Q$1,Database!$F$1:$AY$1,),)))))/(((VLOOKUP(EDATE(B265,-12),Database!$F:$AY,MATCH($Q$1,Database!$F$1:$AY$1,),))))</f>
        <v>0.14726070361170368</v>
      </c>
      <c r="R265" s="13">
        <f>((((VLOOKUP(B265,Database!$F:$AY,MATCH($R$1,Database!$F$1:$AY$1,),))))-(((VLOOKUP(EDATE(B265,-12),Database!$F:$AY,MATCH($R$1,Database!$F$1:$AY$1,),)))))/(((VLOOKUP(EDATE(B265,-12),Database!$F:$AY,MATCH($R$1,Database!$F$1:$AY$1,),))))</f>
        <v>-0.10286157183972354</v>
      </c>
      <c r="S265" s="13">
        <f>((((VLOOKUP(B265,Database!$F:$AY,MATCH($S$1,Database!$F$1:$AY$1,),))))-(((VLOOKUP(EDATE(B265,-12),Database!$F:$AY,MATCH($S$1,Database!$F$1:$AY$1,),)))))/(((VLOOKUP(EDATE(B265,-12),Database!$F:$AY,MATCH($S$1,Database!$F$1:$AY$1,),))))</f>
        <v>2.6198042845637332E-2</v>
      </c>
      <c r="T265" s="13">
        <f>((((VLOOKUP(B265,Database!$F:$AY,MATCH($T$1,Database!$F$1:$AY$1,),))))-(((VLOOKUP(EDATE(B265,-12),Database!$F:$AY,MATCH($T$1,Database!$F$1:$AY$1,),)))))/(((VLOOKUP(EDATE(B265,-12),Database!$F:$AY,MATCH($T$1,Database!$F$1:$AY$1,),))))</f>
        <v>0.11855661511311522</v>
      </c>
      <c r="U265" s="13">
        <f>((((VLOOKUP(B265,Database!$F:$AY,MATCH($U$1,Database!$F$1:$AY$1,),))))-(((VLOOKUP(EDATE(B265,-12),Database!$F:$AY,MATCH($U$1,Database!$F$1:$AY$1,),)))))/(((VLOOKUP(EDATE(B265,-12),Database!$F:$AY,MATCH($U$1,Database!$F$1:$AY$1,),))))</f>
        <v>4.1984732824427391E-2</v>
      </c>
      <c r="V265" s="13">
        <f>((((VLOOKUP(B265,Database!$F:$AY,MATCH($V$1,Database!$F$1:$AY$1,),))))-(((VLOOKUP(EDATE(B265,-12),Database!$F:$AY,MATCH($V$1,Database!$F$1:$AY$1,),)))))/(((VLOOKUP(EDATE(B265,-12),Database!$F:$AY,MATCH($V$1,Database!$F$1:$AY$1,),))))</f>
        <v>9.3663911845730197E-2</v>
      </c>
    </row>
    <row r="266" spans="1:22" s="85" customFormat="1" x14ac:dyDescent="0.2">
      <c r="A266" s="44"/>
      <c r="B266" s="91">
        <v>40238</v>
      </c>
      <c r="C266" s="13">
        <f>((((VLOOKUP(B266,Database!$F:$AY,MATCH($C$1,Database!$F$1:$AY$1,),))))-(((VLOOKUP(EDATE(B266,-12),Database!$F:$AY,MATCH($C$1,Database!$F$1:$AY$1,),)))))/(((VLOOKUP(EDATE(B266,-12),Database!$F:$AY,MATCH($C$1,Database!$F$1:$AY$1,),))))</f>
        <v>4.0254514815781635E-2</v>
      </c>
      <c r="D266" s="13">
        <f>((((VLOOKUP(B266,Database!$F:$AY,MATCH($D$1,Database!$F$1:$AY$1,),))))-(((VLOOKUP(EDATE(B266,-12),Database!$F:$AY,MATCH($D$1,Database!$F$1:$AY$1,),)))))/(((VLOOKUP(EDATE(B266,-12),Database!$F:$AY,MATCH($D$1,Database!$F$1:$AY$1,),))))</f>
        <v>7.281008723296882E-2</v>
      </c>
      <c r="E266" s="13">
        <f>((((VLOOKUP(B266,Database!$F:$AY,MATCH($E$1,Database!$F$1:$AY$1,),))))-(((VLOOKUP(EDATE(B266,-12),Database!$F:$AY,MATCH($E$1,Database!$F$1:$AY$1,),)))))/(((VLOOKUP(EDATE(B266,-12),Database!$F:$AY,MATCH($E$1,Database!$F$1:$AY$1,),))))</f>
        <v>0.26564551324301217</v>
      </c>
      <c r="F266" s="13">
        <f>((((VLOOKUP(B266,Database!$F:$AY,MATCH($F$1,Database!$F$1:$AY$1,),))))-(((VLOOKUP(EDATE(B266,-12),Database!$F:$AY,MATCH($F$1,Database!$F$1:$AY$1,),)))))/(((VLOOKUP(EDATE(B266,-12),Database!$F:$AY,MATCH($F$1,Database!$F$1:$AY$1,),))))</f>
        <v>9.6815327034889376E-2</v>
      </c>
      <c r="G266" s="13">
        <f>((((VLOOKUP(B266,Database!$F:$AY,MATCH($G$1,Database!$F$1:$AY$1,),))))-(((VLOOKUP(EDATE(B266,-12),Database!$F:$AY,MATCH($G$1,Database!$F$1:$AY$1,),)))))/(((VLOOKUP(EDATE(B266,-12),Database!$F:$AY,MATCH($G$1,Database!$F$1:$AY$1,),))))</f>
        <v>6.7883964022642934E-2</v>
      </c>
      <c r="H266" s="13">
        <f>((((VLOOKUP(B266,Database!$F:$AY,MATCH($H$1,Database!$F$1:$AY$1,),))))-(((VLOOKUP(EDATE(B266,-12),Database!$F:$AY,MATCH($H$1,Database!$F$1:$AY$1,),)))))/(((VLOOKUP(EDATE(B266,-12),Database!$F:$AY,MATCH($H$1,Database!$F$1:$AY$1,),))))</f>
        <v>4.569606757765924E-2</v>
      </c>
      <c r="I266" s="13">
        <f>((((VLOOKUP(B266,Database!$F:$AY,MATCH($I$1,Database!$F$1:$AY$1,),))))-(((VLOOKUP(EDATE(B266,-12),Database!$F:$AY,MATCH($I$1,Database!$F$1:$AY$1,),)))))/(((VLOOKUP(EDATE(B266,-12),Database!$F:$AY,MATCH($I$1,Database!$F$1:$AY$1,),))))</f>
        <v>8.2219699915378447E-2</v>
      </c>
      <c r="J266" s="13">
        <f>((((VLOOKUP(B266,Database!$F:$AY,MATCH($J$1,Database!$F$1:$AY$1,),))))-(((VLOOKUP(EDATE(B266,-12),Database!$F:$AY,MATCH($J$1,Database!$F$1:$AY$1,),)))))/(((VLOOKUP(EDATE(B266,-12),Database!$F:$AY,MATCH($J$1,Database!$F$1:$AY$1,),))))</f>
        <v>3.9401356098993402E-2</v>
      </c>
      <c r="K266" s="13">
        <f>((((VLOOKUP(B266,Database!$F:$AY,MATCH($K$1,Database!$F$1:$AY$1,),))))-(((VLOOKUP(EDATE(B266,-12),Database!$F:$AY,MATCH($K$1,Database!$F$1:$AY$1,),)))))/(((VLOOKUP(EDATE(B266,-12),Database!$F:$AY,MATCH($K$1,Database!$F$1:$AY$1,),))))</f>
        <v>5.0160085378868756E-2</v>
      </c>
      <c r="L266" s="13">
        <f>((((VLOOKUP(B266,Database!$F:$AY,MATCH($L$1,Database!$F$1:$AY$1,),))))-(((VLOOKUP(EDATE(B266,-12),Database!$F:$AY,MATCH($L$1,Database!$F$1:$AY$1,),)))))/(((VLOOKUP(EDATE(B266,-12),Database!$F:$AY,MATCH($L$1,Database!$F$1:$AY$1,),))))</f>
        <v>4.2447321034957498E-2</v>
      </c>
      <c r="M266" s="13">
        <f>((((VLOOKUP(B266,Database!$F:$AY,MATCH($M$1,Database!$F$1:$AY$1,),))))-(((VLOOKUP(EDATE(B266,-12),Database!$F:$AY,MATCH($M$1,Database!$F$1:$AY$1,),)))))/(((VLOOKUP(EDATE(B266,-12),Database!$F:$AY,MATCH($M$1,Database!$F$1:$AY$1,),))))</f>
        <v>9.0314136125654337E-2</v>
      </c>
      <c r="N266" s="13">
        <f>((((VLOOKUP(B266,Database!$F:$AY,MATCH($N$1,Database!$F$1:$AY$1,),))))-(((VLOOKUP(EDATE(B266,-12),Database!$F:$AY,MATCH($N$1,Database!$F$1:$AY$1,),)))))/(((VLOOKUP(EDATE(B266,-12),Database!$F:$AY,MATCH($N$1,Database!$F$1:$AY$1,),))))</f>
        <v>0.14425115440431005</v>
      </c>
      <c r="O266" s="13">
        <f>((((VLOOKUP(B266,Database!$F:$AY,MATCH($O$1,Database!$F$1:$AY$1,),))))-(((VLOOKUP(EDATE(B266,-12),Database!$F:$AY,MATCH($O$1,Database!$F$1:$AY$1,),)))))/(((VLOOKUP(EDATE(B266,-12),Database!$F:$AY,MATCH($O$1,Database!$F$1:$AY$1,),))))</f>
        <v>2.9649481325237554E-2</v>
      </c>
      <c r="P266" s="13">
        <f>((((VLOOKUP(B266,Database!$F:$AY,MATCH($P$1,Database!$F$1:$AY$1,),))))-(((VLOOKUP(EDATE(B266,-12),Database!$F:$AY,MATCH($P$1,Database!$F$1:$AY$1,),)))))/(((VLOOKUP(EDATE(B266,-12),Database!$F:$AY,MATCH($P$1,Database!$F$1:$AY$1,),))))</f>
        <v>0.22660390777828895</v>
      </c>
      <c r="Q266" s="13">
        <f>((((VLOOKUP(B266,Database!$F:$AY,MATCH($Q$1,Database!$F$1:$AY$1,),))))-(((VLOOKUP(EDATE(B266,-12),Database!$F:$AY,MATCH($Q$1,Database!$F$1:$AY$1,),)))))/(((VLOOKUP(EDATE(B266,-12),Database!$F:$AY,MATCH($Q$1,Database!$F$1:$AY$1,),))))</f>
        <v>0.17045446452835047</v>
      </c>
      <c r="R266" s="13">
        <f>((((VLOOKUP(B266,Database!$F:$AY,MATCH($R$1,Database!$F$1:$AY$1,),))))-(((VLOOKUP(EDATE(B266,-12),Database!$F:$AY,MATCH($R$1,Database!$F$1:$AY$1,),)))))/(((VLOOKUP(EDATE(B266,-12),Database!$F:$AY,MATCH($R$1,Database!$F$1:$AY$1,),))))</f>
        <v>-5.750791057630264E-2</v>
      </c>
      <c r="S266" s="13">
        <f>((((VLOOKUP(B266,Database!$F:$AY,MATCH($S$1,Database!$F$1:$AY$1,),))))-(((VLOOKUP(EDATE(B266,-12),Database!$F:$AY,MATCH($S$1,Database!$F$1:$AY$1,),)))))/(((VLOOKUP(EDATE(B266,-12),Database!$F:$AY,MATCH($S$1,Database!$F$1:$AY$1,),))))</f>
        <v>3.2000520300375777E-2</v>
      </c>
      <c r="T266" s="13">
        <f>((((VLOOKUP(B266,Database!$F:$AY,MATCH($T$1,Database!$F$1:$AY$1,),))))-(((VLOOKUP(EDATE(B266,-12),Database!$F:$AY,MATCH($T$1,Database!$F$1:$AY$1,),)))))/(((VLOOKUP(EDATE(B266,-12),Database!$F:$AY,MATCH($T$1,Database!$F$1:$AY$1,),))))</f>
        <v>0.15104157985387681</v>
      </c>
      <c r="U266" s="13">
        <f>((((VLOOKUP(B266,Database!$F:$AY,MATCH($U$1,Database!$F$1:$AY$1,),))))-(((VLOOKUP(EDATE(B266,-12),Database!$F:$AY,MATCH($U$1,Database!$F$1:$AY$1,),)))))/(((VLOOKUP(EDATE(B266,-12),Database!$F:$AY,MATCH($U$1,Database!$F$1:$AY$1,),))))</f>
        <v>5.9999997499583353E-2</v>
      </c>
      <c r="V266" s="13">
        <f>((((VLOOKUP(B266,Database!$F:$AY,MATCH($V$1,Database!$F$1:$AY$1,),))))-(((VLOOKUP(EDATE(B266,-12),Database!$F:$AY,MATCH($V$1,Database!$F$1:$AY$1,),)))))/(((VLOOKUP(EDATE(B266,-12),Database!$F:$AY,MATCH($V$1,Database!$F$1:$AY$1,),))))</f>
        <v>9.9462365591397733E-2</v>
      </c>
    </row>
    <row r="267" spans="1:22" s="85" customFormat="1" x14ac:dyDescent="0.2">
      <c r="A267" s="44"/>
      <c r="B267" s="91">
        <v>40269</v>
      </c>
      <c r="C267" s="13">
        <f>((((VLOOKUP(B267,Database!$F:$AY,MATCH($C$1,Database!$F$1:$AY$1,),))))-(((VLOOKUP(EDATE(B267,-12),Database!$F:$AY,MATCH($C$1,Database!$F$1:$AY$1,),)))))/(((VLOOKUP(EDATE(B267,-12),Database!$F:$AY,MATCH($C$1,Database!$F$1:$AY$1,),))))</f>
        <v>5.2522230738459054E-2</v>
      </c>
      <c r="D267" s="13">
        <f>((((VLOOKUP(B267,Database!$F:$AY,MATCH($D$1,Database!$F$1:$AY$1,),))))-(((VLOOKUP(EDATE(B267,-12),Database!$F:$AY,MATCH($D$1,Database!$F$1:$AY$1,),)))))/(((VLOOKUP(EDATE(B267,-12),Database!$F:$AY,MATCH($D$1,Database!$F$1:$AY$1,),))))</f>
        <v>9.3425605536332085E-2</v>
      </c>
      <c r="E267" s="13">
        <f>((((VLOOKUP(B267,Database!$F:$AY,MATCH($E$1,Database!$F$1:$AY$1,),))))-(((VLOOKUP(EDATE(B267,-12),Database!$F:$AY,MATCH($E$1,Database!$F$1:$AY$1,),)))))/(((VLOOKUP(EDATE(B267,-12),Database!$F:$AY,MATCH($E$1,Database!$F$1:$AY$1,),))))</f>
        <v>0.22766169002347555</v>
      </c>
      <c r="F267" s="13">
        <f>((((VLOOKUP(B267,Database!$F:$AY,MATCH($F$1,Database!$F$1:$AY$1,),))))-(((VLOOKUP(EDATE(B267,-12),Database!$F:$AY,MATCH($F$1,Database!$F$1:$AY$1,),)))))/(((VLOOKUP(EDATE(B267,-12),Database!$F:$AY,MATCH($F$1,Database!$F$1:$AY$1,),))))</f>
        <v>0.15091874454104767</v>
      </c>
      <c r="G267" s="13">
        <f>((((VLOOKUP(B267,Database!$F:$AY,MATCH($G$1,Database!$F$1:$AY$1,),))))-(((VLOOKUP(EDATE(B267,-12),Database!$F:$AY,MATCH($G$1,Database!$F$1:$AY$1,),)))))/(((VLOOKUP(EDATE(B267,-12),Database!$F:$AY,MATCH($G$1,Database!$F$1:$AY$1,),))))</f>
        <v>6.4259508678091923E-2</v>
      </c>
      <c r="H267" s="13">
        <f>((((VLOOKUP(B267,Database!$F:$AY,MATCH($H$1,Database!$F$1:$AY$1,),))))-(((VLOOKUP(EDATE(B267,-12),Database!$F:$AY,MATCH($H$1,Database!$F$1:$AY$1,),)))))/(((VLOOKUP(EDATE(B267,-12),Database!$F:$AY,MATCH($H$1,Database!$F$1:$AY$1,),))))</f>
        <v>2.9288627893567568E-2</v>
      </c>
      <c r="I267" s="13">
        <f>((((VLOOKUP(B267,Database!$F:$AY,MATCH($I$1,Database!$F$1:$AY$1,),))))-(((VLOOKUP(EDATE(B267,-12),Database!$F:$AY,MATCH($I$1,Database!$F$1:$AY$1,),)))))/(((VLOOKUP(EDATE(B267,-12),Database!$F:$AY,MATCH($I$1,Database!$F$1:$AY$1,),))))</f>
        <v>8.4867501739664439E-2</v>
      </c>
      <c r="J267" s="13">
        <f>((((VLOOKUP(B267,Database!$F:$AY,MATCH($J$1,Database!$F$1:$AY$1,),))))-(((VLOOKUP(EDATE(B267,-12),Database!$F:$AY,MATCH($J$1,Database!$F$1:$AY$1,),)))))/(((VLOOKUP(EDATE(B267,-12),Database!$F:$AY,MATCH($J$1,Database!$F$1:$AY$1,),))))</f>
        <v>2.7513028058288039E-2</v>
      </c>
      <c r="K267" s="13">
        <f>((((VLOOKUP(B267,Database!$F:$AY,MATCH($K$1,Database!$F$1:$AY$1,),))))-(((VLOOKUP(EDATE(B267,-12),Database!$F:$AY,MATCH($K$1,Database!$F$1:$AY$1,),)))))/(((VLOOKUP(EDATE(B267,-12),Database!$F:$AY,MATCH($K$1,Database!$F$1:$AY$1,),))))</f>
        <v>7.0739549839228394E-2</v>
      </c>
      <c r="L267" s="13">
        <f>((((VLOOKUP(B267,Database!$F:$AY,MATCH($L$1,Database!$F$1:$AY$1,),))))-(((VLOOKUP(EDATE(B267,-12),Database!$F:$AY,MATCH($L$1,Database!$F$1:$AY$1,),)))))/(((VLOOKUP(EDATE(B267,-12),Database!$F:$AY,MATCH($L$1,Database!$F$1:$AY$1,),))))</f>
        <v>5.0274683955840532E-2</v>
      </c>
      <c r="M267" s="13">
        <f>((((VLOOKUP(B267,Database!$F:$AY,MATCH($M$1,Database!$F$1:$AY$1,),))))-(((VLOOKUP(EDATE(B267,-12),Database!$F:$AY,MATCH($M$1,Database!$F$1:$AY$1,),)))))/(((VLOOKUP(EDATE(B267,-12),Database!$F:$AY,MATCH($M$1,Database!$F$1:$AY$1,),))))</f>
        <v>7.4122236671001152E-2</v>
      </c>
      <c r="N267" s="13">
        <f>((((VLOOKUP(B267,Database!$F:$AY,MATCH($N$1,Database!$F$1:$AY$1,),))))-(((VLOOKUP(EDATE(B267,-12),Database!$F:$AY,MATCH($N$1,Database!$F$1:$AY$1,),)))))/(((VLOOKUP(EDATE(B267,-12),Database!$F:$AY,MATCH($N$1,Database!$F$1:$AY$1,),))))</f>
        <v>0.12775227321099589</v>
      </c>
      <c r="O267" s="13">
        <f>((((VLOOKUP(B267,Database!$F:$AY,MATCH($O$1,Database!$F$1:$AY$1,),))))-(((VLOOKUP(EDATE(B267,-12),Database!$F:$AY,MATCH($O$1,Database!$F$1:$AY$1,),)))))/(((VLOOKUP(EDATE(B267,-12),Database!$F:$AY,MATCH($O$1,Database!$F$1:$AY$1,),))))</f>
        <v>4.7339082556469889E-2</v>
      </c>
      <c r="P267" s="13">
        <f>((((VLOOKUP(B267,Database!$F:$AY,MATCH($P$1,Database!$F$1:$AY$1,),))))-(((VLOOKUP(EDATE(B267,-12),Database!$F:$AY,MATCH($P$1,Database!$F$1:$AY$1,),)))))/(((VLOOKUP(EDATE(B267,-12),Database!$F:$AY,MATCH($P$1,Database!$F$1:$AY$1,),))))</f>
        <v>0.20132288309501351</v>
      </c>
      <c r="Q267" s="13">
        <f>((((VLOOKUP(B267,Database!$F:$AY,MATCH($Q$1,Database!$F$1:$AY$1,),))))-(((VLOOKUP(EDATE(B267,-12),Database!$F:$AY,MATCH($Q$1,Database!$F$1:$AY$1,),)))))/(((VLOOKUP(EDATE(B267,-12),Database!$F:$AY,MATCH($Q$1,Database!$F$1:$AY$1,),))))</f>
        <v>0.15712672940828684</v>
      </c>
      <c r="R267" s="13">
        <f>((((VLOOKUP(B267,Database!$F:$AY,MATCH($R$1,Database!$F$1:$AY$1,),))))-(((VLOOKUP(EDATE(B267,-12),Database!$F:$AY,MATCH($R$1,Database!$F$1:$AY$1,),)))))/(((VLOOKUP(EDATE(B267,-12),Database!$F:$AY,MATCH($R$1,Database!$F$1:$AY$1,),))))</f>
        <v>-7.3624611197511639E-2</v>
      </c>
      <c r="S267" s="13">
        <f>((((VLOOKUP(B267,Database!$F:$AY,MATCH($S$1,Database!$F$1:$AY$1,),))))-(((VLOOKUP(EDATE(B267,-12),Database!$F:$AY,MATCH($S$1,Database!$F$1:$AY$1,),)))))/(((VLOOKUP(EDATE(B267,-12),Database!$F:$AY,MATCH($S$1,Database!$F$1:$AY$1,),))))</f>
        <v>-2.9373487368408481E-2</v>
      </c>
      <c r="T267" s="13">
        <f>((((VLOOKUP(B267,Database!$F:$AY,MATCH($T$1,Database!$F$1:$AY$1,),))))-(((VLOOKUP(EDATE(B267,-12),Database!$F:$AY,MATCH($T$1,Database!$F$1:$AY$1,),)))))/(((VLOOKUP(EDATE(B267,-12),Database!$F:$AY,MATCH($T$1,Database!$F$1:$AY$1,),))))</f>
        <v>0.14529930018093826</v>
      </c>
      <c r="U267" s="13">
        <f>((((VLOOKUP(B267,Database!$F:$AY,MATCH($U$1,Database!$F$1:$AY$1,),))))-(((VLOOKUP(EDATE(B267,-12),Database!$F:$AY,MATCH($U$1,Database!$F$1:$AY$1,),)))))/(((VLOOKUP(EDATE(B267,-12),Database!$F:$AY,MATCH($U$1,Database!$F$1:$AY$1,),))))</f>
        <v>9.4387929212178451E-2</v>
      </c>
      <c r="V267" s="13">
        <f>((((VLOOKUP(B267,Database!$F:$AY,MATCH($V$1,Database!$F$1:$AY$1,),))))-(((VLOOKUP(EDATE(B267,-12),Database!$F:$AY,MATCH($V$1,Database!$F$1:$AY$1,),)))))/(((VLOOKUP(EDATE(B267,-12),Database!$F:$AY,MATCH($V$1,Database!$F$1:$AY$1,),))))</f>
        <v>9.8495212038303734E-2</v>
      </c>
    </row>
    <row r="268" spans="1:22" s="85" customFormat="1" x14ac:dyDescent="0.2">
      <c r="A268" s="44"/>
      <c r="B268" s="91">
        <v>40299</v>
      </c>
      <c r="C268" s="13">
        <f>((((VLOOKUP(B268,Database!$F:$AY,MATCH($C$1,Database!$F$1:$AY$1,),))))-(((VLOOKUP(EDATE(B268,-12),Database!$F:$AY,MATCH($C$1,Database!$F$1:$AY$1,),)))))/(((VLOOKUP(EDATE(B268,-12),Database!$F:$AY,MATCH($C$1,Database!$F$1:$AY$1,),))))</f>
        <v>7.8752628227864024E-2</v>
      </c>
      <c r="D268" s="13">
        <f>((((VLOOKUP(B268,Database!$F:$AY,MATCH($D$1,Database!$F$1:$AY$1,),))))-(((VLOOKUP(EDATE(B268,-12),Database!$F:$AY,MATCH($D$1,Database!$F$1:$AY$1,),)))))/(((VLOOKUP(EDATE(B268,-12),Database!$F:$AY,MATCH($D$1,Database!$F$1:$AY$1,),))))</f>
        <v>8.793686253470416E-2</v>
      </c>
      <c r="E268" s="13">
        <f>((((VLOOKUP(B268,Database!$F:$AY,MATCH($E$1,Database!$F$1:$AY$1,),))))-(((VLOOKUP(EDATE(B268,-12),Database!$F:$AY,MATCH($E$1,Database!$F$1:$AY$1,),)))))/(((VLOOKUP(EDATE(B268,-12),Database!$F:$AY,MATCH($E$1,Database!$F$1:$AY$1,),))))</f>
        <v>0.17945708965889617</v>
      </c>
      <c r="F268" s="13">
        <f>((((VLOOKUP(B268,Database!$F:$AY,MATCH($F$1,Database!$F$1:$AY$1,),))))-(((VLOOKUP(EDATE(B268,-12),Database!$F:$AY,MATCH($F$1,Database!$F$1:$AY$1,),)))))/(((VLOOKUP(EDATE(B268,-12),Database!$F:$AY,MATCH($F$1,Database!$F$1:$AY$1,),))))</f>
        <v>0.13425334306396419</v>
      </c>
      <c r="G268" s="13">
        <f>((((VLOOKUP(B268,Database!$F:$AY,MATCH($G$1,Database!$F$1:$AY$1,),))))-(((VLOOKUP(EDATE(B268,-12),Database!$F:$AY,MATCH($G$1,Database!$F$1:$AY$1,),)))))/(((VLOOKUP(EDATE(B268,-12),Database!$F:$AY,MATCH($G$1,Database!$F$1:$AY$1,),))))</f>
        <v>6.032299222669988E-2</v>
      </c>
      <c r="H268" s="13">
        <f>((((VLOOKUP(B268,Database!$F:$AY,MATCH($H$1,Database!$F$1:$AY$1,),))))-(((VLOOKUP(EDATE(B268,-12),Database!$F:$AY,MATCH($H$1,Database!$F$1:$AY$1,),)))))/(((VLOOKUP(EDATE(B268,-12),Database!$F:$AY,MATCH($H$1,Database!$F$1:$AY$1,),))))</f>
        <v>4.4633615889527987E-2</v>
      </c>
      <c r="I268" s="13">
        <f>((((VLOOKUP(B268,Database!$F:$AY,MATCH($I$1,Database!$F$1:$AY$1,),))))-(((VLOOKUP(EDATE(B268,-12),Database!$F:$AY,MATCH($I$1,Database!$F$1:$AY$1,),)))))/(((VLOOKUP(EDATE(B268,-12),Database!$F:$AY,MATCH($I$1,Database!$F$1:$AY$1,),))))</f>
        <v>7.1356598454283271E-2</v>
      </c>
      <c r="J268" s="13">
        <f>((((VLOOKUP(B268,Database!$F:$AY,MATCH($J$1,Database!$F$1:$AY$1,),))))-(((VLOOKUP(EDATE(B268,-12),Database!$F:$AY,MATCH($J$1,Database!$F$1:$AY$1,),)))))/(((VLOOKUP(EDATE(B268,-12),Database!$F:$AY,MATCH($J$1,Database!$F$1:$AY$1,),))))</f>
        <v>2.8609097285482683E-2</v>
      </c>
      <c r="K268" s="13">
        <f>((((VLOOKUP(B268,Database!$F:$AY,MATCH($K$1,Database!$F$1:$AY$1,),))))-(((VLOOKUP(EDATE(B268,-12),Database!$F:$AY,MATCH($K$1,Database!$F$1:$AY$1,),)))))/(((VLOOKUP(EDATE(B268,-12),Database!$F:$AY,MATCH($K$1,Database!$F$1:$AY$1,),))))</f>
        <v>0.13149171270718238</v>
      </c>
      <c r="L268" s="13">
        <f>((((VLOOKUP(B268,Database!$F:$AY,MATCH($L$1,Database!$F$1:$AY$1,),))))-(((VLOOKUP(EDATE(B268,-12),Database!$F:$AY,MATCH($L$1,Database!$F$1:$AY$1,),)))))/(((VLOOKUP(EDATE(B268,-12),Database!$F:$AY,MATCH($L$1,Database!$F$1:$AY$1,),))))</f>
        <v>5.504871116931561E-2</v>
      </c>
      <c r="M268" s="13">
        <f>((((VLOOKUP(B268,Database!$F:$AY,MATCH($M$1,Database!$F$1:$AY$1,),))))-(((VLOOKUP(EDATE(B268,-12),Database!$F:$AY,MATCH($M$1,Database!$F$1:$AY$1,),)))))/(((VLOOKUP(EDATE(B268,-12),Database!$F:$AY,MATCH($M$1,Database!$F$1:$AY$1,),))))</f>
        <v>7.6822916666666741E-2</v>
      </c>
      <c r="N268" s="13">
        <f>((((VLOOKUP(B268,Database!$F:$AY,MATCH($N$1,Database!$F$1:$AY$1,),))))-(((VLOOKUP(EDATE(B268,-12),Database!$F:$AY,MATCH($N$1,Database!$F$1:$AY$1,),)))))/(((VLOOKUP(EDATE(B268,-12),Database!$F:$AY,MATCH($N$1,Database!$F$1:$AY$1,),))))</f>
        <v>8.3744158477798147E-2</v>
      </c>
      <c r="O268" s="13">
        <f>((((VLOOKUP(B268,Database!$F:$AY,MATCH($O$1,Database!$F$1:$AY$1,),))))-(((VLOOKUP(EDATE(B268,-12),Database!$F:$AY,MATCH($O$1,Database!$F$1:$AY$1,),)))))/(((VLOOKUP(EDATE(B268,-12),Database!$F:$AY,MATCH($O$1,Database!$F$1:$AY$1,),))))</f>
        <v>8.2900719111272503E-2</v>
      </c>
      <c r="P268" s="13">
        <f>((((VLOOKUP(B268,Database!$F:$AY,MATCH($P$1,Database!$F$1:$AY$1,),))))-(((VLOOKUP(EDATE(B268,-12),Database!$F:$AY,MATCH($P$1,Database!$F$1:$AY$1,),)))))/(((VLOOKUP(EDATE(B268,-12),Database!$F:$AY,MATCH($P$1,Database!$F$1:$AY$1,),))))</f>
        <v>0.20088662960839393</v>
      </c>
      <c r="Q268" s="13">
        <f>((((VLOOKUP(B268,Database!$F:$AY,MATCH($Q$1,Database!$F$1:$AY$1,),))))-(((VLOOKUP(EDATE(B268,-12),Database!$F:$AY,MATCH($Q$1,Database!$F$1:$AY$1,),)))))/(((VLOOKUP(EDATE(B268,-12),Database!$F:$AY,MATCH($Q$1,Database!$F$1:$AY$1,),))))</f>
        <v>0.14064225442324263</v>
      </c>
      <c r="R268" s="13">
        <f>((((VLOOKUP(B268,Database!$F:$AY,MATCH($R$1,Database!$F$1:$AY$1,),))))-(((VLOOKUP(EDATE(B268,-12),Database!$F:$AY,MATCH($R$1,Database!$F$1:$AY$1,),)))))/(((VLOOKUP(EDATE(B268,-12),Database!$F:$AY,MATCH($R$1,Database!$F$1:$AY$1,),))))</f>
        <v>-6.5112067924831929E-2</v>
      </c>
      <c r="S268" s="13">
        <f>((((VLOOKUP(B268,Database!$F:$AY,MATCH($S$1,Database!$F$1:$AY$1,),))))-(((VLOOKUP(EDATE(B268,-12),Database!$F:$AY,MATCH($S$1,Database!$F$1:$AY$1,),)))))/(((VLOOKUP(EDATE(B268,-12),Database!$F:$AY,MATCH($S$1,Database!$F$1:$AY$1,),))))</f>
        <v>2.5383588712215414E-2</v>
      </c>
      <c r="T268" s="13">
        <f>((((VLOOKUP(B268,Database!$F:$AY,MATCH($T$1,Database!$F$1:$AY$1,),))))-(((VLOOKUP(EDATE(B268,-12),Database!$F:$AY,MATCH($T$1,Database!$F$1:$AY$1,),)))))/(((VLOOKUP(EDATE(B268,-12),Database!$F:$AY,MATCH($T$1,Database!$F$1:$AY$1,),))))</f>
        <v>0.14072844145795588</v>
      </c>
      <c r="U268" s="13">
        <f>((((VLOOKUP(B268,Database!$F:$AY,MATCH($U$1,Database!$F$1:$AY$1,),))))-(((VLOOKUP(EDATE(B268,-12),Database!$F:$AY,MATCH($U$1,Database!$F$1:$AY$1,),)))))/(((VLOOKUP(EDATE(B268,-12),Database!$F:$AY,MATCH($U$1,Database!$F$1:$AY$1,),))))</f>
        <v>8.3014091109693225E-2</v>
      </c>
      <c r="V268" s="13">
        <f>((((VLOOKUP(B268,Database!$F:$AY,MATCH($V$1,Database!$F$1:$AY$1,),))))-(((VLOOKUP(EDATE(B268,-12),Database!$F:$AY,MATCH($V$1,Database!$F$1:$AY$1,),)))))/(((VLOOKUP(EDATE(B268,-12),Database!$F:$AY,MATCH($V$1,Database!$F$1:$AY$1,),))))</f>
        <v>0.13297150610583441</v>
      </c>
    </row>
    <row r="269" spans="1:22" s="85" customFormat="1" x14ac:dyDescent="0.2">
      <c r="A269" s="44"/>
      <c r="B269" s="91">
        <v>40330</v>
      </c>
      <c r="C269" s="13">
        <f>((((VLOOKUP(B269,Database!$F:$AY,MATCH($C$1,Database!$F$1:$AY$1,),))))-(((VLOOKUP(EDATE(B269,-12),Database!$F:$AY,MATCH($C$1,Database!$F$1:$AY$1,),)))))/(((VLOOKUP(EDATE(B269,-12),Database!$F:$AY,MATCH($C$1,Database!$F$1:$AY$1,),))))</f>
        <v>8.4588859289584845E-2</v>
      </c>
      <c r="D269" s="13">
        <f>((((VLOOKUP(B269,Database!$F:$AY,MATCH($D$1,Database!$F$1:$AY$1,),))))-(((VLOOKUP(EDATE(B269,-12),Database!$F:$AY,MATCH($D$1,Database!$F$1:$AY$1,),)))))/(((VLOOKUP(EDATE(B269,-12),Database!$F:$AY,MATCH($D$1,Database!$F$1:$AY$1,),))))</f>
        <v>8.174688010723391E-2</v>
      </c>
      <c r="E269" s="13">
        <f>((((VLOOKUP(B269,Database!$F:$AY,MATCH($E$1,Database!$F$1:$AY$1,),))))-(((VLOOKUP(EDATE(B269,-12),Database!$F:$AY,MATCH($E$1,Database!$F$1:$AY$1,),)))))/(((VLOOKUP(EDATE(B269,-12),Database!$F:$AY,MATCH($E$1,Database!$F$1:$AY$1,),))))</f>
        <v>0.1533095312562944</v>
      </c>
      <c r="F269" s="13">
        <f>((((VLOOKUP(B269,Database!$F:$AY,MATCH($F$1,Database!$F$1:$AY$1,),))))-(((VLOOKUP(EDATE(B269,-12),Database!$F:$AY,MATCH($F$1,Database!$F$1:$AY$1,),)))))/(((VLOOKUP(EDATE(B269,-12),Database!$F:$AY,MATCH($F$1,Database!$F$1:$AY$1,),))))</f>
        <v>0.12204229717270333</v>
      </c>
      <c r="G269" s="13">
        <f>((((VLOOKUP(B269,Database!$F:$AY,MATCH($G$1,Database!$F$1:$AY$1,),))))-(((VLOOKUP(EDATE(B269,-12),Database!$F:$AY,MATCH($G$1,Database!$F$1:$AY$1,),)))))/(((VLOOKUP(EDATE(B269,-12),Database!$F:$AY,MATCH($G$1,Database!$F$1:$AY$1,),))))</f>
        <v>4.2247684498681687E-2</v>
      </c>
      <c r="H269" s="13">
        <f>((((VLOOKUP(B269,Database!$F:$AY,MATCH($H$1,Database!$F$1:$AY$1,),))))-(((VLOOKUP(EDATE(B269,-12),Database!$F:$AY,MATCH($H$1,Database!$F$1:$AY$1,),)))))/(((VLOOKUP(EDATE(B269,-12),Database!$F:$AY,MATCH($H$1,Database!$F$1:$AY$1,),))))</f>
        <v>2.8540889990478251E-2</v>
      </c>
      <c r="I269" s="13">
        <f>((((VLOOKUP(B269,Database!$F:$AY,MATCH($I$1,Database!$F$1:$AY$1,),))))-(((VLOOKUP(EDATE(B269,-12),Database!$F:$AY,MATCH($I$1,Database!$F$1:$AY$1,),)))))/(((VLOOKUP(EDATE(B269,-12),Database!$F:$AY,MATCH($I$1,Database!$F$1:$AY$1,),))))</f>
        <v>0.10425089053470755</v>
      </c>
      <c r="J269" s="13">
        <f>((((VLOOKUP(B269,Database!$F:$AY,MATCH($J$1,Database!$F$1:$AY$1,),))))-(((VLOOKUP(EDATE(B269,-12),Database!$F:$AY,MATCH($J$1,Database!$F$1:$AY$1,),)))))/(((VLOOKUP(EDATE(B269,-12),Database!$F:$AY,MATCH($J$1,Database!$F$1:$AY$1,),))))</f>
        <v>2.552275433939772E-2</v>
      </c>
      <c r="K269" s="13">
        <f>((((VLOOKUP(B269,Database!$F:$AY,MATCH($K$1,Database!$F$1:$AY$1,),))))-(((VLOOKUP(EDATE(B269,-12),Database!$F:$AY,MATCH($K$1,Database!$F$1:$AY$1,),)))))/(((VLOOKUP(EDATE(B269,-12),Database!$F:$AY,MATCH($K$1,Database!$F$1:$AY$1,),))))</f>
        <v>0.12837108953613799</v>
      </c>
      <c r="L269" s="13">
        <f>((((VLOOKUP(B269,Database!$F:$AY,MATCH($L$1,Database!$F$1:$AY$1,),))))-(((VLOOKUP(EDATE(B269,-12),Database!$F:$AY,MATCH($L$1,Database!$F$1:$AY$1,),)))))/(((VLOOKUP(EDATE(B269,-12),Database!$F:$AY,MATCH($L$1,Database!$F$1:$AY$1,),))))</f>
        <v>5.4276985302053139E-2</v>
      </c>
      <c r="M269" s="13">
        <f>((((VLOOKUP(B269,Database!$F:$AY,MATCH($M$1,Database!$F$1:$AY$1,),))))-(((VLOOKUP(EDATE(B269,-12),Database!$F:$AY,MATCH($M$1,Database!$F$1:$AY$1,),)))))/(((VLOOKUP(EDATE(B269,-12),Database!$F:$AY,MATCH($M$1,Database!$F$1:$AY$1,),))))</f>
        <v>6.8123393316195338E-2</v>
      </c>
      <c r="N269" s="13">
        <f>((((VLOOKUP(B269,Database!$F:$AY,MATCH($N$1,Database!$F$1:$AY$1,),))))-(((VLOOKUP(EDATE(B269,-12),Database!$F:$AY,MATCH($N$1,Database!$F$1:$AY$1,),)))))/(((VLOOKUP(EDATE(B269,-12),Database!$F:$AY,MATCH($N$1,Database!$F$1:$AY$1,),))))</f>
        <v>7.3975674733448349E-2</v>
      </c>
      <c r="O269" s="13">
        <f>((((VLOOKUP(B269,Database!$F:$AY,MATCH($O$1,Database!$F$1:$AY$1,),))))-(((VLOOKUP(EDATE(B269,-12),Database!$F:$AY,MATCH($O$1,Database!$F$1:$AY$1,),)))))/(((VLOOKUP(EDATE(B269,-12),Database!$F:$AY,MATCH($O$1,Database!$F$1:$AY$1,),))))</f>
        <v>9.4614595927062242E-2</v>
      </c>
      <c r="P269" s="13">
        <f>((((VLOOKUP(B269,Database!$F:$AY,MATCH($P$1,Database!$F$1:$AY$1,),))))-(((VLOOKUP(EDATE(B269,-12),Database!$F:$AY,MATCH($P$1,Database!$F$1:$AY$1,),)))))/(((VLOOKUP(EDATE(B269,-12),Database!$F:$AY,MATCH($P$1,Database!$F$1:$AY$1,),))))</f>
        <v>0.15881681724117006</v>
      </c>
      <c r="Q269" s="13">
        <f>((((VLOOKUP(B269,Database!$F:$AY,MATCH($Q$1,Database!$F$1:$AY$1,),))))-(((VLOOKUP(EDATE(B269,-12),Database!$F:$AY,MATCH($Q$1,Database!$F$1:$AY$1,),)))))/(((VLOOKUP(EDATE(B269,-12),Database!$F:$AY,MATCH($Q$1,Database!$F$1:$AY$1,),))))</f>
        <v>0.11912565810893434</v>
      </c>
      <c r="R269" s="13">
        <f>((((VLOOKUP(B269,Database!$F:$AY,MATCH($R$1,Database!$F$1:$AY$1,),))))-(((VLOOKUP(EDATE(B269,-12),Database!$F:$AY,MATCH($R$1,Database!$F$1:$AY$1,),)))))/(((VLOOKUP(EDATE(B269,-12),Database!$F:$AY,MATCH($R$1,Database!$F$1:$AY$1,),))))</f>
        <v>-5.8299508496134314E-2</v>
      </c>
      <c r="S269" s="13">
        <f>((((VLOOKUP(B269,Database!$F:$AY,MATCH($S$1,Database!$F$1:$AY$1,),))))-(((VLOOKUP(EDATE(B269,-12),Database!$F:$AY,MATCH($S$1,Database!$F$1:$AY$1,),)))))/(((VLOOKUP(EDATE(B269,-12),Database!$F:$AY,MATCH($S$1,Database!$F$1:$AY$1,),))))</f>
        <v>4.2329251438671403E-2</v>
      </c>
      <c r="T269" s="13">
        <f>((((VLOOKUP(B269,Database!$F:$AY,MATCH($T$1,Database!$F$1:$AY$1,),))))-(((VLOOKUP(EDATE(B269,-12),Database!$F:$AY,MATCH($T$1,Database!$F$1:$AY$1,),)))))/(((VLOOKUP(EDATE(B269,-12),Database!$F:$AY,MATCH($T$1,Database!$F$1:$AY$1,),))))</f>
        <v>0.11594201964962296</v>
      </c>
      <c r="U269" s="13">
        <f>((((VLOOKUP(B269,Database!$F:$AY,MATCH($U$1,Database!$F$1:$AY$1,),))))-(((VLOOKUP(EDATE(B269,-12),Database!$F:$AY,MATCH($U$1,Database!$F$1:$AY$1,),)))))/(((VLOOKUP(EDATE(B269,-12),Database!$F:$AY,MATCH($U$1,Database!$F$1:$AY$1,),))))</f>
        <v>7.4349442379182271E-2</v>
      </c>
      <c r="V269" s="13">
        <f>((((VLOOKUP(B269,Database!$F:$AY,MATCH($V$1,Database!$F$1:$AY$1,),))))-(((VLOOKUP(EDATE(B269,-12),Database!$F:$AY,MATCH($V$1,Database!$F$1:$AY$1,),)))))/(((VLOOKUP(EDATE(B269,-12),Database!$F:$AY,MATCH($V$1,Database!$F$1:$AY$1,),))))</f>
        <v>0.14190093708165988</v>
      </c>
    </row>
    <row r="270" spans="1:22" s="85" customFormat="1" x14ac:dyDescent="0.2">
      <c r="A270" s="44"/>
      <c r="B270" s="91">
        <v>40360</v>
      </c>
      <c r="C270" s="13">
        <f>((((VLOOKUP(B270,Database!$F:$AY,MATCH($C$1,Database!$F$1:$AY$1,),))))-(((VLOOKUP(EDATE(B270,-12),Database!$F:$AY,MATCH($C$1,Database!$F$1:$AY$1,),)))))/(((VLOOKUP(EDATE(B270,-12),Database!$F:$AY,MATCH($C$1,Database!$F$1:$AY$1,),))))</f>
        <v>7.7486409575870899E-2</v>
      </c>
      <c r="D270" s="13">
        <f>((((VLOOKUP(B270,Database!$F:$AY,MATCH($D$1,Database!$F$1:$AY$1,),))))-(((VLOOKUP(EDATE(B270,-12),Database!$F:$AY,MATCH($D$1,Database!$F$1:$AY$1,),)))))/(((VLOOKUP(EDATE(B270,-12),Database!$F:$AY,MATCH($D$1,Database!$F$1:$AY$1,),))))</f>
        <v>7.6062677112852237E-2</v>
      </c>
      <c r="E270" s="13">
        <f>((((VLOOKUP(B270,Database!$F:$AY,MATCH($E$1,Database!$F$1:$AY$1,),))))-(((VLOOKUP(EDATE(B270,-12),Database!$F:$AY,MATCH($E$1,Database!$F$1:$AY$1,),)))))/(((VLOOKUP(EDATE(B270,-12),Database!$F:$AY,MATCH($E$1,Database!$F$1:$AY$1,),))))</f>
        <v>0.15384580966992706</v>
      </c>
      <c r="F270" s="13">
        <f>((((VLOOKUP(B270,Database!$F:$AY,MATCH($F$1,Database!$F$1:$AY$1,),))))-(((VLOOKUP(EDATE(B270,-12),Database!$F:$AY,MATCH($F$1,Database!$F$1:$AY$1,),)))))/(((VLOOKUP(EDATE(B270,-12),Database!$F:$AY,MATCH($F$1,Database!$F$1:$AY$1,),))))</f>
        <v>0.1257861975424871</v>
      </c>
      <c r="G270" s="13">
        <f>((((VLOOKUP(B270,Database!$F:$AY,MATCH($G$1,Database!$F$1:$AY$1,),))))-(((VLOOKUP(EDATE(B270,-12),Database!$F:$AY,MATCH($G$1,Database!$F$1:$AY$1,),)))))/(((VLOOKUP(EDATE(B270,-12),Database!$F:$AY,MATCH($G$1,Database!$F$1:$AY$1,),))))</f>
        <v>5.3572967870280909E-2</v>
      </c>
      <c r="H270" s="13">
        <f>((((VLOOKUP(B270,Database!$F:$AY,MATCH($H$1,Database!$F$1:$AY$1,),))))-(((VLOOKUP(EDATE(B270,-12),Database!$F:$AY,MATCH($H$1,Database!$F$1:$AY$1,),)))))/(((VLOOKUP(EDATE(B270,-12),Database!$F:$AY,MATCH($H$1,Database!$F$1:$AY$1,),))))</f>
        <v>1.7745389820072906E-2</v>
      </c>
      <c r="I270" s="13">
        <f>((((VLOOKUP(B270,Database!$F:$AY,MATCH($I$1,Database!$F$1:$AY$1,),))))-(((VLOOKUP(EDATE(B270,-12),Database!$F:$AY,MATCH($I$1,Database!$F$1:$AY$1,),)))))/(((VLOOKUP(EDATE(B270,-12),Database!$F:$AY,MATCH($I$1,Database!$F$1:$AY$1,),))))</f>
        <v>7.8294922471246337E-2</v>
      </c>
      <c r="J270" s="13">
        <f>((((VLOOKUP(B270,Database!$F:$AY,MATCH($J$1,Database!$F$1:$AY$1,),))))-(((VLOOKUP(EDATE(B270,-12),Database!$F:$AY,MATCH($J$1,Database!$F$1:$AY$1,),)))))/(((VLOOKUP(EDATE(B270,-12),Database!$F:$AY,MATCH($J$1,Database!$F$1:$AY$1,),))))</f>
        <v>3.9127700407786663E-3</v>
      </c>
      <c r="K270" s="13">
        <f>((((VLOOKUP(B270,Database!$F:$AY,MATCH($K$1,Database!$F$1:$AY$1,),))))-(((VLOOKUP(EDATE(B270,-12),Database!$F:$AY,MATCH($K$1,Database!$F$1:$AY$1,),)))))/(((VLOOKUP(EDATE(B270,-12),Database!$F:$AY,MATCH($K$1,Database!$F$1:$AY$1,),))))</f>
        <v>0.13434452871072597</v>
      </c>
      <c r="L270" s="13">
        <f>((((VLOOKUP(B270,Database!$F:$AY,MATCH($L$1,Database!$F$1:$AY$1,),))))-(((VLOOKUP(EDATE(B270,-12),Database!$F:$AY,MATCH($L$1,Database!$F$1:$AY$1,),)))))/(((VLOOKUP(EDATE(B270,-12),Database!$F:$AY,MATCH($L$1,Database!$F$1:$AY$1,),))))</f>
        <v>4.4073615592434008E-2</v>
      </c>
      <c r="M270" s="13">
        <f>((((VLOOKUP(B270,Database!$F:$AY,MATCH($M$1,Database!$F$1:$AY$1,),))))-(((VLOOKUP(EDATE(B270,-12),Database!$F:$AY,MATCH($M$1,Database!$F$1:$AY$1,),)))))/(((VLOOKUP(EDATE(B270,-12),Database!$F:$AY,MATCH($M$1,Database!$F$1:$AY$1,),))))</f>
        <v>5.316455696202535E-2</v>
      </c>
      <c r="N270" s="13">
        <f>((((VLOOKUP(B270,Database!$F:$AY,MATCH($N$1,Database!$F$1:$AY$1,),))))-(((VLOOKUP(EDATE(B270,-12),Database!$F:$AY,MATCH($N$1,Database!$F$1:$AY$1,),)))))/(((VLOOKUP(EDATE(B270,-12),Database!$F:$AY,MATCH($N$1,Database!$F$1:$AY$1,),))))</f>
        <v>0.10264379678694288</v>
      </c>
      <c r="O270" s="13">
        <f>((((VLOOKUP(B270,Database!$F:$AY,MATCH($O$1,Database!$F$1:$AY$1,),))))-(((VLOOKUP(EDATE(B270,-12),Database!$F:$AY,MATCH($O$1,Database!$F$1:$AY$1,),)))))/(((VLOOKUP(EDATE(B270,-12),Database!$F:$AY,MATCH($O$1,Database!$F$1:$AY$1,),))))</f>
        <v>9.3767056615185904E-2</v>
      </c>
      <c r="P270" s="13">
        <f>((((VLOOKUP(B270,Database!$F:$AY,MATCH($P$1,Database!$F$1:$AY$1,),))))-(((VLOOKUP(EDATE(B270,-12),Database!$F:$AY,MATCH($P$1,Database!$F$1:$AY$1,),)))))/(((VLOOKUP(EDATE(B270,-12),Database!$F:$AY,MATCH($P$1,Database!$F$1:$AY$1,),))))</f>
        <v>0.13815889176363608</v>
      </c>
      <c r="Q270" s="13">
        <f>((((VLOOKUP(B270,Database!$F:$AY,MATCH($Q$1,Database!$F$1:$AY$1,),))))-(((VLOOKUP(EDATE(B270,-12),Database!$F:$AY,MATCH($Q$1,Database!$F$1:$AY$1,),)))))/(((VLOOKUP(EDATE(B270,-12),Database!$F:$AY,MATCH($Q$1,Database!$F$1:$AY$1,),))))</f>
        <v>9.9352356889312071E-2</v>
      </c>
      <c r="R270" s="13">
        <f>((((VLOOKUP(B270,Database!$F:$AY,MATCH($R$1,Database!$F$1:$AY$1,),))))-(((VLOOKUP(EDATE(B270,-12),Database!$F:$AY,MATCH($R$1,Database!$F$1:$AY$1,),)))))/(((VLOOKUP(EDATE(B270,-12),Database!$F:$AY,MATCH($R$1,Database!$F$1:$AY$1,),))))</f>
        <v>-0.12279317471081873</v>
      </c>
      <c r="S270" s="13">
        <f>((((VLOOKUP(B270,Database!$F:$AY,MATCH($S$1,Database!$F$1:$AY$1,),))))-(((VLOOKUP(EDATE(B270,-12),Database!$F:$AY,MATCH($S$1,Database!$F$1:$AY$1,),)))))/(((VLOOKUP(EDATE(B270,-12),Database!$F:$AY,MATCH($S$1,Database!$F$1:$AY$1,),))))</f>
        <v>4.1114307323029668E-2</v>
      </c>
      <c r="T270" s="13">
        <f>((((VLOOKUP(B270,Database!$F:$AY,MATCH($T$1,Database!$F$1:$AY$1,),))))-(((VLOOKUP(EDATE(B270,-12),Database!$F:$AY,MATCH($T$1,Database!$F$1:$AY$1,),)))))/(((VLOOKUP(EDATE(B270,-12),Database!$F:$AY,MATCH($T$1,Database!$F$1:$AY$1,),))))</f>
        <v>0.10443038525522615</v>
      </c>
      <c r="U270" s="13">
        <f>((((VLOOKUP(B270,Database!$F:$AY,MATCH($U$1,Database!$F$1:$AY$1,),))))-(((VLOOKUP(EDATE(B270,-12),Database!$F:$AY,MATCH($U$1,Database!$F$1:$AY$1,),)))))/(((VLOOKUP(EDATE(B270,-12),Database!$F:$AY,MATCH($U$1,Database!$F$1:$AY$1,),))))</f>
        <v>0.10532998709048856</v>
      </c>
      <c r="V270" s="13">
        <f>((((VLOOKUP(B270,Database!$F:$AY,MATCH($V$1,Database!$F$1:$AY$1,),))))-(((VLOOKUP(EDATE(B270,-12),Database!$F:$AY,MATCH($V$1,Database!$F$1:$AY$1,),)))))/(((VLOOKUP(EDATE(B270,-12),Database!$F:$AY,MATCH($V$1,Database!$F$1:$AY$1,),))))</f>
        <v>0.13136729222520124</v>
      </c>
    </row>
    <row r="271" spans="1:22" s="85" customFormat="1" x14ac:dyDescent="0.2">
      <c r="A271" s="44"/>
      <c r="B271" s="91">
        <v>40391</v>
      </c>
      <c r="C271" s="13">
        <f>((((VLOOKUP(B271,Database!$F:$AY,MATCH($C$1,Database!$F$1:$AY$1,),))))-(((VLOOKUP(EDATE(B271,-12),Database!$F:$AY,MATCH($C$1,Database!$F$1:$AY$1,),)))))/(((VLOOKUP(EDATE(B271,-12),Database!$F:$AY,MATCH($C$1,Database!$F$1:$AY$1,),))))</f>
        <v>6.8814529446713277E-2</v>
      </c>
      <c r="D271" s="13">
        <f>((((VLOOKUP(B271,Database!$F:$AY,MATCH($D$1,Database!$F$1:$AY$1,),))))-(((VLOOKUP(EDATE(B271,-12),Database!$F:$AY,MATCH($D$1,Database!$F$1:$AY$1,),)))))/(((VLOOKUP(EDATE(B271,-12),Database!$F:$AY,MATCH($D$1,Database!$F$1:$AY$1,),))))</f>
        <v>8.501114839050361E-2</v>
      </c>
      <c r="E271" s="13">
        <f>((((VLOOKUP(B271,Database!$F:$AY,MATCH($E$1,Database!$F$1:$AY$1,),))))-(((VLOOKUP(EDATE(B271,-12),Database!$F:$AY,MATCH($E$1,Database!$F$1:$AY$1,),)))))/(((VLOOKUP(EDATE(B271,-12),Database!$F:$AY,MATCH($E$1,Database!$F$1:$AY$1,),))))</f>
        <v>0.14253362247167442</v>
      </c>
      <c r="F271" s="13">
        <f>((((VLOOKUP(B271,Database!$F:$AY,MATCH($F$1,Database!$F$1:$AY$1,),))))-(((VLOOKUP(EDATE(B271,-12),Database!$F:$AY,MATCH($F$1,Database!$F$1:$AY$1,),)))))/(((VLOOKUP(EDATE(B271,-12),Database!$F:$AY,MATCH($F$1,Database!$F$1:$AY$1,),))))</f>
        <v>0.13043484742641273</v>
      </c>
      <c r="G271" s="13">
        <f>((((VLOOKUP(B271,Database!$F:$AY,MATCH($G$1,Database!$F$1:$AY$1,),))))-(((VLOOKUP(EDATE(B271,-12),Database!$F:$AY,MATCH($G$1,Database!$F$1:$AY$1,),)))))/(((VLOOKUP(EDATE(B271,-12),Database!$F:$AY,MATCH($G$1,Database!$F$1:$AY$1,),))))</f>
        <v>2.5672869616724853E-2</v>
      </c>
      <c r="H271" s="13">
        <f>((((VLOOKUP(B271,Database!$F:$AY,MATCH($H$1,Database!$F$1:$AY$1,),))))-(((VLOOKUP(EDATE(B271,-12),Database!$F:$AY,MATCH($H$1,Database!$F$1:$AY$1,),)))))/(((VLOOKUP(EDATE(B271,-12),Database!$F:$AY,MATCH($H$1,Database!$F$1:$AY$1,),))))</f>
        <v>5.139236885283853E-2</v>
      </c>
      <c r="I271" s="13">
        <f>((((VLOOKUP(B271,Database!$F:$AY,MATCH($I$1,Database!$F$1:$AY$1,),))))-(((VLOOKUP(EDATE(B271,-12),Database!$F:$AY,MATCH($I$1,Database!$F$1:$AY$1,),)))))/(((VLOOKUP(EDATE(B271,-12),Database!$F:$AY,MATCH($I$1,Database!$F$1:$AY$1,),))))</f>
        <v>0.13995913249563002</v>
      </c>
      <c r="J271" s="13">
        <f>((((VLOOKUP(B271,Database!$F:$AY,MATCH($J$1,Database!$F$1:$AY$1,),))))-(((VLOOKUP(EDATE(B271,-12),Database!$F:$AY,MATCH($J$1,Database!$F$1:$AY$1,),)))))/(((VLOOKUP(EDATE(B271,-12),Database!$F:$AY,MATCH($J$1,Database!$F$1:$AY$1,),))))</f>
        <v>-6.6605619456082512E-3</v>
      </c>
      <c r="K271" s="13">
        <f>((((VLOOKUP(B271,Database!$F:$AY,MATCH($K$1,Database!$F$1:$AY$1,),))))-(((VLOOKUP(EDATE(B271,-12),Database!$F:$AY,MATCH($K$1,Database!$F$1:$AY$1,),)))))/(((VLOOKUP(EDATE(B271,-12),Database!$F:$AY,MATCH($K$1,Database!$F$1:$AY$1,),))))</f>
        <v>0.10256410256410266</v>
      </c>
      <c r="L271" s="13">
        <f>((((VLOOKUP(B271,Database!$F:$AY,MATCH($L$1,Database!$F$1:$AY$1,),))))-(((VLOOKUP(EDATE(B271,-12),Database!$F:$AY,MATCH($L$1,Database!$F$1:$AY$1,),)))))/(((VLOOKUP(EDATE(B271,-12),Database!$F:$AY,MATCH($L$1,Database!$F$1:$AY$1,),))))</f>
        <v>6.8809997095264128E-2</v>
      </c>
      <c r="M271" s="13">
        <f>((((VLOOKUP(B271,Database!$F:$AY,MATCH($M$1,Database!$F$1:$AY$1,),))))-(((VLOOKUP(EDATE(B271,-12),Database!$F:$AY,MATCH($M$1,Database!$F$1:$AY$1,),)))))/(((VLOOKUP(EDATE(B271,-12),Database!$F:$AY,MATCH($M$1,Database!$F$1:$AY$1,),))))</f>
        <v>6.624203821656055E-2</v>
      </c>
      <c r="N271" s="13">
        <f>((((VLOOKUP(B271,Database!$F:$AY,MATCH($N$1,Database!$F$1:$AY$1,),))))-(((VLOOKUP(EDATE(B271,-12),Database!$F:$AY,MATCH($N$1,Database!$F$1:$AY$1,),)))))/(((VLOOKUP(EDATE(B271,-12),Database!$F:$AY,MATCH($N$1,Database!$F$1:$AY$1,),))))</f>
        <v>4.1172283722526799E-2</v>
      </c>
      <c r="O271" s="13">
        <f>((((VLOOKUP(B271,Database!$F:$AY,MATCH($O$1,Database!$F$1:$AY$1,),))))-(((VLOOKUP(EDATE(B271,-12),Database!$F:$AY,MATCH($O$1,Database!$F$1:$AY$1,),)))))/(((VLOOKUP(EDATE(B271,-12),Database!$F:$AY,MATCH($O$1,Database!$F$1:$AY$1,),))))</f>
        <v>9.733606779813106E-2</v>
      </c>
      <c r="P271" s="13">
        <f>((((VLOOKUP(B271,Database!$F:$AY,MATCH($P$1,Database!$F$1:$AY$1,),))))-(((VLOOKUP(EDATE(B271,-12),Database!$F:$AY,MATCH($P$1,Database!$F$1:$AY$1,),)))))/(((VLOOKUP(EDATE(B271,-12),Database!$F:$AY,MATCH($P$1,Database!$F$1:$AY$1,),))))</f>
        <v>0.12376704527386641</v>
      </c>
      <c r="Q271" s="13">
        <f>((((VLOOKUP(B271,Database!$F:$AY,MATCH($Q$1,Database!$F$1:$AY$1,),))))-(((VLOOKUP(EDATE(B271,-12),Database!$F:$AY,MATCH($Q$1,Database!$F$1:$AY$1,),)))))/(((VLOOKUP(EDATE(B271,-12),Database!$F:$AY,MATCH($Q$1,Database!$F$1:$AY$1,),))))</f>
        <v>7.872404360760879E-2</v>
      </c>
      <c r="R271" s="13">
        <f>((((VLOOKUP(B271,Database!$F:$AY,MATCH($R$1,Database!$F$1:$AY$1,),))))-(((VLOOKUP(EDATE(B271,-12),Database!$F:$AY,MATCH($R$1,Database!$F$1:$AY$1,),)))))/(((VLOOKUP(EDATE(B271,-12),Database!$F:$AY,MATCH($R$1,Database!$F$1:$AY$1,),))))</f>
        <v>-1.7617844955237268E-2</v>
      </c>
      <c r="S271" s="13">
        <f>((((VLOOKUP(B271,Database!$F:$AY,MATCH($S$1,Database!$F$1:$AY$1,),))))-(((VLOOKUP(EDATE(B271,-12),Database!$F:$AY,MATCH($S$1,Database!$F$1:$AY$1,),)))))/(((VLOOKUP(EDATE(B271,-12),Database!$F:$AY,MATCH($S$1,Database!$F$1:$AY$1,),))))</f>
        <v>8.2804636002834761E-2</v>
      </c>
      <c r="T271" s="13">
        <f>((((VLOOKUP(B271,Database!$F:$AY,MATCH($T$1,Database!$F$1:$AY$1,),))))-(((VLOOKUP(EDATE(B271,-12),Database!$F:$AY,MATCH($T$1,Database!$F$1:$AY$1,),)))))/(((VLOOKUP(EDATE(B271,-12),Database!$F:$AY,MATCH($T$1,Database!$F$1:$AY$1,),))))</f>
        <v>0.14583330662170568</v>
      </c>
      <c r="U271" s="13">
        <f>((((VLOOKUP(B271,Database!$F:$AY,MATCH($U$1,Database!$F$1:$AY$1,),))))-(((VLOOKUP(EDATE(B271,-12),Database!$F:$AY,MATCH($U$1,Database!$F$1:$AY$1,),)))))/(((VLOOKUP(EDATE(B271,-12),Database!$F:$AY,MATCH($U$1,Database!$F$1:$AY$1,),))))</f>
        <v>9.4594504932271353E-2</v>
      </c>
      <c r="V271" s="13">
        <f>((((VLOOKUP(B271,Database!$F:$AY,MATCH($V$1,Database!$F$1:$AY$1,),))))-(((VLOOKUP(EDATE(B271,-12),Database!$F:$AY,MATCH($V$1,Database!$F$1:$AY$1,),)))))/(((VLOOKUP(EDATE(B271,-12),Database!$F:$AY,MATCH($V$1,Database!$F$1:$AY$1,),))))</f>
        <v>0.11051930758988032</v>
      </c>
    </row>
    <row r="272" spans="1:22" s="85" customFormat="1" x14ac:dyDescent="0.2">
      <c r="A272" s="44"/>
      <c r="B272" s="91">
        <v>40422</v>
      </c>
      <c r="C272" s="13">
        <f>((((VLOOKUP(B272,Database!$F:$AY,MATCH($C$1,Database!$F$1:$AY$1,),))))-(((VLOOKUP(EDATE(B272,-12),Database!$F:$AY,MATCH($C$1,Database!$F$1:$AY$1,),)))))/(((VLOOKUP(EDATE(B272,-12),Database!$F:$AY,MATCH($C$1,Database!$F$1:$AY$1,),))))</f>
        <v>6.322811448788522E-2</v>
      </c>
      <c r="D272" s="13">
        <f>((((VLOOKUP(B272,Database!$F:$AY,MATCH($D$1,Database!$F$1:$AY$1,),))))-(((VLOOKUP(EDATE(B272,-12),Database!$F:$AY,MATCH($D$1,Database!$F$1:$AY$1,),)))))/(((VLOOKUP(EDATE(B272,-12),Database!$F:$AY,MATCH($D$1,Database!$F$1:$AY$1,),))))</f>
        <v>6.1135293936522707E-2</v>
      </c>
      <c r="E272" s="13">
        <f>((((VLOOKUP(B272,Database!$F:$AY,MATCH($E$1,Database!$F$1:$AY$1,),))))-(((VLOOKUP(EDATE(B272,-12),Database!$F:$AY,MATCH($E$1,Database!$F$1:$AY$1,),)))))/(((VLOOKUP(EDATE(B272,-12),Database!$F:$AY,MATCH($E$1,Database!$F$1:$AY$1,),))))</f>
        <v>0.12294229468398833</v>
      </c>
      <c r="F272" s="13">
        <f>((((VLOOKUP(B272,Database!$F:$AY,MATCH($F$1,Database!$F$1:$AY$1,),))))-(((VLOOKUP(EDATE(B272,-12),Database!$F:$AY,MATCH($F$1,Database!$F$1:$AY$1,),)))))/(((VLOOKUP(EDATE(B272,-12),Database!$F:$AY,MATCH($F$1,Database!$F$1:$AY$1,),))))</f>
        <v>9.8692055069037332E-2</v>
      </c>
      <c r="G272" s="13">
        <f>((((VLOOKUP(B272,Database!$F:$AY,MATCH($G$1,Database!$F$1:$AY$1,),))))-(((VLOOKUP(EDATE(B272,-12),Database!$F:$AY,MATCH($G$1,Database!$F$1:$AY$1,),)))))/(((VLOOKUP(EDATE(B272,-12),Database!$F:$AY,MATCH($G$1,Database!$F$1:$AY$1,),))))</f>
        <v>3.2958732139529989E-2</v>
      </c>
      <c r="H272" s="13">
        <f>((((VLOOKUP(B272,Database!$F:$AY,MATCH($H$1,Database!$F$1:$AY$1,),))))-(((VLOOKUP(EDATE(B272,-12),Database!$F:$AY,MATCH($H$1,Database!$F$1:$AY$1,),)))))/(((VLOOKUP(EDATE(B272,-12),Database!$F:$AY,MATCH($H$1,Database!$F$1:$AY$1,),))))</f>
        <v>4.126980632501865E-2</v>
      </c>
      <c r="I272" s="13">
        <f>((((VLOOKUP(B272,Database!$F:$AY,MATCH($I$1,Database!$F$1:$AY$1,),))))-(((VLOOKUP(EDATE(B272,-12),Database!$F:$AY,MATCH($I$1,Database!$F$1:$AY$1,),)))))/(((VLOOKUP(EDATE(B272,-12),Database!$F:$AY,MATCH($I$1,Database!$F$1:$AY$1,),))))</f>
        <v>6.3976809083437072E-2</v>
      </c>
      <c r="J272" s="13">
        <f>((((VLOOKUP(B272,Database!$F:$AY,MATCH($J$1,Database!$F$1:$AY$1,),))))-(((VLOOKUP(EDATE(B272,-12),Database!$F:$AY,MATCH($J$1,Database!$F$1:$AY$1,),)))))/(((VLOOKUP(EDATE(B272,-12),Database!$F:$AY,MATCH($J$1,Database!$F$1:$AY$1,),))))</f>
        <v>-1.334702936629429E-2</v>
      </c>
      <c r="K272" s="13">
        <f>((((VLOOKUP(B272,Database!$F:$AY,MATCH($K$1,Database!$F$1:$AY$1,),))))-(((VLOOKUP(EDATE(B272,-12),Database!$F:$AY,MATCH($K$1,Database!$F$1:$AY$1,),)))))/(((VLOOKUP(EDATE(B272,-12),Database!$F:$AY,MATCH($K$1,Database!$F$1:$AY$1,),))))</f>
        <v>9.0526315789473621E-2</v>
      </c>
      <c r="L272" s="13">
        <f>((((VLOOKUP(B272,Database!$F:$AY,MATCH($L$1,Database!$F$1:$AY$1,),))))-(((VLOOKUP(EDATE(B272,-12),Database!$F:$AY,MATCH($L$1,Database!$F$1:$AY$1,),)))))/(((VLOOKUP(EDATE(B272,-12),Database!$F:$AY,MATCH($L$1,Database!$F$1:$AY$1,),))))</f>
        <v>6.0889233421383714E-2</v>
      </c>
      <c r="M272" s="13">
        <f>((((VLOOKUP(B272,Database!$F:$AY,MATCH($M$1,Database!$F$1:$AY$1,),))))-(((VLOOKUP(EDATE(B272,-12),Database!$F:$AY,MATCH($M$1,Database!$F$1:$AY$1,),)))))/(((VLOOKUP(EDATE(B272,-12),Database!$F:$AY,MATCH($M$1,Database!$F$1:$AY$1,),))))</f>
        <v>6.1557788944723697E-2</v>
      </c>
      <c r="N272" s="13">
        <f>((((VLOOKUP(B272,Database!$F:$AY,MATCH($N$1,Database!$F$1:$AY$1,),))))-(((VLOOKUP(EDATE(B272,-12),Database!$F:$AY,MATCH($N$1,Database!$F$1:$AY$1,),)))))/(((VLOOKUP(EDATE(B272,-12),Database!$F:$AY,MATCH($N$1,Database!$F$1:$AY$1,),))))</f>
        <v>6.2192965865550245E-2</v>
      </c>
      <c r="O272" s="13">
        <f>((((VLOOKUP(B272,Database!$F:$AY,MATCH($O$1,Database!$F$1:$AY$1,),))))-(((VLOOKUP(EDATE(B272,-12),Database!$F:$AY,MATCH($O$1,Database!$F$1:$AY$1,),)))))/(((VLOOKUP(EDATE(B272,-12),Database!$F:$AY,MATCH($O$1,Database!$F$1:$AY$1,),))))</f>
        <v>7.3656351622551713E-2</v>
      </c>
      <c r="P272" s="13">
        <f>((((VLOOKUP(B272,Database!$F:$AY,MATCH($P$1,Database!$F$1:$AY$1,),))))-(((VLOOKUP(EDATE(B272,-12),Database!$F:$AY,MATCH($P$1,Database!$F$1:$AY$1,),)))))/(((VLOOKUP(EDATE(B272,-12),Database!$F:$AY,MATCH($P$1,Database!$F$1:$AY$1,),))))</f>
        <v>9.2621340258374388E-2</v>
      </c>
      <c r="Q272" s="13">
        <f>((((VLOOKUP(B272,Database!$F:$AY,MATCH($Q$1,Database!$F$1:$AY$1,),))))-(((VLOOKUP(EDATE(B272,-12),Database!$F:$AY,MATCH($Q$1,Database!$F$1:$AY$1,),)))))/(((VLOOKUP(EDATE(B272,-12),Database!$F:$AY,MATCH($Q$1,Database!$F$1:$AY$1,),))))</f>
        <v>6.2761383047652677E-2</v>
      </c>
      <c r="R272" s="13">
        <f>((((VLOOKUP(B272,Database!$F:$AY,MATCH($R$1,Database!$F$1:$AY$1,),))))-(((VLOOKUP(EDATE(B272,-12),Database!$F:$AY,MATCH($R$1,Database!$F$1:$AY$1,),)))))/(((VLOOKUP(EDATE(B272,-12),Database!$F:$AY,MATCH($R$1,Database!$F$1:$AY$1,),))))</f>
        <v>-0.12236625824907799</v>
      </c>
      <c r="S272" s="13">
        <f>((((VLOOKUP(B272,Database!$F:$AY,MATCH($S$1,Database!$F$1:$AY$1,),))))-(((VLOOKUP(EDATE(B272,-12),Database!$F:$AY,MATCH($S$1,Database!$F$1:$AY$1,),)))))/(((VLOOKUP(EDATE(B272,-12),Database!$F:$AY,MATCH($S$1,Database!$F$1:$AY$1,),))))</f>
        <v>8.3009446290080655E-2</v>
      </c>
      <c r="T272" s="13">
        <f>((((VLOOKUP(B272,Database!$F:$AY,MATCH($T$1,Database!$F$1:$AY$1,),))))-(((VLOOKUP(EDATE(B272,-12),Database!$F:$AY,MATCH($T$1,Database!$F$1:$AY$1,),)))))/(((VLOOKUP(EDATE(B272,-12),Database!$F:$AY,MATCH($T$1,Database!$F$1:$AY$1,),))))</f>
        <v>0.13470679172305017</v>
      </c>
      <c r="U272" s="13">
        <f>((((VLOOKUP(B272,Database!$F:$AY,MATCH($U$1,Database!$F$1:$AY$1,),))))-(((VLOOKUP(EDATE(B272,-12),Database!$F:$AY,MATCH($U$1,Database!$F$1:$AY$1,),)))))/(((VLOOKUP(EDATE(B272,-12),Database!$F:$AY,MATCH($U$1,Database!$F$1:$AY$1,),))))</f>
        <v>0.11411042477998178</v>
      </c>
      <c r="V272" s="13">
        <f>((((VLOOKUP(B272,Database!$F:$AY,MATCH($V$1,Database!$F$1:$AY$1,),))))-(((VLOOKUP(EDATE(B272,-12),Database!$F:$AY,MATCH($V$1,Database!$F$1:$AY$1,),)))))/(((VLOOKUP(EDATE(B272,-12),Database!$F:$AY,MATCH($V$1,Database!$F$1:$AY$1,),))))</f>
        <v>0.11710526315789481</v>
      </c>
    </row>
    <row r="273" spans="1:22" s="85" customFormat="1" x14ac:dyDescent="0.2">
      <c r="A273" s="44"/>
      <c r="B273" s="91">
        <v>40452</v>
      </c>
      <c r="C273" s="13">
        <f>((((VLOOKUP(B273,Database!$F:$AY,MATCH($C$1,Database!$F$1:$AY$1,),))))-(((VLOOKUP(EDATE(B273,-12),Database!$F:$AY,MATCH($C$1,Database!$F$1:$AY$1,),)))))/(((VLOOKUP(EDATE(B273,-12),Database!$F:$AY,MATCH($C$1,Database!$F$1:$AY$1,),))))</f>
        <v>5.7026235977079134E-2</v>
      </c>
      <c r="D273" s="13">
        <f>((((VLOOKUP(B273,Database!$F:$AY,MATCH($D$1,Database!$F$1:$AY$1,),))))-(((VLOOKUP(EDATE(B273,-12),Database!$F:$AY,MATCH($D$1,Database!$F$1:$AY$1,),)))))/(((VLOOKUP(EDATE(B273,-12),Database!$F:$AY,MATCH($D$1,Database!$F$1:$AY$1,),))))</f>
        <v>7.4561440064572257E-2</v>
      </c>
      <c r="E273" s="13">
        <f>((((VLOOKUP(B273,Database!$F:$AY,MATCH($E$1,Database!$F$1:$AY$1,),))))-(((VLOOKUP(EDATE(B273,-12),Database!$F:$AY,MATCH($E$1,Database!$F$1:$AY$1,),)))))/(((VLOOKUP(EDATE(B273,-12),Database!$F:$AY,MATCH($E$1,Database!$F$1:$AY$1,),))))</f>
        <v>6.1965988784365704E-2</v>
      </c>
      <c r="F273" s="13">
        <f>((((VLOOKUP(B273,Database!$F:$AY,MATCH($F$1,Database!$F$1:$AY$1,),))))-(((VLOOKUP(EDATE(B273,-12),Database!$F:$AY,MATCH($F$1,Database!$F$1:$AY$1,),)))))/(((VLOOKUP(EDATE(B273,-12),Database!$F:$AY,MATCH($F$1,Database!$F$1:$AY$1,),))))</f>
        <v>0.14702319051138413</v>
      </c>
      <c r="G273" s="13">
        <f>((((VLOOKUP(B273,Database!$F:$AY,MATCH($G$1,Database!$F$1:$AY$1,),))))-(((VLOOKUP(EDATE(B273,-12),Database!$F:$AY,MATCH($G$1,Database!$F$1:$AY$1,),)))))/(((VLOOKUP(EDATE(B273,-12),Database!$F:$AY,MATCH($G$1,Database!$F$1:$AY$1,),))))</f>
        <v>3.8365505055951453E-2</v>
      </c>
      <c r="H273" s="13">
        <f>((((VLOOKUP(B273,Database!$F:$AY,MATCH($H$1,Database!$F$1:$AY$1,),))))-(((VLOOKUP(EDATE(B273,-12),Database!$F:$AY,MATCH($H$1,Database!$F$1:$AY$1,),)))))/(((VLOOKUP(EDATE(B273,-12),Database!$F:$AY,MATCH($H$1,Database!$F$1:$AY$1,),))))</f>
        <v>4.3202844721298685E-2</v>
      </c>
      <c r="I273" s="13">
        <f>((((VLOOKUP(B273,Database!$F:$AY,MATCH($I$1,Database!$F$1:$AY$1,),))))-(((VLOOKUP(EDATE(B273,-12),Database!$F:$AY,MATCH($I$1,Database!$F$1:$AY$1,),)))))/(((VLOOKUP(EDATE(B273,-12),Database!$F:$AY,MATCH($I$1,Database!$F$1:$AY$1,),))))</f>
        <v>5.1356992927705195E-2</v>
      </c>
      <c r="J273" s="13">
        <f>((((VLOOKUP(B273,Database!$F:$AY,MATCH($J$1,Database!$F$1:$AY$1,),))))-(((VLOOKUP(EDATE(B273,-12),Database!$F:$AY,MATCH($J$1,Database!$F$1:$AY$1,),)))))/(((VLOOKUP(EDATE(B273,-12),Database!$F:$AY,MATCH($J$1,Database!$F$1:$AY$1,),))))</f>
        <v>9.5090388168927593E-6</v>
      </c>
      <c r="K273" s="13">
        <f>((((VLOOKUP(B273,Database!$F:$AY,MATCH($K$1,Database!$F$1:$AY$1,),))))-(((VLOOKUP(EDATE(B273,-12),Database!$F:$AY,MATCH($K$1,Database!$F$1:$AY$1,),)))))/(((VLOOKUP(EDATE(B273,-12),Database!$F:$AY,MATCH($K$1,Database!$F$1:$AY$1,),))))</f>
        <v>8.9852008456659624E-2</v>
      </c>
      <c r="L273" s="13">
        <f>((((VLOOKUP(B273,Database!$F:$AY,MATCH($L$1,Database!$F$1:$AY$1,),))))-(((VLOOKUP(EDATE(B273,-12),Database!$F:$AY,MATCH($L$1,Database!$F$1:$AY$1,),)))))/(((VLOOKUP(EDATE(B273,-12),Database!$F:$AY,MATCH($L$1,Database!$F$1:$AY$1,),))))</f>
        <v>4.8333994438393028E-2</v>
      </c>
      <c r="M273" s="13">
        <f>((((VLOOKUP(B273,Database!$F:$AY,MATCH($M$1,Database!$F$1:$AY$1,),))))-(((VLOOKUP(EDATE(B273,-12),Database!$F:$AY,MATCH($M$1,Database!$F$1:$AY$1,),)))))/(((VLOOKUP(EDATE(B273,-12),Database!$F:$AY,MATCH($M$1,Database!$F$1:$AY$1,),))))</f>
        <v>7.2229140722291377E-2</v>
      </c>
      <c r="N273" s="13">
        <f>((((VLOOKUP(B273,Database!$F:$AY,MATCH($N$1,Database!$F$1:$AY$1,),))))-(((VLOOKUP(EDATE(B273,-12),Database!$F:$AY,MATCH($N$1,Database!$F$1:$AY$1,),)))))/(((VLOOKUP(EDATE(B273,-12),Database!$F:$AY,MATCH($N$1,Database!$F$1:$AY$1,),))))</f>
        <v>0.11694130142062692</v>
      </c>
      <c r="O273" s="13">
        <f>((((VLOOKUP(B273,Database!$F:$AY,MATCH($O$1,Database!$F$1:$AY$1,),))))-(((VLOOKUP(EDATE(B273,-12),Database!$F:$AY,MATCH($O$1,Database!$F$1:$AY$1,),)))))/(((VLOOKUP(EDATE(B273,-12),Database!$F:$AY,MATCH($O$1,Database!$F$1:$AY$1,),))))</f>
        <v>8.2661902056818934E-2</v>
      </c>
      <c r="P273" s="13">
        <f>((((VLOOKUP(B273,Database!$F:$AY,MATCH($P$1,Database!$F$1:$AY$1,),))))-(((VLOOKUP(EDATE(B273,-12),Database!$F:$AY,MATCH($P$1,Database!$F$1:$AY$1,),)))))/(((VLOOKUP(EDATE(B273,-12),Database!$F:$AY,MATCH($P$1,Database!$F$1:$AY$1,),))))</f>
        <v>0.10229046882008677</v>
      </c>
      <c r="Q273" s="13">
        <f>((((VLOOKUP(B273,Database!$F:$AY,MATCH($Q$1,Database!$F$1:$AY$1,),))))-(((VLOOKUP(EDATE(B273,-12),Database!$F:$AY,MATCH($Q$1,Database!$F$1:$AY$1,),)))))/(((VLOOKUP(EDATE(B273,-12),Database!$F:$AY,MATCH($Q$1,Database!$F$1:$AY$1,),))))</f>
        <v>4.0041328171041904E-2</v>
      </c>
      <c r="R273" s="13">
        <f>((((VLOOKUP(B273,Database!$F:$AY,MATCH($R$1,Database!$F$1:$AY$1,),))))-(((VLOOKUP(EDATE(B273,-12),Database!$F:$AY,MATCH($R$1,Database!$F$1:$AY$1,),)))))/(((VLOOKUP(EDATE(B273,-12),Database!$F:$AY,MATCH($R$1,Database!$F$1:$AY$1,),))))</f>
        <v>-4.145957770038898E-2</v>
      </c>
      <c r="S273" s="13">
        <f>((((VLOOKUP(B273,Database!$F:$AY,MATCH($S$1,Database!$F$1:$AY$1,),))))-(((VLOOKUP(EDATE(B273,-12),Database!$F:$AY,MATCH($S$1,Database!$F$1:$AY$1,),)))))/(((VLOOKUP(EDATE(B273,-12),Database!$F:$AY,MATCH($S$1,Database!$F$1:$AY$1,),))))</f>
        <v>1.6106483203215222E-3</v>
      </c>
      <c r="T273" s="13">
        <f>((((VLOOKUP(B273,Database!$F:$AY,MATCH($T$1,Database!$F$1:$AY$1,),))))-(((VLOOKUP(EDATE(B273,-12),Database!$F:$AY,MATCH($T$1,Database!$F$1:$AY$1,),)))))/(((VLOOKUP(EDATE(B273,-12),Database!$F:$AY,MATCH($T$1,Database!$F$1:$AY$1,),))))</f>
        <v>0.12441690318197603</v>
      </c>
      <c r="U273" s="13">
        <f>((((VLOOKUP(B273,Database!$F:$AY,MATCH($U$1,Database!$F$1:$AY$1,),))))-(((VLOOKUP(EDATE(B273,-12),Database!$F:$AY,MATCH($U$1,Database!$F$1:$AY$1,),)))))/(((VLOOKUP(EDATE(B273,-12),Database!$F:$AY,MATCH($U$1,Database!$F$1:$AY$1,),))))</f>
        <v>0.1019417434482712</v>
      </c>
      <c r="V273" s="13">
        <f>((((VLOOKUP(B273,Database!$F:$AY,MATCH($V$1,Database!$F$1:$AY$1,),))))-(((VLOOKUP(EDATE(B273,-12),Database!$F:$AY,MATCH($V$1,Database!$F$1:$AY$1,),)))))/(((VLOOKUP(EDATE(B273,-12),Database!$F:$AY,MATCH($V$1,Database!$F$1:$AY$1,),))))</f>
        <v>0.10677083333333337</v>
      </c>
    </row>
    <row r="274" spans="1:22" s="85" customFormat="1" x14ac:dyDescent="0.2">
      <c r="A274" s="44"/>
      <c r="B274" s="91">
        <v>40483</v>
      </c>
      <c r="C274" s="13">
        <f>((((VLOOKUP(B274,Database!$F:$AY,MATCH($C$1,Database!$F$1:$AY$1,),))))-(((VLOOKUP(EDATE(B274,-12),Database!$F:$AY,MATCH($C$1,Database!$F$1:$AY$1,),)))))/(((VLOOKUP(EDATE(B274,-12),Database!$F:$AY,MATCH($C$1,Database!$F$1:$AY$1,),))))</f>
        <v>5.3142888160808512E-2</v>
      </c>
      <c r="D274" s="13">
        <f>((((VLOOKUP(B274,Database!$F:$AY,MATCH($D$1,Database!$F$1:$AY$1,),))))-(((VLOOKUP(EDATE(B274,-12),Database!$F:$AY,MATCH($D$1,Database!$F$1:$AY$1,),)))))/(((VLOOKUP(EDATE(B274,-12),Database!$F:$AY,MATCH($D$1,Database!$F$1:$AY$1,),))))</f>
        <v>8.2056889785901976E-2</v>
      </c>
      <c r="E274" s="13">
        <f>((((VLOOKUP(B274,Database!$F:$AY,MATCH($E$1,Database!$F$1:$AY$1,),))))-(((VLOOKUP(EDATE(B274,-12),Database!$F:$AY,MATCH($E$1,Database!$F$1:$AY$1,),)))))/(((VLOOKUP(EDATE(B274,-12),Database!$F:$AY,MATCH($E$1,Database!$F$1:$AY$1,),))))</f>
        <v>5.8639019920339805E-2</v>
      </c>
      <c r="F274" s="13">
        <f>((((VLOOKUP(B274,Database!$F:$AY,MATCH($F$1,Database!$F$1:$AY$1,),))))-(((VLOOKUP(EDATE(B274,-12),Database!$F:$AY,MATCH($F$1,Database!$F$1:$AY$1,),)))))/(((VLOOKUP(EDATE(B274,-12),Database!$F:$AY,MATCH($F$1,Database!$F$1:$AY$1,),))))</f>
        <v>0.12725081777521435</v>
      </c>
      <c r="G274" s="13">
        <f>((((VLOOKUP(B274,Database!$F:$AY,MATCH($G$1,Database!$F$1:$AY$1,),))))-(((VLOOKUP(EDATE(B274,-12),Database!$F:$AY,MATCH($G$1,Database!$F$1:$AY$1,),)))))/(((VLOOKUP(EDATE(B274,-12),Database!$F:$AY,MATCH($G$1,Database!$F$1:$AY$1,),))))</f>
        <v>4.1383820898593861E-2</v>
      </c>
      <c r="H274" s="13">
        <f>((((VLOOKUP(B274,Database!$F:$AY,MATCH($H$1,Database!$F$1:$AY$1,),))))-(((VLOOKUP(EDATE(B274,-12),Database!$F:$AY,MATCH($H$1,Database!$F$1:$AY$1,),)))))/(((VLOOKUP(EDATE(B274,-12),Database!$F:$AY,MATCH($H$1,Database!$F$1:$AY$1,),))))</f>
        <v>3.7656893648570861E-2</v>
      </c>
      <c r="I274" s="13">
        <f>((((VLOOKUP(B274,Database!$F:$AY,MATCH($I$1,Database!$F$1:$AY$1,),))))-(((VLOOKUP(EDATE(B274,-12),Database!$F:$AY,MATCH($I$1,Database!$F$1:$AY$1,),)))))/(((VLOOKUP(EDATE(B274,-12),Database!$F:$AY,MATCH($I$1,Database!$F$1:$AY$1,),))))</f>
        <v>5.4105945035046447E-2</v>
      </c>
      <c r="J274" s="13">
        <f>((((VLOOKUP(B274,Database!$F:$AY,MATCH($J$1,Database!$F$1:$AY$1,),))))-(((VLOOKUP(EDATE(B274,-12),Database!$F:$AY,MATCH($J$1,Database!$F$1:$AY$1,),)))))/(((VLOOKUP(EDATE(B274,-12),Database!$F:$AY,MATCH($J$1,Database!$F$1:$AY$1,),))))</f>
        <v>3.3234877318581761E-2</v>
      </c>
      <c r="K274" s="13">
        <f>((((VLOOKUP(B274,Database!$F:$AY,MATCH($K$1,Database!$F$1:$AY$1,),))))-(((VLOOKUP(EDATE(B274,-12),Database!$F:$AY,MATCH($K$1,Database!$F$1:$AY$1,),)))))/(((VLOOKUP(EDATE(B274,-12),Database!$F:$AY,MATCH($K$1,Database!$F$1:$AY$1,),))))</f>
        <v>0.14209401709401723</v>
      </c>
      <c r="L274" s="13">
        <f>((((VLOOKUP(B274,Database!$F:$AY,MATCH($L$1,Database!$F$1:$AY$1,),))))-(((VLOOKUP(EDATE(B274,-12),Database!$F:$AY,MATCH($L$1,Database!$F$1:$AY$1,),)))))/(((VLOOKUP(EDATE(B274,-12),Database!$F:$AY,MATCH($L$1,Database!$F$1:$AY$1,),))))</f>
        <v>3.1631468787925131E-2</v>
      </c>
      <c r="M274" s="13">
        <f>((((VLOOKUP(B274,Database!$F:$AY,MATCH($M$1,Database!$F$1:$AY$1,),))))-(((VLOOKUP(EDATE(B274,-12),Database!$F:$AY,MATCH($M$1,Database!$F$1:$AY$1,),)))))/(((VLOOKUP(EDATE(B274,-12),Database!$F:$AY,MATCH($M$1,Database!$F$1:$AY$1,),))))</f>
        <v>6.7247820672478281E-2</v>
      </c>
      <c r="N274" s="13">
        <f>((((VLOOKUP(B274,Database!$F:$AY,MATCH($N$1,Database!$F$1:$AY$1,),))))-(((VLOOKUP(EDATE(B274,-12),Database!$F:$AY,MATCH($N$1,Database!$F$1:$AY$1,),)))))/(((VLOOKUP(EDATE(B274,-12),Database!$F:$AY,MATCH($N$1,Database!$F$1:$AY$1,),))))</f>
        <v>6.4776319402179636E-2</v>
      </c>
      <c r="O274" s="13">
        <f>((((VLOOKUP(B274,Database!$F:$AY,MATCH($O$1,Database!$F$1:$AY$1,),))))-(((VLOOKUP(EDATE(B274,-12),Database!$F:$AY,MATCH($O$1,Database!$F$1:$AY$1,),)))))/(((VLOOKUP(EDATE(B274,-12),Database!$F:$AY,MATCH($O$1,Database!$F$1:$AY$1,),))))</f>
        <v>6.6455877622481729E-2</v>
      </c>
      <c r="P274" s="13">
        <f>((((VLOOKUP(B274,Database!$F:$AY,MATCH($P$1,Database!$F$1:$AY$1,),))))-(((VLOOKUP(EDATE(B274,-12),Database!$F:$AY,MATCH($P$1,Database!$F$1:$AY$1,),)))))/(((VLOOKUP(EDATE(B274,-12),Database!$F:$AY,MATCH($P$1,Database!$F$1:$AY$1,),))))</f>
        <v>0.106871278687623</v>
      </c>
      <c r="Q274" s="13">
        <f>((((VLOOKUP(B274,Database!$F:$AY,MATCH($Q$1,Database!$F$1:$AY$1,),))))-(((VLOOKUP(EDATE(B274,-12),Database!$F:$AY,MATCH($Q$1,Database!$F$1:$AY$1,),)))))/(((VLOOKUP(EDATE(B274,-12),Database!$F:$AY,MATCH($Q$1,Database!$F$1:$AY$1,),))))</f>
        <v>3.2356298563605584E-2</v>
      </c>
      <c r="R274" s="13">
        <f>((((VLOOKUP(B274,Database!$F:$AY,MATCH($R$1,Database!$F$1:$AY$1,),))))-(((VLOOKUP(EDATE(B274,-12),Database!$F:$AY,MATCH($R$1,Database!$F$1:$AY$1,),)))))/(((VLOOKUP(EDATE(B274,-12),Database!$F:$AY,MATCH($R$1,Database!$F$1:$AY$1,),))))</f>
        <v>-7.160336535328389E-2</v>
      </c>
      <c r="S274" s="13">
        <f>((((VLOOKUP(B274,Database!$F:$AY,MATCH($S$1,Database!$F$1:$AY$1,),))))-(((VLOOKUP(EDATE(B274,-12),Database!$F:$AY,MATCH($S$1,Database!$F$1:$AY$1,),)))))/(((VLOOKUP(EDATE(B274,-12),Database!$F:$AY,MATCH($S$1,Database!$F$1:$AY$1,),))))</f>
        <v>0.15731289941545268</v>
      </c>
      <c r="T274" s="13">
        <f>((((VLOOKUP(B274,Database!$F:$AY,MATCH($T$1,Database!$F$1:$AY$1,),))))-(((VLOOKUP(EDATE(B274,-12),Database!$F:$AY,MATCH($T$1,Database!$F$1:$AY$1,),)))))/(((VLOOKUP(EDATE(B274,-12),Database!$F:$AY,MATCH($T$1,Database!$F$1:$AY$1,),))))</f>
        <v>0.11343273066622547</v>
      </c>
      <c r="U274" s="13">
        <f>((((VLOOKUP(B274,Database!$F:$AY,MATCH($U$1,Database!$F$1:$AY$1,),))))-(((VLOOKUP(EDATE(B274,-12),Database!$F:$AY,MATCH($U$1,Database!$F$1:$AY$1,),)))))/(((VLOOKUP(EDATE(B274,-12),Database!$F:$AY,MATCH($U$1,Database!$F$1:$AY$1,),))))</f>
        <v>0.11344010574387912</v>
      </c>
      <c r="V274" s="13">
        <f>((((VLOOKUP(B274,Database!$F:$AY,MATCH($V$1,Database!$F$1:$AY$1,),))))-(((VLOOKUP(EDATE(B274,-12),Database!$F:$AY,MATCH($V$1,Database!$F$1:$AY$1,),)))))/(((VLOOKUP(EDATE(B274,-12),Database!$F:$AY,MATCH($V$1,Database!$F$1:$AY$1,),))))</f>
        <v>9.6277278562259302E-2</v>
      </c>
    </row>
    <row r="275" spans="1:22" s="85" customFormat="1" x14ac:dyDescent="0.2">
      <c r="A275" s="44"/>
      <c r="B275" s="91">
        <v>40513</v>
      </c>
      <c r="C275" s="13">
        <f>((((VLOOKUP(B275,Database!$F:$AY,MATCH($C$1,Database!$F$1:$AY$1,),))))-(((VLOOKUP(EDATE(B275,-12),Database!$F:$AY,MATCH($C$1,Database!$F$1:$AY$1,),)))))/(((VLOOKUP(EDATE(B275,-12),Database!$F:$AY,MATCH($C$1,Database!$F$1:$AY$1,),))))</f>
        <v>6.0109376888611538E-2</v>
      </c>
      <c r="D275" s="13">
        <f>((((VLOOKUP(B275,Database!$F:$AY,MATCH($D$1,Database!$F$1:$AY$1,),))))-(((VLOOKUP(EDATE(B275,-12),Database!$F:$AY,MATCH($D$1,Database!$F$1:$AY$1,),)))))/(((VLOOKUP(EDATE(B275,-12),Database!$F:$AY,MATCH($D$1,Database!$F$1:$AY$1,),))))</f>
        <v>8.9617559210688091E-2</v>
      </c>
      <c r="E275" s="13">
        <f>((((VLOOKUP(B275,Database!$F:$AY,MATCH($E$1,Database!$F$1:$AY$1,),))))-(((VLOOKUP(EDATE(B275,-12),Database!$F:$AY,MATCH($E$1,Database!$F$1:$AY$1,),)))))/(((VLOOKUP(EDATE(B275,-12),Database!$F:$AY,MATCH($E$1,Database!$F$1:$AY$1,),))))</f>
        <v>5.2959586024398049E-2</v>
      </c>
      <c r="F275" s="13">
        <f>((((VLOOKUP(B275,Database!$F:$AY,MATCH($F$1,Database!$F$1:$AY$1,),))))-(((VLOOKUP(EDATE(B275,-12),Database!$F:$AY,MATCH($F$1,Database!$F$1:$AY$1,),)))))/(((VLOOKUP(EDATE(B275,-12),Database!$F:$AY,MATCH($F$1,Database!$F$1:$AY$1,),))))</f>
        <v>0.14525808032505952</v>
      </c>
      <c r="G275" s="13">
        <f>((((VLOOKUP(B275,Database!$F:$AY,MATCH($G$1,Database!$F$1:$AY$1,),))))-(((VLOOKUP(EDATE(B275,-12),Database!$F:$AY,MATCH($G$1,Database!$F$1:$AY$1,),)))))/(((VLOOKUP(EDATE(B275,-12),Database!$F:$AY,MATCH($G$1,Database!$F$1:$AY$1,),))))</f>
        <v>5.8302871597383628E-2</v>
      </c>
      <c r="H275" s="13">
        <f>((((VLOOKUP(B275,Database!$F:$AY,MATCH($H$1,Database!$F$1:$AY$1,),))))-(((VLOOKUP(EDATE(B275,-12),Database!$F:$AY,MATCH($H$1,Database!$F$1:$AY$1,),)))))/(((VLOOKUP(EDATE(B275,-12),Database!$F:$AY,MATCH($H$1,Database!$F$1:$AY$1,),))))</f>
        <v>4.2977222825070667E-2</v>
      </c>
      <c r="I275" s="13">
        <f>((((VLOOKUP(B275,Database!$F:$AY,MATCH($I$1,Database!$F$1:$AY$1,),))))-(((VLOOKUP(EDATE(B275,-12),Database!$F:$AY,MATCH($I$1,Database!$F$1:$AY$1,),)))))/(((VLOOKUP(EDATE(B275,-12),Database!$F:$AY,MATCH($I$1,Database!$F$1:$AY$1,),))))</f>
        <v>7.7374707982545046E-2</v>
      </c>
      <c r="J275" s="13">
        <f>((((VLOOKUP(B275,Database!$F:$AY,MATCH($J$1,Database!$F$1:$AY$1,),))))-(((VLOOKUP(EDATE(B275,-12),Database!$F:$AY,MATCH($J$1,Database!$F$1:$AY$1,),)))))/(((VLOOKUP(EDATE(B275,-12),Database!$F:$AY,MATCH($J$1,Database!$F$1:$AY$1,),))))</f>
        <v>-4.514518863022586E-3</v>
      </c>
      <c r="K275" s="13">
        <f>((((VLOOKUP(B275,Database!$F:$AY,MATCH($K$1,Database!$F$1:$AY$1,),))))-(((VLOOKUP(EDATE(B275,-12),Database!$F:$AY,MATCH($K$1,Database!$F$1:$AY$1,),)))))/(((VLOOKUP(EDATE(B275,-12),Database!$F:$AY,MATCH($K$1,Database!$F$1:$AY$1,),))))</f>
        <v>0.11864406779661005</v>
      </c>
      <c r="L275" s="13">
        <f>((((VLOOKUP(B275,Database!$F:$AY,MATCH($L$1,Database!$F$1:$AY$1,),))))-(((VLOOKUP(EDATE(B275,-12),Database!$F:$AY,MATCH($L$1,Database!$F$1:$AY$1,),)))))/(((VLOOKUP(EDATE(B275,-12),Database!$F:$AY,MATCH($L$1,Database!$F$1:$AY$1,),))))</f>
        <v>4.2982583841224553E-2</v>
      </c>
      <c r="M275" s="13">
        <f>((((VLOOKUP(B275,Database!$F:$AY,MATCH($M$1,Database!$F$1:$AY$1,),))))-(((VLOOKUP(EDATE(B275,-12),Database!$F:$AY,MATCH($M$1,Database!$F$1:$AY$1,),)))))/(((VLOOKUP(EDATE(B275,-12),Database!$F:$AY,MATCH($M$1,Database!$F$1:$AY$1,),))))</f>
        <v>6.2962962962962887E-2</v>
      </c>
      <c r="N275" s="13">
        <f>((((VLOOKUP(B275,Database!$F:$AY,MATCH($N$1,Database!$F$1:$AY$1,),))))-(((VLOOKUP(EDATE(B275,-12),Database!$F:$AY,MATCH($N$1,Database!$F$1:$AY$1,),)))))/(((VLOOKUP(EDATE(B275,-12),Database!$F:$AY,MATCH($N$1,Database!$F$1:$AY$1,),))))</f>
        <v>8.1877355909307642E-2</v>
      </c>
      <c r="O275" s="13">
        <f>((((VLOOKUP(B275,Database!$F:$AY,MATCH($O$1,Database!$F$1:$AY$1,),))))-(((VLOOKUP(EDATE(B275,-12),Database!$F:$AY,MATCH($O$1,Database!$F$1:$AY$1,),)))))/(((VLOOKUP(EDATE(B275,-12),Database!$F:$AY,MATCH($O$1,Database!$F$1:$AY$1,),))))</f>
        <v>9.3019462063820738E-2</v>
      </c>
      <c r="P275" s="13">
        <f>((((VLOOKUP(B275,Database!$F:$AY,MATCH($P$1,Database!$F$1:$AY$1,),))))-(((VLOOKUP(EDATE(B275,-12),Database!$F:$AY,MATCH($P$1,Database!$F$1:$AY$1,),)))))/(((VLOOKUP(EDATE(B275,-12),Database!$F:$AY,MATCH($P$1,Database!$F$1:$AY$1,),))))</f>
        <v>0.10939523112687659</v>
      </c>
      <c r="Q275" s="13">
        <f>((((VLOOKUP(B275,Database!$F:$AY,MATCH($Q$1,Database!$F$1:$AY$1,),))))-(((VLOOKUP(EDATE(B275,-12),Database!$F:$AY,MATCH($Q$1,Database!$F$1:$AY$1,),)))))/(((VLOOKUP(EDATE(B275,-12),Database!$F:$AY,MATCH($Q$1,Database!$F$1:$AY$1,),))))</f>
        <v>3.6327259696327344E-2</v>
      </c>
      <c r="R275" s="13">
        <f>((((VLOOKUP(B275,Database!$F:$AY,MATCH($R$1,Database!$F$1:$AY$1,),))))-(((VLOOKUP(EDATE(B275,-12),Database!$F:$AY,MATCH($R$1,Database!$F$1:$AY$1,),)))))/(((VLOOKUP(EDATE(B275,-12),Database!$F:$AY,MATCH($R$1,Database!$F$1:$AY$1,),))))</f>
        <v>-4.8292764254751576E-2</v>
      </c>
      <c r="S275" s="13">
        <f>((((VLOOKUP(B275,Database!$F:$AY,MATCH($S$1,Database!$F$1:$AY$1,),))))-(((VLOOKUP(EDATE(B275,-12),Database!$F:$AY,MATCH($S$1,Database!$F$1:$AY$1,),)))))/(((VLOOKUP(EDATE(B275,-12),Database!$F:$AY,MATCH($S$1,Database!$F$1:$AY$1,),))))</f>
        <v>0.12612323619230284</v>
      </c>
      <c r="T275" s="13">
        <f>((((VLOOKUP(B275,Database!$F:$AY,MATCH($T$1,Database!$F$1:$AY$1,),))))-(((VLOOKUP(EDATE(B275,-12),Database!$F:$AY,MATCH($T$1,Database!$F$1:$AY$1,),)))))/(((VLOOKUP(EDATE(B275,-12),Database!$F:$AY,MATCH($T$1,Database!$F$1:$AY$1,),))))</f>
        <v>0.1806854621062659</v>
      </c>
      <c r="U275" s="13">
        <f>((((VLOOKUP(B275,Database!$F:$AY,MATCH($U$1,Database!$F$1:$AY$1,),))))-(((VLOOKUP(EDATE(B275,-12),Database!$F:$AY,MATCH($U$1,Database!$F$1:$AY$1,),)))))/(((VLOOKUP(EDATE(B275,-12),Database!$F:$AY,MATCH($U$1,Database!$F$1:$AY$1,),))))</f>
        <v>7.7388106506743118E-2</v>
      </c>
      <c r="V275" s="13">
        <f>((((VLOOKUP(B275,Database!$F:$AY,MATCH($V$1,Database!$F$1:$AY$1,),))))-(((VLOOKUP(EDATE(B275,-12),Database!$F:$AY,MATCH($V$1,Database!$F$1:$AY$1,),)))))/(((VLOOKUP(EDATE(B275,-12),Database!$F:$AY,MATCH($V$1,Database!$F$1:$AY$1,),))))</f>
        <v>9.0551181102362086E-2</v>
      </c>
    </row>
    <row r="276" spans="1:22" s="85" customFormat="1" x14ac:dyDescent="0.2">
      <c r="A276" s="44"/>
      <c r="B276" s="91">
        <v>40544</v>
      </c>
      <c r="C276" s="13">
        <f>((((VLOOKUP(B276,Database!$F:$AY,MATCH($C$1,Database!$F$1:$AY$1,),))))-(((VLOOKUP(EDATE(B276,-12),Database!$F:$AY,MATCH($C$1,Database!$F$1:$AY$1,),)))))/(((VLOOKUP(EDATE(B276,-12),Database!$F:$AY,MATCH($C$1,Database!$F$1:$AY$1,),))))</f>
        <v>4.6607203439449157E-2</v>
      </c>
      <c r="D276" s="13">
        <f>((((VLOOKUP(B276,Database!$F:$AY,MATCH($D$1,Database!$F$1:$AY$1,),))))-(((VLOOKUP(EDATE(B276,-12),Database!$F:$AY,MATCH($D$1,Database!$F$1:$AY$1,),)))))/(((VLOOKUP(EDATE(B276,-12),Database!$F:$AY,MATCH($D$1,Database!$F$1:$AY$1,),))))</f>
        <v>6.5520904717853615E-2</v>
      </c>
      <c r="E276" s="13">
        <f>((((VLOOKUP(B276,Database!$F:$AY,MATCH($E$1,Database!$F$1:$AY$1,),))))-(((VLOOKUP(EDATE(B276,-12),Database!$F:$AY,MATCH($E$1,Database!$F$1:$AY$1,),)))))/(((VLOOKUP(EDATE(B276,-12),Database!$F:$AY,MATCH($E$1,Database!$F$1:$AY$1,),))))</f>
        <v>3.6548744517836657E-2</v>
      </c>
      <c r="F276" s="13">
        <f>((((VLOOKUP(B276,Database!$F:$AY,MATCH($F$1,Database!$F$1:$AY$1,),))))-(((VLOOKUP(EDATE(B276,-12),Database!$F:$AY,MATCH($F$1,Database!$F$1:$AY$1,),)))))/(((VLOOKUP(EDATE(B276,-12),Database!$F:$AY,MATCH($F$1,Database!$F$1:$AY$1,),))))</f>
        <v>0.13198579334615168</v>
      </c>
      <c r="G276" s="13">
        <f>((((VLOOKUP(B276,Database!$F:$AY,MATCH($G$1,Database!$F$1:$AY$1,),))))-(((VLOOKUP(EDATE(B276,-12),Database!$F:$AY,MATCH($G$1,Database!$F$1:$AY$1,),)))))/(((VLOOKUP(EDATE(B276,-12),Database!$F:$AY,MATCH($G$1,Database!$F$1:$AY$1,),))))</f>
        <v>5.9621189468249507E-2</v>
      </c>
      <c r="H276" s="13">
        <f>((((VLOOKUP(B276,Database!$F:$AY,MATCH($H$1,Database!$F$1:$AY$1,),))))-(((VLOOKUP(EDATE(B276,-12),Database!$F:$AY,MATCH($H$1,Database!$F$1:$AY$1,),)))))/(((VLOOKUP(EDATE(B276,-12),Database!$F:$AY,MATCH($H$1,Database!$F$1:$AY$1,),))))</f>
        <v>4.1753172367212293E-2</v>
      </c>
      <c r="I276" s="13">
        <f>((((VLOOKUP(B276,Database!$F:$AY,MATCH($I$1,Database!$F$1:$AY$1,),))))-(((VLOOKUP(EDATE(B276,-12),Database!$F:$AY,MATCH($I$1,Database!$F$1:$AY$1,),)))))/(((VLOOKUP(EDATE(B276,-12),Database!$F:$AY,MATCH($I$1,Database!$F$1:$AY$1,),))))</f>
        <v>2.1759616694672829E-2</v>
      </c>
      <c r="J276" s="13">
        <f>((((VLOOKUP(B276,Database!$F:$AY,MATCH($J$1,Database!$F$1:$AY$1,),))))-(((VLOOKUP(EDATE(B276,-12),Database!$F:$AY,MATCH($J$1,Database!$F$1:$AY$1,),)))))/(((VLOOKUP(EDATE(B276,-12),Database!$F:$AY,MATCH($J$1,Database!$F$1:$AY$1,),))))</f>
        <v>1.382389962430047E-2</v>
      </c>
      <c r="K276" s="13">
        <f>((((VLOOKUP(B276,Database!$F:$AY,MATCH($K$1,Database!$F$1:$AY$1,),))))-(((VLOOKUP(EDATE(B276,-12),Database!$F:$AY,MATCH($K$1,Database!$F$1:$AY$1,),)))))/(((VLOOKUP(EDATE(B276,-12),Database!$F:$AY,MATCH($K$1,Database!$F$1:$AY$1,),))))</f>
        <v>9.8241985522233705E-2</v>
      </c>
      <c r="L276" s="13">
        <f>((((VLOOKUP(B276,Database!$F:$AY,MATCH($L$1,Database!$F$1:$AY$1,),))))-(((VLOOKUP(EDATE(B276,-12),Database!$F:$AY,MATCH($L$1,Database!$F$1:$AY$1,),)))))/(((VLOOKUP(EDATE(B276,-12),Database!$F:$AY,MATCH($L$1,Database!$F$1:$AY$1,),))))</f>
        <v>3.8863945562952196E-2</v>
      </c>
      <c r="M276" s="13">
        <f>((((VLOOKUP(B276,Database!$F:$AY,MATCH($M$1,Database!$F$1:$AY$1,),))))-(((VLOOKUP(EDATE(B276,-12),Database!$F:$AY,MATCH($M$1,Database!$F$1:$AY$1,),)))))/(((VLOOKUP(EDATE(B276,-12),Database!$F:$AY,MATCH($M$1,Database!$F$1:$AY$1,),))))</f>
        <v>5.8536585365853627E-2</v>
      </c>
      <c r="N276" s="13">
        <f>((((VLOOKUP(B276,Database!$F:$AY,MATCH($N$1,Database!$F$1:$AY$1,),))))-(((VLOOKUP(EDATE(B276,-12),Database!$F:$AY,MATCH($N$1,Database!$F$1:$AY$1,),)))))/(((VLOOKUP(EDATE(B276,-12),Database!$F:$AY,MATCH($N$1,Database!$F$1:$AY$1,),))))</f>
        <v>7.5009997045162369E-2</v>
      </c>
      <c r="O276" s="13">
        <f>((((VLOOKUP(B276,Database!$F:$AY,MATCH($O$1,Database!$F$1:$AY$1,),))))-(((VLOOKUP(EDATE(B276,-12),Database!$F:$AY,MATCH($O$1,Database!$F$1:$AY$1,),)))))/(((VLOOKUP(EDATE(B276,-12),Database!$F:$AY,MATCH($O$1,Database!$F$1:$AY$1,),))))</f>
        <v>7.8607849528591997E-2</v>
      </c>
      <c r="P276" s="13">
        <f>((((VLOOKUP(B276,Database!$F:$AY,MATCH($P$1,Database!$F$1:$AY$1,),))))-(((VLOOKUP(EDATE(B276,-12),Database!$F:$AY,MATCH($P$1,Database!$F$1:$AY$1,),)))))/(((VLOOKUP(EDATE(B276,-12),Database!$F:$AY,MATCH($P$1,Database!$F$1:$AY$1,),))))</f>
        <v>0.12984502524023775</v>
      </c>
      <c r="Q276" s="13">
        <f>((((VLOOKUP(B276,Database!$F:$AY,MATCH($Q$1,Database!$F$1:$AY$1,),))))-(((VLOOKUP(EDATE(B276,-12),Database!$F:$AY,MATCH($Q$1,Database!$F$1:$AY$1,),)))))/(((VLOOKUP(EDATE(B276,-12),Database!$F:$AY,MATCH($Q$1,Database!$F$1:$AY$1,),))))</f>
        <v>2.0853664476164543E-2</v>
      </c>
      <c r="R276" s="13">
        <f>((((VLOOKUP(B276,Database!$F:$AY,MATCH($R$1,Database!$F$1:$AY$1,),))))-(((VLOOKUP(EDATE(B276,-12),Database!$F:$AY,MATCH($R$1,Database!$F$1:$AY$1,),)))))/(((VLOOKUP(EDATE(B276,-12),Database!$F:$AY,MATCH($R$1,Database!$F$1:$AY$1,),))))</f>
        <v>-3.7037132851634916E-2</v>
      </c>
      <c r="S276" s="13">
        <f>((((VLOOKUP(B276,Database!$F:$AY,MATCH($S$1,Database!$F$1:$AY$1,),))))-(((VLOOKUP(EDATE(B276,-12),Database!$F:$AY,MATCH($S$1,Database!$F$1:$AY$1,),)))))/(((VLOOKUP(EDATE(B276,-12),Database!$F:$AY,MATCH($S$1,Database!$F$1:$AY$1,),))))</f>
        <v>-1.0956069345340314E-2</v>
      </c>
      <c r="T276" s="13">
        <f>((((VLOOKUP(B276,Database!$F:$AY,MATCH($T$1,Database!$F$1:$AY$1,),))))-(((VLOOKUP(EDATE(B276,-12),Database!$F:$AY,MATCH($T$1,Database!$F$1:$AY$1,),)))))/(((VLOOKUP(EDATE(B276,-12),Database!$F:$AY,MATCH($T$1,Database!$F$1:$AY$1,),))))</f>
        <v>0.24213841719514356</v>
      </c>
      <c r="U276" s="13">
        <f>((((VLOOKUP(B276,Database!$F:$AY,MATCH($U$1,Database!$F$1:$AY$1,),))))-(((VLOOKUP(EDATE(B276,-12),Database!$F:$AY,MATCH($U$1,Database!$F$1:$AY$1,),)))))/(((VLOOKUP(EDATE(B276,-12),Database!$F:$AY,MATCH($U$1,Database!$F$1:$AY$1,),))))</f>
        <v>0.12439023378772614</v>
      </c>
      <c r="V276" s="13">
        <f>((((VLOOKUP(B276,Database!$F:$AY,MATCH($V$1,Database!$F$1:$AY$1,),))))-(((VLOOKUP(EDATE(B276,-12),Database!$F:$AY,MATCH($V$1,Database!$F$1:$AY$1,),)))))/(((VLOOKUP(EDATE(B276,-12),Database!$F:$AY,MATCH($V$1,Database!$F$1:$AY$1,),))))</f>
        <v>7.9345088161209026E-2</v>
      </c>
    </row>
    <row r="277" spans="1:22" s="85" customFormat="1" x14ac:dyDescent="0.2">
      <c r="A277" s="44"/>
      <c r="B277" s="91">
        <v>40575</v>
      </c>
      <c r="C277" s="13">
        <f>((((VLOOKUP(B277,Database!$F:$AY,MATCH($C$1,Database!$F$1:$AY$1,),))))-(((VLOOKUP(EDATE(B277,-12),Database!$F:$AY,MATCH($C$1,Database!$F$1:$AY$1,),)))))/(((VLOOKUP(EDATE(B277,-12),Database!$F:$AY,MATCH($C$1,Database!$F$1:$AY$1,),))))</f>
        <v>3.8278604693852303E-2</v>
      </c>
      <c r="D277" s="13">
        <f>((((VLOOKUP(B277,Database!$F:$AY,MATCH($D$1,Database!$F$1:$AY$1,),))))-(((VLOOKUP(EDATE(B277,-12),Database!$F:$AY,MATCH($D$1,Database!$F$1:$AY$1,),)))))/(((VLOOKUP(EDATE(B277,-12),Database!$F:$AY,MATCH($D$1,Database!$F$1:$AY$1,),))))</f>
        <v>8.0993301583622362E-2</v>
      </c>
      <c r="E277" s="13">
        <f>((((VLOOKUP(B277,Database!$F:$AY,MATCH($E$1,Database!$F$1:$AY$1,),))))-(((VLOOKUP(EDATE(B277,-12),Database!$F:$AY,MATCH($E$1,Database!$F$1:$AY$1,),)))))/(((VLOOKUP(EDATE(B277,-12),Database!$F:$AY,MATCH($E$1,Database!$F$1:$AY$1,),))))</f>
        <v>3.7449523462037122E-2</v>
      </c>
      <c r="F277" s="13">
        <f>((((VLOOKUP(B277,Database!$F:$AY,MATCH($F$1,Database!$F$1:$AY$1,),))))-(((VLOOKUP(EDATE(B277,-12),Database!$F:$AY,MATCH($F$1,Database!$F$1:$AY$1,),)))))/(((VLOOKUP(EDATE(B277,-12),Database!$F:$AY,MATCH($F$1,Database!$F$1:$AY$1,),))))</f>
        <v>0.15606246186657086</v>
      </c>
      <c r="G277" s="13">
        <f>((((VLOOKUP(B277,Database!$F:$AY,MATCH($G$1,Database!$F$1:$AY$1,),))))-(((VLOOKUP(EDATE(B277,-12),Database!$F:$AY,MATCH($G$1,Database!$F$1:$AY$1,),)))))/(((VLOOKUP(EDATE(B277,-12),Database!$F:$AY,MATCH($G$1,Database!$F$1:$AY$1,),))))</f>
        <v>6.9743933409373696E-2</v>
      </c>
      <c r="H277" s="13">
        <f>((((VLOOKUP(B277,Database!$F:$AY,MATCH($H$1,Database!$F$1:$AY$1,),))))-(((VLOOKUP(EDATE(B277,-12),Database!$F:$AY,MATCH($H$1,Database!$F$1:$AY$1,),)))))/(((VLOOKUP(EDATE(B277,-12),Database!$F:$AY,MATCH($H$1,Database!$F$1:$AY$1,),))))</f>
        <v>1.6512003307967031E-2</v>
      </c>
      <c r="I277" s="13">
        <f>((((VLOOKUP(B277,Database!$F:$AY,MATCH($I$1,Database!$F$1:$AY$1,),))))-(((VLOOKUP(EDATE(B277,-12),Database!$F:$AY,MATCH($I$1,Database!$F$1:$AY$1,),)))))/(((VLOOKUP(EDATE(B277,-12),Database!$F:$AY,MATCH($I$1,Database!$F$1:$AY$1,),))))</f>
        <v>5.7306576573220483E-2</v>
      </c>
      <c r="J277" s="13">
        <f>((((VLOOKUP(B277,Database!$F:$AY,MATCH($J$1,Database!$F$1:$AY$1,),))))-(((VLOOKUP(EDATE(B277,-12),Database!$F:$AY,MATCH($J$1,Database!$F$1:$AY$1,),)))))/(((VLOOKUP(EDATE(B277,-12),Database!$F:$AY,MATCH($J$1,Database!$F$1:$AY$1,),))))</f>
        <v>2.5441115338496495E-2</v>
      </c>
      <c r="K277" s="13">
        <f>((((VLOOKUP(B277,Database!$F:$AY,MATCH($K$1,Database!$F$1:$AY$1,),))))-(((VLOOKUP(EDATE(B277,-12),Database!$F:$AY,MATCH($K$1,Database!$F$1:$AY$1,),)))))/(((VLOOKUP(EDATE(B277,-12),Database!$F:$AY,MATCH($K$1,Database!$F$1:$AY$1,),))))</f>
        <v>0.12683438155136262</v>
      </c>
      <c r="L277" s="13">
        <f>((((VLOOKUP(B277,Database!$F:$AY,MATCH($L$1,Database!$F$1:$AY$1,),))))-(((VLOOKUP(EDATE(B277,-12),Database!$F:$AY,MATCH($L$1,Database!$F$1:$AY$1,),)))))/(((VLOOKUP(EDATE(B277,-12),Database!$F:$AY,MATCH($L$1,Database!$F$1:$AY$1,),))))</f>
        <v>3.8218090421753115E-2</v>
      </c>
      <c r="M277" s="13">
        <f>((((VLOOKUP(B277,Database!$F:$AY,MATCH($M$1,Database!$F$1:$AY$1,),))))-(((VLOOKUP(EDATE(B277,-12),Database!$F:$AY,MATCH($M$1,Database!$F$1:$AY$1,),)))))/(((VLOOKUP(EDATE(B277,-12),Database!$F:$AY,MATCH($M$1,Database!$F$1:$AY$1,),))))</f>
        <v>5.3527980535279698E-2</v>
      </c>
      <c r="N277" s="13">
        <f>((((VLOOKUP(B277,Database!$F:$AY,MATCH($N$1,Database!$F$1:$AY$1,),))))-(((VLOOKUP(EDATE(B277,-12),Database!$F:$AY,MATCH($N$1,Database!$F$1:$AY$1,),)))))/(((VLOOKUP(EDATE(B277,-12),Database!$F:$AY,MATCH($N$1,Database!$F$1:$AY$1,),))))</f>
        <v>6.597390823940015E-2</v>
      </c>
      <c r="O277" s="13">
        <f>((((VLOOKUP(B277,Database!$F:$AY,MATCH($O$1,Database!$F$1:$AY$1,),))))-(((VLOOKUP(EDATE(B277,-12),Database!$F:$AY,MATCH($O$1,Database!$F$1:$AY$1,),)))))/(((VLOOKUP(EDATE(B277,-12),Database!$F:$AY,MATCH($O$1,Database!$F$1:$AY$1,),))))</f>
        <v>6.0286536039436935E-2</v>
      </c>
      <c r="P277" s="13">
        <f>((((VLOOKUP(B277,Database!$F:$AY,MATCH($P$1,Database!$F$1:$AY$1,),))))-(((VLOOKUP(EDATE(B277,-12),Database!$F:$AY,MATCH($P$1,Database!$F$1:$AY$1,),)))))/(((VLOOKUP(EDATE(B277,-12),Database!$F:$AY,MATCH($P$1,Database!$F$1:$AY$1,),))))</f>
        <v>7.2327323266547366E-2</v>
      </c>
      <c r="Q277" s="13">
        <f>((((VLOOKUP(B277,Database!$F:$AY,MATCH($Q$1,Database!$F$1:$AY$1,),))))-(((VLOOKUP(EDATE(B277,-12),Database!$F:$AY,MATCH($Q$1,Database!$F$1:$AY$1,),)))))/(((VLOOKUP(EDATE(B277,-12),Database!$F:$AY,MATCH($Q$1,Database!$F$1:$AY$1,),))))</f>
        <v>3.5820280445792406E-2</v>
      </c>
      <c r="R277" s="13">
        <f>((((VLOOKUP(B277,Database!$F:$AY,MATCH($R$1,Database!$F$1:$AY$1,),))))-(((VLOOKUP(EDATE(B277,-12),Database!$F:$AY,MATCH($R$1,Database!$F$1:$AY$1,),)))))/(((VLOOKUP(EDATE(B277,-12),Database!$F:$AY,MATCH($R$1,Database!$F$1:$AY$1,),))))</f>
        <v>-4.2241474546195229E-2</v>
      </c>
      <c r="S277" s="13">
        <f>((((VLOOKUP(B277,Database!$F:$AY,MATCH($S$1,Database!$F$1:$AY$1,),))))-(((VLOOKUP(EDATE(B277,-12),Database!$F:$AY,MATCH($S$1,Database!$F$1:$AY$1,),)))))/(((VLOOKUP(EDATE(B277,-12),Database!$F:$AY,MATCH($S$1,Database!$F$1:$AY$1,),))))</f>
        <v>-8.9197215622536033E-3</v>
      </c>
      <c r="T277" s="13">
        <f>((((VLOOKUP(B277,Database!$F:$AY,MATCH($T$1,Database!$F$1:$AY$1,),))))-(((VLOOKUP(EDATE(B277,-12),Database!$F:$AY,MATCH($T$1,Database!$F$1:$AY$1,),)))))/(((VLOOKUP(EDATE(B277,-12),Database!$F:$AY,MATCH($T$1,Database!$F$1:$AY$1,),))))</f>
        <v>0.19508462841063387</v>
      </c>
      <c r="U277" s="13">
        <f>((((VLOOKUP(B277,Database!$F:$AY,MATCH($U$1,Database!$F$1:$AY$1,),))))-(((VLOOKUP(EDATE(B277,-12),Database!$F:$AY,MATCH($U$1,Database!$F$1:$AY$1,),)))))/(((VLOOKUP(EDATE(B277,-12),Database!$F:$AY,MATCH($U$1,Database!$F$1:$AY$1,),))))</f>
        <v>0.11111107040428607</v>
      </c>
      <c r="V277" s="13">
        <f>((((VLOOKUP(B277,Database!$F:$AY,MATCH($V$1,Database!$F$1:$AY$1,),))))-(((VLOOKUP(EDATE(B277,-12),Database!$F:$AY,MATCH($V$1,Database!$F$1:$AY$1,),)))))/(((VLOOKUP(EDATE(B277,-12),Database!$F:$AY,MATCH($V$1,Database!$F$1:$AY$1,),))))</f>
        <v>0.10579345088161198</v>
      </c>
    </row>
    <row r="278" spans="1:22" s="85" customFormat="1" x14ac:dyDescent="0.2">
      <c r="A278" s="44"/>
      <c r="B278" s="91">
        <v>40603</v>
      </c>
      <c r="C278" s="13">
        <f>((((VLOOKUP(B278,Database!$F:$AY,MATCH($C$1,Database!$F$1:$AY$1,),))))-(((VLOOKUP(EDATE(B278,-12),Database!$F:$AY,MATCH($C$1,Database!$F$1:$AY$1,),)))))/(((VLOOKUP(EDATE(B278,-12),Database!$F:$AY,MATCH($C$1,Database!$F$1:$AY$1,),))))</f>
        <v>4.1738983979651652E-2</v>
      </c>
      <c r="D278" s="13">
        <f>((((VLOOKUP(B278,Database!$F:$AY,MATCH($D$1,Database!$F$1:$AY$1,),))))-(((VLOOKUP(EDATE(B278,-12),Database!$F:$AY,MATCH($D$1,Database!$F$1:$AY$1,),)))))/(((VLOOKUP(EDATE(B278,-12),Database!$F:$AY,MATCH($D$1,Database!$F$1:$AY$1,),))))</f>
        <v>6.2566202704607568E-2</v>
      </c>
      <c r="E278" s="13">
        <f>((((VLOOKUP(B278,Database!$F:$AY,MATCH($E$1,Database!$F$1:$AY$1,),))))-(((VLOOKUP(EDATE(B278,-12),Database!$F:$AY,MATCH($E$1,Database!$F$1:$AY$1,),)))))/(((VLOOKUP(EDATE(B278,-12),Database!$F:$AY,MATCH($E$1,Database!$F$1:$AY$1,),))))</f>
        <v>-0.1291628201914144</v>
      </c>
      <c r="F278" s="13">
        <f>((((VLOOKUP(B278,Database!$F:$AY,MATCH($F$1,Database!$F$1:$AY$1,),))))-(((VLOOKUP(EDATE(B278,-12),Database!$F:$AY,MATCH($F$1,Database!$F$1:$AY$1,),)))))/(((VLOOKUP(EDATE(B278,-12),Database!$F:$AY,MATCH($F$1,Database!$F$1:$AY$1,),))))</f>
        <v>0.1254354166310945</v>
      </c>
      <c r="G278" s="13">
        <f>((((VLOOKUP(B278,Database!$F:$AY,MATCH($G$1,Database!$F$1:$AY$1,),))))-(((VLOOKUP(EDATE(B278,-12),Database!$F:$AY,MATCH($G$1,Database!$F$1:$AY$1,),)))))/(((VLOOKUP(EDATE(B278,-12),Database!$F:$AY,MATCH($G$1,Database!$F$1:$AY$1,),))))</f>
        <v>3.5908672257111529E-2</v>
      </c>
      <c r="H278" s="13">
        <f>((((VLOOKUP(B278,Database!$F:$AY,MATCH($H$1,Database!$F$1:$AY$1,),))))-(((VLOOKUP(EDATE(B278,-12),Database!$F:$AY,MATCH($H$1,Database!$F$1:$AY$1,),)))))/(((VLOOKUP(EDATE(B278,-12),Database!$F:$AY,MATCH($H$1,Database!$F$1:$AY$1,),))))</f>
        <v>1.0160234135646641E-3</v>
      </c>
      <c r="I278" s="13">
        <f>((((VLOOKUP(B278,Database!$F:$AY,MATCH($I$1,Database!$F$1:$AY$1,),))))-(((VLOOKUP(EDATE(B278,-12),Database!$F:$AY,MATCH($I$1,Database!$F$1:$AY$1,),)))))/(((VLOOKUP(EDATE(B278,-12),Database!$F:$AY,MATCH($I$1,Database!$F$1:$AY$1,),))))</f>
        <v>5.3182032306593477E-2</v>
      </c>
      <c r="J278" s="13">
        <f>((((VLOOKUP(B278,Database!$F:$AY,MATCH($J$1,Database!$F$1:$AY$1,),))))-(((VLOOKUP(EDATE(B278,-12),Database!$F:$AY,MATCH($J$1,Database!$F$1:$AY$1,),)))))/(((VLOOKUP(EDATE(B278,-12),Database!$F:$AY,MATCH($J$1,Database!$F$1:$AY$1,),))))</f>
        <v>-1.2975823057298507E-2</v>
      </c>
      <c r="K278" s="13">
        <f>((((VLOOKUP(B278,Database!$F:$AY,MATCH($K$1,Database!$F$1:$AY$1,),))))-(((VLOOKUP(EDATE(B278,-12),Database!$F:$AY,MATCH($K$1,Database!$F$1:$AY$1,),)))))/(((VLOOKUP(EDATE(B278,-12),Database!$F:$AY,MATCH($K$1,Database!$F$1:$AY$1,),))))</f>
        <v>7.9268292682926803E-2</v>
      </c>
      <c r="L278" s="13">
        <f>((((VLOOKUP(B278,Database!$F:$AY,MATCH($L$1,Database!$F$1:$AY$1,),))))-(((VLOOKUP(EDATE(B278,-12),Database!$F:$AY,MATCH($L$1,Database!$F$1:$AY$1,),)))))/(((VLOOKUP(EDATE(B278,-12),Database!$F:$AY,MATCH($L$1,Database!$F$1:$AY$1,),))))</f>
        <v>3.6202019761177553E-2</v>
      </c>
      <c r="M278" s="13">
        <f>((((VLOOKUP(B278,Database!$F:$AY,MATCH($M$1,Database!$F$1:$AY$1,),))))-(((VLOOKUP(EDATE(B278,-12),Database!$F:$AY,MATCH($M$1,Database!$F$1:$AY$1,),)))))/(((VLOOKUP(EDATE(B278,-12),Database!$F:$AY,MATCH($M$1,Database!$F$1:$AY$1,),))))</f>
        <v>3.8415366146458615E-2</v>
      </c>
      <c r="N278" s="13">
        <f>((((VLOOKUP(B278,Database!$F:$AY,MATCH($N$1,Database!$F$1:$AY$1,),))))-(((VLOOKUP(EDATE(B278,-12),Database!$F:$AY,MATCH($N$1,Database!$F$1:$AY$1,),)))))/(((VLOOKUP(EDATE(B278,-12),Database!$F:$AY,MATCH($N$1,Database!$F$1:$AY$1,),))))</f>
        <v>9.2943239934738339E-2</v>
      </c>
      <c r="O278" s="13">
        <f>((((VLOOKUP(B278,Database!$F:$AY,MATCH($O$1,Database!$F$1:$AY$1,),))))-(((VLOOKUP(EDATE(B278,-12),Database!$F:$AY,MATCH($O$1,Database!$F$1:$AY$1,),)))))/(((VLOOKUP(EDATE(B278,-12),Database!$F:$AY,MATCH($O$1,Database!$F$1:$AY$1,),))))</f>
        <v>5.8784700131544042E-2</v>
      </c>
      <c r="P278" s="13">
        <f>((((VLOOKUP(B278,Database!$F:$AY,MATCH($P$1,Database!$F$1:$AY$1,),))))-(((VLOOKUP(EDATE(B278,-12),Database!$F:$AY,MATCH($P$1,Database!$F$1:$AY$1,),)))))/(((VLOOKUP(EDATE(B278,-12),Database!$F:$AY,MATCH($P$1,Database!$F$1:$AY$1,),))))</f>
        <v>8.6544745269856907E-2</v>
      </c>
      <c r="Q278" s="13">
        <f>((((VLOOKUP(B278,Database!$F:$AY,MATCH($Q$1,Database!$F$1:$AY$1,),))))-(((VLOOKUP(EDATE(B278,-12),Database!$F:$AY,MATCH($Q$1,Database!$F$1:$AY$1,),)))))/(((VLOOKUP(EDATE(B278,-12),Database!$F:$AY,MATCH($Q$1,Database!$F$1:$AY$1,),))))</f>
        <v>1.8446292885051663E-2</v>
      </c>
      <c r="R278" s="13">
        <f>((((VLOOKUP(B278,Database!$F:$AY,MATCH($R$1,Database!$F$1:$AY$1,),))))-(((VLOOKUP(EDATE(B278,-12),Database!$F:$AY,MATCH($R$1,Database!$F$1:$AY$1,),)))))/(((VLOOKUP(EDATE(B278,-12),Database!$F:$AY,MATCH($R$1,Database!$F$1:$AY$1,),))))</f>
        <v>-5.8474917806766329E-2</v>
      </c>
      <c r="S278" s="13">
        <f>((((VLOOKUP(B278,Database!$F:$AY,MATCH($S$1,Database!$F$1:$AY$1,),))))-(((VLOOKUP(EDATE(B278,-12),Database!$F:$AY,MATCH($S$1,Database!$F$1:$AY$1,),)))))/(((VLOOKUP(EDATE(B278,-12),Database!$F:$AY,MATCH($S$1,Database!$F$1:$AY$1,),))))</f>
        <v>-4.7115331354610934E-2</v>
      </c>
      <c r="T278" s="13">
        <f>((((VLOOKUP(B278,Database!$F:$AY,MATCH($T$1,Database!$F$1:$AY$1,),))))-(((VLOOKUP(EDATE(B278,-12),Database!$F:$AY,MATCH($T$1,Database!$F$1:$AY$1,),)))))/(((VLOOKUP(EDATE(B278,-12),Database!$F:$AY,MATCH($T$1,Database!$F$1:$AY$1,),))))</f>
        <v>0.16892932396925406</v>
      </c>
      <c r="U278" s="13">
        <f>((((VLOOKUP(B278,Database!$F:$AY,MATCH($U$1,Database!$F$1:$AY$1,),))))-(((VLOOKUP(EDATE(B278,-12),Database!$F:$AY,MATCH($U$1,Database!$F$1:$AY$1,),)))))/(((VLOOKUP(EDATE(B278,-12),Database!$F:$AY,MATCH($U$1,Database!$F$1:$AY$1,),))))</f>
        <v>6.839618441138838E-2</v>
      </c>
      <c r="V278" s="13">
        <f>((((VLOOKUP(B278,Database!$F:$AY,MATCH($V$1,Database!$F$1:$AY$1,),))))-(((VLOOKUP(EDATE(B278,-12),Database!$F:$AY,MATCH($V$1,Database!$F$1:$AY$1,),)))))/(((VLOOKUP(EDATE(B278,-12),Database!$F:$AY,MATCH($V$1,Database!$F$1:$AY$1,),))))</f>
        <v>6.3569682151589285E-2</v>
      </c>
    </row>
    <row r="279" spans="1:22" s="85" customFormat="1" x14ac:dyDescent="0.2">
      <c r="A279" s="44"/>
      <c r="B279" s="91">
        <v>40634</v>
      </c>
      <c r="C279" s="13">
        <f>((((VLOOKUP(B279,Database!$F:$AY,MATCH($C$1,Database!$F$1:$AY$1,),))))-(((VLOOKUP(EDATE(B279,-12),Database!$F:$AY,MATCH($C$1,Database!$F$1:$AY$1,),)))))/(((VLOOKUP(EDATE(B279,-12),Database!$F:$AY,MATCH($C$1,Database!$F$1:$AY$1,),))))</f>
        <v>3.4161532428201927E-2</v>
      </c>
      <c r="D279" s="13">
        <f>((((VLOOKUP(B279,Database!$F:$AY,MATCH($D$1,Database!$F$1:$AY$1,),))))-(((VLOOKUP(EDATE(B279,-12),Database!$F:$AY,MATCH($D$1,Database!$F$1:$AY$1,),)))))/(((VLOOKUP(EDATE(B279,-12),Database!$F:$AY,MATCH($D$1,Database!$F$1:$AY$1,),))))</f>
        <v>5.2742651201360631E-2</v>
      </c>
      <c r="E279" s="13">
        <f>((((VLOOKUP(B279,Database!$F:$AY,MATCH($E$1,Database!$F$1:$AY$1,),))))-(((VLOOKUP(EDATE(B279,-12),Database!$F:$AY,MATCH($E$1,Database!$F$1:$AY$1,),)))))/(((VLOOKUP(EDATE(B279,-12),Database!$F:$AY,MATCH($E$1,Database!$F$1:$AY$1,),))))</f>
        <v>-0.12362870222957004</v>
      </c>
      <c r="F279" s="13">
        <f>((((VLOOKUP(B279,Database!$F:$AY,MATCH($F$1,Database!$F$1:$AY$1,),))))-(((VLOOKUP(EDATE(B279,-12),Database!$F:$AY,MATCH($F$1,Database!$F$1:$AY$1,),)))))/(((VLOOKUP(EDATE(B279,-12),Database!$F:$AY,MATCH($F$1,Database!$F$1:$AY$1,),))))</f>
        <v>0.11174442114337914</v>
      </c>
      <c r="G279" s="13">
        <f>((((VLOOKUP(B279,Database!$F:$AY,MATCH($G$1,Database!$F$1:$AY$1,),))))-(((VLOOKUP(EDATE(B279,-12),Database!$F:$AY,MATCH($G$1,Database!$F$1:$AY$1,),)))))/(((VLOOKUP(EDATE(B279,-12),Database!$F:$AY,MATCH($G$1,Database!$F$1:$AY$1,),))))</f>
        <v>2.2313829792604722E-2</v>
      </c>
      <c r="H279" s="13">
        <f>((((VLOOKUP(B279,Database!$F:$AY,MATCH($H$1,Database!$F$1:$AY$1,),))))-(((VLOOKUP(EDATE(B279,-12),Database!$F:$AY,MATCH($H$1,Database!$F$1:$AY$1,),)))))/(((VLOOKUP(EDATE(B279,-12),Database!$F:$AY,MATCH($H$1,Database!$F$1:$AY$1,),))))</f>
        <v>-1.0162191791548833E-2</v>
      </c>
      <c r="I279" s="13">
        <f>((((VLOOKUP(B279,Database!$F:$AY,MATCH($I$1,Database!$F$1:$AY$1,),))))-(((VLOOKUP(EDATE(B279,-12),Database!$F:$AY,MATCH($I$1,Database!$F$1:$AY$1,),)))))/(((VLOOKUP(EDATE(B279,-12),Database!$F:$AY,MATCH($I$1,Database!$F$1:$AY$1,),))))</f>
        <v>5.4665231423529893E-2</v>
      </c>
      <c r="J279" s="13">
        <f>((((VLOOKUP(B279,Database!$F:$AY,MATCH($J$1,Database!$F$1:$AY$1,),))))-(((VLOOKUP(EDATE(B279,-12),Database!$F:$AY,MATCH($J$1,Database!$F$1:$AY$1,),)))))/(((VLOOKUP(EDATE(B279,-12),Database!$F:$AY,MATCH($J$1,Database!$F$1:$AY$1,),))))</f>
        <v>-1.7651226367151083E-2</v>
      </c>
      <c r="K279" s="13">
        <f>((((VLOOKUP(B279,Database!$F:$AY,MATCH($K$1,Database!$F$1:$AY$1,),))))-(((VLOOKUP(EDATE(B279,-12),Database!$F:$AY,MATCH($K$1,Database!$F$1:$AY$1,),)))))/(((VLOOKUP(EDATE(B279,-12),Database!$F:$AY,MATCH($K$1,Database!$F$1:$AY$1,),))))</f>
        <v>5.5055055055055049E-2</v>
      </c>
      <c r="L279" s="13">
        <f>((((VLOOKUP(B279,Database!$F:$AY,MATCH($L$1,Database!$F$1:$AY$1,),))))-(((VLOOKUP(EDATE(B279,-12),Database!$F:$AY,MATCH($L$1,Database!$F$1:$AY$1,),)))))/(((VLOOKUP(EDATE(B279,-12),Database!$F:$AY,MATCH($L$1,Database!$F$1:$AY$1,),))))</f>
        <v>2.7916043730822779E-2</v>
      </c>
      <c r="M279" s="13">
        <f>((((VLOOKUP(B279,Database!$F:$AY,MATCH($M$1,Database!$F$1:$AY$1,),))))-(((VLOOKUP(EDATE(B279,-12),Database!$F:$AY,MATCH($M$1,Database!$F$1:$AY$1,),)))))/(((VLOOKUP(EDATE(B279,-12),Database!$F:$AY,MATCH($M$1,Database!$F$1:$AY$1,),))))</f>
        <v>5.9322033898305156E-2</v>
      </c>
      <c r="N279" s="13">
        <f>((((VLOOKUP(B279,Database!$F:$AY,MATCH($N$1,Database!$F$1:$AY$1,),))))-(((VLOOKUP(EDATE(B279,-12),Database!$F:$AY,MATCH($N$1,Database!$F$1:$AY$1,),)))))/(((VLOOKUP(EDATE(B279,-12),Database!$F:$AY,MATCH($N$1,Database!$F$1:$AY$1,),))))</f>
        <v>5.5091935788453894E-2</v>
      </c>
      <c r="O279" s="13">
        <f>((((VLOOKUP(B279,Database!$F:$AY,MATCH($O$1,Database!$F$1:$AY$1,),))))-(((VLOOKUP(EDATE(B279,-12),Database!$F:$AY,MATCH($O$1,Database!$F$1:$AY$1,),)))))/(((VLOOKUP(EDATE(B279,-12),Database!$F:$AY,MATCH($O$1,Database!$F$1:$AY$1,),))))</f>
        <v>6.4987493483589912E-2</v>
      </c>
      <c r="P279" s="13">
        <f>((((VLOOKUP(B279,Database!$F:$AY,MATCH($P$1,Database!$F$1:$AY$1,),))))-(((VLOOKUP(EDATE(B279,-12),Database!$F:$AY,MATCH($P$1,Database!$F$1:$AY$1,),)))))/(((VLOOKUP(EDATE(B279,-12),Database!$F:$AY,MATCH($P$1,Database!$F$1:$AY$1,),))))</f>
        <v>5.6010830303216415E-2</v>
      </c>
      <c r="Q279" s="13">
        <f>((((VLOOKUP(B279,Database!$F:$AY,MATCH($Q$1,Database!$F$1:$AY$1,),))))-(((VLOOKUP(EDATE(B279,-12),Database!$F:$AY,MATCH($Q$1,Database!$F$1:$AY$1,),)))))/(((VLOOKUP(EDATE(B279,-12),Database!$F:$AY,MATCH($Q$1,Database!$F$1:$AY$1,),))))</f>
        <v>-9.6991587014931858E-3</v>
      </c>
      <c r="R279" s="13">
        <f>((((VLOOKUP(B279,Database!$F:$AY,MATCH($R$1,Database!$F$1:$AY$1,),))))-(((VLOOKUP(EDATE(B279,-12),Database!$F:$AY,MATCH($R$1,Database!$F$1:$AY$1,),)))))/(((VLOOKUP(EDATE(B279,-12),Database!$F:$AY,MATCH($R$1,Database!$F$1:$AY$1,),))))</f>
        <v>-6.1135856097846754E-2</v>
      </c>
      <c r="S279" s="13">
        <f>((((VLOOKUP(B279,Database!$F:$AY,MATCH($S$1,Database!$F$1:$AY$1,),))))-(((VLOOKUP(EDATE(B279,-12),Database!$F:$AY,MATCH($S$1,Database!$F$1:$AY$1,),)))))/(((VLOOKUP(EDATE(B279,-12),Database!$F:$AY,MATCH($S$1,Database!$F$1:$AY$1,),))))</f>
        <v>3.8183633685790259E-2</v>
      </c>
      <c r="T279" s="13">
        <f>((((VLOOKUP(B279,Database!$F:$AY,MATCH($T$1,Database!$F$1:$AY$1,),))))-(((VLOOKUP(EDATE(B279,-12),Database!$F:$AY,MATCH($T$1,Database!$F$1:$AY$1,),)))))/(((VLOOKUP(EDATE(B279,-12),Database!$F:$AY,MATCH($T$1,Database!$F$1:$AY$1,),))))</f>
        <v>0.15522382311840296</v>
      </c>
      <c r="U279" s="13">
        <f>((((VLOOKUP(B279,Database!$F:$AY,MATCH($U$1,Database!$F$1:$AY$1,),))))-(((VLOOKUP(EDATE(B279,-12),Database!$F:$AY,MATCH($U$1,Database!$F$1:$AY$1,),)))))/(((VLOOKUP(EDATE(B279,-12),Database!$F:$AY,MATCH($U$1,Database!$F$1:$AY$1,),))))</f>
        <v>6.0605898115199001E-2</v>
      </c>
      <c r="V279" s="13">
        <f>((((VLOOKUP(B279,Database!$F:$AY,MATCH($V$1,Database!$F$1:$AY$1,),))))-(((VLOOKUP(EDATE(B279,-12),Database!$F:$AY,MATCH($V$1,Database!$F$1:$AY$1,),)))))/(((VLOOKUP(EDATE(B279,-12),Database!$F:$AY,MATCH($V$1,Database!$F$1:$AY$1,),))))</f>
        <v>9.3399750933997508E-2</v>
      </c>
    </row>
    <row r="280" spans="1:22" s="85" customFormat="1" x14ac:dyDescent="0.2">
      <c r="A280" s="44"/>
      <c r="B280" s="91">
        <v>40664</v>
      </c>
      <c r="C280" s="13">
        <f>((((VLOOKUP(B280,Database!$F:$AY,MATCH($C$1,Database!$F$1:$AY$1,),))))-(((VLOOKUP(EDATE(B280,-12),Database!$F:$AY,MATCH($C$1,Database!$F$1:$AY$1,),)))))/(((VLOOKUP(EDATE(B280,-12),Database!$F:$AY,MATCH($C$1,Database!$F$1:$AY$1,),))))</f>
        <v>2.1611963289074276E-2</v>
      </c>
      <c r="D280" s="13">
        <f>((((VLOOKUP(B280,Database!$F:$AY,MATCH($D$1,Database!$F$1:$AY$1,),))))-(((VLOOKUP(EDATE(B280,-12),Database!$F:$AY,MATCH($D$1,Database!$F$1:$AY$1,),)))))/(((VLOOKUP(EDATE(B280,-12),Database!$F:$AY,MATCH($D$1,Database!$F$1:$AY$1,),))))</f>
        <v>4.0414817308417901E-2</v>
      </c>
      <c r="E280" s="13">
        <f>((((VLOOKUP(B280,Database!$F:$AY,MATCH($E$1,Database!$F$1:$AY$1,),))))-(((VLOOKUP(EDATE(B280,-12),Database!$F:$AY,MATCH($E$1,Database!$F$1:$AY$1,),)))))/(((VLOOKUP(EDATE(B280,-12),Database!$F:$AY,MATCH($E$1,Database!$F$1:$AY$1,),))))</f>
        <v>-6.2062209374902449E-2</v>
      </c>
      <c r="F280" s="13">
        <f>((((VLOOKUP(B280,Database!$F:$AY,MATCH($F$1,Database!$F$1:$AY$1,),))))-(((VLOOKUP(EDATE(B280,-12),Database!$F:$AY,MATCH($F$1,Database!$F$1:$AY$1,),)))))/(((VLOOKUP(EDATE(B280,-12),Database!$F:$AY,MATCH($F$1,Database!$F$1:$AY$1,),))))</f>
        <v>9.1814184501671989E-2</v>
      </c>
      <c r="G280" s="13">
        <f>((((VLOOKUP(B280,Database!$F:$AY,MATCH($G$1,Database!$F$1:$AY$1,),))))-(((VLOOKUP(EDATE(B280,-12),Database!$F:$AY,MATCH($G$1,Database!$F$1:$AY$1,),)))))/(((VLOOKUP(EDATE(B280,-12),Database!$F:$AY,MATCH($G$1,Database!$F$1:$AY$1,),))))</f>
        <v>4.7275844233682363E-2</v>
      </c>
      <c r="H280" s="13">
        <f>((((VLOOKUP(B280,Database!$F:$AY,MATCH($H$1,Database!$F$1:$AY$1,),))))-(((VLOOKUP(EDATE(B280,-12),Database!$F:$AY,MATCH($H$1,Database!$F$1:$AY$1,),)))))/(((VLOOKUP(EDATE(B280,-12),Database!$F:$AY,MATCH($H$1,Database!$F$1:$AY$1,),))))</f>
        <v>0</v>
      </c>
      <c r="I280" s="13">
        <f>((((VLOOKUP(B280,Database!$F:$AY,MATCH($I$1,Database!$F$1:$AY$1,),))))-(((VLOOKUP(EDATE(B280,-12),Database!$F:$AY,MATCH($I$1,Database!$F$1:$AY$1,),)))))/(((VLOOKUP(EDATE(B280,-12),Database!$F:$AY,MATCH($I$1,Database!$F$1:$AY$1,),))))</f>
        <v>3.0018453698291953E-2</v>
      </c>
      <c r="J280" s="13">
        <f>((((VLOOKUP(B280,Database!$F:$AY,MATCH($J$1,Database!$F$1:$AY$1,),))))-(((VLOOKUP(EDATE(B280,-12),Database!$F:$AY,MATCH($J$1,Database!$F$1:$AY$1,),)))))/(((VLOOKUP(EDATE(B280,-12),Database!$F:$AY,MATCH($J$1,Database!$F$1:$AY$1,),))))</f>
        <v>-1.7721717167430057E-2</v>
      </c>
      <c r="K280" s="13">
        <f>((((VLOOKUP(B280,Database!$F:$AY,MATCH($K$1,Database!$F$1:$AY$1,),))))-(((VLOOKUP(EDATE(B280,-12),Database!$F:$AY,MATCH($K$1,Database!$F$1:$AY$1,),)))))/(((VLOOKUP(EDATE(B280,-12),Database!$F:$AY,MATCH($K$1,Database!$F$1:$AY$1,),))))</f>
        <v>3.6132812499999889E-2</v>
      </c>
      <c r="L280" s="13">
        <f>((((VLOOKUP(B280,Database!$F:$AY,MATCH($L$1,Database!$F$1:$AY$1,),))))-(((VLOOKUP(EDATE(B280,-12),Database!$F:$AY,MATCH($L$1,Database!$F$1:$AY$1,),)))))/(((VLOOKUP(EDATE(B280,-12),Database!$F:$AY,MATCH($L$1,Database!$F$1:$AY$1,),))))</f>
        <v>3.7191531144892195E-2</v>
      </c>
      <c r="M280" s="13">
        <f>((((VLOOKUP(B280,Database!$F:$AY,MATCH($M$1,Database!$F$1:$AY$1,),))))-(((VLOOKUP(EDATE(B280,-12),Database!$F:$AY,MATCH($M$1,Database!$F$1:$AY$1,),)))))/(((VLOOKUP(EDATE(B280,-12),Database!$F:$AY,MATCH($M$1,Database!$F$1:$AY$1,),))))</f>
        <v>5.9250302297460596E-2</v>
      </c>
      <c r="N280" s="13">
        <f>((((VLOOKUP(B280,Database!$F:$AY,MATCH($N$1,Database!$F$1:$AY$1,),))))-(((VLOOKUP(EDATE(B280,-12),Database!$F:$AY,MATCH($N$1,Database!$F$1:$AY$1,),)))))/(((VLOOKUP(EDATE(B280,-12),Database!$F:$AY,MATCH($N$1,Database!$F$1:$AY$1,),))))</f>
        <v>5.7125862593109054E-2</v>
      </c>
      <c r="O280" s="13">
        <f>((((VLOOKUP(B280,Database!$F:$AY,MATCH($O$1,Database!$F$1:$AY$1,),))))-(((VLOOKUP(EDATE(B280,-12),Database!$F:$AY,MATCH($O$1,Database!$F$1:$AY$1,),)))))/(((VLOOKUP(EDATE(B280,-12),Database!$F:$AY,MATCH($O$1,Database!$F$1:$AY$1,),))))</f>
        <v>2.1029975130394212E-2</v>
      </c>
      <c r="P280" s="13">
        <f>((((VLOOKUP(B280,Database!$F:$AY,MATCH($P$1,Database!$F$1:$AY$1,),))))-(((VLOOKUP(EDATE(B280,-12),Database!$F:$AY,MATCH($P$1,Database!$F$1:$AY$1,),)))))/(((VLOOKUP(EDATE(B280,-12),Database!$F:$AY,MATCH($P$1,Database!$F$1:$AY$1,),))))</f>
        <v>5.6332652117461711E-2</v>
      </c>
      <c r="Q280" s="13">
        <f>((((VLOOKUP(B280,Database!$F:$AY,MATCH($Q$1,Database!$F$1:$AY$1,),))))-(((VLOOKUP(EDATE(B280,-12),Database!$F:$AY,MATCH($Q$1,Database!$F$1:$AY$1,),)))))/(((VLOOKUP(EDATE(B280,-12),Database!$F:$AY,MATCH($Q$1,Database!$F$1:$AY$1,),))))</f>
        <v>2.0388007925583471E-2</v>
      </c>
      <c r="R280" s="13">
        <f>((((VLOOKUP(B280,Database!$F:$AY,MATCH($R$1,Database!$F$1:$AY$1,),))))-(((VLOOKUP(EDATE(B280,-12),Database!$F:$AY,MATCH($R$1,Database!$F$1:$AY$1,),)))))/(((VLOOKUP(EDATE(B280,-12),Database!$F:$AY,MATCH($R$1,Database!$F$1:$AY$1,),))))</f>
        <v>-6.6208695427604866E-2</v>
      </c>
      <c r="S280" s="13">
        <f>((((VLOOKUP(B280,Database!$F:$AY,MATCH($S$1,Database!$F$1:$AY$1,),))))-(((VLOOKUP(EDATE(B280,-12),Database!$F:$AY,MATCH($S$1,Database!$F$1:$AY$1,),)))))/(((VLOOKUP(EDATE(B280,-12),Database!$F:$AY,MATCH($S$1,Database!$F$1:$AY$1,),))))</f>
        <v>2.1319794664380099E-2</v>
      </c>
      <c r="T280" s="13">
        <f>((((VLOOKUP(B280,Database!$F:$AY,MATCH($T$1,Database!$F$1:$AY$1,),))))-(((VLOOKUP(EDATE(B280,-12),Database!$F:$AY,MATCH($T$1,Database!$F$1:$AY$1,),)))))/(((VLOOKUP(EDATE(B280,-12),Database!$F:$AY,MATCH($T$1,Database!$F$1:$AY$1,),))))</f>
        <v>0.13497815347751743</v>
      </c>
      <c r="U280" s="13">
        <f>((((VLOOKUP(B280,Database!$F:$AY,MATCH($U$1,Database!$F$1:$AY$1,),))))-(((VLOOKUP(EDATE(B280,-12),Database!$F:$AY,MATCH($U$1,Database!$F$1:$AY$1,),)))))/(((VLOOKUP(EDATE(B280,-12),Database!$F:$AY,MATCH($U$1,Database!$F$1:$AY$1,),))))</f>
        <v>9.5518864169229986E-2</v>
      </c>
      <c r="V280" s="13">
        <f>((((VLOOKUP(B280,Database!$F:$AY,MATCH($V$1,Database!$F$1:$AY$1,),))))-(((VLOOKUP(EDATE(B280,-12),Database!$F:$AY,MATCH($V$1,Database!$F$1:$AY$1,),)))))/(((VLOOKUP(EDATE(B280,-12),Database!$F:$AY,MATCH($V$1,Database!$F$1:$AY$1,),))))</f>
        <v>5.2694610778443181E-2</v>
      </c>
    </row>
    <row r="281" spans="1:22" s="85" customFormat="1" x14ac:dyDescent="0.2">
      <c r="A281" s="44"/>
      <c r="B281" s="91">
        <v>40695</v>
      </c>
      <c r="C281" s="13">
        <f>((((VLOOKUP(B281,Database!$F:$AY,MATCH($C$1,Database!$F$1:$AY$1,),))))-(((VLOOKUP(EDATE(B281,-12),Database!$F:$AY,MATCH($C$1,Database!$F$1:$AY$1,),)))))/(((VLOOKUP(EDATE(B281,-12),Database!$F:$AY,MATCH($C$1,Database!$F$1:$AY$1,),))))</f>
        <v>2.3037862098038781E-2</v>
      </c>
      <c r="D281" s="13">
        <f>((((VLOOKUP(B281,Database!$F:$AY,MATCH($D$1,Database!$F$1:$AY$1,),))))-(((VLOOKUP(EDATE(B281,-12),Database!$F:$AY,MATCH($D$1,Database!$F$1:$AY$1,),)))))/(((VLOOKUP(EDATE(B281,-12),Database!$F:$AY,MATCH($D$1,Database!$F$1:$AY$1,),))))</f>
        <v>2.4844824033819254E-2</v>
      </c>
      <c r="E281" s="13">
        <f>((((VLOOKUP(B281,Database!$F:$AY,MATCH($E$1,Database!$F$1:$AY$1,),))))-(((VLOOKUP(EDATE(B281,-12),Database!$F:$AY,MATCH($E$1,Database!$F$1:$AY$1,),)))))/(((VLOOKUP(EDATE(B281,-12),Database!$F:$AY,MATCH($E$1,Database!$F$1:$AY$1,),))))</f>
        <v>-1.812665997525548E-2</v>
      </c>
      <c r="F281" s="13">
        <f>((((VLOOKUP(B281,Database!$F:$AY,MATCH($F$1,Database!$F$1:$AY$1,),))))-(((VLOOKUP(EDATE(B281,-12),Database!$F:$AY,MATCH($F$1,Database!$F$1:$AY$1,),)))))/(((VLOOKUP(EDATE(B281,-12),Database!$F:$AY,MATCH($F$1,Database!$F$1:$AY$1,),))))</f>
        <v>7.7691492376334589E-2</v>
      </c>
      <c r="G281" s="13">
        <f>((((VLOOKUP(B281,Database!$F:$AY,MATCH($G$1,Database!$F$1:$AY$1,),))))-(((VLOOKUP(EDATE(B281,-12),Database!$F:$AY,MATCH($G$1,Database!$F$1:$AY$1,),)))))/(((VLOOKUP(EDATE(B281,-12),Database!$F:$AY,MATCH($G$1,Database!$F$1:$AY$1,),))))</f>
        <v>2.2831935722121822E-2</v>
      </c>
      <c r="H281" s="13">
        <f>((((VLOOKUP(B281,Database!$F:$AY,MATCH($H$1,Database!$F$1:$AY$1,),))))-(((VLOOKUP(EDATE(B281,-12),Database!$F:$AY,MATCH($H$1,Database!$F$1:$AY$1,),)))))/(((VLOOKUP(EDATE(B281,-12),Database!$F:$AY,MATCH($H$1,Database!$F$1:$AY$1,),))))</f>
        <v>1.027807117141113E-2</v>
      </c>
      <c r="I281" s="13">
        <f>((((VLOOKUP(B281,Database!$F:$AY,MATCH($I$1,Database!$F$1:$AY$1,),))))-(((VLOOKUP(EDATE(B281,-12),Database!$F:$AY,MATCH($I$1,Database!$F$1:$AY$1,),)))))/(((VLOOKUP(EDATE(B281,-12),Database!$F:$AY,MATCH($I$1,Database!$F$1:$AY$1,),))))</f>
        <v>-1.8333334861111497E-3</v>
      </c>
      <c r="J281" s="13">
        <f>((((VLOOKUP(B281,Database!$F:$AY,MATCH($J$1,Database!$F$1:$AY$1,),))))-(((VLOOKUP(EDATE(B281,-12),Database!$F:$AY,MATCH($J$1,Database!$F$1:$AY$1,),)))))/(((VLOOKUP(EDATE(B281,-12),Database!$F:$AY,MATCH($J$1,Database!$F$1:$AY$1,),))))</f>
        <v>-1.9752326108650929E-2</v>
      </c>
      <c r="K281" s="13">
        <f>((((VLOOKUP(B281,Database!$F:$AY,MATCH($K$1,Database!$F$1:$AY$1,),))))-(((VLOOKUP(EDATE(B281,-12),Database!$F:$AY,MATCH($K$1,Database!$F$1:$AY$1,),)))))/(((VLOOKUP(EDATE(B281,-12),Database!$F:$AY,MATCH($K$1,Database!$F$1:$AY$1,),))))</f>
        <v>-1.8164435946462634E-2</v>
      </c>
      <c r="L281" s="13">
        <f>((((VLOOKUP(B281,Database!$F:$AY,MATCH($L$1,Database!$F$1:$AY$1,),))))-(((VLOOKUP(EDATE(B281,-12),Database!$F:$AY,MATCH($L$1,Database!$F$1:$AY$1,),)))))/(((VLOOKUP(EDATE(B281,-12),Database!$F:$AY,MATCH($L$1,Database!$F$1:$AY$1,),))))</f>
        <v>3.2977903073425234E-2</v>
      </c>
      <c r="M281" s="13">
        <f>((((VLOOKUP(B281,Database!$F:$AY,MATCH($M$1,Database!$F$1:$AY$1,),))))-(((VLOOKUP(EDATE(B281,-12),Database!$F:$AY,MATCH($M$1,Database!$F$1:$AY$1,),)))))/(((VLOOKUP(EDATE(B281,-12),Database!$F:$AY,MATCH($M$1,Database!$F$1:$AY$1,),))))</f>
        <v>6.3778580024067527E-2</v>
      </c>
      <c r="N281" s="13">
        <f>((((VLOOKUP(B281,Database!$F:$AY,MATCH($N$1,Database!$F$1:$AY$1,),))))-(((VLOOKUP(EDATE(B281,-12),Database!$F:$AY,MATCH($N$1,Database!$F$1:$AY$1,),)))))/(((VLOOKUP(EDATE(B281,-12),Database!$F:$AY,MATCH($N$1,Database!$F$1:$AY$1,),))))</f>
        <v>9.6794169830666396E-2</v>
      </c>
      <c r="O281" s="13">
        <f>((((VLOOKUP(B281,Database!$F:$AY,MATCH($O$1,Database!$F$1:$AY$1,),))))-(((VLOOKUP(EDATE(B281,-12),Database!$F:$AY,MATCH($O$1,Database!$F$1:$AY$1,),)))))/(((VLOOKUP(EDATE(B281,-12),Database!$F:$AY,MATCH($O$1,Database!$F$1:$AY$1,),))))</f>
        <v>2.0816069274794603E-2</v>
      </c>
      <c r="P281" s="13">
        <f>((((VLOOKUP(B281,Database!$F:$AY,MATCH($P$1,Database!$F$1:$AY$1,),))))-(((VLOOKUP(EDATE(B281,-12),Database!$F:$AY,MATCH($P$1,Database!$F$1:$AY$1,),)))))/(((VLOOKUP(EDATE(B281,-12),Database!$F:$AY,MATCH($P$1,Database!$F$1:$AY$1,),))))</f>
        <v>5.9353562182608136E-2</v>
      </c>
      <c r="Q281" s="13">
        <f>((((VLOOKUP(B281,Database!$F:$AY,MATCH($Q$1,Database!$F$1:$AY$1,),))))-(((VLOOKUP(EDATE(B281,-12),Database!$F:$AY,MATCH($Q$1,Database!$F$1:$AY$1,),)))))/(((VLOOKUP(EDATE(B281,-12),Database!$F:$AY,MATCH($Q$1,Database!$F$1:$AY$1,),))))</f>
        <v>3.9061841707297932E-3</v>
      </c>
      <c r="R281" s="13">
        <f>((((VLOOKUP(B281,Database!$F:$AY,MATCH($R$1,Database!$F$1:$AY$1,),))))-(((VLOOKUP(EDATE(B281,-12),Database!$F:$AY,MATCH($R$1,Database!$F$1:$AY$1,),)))))/(((VLOOKUP(EDATE(B281,-12),Database!$F:$AY,MATCH($R$1,Database!$F$1:$AY$1,),))))</f>
        <v>-0.10490123919097487</v>
      </c>
      <c r="S281" s="13">
        <f>((((VLOOKUP(B281,Database!$F:$AY,MATCH($S$1,Database!$F$1:$AY$1,),))))-(((VLOOKUP(EDATE(B281,-12),Database!$F:$AY,MATCH($S$1,Database!$F$1:$AY$1,),)))))/(((VLOOKUP(EDATE(B281,-12),Database!$F:$AY,MATCH($S$1,Database!$F$1:$AY$1,),))))</f>
        <v>-3.048175722826213E-2</v>
      </c>
      <c r="T281" s="13">
        <f>((((VLOOKUP(B281,Database!$F:$AY,MATCH($T$1,Database!$F$1:$AY$1,),))))-(((VLOOKUP(EDATE(B281,-12),Database!$F:$AY,MATCH($T$1,Database!$F$1:$AY$1,),)))))/(((VLOOKUP(EDATE(B281,-12),Database!$F:$AY,MATCH($T$1,Database!$F$1:$AY$1,),))))</f>
        <v>0.1500720911394787</v>
      </c>
      <c r="U281" s="13">
        <f>((((VLOOKUP(B281,Database!$F:$AY,MATCH($U$1,Database!$F$1:$AY$1,),))))-(((VLOOKUP(EDATE(B281,-12),Database!$F:$AY,MATCH($U$1,Database!$F$1:$AY$1,),)))))/(((VLOOKUP(EDATE(B281,-12),Database!$F:$AY,MATCH($U$1,Database!$F$1:$AY$1,),))))</f>
        <v>6.3437216468027191E-2</v>
      </c>
      <c r="V281" s="13">
        <f>((((VLOOKUP(B281,Database!$F:$AY,MATCH($V$1,Database!$F$1:$AY$1,),))))-(((VLOOKUP(EDATE(B281,-12),Database!$F:$AY,MATCH($V$1,Database!$F$1:$AY$1,),)))))/(((VLOOKUP(EDATE(B281,-12),Database!$F:$AY,MATCH($V$1,Database!$F$1:$AY$1,),))))</f>
        <v>2.4618991793669501E-2</v>
      </c>
    </row>
    <row r="282" spans="1:22" s="85" customFormat="1" x14ac:dyDescent="0.2">
      <c r="A282" s="44"/>
      <c r="B282" s="91">
        <v>40725</v>
      </c>
      <c r="C282" s="13">
        <f>((((VLOOKUP(B282,Database!$F:$AY,MATCH($C$1,Database!$F$1:$AY$1,),))))-(((VLOOKUP(EDATE(B282,-12),Database!$F:$AY,MATCH($C$1,Database!$F$1:$AY$1,),)))))/(((VLOOKUP(EDATE(B282,-12),Database!$F:$AY,MATCH($C$1,Database!$F$1:$AY$1,),))))</f>
        <v>2.3990703758701753E-2</v>
      </c>
      <c r="D282" s="13">
        <f>((((VLOOKUP(B282,Database!$F:$AY,MATCH($D$1,Database!$F$1:$AY$1,),))))-(((VLOOKUP(EDATE(B282,-12),Database!$F:$AY,MATCH($D$1,Database!$F$1:$AY$1,),)))))/(((VLOOKUP(EDATE(B282,-12),Database!$F:$AY,MATCH($D$1,Database!$F$1:$AY$1,),))))</f>
        <v>3.9501072787908383E-2</v>
      </c>
      <c r="E282" s="13">
        <f>((((VLOOKUP(B282,Database!$F:$AY,MATCH($E$1,Database!$F$1:$AY$1,),))))-(((VLOOKUP(EDATE(B282,-12),Database!$F:$AY,MATCH($E$1,Database!$F$1:$AY$1,),)))))/(((VLOOKUP(EDATE(B282,-12),Database!$F:$AY,MATCH($E$1,Database!$F$1:$AY$1,),))))</f>
        <v>-2.0895094102569574E-2</v>
      </c>
      <c r="F282" s="13">
        <f>((((VLOOKUP(B282,Database!$F:$AY,MATCH($F$1,Database!$F$1:$AY$1,),))))-(((VLOOKUP(EDATE(B282,-12),Database!$F:$AY,MATCH($F$1,Database!$F$1:$AY$1,),)))))/(((VLOOKUP(EDATE(B282,-12),Database!$F:$AY,MATCH($F$1,Database!$F$1:$AY$1,),))))</f>
        <v>0.11843611563197171</v>
      </c>
      <c r="G282" s="13">
        <f>((((VLOOKUP(B282,Database!$F:$AY,MATCH($G$1,Database!$F$1:$AY$1,),))))-(((VLOOKUP(EDATE(B282,-12),Database!$F:$AY,MATCH($G$1,Database!$F$1:$AY$1,),)))))/(((VLOOKUP(EDATE(B282,-12),Database!$F:$AY,MATCH($G$1,Database!$F$1:$AY$1,),))))</f>
        <v>2.7373407605134004E-2</v>
      </c>
      <c r="H282" s="13">
        <f>((((VLOOKUP(B282,Database!$F:$AY,MATCH($H$1,Database!$F$1:$AY$1,),))))-(((VLOOKUP(EDATE(B282,-12),Database!$F:$AY,MATCH($H$1,Database!$F$1:$AY$1,),)))))/(((VLOOKUP(EDATE(B282,-12),Database!$F:$AY,MATCH($H$1,Database!$F$1:$AY$1,),))))</f>
        <v>6.1533993357608553E-3</v>
      </c>
      <c r="I282" s="13">
        <f>((((VLOOKUP(B282,Database!$F:$AY,MATCH($I$1,Database!$F$1:$AY$1,),))))-(((VLOOKUP(EDATE(B282,-12),Database!$F:$AY,MATCH($I$1,Database!$F$1:$AY$1,),)))))/(((VLOOKUP(EDATE(B282,-12),Database!$F:$AY,MATCH($I$1,Database!$F$1:$AY$1,),))))</f>
        <v>-2.7566643901281618E-3</v>
      </c>
      <c r="J282" s="13">
        <f>((((VLOOKUP(B282,Database!$F:$AY,MATCH($J$1,Database!$F$1:$AY$1,),))))-(((VLOOKUP(EDATE(B282,-12),Database!$F:$AY,MATCH($J$1,Database!$F$1:$AY$1,),)))))/(((VLOOKUP(EDATE(B282,-12),Database!$F:$AY,MATCH($J$1,Database!$F$1:$AY$1,),))))</f>
        <v>-6.1219581520431205E-3</v>
      </c>
      <c r="K282" s="13">
        <f>((((VLOOKUP(B282,Database!$F:$AY,MATCH($K$1,Database!$F$1:$AY$1,),))))-(((VLOOKUP(EDATE(B282,-12),Database!$F:$AY,MATCH($K$1,Database!$F$1:$AY$1,),)))))/(((VLOOKUP(EDATE(B282,-12),Database!$F:$AY,MATCH($K$1,Database!$F$1:$AY$1,),))))</f>
        <v>-3.8204393505253645E-3</v>
      </c>
      <c r="L282" s="13">
        <f>((((VLOOKUP(B282,Database!$F:$AY,MATCH($L$1,Database!$F$1:$AY$1,),))))-(((VLOOKUP(EDATE(B282,-12),Database!$F:$AY,MATCH($L$1,Database!$F$1:$AY$1,),)))))/(((VLOOKUP(EDATE(B282,-12),Database!$F:$AY,MATCH($L$1,Database!$F$1:$AY$1,),))))</f>
        <v>3.2778826844108738E-2</v>
      </c>
      <c r="M282" s="13">
        <f>((((VLOOKUP(B282,Database!$F:$AY,MATCH($M$1,Database!$F$1:$AY$1,),))))-(((VLOOKUP(EDATE(B282,-12),Database!$F:$AY,MATCH($M$1,Database!$F$1:$AY$1,),)))))/(((VLOOKUP(EDATE(B282,-12),Database!$F:$AY,MATCH($M$1,Database!$F$1:$AY$1,),))))</f>
        <v>6.3701923076923045E-2</v>
      </c>
      <c r="N282" s="13">
        <f>((((VLOOKUP(B282,Database!$F:$AY,MATCH($N$1,Database!$F$1:$AY$1,),))))-(((VLOOKUP(EDATE(B282,-12),Database!$F:$AY,MATCH($N$1,Database!$F$1:$AY$1,),)))))/(((VLOOKUP(EDATE(B282,-12),Database!$F:$AY,MATCH($N$1,Database!$F$1:$AY$1,),))))</f>
        <v>3.8750085693358444E-2</v>
      </c>
      <c r="O282" s="13">
        <f>((((VLOOKUP(B282,Database!$F:$AY,MATCH($O$1,Database!$F$1:$AY$1,),))))-(((VLOOKUP(EDATE(B282,-12),Database!$F:$AY,MATCH($O$1,Database!$F$1:$AY$1,),)))))/(((VLOOKUP(EDATE(B282,-12),Database!$F:$AY,MATCH($O$1,Database!$F$1:$AY$1,),))))</f>
        <v>3.856856556308727E-2</v>
      </c>
      <c r="P282" s="13">
        <f>((((VLOOKUP(B282,Database!$F:$AY,MATCH($P$1,Database!$F$1:$AY$1,),))))-(((VLOOKUP(EDATE(B282,-12),Database!$F:$AY,MATCH($P$1,Database!$F$1:$AY$1,),)))))/(((VLOOKUP(EDATE(B282,-12),Database!$F:$AY,MATCH($P$1,Database!$F$1:$AY$1,),))))</f>
        <v>5.1641565653000619E-2</v>
      </c>
      <c r="Q282" s="13">
        <f>((((VLOOKUP(B282,Database!$F:$AY,MATCH($Q$1,Database!$F$1:$AY$1,),))))-(((VLOOKUP(EDATE(B282,-12),Database!$F:$AY,MATCH($Q$1,Database!$F$1:$AY$1,),)))))/(((VLOOKUP(EDATE(B282,-12),Database!$F:$AY,MATCH($Q$1,Database!$F$1:$AY$1,),))))</f>
        <v>1.2769921050072467E-2</v>
      </c>
      <c r="R282" s="13">
        <f>((((VLOOKUP(B282,Database!$F:$AY,MATCH($R$1,Database!$F$1:$AY$1,),))))-(((VLOOKUP(EDATE(B282,-12),Database!$F:$AY,MATCH($R$1,Database!$F$1:$AY$1,),)))))/(((VLOOKUP(EDATE(B282,-12),Database!$F:$AY,MATCH($R$1,Database!$F$1:$AY$1,),))))</f>
        <v>1.5554269111480322E-2</v>
      </c>
      <c r="S282" s="13">
        <f>((((VLOOKUP(B282,Database!$F:$AY,MATCH($S$1,Database!$F$1:$AY$1,),))))-(((VLOOKUP(EDATE(B282,-12),Database!$F:$AY,MATCH($S$1,Database!$F$1:$AY$1,),)))))/(((VLOOKUP(EDATE(B282,-12),Database!$F:$AY,MATCH($S$1,Database!$F$1:$AY$1,),))))</f>
        <v>-7.8528923945858906E-2</v>
      </c>
      <c r="T282" s="13">
        <f>((((VLOOKUP(B282,Database!$F:$AY,MATCH($T$1,Database!$F$1:$AY$1,),))))-(((VLOOKUP(EDATE(B282,-12),Database!$F:$AY,MATCH($T$1,Database!$F$1:$AY$1,),)))))/(((VLOOKUP(EDATE(B282,-12),Database!$F:$AY,MATCH($T$1,Database!$F$1:$AY$1,),))))</f>
        <v>0.16332393331363743</v>
      </c>
      <c r="U282" s="13">
        <f>((((VLOOKUP(B282,Database!$F:$AY,MATCH($U$1,Database!$F$1:$AY$1,),))))-(((VLOOKUP(EDATE(B282,-12),Database!$F:$AY,MATCH($U$1,Database!$F$1:$AY$1,),)))))/(((VLOOKUP(EDATE(B282,-12),Database!$F:$AY,MATCH($U$1,Database!$F$1:$AY$1,),))))</f>
        <v>4.2479866623016137E-2</v>
      </c>
      <c r="V282" s="13">
        <f>((((VLOOKUP(B282,Database!$F:$AY,MATCH($V$1,Database!$F$1:$AY$1,),))))-(((VLOOKUP(EDATE(B282,-12),Database!$F:$AY,MATCH($V$1,Database!$F$1:$AY$1,),)))))/(((VLOOKUP(EDATE(B282,-12),Database!$F:$AY,MATCH($V$1,Database!$F$1:$AY$1,),))))</f>
        <v>4.1469194312796206E-2</v>
      </c>
    </row>
    <row r="283" spans="1:22" s="85" customFormat="1" x14ac:dyDescent="0.2">
      <c r="A283" s="44"/>
      <c r="B283" s="91">
        <v>40756</v>
      </c>
      <c r="C283" s="13">
        <f>((((VLOOKUP(B283,Database!$F:$AY,MATCH($C$1,Database!$F$1:$AY$1,),))))-(((VLOOKUP(EDATE(B283,-12),Database!$F:$AY,MATCH($C$1,Database!$F$1:$AY$1,),)))))/(((VLOOKUP(EDATE(B283,-12),Database!$F:$AY,MATCH($C$1,Database!$F$1:$AY$1,),))))</f>
        <v>2.6573111921555106E-2</v>
      </c>
      <c r="D283" s="13">
        <f>((((VLOOKUP(B283,Database!$F:$AY,MATCH($D$1,Database!$F$1:$AY$1,),))))-(((VLOOKUP(EDATE(B283,-12),Database!$F:$AY,MATCH($D$1,Database!$F$1:$AY$1,),)))))/(((VLOOKUP(EDATE(B283,-12),Database!$F:$AY,MATCH($D$1,Database!$F$1:$AY$1,),))))</f>
        <v>3.1958626505057562E-2</v>
      </c>
      <c r="E283" s="13">
        <f>((((VLOOKUP(B283,Database!$F:$AY,MATCH($E$1,Database!$F$1:$AY$1,),))))-(((VLOOKUP(EDATE(B283,-12),Database!$F:$AY,MATCH($E$1,Database!$F$1:$AY$1,),)))))/(((VLOOKUP(EDATE(B283,-12),Database!$F:$AY,MATCH($E$1,Database!$F$1:$AY$1,),))))</f>
        <v>-1.0890682244811781E-2</v>
      </c>
      <c r="F283" s="13">
        <f>((((VLOOKUP(B283,Database!$F:$AY,MATCH($F$1,Database!$F$1:$AY$1,),))))-(((VLOOKUP(EDATE(B283,-12),Database!$F:$AY,MATCH($F$1,Database!$F$1:$AY$1,),)))))/(((VLOOKUP(EDATE(B283,-12),Database!$F:$AY,MATCH($F$1,Database!$F$1:$AY$1,),))))</f>
        <v>9.1208806184075619E-2</v>
      </c>
      <c r="G283" s="13">
        <f>((((VLOOKUP(B283,Database!$F:$AY,MATCH($G$1,Database!$F$1:$AY$1,),))))-(((VLOOKUP(EDATE(B283,-12),Database!$F:$AY,MATCH($G$1,Database!$F$1:$AY$1,),)))))/(((VLOOKUP(EDATE(B283,-12),Database!$F:$AY,MATCH($G$1,Database!$F$1:$AY$1,),))))</f>
        <v>2.926973865681181E-2</v>
      </c>
      <c r="H283" s="13">
        <f>((((VLOOKUP(B283,Database!$F:$AY,MATCH($H$1,Database!$F$1:$AY$1,),))))-(((VLOOKUP(EDATE(B283,-12),Database!$F:$AY,MATCH($H$1,Database!$F$1:$AY$1,),)))))/(((VLOOKUP(EDATE(B283,-12),Database!$F:$AY,MATCH($H$1,Database!$F$1:$AY$1,),))))</f>
        <v>-5.0924227652483136E-3</v>
      </c>
      <c r="I283" s="13">
        <f>((((VLOOKUP(B283,Database!$F:$AY,MATCH($I$1,Database!$F$1:$AY$1,),))))-(((VLOOKUP(EDATE(B283,-12),Database!$F:$AY,MATCH($I$1,Database!$F$1:$AY$1,),)))))/(((VLOOKUP(EDATE(B283,-12),Database!$F:$AY,MATCH($I$1,Database!$F$1:$AY$1,),))))</f>
        <v>-4.0035376624023726E-2</v>
      </c>
      <c r="J283" s="13">
        <f>((((VLOOKUP(B283,Database!$F:$AY,MATCH($J$1,Database!$F$1:$AY$1,),))))-(((VLOOKUP(EDATE(B283,-12),Database!$F:$AY,MATCH($J$1,Database!$F$1:$AY$1,),)))))/(((VLOOKUP(EDATE(B283,-12),Database!$F:$AY,MATCH($J$1,Database!$F$1:$AY$1,),))))</f>
        <v>2.6379630704354506E-3</v>
      </c>
      <c r="K283" s="13">
        <f>((((VLOOKUP(B283,Database!$F:$AY,MATCH($K$1,Database!$F$1:$AY$1,),))))-(((VLOOKUP(EDATE(B283,-12),Database!$F:$AY,MATCH($K$1,Database!$F$1:$AY$1,),)))))/(((VLOOKUP(EDATE(B283,-12),Database!$F:$AY,MATCH($K$1,Database!$F$1:$AY$1,),))))</f>
        <v>-4.8449612403100775E-3</v>
      </c>
      <c r="L283" s="13">
        <f>((((VLOOKUP(B283,Database!$F:$AY,MATCH($L$1,Database!$F$1:$AY$1,),))))-(((VLOOKUP(EDATE(B283,-12),Database!$F:$AY,MATCH($L$1,Database!$F$1:$AY$1,),)))))/(((VLOOKUP(EDATE(B283,-12),Database!$F:$AY,MATCH($L$1,Database!$F$1:$AY$1,),))))</f>
        <v>2.0592439252797211E-2</v>
      </c>
      <c r="M283" s="13">
        <f>((((VLOOKUP(B283,Database!$F:$AY,MATCH($M$1,Database!$F$1:$AY$1,),))))-(((VLOOKUP(EDATE(B283,-12),Database!$F:$AY,MATCH($M$1,Database!$F$1:$AY$1,),)))))/(((VLOOKUP(EDATE(B283,-12),Database!$F:$AY,MATCH($M$1,Database!$F$1:$AY$1,),))))</f>
        <v>5.6152927120669091E-2</v>
      </c>
      <c r="N283" s="13">
        <f>((((VLOOKUP(B283,Database!$F:$AY,MATCH($N$1,Database!$F$1:$AY$1,),))))-(((VLOOKUP(EDATE(B283,-12),Database!$F:$AY,MATCH($N$1,Database!$F$1:$AY$1,),)))))/(((VLOOKUP(EDATE(B283,-12),Database!$F:$AY,MATCH($N$1,Database!$F$1:$AY$1,),))))</f>
        <v>2.9305519952270338E-2</v>
      </c>
      <c r="O283" s="13">
        <f>((((VLOOKUP(B283,Database!$F:$AY,MATCH($O$1,Database!$F$1:$AY$1,),))))-(((VLOOKUP(EDATE(B283,-12),Database!$F:$AY,MATCH($O$1,Database!$F$1:$AY$1,),)))))/(((VLOOKUP(EDATE(B283,-12),Database!$F:$AY,MATCH($O$1,Database!$F$1:$AY$1,),))))</f>
        <v>4.9273293116741917E-2</v>
      </c>
      <c r="P283" s="13">
        <f>((((VLOOKUP(B283,Database!$F:$AY,MATCH($P$1,Database!$F$1:$AY$1,),))))-(((VLOOKUP(EDATE(B283,-12),Database!$F:$AY,MATCH($P$1,Database!$F$1:$AY$1,),)))))/(((VLOOKUP(EDATE(B283,-12),Database!$F:$AY,MATCH($P$1,Database!$F$1:$AY$1,),))))</f>
        <v>5.3824616756933875E-2</v>
      </c>
      <c r="Q283" s="13">
        <f>((((VLOOKUP(B283,Database!$F:$AY,MATCH($Q$1,Database!$F$1:$AY$1,),))))-(((VLOOKUP(EDATE(B283,-12),Database!$F:$AY,MATCH($Q$1,Database!$F$1:$AY$1,),)))))/(((VLOOKUP(EDATE(B283,-12),Database!$F:$AY,MATCH($Q$1,Database!$F$1:$AY$1,),))))</f>
        <v>6.903235572578068E-3</v>
      </c>
      <c r="R283" s="13">
        <f>((((VLOOKUP(B283,Database!$F:$AY,MATCH($R$1,Database!$F$1:$AY$1,),))))-(((VLOOKUP(EDATE(B283,-12),Database!$F:$AY,MATCH($R$1,Database!$F$1:$AY$1,),)))))/(((VLOOKUP(EDATE(B283,-12),Database!$F:$AY,MATCH($R$1,Database!$F$1:$AY$1,),))))</f>
        <v>-9.5644367687355417E-2</v>
      </c>
      <c r="S283" s="13">
        <f>((((VLOOKUP(B283,Database!$F:$AY,MATCH($S$1,Database!$F$1:$AY$1,),))))-(((VLOOKUP(EDATE(B283,-12),Database!$F:$AY,MATCH($S$1,Database!$F$1:$AY$1,),)))))/(((VLOOKUP(EDATE(B283,-12),Database!$F:$AY,MATCH($S$1,Database!$F$1:$AY$1,),))))</f>
        <v>8.6723758913088256E-2</v>
      </c>
      <c r="T283" s="13">
        <f>((((VLOOKUP(B283,Database!$F:$AY,MATCH($T$1,Database!$F$1:$AY$1,),))))-(((VLOOKUP(EDATE(B283,-12),Database!$F:$AY,MATCH($T$1,Database!$F$1:$AY$1,),)))))/(((VLOOKUP(EDATE(B283,-12),Database!$F:$AY,MATCH($T$1,Database!$F$1:$AY$1,),))))</f>
        <v>0.16923074986390474</v>
      </c>
      <c r="U283" s="13">
        <f>((((VLOOKUP(B283,Database!$F:$AY,MATCH($U$1,Database!$F$1:$AY$1,),))))-(((VLOOKUP(EDATE(B283,-12),Database!$F:$AY,MATCH($U$1,Database!$F$1:$AY$1,),)))))/(((VLOOKUP(EDATE(B283,-12),Database!$F:$AY,MATCH($U$1,Database!$F$1:$AY$1,),))))</f>
        <v>2.6936026936027011E-2</v>
      </c>
      <c r="V283" s="13">
        <f>((((VLOOKUP(B283,Database!$F:$AY,MATCH($V$1,Database!$F$1:$AY$1,),))))-(((VLOOKUP(EDATE(B283,-12),Database!$F:$AY,MATCH($V$1,Database!$F$1:$AY$1,),)))))/(((VLOOKUP(EDATE(B283,-12),Database!$F:$AY,MATCH($V$1,Database!$F$1:$AY$1,),))))</f>
        <v>7.7937649880095924E-2</v>
      </c>
    </row>
    <row r="284" spans="1:22" s="85" customFormat="1" x14ac:dyDescent="0.2">
      <c r="A284" s="44"/>
      <c r="B284" s="91">
        <v>40787</v>
      </c>
      <c r="C284" s="13">
        <f>((((VLOOKUP(B284,Database!$F:$AY,MATCH($C$1,Database!$F$1:$AY$1,),))))-(((VLOOKUP(EDATE(B284,-12),Database!$F:$AY,MATCH($C$1,Database!$F$1:$AY$1,),)))))/(((VLOOKUP(EDATE(B284,-12),Database!$F:$AY,MATCH($C$1,Database!$F$1:$AY$1,),))))</f>
        <v>2.3968276946571006E-2</v>
      </c>
      <c r="D284" s="13">
        <f>((((VLOOKUP(B284,Database!$F:$AY,MATCH($D$1,Database!$F$1:$AY$1,),))))-(((VLOOKUP(EDATE(B284,-12),Database!$F:$AY,MATCH($D$1,Database!$F$1:$AY$1,),)))))/(((VLOOKUP(EDATE(B284,-12),Database!$F:$AY,MATCH($D$1,Database!$F$1:$AY$1,),))))</f>
        <v>1.9547393701419294E-2</v>
      </c>
      <c r="E284" s="13">
        <f>((((VLOOKUP(B284,Database!$F:$AY,MATCH($E$1,Database!$F$1:$AY$1,),))))-(((VLOOKUP(EDATE(B284,-12),Database!$F:$AY,MATCH($E$1,Database!$F$1:$AY$1,),)))))/(((VLOOKUP(EDATE(B284,-12),Database!$F:$AY,MATCH($E$1,Database!$F$1:$AY$1,),))))</f>
        <v>-2.9326387367739386E-2</v>
      </c>
      <c r="F284" s="13">
        <f>((((VLOOKUP(B284,Database!$F:$AY,MATCH($F$1,Database!$F$1:$AY$1,),))))-(((VLOOKUP(EDATE(B284,-12),Database!$F:$AY,MATCH($F$1,Database!$F$1:$AY$1,),)))))/(((VLOOKUP(EDATE(B284,-12),Database!$F:$AY,MATCH($F$1,Database!$F$1:$AY$1,),))))</f>
        <v>5.8441558441558336E-2</v>
      </c>
      <c r="G284" s="13">
        <f>((((VLOOKUP(B284,Database!$F:$AY,MATCH($G$1,Database!$F$1:$AY$1,),))))-(((VLOOKUP(EDATE(B284,-12),Database!$F:$AY,MATCH($G$1,Database!$F$1:$AY$1,),)))))/(((VLOOKUP(EDATE(B284,-12),Database!$F:$AY,MATCH($G$1,Database!$F$1:$AY$1,),))))</f>
        <v>9.1733239738839619E-3</v>
      </c>
      <c r="H284" s="13">
        <f>((((VLOOKUP(B284,Database!$F:$AY,MATCH($H$1,Database!$F$1:$AY$1,),))))-(((VLOOKUP(EDATE(B284,-12),Database!$F:$AY,MATCH($H$1,Database!$F$1:$AY$1,),)))))/(((VLOOKUP(EDATE(B284,-12),Database!$F:$AY,MATCH($H$1,Database!$F$1:$AY$1,),))))</f>
        <v>-1.0162191791548833E-2</v>
      </c>
      <c r="I284" s="13">
        <f>((((VLOOKUP(B284,Database!$F:$AY,MATCH($I$1,Database!$F$1:$AY$1,),))))-(((VLOOKUP(EDATE(B284,-12),Database!$F:$AY,MATCH($I$1,Database!$F$1:$AY$1,),)))))/(((VLOOKUP(EDATE(B284,-12),Database!$F:$AY,MATCH($I$1,Database!$F$1:$AY$1,),))))</f>
        <v>-6.4750996845250718E-3</v>
      </c>
      <c r="J284" s="13">
        <f>((((VLOOKUP(B284,Database!$F:$AY,MATCH($J$1,Database!$F$1:$AY$1,),))))-(((VLOOKUP(EDATE(B284,-12),Database!$F:$AY,MATCH($J$1,Database!$F$1:$AY$1,),)))))/(((VLOOKUP(EDATE(B284,-12),Database!$F:$AY,MATCH($J$1,Database!$F$1:$AY$1,),))))</f>
        <v>-1.2657610675222326E-2</v>
      </c>
      <c r="K284" s="13">
        <f>((((VLOOKUP(B284,Database!$F:$AY,MATCH($K$1,Database!$F$1:$AY$1,),))))-(((VLOOKUP(EDATE(B284,-12),Database!$F:$AY,MATCH($K$1,Database!$F$1:$AY$1,),)))))/(((VLOOKUP(EDATE(B284,-12),Database!$F:$AY,MATCH($K$1,Database!$F$1:$AY$1,),))))</f>
        <v>2.1235521235521262E-2</v>
      </c>
      <c r="L284" s="13">
        <f>((((VLOOKUP(B284,Database!$F:$AY,MATCH($L$1,Database!$F$1:$AY$1,),))))-(((VLOOKUP(EDATE(B284,-12),Database!$F:$AY,MATCH($L$1,Database!$F$1:$AY$1,),)))))/(((VLOOKUP(EDATE(B284,-12),Database!$F:$AY,MATCH($L$1,Database!$F$1:$AY$1,),))))</f>
        <v>3.1146825275041926E-2</v>
      </c>
      <c r="M284" s="13">
        <f>((((VLOOKUP(B284,Database!$F:$AY,MATCH($M$1,Database!$F$1:$AY$1,),))))-(((VLOOKUP(EDATE(B284,-12),Database!$F:$AY,MATCH($M$1,Database!$F$1:$AY$1,),)))))/(((VLOOKUP(EDATE(B284,-12),Database!$F:$AY,MATCH($M$1,Database!$F$1:$AY$1,),))))</f>
        <v>4.852071005917153E-2</v>
      </c>
      <c r="N284" s="13">
        <f>((((VLOOKUP(B284,Database!$F:$AY,MATCH($N$1,Database!$F$1:$AY$1,),))))-(((VLOOKUP(EDATE(B284,-12),Database!$F:$AY,MATCH($N$1,Database!$F$1:$AY$1,),)))))/(((VLOOKUP(EDATE(B284,-12),Database!$F:$AY,MATCH($N$1,Database!$F$1:$AY$1,),))))</f>
        <v>2.5069227228501852E-2</v>
      </c>
      <c r="O284" s="13">
        <f>((((VLOOKUP(B284,Database!$F:$AY,MATCH($O$1,Database!$F$1:$AY$1,),))))-(((VLOOKUP(EDATE(B284,-12),Database!$F:$AY,MATCH($O$1,Database!$F$1:$AY$1,),)))))/(((VLOOKUP(EDATE(B284,-12),Database!$F:$AY,MATCH($O$1,Database!$F$1:$AY$1,),))))</f>
        <v>6.1417697462542484E-2</v>
      </c>
      <c r="P284" s="13">
        <f>((((VLOOKUP(B284,Database!$F:$AY,MATCH($P$1,Database!$F$1:$AY$1,),))))-(((VLOOKUP(EDATE(B284,-12),Database!$F:$AY,MATCH($P$1,Database!$F$1:$AY$1,),)))))/(((VLOOKUP(EDATE(B284,-12),Database!$F:$AY,MATCH($P$1,Database!$F$1:$AY$1,),))))</f>
        <v>5.5563775321484932E-2</v>
      </c>
      <c r="Q284" s="13">
        <f>((((VLOOKUP(B284,Database!$F:$AY,MATCH($Q$1,Database!$F$1:$AY$1,),))))-(((VLOOKUP(EDATE(B284,-12),Database!$F:$AY,MATCH($Q$1,Database!$F$1:$AY$1,),)))))/(((VLOOKUP(EDATE(B284,-12),Database!$F:$AY,MATCH($Q$1,Database!$F$1:$AY$1,),))))</f>
        <v>-1.4764422711608362E-2</v>
      </c>
      <c r="R284" s="13">
        <f>((((VLOOKUP(B284,Database!$F:$AY,MATCH($R$1,Database!$F$1:$AY$1,),))))-(((VLOOKUP(EDATE(B284,-12),Database!$F:$AY,MATCH($R$1,Database!$F$1:$AY$1,),)))))/(((VLOOKUP(EDATE(B284,-12),Database!$F:$AY,MATCH($R$1,Database!$F$1:$AY$1,),))))</f>
        <v>3.0471334093837871E-2</v>
      </c>
      <c r="S284" s="13">
        <f>((((VLOOKUP(B284,Database!$F:$AY,MATCH($S$1,Database!$F$1:$AY$1,),))))-(((VLOOKUP(EDATE(B284,-12),Database!$F:$AY,MATCH($S$1,Database!$F$1:$AY$1,),)))))/(((VLOOKUP(EDATE(B284,-12),Database!$F:$AY,MATCH($S$1,Database!$F$1:$AY$1,),))))</f>
        <v>1.8572770433731733E-2</v>
      </c>
      <c r="T284" s="13">
        <f>((((VLOOKUP(B284,Database!$F:$AY,MATCH($T$1,Database!$F$1:$AY$1,),))))-(((VLOOKUP(EDATE(B284,-12),Database!$F:$AY,MATCH($T$1,Database!$F$1:$AY$1,),)))))/(((VLOOKUP(EDATE(B284,-12),Database!$F:$AY,MATCH($T$1,Database!$F$1:$AY$1,),))))</f>
        <v>0.10614530289746216</v>
      </c>
      <c r="U284" s="13">
        <f>((((VLOOKUP(B284,Database!$F:$AY,MATCH($U$1,Database!$F$1:$AY$1,),))))-(((VLOOKUP(EDATE(B284,-12),Database!$F:$AY,MATCH($U$1,Database!$F$1:$AY$1,),)))))/(((VLOOKUP(EDATE(B284,-12),Database!$F:$AY,MATCH($U$1,Database!$F$1:$AY$1,),))))</f>
        <v>5.5065342936548778E-3</v>
      </c>
      <c r="V284" s="13">
        <f>((((VLOOKUP(B284,Database!$F:$AY,MATCH($V$1,Database!$F$1:$AY$1,),))))-(((VLOOKUP(EDATE(B284,-12),Database!$F:$AY,MATCH($V$1,Database!$F$1:$AY$1,),)))))/(((VLOOKUP(EDATE(B284,-12),Database!$F:$AY,MATCH($V$1,Database!$F$1:$AY$1,),))))</f>
        <v>6.9493521790341475E-2</v>
      </c>
    </row>
    <row r="285" spans="1:22" s="85" customFormat="1" x14ac:dyDescent="0.2">
      <c r="A285" s="44"/>
      <c r="B285" s="91">
        <v>40817</v>
      </c>
      <c r="C285" s="13">
        <f>((((VLOOKUP(B285,Database!$F:$AY,MATCH($C$1,Database!$F$1:$AY$1,),))))-(((VLOOKUP(EDATE(B285,-12),Database!$F:$AY,MATCH($C$1,Database!$F$1:$AY$1,),)))))/(((VLOOKUP(EDATE(B285,-12),Database!$F:$AY,MATCH($C$1,Database!$F$1:$AY$1,),))))</f>
        <v>3.3763695073708661E-2</v>
      </c>
      <c r="D285" s="13">
        <f>((((VLOOKUP(B285,Database!$F:$AY,MATCH($D$1,Database!$F$1:$AY$1,),))))-(((VLOOKUP(EDATE(B285,-12),Database!$F:$AY,MATCH($D$1,Database!$F$1:$AY$1,),)))))/(((VLOOKUP(EDATE(B285,-12),Database!$F:$AY,MATCH($D$1,Database!$F$1:$AY$1,),))))</f>
        <v>8.1632990476882376E-3</v>
      </c>
      <c r="E285" s="13">
        <f>((((VLOOKUP(B285,Database!$F:$AY,MATCH($E$1,Database!$F$1:$AY$1,),))))-(((VLOOKUP(EDATE(B285,-12),Database!$F:$AY,MATCH($E$1,Database!$F$1:$AY$1,),)))))/(((VLOOKUP(EDATE(B285,-12),Database!$F:$AY,MATCH($E$1,Database!$F$1:$AY$1,),))))</f>
        <v>1.5090507760888503E-2</v>
      </c>
      <c r="F285" s="13">
        <f>((((VLOOKUP(B285,Database!$F:$AY,MATCH($F$1,Database!$F$1:$AY$1,),))))-(((VLOOKUP(EDATE(B285,-12),Database!$F:$AY,MATCH($F$1,Database!$F$1:$AY$1,),)))))/(((VLOOKUP(EDATE(B285,-12),Database!$F:$AY,MATCH($F$1,Database!$F$1:$AY$1,),))))</f>
        <v>4.7669435188141804E-2</v>
      </c>
      <c r="G285" s="13">
        <f>((((VLOOKUP(B285,Database!$F:$AY,MATCH($G$1,Database!$F$1:$AY$1,),))))-(((VLOOKUP(EDATE(B285,-12),Database!$F:$AY,MATCH($G$1,Database!$F$1:$AY$1,),)))))/(((VLOOKUP(EDATE(B285,-12),Database!$F:$AY,MATCH($G$1,Database!$F$1:$AY$1,),))))</f>
        <v>1.3081581133763684E-2</v>
      </c>
      <c r="H285" s="13">
        <f>((((VLOOKUP(B285,Database!$F:$AY,MATCH($H$1,Database!$F$1:$AY$1,),))))-(((VLOOKUP(EDATE(B285,-12),Database!$F:$AY,MATCH($H$1,Database!$F$1:$AY$1,),)))))/(((VLOOKUP(EDATE(B285,-12),Database!$F:$AY,MATCH($H$1,Database!$F$1:$AY$1,),))))</f>
        <v>-1.6160776915899989E-2</v>
      </c>
      <c r="I285" s="13">
        <f>((((VLOOKUP(B285,Database!$F:$AY,MATCH($I$1,Database!$F$1:$AY$1,),))))-(((VLOOKUP(EDATE(B285,-12),Database!$F:$AY,MATCH($I$1,Database!$F$1:$AY$1,),)))))/(((VLOOKUP(EDATE(B285,-12),Database!$F:$AY,MATCH($I$1,Database!$F$1:$AY$1,),))))</f>
        <v>-2.2119807172945212E-2</v>
      </c>
      <c r="J285" s="13">
        <f>((((VLOOKUP(B285,Database!$F:$AY,MATCH($J$1,Database!$F$1:$AY$1,),))))-(((VLOOKUP(EDATE(B285,-12),Database!$F:$AY,MATCH($J$1,Database!$F$1:$AY$1,),)))))/(((VLOOKUP(EDATE(B285,-12),Database!$F:$AY,MATCH($J$1,Database!$F$1:$AY$1,),))))</f>
        <v>-3.6790121343690474E-2</v>
      </c>
      <c r="K285" s="13">
        <f>((((VLOOKUP(B285,Database!$F:$AY,MATCH($K$1,Database!$F$1:$AY$1,),))))-(((VLOOKUP(EDATE(B285,-12),Database!$F:$AY,MATCH($K$1,Database!$F$1:$AY$1,),)))))/(((VLOOKUP(EDATE(B285,-12),Database!$F:$AY,MATCH($K$1,Database!$F$1:$AY$1,),))))</f>
        <v>2.0368574199806096E-2</v>
      </c>
      <c r="L285" s="13">
        <f>((((VLOOKUP(B285,Database!$F:$AY,MATCH($L$1,Database!$F$1:$AY$1,),))))-(((VLOOKUP(EDATE(B285,-12),Database!$F:$AY,MATCH($L$1,Database!$F$1:$AY$1,),)))))/(((VLOOKUP(EDATE(B285,-12),Database!$F:$AY,MATCH($L$1,Database!$F$1:$AY$1,),))))</f>
        <v>4.0008258335012419E-2</v>
      </c>
      <c r="M285" s="13">
        <f>((((VLOOKUP(B285,Database!$F:$AY,MATCH($M$1,Database!$F$1:$AY$1,),))))-(((VLOOKUP(EDATE(B285,-12),Database!$F:$AY,MATCH($M$1,Database!$F$1:$AY$1,),)))))/(((VLOOKUP(EDATE(B285,-12),Database!$F:$AY,MATCH($M$1,Database!$F$1:$AY$1,),))))</f>
        <v>3.4843205574912897E-2</v>
      </c>
      <c r="N285" s="13">
        <f>((((VLOOKUP(B285,Database!$F:$AY,MATCH($N$1,Database!$F$1:$AY$1,),))))-(((VLOOKUP(EDATE(B285,-12),Database!$F:$AY,MATCH($N$1,Database!$F$1:$AY$1,),)))))/(((VLOOKUP(EDATE(B285,-12),Database!$F:$AY,MATCH($N$1,Database!$F$1:$AY$1,),))))</f>
        <v>-5.0279146494027947E-2</v>
      </c>
      <c r="O285" s="13">
        <f>((((VLOOKUP(B285,Database!$F:$AY,MATCH($O$1,Database!$F$1:$AY$1,),))))-(((VLOOKUP(EDATE(B285,-12),Database!$F:$AY,MATCH($O$1,Database!$F$1:$AY$1,),)))))/(((VLOOKUP(EDATE(B285,-12),Database!$F:$AY,MATCH($O$1,Database!$F$1:$AY$1,),))))</f>
        <v>4.556901555326813E-2</v>
      </c>
      <c r="P285" s="13">
        <f>((((VLOOKUP(B285,Database!$F:$AY,MATCH($P$1,Database!$F$1:$AY$1,),))))-(((VLOOKUP(EDATE(B285,-12),Database!$F:$AY,MATCH($P$1,Database!$F$1:$AY$1,),)))))/(((VLOOKUP(EDATE(B285,-12),Database!$F:$AY,MATCH($P$1,Database!$F$1:$AY$1,),))))</f>
        <v>6.1790345041450534E-2</v>
      </c>
      <c r="Q285" s="13">
        <f>((((VLOOKUP(B285,Database!$F:$AY,MATCH($Q$1,Database!$F$1:$AY$1,),))))-(((VLOOKUP(EDATE(B285,-12),Database!$F:$AY,MATCH($Q$1,Database!$F$1:$AY$1,),)))))/(((VLOOKUP(EDATE(B285,-12),Database!$F:$AY,MATCH($Q$1,Database!$F$1:$AY$1,),))))</f>
        <v>-1.9743896884514993E-2</v>
      </c>
      <c r="R285" s="13">
        <f>((((VLOOKUP(B285,Database!$F:$AY,MATCH($R$1,Database!$F$1:$AY$1,),))))-(((VLOOKUP(EDATE(B285,-12),Database!$F:$AY,MATCH($R$1,Database!$F$1:$AY$1,),)))))/(((VLOOKUP(EDATE(B285,-12),Database!$F:$AY,MATCH($R$1,Database!$F$1:$AY$1,),))))</f>
        <v>-0.11678227138369714</v>
      </c>
      <c r="S285" s="13">
        <f>((((VLOOKUP(B285,Database!$F:$AY,MATCH($S$1,Database!$F$1:$AY$1,),))))-(((VLOOKUP(EDATE(B285,-12),Database!$F:$AY,MATCH($S$1,Database!$F$1:$AY$1,),)))))/(((VLOOKUP(EDATE(B285,-12),Database!$F:$AY,MATCH($S$1,Database!$F$1:$AY$1,),))))</f>
        <v>8.1223684492465462E-2</v>
      </c>
      <c r="T285" s="13">
        <f>((((VLOOKUP(B285,Database!$F:$AY,MATCH($T$1,Database!$F$1:$AY$1,),))))-(((VLOOKUP(EDATE(B285,-12),Database!$F:$AY,MATCH($T$1,Database!$F$1:$AY$1,),)))))/(((VLOOKUP(EDATE(B285,-12),Database!$F:$AY,MATCH($T$1,Database!$F$1:$AY$1,),))))</f>
        <v>0.15767619931839413</v>
      </c>
      <c r="U285" s="13">
        <f>((((VLOOKUP(B285,Database!$F:$AY,MATCH($U$1,Database!$F$1:$AY$1,),))))-(((VLOOKUP(EDATE(B285,-12),Database!$F:$AY,MATCH($U$1,Database!$F$1:$AY$1,),)))))/(((VLOOKUP(EDATE(B285,-12),Database!$F:$AY,MATCH($U$1,Database!$F$1:$AY$1,),))))</f>
        <v>1.2114573716964162E-2</v>
      </c>
      <c r="V285" s="13">
        <f>((((VLOOKUP(B285,Database!$F:$AY,MATCH($V$1,Database!$F$1:$AY$1,),))))-(((VLOOKUP(EDATE(B285,-12),Database!$F:$AY,MATCH($V$1,Database!$F$1:$AY$1,),)))))/(((VLOOKUP(EDATE(B285,-12),Database!$F:$AY,MATCH($V$1,Database!$F$1:$AY$1,),))))</f>
        <v>6.3529411764705945E-2</v>
      </c>
    </row>
    <row r="286" spans="1:22" s="85" customFormat="1" x14ac:dyDescent="0.2">
      <c r="A286" s="44"/>
      <c r="B286" s="91">
        <v>40848</v>
      </c>
      <c r="C286" s="13">
        <f>((((VLOOKUP(B286,Database!$F:$AY,MATCH($C$1,Database!$F$1:$AY$1,),))))-(((VLOOKUP(EDATE(B286,-12),Database!$F:$AY,MATCH($C$1,Database!$F$1:$AY$1,),)))))/(((VLOOKUP(EDATE(B286,-12),Database!$F:$AY,MATCH($C$1,Database!$F$1:$AY$1,),))))</f>
        <v>3.2636676849646509E-2</v>
      </c>
      <c r="D286" s="13">
        <f>((((VLOOKUP(B286,Database!$F:$AY,MATCH($D$1,Database!$F$1:$AY$1,),))))-(((VLOOKUP(EDATE(B286,-12),Database!$F:$AY,MATCH($D$1,Database!$F$1:$AY$1,),)))))/(((VLOOKUP(EDATE(B286,-12),Database!$F:$AY,MATCH($D$1,Database!$F$1:$AY$1,),))))</f>
        <v>2.0222783331337044E-3</v>
      </c>
      <c r="E286" s="13">
        <f>((((VLOOKUP(B286,Database!$F:$AY,MATCH($E$1,Database!$F$1:$AY$1,),))))-(((VLOOKUP(EDATE(B286,-12),Database!$F:$AY,MATCH($E$1,Database!$F$1:$AY$1,),)))))/(((VLOOKUP(EDATE(B286,-12),Database!$F:$AY,MATCH($E$1,Database!$F$1:$AY$1,),))))</f>
        <v>-2.176077124930012E-2</v>
      </c>
      <c r="F286" s="13">
        <f>((((VLOOKUP(B286,Database!$F:$AY,MATCH($F$1,Database!$F$1:$AY$1,),))))-(((VLOOKUP(EDATE(B286,-12),Database!$F:$AY,MATCH($F$1,Database!$F$1:$AY$1,),)))))/(((VLOOKUP(EDATE(B286,-12),Database!$F:$AY,MATCH($F$1,Database!$F$1:$AY$1,),))))</f>
        <v>4.5793488424008245E-2</v>
      </c>
      <c r="G286" s="13">
        <f>((((VLOOKUP(B286,Database!$F:$AY,MATCH($G$1,Database!$F$1:$AY$1,),))))-(((VLOOKUP(EDATE(B286,-12),Database!$F:$AY,MATCH($G$1,Database!$F$1:$AY$1,),)))))/(((VLOOKUP(EDATE(B286,-12),Database!$F:$AY,MATCH($G$1,Database!$F$1:$AY$1,),))))</f>
        <v>2.179353678306464E-2</v>
      </c>
      <c r="H286" s="13">
        <f>((((VLOOKUP(B286,Database!$F:$AY,MATCH($H$1,Database!$F$1:$AY$1,),))))-(((VLOOKUP(EDATE(B286,-12),Database!$F:$AY,MATCH($H$1,Database!$F$1:$AY$1,),)))))/(((VLOOKUP(EDATE(B286,-12),Database!$F:$AY,MATCH($H$1,Database!$F$1:$AY$1,),))))</f>
        <v>-2.116927653757129E-2</v>
      </c>
      <c r="I286" s="13">
        <f>((((VLOOKUP(B286,Database!$F:$AY,MATCH($I$1,Database!$F$1:$AY$1,),))))-(((VLOOKUP(EDATE(B286,-12),Database!$F:$AY,MATCH($I$1,Database!$F$1:$AY$1,),)))))/(((VLOOKUP(EDATE(B286,-12),Database!$F:$AY,MATCH($I$1,Database!$F$1:$AY$1,),))))</f>
        <v>-2.0164835013736344E-2</v>
      </c>
      <c r="J286" s="13">
        <f>((((VLOOKUP(B286,Database!$F:$AY,MATCH($J$1,Database!$F$1:$AY$1,),))))-(((VLOOKUP(EDATE(B286,-12),Database!$F:$AY,MATCH($J$1,Database!$F$1:$AY$1,),)))))/(((VLOOKUP(EDATE(B286,-12),Database!$F:$AY,MATCH($J$1,Database!$F$1:$AY$1,),))))</f>
        <v>-6.7032224114028816E-2</v>
      </c>
      <c r="K286" s="13">
        <f>((((VLOOKUP(B286,Database!$F:$AY,MATCH($K$1,Database!$F$1:$AY$1,),))))-(((VLOOKUP(EDATE(B286,-12),Database!$F:$AY,MATCH($K$1,Database!$F$1:$AY$1,),)))))/(((VLOOKUP(EDATE(B286,-12),Database!$F:$AY,MATCH($K$1,Database!$F$1:$AY$1,),))))</f>
        <v>-4.4901777362020681E-2</v>
      </c>
      <c r="L286" s="13">
        <f>((((VLOOKUP(B286,Database!$F:$AY,MATCH($L$1,Database!$F$1:$AY$1,),))))-(((VLOOKUP(EDATE(B286,-12),Database!$F:$AY,MATCH($L$1,Database!$F$1:$AY$1,),)))))/(((VLOOKUP(EDATE(B286,-12),Database!$F:$AY,MATCH($L$1,Database!$F$1:$AY$1,),))))</f>
        <v>4.0959054835307658E-2</v>
      </c>
      <c r="M286" s="13">
        <f>((((VLOOKUP(B286,Database!$F:$AY,MATCH($M$1,Database!$F$1:$AY$1,),))))-(((VLOOKUP(EDATE(B286,-12),Database!$F:$AY,MATCH($M$1,Database!$F$1:$AY$1,),)))))/(((VLOOKUP(EDATE(B286,-12),Database!$F:$AY,MATCH($M$1,Database!$F$1:$AY$1,),))))</f>
        <v>3.9673278879813201E-2</v>
      </c>
      <c r="N286" s="13">
        <f>((((VLOOKUP(B286,Database!$F:$AY,MATCH($N$1,Database!$F$1:$AY$1,),))))-(((VLOOKUP(EDATE(B286,-12),Database!$F:$AY,MATCH($N$1,Database!$F$1:$AY$1,),)))))/(((VLOOKUP(EDATE(B286,-12),Database!$F:$AY,MATCH($N$1,Database!$F$1:$AY$1,),))))</f>
        <v>6.2608136247817789E-2</v>
      </c>
      <c r="O286" s="13">
        <f>((((VLOOKUP(B286,Database!$F:$AY,MATCH($O$1,Database!$F$1:$AY$1,),))))-(((VLOOKUP(EDATE(B286,-12),Database!$F:$AY,MATCH($O$1,Database!$F$1:$AY$1,),)))))/(((VLOOKUP(EDATE(B286,-12),Database!$F:$AY,MATCH($O$1,Database!$F$1:$AY$1,),))))</f>
        <v>4.2561509888090578E-2</v>
      </c>
      <c r="P286" s="13">
        <f>((((VLOOKUP(B286,Database!$F:$AY,MATCH($P$1,Database!$F$1:$AY$1,),))))-(((VLOOKUP(EDATE(B286,-12),Database!$F:$AY,MATCH($P$1,Database!$F$1:$AY$1,),)))))/(((VLOOKUP(EDATE(B286,-12),Database!$F:$AY,MATCH($P$1,Database!$F$1:$AY$1,),))))</f>
        <v>3.6947774533959976E-2</v>
      </c>
      <c r="Q286" s="13">
        <f>((((VLOOKUP(B286,Database!$F:$AY,MATCH($Q$1,Database!$F$1:$AY$1,),))))-(((VLOOKUP(EDATE(B286,-12),Database!$F:$AY,MATCH($Q$1,Database!$F$1:$AY$1,),)))))/(((VLOOKUP(EDATE(B286,-12),Database!$F:$AY,MATCH($Q$1,Database!$F$1:$AY$1,),))))</f>
        <v>-2.1548027825715719E-2</v>
      </c>
      <c r="R286" s="13">
        <f>((((VLOOKUP(B286,Database!$F:$AY,MATCH($R$1,Database!$F$1:$AY$1,),))))-(((VLOOKUP(EDATE(B286,-12),Database!$F:$AY,MATCH($R$1,Database!$F$1:$AY$1,),)))))/(((VLOOKUP(EDATE(B286,-12),Database!$F:$AY,MATCH($R$1,Database!$F$1:$AY$1,),))))</f>
        <v>-7.5371818157887807E-2</v>
      </c>
      <c r="S286" s="13">
        <f>((((VLOOKUP(B286,Database!$F:$AY,MATCH($S$1,Database!$F$1:$AY$1,),))))-(((VLOOKUP(EDATE(B286,-12),Database!$F:$AY,MATCH($S$1,Database!$F$1:$AY$1,),)))))/(((VLOOKUP(EDATE(B286,-12),Database!$F:$AY,MATCH($S$1,Database!$F$1:$AY$1,),))))</f>
        <v>-5.6567632722344059E-2</v>
      </c>
      <c r="T286" s="13">
        <f>((((VLOOKUP(B286,Database!$F:$AY,MATCH($T$1,Database!$F$1:$AY$1,),))))-(((VLOOKUP(EDATE(B286,-12),Database!$F:$AY,MATCH($T$1,Database!$F$1:$AY$1,),)))))/(((VLOOKUP(EDATE(B286,-12),Database!$F:$AY,MATCH($T$1,Database!$F$1:$AY$1,),))))</f>
        <v>0.11126008093436217</v>
      </c>
      <c r="U286" s="13">
        <f>((((VLOOKUP(B286,Database!$F:$AY,MATCH($U$1,Database!$F$1:$AY$1,),))))-(((VLOOKUP(EDATE(B286,-12),Database!$F:$AY,MATCH($U$1,Database!$F$1:$AY$1,),)))))/(((VLOOKUP(EDATE(B286,-12),Database!$F:$AY,MATCH($U$1,Database!$F$1:$AY$1,),))))</f>
        <v>4.6511627906976834E-2</v>
      </c>
      <c r="V286" s="13">
        <f>((((VLOOKUP(B286,Database!$F:$AY,MATCH($V$1,Database!$F$1:$AY$1,),))))-(((VLOOKUP(EDATE(B286,-12),Database!$F:$AY,MATCH($V$1,Database!$F$1:$AY$1,),)))))/(((VLOOKUP(EDATE(B286,-12),Database!$F:$AY,MATCH($V$1,Database!$F$1:$AY$1,),))))</f>
        <v>7.7283372365339512E-2</v>
      </c>
    </row>
    <row r="287" spans="1:22" s="85" customFormat="1" x14ac:dyDescent="0.2">
      <c r="A287" s="44"/>
      <c r="B287" s="91">
        <v>40878</v>
      </c>
      <c r="C287" s="13">
        <f>((((VLOOKUP(B287,Database!$F:$AY,MATCH($C$1,Database!$F$1:$AY$1,),))))-(((VLOOKUP(EDATE(B287,-12),Database!$F:$AY,MATCH($C$1,Database!$F$1:$AY$1,),)))))/(((VLOOKUP(EDATE(B287,-12),Database!$F:$AY,MATCH($C$1,Database!$F$1:$AY$1,),))))</f>
        <v>2.8395803675116991E-2</v>
      </c>
      <c r="D287" s="13">
        <f>((((VLOOKUP(B287,Database!$F:$AY,MATCH($D$1,Database!$F$1:$AY$1,),))))-(((VLOOKUP(EDATE(B287,-12),Database!$F:$AY,MATCH($D$1,Database!$F$1:$AY$1,),)))))/(((VLOOKUP(EDATE(B287,-12),Database!$F:$AY,MATCH($D$1,Database!$F$1:$AY$1,),))))</f>
        <v>-1.2036107520019095E-2</v>
      </c>
      <c r="E287" s="13">
        <f>((((VLOOKUP(B287,Database!$F:$AY,MATCH($E$1,Database!$F$1:$AY$1,),))))-(((VLOOKUP(EDATE(B287,-12),Database!$F:$AY,MATCH($E$1,Database!$F$1:$AY$1,),)))))/(((VLOOKUP(EDATE(B287,-12),Database!$F:$AY,MATCH($E$1,Database!$F$1:$AY$1,),))))</f>
        <v>-4.930955098715298E-3</v>
      </c>
      <c r="F287" s="13">
        <f>((((VLOOKUP(B287,Database!$F:$AY,MATCH($F$1,Database!$F$1:$AY$1,),))))-(((VLOOKUP(EDATE(B287,-12),Database!$F:$AY,MATCH($F$1,Database!$F$1:$AY$1,),)))))/(((VLOOKUP(EDATE(B287,-12),Database!$F:$AY,MATCH($F$1,Database!$F$1:$AY$1,),))))</f>
        <v>1.4675017467388488E-2</v>
      </c>
      <c r="G287" s="13">
        <f>((((VLOOKUP(B287,Database!$F:$AY,MATCH($G$1,Database!$F$1:$AY$1,),))))-(((VLOOKUP(EDATE(B287,-12),Database!$F:$AY,MATCH($G$1,Database!$F$1:$AY$1,),)))))/(((VLOOKUP(EDATE(B287,-12),Database!$F:$AY,MATCH($G$1,Database!$F$1:$AY$1,),))))</f>
        <v>-1.2654162071774732E-2</v>
      </c>
      <c r="H287" s="13">
        <f>((((VLOOKUP(B287,Database!$F:$AY,MATCH($H$1,Database!$F$1:$AY$1,),))))-(((VLOOKUP(EDATE(B287,-12),Database!$F:$AY,MATCH($H$1,Database!$F$1:$AY$1,),)))))/(((VLOOKUP(EDATE(B287,-12),Database!$F:$AY,MATCH($H$1,Database!$F$1:$AY$1,),))))</f>
        <v>-2.5125574632810871E-2</v>
      </c>
      <c r="I287" s="13">
        <f>((((VLOOKUP(B287,Database!$F:$AY,MATCH($I$1,Database!$F$1:$AY$1,),))))-(((VLOOKUP(EDATE(B287,-12),Database!$F:$AY,MATCH($I$1,Database!$F$1:$AY$1,),)))))/(((VLOOKUP(EDATE(B287,-12),Database!$F:$AY,MATCH($I$1,Database!$F$1:$AY$1,),))))</f>
        <v>-2.0909021481796575E-2</v>
      </c>
      <c r="J287" s="13">
        <f>((((VLOOKUP(B287,Database!$F:$AY,MATCH($J$1,Database!$F$1:$AY$1,),))))-(((VLOOKUP(EDATE(B287,-12),Database!$F:$AY,MATCH($J$1,Database!$F$1:$AY$1,),)))))/(((VLOOKUP(EDATE(B287,-12),Database!$F:$AY,MATCH($J$1,Database!$F$1:$AY$1,),))))</f>
        <v>-2.4481351865003671E-2</v>
      </c>
      <c r="K287" s="13">
        <f>((((VLOOKUP(B287,Database!$F:$AY,MATCH($K$1,Database!$F$1:$AY$1,),))))-(((VLOOKUP(EDATE(B287,-12),Database!$F:$AY,MATCH($K$1,Database!$F$1:$AY$1,),)))))/(((VLOOKUP(EDATE(B287,-12),Database!$F:$AY,MATCH($K$1,Database!$F$1:$AY$1,),))))</f>
        <v>-3.8825757575757527E-2</v>
      </c>
      <c r="L287" s="13">
        <f>((((VLOOKUP(B287,Database!$F:$AY,MATCH($L$1,Database!$F$1:$AY$1,),))))-(((VLOOKUP(EDATE(B287,-12),Database!$F:$AY,MATCH($L$1,Database!$F$1:$AY$1,),)))))/(((VLOOKUP(EDATE(B287,-12),Database!$F:$AY,MATCH($L$1,Database!$F$1:$AY$1,),))))</f>
        <v>3.8637026296503479E-2</v>
      </c>
      <c r="M287" s="13">
        <f>((((VLOOKUP(B287,Database!$F:$AY,MATCH($M$1,Database!$F$1:$AY$1,),))))-(((VLOOKUP(EDATE(B287,-12),Database!$F:$AY,MATCH($M$1,Database!$F$1:$AY$1,),)))))/(((VLOOKUP(EDATE(B287,-12),Database!$F:$AY,MATCH($M$1,Database!$F$1:$AY$1,),))))</f>
        <v>4.0650406504065047E-2</v>
      </c>
      <c r="N287" s="13">
        <f>((((VLOOKUP(B287,Database!$F:$AY,MATCH($N$1,Database!$F$1:$AY$1,),))))-(((VLOOKUP(EDATE(B287,-12),Database!$F:$AY,MATCH($N$1,Database!$F$1:$AY$1,),)))))/(((VLOOKUP(EDATE(B287,-12),Database!$F:$AY,MATCH($N$1,Database!$F$1:$AY$1,),))))</f>
        <v>3.0568175259878878E-2</v>
      </c>
      <c r="O287" s="13">
        <f>((((VLOOKUP(B287,Database!$F:$AY,MATCH($O$1,Database!$F$1:$AY$1,),))))-(((VLOOKUP(EDATE(B287,-12),Database!$F:$AY,MATCH($O$1,Database!$F$1:$AY$1,),)))))/(((VLOOKUP(EDATE(B287,-12),Database!$F:$AY,MATCH($O$1,Database!$F$1:$AY$1,),))))</f>
        <v>3.3012125427423177E-2</v>
      </c>
      <c r="P287" s="13">
        <f>((((VLOOKUP(B287,Database!$F:$AY,MATCH($P$1,Database!$F$1:$AY$1,),))))-(((VLOOKUP(EDATE(B287,-12),Database!$F:$AY,MATCH($P$1,Database!$F$1:$AY$1,),)))))/(((VLOOKUP(EDATE(B287,-12),Database!$F:$AY,MATCH($P$1,Database!$F$1:$AY$1,),))))</f>
        <v>3.6835510525795897E-3</v>
      </c>
      <c r="Q287" s="13">
        <f>((((VLOOKUP(B287,Database!$F:$AY,MATCH($Q$1,Database!$F$1:$AY$1,),))))-(((VLOOKUP(EDATE(B287,-12),Database!$F:$AY,MATCH($Q$1,Database!$F$1:$AY$1,),)))))/(((VLOOKUP(EDATE(B287,-12),Database!$F:$AY,MATCH($Q$1,Database!$F$1:$AY$1,),))))</f>
        <v>-2.9210804194753572E-3</v>
      </c>
      <c r="R287" s="13">
        <f>((((VLOOKUP(B287,Database!$F:$AY,MATCH($R$1,Database!$F$1:$AY$1,),))))-(((VLOOKUP(EDATE(B287,-12),Database!$F:$AY,MATCH($R$1,Database!$F$1:$AY$1,),)))))/(((VLOOKUP(EDATE(B287,-12),Database!$F:$AY,MATCH($R$1,Database!$F$1:$AY$1,),))))</f>
        <v>-0.1268591219163539</v>
      </c>
      <c r="S287" s="13">
        <f>((((VLOOKUP(B287,Database!$F:$AY,MATCH($S$1,Database!$F$1:$AY$1,),))))-(((VLOOKUP(EDATE(B287,-12),Database!$F:$AY,MATCH($S$1,Database!$F$1:$AY$1,),)))))/(((VLOOKUP(EDATE(B287,-12),Database!$F:$AY,MATCH($S$1,Database!$F$1:$AY$1,),))))</f>
        <v>-4.7388727847517416E-2</v>
      </c>
      <c r="T287" s="13">
        <f>((((VLOOKUP(B287,Database!$F:$AY,MATCH($T$1,Database!$F$1:$AY$1,),))))-(((VLOOKUP(EDATE(B287,-12),Database!$F:$AY,MATCH($T$1,Database!$F$1:$AY$1,),)))))/(((VLOOKUP(EDATE(B287,-12),Database!$F:$AY,MATCH($T$1,Database!$F$1:$AY$1,),))))</f>
        <v>9.366742798773886E-2</v>
      </c>
      <c r="U287" s="13">
        <f>((((VLOOKUP(B287,Database!$F:$AY,MATCH($U$1,Database!$F$1:$AY$1,),))))-(((VLOOKUP(EDATE(B287,-12),Database!$F:$AY,MATCH($U$1,Database!$F$1:$AY$1,),)))))/(((VLOOKUP(EDATE(B287,-12),Database!$F:$AY,MATCH($U$1,Database!$F$1:$AY$1,),))))</f>
        <v>4.7138047138047229E-2</v>
      </c>
      <c r="V287" s="13">
        <f>((((VLOOKUP(B287,Database!$F:$AY,MATCH($V$1,Database!$F$1:$AY$1,),))))-(((VLOOKUP(EDATE(B287,-12),Database!$F:$AY,MATCH($V$1,Database!$F$1:$AY$1,),)))))/(((VLOOKUP(EDATE(B287,-12),Database!$F:$AY,MATCH($V$1,Database!$F$1:$AY$1,),))))</f>
        <v>0.12996389891696766</v>
      </c>
    </row>
    <row r="288" spans="1:22" s="85" customFormat="1" x14ac:dyDescent="0.2">
      <c r="A288" s="44"/>
      <c r="B288" s="91">
        <v>40909</v>
      </c>
      <c r="C288" s="13">
        <f>((((VLOOKUP(B288,Database!$F:$AY,MATCH($C$1,Database!$F$1:$AY$1,),))))-(((VLOOKUP(EDATE(B288,-12),Database!$F:$AY,MATCH($C$1,Database!$F$1:$AY$1,),)))))/(((VLOOKUP(EDATE(B288,-12),Database!$F:$AY,MATCH($C$1,Database!$F$1:$AY$1,),))))</f>
        <v>3.6024939491250095E-2</v>
      </c>
      <c r="D288" s="13">
        <f>((((VLOOKUP(B288,Database!$F:$AY,MATCH($D$1,Database!$F$1:$AY$1,),))))-(((VLOOKUP(EDATE(B288,-12),Database!$F:$AY,MATCH($D$1,Database!$F$1:$AY$1,),)))))/(((VLOOKUP(EDATE(B288,-12),Database!$F:$AY,MATCH($D$1,Database!$F$1:$AY$1,),))))</f>
        <v>-1.4112936359254256E-2</v>
      </c>
      <c r="E288" s="13">
        <f>((((VLOOKUP(B288,Database!$F:$AY,MATCH($E$1,Database!$F$1:$AY$1,),))))-(((VLOOKUP(EDATE(B288,-12),Database!$F:$AY,MATCH($E$1,Database!$F$1:$AY$1,),)))))/(((VLOOKUP(EDATE(B288,-12),Database!$F:$AY,MATCH($E$1,Database!$F$1:$AY$1,),))))</f>
        <v>-8.8152471904858684E-3</v>
      </c>
      <c r="F288" s="13">
        <f>((((VLOOKUP(B288,Database!$F:$AY,MATCH($F$1,Database!$F$1:$AY$1,),))))-(((VLOOKUP(EDATE(B288,-12),Database!$F:$AY,MATCH($F$1,Database!$F$1:$AY$1,),)))))/(((VLOOKUP(EDATE(B288,-12),Database!$F:$AY,MATCH($F$1,Database!$F$1:$AY$1,),))))</f>
        <v>2.2058770231595907E-2</v>
      </c>
      <c r="G288" s="13">
        <f>((((VLOOKUP(B288,Database!$F:$AY,MATCH($G$1,Database!$F$1:$AY$1,),))))-(((VLOOKUP(EDATE(B288,-12),Database!$F:$AY,MATCH($G$1,Database!$F$1:$AY$1,),)))))/(((VLOOKUP(EDATE(B288,-12),Database!$F:$AY,MATCH($G$1,Database!$F$1:$AY$1,),))))</f>
        <v>-3.0009358387779596E-2</v>
      </c>
      <c r="H288" s="13">
        <f>((((VLOOKUP(B288,Database!$F:$AY,MATCH($H$1,Database!$F$1:$AY$1,),))))-(((VLOOKUP(EDATE(B288,-12),Database!$F:$AY,MATCH($H$1,Database!$F$1:$AY$1,),)))))/(((VLOOKUP(EDATE(B288,-12),Database!$F:$AY,MATCH($H$1,Database!$F$1:$AY$1,),))))</f>
        <v>-2.7053606327177657E-2</v>
      </c>
      <c r="I288" s="13">
        <f>((((VLOOKUP(B288,Database!$F:$AY,MATCH($I$1,Database!$F$1:$AY$1,),))))-(((VLOOKUP(EDATE(B288,-12),Database!$F:$AY,MATCH($I$1,Database!$F$1:$AY$1,),)))))/(((VLOOKUP(EDATE(B288,-12),Database!$F:$AY,MATCH($I$1,Database!$F$1:$AY$1,),))))</f>
        <v>-3.9814428980192773E-2</v>
      </c>
      <c r="J288" s="13">
        <f>((((VLOOKUP(B288,Database!$F:$AY,MATCH($J$1,Database!$F$1:$AY$1,),))))-(((VLOOKUP(EDATE(B288,-12),Database!$F:$AY,MATCH($J$1,Database!$F$1:$AY$1,),)))))/(((VLOOKUP(EDATE(B288,-12),Database!$F:$AY,MATCH($J$1,Database!$F$1:$AY$1,),))))</f>
        <v>-4.7884668301276197E-2</v>
      </c>
      <c r="K288" s="13">
        <f>((((VLOOKUP(B288,Database!$F:$AY,MATCH($K$1,Database!$F$1:$AY$1,),))))-(((VLOOKUP(EDATE(B288,-12),Database!$F:$AY,MATCH($K$1,Database!$F$1:$AY$1,),)))))/(((VLOOKUP(EDATE(B288,-12),Database!$F:$AY,MATCH($K$1,Database!$F$1:$AY$1,),))))</f>
        <v>1.2241054613935943E-2</v>
      </c>
      <c r="L288" s="13">
        <f>((((VLOOKUP(B288,Database!$F:$AY,MATCH($L$1,Database!$F$1:$AY$1,),))))-(((VLOOKUP(EDATE(B288,-12),Database!$F:$AY,MATCH($L$1,Database!$F$1:$AY$1,),)))))/(((VLOOKUP(EDATE(B288,-12),Database!$F:$AY,MATCH($L$1,Database!$F$1:$AY$1,),))))</f>
        <v>3.6460140117160637E-2</v>
      </c>
      <c r="M288" s="13">
        <f>((((VLOOKUP(B288,Database!$F:$AY,MATCH($M$1,Database!$F$1:$AY$1,),))))-(((VLOOKUP(EDATE(B288,-12),Database!$F:$AY,MATCH($M$1,Database!$F$1:$AY$1,),)))))/(((VLOOKUP(EDATE(B288,-12),Database!$F:$AY,MATCH($M$1,Database!$F$1:$AY$1,),))))</f>
        <v>3.4562211981566823E-2</v>
      </c>
      <c r="N288" s="13">
        <f>((((VLOOKUP(B288,Database!$F:$AY,MATCH($N$1,Database!$F$1:$AY$1,),))))-(((VLOOKUP(EDATE(B288,-12),Database!$F:$AY,MATCH($N$1,Database!$F$1:$AY$1,),)))))/(((VLOOKUP(EDATE(B288,-12),Database!$F:$AY,MATCH($N$1,Database!$F$1:$AY$1,),))))</f>
        <v>7.3717429022560092E-3</v>
      </c>
      <c r="O288" s="13">
        <f>((((VLOOKUP(B288,Database!$F:$AY,MATCH($O$1,Database!$F$1:$AY$1,),))))-(((VLOOKUP(EDATE(B288,-12),Database!$F:$AY,MATCH($O$1,Database!$F$1:$AY$1,),)))))/(((VLOOKUP(EDATE(B288,-12),Database!$F:$AY,MATCH($O$1,Database!$F$1:$AY$1,),))))</f>
        <v>3.55202318021694E-2</v>
      </c>
      <c r="P288" s="13">
        <f>((((VLOOKUP(B288,Database!$F:$AY,MATCH($P$1,Database!$F$1:$AY$1,),))))-(((VLOOKUP(EDATE(B288,-12),Database!$F:$AY,MATCH($P$1,Database!$F$1:$AY$1,),)))))/(((VLOOKUP(EDATE(B288,-12),Database!$F:$AY,MATCH($P$1,Database!$F$1:$AY$1,),))))</f>
        <v>6.6729450576067167E-3</v>
      </c>
      <c r="Q288" s="13">
        <f>((((VLOOKUP(B288,Database!$F:$AY,MATCH($Q$1,Database!$F$1:$AY$1,),))))-(((VLOOKUP(EDATE(B288,-12),Database!$F:$AY,MATCH($Q$1,Database!$F$1:$AY$1,),)))))/(((VLOOKUP(EDATE(B288,-12),Database!$F:$AY,MATCH($Q$1,Database!$F$1:$AY$1,),))))</f>
        <v>-4.6692706699757183E-2</v>
      </c>
      <c r="R288" s="13">
        <f>((((VLOOKUP(B288,Database!$F:$AY,MATCH($R$1,Database!$F$1:$AY$1,),))))-(((VLOOKUP(EDATE(B288,-12),Database!$F:$AY,MATCH($R$1,Database!$F$1:$AY$1,),)))))/(((VLOOKUP(EDATE(B288,-12),Database!$F:$AY,MATCH($R$1,Database!$F$1:$AY$1,),))))</f>
        <v>-7.0661961122847228E-2</v>
      </c>
      <c r="S288" s="13">
        <f>((((VLOOKUP(B288,Database!$F:$AY,MATCH($S$1,Database!$F$1:$AY$1,),))))-(((VLOOKUP(EDATE(B288,-12),Database!$F:$AY,MATCH($S$1,Database!$F$1:$AY$1,),)))))/(((VLOOKUP(EDATE(B288,-12),Database!$F:$AY,MATCH($S$1,Database!$F$1:$AY$1,),))))</f>
        <v>-3.0211475534282139E-3</v>
      </c>
      <c r="T288" s="13">
        <f>((((VLOOKUP(B288,Database!$F:$AY,MATCH($T$1,Database!$F$1:$AY$1,),))))-(((VLOOKUP(EDATE(B288,-12),Database!$F:$AY,MATCH($T$1,Database!$F$1:$AY$1,),)))))/(((VLOOKUP(EDATE(B288,-12),Database!$F:$AY,MATCH($T$1,Database!$F$1:$AY$1,),))))</f>
        <v>3.7974555349040498E-2</v>
      </c>
      <c r="U288" s="13">
        <f>((((VLOOKUP(B288,Database!$F:$AY,MATCH($U$1,Database!$F$1:$AY$1,),))))-(((VLOOKUP(EDATE(B288,-12),Database!$F:$AY,MATCH($U$1,Database!$F$1:$AY$1,),)))))/(((VLOOKUP(EDATE(B288,-12),Database!$F:$AY,MATCH($U$1,Database!$F$1:$AY$1,),))))</f>
        <v>0</v>
      </c>
      <c r="V288" s="13">
        <f>((((VLOOKUP(B288,Database!$F:$AY,MATCH($V$1,Database!$F$1:$AY$1,),))))-(((VLOOKUP(EDATE(B288,-12),Database!$F:$AY,MATCH($V$1,Database!$F$1:$AY$1,),)))))/(((VLOOKUP(EDATE(B288,-12),Database!$F:$AY,MATCH($V$1,Database!$F$1:$AY$1,),))))</f>
        <v>5.9509918319719884E-2</v>
      </c>
    </row>
    <row r="289" spans="1:22" s="85" customFormat="1" x14ac:dyDescent="0.2">
      <c r="A289" s="44"/>
      <c r="B289" s="91">
        <v>40940</v>
      </c>
      <c r="C289" s="13">
        <f>((((VLOOKUP(B289,Database!$F:$AY,MATCH($C$1,Database!$F$1:$AY$1,),))))-(((VLOOKUP(EDATE(B289,-12),Database!$F:$AY,MATCH($C$1,Database!$F$1:$AY$1,),)))))/(((VLOOKUP(EDATE(B289,-12),Database!$F:$AY,MATCH($C$1,Database!$F$1:$AY$1,),))))</f>
        <v>4.2976365070203984E-2</v>
      </c>
      <c r="D289" s="13">
        <f>((((VLOOKUP(B289,Database!$F:$AY,MATCH($D$1,Database!$F$1:$AY$1,),))))-(((VLOOKUP(EDATE(B289,-12),Database!$F:$AY,MATCH($D$1,Database!$F$1:$AY$1,),)))))/(((VLOOKUP(EDATE(B289,-12),Database!$F:$AY,MATCH($D$1,Database!$F$1:$AY$1,),))))</f>
        <v>-1.6982753366445648E-2</v>
      </c>
      <c r="E289" s="13">
        <f>((((VLOOKUP(B289,Database!$F:$AY,MATCH($E$1,Database!$F$1:$AY$1,),))))-(((VLOOKUP(EDATE(B289,-12),Database!$F:$AY,MATCH($E$1,Database!$F$1:$AY$1,),)))))/(((VLOOKUP(EDATE(B289,-12),Database!$F:$AY,MATCH($E$1,Database!$F$1:$AY$1,),))))</f>
        <v>-1.4634118521531935E-2</v>
      </c>
      <c r="F289" s="13">
        <f>((((VLOOKUP(B289,Database!$F:$AY,MATCH($F$1,Database!$F$1:$AY$1,),))))-(((VLOOKUP(EDATE(B289,-12),Database!$F:$AY,MATCH($F$1,Database!$F$1:$AY$1,),)))))/(((VLOOKUP(EDATE(B289,-12),Database!$F:$AY,MATCH($F$1,Database!$F$1:$AY$1,),))))</f>
        <v>9.3457419818349236E-3</v>
      </c>
      <c r="G289" s="13">
        <f>((((VLOOKUP(B289,Database!$F:$AY,MATCH($G$1,Database!$F$1:$AY$1,),))))-(((VLOOKUP(EDATE(B289,-12),Database!$F:$AY,MATCH($G$1,Database!$F$1:$AY$1,),)))))/(((VLOOKUP(EDATE(B289,-12),Database!$F:$AY,MATCH($G$1,Database!$F$1:$AY$1,),))))</f>
        <v>-2.3873235993169713E-2</v>
      </c>
      <c r="H289" s="13">
        <f>((((VLOOKUP(B289,Database!$F:$AY,MATCH($H$1,Database!$F$1:$AY$1,),))))-(((VLOOKUP(EDATE(B289,-12),Database!$F:$AY,MATCH($H$1,Database!$F$1:$AY$1,),)))))/(((VLOOKUP(EDATE(B289,-12),Database!$F:$AY,MATCH($H$1,Database!$F$1:$AY$1,),))))</f>
        <v>-1.7258778019846134E-2</v>
      </c>
      <c r="I289" s="13">
        <f>((((VLOOKUP(B289,Database!$F:$AY,MATCH($I$1,Database!$F$1:$AY$1,),))))-(((VLOOKUP(EDATE(B289,-12),Database!$F:$AY,MATCH($I$1,Database!$F$1:$AY$1,),)))))/(((VLOOKUP(EDATE(B289,-12),Database!$F:$AY,MATCH($I$1,Database!$F$1:$AY$1,),))))</f>
        <v>-6.1427869344155027E-2</v>
      </c>
      <c r="J289" s="13">
        <f>((((VLOOKUP(B289,Database!$F:$AY,MATCH($J$1,Database!$F$1:$AY$1,),))))-(((VLOOKUP(EDATE(B289,-12),Database!$F:$AY,MATCH($J$1,Database!$F$1:$AY$1,),)))))/(((VLOOKUP(EDATE(B289,-12),Database!$F:$AY,MATCH($J$1,Database!$F$1:$AY$1,),))))</f>
        <v>-7.0160777664702842E-2</v>
      </c>
      <c r="K289" s="13">
        <f>((((VLOOKUP(B289,Database!$F:$AY,MATCH($K$1,Database!$F$1:$AY$1,),))))-(((VLOOKUP(EDATE(B289,-12),Database!$F:$AY,MATCH($K$1,Database!$F$1:$AY$1,),)))))/(((VLOOKUP(EDATE(B289,-12),Database!$F:$AY,MATCH($K$1,Database!$F$1:$AY$1,),))))</f>
        <v>-5.6744186046511574E-2</v>
      </c>
      <c r="L289" s="13">
        <f>((((VLOOKUP(B289,Database!$F:$AY,MATCH($L$1,Database!$F$1:$AY$1,),))))-(((VLOOKUP(EDATE(B289,-12),Database!$F:$AY,MATCH($L$1,Database!$F$1:$AY$1,),)))))/(((VLOOKUP(EDATE(B289,-12),Database!$F:$AY,MATCH($L$1,Database!$F$1:$AY$1,),))))</f>
        <v>3.7384617195962366E-2</v>
      </c>
      <c r="M289" s="13">
        <f>((((VLOOKUP(B289,Database!$F:$AY,MATCH($M$1,Database!$F$1:$AY$1,),))))-(((VLOOKUP(EDATE(B289,-12),Database!$F:$AY,MATCH($M$1,Database!$F$1:$AY$1,),)))))/(((VLOOKUP(EDATE(B289,-12),Database!$F:$AY,MATCH($M$1,Database!$F$1:$AY$1,),))))</f>
        <v>4.3879907621247244E-2</v>
      </c>
      <c r="N289" s="13">
        <f>((((VLOOKUP(B289,Database!$F:$AY,MATCH($N$1,Database!$F$1:$AY$1,),))))-(((VLOOKUP(EDATE(B289,-12),Database!$F:$AY,MATCH($N$1,Database!$F$1:$AY$1,),)))))/(((VLOOKUP(EDATE(B289,-12),Database!$F:$AY,MATCH($N$1,Database!$F$1:$AY$1,),))))</f>
        <v>6.7370505319364008E-3</v>
      </c>
      <c r="O289" s="13">
        <f>((((VLOOKUP(B289,Database!$F:$AY,MATCH($O$1,Database!$F$1:$AY$1,),))))-(((VLOOKUP(EDATE(B289,-12),Database!$F:$AY,MATCH($O$1,Database!$F$1:$AY$1,),)))))/(((VLOOKUP(EDATE(B289,-12),Database!$F:$AY,MATCH($O$1,Database!$F$1:$AY$1,),))))</f>
        <v>1.714385508841771E-2</v>
      </c>
      <c r="P289" s="13">
        <f>((((VLOOKUP(B289,Database!$F:$AY,MATCH($P$1,Database!$F$1:$AY$1,),))))-(((VLOOKUP(EDATE(B289,-12),Database!$F:$AY,MATCH($P$1,Database!$F$1:$AY$1,),)))))/(((VLOOKUP(EDATE(B289,-12),Database!$F:$AY,MATCH($P$1,Database!$F$1:$AY$1,),))))</f>
        <v>5.6807235503792679E-2</v>
      </c>
      <c r="Q289" s="13">
        <f>((((VLOOKUP(B289,Database!$F:$AY,MATCH($Q$1,Database!$F$1:$AY$1,),))))-(((VLOOKUP(EDATE(B289,-12),Database!$F:$AY,MATCH($Q$1,Database!$F$1:$AY$1,),)))))/(((VLOOKUP(EDATE(B289,-12),Database!$F:$AY,MATCH($Q$1,Database!$F$1:$AY$1,),))))</f>
        <v>-4.8030815941927818E-2</v>
      </c>
      <c r="R289" s="13">
        <f>((((VLOOKUP(B289,Database!$F:$AY,MATCH($R$1,Database!$F$1:$AY$1,),))))-(((VLOOKUP(EDATE(B289,-12),Database!$F:$AY,MATCH($R$1,Database!$F$1:$AY$1,),)))))/(((VLOOKUP(EDATE(B289,-12),Database!$F:$AY,MATCH($R$1,Database!$F$1:$AY$1,),))))</f>
        <v>-7.8307297885474109E-2</v>
      </c>
      <c r="S289" s="13">
        <f>((((VLOOKUP(B289,Database!$F:$AY,MATCH($S$1,Database!$F$1:$AY$1,),))))-(((VLOOKUP(EDATE(B289,-12),Database!$F:$AY,MATCH($S$1,Database!$F$1:$AY$1,),)))))/(((VLOOKUP(EDATE(B289,-12),Database!$F:$AY,MATCH($S$1,Database!$F$1:$AY$1,),))))</f>
        <v>-1.1000051735077093E-2</v>
      </c>
      <c r="T289" s="13">
        <f>((((VLOOKUP(B289,Database!$F:$AY,MATCH($T$1,Database!$F$1:$AY$1,),))))-(((VLOOKUP(EDATE(B289,-12),Database!$F:$AY,MATCH($T$1,Database!$F$1:$AY$1,),)))))/(((VLOOKUP(EDATE(B289,-12),Database!$F:$AY,MATCH($T$1,Database!$F$1:$AY$1,),))))</f>
        <v>3.9845735223190785E-2</v>
      </c>
      <c r="U289" s="13">
        <f>((((VLOOKUP(B289,Database!$F:$AY,MATCH($U$1,Database!$F$1:$AY$1,),))))-(((VLOOKUP(EDATE(B289,-12),Database!$F:$AY,MATCH($U$1,Database!$F$1:$AY$1,),)))))/(((VLOOKUP(EDATE(B289,-12),Database!$F:$AY,MATCH($U$1,Database!$F$1:$AY$1,),))))</f>
        <v>2.5274762836837793E-2</v>
      </c>
      <c r="V289" s="13">
        <f>((((VLOOKUP(B289,Database!$F:$AY,MATCH($V$1,Database!$F$1:$AY$1,),))))-(((VLOOKUP(EDATE(B289,-12),Database!$F:$AY,MATCH($V$1,Database!$F$1:$AY$1,),)))))/(((VLOOKUP(EDATE(B289,-12),Database!$F:$AY,MATCH($V$1,Database!$F$1:$AY$1,),))))</f>
        <v>9.1116173120728613E-3</v>
      </c>
    </row>
    <row r="290" spans="1:22" s="85" customFormat="1" x14ac:dyDescent="0.2">
      <c r="A290" s="44"/>
      <c r="B290" s="91">
        <v>40969</v>
      </c>
      <c r="C290" s="13">
        <f>((((VLOOKUP(B290,Database!$F:$AY,MATCH($C$1,Database!$F$1:$AY$1,),))))-(((VLOOKUP(EDATE(B290,-12),Database!$F:$AY,MATCH($C$1,Database!$F$1:$AY$1,),)))))/(((VLOOKUP(EDATE(B290,-12),Database!$F:$AY,MATCH($C$1,Database!$F$1:$AY$1,),))))</f>
        <v>2.7894267414732929E-2</v>
      </c>
      <c r="D290" s="13">
        <f>((((VLOOKUP(B290,Database!$F:$AY,MATCH($D$1,Database!$F$1:$AY$1,),))))-(((VLOOKUP(EDATE(B290,-12),Database!$F:$AY,MATCH($D$1,Database!$F$1:$AY$1,),)))))/(((VLOOKUP(EDATE(B290,-12),Database!$F:$AY,MATCH($D$1,Database!$F$1:$AY$1,),))))</f>
        <v>-1.8962042575958304E-2</v>
      </c>
      <c r="E290" s="13">
        <f>((((VLOOKUP(B290,Database!$F:$AY,MATCH($E$1,Database!$F$1:$AY$1,),))))-(((VLOOKUP(EDATE(B290,-12),Database!$F:$AY,MATCH($E$1,Database!$F$1:$AY$1,),)))))/(((VLOOKUP(EDATE(B290,-12),Database!$F:$AY,MATCH($E$1,Database!$F$1:$AY$1,),))))</f>
        <v>0.1680180666845717</v>
      </c>
      <c r="F290" s="13">
        <f>((((VLOOKUP(B290,Database!$F:$AY,MATCH($F$1,Database!$F$1:$AY$1,),))))-(((VLOOKUP(EDATE(B290,-12),Database!$F:$AY,MATCH($F$1,Database!$F$1:$AY$1,),)))))/(((VLOOKUP(EDATE(B290,-12),Database!$F:$AY,MATCH($F$1,Database!$F$1:$AY$1,),))))</f>
        <v>1.5479928563702779E-2</v>
      </c>
      <c r="G290" s="13">
        <f>((((VLOOKUP(B290,Database!$F:$AY,MATCH($G$1,Database!$F$1:$AY$1,),))))-(((VLOOKUP(EDATE(B290,-12),Database!$F:$AY,MATCH($G$1,Database!$F$1:$AY$1,),)))))/(((VLOOKUP(EDATE(B290,-12),Database!$F:$AY,MATCH($G$1,Database!$F$1:$AY$1,),))))</f>
        <v>-1.9323066406837869E-2</v>
      </c>
      <c r="H290" s="13">
        <f>((((VLOOKUP(B290,Database!$F:$AY,MATCH($H$1,Database!$F$1:$AY$1,),))))-(((VLOOKUP(EDATE(B290,-12),Database!$F:$AY,MATCH($H$1,Database!$F$1:$AY$1,),)))))/(((VLOOKUP(EDATE(B290,-12),Database!$F:$AY,MATCH($H$1,Database!$F$1:$AY$1,),))))</f>
        <v>-2.6395663108653024E-2</v>
      </c>
      <c r="I290" s="13">
        <f>((((VLOOKUP(B290,Database!$F:$AY,MATCH($I$1,Database!$F$1:$AY$1,),))))-(((VLOOKUP(EDATE(B290,-12),Database!$F:$AY,MATCH($I$1,Database!$F$1:$AY$1,),)))))/(((VLOOKUP(EDATE(B290,-12),Database!$F:$AY,MATCH($I$1,Database!$F$1:$AY$1,),))))</f>
        <v>-5.8611715309114895E-2</v>
      </c>
      <c r="J290" s="13">
        <f>((((VLOOKUP(B290,Database!$F:$AY,MATCH($J$1,Database!$F$1:$AY$1,),))))-(((VLOOKUP(EDATE(B290,-12),Database!$F:$AY,MATCH($J$1,Database!$F$1:$AY$1,),)))))/(((VLOOKUP(EDATE(B290,-12),Database!$F:$AY,MATCH($J$1,Database!$F$1:$AY$1,),))))</f>
        <v>-7.0841038405142512E-2</v>
      </c>
      <c r="K290" s="13">
        <f>((((VLOOKUP(B290,Database!$F:$AY,MATCH($K$1,Database!$F$1:$AY$1,),))))-(((VLOOKUP(EDATE(B290,-12),Database!$F:$AY,MATCH($K$1,Database!$F$1:$AY$1,),)))))/(((VLOOKUP(EDATE(B290,-12),Database!$F:$AY,MATCH($K$1,Database!$F$1:$AY$1,),))))</f>
        <v>-4.1431261770244872E-2</v>
      </c>
      <c r="L290" s="13">
        <f>((((VLOOKUP(B290,Database!$F:$AY,MATCH($L$1,Database!$F$1:$AY$1,),))))-(((VLOOKUP(EDATE(B290,-12),Database!$F:$AY,MATCH($L$1,Database!$F$1:$AY$1,),)))))/(((VLOOKUP(EDATE(B290,-12),Database!$F:$AY,MATCH($L$1,Database!$F$1:$AY$1,),))))</f>
        <v>3.2419657708004639E-2</v>
      </c>
      <c r="M290" s="13">
        <f>((((VLOOKUP(B290,Database!$F:$AY,MATCH($M$1,Database!$F$1:$AY$1,),))))-(((VLOOKUP(EDATE(B290,-12),Database!$F:$AY,MATCH($M$1,Database!$F$1:$AY$1,),)))))/(((VLOOKUP(EDATE(B290,-12),Database!$F:$AY,MATCH($M$1,Database!$F$1:$AY$1,),))))</f>
        <v>3.9306358381502954E-2</v>
      </c>
      <c r="N290" s="13">
        <f>((((VLOOKUP(B290,Database!$F:$AY,MATCH($N$1,Database!$F$1:$AY$1,),))))-(((VLOOKUP(EDATE(B290,-12),Database!$F:$AY,MATCH($N$1,Database!$F$1:$AY$1,),)))))/(((VLOOKUP(EDATE(B290,-12),Database!$F:$AY,MATCH($N$1,Database!$F$1:$AY$1,),))))</f>
        <v>-2.5417999281336336E-2</v>
      </c>
      <c r="O290" s="13">
        <f>((((VLOOKUP(B290,Database!$F:$AY,MATCH($O$1,Database!$F$1:$AY$1,),))))-(((VLOOKUP(EDATE(B290,-12),Database!$F:$AY,MATCH($O$1,Database!$F$1:$AY$1,),)))))/(((VLOOKUP(EDATE(B290,-12),Database!$F:$AY,MATCH($O$1,Database!$F$1:$AY$1,),))))</f>
        <v>7.4598914957921311E-3</v>
      </c>
      <c r="P290" s="13">
        <f>((((VLOOKUP(B290,Database!$F:$AY,MATCH($P$1,Database!$F$1:$AY$1,),))))-(((VLOOKUP(EDATE(B290,-12),Database!$F:$AY,MATCH($P$1,Database!$F$1:$AY$1,),)))))/(((VLOOKUP(EDATE(B290,-12),Database!$F:$AY,MATCH($P$1,Database!$F$1:$AY$1,),))))</f>
        <v>8.9718443750873358E-3</v>
      </c>
      <c r="Q290" s="13">
        <f>((((VLOOKUP(B290,Database!$F:$AY,MATCH($Q$1,Database!$F$1:$AY$1,),))))-(((VLOOKUP(EDATE(B290,-12),Database!$F:$AY,MATCH($Q$1,Database!$F$1:$AY$1,),)))))/(((VLOOKUP(EDATE(B290,-12),Database!$F:$AY,MATCH($Q$1,Database!$F$1:$AY$1,),))))</f>
        <v>-6.3870167831489605E-2</v>
      </c>
      <c r="R290" s="13">
        <f>((((VLOOKUP(B290,Database!$F:$AY,MATCH($R$1,Database!$F$1:$AY$1,),))))-(((VLOOKUP(EDATE(B290,-12),Database!$F:$AY,MATCH($R$1,Database!$F$1:$AY$1,),)))))/(((VLOOKUP(EDATE(B290,-12),Database!$F:$AY,MATCH($R$1,Database!$F$1:$AY$1,),))))</f>
        <v>-8.1908254896571595E-2</v>
      </c>
      <c r="S290" s="13">
        <f>((((VLOOKUP(B290,Database!$F:$AY,MATCH($S$1,Database!$F$1:$AY$1,),))))-(((VLOOKUP(EDATE(B290,-12),Database!$F:$AY,MATCH($S$1,Database!$F$1:$AY$1,),)))))/(((VLOOKUP(EDATE(B290,-12),Database!$F:$AY,MATCH($S$1,Database!$F$1:$AY$1,),))))</f>
        <v>1.0090762899659919E-2</v>
      </c>
      <c r="T290" s="13">
        <f>((((VLOOKUP(B290,Database!$F:$AY,MATCH($T$1,Database!$F$1:$AY$1,),))))-(((VLOOKUP(EDATE(B290,-12),Database!$F:$AY,MATCH($T$1,Database!$F$1:$AY$1,),)))))/(((VLOOKUP(EDATE(B290,-12),Database!$F:$AY,MATCH($T$1,Database!$F$1:$AY$1,),))))</f>
        <v>6.7096680949575868E-2</v>
      </c>
      <c r="U290" s="13">
        <f>((((VLOOKUP(B290,Database!$F:$AY,MATCH($U$1,Database!$F$1:$AY$1,),))))-(((VLOOKUP(EDATE(B290,-12),Database!$F:$AY,MATCH($U$1,Database!$F$1:$AY$1,),)))))/(((VLOOKUP(EDATE(B290,-12),Database!$F:$AY,MATCH($U$1,Database!$F$1:$AY$1,),))))</f>
        <v>1.9867660062548947E-2</v>
      </c>
      <c r="V290" s="13">
        <f>((((VLOOKUP(B290,Database!$F:$AY,MATCH($V$1,Database!$F$1:$AY$1,),))))-(((VLOOKUP(EDATE(B290,-12),Database!$F:$AY,MATCH($V$1,Database!$F$1:$AY$1,),)))))/(((VLOOKUP(EDATE(B290,-12),Database!$F:$AY,MATCH($V$1,Database!$F$1:$AY$1,),))))</f>
        <v>3.3333333333333395E-2</v>
      </c>
    </row>
    <row r="291" spans="1:22" s="85" customFormat="1" x14ac:dyDescent="0.2">
      <c r="A291" s="44"/>
      <c r="B291" s="91">
        <v>41000</v>
      </c>
      <c r="C291" s="13">
        <f>((((VLOOKUP(B291,Database!$F:$AY,MATCH($C$1,Database!$F$1:$AY$1,),))))-(((VLOOKUP(EDATE(B291,-12),Database!$F:$AY,MATCH($C$1,Database!$F$1:$AY$1,),)))))/(((VLOOKUP(EDATE(B291,-12),Database!$F:$AY,MATCH($C$1,Database!$F$1:$AY$1,),))))</f>
        <v>3.9346021622147453E-2</v>
      </c>
      <c r="D291" s="13">
        <f>((((VLOOKUP(B291,Database!$F:$AY,MATCH($D$1,Database!$F$1:$AY$1,),))))-(((VLOOKUP(EDATE(B291,-12),Database!$F:$AY,MATCH($D$1,Database!$F$1:$AY$1,),)))))/(((VLOOKUP(EDATE(B291,-12),Database!$F:$AY,MATCH($D$1,Database!$F$1:$AY$1,),))))</f>
        <v>-2.3046124820198039E-2</v>
      </c>
      <c r="E291" s="13">
        <f>((((VLOOKUP(B291,Database!$F:$AY,MATCH($E$1,Database!$F$1:$AY$1,),))))-(((VLOOKUP(EDATE(B291,-12),Database!$F:$AY,MATCH($E$1,Database!$F$1:$AY$1,),)))))/(((VLOOKUP(EDATE(B291,-12),Database!$F:$AY,MATCH($E$1,Database!$F$1:$AY$1,),))))</f>
        <v>0.14106886264314331</v>
      </c>
      <c r="F291" s="13">
        <f>((((VLOOKUP(B291,Database!$F:$AY,MATCH($F$1,Database!$F$1:$AY$1,),))))-(((VLOOKUP(EDATE(B291,-12),Database!$F:$AY,MATCH($F$1,Database!$F$1:$AY$1,),)))))/(((VLOOKUP(EDATE(B291,-12),Database!$F:$AY,MATCH($F$1,Database!$F$1:$AY$1,),))))</f>
        <v>-9.2307184178538025E-3</v>
      </c>
      <c r="G291" s="13">
        <f>((((VLOOKUP(B291,Database!$F:$AY,MATCH($G$1,Database!$F$1:$AY$1,),))))-(((VLOOKUP(EDATE(B291,-12),Database!$F:$AY,MATCH($G$1,Database!$F$1:$AY$1,),)))))/(((VLOOKUP(EDATE(B291,-12),Database!$F:$AY,MATCH($G$1,Database!$F$1:$AY$1,),))))</f>
        <v>-1.9752930347213081E-4</v>
      </c>
      <c r="H291" s="13">
        <f>((((VLOOKUP(B291,Database!$F:$AY,MATCH($H$1,Database!$F$1:$AY$1,),))))-(((VLOOKUP(EDATE(B291,-12),Database!$F:$AY,MATCH($H$1,Database!$F$1:$AY$1,),)))))/(((VLOOKUP(EDATE(B291,-12),Database!$F:$AY,MATCH($H$1,Database!$F$1:$AY$1,),))))</f>
        <v>-1.3347368795785013E-2</v>
      </c>
      <c r="I291" s="13">
        <f>((((VLOOKUP(B291,Database!$F:$AY,MATCH($I$1,Database!$F$1:$AY$1,),))))-(((VLOOKUP(EDATE(B291,-12),Database!$F:$AY,MATCH($I$1,Database!$F$1:$AY$1,),)))))/(((VLOOKUP(EDATE(B291,-12),Database!$F:$AY,MATCH($I$1,Database!$F$1:$AY$1,),))))</f>
        <v>-8.042938331782705E-2</v>
      </c>
      <c r="J291" s="13">
        <f>((((VLOOKUP(B291,Database!$F:$AY,MATCH($J$1,Database!$F$1:$AY$1,),))))-(((VLOOKUP(EDATE(B291,-12),Database!$F:$AY,MATCH($J$1,Database!$F$1:$AY$1,),)))))/(((VLOOKUP(EDATE(B291,-12),Database!$F:$AY,MATCH($J$1,Database!$F$1:$AY$1,),))))</f>
        <v>-7.4779563289987624E-2</v>
      </c>
      <c r="K291" s="13">
        <f>((((VLOOKUP(B291,Database!$F:$AY,MATCH($K$1,Database!$F$1:$AY$1,),))))-(((VLOOKUP(EDATE(B291,-12),Database!$F:$AY,MATCH($K$1,Database!$F$1:$AY$1,),)))))/(((VLOOKUP(EDATE(B291,-12),Database!$F:$AY,MATCH($K$1,Database!$F$1:$AY$1,),))))</f>
        <v>-3.1309297912713578E-2</v>
      </c>
      <c r="L291" s="13">
        <f>((((VLOOKUP(B291,Database!$F:$AY,MATCH($L$1,Database!$F$1:$AY$1,),))))-(((VLOOKUP(EDATE(B291,-12),Database!$F:$AY,MATCH($L$1,Database!$F$1:$AY$1,),)))))/(((VLOOKUP(EDATE(B291,-12),Database!$F:$AY,MATCH($L$1,Database!$F$1:$AY$1,),))))</f>
        <v>3.7977953756898608E-2</v>
      </c>
      <c r="M291" s="13">
        <f>((((VLOOKUP(B291,Database!$F:$AY,MATCH($M$1,Database!$F$1:$AY$1,),))))-(((VLOOKUP(EDATE(B291,-12),Database!$F:$AY,MATCH($M$1,Database!$F$1:$AY$1,),)))))/(((VLOOKUP(EDATE(B291,-12),Database!$F:$AY,MATCH($M$1,Database!$F$1:$AY$1,),))))</f>
        <v>2.7428571428571493E-2</v>
      </c>
      <c r="N291" s="13">
        <f>((((VLOOKUP(B291,Database!$F:$AY,MATCH($N$1,Database!$F$1:$AY$1,),))))-(((VLOOKUP(EDATE(B291,-12),Database!$F:$AY,MATCH($N$1,Database!$F$1:$AY$1,),)))))/(((VLOOKUP(EDATE(B291,-12),Database!$F:$AY,MATCH($N$1,Database!$F$1:$AY$1,),))))</f>
        <v>-2.4138532613963062E-2</v>
      </c>
      <c r="O291" s="13">
        <f>((((VLOOKUP(B291,Database!$F:$AY,MATCH($O$1,Database!$F$1:$AY$1,),))))-(((VLOOKUP(EDATE(B291,-12),Database!$F:$AY,MATCH($O$1,Database!$F$1:$AY$1,),)))))/(((VLOOKUP(EDATE(B291,-12),Database!$F:$AY,MATCH($O$1,Database!$F$1:$AY$1,),))))</f>
        <v>1.257419869983931E-2</v>
      </c>
      <c r="P291" s="13">
        <f>((((VLOOKUP(B291,Database!$F:$AY,MATCH($P$1,Database!$F$1:$AY$1,),))))-(((VLOOKUP(EDATE(B291,-12),Database!$F:$AY,MATCH($P$1,Database!$F$1:$AY$1,),)))))/(((VLOOKUP(EDATE(B291,-12),Database!$F:$AY,MATCH($P$1,Database!$F$1:$AY$1,),))))</f>
        <v>3.2204558587014931E-2</v>
      </c>
      <c r="Q291" s="13">
        <f>((((VLOOKUP(B291,Database!$F:$AY,MATCH($Q$1,Database!$F$1:$AY$1,),))))-(((VLOOKUP(EDATE(B291,-12),Database!$F:$AY,MATCH($Q$1,Database!$F$1:$AY$1,),)))))/(((VLOOKUP(EDATE(B291,-12),Database!$F:$AY,MATCH($Q$1,Database!$F$1:$AY$1,),))))</f>
        <v>-3.5259843080043436E-2</v>
      </c>
      <c r="R291" s="13">
        <f>((((VLOOKUP(B291,Database!$F:$AY,MATCH($R$1,Database!$F$1:$AY$1,),))))-(((VLOOKUP(EDATE(B291,-12),Database!$F:$AY,MATCH($R$1,Database!$F$1:$AY$1,),)))))/(((VLOOKUP(EDATE(B291,-12),Database!$F:$AY,MATCH($R$1,Database!$F$1:$AY$1,),))))</f>
        <v>-4.3720727508435461E-2</v>
      </c>
      <c r="S291" s="13">
        <f>((((VLOOKUP(B291,Database!$F:$AY,MATCH($S$1,Database!$F$1:$AY$1,),))))-(((VLOOKUP(EDATE(B291,-12),Database!$F:$AY,MATCH($S$1,Database!$F$1:$AY$1,),)))))/(((VLOOKUP(EDATE(B291,-12),Database!$F:$AY,MATCH($S$1,Database!$F$1:$AY$1,),))))</f>
        <v>-3.6779267604353953E-2</v>
      </c>
      <c r="T291" s="13">
        <f>((((VLOOKUP(B291,Database!$F:$AY,MATCH($T$1,Database!$F$1:$AY$1,),))))-(((VLOOKUP(EDATE(B291,-12),Database!$F:$AY,MATCH($T$1,Database!$F$1:$AY$1,),)))))/(((VLOOKUP(EDATE(B291,-12),Database!$F:$AY,MATCH($T$1,Database!$F$1:$AY$1,),))))</f>
        <v>8.1395284232342352E-2</v>
      </c>
      <c r="U291" s="13">
        <f>((((VLOOKUP(B291,Database!$F:$AY,MATCH($U$1,Database!$F$1:$AY$1,),))))-(((VLOOKUP(EDATE(B291,-12),Database!$F:$AY,MATCH($U$1,Database!$F$1:$AY$1,),)))))/(((VLOOKUP(EDATE(B291,-12),Database!$F:$AY,MATCH($U$1,Database!$F$1:$AY$1,),))))</f>
        <v>1.428578808137578E-2</v>
      </c>
      <c r="V291" s="13">
        <f>((((VLOOKUP(B291,Database!$F:$AY,MATCH($V$1,Database!$F$1:$AY$1,),))))-(((VLOOKUP(EDATE(B291,-12),Database!$F:$AY,MATCH($V$1,Database!$F$1:$AY$1,),)))))/(((VLOOKUP(EDATE(B291,-12),Database!$F:$AY,MATCH($V$1,Database!$F$1:$AY$1,),))))</f>
        <v>2.6195899772209534E-2</v>
      </c>
    </row>
    <row r="292" spans="1:22" s="85" customFormat="1" x14ac:dyDescent="0.2">
      <c r="A292" s="44"/>
      <c r="B292" s="91">
        <v>41030</v>
      </c>
      <c r="C292" s="13">
        <f>((((VLOOKUP(B292,Database!$F:$AY,MATCH($C$1,Database!$F$1:$AY$1,),))))-(((VLOOKUP(EDATE(B292,-12),Database!$F:$AY,MATCH($C$1,Database!$F$1:$AY$1,),)))))/(((VLOOKUP(EDATE(B292,-12),Database!$F:$AY,MATCH($C$1,Database!$F$1:$AY$1,),))))</f>
        <v>3.897430200247954E-2</v>
      </c>
      <c r="D292" s="13">
        <f>((((VLOOKUP(B292,Database!$F:$AY,MATCH($D$1,Database!$F$1:$AY$1,),))))-(((VLOOKUP(EDATE(B292,-12),Database!$F:$AY,MATCH($D$1,Database!$F$1:$AY$1,),)))))/(((VLOOKUP(EDATE(B292,-12),Database!$F:$AY,MATCH($D$1,Database!$F$1:$AY$1,),))))</f>
        <v>-2.1912608969818771E-2</v>
      </c>
      <c r="E292" s="13">
        <f>((((VLOOKUP(B292,Database!$F:$AY,MATCH($E$1,Database!$F$1:$AY$1,),))))-(((VLOOKUP(EDATE(B292,-12),Database!$F:$AY,MATCH($E$1,Database!$F$1:$AY$1,),)))))/(((VLOOKUP(EDATE(B292,-12),Database!$F:$AY,MATCH($E$1,Database!$F$1:$AY$1,),))))</f>
        <v>5.122710540251621E-2</v>
      </c>
      <c r="F292" s="13">
        <f>((((VLOOKUP(B292,Database!$F:$AY,MATCH($F$1,Database!$F$1:$AY$1,),))))-(((VLOOKUP(EDATE(B292,-12),Database!$F:$AY,MATCH($F$1,Database!$F$1:$AY$1,),)))))/(((VLOOKUP(EDATE(B292,-12),Database!$F:$AY,MATCH($F$1,Database!$F$1:$AY$1,),))))</f>
        <v>-2.0263087793441206E-3</v>
      </c>
      <c r="G292" s="13">
        <f>((((VLOOKUP(B292,Database!$F:$AY,MATCH($G$1,Database!$F$1:$AY$1,),))))-(((VLOOKUP(EDATE(B292,-12),Database!$F:$AY,MATCH($G$1,Database!$F$1:$AY$1,),)))))/(((VLOOKUP(EDATE(B292,-12),Database!$F:$AY,MATCH($G$1,Database!$F$1:$AY$1,),))))</f>
        <v>-4.5715654704578945E-2</v>
      </c>
      <c r="H292" s="13">
        <f>((((VLOOKUP(B292,Database!$F:$AY,MATCH($H$1,Database!$F$1:$AY$1,),))))-(((VLOOKUP(EDATE(B292,-12),Database!$F:$AY,MATCH($H$1,Database!$F$1:$AY$1,),)))))/(((VLOOKUP(EDATE(B292,-12),Database!$F:$AY,MATCH($H$1,Database!$F$1:$AY$1,),))))</f>
        <v>-1.7293884333798429E-2</v>
      </c>
      <c r="I292" s="13">
        <f>((((VLOOKUP(B292,Database!$F:$AY,MATCH($I$1,Database!$F$1:$AY$1,),))))-(((VLOOKUP(EDATE(B292,-12),Database!$F:$AY,MATCH($I$1,Database!$F$1:$AY$1,),)))))/(((VLOOKUP(EDATE(B292,-12),Database!$F:$AY,MATCH($I$1,Database!$F$1:$AY$1,),))))</f>
        <v>-5.0090717983656163E-2</v>
      </c>
      <c r="J292" s="13">
        <f>((((VLOOKUP(B292,Database!$F:$AY,MATCH($J$1,Database!$F$1:$AY$1,),))))-(((VLOOKUP(EDATE(B292,-12),Database!$F:$AY,MATCH($J$1,Database!$F$1:$AY$1,),)))))/(((VLOOKUP(EDATE(B292,-12),Database!$F:$AY,MATCH($J$1,Database!$F$1:$AY$1,),))))</f>
        <v>-5.8906125929076653E-2</v>
      </c>
      <c r="K292" s="13">
        <f>((((VLOOKUP(B292,Database!$F:$AY,MATCH($K$1,Database!$F$1:$AY$1,),))))-(((VLOOKUP(EDATE(B292,-12),Database!$F:$AY,MATCH($K$1,Database!$F$1:$AY$1,),)))))/(((VLOOKUP(EDATE(B292,-12),Database!$F:$AY,MATCH($K$1,Database!$F$1:$AY$1,),))))</f>
        <v>6.5975494816211391E-3</v>
      </c>
      <c r="L292" s="13">
        <f>((((VLOOKUP(B292,Database!$F:$AY,MATCH($L$1,Database!$F$1:$AY$1,),))))-(((VLOOKUP(EDATE(B292,-12),Database!$F:$AY,MATCH($L$1,Database!$F$1:$AY$1,),)))))/(((VLOOKUP(EDATE(B292,-12),Database!$F:$AY,MATCH($L$1,Database!$F$1:$AY$1,),))))</f>
        <v>3.0589204572376714E-2</v>
      </c>
      <c r="M292" s="13">
        <f>((((VLOOKUP(B292,Database!$F:$AY,MATCH($M$1,Database!$F$1:$AY$1,),))))-(((VLOOKUP(EDATE(B292,-12),Database!$F:$AY,MATCH($M$1,Database!$F$1:$AY$1,),)))))/(((VLOOKUP(EDATE(B292,-12),Database!$F:$AY,MATCH($M$1,Database!$F$1:$AY$1,),))))</f>
        <v>3.4246575342465758E-2</v>
      </c>
      <c r="N292" s="13">
        <f>((((VLOOKUP(B292,Database!$F:$AY,MATCH($N$1,Database!$F$1:$AY$1,),))))-(((VLOOKUP(EDATE(B292,-12),Database!$F:$AY,MATCH($N$1,Database!$F$1:$AY$1,),)))))/(((VLOOKUP(EDATE(B292,-12),Database!$F:$AY,MATCH($N$1,Database!$F$1:$AY$1,),))))</f>
        <v>2.4444227415786772E-2</v>
      </c>
      <c r="O292" s="13">
        <f>((((VLOOKUP(B292,Database!$F:$AY,MATCH($O$1,Database!$F$1:$AY$1,),))))-(((VLOOKUP(EDATE(B292,-12),Database!$F:$AY,MATCH($O$1,Database!$F$1:$AY$1,),)))))/(((VLOOKUP(EDATE(B292,-12),Database!$F:$AY,MATCH($O$1,Database!$F$1:$AY$1,),))))</f>
        <v>3.0036782676292798E-2</v>
      </c>
      <c r="P292" s="13">
        <f>((((VLOOKUP(B292,Database!$F:$AY,MATCH($P$1,Database!$F$1:$AY$1,),))))-(((VLOOKUP(EDATE(B292,-12),Database!$F:$AY,MATCH($P$1,Database!$F$1:$AY$1,),)))))/(((VLOOKUP(EDATE(B292,-12),Database!$F:$AY,MATCH($P$1,Database!$F$1:$AY$1,),))))</f>
        <v>3.5171378924559467E-2</v>
      </c>
      <c r="Q292" s="13">
        <f>((((VLOOKUP(B292,Database!$F:$AY,MATCH($Q$1,Database!$F$1:$AY$1,),))))-(((VLOOKUP(EDATE(B292,-12),Database!$F:$AY,MATCH($Q$1,Database!$F$1:$AY$1,),)))))/(((VLOOKUP(EDATE(B292,-12),Database!$F:$AY,MATCH($Q$1,Database!$F$1:$AY$1,),))))</f>
        <v>-5.9942791465385309E-2</v>
      </c>
      <c r="R292" s="13">
        <f>((((VLOOKUP(B292,Database!$F:$AY,MATCH($R$1,Database!$F$1:$AY$1,),))))-(((VLOOKUP(EDATE(B292,-12),Database!$F:$AY,MATCH($R$1,Database!$F$1:$AY$1,),)))))/(((VLOOKUP(EDATE(B292,-12),Database!$F:$AY,MATCH($R$1,Database!$F$1:$AY$1,),))))</f>
        <v>-2.8544325152525869E-2</v>
      </c>
      <c r="S292" s="13">
        <f>((((VLOOKUP(B292,Database!$F:$AY,MATCH($S$1,Database!$F$1:$AY$1,),))))-(((VLOOKUP(EDATE(B292,-12),Database!$F:$AY,MATCH($S$1,Database!$F$1:$AY$1,),)))))/(((VLOOKUP(EDATE(B292,-12),Database!$F:$AY,MATCH($S$1,Database!$F$1:$AY$1,),))))</f>
        <v>4.9702309870958208E-3</v>
      </c>
      <c r="T292" s="13">
        <f>((((VLOOKUP(B292,Database!$F:$AY,MATCH($T$1,Database!$F$1:$AY$1,),))))-(((VLOOKUP(EDATE(B292,-12),Database!$F:$AY,MATCH($T$1,Database!$F$1:$AY$1,),)))))/(((VLOOKUP(EDATE(B292,-12),Database!$F:$AY,MATCH($T$1,Database!$F$1:$AY$1,),))))</f>
        <v>7.4168843745028384E-2</v>
      </c>
      <c r="U292" s="13">
        <f>((((VLOOKUP(B292,Database!$F:$AY,MATCH($U$1,Database!$F$1:$AY$1,),))))-(((VLOOKUP(EDATE(B292,-12),Database!$F:$AY,MATCH($U$1,Database!$F$1:$AY$1,),)))))/(((VLOOKUP(EDATE(B292,-12),Database!$F:$AY,MATCH($U$1,Database!$F$1:$AY$1,),))))</f>
        <v>-4.3056690178298572E-3</v>
      </c>
      <c r="V292" s="13">
        <f>((((VLOOKUP(B292,Database!$F:$AY,MATCH($V$1,Database!$F$1:$AY$1,),))))-(((VLOOKUP(EDATE(B292,-12),Database!$F:$AY,MATCH($V$1,Database!$F$1:$AY$1,),)))))/(((VLOOKUP(EDATE(B292,-12),Database!$F:$AY,MATCH($V$1,Database!$F$1:$AY$1,),))))</f>
        <v>4.2093287827076088E-2</v>
      </c>
    </row>
    <row r="293" spans="1:22" s="85" customFormat="1" x14ac:dyDescent="0.2">
      <c r="A293" s="44"/>
      <c r="B293" s="91">
        <v>41061</v>
      </c>
      <c r="C293" s="13">
        <f>((((VLOOKUP(B293,Database!$F:$AY,MATCH($C$1,Database!$F$1:$AY$1,),))))-(((VLOOKUP(EDATE(B293,-12),Database!$F:$AY,MATCH($C$1,Database!$F$1:$AY$1,),)))))/(((VLOOKUP(EDATE(B293,-12),Database!$F:$AY,MATCH($C$1,Database!$F$1:$AY$1,),))))</f>
        <v>3.578523321279814E-2</v>
      </c>
      <c r="D293" s="13">
        <f>((((VLOOKUP(B293,Database!$F:$AY,MATCH($D$1,Database!$F$1:$AY$1,),))))-(((VLOOKUP(EDATE(B293,-12),Database!$F:$AY,MATCH($D$1,Database!$F$1:$AY$1,),)))))/(((VLOOKUP(EDATE(B293,-12),Database!$F:$AY,MATCH($D$1,Database!$F$1:$AY$1,),))))</f>
        <v>-1.6161681880143441E-2</v>
      </c>
      <c r="E293" s="13">
        <f>((((VLOOKUP(B293,Database!$F:$AY,MATCH($E$1,Database!$F$1:$AY$1,),))))-(((VLOOKUP(EDATE(B293,-12),Database!$F:$AY,MATCH($E$1,Database!$F$1:$AY$1,),)))))/(((VLOOKUP(EDATE(B293,-12),Database!$F:$AY,MATCH($E$1,Database!$F$1:$AY$1,),))))</f>
        <v>3.076717075929554E-3</v>
      </c>
      <c r="F293" s="13">
        <f>((((VLOOKUP(B293,Database!$F:$AY,MATCH($F$1,Database!$F$1:$AY$1,),))))-(((VLOOKUP(EDATE(B293,-12),Database!$F:$AY,MATCH($F$1,Database!$F$1:$AY$1,),)))))/(((VLOOKUP(EDATE(B293,-12),Database!$F:$AY,MATCH($F$1,Database!$F$1:$AY$1,),))))</f>
        <v>2.0596978677213836E-3</v>
      </c>
      <c r="G293" s="13">
        <f>((((VLOOKUP(B293,Database!$F:$AY,MATCH($G$1,Database!$F$1:$AY$1,),))))-(((VLOOKUP(EDATE(B293,-12),Database!$F:$AY,MATCH($G$1,Database!$F$1:$AY$1,),)))))/(((VLOOKUP(EDATE(B293,-12),Database!$F:$AY,MATCH($G$1,Database!$F$1:$AY$1,),))))</f>
        <v>-2.4682468817238127E-2</v>
      </c>
      <c r="H293" s="13">
        <f>((((VLOOKUP(B293,Database!$F:$AY,MATCH($H$1,Database!$F$1:$AY$1,),))))-(((VLOOKUP(EDATE(B293,-12),Database!$F:$AY,MATCH($H$1,Database!$F$1:$AY$1,),)))))/(((VLOOKUP(EDATE(B293,-12),Database!$F:$AY,MATCH($H$1,Database!$F$1:$AY$1,),))))</f>
        <v>-3.764011475692542E-2</v>
      </c>
      <c r="I293" s="13">
        <f>((((VLOOKUP(B293,Database!$F:$AY,MATCH($I$1,Database!$F$1:$AY$1,),))))-(((VLOOKUP(EDATE(B293,-12),Database!$F:$AY,MATCH($I$1,Database!$F$1:$AY$1,),)))))/(((VLOOKUP(EDATE(B293,-12),Database!$F:$AY,MATCH($I$1,Database!$F$1:$AY$1,),))))</f>
        <v>-6.1523965730836988E-2</v>
      </c>
      <c r="J293" s="13">
        <f>((((VLOOKUP(B293,Database!$F:$AY,MATCH($J$1,Database!$F$1:$AY$1,),))))-(((VLOOKUP(EDATE(B293,-12),Database!$F:$AY,MATCH($J$1,Database!$F$1:$AY$1,),)))))/(((VLOOKUP(EDATE(B293,-12),Database!$F:$AY,MATCH($J$1,Database!$F$1:$AY$1,),))))</f>
        <v>-6.596766176539598E-2</v>
      </c>
      <c r="K293" s="13">
        <f>((((VLOOKUP(B293,Database!$F:$AY,MATCH($K$1,Database!$F$1:$AY$1,),))))-(((VLOOKUP(EDATE(B293,-12),Database!$F:$AY,MATCH($K$1,Database!$F$1:$AY$1,),)))))/(((VLOOKUP(EDATE(B293,-12),Database!$F:$AY,MATCH($K$1,Database!$F$1:$AY$1,),))))</f>
        <v>1.9474196689386561E-2</v>
      </c>
      <c r="L293" s="13">
        <f>((((VLOOKUP(B293,Database!$F:$AY,MATCH($L$1,Database!$F$1:$AY$1,),))))-(((VLOOKUP(EDATE(B293,-12),Database!$F:$AY,MATCH($L$1,Database!$F$1:$AY$1,),)))))/(((VLOOKUP(EDATE(B293,-12),Database!$F:$AY,MATCH($L$1,Database!$F$1:$AY$1,),))))</f>
        <v>4.0482041844772894E-2</v>
      </c>
      <c r="M293" s="13">
        <f>((((VLOOKUP(B293,Database!$F:$AY,MATCH($M$1,Database!$F$1:$AY$1,),))))-(((VLOOKUP(EDATE(B293,-12),Database!$F:$AY,MATCH($M$1,Database!$F$1:$AY$1,),)))))/(((VLOOKUP(EDATE(B293,-12),Database!$F:$AY,MATCH($M$1,Database!$F$1:$AY$1,),))))</f>
        <v>2.7149321266968226E-2</v>
      </c>
      <c r="N293" s="13">
        <f>((((VLOOKUP(B293,Database!$F:$AY,MATCH($N$1,Database!$F$1:$AY$1,),))))-(((VLOOKUP(EDATE(B293,-12),Database!$F:$AY,MATCH($N$1,Database!$F$1:$AY$1,),)))))/(((VLOOKUP(EDATE(B293,-12),Database!$F:$AY,MATCH($N$1,Database!$F$1:$AY$1,),))))</f>
        <v>-2.3073507295164459E-2</v>
      </c>
      <c r="O293" s="13">
        <f>((((VLOOKUP(B293,Database!$F:$AY,MATCH($O$1,Database!$F$1:$AY$1,),))))-(((VLOOKUP(EDATE(B293,-12),Database!$F:$AY,MATCH($O$1,Database!$F$1:$AY$1,),)))))/(((VLOOKUP(EDATE(B293,-12),Database!$F:$AY,MATCH($O$1,Database!$F$1:$AY$1,),))))</f>
        <v>1.7783352660839601E-2</v>
      </c>
      <c r="P293" s="13">
        <f>((((VLOOKUP(B293,Database!$F:$AY,MATCH($P$1,Database!$F$1:$AY$1,),))))-(((VLOOKUP(EDATE(B293,-12),Database!$F:$AY,MATCH($P$1,Database!$F$1:$AY$1,),)))))/(((VLOOKUP(EDATE(B293,-12),Database!$F:$AY,MATCH($P$1,Database!$F$1:$AY$1,),))))</f>
        <v>7.5922365792646879E-3</v>
      </c>
      <c r="Q293" s="13">
        <f>((((VLOOKUP(B293,Database!$F:$AY,MATCH($Q$1,Database!$F$1:$AY$1,),))))-(((VLOOKUP(EDATE(B293,-12),Database!$F:$AY,MATCH($Q$1,Database!$F$1:$AY$1,),)))))/(((VLOOKUP(EDATE(B293,-12),Database!$F:$AY,MATCH($Q$1,Database!$F$1:$AY$1,),))))</f>
        <v>-3.6965243535566274E-2</v>
      </c>
      <c r="R293" s="13">
        <f>((((VLOOKUP(B293,Database!$F:$AY,MATCH($R$1,Database!$F$1:$AY$1,),))))-(((VLOOKUP(EDATE(B293,-12),Database!$F:$AY,MATCH($R$1,Database!$F$1:$AY$1,),)))))/(((VLOOKUP(EDATE(B293,-12),Database!$F:$AY,MATCH($R$1,Database!$F$1:$AY$1,),))))</f>
        <v>-1.9215473938413387E-3</v>
      </c>
      <c r="S293" s="13">
        <f>((((VLOOKUP(B293,Database!$F:$AY,MATCH($S$1,Database!$F$1:$AY$1,),))))-(((VLOOKUP(EDATE(B293,-12),Database!$F:$AY,MATCH($S$1,Database!$F$1:$AY$1,),)))))/(((VLOOKUP(EDATE(B293,-12),Database!$F:$AY,MATCH($S$1,Database!$F$1:$AY$1,),))))</f>
        <v>8.1136434783519104E-3</v>
      </c>
      <c r="T293" s="13">
        <f>((((VLOOKUP(B293,Database!$F:$AY,MATCH($T$1,Database!$F$1:$AY$1,),))))-(((VLOOKUP(EDATE(B293,-12),Database!$F:$AY,MATCH($T$1,Database!$F$1:$AY$1,),)))))/(((VLOOKUP(EDATE(B293,-12),Database!$F:$AY,MATCH($T$1,Database!$F$1:$AY$1,),))))</f>
        <v>4.6424068454385709E-2</v>
      </c>
      <c r="U293" s="13">
        <f>((((VLOOKUP(B293,Database!$F:$AY,MATCH($U$1,Database!$F$1:$AY$1,),))))-(((VLOOKUP(EDATE(B293,-12),Database!$F:$AY,MATCH($U$1,Database!$F$1:$AY$1,),)))))/(((VLOOKUP(EDATE(B293,-12),Database!$F:$AY,MATCH($U$1,Database!$F$1:$AY$1,),))))</f>
        <v>1.0845624607310088E-3</v>
      </c>
      <c r="V293" s="13">
        <f>((((VLOOKUP(B293,Database!$F:$AY,MATCH($V$1,Database!$F$1:$AY$1,),))))-(((VLOOKUP(EDATE(B293,-12),Database!$F:$AY,MATCH($V$1,Database!$F$1:$AY$1,),)))))/(((VLOOKUP(EDATE(B293,-12),Database!$F:$AY,MATCH($V$1,Database!$F$1:$AY$1,),))))</f>
        <v>3.4324942791762014E-2</v>
      </c>
    </row>
    <row r="294" spans="1:22" s="85" customFormat="1" x14ac:dyDescent="0.2">
      <c r="A294" s="44"/>
      <c r="B294" s="91">
        <v>41091</v>
      </c>
      <c r="C294" s="13">
        <f>((((VLOOKUP(B294,Database!$F:$AY,MATCH($C$1,Database!$F$1:$AY$1,),))))-(((VLOOKUP(EDATE(B294,-12),Database!$F:$AY,MATCH($C$1,Database!$F$1:$AY$1,),)))))/(((VLOOKUP(EDATE(B294,-12),Database!$F:$AY,MATCH($C$1,Database!$F$1:$AY$1,),))))</f>
        <v>3.3009577405850039E-2</v>
      </c>
      <c r="D294" s="13">
        <f>((((VLOOKUP(B294,Database!$F:$AY,MATCH($D$1,Database!$F$1:$AY$1,),))))-(((VLOOKUP(EDATE(B294,-12),Database!$F:$AY,MATCH($D$1,Database!$F$1:$AY$1,),)))))/(((VLOOKUP(EDATE(B294,-12),Database!$F:$AY,MATCH($D$1,Database!$F$1:$AY$1,),))))</f>
        <v>-2.3000031805298807E-2</v>
      </c>
      <c r="E294" s="13">
        <f>((((VLOOKUP(B294,Database!$F:$AY,MATCH($E$1,Database!$F$1:$AY$1,),))))-(((VLOOKUP(EDATE(B294,-12),Database!$F:$AY,MATCH($E$1,Database!$F$1:$AY$1,),)))))/(((VLOOKUP(EDATE(B294,-12),Database!$F:$AY,MATCH($E$1,Database!$F$1:$AY$1,),))))</f>
        <v>-1.1179033248183229E-2</v>
      </c>
      <c r="F294" s="13">
        <f>((((VLOOKUP(B294,Database!$F:$AY,MATCH($F$1,Database!$F$1:$AY$1,),))))-(((VLOOKUP(EDATE(B294,-12),Database!$F:$AY,MATCH($F$1,Database!$F$1:$AY$1,),)))))/(((VLOOKUP(EDATE(B294,-12),Database!$F:$AY,MATCH($F$1,Database!$F$1:$AY$1,),))))</f>
        <v>-1.6983426198176266E-2</v>
      </c>
      <c r="G294" s="13">
        <f>((((VLOOKUP(B294,Database!$F:$AY,MATCH($G$1,Database!$F$1:$AY$1,),))))-(((VLOOKUP(EDATE(B294,-12),Database!$F:$AY,MATCH($G$1,Database!$F$1:$AY$1,),)))))/(((VLOOKUP(EDATE(B294,-12),Database!$F:$AY,MATCH($G$1,Database!$F$1:$AY$1,),))))</f>
        <v>-3.0047092158859087E-2</v>
      </c>
      <c r="H294" s="13">
        <f>((((VLOOKUP(B294,Database!$F:$AY,MATCH($H$1,Database!$F$1:$AY$1,),))))-(((VLOOKUP(EDATE(B294,-12),Database!$F:$AY,MATCH($H$1,Database!$F$1:$AY$1,),)))))/(((VLOOKUP(EDATE(B294,-12),Database!$F:$AY,MATCH($H$1,Database!$F$1:$AY$1,),))))</f>
        <v>-8.1550099900345504E-3</v>
      </c>
      <c r="I294" s="13">
        <f>((((VLOOKUP(B294,Database!$F:$AY,MATCH($I$1,Database!$F$1:$AY$1,),))))-(((VLOOKUP(EDATE(B294,-12),Database!$F:$AY,MATCH($I$1,Database!$F$1:$AY$1,),)))))/(((VLOOKUP(EDATE(B294,-12),Database!$F:$AY,MATCH($I$1,Database!$F$1:$AY$1,),))))</f>
        <v>-4.8848291563355468E-2</v>
      </c>
      <c r="J294" s="13">
        <f>((((VLOOKUP(B294,Database!$F:$AY,MATCH($J$1,Database!$F$1:$AY$1,),))))-(((VLOOKUP(EDATE(B294,-12),Database!$F:$AY,MATCH($J$1,Database!$F$1:$AY$1,),)))))/(((VLOOKUP(EDATE(B294,-12),Database!$F:$AY,MATCH($J$1,Database!$F$1:$AY$1,),))))</f>
        <v>-7.4796152312122957E-2</v>
      </c>
      <c r="K294" s="13">
        <f>((((VLOOKUP(B294,Database!$F:$AY,MATCH($K$1,Database!$F$1:$AY$1,),))))-(((VLOOKUP(EDATE(B294,-12),Database!$F:$AY,MATCH($K$1,Database!$F$1:$AY$1,),)))))/(((VLOOKUP(EDATE(B294,-12),Database!$F:$AY,MATCH($K$1,Database!$F$1:$AY$1,),))))</f>
        <v>0</v>
      </c>
      <c r="L294" s="13">
        <f>((((VLOOKUP(B294,Database!$F:$AY,MATCH($L$1,Database!$F$1:$AY$1,),))))-(((VLOOKUP(EDATE(B294,-12),Database!$F:$AY,MATCH($L$1,Database!$F$1:$AY$1,),)))))/(((VLOOKUP(EDATE(B294,-12),Database!$F:$AY,MATCH($L$1,Database!$F$1:$AY$1,),))))</f>
        <v>3.3414981938631946E-2</v>
      </c>
      <c r="M294" s="13">
        <f>((((VLOOKUP(B294,Database!$F:$AY,MATCH($M$1,Database!$F$1:$AY$1,),))))-(((VLOOKUP(EDATE(B294,-12),Database!$F:$AY,MATCH($M$1,Database!$F$1:$AY$1,),)))))/(((VLOOKUP(EDATE(B294,-12),Database!$F:$AY,MATCH($M$1,Database!$F$1:$AY$1,),))))</f>
        <v>3.2768361581920966E-2</v>
      </c>
      <c r="N294" s="13">
        <f>((((VLOOKUP(B294,Database!$F:$AY,MATCH($N$1,Database!$F$1:$AY$1,),))))-(((VLOOKUP(EDATE(B294,-12),Database!$F:$AY,MATCH($N$1,Database!$F$1:$AY$1,),)))))/(((VLOOKUP(EDATE(B294,-12),Database!$F:$AY,MATCH($N$1,Database!$F$1:$AY$1,),))))</f>
        <v>-1.2630230664857573E-2</v>
      </c>
      <c r="O294" s="13">
        <f>((((VLOOKUP(B294,Database!$F:$AY,MATCH($O$1,Database!$F$1:$AY$1,),))))-(((VLOOKUP(EDATE(B294,-12),Database!$F:$AY,MATCH($O$1,Database!$F$1:$AY$1,),)))))/(((VLOOKUP(EDATE(B294,-12),Database!$F:$AY,MATCH($O$1,Database!$F$1:$AY$1,),))))</f>
        <v>-3.7213231371154188E-3</v>
      </c>
      <c r="P294" s="13">
        <f>((((VLOOKUP(B294,Database!$F:$AY,MATCH($P$1,Database!$F$1:$AY$1,),))))-(((VLOOKUP(EDATE(B294,-12),Database!$F:$AY,MATCH($P$1,Database!$F$1:$AY$1,),)))))/(((VLOOKUP(EDATE(B294,-12),Database!$F:$AY,MATCH($P$1,Database!$F$1:$AY$1,),))))</f>
        <v>1.52546302887809E-4</v>
      </c>
      <c r="Q294" s="13">
        <f>((((VLOOKUP(B294,Database!$F:$AY,MATCH($Q$1,Database!$F$1:$AY$1,),))))-(((VLOOKUP(EDATE(B294,-12),Database!$F:$AY,MATCH($Q$1,Database!$F$1:$AY$1,),)))))/(((VLOOKUP(EDATE(B294,-12),Database!$F:$AY,MATCH($Q$1,Database!$F$1:$AY$1,),))))</f>
        <v>-2.521781262388231E-2</v>
      </c>
      <c r="R294" s="13">
        <f>((((VLOOKUP(B294,Database!$F:$AY,MATCH($R$1,Database!$F$1:$AY$1,),))))-(((VLOOKUP(EDATE(B294,-12),Database!$F:$AY,MATCH($R$1,Database!$F$1:$AY$1,),)))))/(((VLOOKUP(EDATE(B294,-12),Database!$F:$AY,MATCH($R$1,Database!$F$1:$AY$1,),))))</f>
        <v>-4.0540918385109842E-2</v>
      </c>
      <c r="S294" s="13">
        <f>((((VLOOKUP(B294,Database!$F:$AY,MATCH($S$1,Database!$F$1:$AY$1,),))))-(((VLOOKUP(EDATE(B294,-12),Database!$F:$AY,MATCH($S$1,Database!$F$1:$AY$1,),)))))/(((VLOOKUP(EDATE(B294,-12),Database!$F:$AY,MATCH($S$1,Database!$F$1:$AY$1,),))))</f>
        <v>5.717373559747297E-2</v>
      </c>
      <c r="T294" s="13">
        <f>((((VLOOKUP(B294,Database!$F:$AY,MATCH($T$1,Database!$F$1:$AY$1,),))))-(((VLOOKUP(EDATE(B294,-12),Database!$F:$AY,MATCH($T$1,Database!$F$1:$AY$1,),)))))/(((VLOOKUP(EDATE(B294,-12),Database!$F:$AY,MATCH($T$1,Database!$F$1:$AY$1,),))))</f>
        <v>3.694580977431116E-2</v>
      </c>
      <c r="U294" s="13">
        <f>((((VLOOKUP(B294,Database!$F:$AY,MATCH($U$1,Database!$F$1:$AY$1,),))))-(((VLOOKUP(EDATE(B294,-12),Database!$F:$AY,MATCH($U$1,Database!$F$1:$AY$1,),)))))/(((VLOOKUP(EDATE(B294,-12),Database!$F:$AY,MATCH($U$1,Database!$F$1:$AY$1,),))))</f>
        <v>1.7621218161131883E-2</v>
      </c>
      <c r="V294" s="13">
        <f>((((VLOOKUP(B294,Database!$F:$AY,MATCH($V$1,Database!$F$1:$AY$1,),))))-(((VLOOKUP(EDATE(B294,-12),Database!$F:$AY,MATCH($V$1,Database!$F$1:$AY$1,),)))))/(((VLOOKUP(EDATE(B294,-12),Database!$F:$AY,MATCH($V$1,Database!$F$1:$AY$1,),))))</f>
        <v>2.844141069397042E-2</v>
      </c>
    </row>
    <row r="295" spans="1:22" s="85" customFormat="1" x14ac:dyDescent="0.2">
      <c r="A295" s="44"/>
      <c r="B295" s="91">
        <v>41122</v>
      </c>
      <c r="C295" s="13">
        <f>((((VLOOKUP(B295,Database!$F:$AY,MATCH($C$1,Database!$F$1:$AY$1,),))))-(((VLOOKUP(EDATE(B295,-12),Database!$F:$AY,MATCH($C$1,Database!$F$1:$AY$1,),)))))/(((VLOOKUP(EDATE(B295,-12),Database!$F:$AY,MATCH($C$1,Database!$F$1:$AY$1,),))))</f>
        <v>2.2349080550703841E-2</v>
      </c>
      <c r="D295" s="13">
        <f>((((VLOOKUP(B295,Database!$F:$AY,MATCH($D$1,Database!$F$1:$AY$1,),))))-(((VLOOKUP(EDATE(B295,-12),Database!$F:$AY,MATCH($D$1,Database!$F$1:$AY$1,),)))))/(((VLOOKUP(EDATE(B295,-12),Database!$F:$AY,MATCH($D$1,Database!$F$1:$AY$1,),))))</f>
        <v>-1.6982753366445648E-2</v>
      </c>
      <c r="E295" s="13">
        <f>((((VLOOKUP(B295,Database!$F:$AY,MATCH($E$1,Database!$F$1:$AY$1,),))))-(((VLOOKUP(EDATE(B295,-12),Database!$F:$AY,MATCH($E$1,Database!$F$1:$AY$1,),)))))/(((VLOOKUP(EDATE(B295,-12),Database!$F:$AY,MATCH($E$1,Database!$F$1:$AY$1,),))))</f>
        <v>-3.8038144056424181E-2</v>
      </c>
      <c r="F295" s="13">
        <f>((((VLOOKUP(B295,Database!$F:$AY,MATCH($F$1,Database!$F$1:$AY$1,),))))-(((VLOOKUP(EDATE(B295,-12),Database!$F:$AY,MATCH($F$1,Database!$F$1:$AY$1,),)))))/(((VLOOKUP(EDATE(B295,-12),Database!$F:$AY,MATCH($F$1,Database!$F$1:$AY$1,),))))</f>
        <v>-9.0634940090176461E-3</v>
      </c>
      <c r="G295" s="13">
        <f>((((VLOOKUP(B295,Database!$F:$AY,MATCH($G$1,Database!$F$1:$AY$1,),))))-(((VLOOKUP(EDATE(B295,-12),Database!$F:$AY,MATCH($G$1,Database!$F$1:$AY$1,),)))))/(((VLOOKUP(EDATE(B295,-12),Database!$F:$AY,MATCH($G$1,Database!$F$1:$AY$1,),))))</f>
        <v>-2.3543624345344315E-3</v>
      </c>
      <c r="H295" s="13">
        <f>((((VLOOKUP(B295,Database!$F:$AY,MATCH($H$1,Database!$F$1:$AY$1,),))))-(((VLOOKUP(EDATE(B295,-12),Database!$F:$AY,MATCH($H$1,Database!$F$1:$AY$1,),)))))/(((VLOOKUP(EDATE(B295,-12),Database!$F:$AY,MATCH($H$1,Database!$F$1:$AY$1,),))))</f>
        <v>-1.0235004860197872E-2</v>
      </c>
      <c r="I295" s="13">
        <f>((((VLOOKUP(B295,Database!$F:$AY,MATCH($I$1,Database!$F$1:$AY$1,),))))-(((VLOOKUP(EDATE(B295,-12),Database!$F:$AY,MATCH($I$1,Database!$F$1:$AY$1,),)))))/(((VLOOKUP(EDATE(B295,-12),Database!$F:$AY,MATCH($I$1,Database!$F$1:$AY$1,),))))</f>
        <v>-4.8193083760461983E-2</v>
      </c>
      <c r="J295" s="13">
        <f>((((VLOOKUP(B295,Database!$F:$AY,MATCH($J$1,Database!$F$1:$AY$1,),))))-(((VLOOKUP(EDATE(B295,-12),Database!$F:$AY,MATCH($J$1,Database!$F$1:$AY$1,),)))))/(((VLOOKUP(EDATE(B295,-12),Database!$F:$AY,MATCH($J$1,Database!$F$1:$AY$1,),))))</f>
        <v>-5.2984105753711416E-2</v>
      </c>
      <c r="K295" s="13">
        <f>((((VLOOKUP(B295,Database!$F:$AY,MATCH($K$1,Database!$F$1:$AY$1,),))))-(((VLOOKUP(EDATE(B295,-12),Database!$F:$AY,MATCH($K$1,Database!$F$1:$AY$1,),)))))/(((VLOOKUP(EDATE(B295,-12),Database!$F:$AY,MATCH($K$1,Database!$F$1:$AY$1,),))))</f>
        <v>3.7000973709834441E-2</v>
      </c>
      <c r="L295" s="13">
        <f>((((VLOOKUP(B295,Database!$F:$AY,MATCH($L$1,Database!$F$1:$AY$1,),))))-(((VLOOKUP(EDATE(B295,-12),Database!$F:$AY,MATCH($L$1,Database!$F$1:$AY$1,),)))))/(((VLOOKUP(EDATE(B295,-12),Database!$F:$AY,MATCH($L$1,Database!$F$1:$AY$1,),))))</f>
        <v>2.3740993296887961E-2</v>
      </c>
      <c r="M295" s="13">
        <f>((((VLOOKUP(B295,Database!$F:$AY,MATCH($M$1,Database!$F$1:$AY$1,),))))-(((VLOOKUP(EDATE(B295,-12),Database!$F:$AY,MATCH($M$1,Database!$F$1:$AY$1,),)))))/(((VLOOKUP(EDATE(B295,-12),Database!$F:$AY,MATCH($M$1,Database!$F$1:$AY$1,),))))</f>
        <v>4.6380090497737489E-2</v>
      </c>
      <c r="N295" s="13">
        <f>((((VLOOKUP(B295,Database!$F:$AY,MATCH($N$1,Database!$F$1:$AY$1,),))))-(((VLOOKUP(EDATE(B295,-12),Database!$F:$AY,MATCH($N$1,Database!$F$1:$AY$1,),)))))/(((VLOOKUP(EDATE(B295,-12),Database!$F:$AY,MATCH($N$1,Database!$F$1:$AY$1,),))))</f>
        <v>6.0431818206897435E-3</v>
      </c>
      <c r="O295" s="13">
        <f>((((VLOOKUP(B295,Database!$F:$AY,MATCH($O$1,Database!$F$1:$AY$1,),))))-(((VLOOKUP(EDATE(B295,-12),Database!$F:$AY,MATCH($O$1,Database!$F$1:$AY$1,),)))))/(((VLOOKUP(EDATE(B295,-12),Database!$F:$AY,MATCH($O$1,Database!$F$1:$AY$1,),))))</f>
        <v>-2.4061295538119365E-2</v>
      </c>
      <c r="P295" s="13">
        <f>((((VLOOKUP(B295,Database!$F:$AY,MATCH($P$1,Database!$F$1:$AY$1,),))))-(((VLOOKUP(EDATE(B295,-12),Database!$F:$AY,MATCH($P$1,Database!$F$1:$AY$1,),)))))/(((VLOOKUP(EDATE(B295,-12),Database!$F:$AY,MATCH($P$1,Database!$F$1:$AY$1,),))))</f>
        <v>-1.2519730857825893E-2</v>
      </c>
      <c r="Q295" s="13">
        <f>((((VLOOKUP(B295,Database!$F:$AY,MATCH($Q$1,Database!$F$1:$AY$1,),))))-(((VLOOKUP(EDATE(B295,-12),Database!$F:$AY,MATCH($Q$1,Database!$F$1:$AY$1,),)))))/(((VLOOKUP(EDATE(B295,-12),Database!$F:$AY,MATCH($Q$1,Database!$F$1:$AY$1,),))))</f>
        <v>4.8970768765456219E-3</v>
      </c>
      <c r="R295" s="13">
        <f>((((VLOOKUP(B295,Database!$F:$AY,MATCH($R$1,Database!$F$1:$AY$1,),))))-(((VLOOKUP(EDATE(B295,-12),Database!$F:$AY,MATCH($R$1,Database!$F$1:$AY$1,),)))))/(((VLOOKUP(EDATE(B295,-12),Database!$F:$AY,MATCH($R$1,Database!$F$1:$AY$1,),))))</f>
        <v>5.6657143451387124E-3</v>
      </c>
      <c r="S295" s="13">
        <f>((((VLOOKUP(B295,Database!$F:$AY,MATCH($S$1,Database!$F$1:$AY$1,),))))-(((VLOOKUP(EDATE(B295,-12),Database!$F:$AY,MATCH($S$1,Database!$F$1:$AY$1,),)))))/(((VLOOKUP(EDATE(B295,-12),Database!$F:$AY,MATCH($S$1,Database!$F$1:$AY$1,),))))</f>
        <v>1.5763493037833656E-2</v>
      </c>
      <c r="T295" s="13">
        <f>((((VLOOKUP(B295,Database!$F:$AY,MATCH($T$1,Database!$F$1:$AY$1,),))))-(((VLOOKUP(EDATE(B295,-12),Database!$F:$AY,MATCH($T$1,Database!$F$1:$AY$1,),)))))/(((VLOOKUP(EDATE(B295,-12),Database!$F:$AY,MATCH($T$1,Database!$F$1:$AY$1,),))))</f>
        <v>-7.1770337790123487E-3</v>
      </c>
      <c r="U295" s="13">
        <f>((((VLOOKUP(B295,Database!$F:$AY,MATCH($U$1,Database!$F$1:$AY$1,),))))-(((VLOOKUP(EDATE(B295,-12),Database!$F:$AY,MATCH($U$1,Database!$F$1:$AY$1,),)))))/(((VLOOKUP(EDATE(B295,-12),Database!$F:$AY,MATCH($U$1,Database!$F$1:$AY$1,),))))</f>
        <v>-1.9672131147540999E-2</v>
      </c>
      <c r="V295" s="13">
        <f>((((VLOOKUP(B295,Database!$F:$AY,MATCH($V$1,Database!$F$1:$AY$1,),))))-(((VLOOKUP(EDATE(B295,-12),Database!$F:$AY,MATCH($V$1,Database!$F$1:$AY$1,),)))))/(((VLOOKUP(EDATE(B295,-12),Database!$F:$AY,MATCH($V$1,Database!$F$1:$AY$1,),))))</f>
        <v>3.3370411568409025E-3</v>
      </c>
    </row>
    <row r="296" spans="1:22" s="85" customFormat="1" x14ac:dyDescent="0.2">
      <c r="A296" s="44"/>
      <c r="B296" s="91">
        <v>41153</v>
      </c>
      <c r="C296" s="13">
        <f>((((VLOOKUP(B296,Database!$F:$AY,MATCH($C$1,Database!$F$1:$AY$1,),))))-(((VLOOKUP(EDATE(B296,-12),Database!$F:$AY,MATCH($C$1,Database!$F$1:$AY$1,),)))))/(((VLOOKUP(EDATE(B296,-12),Database!$F:$AY,MATCH($C$1,Database!$F$1:$AY$1,),))))</f>
        <v>2.3097948059762886E-2</v>
      </c>
      <c r="D296" s="13">
        <f>((((VLOOKUP(B296,Database!$F:$AY,MATCH($D$1,Database!$F$1:$AY$1,),))))-(((VLOOKUP(EDATE(B296,-12),Database!$F:$AY,MATCH($D$1,Database!$F$1:$AY$1,),)))))/(((VLOOKUP(EDATE(B296,-12),Database!$F:$AY,MATCH($D$1,Database!$F$1:$AY$1,),))))</f>
        <v>-2.6236157002544017E-2</v>
      </c>
      <c r="E296" s="13">
        <f>((((VLOOKUP(B296,Database!$F:$AY,MATCH($E$1,Database!$F$1:$AY$1,),))))-(((VLOOKUP(EDATE(B296,-12),Database!$F:$AY,MATCH($E$1,Database!$F$1:$AY$1,),)))))/(((VLOOKUP(EDATE(B296,-12),Database!$F:$AY,MATCH($E$1,Database!$F$1:$AY$1,),))))</f>
        <v>-5.3373226702458899E-2</v>
      </c>
      <c r="F296" s="13">
        <f>((((VLOOKUP(B296,Database!$F:$AY,MATCH($F$1,Database!$F$1:$AY$1,),))))-(((VLOOKUP(EDATE(B296,-12),Database!$F:$AY,MATCH($F$1,Database!$F$1:$AY$1,),)))))/(((VLOOKUP(EDATE(B296,-12),Database!$F:$AY,MATCH($F$1,Database!$F$1:$AY$1,),))))</f>
        <v>-7.157447169677208E-3</v>
      </c>
      <c r="G296" s="13">
        <f>((((VLOOKUP(B296,Database!$F:$AY,MATCH($G$1,Database!$F$1:$AY$1,),))))-(((VLOOKUP(EDATE(B296,-12),Database!$F:$AY,MATCH($G$1,Database!$F$1:$AY$1,),)))))/(((VLOOKUP(EDATE(B296,-12),Database!$F:$AY,MATCH($G$1,Database!$F$1:$AY$1,),))))</f>
        <v>-1.2350164211724485E-2</v>
      </c>
      <c r="H296" s="13">
        <f>((((VLOOKUP(B296,Database!$F:$AY,MATCH($H$1,Database!$F$1:$AY$1,),))))-(((VLOOKUP(EDATE(B296,-12),Database!$F:$AY,MATCH($H$1,Database!$F$1:$AY$1,),)))))/(((VLOOKUP(EDATE(B296,-12),Database!$F:$AY,MATCH($H$1,Database!$F$1:$AY$1,),))))</f>
        <v>-3.9014761957501962E-2</v>
      </c>
      <c r="I296" s="13">
        <f>((((VLOOKUP(B296,Database!$F:$AY,MATCH($I$1,Database!$F$1:$AY$1,),))))-(((VLOOKUP(EDATE(B296,-12),Database!$F:$AY,MATCH($I$1,Database!$F$1:$AY$1,),)))))/(((VLOOKUP(EDATE(B296,-12),Database!$F:$AY,MATCH($I$1,Database!$F$1:$AY$1,),))))</f>
        <v>-4.6555068343652327E-2</v>
      </c>
      <c r="J296" s="13">
        <f>((((VLOOKUP(B296,Database!$F:$AY,MATCH($J$1,Database!$F$1:$AY$1,),))))-(((VLOOKUP(EDATE(B296,-12),Database!$F:$AY,MATCH($J$1,Database!$F$1:$AY$1,),)))))/(((VLOOKUP(EDATE(B296,-12),Database!$F:$AY,MATCH($J$1,Database!$F$1:$AY$1,),))))</f>
        <v>-7.5263732231056077E-2</v>
      </c>
      <c r="K296" s="13">
        <f>((((VLOOKUP(B296,Database!$F:$AY,MATCH($K$1,Database!$F$1:$AY$1,),))))-(((VLOOKUP(EDATE(B296,-12),Database!$F:$AY,MATCH($K$1,Database!$F$1:$AY$1,),)))))/(((VLOOKUP(EDATE(B296,-12),Database!$F:$AY,MATCH($K$1,Database!$F$1:$AY$1,),))))</f>
        <v>-4.3478260869565168E-2</v>
      </c>
      <c r="L296" s="13">
        <f>((((VLOOKUP(B296,Database!$F:$AY,MATCH($L$1,Database!$F$1:$AY$1,),))))-(((VLOOKUP(EDATE(B296,-12),Database!$F:$AY,MATCH($L$1,Database!$F$1:$AY$1,),)))))/(((VLOOKUP(EDATE(B296,-12),Database!$F:$AY,MATCH($L$1,Database!$F$1:$AY$1,),))))</f>
        <v>2.9935261875936627E-2</v>
      </c>
      <c r="M296" s="13">
        <f>((((VLOOKUP(B296,Database!$F:$AY,MATCH($M$1,Database!$F$1:$AY$1,),))))-(((VLOOKUP(EDATE(B296,-12),Database!$F:$AY,MATCH($M$1,Database!$F$1:$AY$1,),)))))/(((VLOOKUP(EDATE(B296,-12),Database!$F:$AY,MATCH($M$1,Database!$F$1:$AY$1,),))))</f>
        <v>3.3860045146726865E-2</v>
      </c>
      <c r="N296" s="13">
        <f>((((VLOOKUP(B296,Database!$F:$AY,MATCH($N$1,Database!$F$1:$AY$1,),))))-(((VLOOKUP(EDATE(B296,-12),Database!$F:$AY,MATCH($N$1,Database!$F$1:$AY$1,),)))))/(((VLOOKUP(EDATE(B296,-12),Database!$F:$AY,MATCH($N$1,Database!$F$1:$AY$1,),))))</f>
        <v>-1.2554488537012756E-2</v>
      </c>
      <c r="O296" s="13">
        <f>((((VLOOKUP(B296,Database!$F:$AY,MATCH($O$1,Database!$F$1:$AY$1,),))))-(((VLOOKUP(EDATE(B296,-12),Database!$F:$AY,MATCH($O$1,Database!$F$1:$AY$1,),)))))/(((VLOOKUP(EDATE(B296,-12),Database!$F:$AY,MATCH($O$1,Database!$F$1:$AY$1,),))))</f>
        <v>-3.3843698267672619E-2</v>
      </c>
      <c r="P296" s="13">
        <f>((((VLOOKUP(B296,Database!$F:$AY,MATCH($P$1,Database!$F$1:$AY$1,),))))-(((VLOOKUP(EDATE(B296,-12),Database!$F:$AY,MATCH($P$1,Database!$F$1:$AY$1,),)))))/(((VLOOKUP(EDATE(B296,-12),Database!$F:$AY,MATCH($P$1,Database!$F$1:$AY$1,),))))</f>
        <v>-1.0753328073022437E-2</v>
      </c>
      <c r="Q296" s="13">
        <f>((((VLOOKUP(B296,Database!$F:$AY,MATCH($Q$1,Database!$F$1:$AY$1,),))))-(((VLOOKUP(EDATE(B296,-12),Database!$F:$AY,MATCH($Q$1,Database!$F$1:$AY$1,),)))))/(((VLOOKUP(EDATE(B296,-12),Database!$F:$AY,MATCH($Q$1,Database!$F$1:$AY$1,),))))</f>
        <v>4.9958307587474934E-3</v>
      </c>
      <c r="R296" s="13">
        <f>((((VLOOKUP(B296,Database!$F:$AY,MATCH($R$1,Database!$F$1:$AY$1,),))))-(((VLOOKUP(EDATE(B296,-12),Database!$F:$AY,MATCH($R$1,Database!$F$1:$AY$1,),)))))/(((VLOOKUP(EDATE(B296,-12),Database!$F:$AY,MATCH($R$1,Database!$F$1:$AY$1,),))))</f>
        <v>-6.810083430519423E-2</v>
      </c>
      <c r="S296" s="13">
        <f>((((VLOOKUP(B296,Database!$F:$AY,MATCH($S$1,Database!$F$1:$AY$1,),))))-(((VLOOKUP(EDATE(B296,-12),Database!$F:$AY,MATCH($S$1,Database!$F$1:$AY$1,),)))))/(((VLOOKUP(EDATE(B296,-12),Database!$F:$AY,MATCH($S$1,Database!$F$1:$AY$1,),))))</f>
        <v>-0.13915555765391047</v>
      </c>
      <c r="T296" s="13">
        <f>((((VLOOKUP(B296,Database!$F:$AY,MATCH($T$1,Database!$F$1:$AY$1,),))))-(((VLOOKUP(EDATE(B296,-12),Database!$F:$AY,MATCH($T$1,Database!$F$1:$AY$1,),)))))/(((VLOOKUP(EDATE(B296,-12),Database!$F:$AY,MATCH($T$1,Database!$F$1:$AY$1,),))))</f>
        <v>7.196976010627161E-2</v>
      </c>
      <c r="U296" s="13">
        <f>((((VLOOKUP(B296,Database!$F:$AY,MATCH($U$1,Database!$F$1:$AY$1,),))))-(((VLOOKUP(EDATE(B296,-12),Database!$F:$AY,MATCH($U$1,Database!$F$1:$AY$1,),)))))/(((VLOOKUP(EDATE(B296,-12),Database!$F:$AY,MATCH($U$1,Database!$F$1:$AY$1,),))))</f>
        <v>-1.2048120179508466E-2</v>
      </c>
      <c r="V296" s="13">
        <f>((((VLOOKUP(B296,Database!$F:$AY,MATCH($V$1,Database!$F$1:$AY$1,),))))-(((VLOOKUP(EDATE(B296,-12),Database!$F:$AY,MATCH($V$1,Database!$F$1:$AY$1,),)))))/(((VLOOKUP(EDATE(B296,-12),Database!$F:$AY,MATCH($V$1,Database!$F$1:$AY$1,),))))</f>
        <v>-1.1013215859030211E-3</v>
      </c>
    </row>
    <row r="297" spans="1:22" s="85" customFormat="1" x14ac:dyDescent="0.2">
      <c r="A297" s="44"/>
      <c r="B297" s="91">
        <v>41183</v>
      </c>
      <c r="C297" s="13">
        <f>((((VLOOKUP(B297,Database!$F:$AY,MATCH($C$1,Database!$F$1:$AY$1,),))))-(((VLOOKUP(EDATE(B297,-12),Database!$F:$AY,MATCH($C$1,Database!$F$1:$AY$1,),)))))/(((VLOOKUP(EDATE(B297,-12),Database!$F:$AY,MATCH($C$1,Database!$F$1:$AY$1,),))))</f>
        <v>1.8251278782872565E-2</v>
      </c>
      <c r="D297" s="13">
        <f>((((VLOOKUP(B297,Database!$F:$AY,MATCH($D$1,Database!$F$1:$AY$1,),))))-(((VLOOKUP(EDATE(B297,-12),Database!$F:$AY,MATCH($D$1,Database!$F$1:$AY$1,),)))))/(((VLOOKUP(EDATE(B297,-12),Database!$F:$AY,MATCH($D$1,Database!$F$1:$AY$1,),))))</f>
        <v>-3.0364471651856177E-2</v>
      </c>
      <c r="E297" s="13">
        <f>((((VLOOKUP(B297,Database!$F:$AY,MATCH($E$1,Database!$F$1:$AY$1,),))))-(((VLOOKUP(EDATE(B297,-12),Database!$F:$AY,MATCH($E$1,Database!$F$1:$AY$1,),)))))/(((VLOOKUP(EDATE(B297,-12),Database!$F:$AY,MATCH($E$1,Database!$F$1:$AY$1,),))))</f>
        <v>-6.5411436406473178E-2</v>
      </c>
      <c r="F297" s="13">
        <f>((((VLOOKUP(B297,Database!$F:$AY,MATCH($F$1,Database!$F$1:$AY$1,),))))-(((VLOOKUP(EDATE(B297,-12),Database!$F:$AY,MATCH($F$1,Database!$F$1:$AY$1,),)))))/(((VLOOKUP(EDATE(B297,-12),Database!$F:$AY,MATCH($F$1,Database!$F$1:$AY$1,),))))</f>
        <v>-3.1344775338208272E-2</v>
      </c>
      <c r="G297" s="13">
        <f>((((VLOOKUP(B297,Database!$F:$AY,MATCH($G$1,Database!$F$1:$AY$1,),))))-(((VLOOKUP(EDATE(B297,-12),Database!$F:$AY,MATCH($G$1,Database!$F$1:$AY$1,),)))))/(((VLOOKUP(EDATE(B297,-12),Database!$F:$AY,MATCH($G$1,Database!$F$1:$AY$1,),))))</f>
        <v>-3.2133605649240803E-2</v>
      </c>
      <c r="H297" s="13">
        <f>((((VLOOKUP(B297,Database!$F:$AY,MATCH($H$1,Database!$F$1:$AY$1,),))))-(((VLOOKUP(EDATE(B297,-12),Database!$F:$AY,MATCH($H$1,Database!$F$1:$AY$1,),)))))/(((VLOOKUP(EDATE(B297,-12),Database!$F:$AY,MATCH($H$1,Database!$F$1:$AY$1,),))))</f>
        <v>-4.0041513061088836E-2</v>
      </c>
      <c r="I297" s="13">
        <f>((((VLOOKUP(B297,Database!$F:$AY,MATCH($I$1,Database!$F$1:$AY$1,),))))-(((VLOOKUP(EDATE(B297,-12),Database!$F:$AY,MATCH($I$1,Database!$F$1:$AY$1,),)))))/(((VLOOKUP(EDATE(B297,-12),Database!$F:$AY,MATCH($I$1,Database!$F$1:$AY$1,),))))</f>
        <v>-5.1838418266548038E-2</v>
      </c>
      <c r="J297" s="13">
        <f>((((VLOOKUP(B297,Database!$F:$AY,MATCH($J$1,Database!$F$1:$AY$1,),))))-(((VLOOKUP(EDATE(B297,-12),Database!$F:$AY,MATCH($J$1,Database!$F$1:$AY$1,),)))))/(((VLOOKUP(EDATE(B297,-12),Database!$F:$AY,MATCH($J$1,Database!$F$1:$AY$1,),))))</f>
        <v>-4.8887063638813767E-2</v>
      </c>
      <c r="K297" s="13">
        <f>((((VLOOKUP(B297,Database!$F:$AY,MATCH($K$1,Database!$F$1:$AY$1,),))))-(((VLOOKUP(EDATE(B297,-12),Database!$F:$AY,MATCH($K$1,Database!$F$1:$AY$1,),)))))/(((VLOOKUP(EDATE(B297,-12),Database!$F:$AY,MATCH($K$1,Database!$F$1:$AY$1,),))))</f>
        <v>-2.5665399239543751E-2</v>
      </c>
      <c r="L297" s="13">
        <f>((((VLOOKUP(B297,Database!$F:$AY,MATCH($L$1,Database!$F$1:$AY$1,),))))-(((VLOOKUP(EDATE(B297,-12),Database!$F:$AY,MATCH($L$1,Database!$F$1:$AY$1,),)))))/(((VLOOKUP(EDATE(B297,-12),Database!$F:$AY,MATCH($L$1,Database!$F$1:$AY$1,),))))</f>
        <v>7.3470042203758025E-3</v>
      </c>
      <c r="M297" s="13">
        <f>((((VLOOKUP(B297,Database!$F:$AY,MATCH($M$1,Database!$F$1:$AY$1,),))))-(((VLOOKUP(EDATE(B297,-12),Database!$F:$AY,MATCH($M$1,Database!$F$1:$AY$1,),)))))/(((VLOOKUP(EDATE(B297,-12),Database!$F:$AY,MATCH($M$1,Database!$F$1:$AY$1,),))))</f>
        <v>2.4691358024691391E-2</v>
      </c>
      <c r="N297" s="13">
        <f>((((VLOOKUP(B297,Database!$F:$AY,MATCH($N$1,Database!$F$1:$AY$1,),))))-(((VLOOKUP(EDATE(B297,-12),Database!$F:$AY,MATCH($N$1,Database!$F$1:$AY$1,),)))))/(((VLOOKUP(EDATE(B297,-12),Database!$F:$AY,MATCH($N$1,Database!$F$1:$AY$1,),))))</f>
        <v>6.4493427034361991E-2</v>
      </c>
      <c r="O297" s="13">
        <f>((((VLOOKUP(B297,Database!$F:$AY,MATCH($O$1,Database!$F$1:$AY$1,),))))-(((VLOOKUP(EDATE(B297,-12),Database!$F:$AY,MATCH($O$1,Database!$F$1:$AY$1,),)))))/(((VLOOKUP(EDATE(B297,-12),Database!$F:$AY,MATCH($O$1,Database!$F$1:$AY$1,),))))</f>
        <v>-2.764389765350685E-2</v>
      </c>
      <c r="P297" s="13">
        <f>((((VLOOKUP(B297,Database!$F:$AY,MATCH($P$1,Database!$F$1:$AY$1,),))))-(((VLOOKUP(EDATE(B297,-12),Database!$F:$AY,MATCH($P$1,Database!$F$1:$AY$1,),)))))/(((VLOOKUP(EDATE(B297,-12),Database!$F:$AY,MATCH($P$1,Database!$F$1:$AY$1,),))))</f>
        <v>6.3314372852429687E-3</v>
      </c>
      <c r="Q297" s="13">
        <f>((((VLOOKUP(B297,Database!$F:$AY,MATCH($Q$1,Database!$F$1:$AY$1,),))))-(((VLOOKUP(EDATE(B297,-12),Database!$F:$AY,MATCH($Q$1,Database!$F$1:$AY$1,),)))))/(((VLOOKUP(EDATE(B297,-12),Database!$F:$AY,MATCH($Q$1,Database!$F$1:$AY$1,),))))</f>
        <v>2.8197832089862766E-2</v>
      </c>
      <c r="R297" s="13">
        <f>((((VLOOKUP(B297,Database!$F:$AY,MATCH($R$1,Database!$F$1:$AY$1,),))))-(((VLOOKUP(EDATE(B297,-12),Database!$F:$AY,MATCH($R$1,Database!$F$1:$AY$1,),)))))/(((VLOOKUP(EDATE(B297,-12),Database!$F:$AY,MATCH($R$1,Database!$F$1:$AY$1,),))))</f>
        <v>3.2321706984634387E-2</v>
      </c>
      <c r="S297" s="13">
        <f>((((VLOOKUP(B297,Database!$F:$AY,MATCH($S$1,Database!$F$1:$AY$1,),))))-(((VLOOKUP(EDATE(B297,-12),Database!$F:$AY,MATCH($S$1,Database!$F$1:$AY$1,),)))))/(((VLOOKUP(EDATE(B297,-12),Database!$F:$AY,MATCH($S$1,Database!$F$1:$AY$1,),))))</f>
        <v>-4.7804823972997075E-2</v>
      </c>
      <c r="T297" s="13">
        <f>((((VLOOKUP(B297,Database!$F:$AY,MATCH($T$1,Database!$F$1:$AY$1,),))))-(((VLOOKUP(EDATE(B297,-12),Database!$F:$AY,MATCH($T$1,Database!$F$1:$AY$1,),)))))/(((VLOOKUP(EDATE(B297,-12),Database!$F:$AY,MATCH($T$1,Database!$F$1:$AY$1,),))))</f>
        <v>1.5531761191076554E-2</v>
      </c>
      <c r="U297" s="13">
        <f>((((VLOOKUP(B297,Database!$F:$AY,MATCH($U$1,Database!$F$1:$AY$1,),))))-(((VLOOKUP(EDATE(B297,-12),Database!$F:$AY,MATCH($U$1,Database!$F$1:$AY$1,),)))))/(((VLOOKUP(EDATE(B297,-12),Database!$F:$AY,MATCH($U$1,Database!$F$1:$AY$1,),))))</f>
        <v>-3.3732387843937901E-2</v>
      </c>
      <c r="V297" s="13">
        <f>((((VLOOKUP(B297,Database!$F:$AY,MATCH($V$1,Database!$F$1:$AY$1,),))))-(((VLOOKUP(EDATE(B297,-12),Database!$F:$AY,MATCH($V$1,Database!$F$1:$AY$1,),)))))/(((VLOOKUP(EDATE(B297,-12),Database!$F:$AY,MATCH($V$1,Database!$F$1:$AY$1,),))))</f>
        <v>-1.106194690265581E-3</v>
      </c>
    </row>
    <row r="298" spans="1:22" s="85" customFormat="1" x14ac:dyDescent="0.2">
      <c r="A298" s="44"/>
      <c r="B298" s="91">
        <v>41214</v>
      </c>
      <c r="C298" s="13">
        <f>((((VLOOKUP(B298,Database!$F:$AY,MATCH($C$1,Database!$F$1:$AY$1,),))))-(((VLOOKUP(EDATE(B298,-12),Database!$F:$AY,MATCH($C$1,Database!$F$1:$AY$1,),)))))/(((VLOOKUP(EDATE(B298,-12),Database!$F:$AY,MATCH($C$1,Database!$F$1:$AY$1,),))))</f>
        <v>2.3979368320121743E-2</v>
      </c>
      <c r="D298" s="13">
        <f>((((VLOOKUP(B298,Database!$F:$AY,MATCH($D$1,Database!$F$1:$AY$1,),))))-(((VLOOKUP(EDATE(B298,-12),Database!$F:$AY,MATCH($D$1,Database!$F$1:$AY$1,),)))))/(((VLOOKUP(EDATE(B298,-12),Database!$F:$AY,MATCH($D$1,Database!$F$1:$AY$1,),))))</f>
        <v>-4.0363333992373539E-2</v>
      </c>
      <c r="E298" s="13">
        <f>((((VLOOKUP(B298,Database!$F:$AY,MATCH($E$1,Database!$F$1:$AY$1,),))))-(((VLOOKUP(EDATE(B298,-12),Database!$F:$AY,MATCH($E$1,Database!$F$1:$AY$1,),)))))/(((VLOOKUP(EDATE(B298,-12),Database!$F:$AY,MATCH($E$1,Database!$F$1:$AY$1,),))))</f>
        <v>-5.3589653161424514E-2</v>
      </c>
      <c r="F298" s="13">
        <f>((((VLOOKUP(B298,Database!$F:$AY,MATCH($F$1,Database!$F$1:$AY$1,),))))-(((VLOOKUP(EDATE(B298,-12),Database!$F:$AY,MATCH($F$1,Database!$F$1:$AY$1,),)))))/(((VLOOKUP(EDATE(B298,-12),Database!$F:$AY,MATCH($F$1,Database!$F$1:$AY$1,),))))</f>
        <v>-3.1568210060675228E-2</v>
      </c>
      <c r="G298" s="13">
        <f>((((VLOOKUP(B298,Database!$F:$AY,MATCH($G$1,Database!$F$1:$AY$1,),))))-(((VLOOKUP(EDATE(B298,-12),Database!$F:$AY,MATCH($G$1,Database!$F$1:$AY$1,),)))))/(((VLOOKUP(EDATE(B298,-12),Database!$F:$AY,MATCH($G$1,Database!$F$1:$AY$1,),))))</f>
        <v>-5.2499833527792257E-2</v>
      </c>
      <c r="H298" s="13">
        <f>((((VLOOKUP(B298,Database!$F:$AY,MATCH($H$1,Database!$F$1:$AY$1,),))))-(((VLOOKUP(EDATE(B298,-12),Database!$F:$AY,MATCH($H$1,Database!$F$1:$AY$1,),)))))/(((VLOOKUP(EDATE(B298,-12),Database!$F:$AY,MATCH($H$1,Database!$F$1:$AY$1,),))))</f>
        <v>-3.0896121841066583E-2</v>
      </c>
      <c r="I298" s="13">
        <f>((((VLOOKUP(B298,Database!$F:$AY,MATCH($I$1,Database!$F$1:$AY$1,),))))-(((VLOOKUP(EDATE(B298,-12),Database!$F:$AY,MATCH($I$1,Database!$F$1:$AY$1,),)))))/(((VLOOKUP(EDATE(B298,-12),Database!$F:$AY,MATCH($I$1,Database!$F$1:$AY$1,),))))</f>
        <v>-7.2030038048069372E-2</v>
      </c>
      <c r="J298" s="13">
        <f>((((VLOOKUP(B298,Database!$F:$AY,MATCH($J$1,Database!$F$1:$AY$1,),))))-(((VLOOKUP(EDATE(B298,-12),Database!$F:$AY,MATCH($J$1,Database!$F$1:$AY$1,),)))))/(((VLOOKUP(EDATE(B298,-12),Database!$F:$AY,MATCH($J$1,Database!$F$1:$AY$1,),))))</f>
        <v>-6.8369166655927724E-2</v>
      </c>
      <c r="K298" s="13">
        <f>((((VLOOKUP(B298,Database!$F:$AY,MATCH($K$1,Database!$F$1:$AY$1,),))))-(((VLOOKUP(EDATE(B298,-12),Database!$F:$AY,MATCH($K$1,Database!$F$1:$AY$1,),)))))/(((VLOOKUP(EDATE(B298,-12),Database!$F:$AY,MATCH($K$1,Database!$F$1:$AY$1,),))))</f>
        <v>-1.6650342801175208E-2</v>
      </c>
      <c r="L298" s="13">
        <f>((((VLOOKUP(B298,Database!$F:$AY,MATCH($L$1,Database!$F$1:$AY$1,),))))-(((VLOOKUP(EDATE(B298,-12),Database!$F:$AY,MATCH($L$1,Database!$F$1:$AY$1,),)))))/(((VLOOKUP(EDATE(B298,-12),Database!$F:$AY,MATCH($L$1,Database!$F$1:$AY$1,),))))</f>
        <v>2.1433636550793399E-2</v>
      </c>
      <c r="M298" s="13">
        <f>((((VLOOKUP(B298,Database!$F:$AY,MATCH($M$1,Database!$F$1:$AY$1,),))))-(((VLOOKUP(EDATE(B298,-12),Database!$F:$AY,MATCH($M$1,Database!$F$1:$AY$1,),)))))/(((VLOOKUP(EDATE(B298,-12),Database!$F:$AY,MATCH($M$1,Database!$F$1:$AY$1,),))))</f>
        <v>2.6936026936027001E-2</v>
      </c>
      <c r="N298" s="13">
        <f>((((VLOOKUP(B298,Database!$F:$AY,MATCH($N$1,Database!$F$1:$AY$1,),))))-(((VLOOKUP(EDATE(B298,-12),Database!$F:$AY,MATCH($N$1,Database!$F$1:$AY$1,),)))))/(((VLOOKUP(EDATE(B298,-12),Database!$F:$AY,MATCH($N$1,Database!$F$1:$AY$1,),))))</f>
        <v>-4.2098377974971603E-2</v>
      </c>
      <c r="O298" s="13">
        <f>((((VLOOKUP(B298,Database!$F:$AY,MATCH($O$1,Database!$F$1:$AY$1,),))))-(((VLOOKUP(EDATE(B298,-12),Database!$F:$AY,MATCH($O$1,Database!$F$1:$AY$1,),)))))/(((VLOOKUP(EDATE(B298,-12),Database!$F:$AY,MATCH($O$1,Database!$F$1:$AY$1,),))))</f>
        <v>-1.5179418570521705E-2</v>
      </c>
      <c r="P298" s="13">
        <f>((((VLOOKUP(B298,Database!$F:$AY,MATCH($P$1,Database!$F$1:$AY$1,),))))-(((VLOOKUP(EDATE(B298,-12),Database!$F:$AY,MATCH($P$1,Database!$F$1:$AY$1,),)))))/(((VLOOKUP(EDATE(B298,-12),Database!$F:$AY,MATCH($P$1,Database!$F$1:$AY$1,),))))</f>
        <v>2.9262475519374203E-2</v>
      </c>
      <c r="Q298" s="13">
        <f>((((VLOOKUP(B298,Database!$F:$AY,MATCH($Q$1,Database!$F$1:$AY$1,),))))-(((VLOOKUP(EDATE(B298,-12),Database!$F:$AY,MATCH($Q$1,Database!$F$1:$AY$1,),)))))/(((VLOOKUP(EDATE(B298,-12),Database!$F:$AY,MATCH($Q$1,Database!$F$1:$AY$1,),))))</f>
        <v>6.0068168780008464E-3</v>
      </c>
      <c r="R298" s="13">
        <f>((((VLOOKUP(B298,Database!$F:$AY,MATCH($R$1,Database!$F$1:$AY$1,),))))-(((VLOOKUP(EDATE(B298,-12),Database!$F:$AY,MATCH($R$1,Database!$F$1:$AY$1,),)))))/(((VLOOKUP(EDATE(B298,-12),Database!$F:$AY,MATCH($R$1,Database!$F$1:$AY$1,),))))</f>
        <v>-3.1280040919706452E-2</v>
      </c>
      <c r="S298" s="13">
        <f>((((VLOOKUP(B298,Database!$F:$AY,MATCH($S$1,Database!$F$1:$AY$1,),))))-(((VLOOKUP(EDATE(B298,-12),Database!$F:$AY,MATCH($S$1,Database!$F$1:$AY$1,),)))))/(((VLOOKUP(EDATE(B298,-12),Database!$F:$AY,MATCH($S$1,Database!$F$1:$AY$1,),))))</f>
        <v>-3.0487961238045994E-2</v>
      </c>
      <c r="T298" s="13">
        <f>((((VLOOKUP(B298,Database!$F:$AY,MATCH($T$1,Database!$F$1:$AY$1,),))))-(((VLOOKUP(EDATE(B298,-12),Database!$F:$AY,MATCH($T$1,Database!$F$1:$AY$1,),)))))/(((VLOOKUP(EDATE(B298,-12),Database!$F:$AY,MATCH($T$1,Database!$F$1:$AY$1,),))))</f>
        <v>1.0856393458127746E-2</v>
      </c>
      <c r="U298" s="13">
        <f>((((VLOOKUP(B298,Database!$F:$AY,MATCH($U$1,Database!$F$1:$AY$1,),))))-(((VLOOKUP(EDATE(B298,-12),Database!$F:$AY,MATCH($U$1,Database!$F$1:$AY$1,),)))))/(((VLOOKUP(EDATE(B298,-12),Database!$F:$AY,MATCH($U$1,Database!$F$1:$AY$1,),))))</f>
        <v>-6.7724832445619318E-2</v>
      </c>
      <c r="V298" s="13">
        <f>((((VLOOKUP(B298,Database!$F:$AY,MATCH($V$1,Database!$F$1:$AY$1,),))))-(((VLOOKUP(EDATE(B298,-12),Database!$F:$AY,MATCH($V$1,Database!$F$1:$AY$1,),)))))/(((VLOOKUP(EDATE(B298,-12),Database!$F:$AY,MATCH($V$1,Database!$F$1:$AY$1,),))))</f>
        <v>-3.0434782608695622E-2</v>
      </c>
    </row>
    <row r="299" spans="1:22" s="85" customFormat="1" x14ac:dyDescent="0.2">
      <c r="A299" s="44"/>
      <c r="B299" s="91">
        <v>41244</v>
      </c>
      <c r="C299" s="13">
        <f>((((VLOOKUP(B299,Database!$F:$AY,MATCH($C$1,Database!$F$1:$AY$1,),))))-(((VLOOKUP(EDATE(B299,-12),Database!$F:$AY,MATCH($C$1,Database!$F$1:$AY$1,),)))))/(((VLOOKUP(EDATE(B299,-12),Database!$F:$AY,MATCH($C$1,Database!$F$1:$AY$1,),))))</f>
        <v>2.1931903223674887E-2</v>
      </c>
      <c r="D299" s="13">
        <f>((((VLOOKUP(B299,Database!$F:$AY,MATCH($D$1,Database!$F$1:$AY$1,),))))-(((VLOOKUP(EDATE(B299,-12),Database!$F:$AY,MATCH($D$1,Database!$F$1:$AY$1,),)))))/(((VLOOKUP(EDATE(B299,-12),Database!$F:$AY,MATCH($D$1,Database!$F$1:$AY$1,),))))</f>
        <v>-2.9441656219071719E-2</v>
      </c>
      <c r="E299" s="13">
        <f>((((VLOOKUP(B299,Database!$F:$AY,MATCH($E$1,Database!$F$1:$AY$1,),))))-(((VLOOKUP(EDATE(B299,-12),Database!$F:$AY,MATCH($E$1,Database!$F$1:$AY$1,),)))))/(((VLOOKUP(EDATE(B299,-12),Database!$F:$AY,MATCH($E$1,Database!$F$1:$AY$1,),))))</f>
        <v>-5.946496852188015E-2</v>
      </c>
      <c r="F299" s="13">
        <f>((((VLOOKUP(B299,Database!$F:$AY,MATCH($F$1,Database!$F$1:$AY$1,),))))-(((VLOOKUP(EDATE(B299,-12),Database!$F:$AY,MATCH($F$1,Database!$F$1:$AY$1,),)))))/(((VLOOKUP(EDATE(B299,-12),Database!$F:$AY,MATCH($F$1,Database!$F$1:$AY$1,),))))</f>
        <v>-9.2974693241471111E-3</v>
      </c>
      <c r="G299" s="13">
        <f>((((VLOOKUP(B299,Database!$F:$AY,MATCH($G$1,Database!$F$1:$AY$1,),))))-(((VLOOKUP(EDATE(B299,-12),Database!$F:$AY,MATCH($G$1,Database!$F$1:$AY$1,),)))))/(((VLOOKUP(EDATE(B299,-12),Database!$F:$AY,MATCH($G$1,Database!$F$1:$AY$1,),))))</f>
        <v>-1.9222738779662556E-2</v>
      </c>
      <c r="H299" s="13">
        <f>((((VLOOKUP(B299,Database!$F:$AY,MATCH($H$1,Database!$F$1:$AY$1,),))))-(((VLOOKUP(EDATE(B299,-12),Database!$F:$AY,MATCH($H$1,Database!$F$1:$AY$1,),)))))/(((VLOOKUP(EDATE(B299,-12),Database!$F:$AY,MATCH($H$1,Database!$F$1:$AY$1,),))))</f>
        <v>-2.2680779866844768E-2</v>
      </c>
      <c r="I299" s="13">
        <f>((((VLOOKUP(B299,Database!$F:$AY,MATCH($I$1,Database!$F$1:$AY$1,),))))-(((VLOOKUP(EDATE(B299,-12),Database!$F:$AY,MATCH($I$1,Database!$F$1:$AY$1,),)))))/(((VLOOKUP(EDATE(B299,-12),Database!$F:$AY,MATCH($I$1,Database!$F$1:$AY$1,),))))</f>
        <v>-7.2423136566658386E-2</v>
      </c>
      <c r="J299" s="13">
        <f>((((VLOOKUP(B299,Database!$F:$AY,MATCH($J$1,Database!$F$1:$AY$1,),))))-(((VLOOKUP(EDATE(B299,-12),Database!$F:$AY,MATCH($J$1,Database!$F$1:$AY$1,),)))))/(((VLOOKUP(EDATE(B299,-12),Database!$F:$AY,MATCH($J$1,Database!$F$1:$AY$1,),))))</f>
        <v>-8.0433225381089671E-2</v>
      </c>
      <c r="K299" s="13">
        <f>((((VLOOKUP(B299,Database!$F:$AY,MATCH($K$1,Database!$F$1:$AY$1,),))))-(((VLOOKUP(EDATE(B299,-12),Database!$F:$AY,MATCH($K$1,Database!$F$1:$AY$1,),)))))/(((VLOOKUP(EDATE(B299,-12),Database!$F:$AY,MATCH($K$1,Database!$F$1:$AY$1,),))))</f>
        <v>5.9113300492610278E-3</v>
      </c>
      <c r="L299" s="13">
        <f>((((VLOOKUP(B299,Database!$F:$AY,MATCH($L$1,Database!$F$1:$AY$1,),))))-(((VLOOKUP(EDATE(B299,-12),Database!$F:$AY,MATCH($L$1,Database!$F$1:$AY$1,),)))))/(((VLOOKUP(EDATE(B299,-12),Database!$F:$AY,MATCH($L$1,Database!$F$1:$AY$1,),))))</f>
        <v>3.8628017784252747E-3</v>
      </c>
      <c r="M299" s="13">
        <f>((((VLOOKUP(B299,Database!$F:$AY,MATCH($M$1,Database!$F$1:$AY$1,),))))-(((VLOOKUP(EDATE(B299,-12),Database!$F:$AY,MATCH($M$1,Database!$F$1:$AY$1,),)))))/(((VLOOKUP(EDATE(B299,-12),Database!$F:$AY,MATCH($M$1,Database!$F$1:$AY$1,),))))</f>
        <v>2.3437500000000097E-2</v>
      </c>
      <c r="N299" s="13">
        <f>((((VLOOKUP(B299,Database!$F:$AY,MATCH($N$1,Database!$F$1:$AY$1,),))))-(((VLOOKUP(EDATE(B299,-12),Database!$F:$AY,MATCH($N$1,Database!$F$1:$AY$1,),)))))/(((VLOOKUP(EDATE(B299,-12),Database!$F:$AY,MATCH($N$1,Database!$F$1:$AY$1,),))))</f>
        <v>-2.6870041204541308E-2</v>
      </c>
      <c r="O299" s="13">
        <f>((((VLOOKUP(B299,Database!$F:$AY,MATCH($O$1,Database!$F$1:$AY$1,),))))-(((VLOOKUP(EDATE(B299,-12),Database!$F:$AY,MATCH($O$1,Database!$F$1:$AY$1,),)))))/(((VLOOKUP(EDATE(B299,-12),Database!$F:$AY,MATCH($O$1,Database!$F$1:$AY$1,),))))</f>
        <v>-2.8770923019265923E-2</v>
      </c>
      <c r="P299" s="13">
        <f>((((VLOOKUP(B299,Database!$F:$AY,MATCH($P$1,Database!$F$1:$AY$1,),))))-(((VLOOKUP(EDATE(B299,-12),Database!$F:$AY,MATCH($P$1,Database!$F$1:$AY$1,),)))))/(((VLOOKUP(EDATE(B299,-12),Database!$F:$AY,MATCH($P$1,Database!$F$1:$AY$1,),))))</f>
        <v>4.4413130144119788E-2</v>
      </c>
      <c r="Q299" s="13">
        <f>((((VLOOKUP(B299,Database!$F:$AY,MATCH($Q$1,Database!$F$1:$AY$1,),))))-(((VLOOKUP(EDATE(B299,-12),Database!$F:$AY,MATCH($Q$1,Database!$F$1:$AY$1,),)))))/(((VLOOKUP(EDATE(B299,-12),Database!$F:$AY,MATCH($Q$1,Database!$F$1:$AY$1,),))))</f>
        <v>-1.0742006469506678E-2</v>
      </c>
      <c r="R299" s="13">
        <f>((((VLOOKUP(B299,Database!$F:$AY,MATCH($R$1,Database!$F$1:$AY$1,),))))-(((VLOOKUP(EDATE(B299,-12),Database!$F:$AY,MATCH($R$1,Database!$F$1:$AY$1,),)))))/(((VLOOKUP(EDATE(B299,-12),Database!$F:$AY,MATCH($R$1,Database!$F$1:$AY$1,),))))</f>
        <v>9.0185255964616174E-3</v>
      </c>
      <c r="S299" s="13">
        <f>((((VLOOKUP(B299,Database!$F:$AY,MATCH($S$1,Database!$F$1:$AY$1,),))))-(((VLOOKUP(EDATE(B299,-12),Database!$F:$AY,MATCH($S$1,Database!$F$1:$AY$1,),)))))/(((VLOOKUP(EDATE(B299,-12),Database!$F:$AY,MATCH($S$1,Database!$F$1:$AY$1,),))))</f>
        <v>-1.0152390582350257E-2</v>
      </c>
      <c r="T299" s="13">
        <f>((((VLOOKUP(B299,Database!$F:$AY,MATCH($T$1,Database!$F$1:$AY$1,),))))-(((VLOOKUP(EDATE(B299,-12),Database!$F:$AY,MATCH($T$1,Database!$F$1:$AY$1,),)))))/(((VLOOKUP(EDATE(B299,-12),Database!$F:$AY,MATCH($T$1,Database!$F$1:$AY$1,),))))</f>
        <v>2.5331785797827022E-2</v>
      </c>
      <c r="U299" s="13">
        <f>((((VLOOKUP(B299,Database!$F:$AY,MATCH($U$1,Database!$F$1:$AY$1,),))))-(((VLOOKUP(EDATE(B299,-12),Database!$F:$AY,MATCH($U$1,Database!$F$1:$AY$1,),)))))/(((VLOOKUP(EDATE(B299,-12),Database!$F:$AY,MATCH($U$1,Database!$F$1:$AY$1,),))))</f>
        <v>-4.3944301542218511E-2</v>
      </c>
      <c r="V299" s="13">
        <f>((((VLOOKUP(B299,Database!$F:$AY,MATCH($V$1,Database!$F$1:$AY$1,),))))-(((VLOOKUP(EDATE(B299,-12),Database!$F:$AY,MATCH($V$1,Database!$F$1:$AY$1,),)))))/(((VLOOKUP(EDATE(B299,-12),Database!$F:$AY,MATCH($V$1,Database!$F$1:$AY$1,),))))</f>
        <v>-5.3248136315228962E-2</v>
      </c>
    </row>
    <row r="300" spans="1:22" s="85" customFormat="1" x14ac:dyDescent="0.2">
      <c r="A300" s="44"/>
      <c r="B300" s="91">
        <v>41275</v>
      </c>
      <c r="C300" s="13">
        <f>((((VLOOKUP(B300,Database!$F:$AY,MATCH($C$1,Database!$F$1:$AY$1,),))))-(((VLOOKUP(EDATE(B300,-12),Database!$F:$AY,MATCH($C$1,Database!$F$1:$AY$1,),)))))/(((VLOOKUP(EDATE(B300,-12),Database!$F:$AY,MATCH($C$1,Database!$F$1:$AY$1,),))))</f>
        <v>1.4366257818764413E-2</v>
      </c>
      <c r="D300" s="13">
        <f>((((VLOOKUP(B300,Database!$F:$AY,MATCH($D$1,Database!$F$1:$AY$1,),))))-(((VLOOKUP(EDATE(B300,-12),Database!$F:$AY,MATCH($D$1,Database!$F$1:$AY$1,),)))))/(((VLOOKUP(EDATE(B300,-12),Database!$F:$AY,MATCH($D$1,Database!$F$1:$AY$1,),))))</f>
        <v>-2.6584798897975808E-2</v>
      </c>
      <c r="E300" s="13">
        <f>((((VLOOKUP(B300,Database!$F:$AY,MATCH($E$1,Database!$F$1:$AY$1,),))))-(((VLOOKUP(EDATE(B300,-12),Database!$F:$AY,MATCH($E$1,Database!$F$1:$AY$1,),)))))/(((VLOOKUP(EDATE(B300,-12),Database!$F:$AY,MATCH($E$1,Database!$F$1:$AY$1,),))))</f>
        <v>-8.1637574743506178E-2</v>
      </c>
      <c r="F300" s="13">
        <f>((((VLOOKUP(B300,Database!$F:$AY,MATCH($F$1,Database!$F$1:$AY$1,),))))-(((VLOOKUP(EDATE(B300,-12),Database!$F:$AY,MATCH($F$1,Database!$F$1:$AY$1,),)))))/(((VLOOKUP(EDATE(B300,-12),Database!$F:$AY,MATCH($F$1,Database!$F$1:$AY$1,),))))</f>
        <v>-2.6721446155481159E-2</v>
      </c>
      <c r="G300" s="13">
        <f>((((VLOOKUP(B300,Database!$F:$AY,MATCH($G$1,Database!$F$1:$AY$1,),))))-(((VLOOKUP(EDATE(B300,-12),Database!$F:$AY,MATCH($G$1,Database!$F$1:$AY$1,),)))))/(((VLOOKUP(EDATE(B300,-12),Database!$F:$AY,MATCH($G$1,Database!$F$1:$AY$1,),))))</f>
        <v>-2.2706612143879867E-2</v>
      </c>
      <c r="H300" s="13">
        <f>((((VLOOKUP(B300,Database!$F:$AY,MATCH($H$1,Database!$F$1:$AY$1,),))))-(((VLOOKUP(EDATE(B300,-12),Database!$F:$AY,MATCH($H$1,Database!$F$1:$AY$1,),)))))/(((VLOOKUP(EDATE(B300,-12),Database!$F:$AY,MATCH($H$1,Database!$F$1:$AY$1,),))))</f>
        <v>-3.2955869910021779E-2</v>
      </c>
      <c r="I300" s="13">
        <f>((((VLOOKUP(B300,Database!$F:$AY,MATCH($I$1,Database!$F$1:$AY$1,),))))-(((VLOOKUP(EDATE(B300,-12),Database!$F:$AY,MATCH($I$1,Database!$F$1:$AY$1,),)))))/(((VLOOKUP(EDATE(B300,-12),Database!$F:$AY,MATCH($I$1,Database!$F$1:$AY$1,),))))</f>
        <v>-3.5680201058139849E-2</v>
      </c>
      <c r="J300" s="13">
        <f>((((VLOOKUP(B300,Database!$F:$AY,MATCH($J$1,Database!$F$1:$AY$1,),))))-(((VLOOKUP(EDATE(B300,-12),Database!$F:$AY,MATCH($J$1,Database!$F$1:$AY$1,),)))))/(((VLOOKUP(EDATE(B300,-12),Database!$F:$AY,MATCH($J$1,Database!$F$1:$AY$1,),))))</f>
        <v>-5.2716404095338065E-2</v>
      </c>
      <c r="K300" s="13">
        <f>((((VLOOKUP(B300,Database!$F:$AY,MATCH($K$1,Database!$F$1:$AY$1,),))))-(((VLOOKUP(EDATE(B300,-12),Database!$F:$AY,MATCH($K$1,Database!$F$1:$AY$1,),)))))/(((VLOOKUP(EDATE(B300,-12),Database!$F:$AY,MATCH($K$1,Database!$F$1:$AY$1,),))))</f>
        <v>-7.0697674418604597E-2</v>
      </c>
      <c r="L300" s="13">
        <f>((((VLOOKUP(B300,Database!$F:$AY,MATCH($L$1,Database!$F$1:$AY$1,),))))-(((VLOOKUP(EDATE(B300,-12),Database!$F:$AY,MATCH($L$1,Database!$F$1:$AY$1,),)))))/(((VLOOKUP(EDATE(B300,-12),Database!$F:$AY,MATCH($L$1,Database!$F$1:$AY$1,),))))</f>
        <v>-1.2781152162081554E-3</v>
      </c>
      <c r="M300" s="13">
        <f>((((VLOOKUP(B300,Database!$F:$AY,MATCH($M$1,Database!$F$1:$AY$1,),))))-(((VLOOKUP(EDATE(B300,-12),Database!$F:$AY,MATCH($M$1,Database!$F$1:$AY$1,),)))))/(((VLOOKUP(EDATE(B300,-12),Database!$F:$AY,MATCH($M$1,Database!$F$1:$AY$1,),))))</f>
        <v>-5.5679287305122494E-3</v>
      </c>
      <c r="N300" s="13">
        <f>((((VLOOKUP(B300,Database!$F:$AY,MATCH($N$1,Database!$F$1:$AY$1,),))))-(((VLOOKUP(EDATE(B300,-12),Database!$F:$AY,MATCH($N$1,Database!$F$1:$AY$1,),)))))/(((VLOOKUP(EDATE(B300,-12),Database!$F:$AY,MATCH($N$1,Database!$F$1:$AY$1,),))))</f>
        <v>-1.7424716972483979E-2</v>
      </c>
      <c r="O300" s="13">
        <f>((((VLOOKUP(B300,Database!$F:$AY,MATCH($O$1,Database!$F$1:$AY$1,),))))-(((VLOOKUP(EDATE(B300,-12),Database!$F:$AY,MATCH($O$1,Database!$F$1:$AY$1,),)))))/(((VLOOKUP(EDATE(B300,-12),Database!$F:$AY,MATCH($O$1,Database!$F$1:$AY$1,),))))</f>
        <v>-2.1363561196758713E-2</v>
      </c>
      <c r="P300" s="13">
        <f>((((VLOOKUP(B300,Database!$F:$AY,MATCH($P$1,Database!$F$1:$AY$1,),))))-(((VLOOKUP(EDATE(B300,-12),Database!$F:$AY,MATCH($P$1,Database!$F$1:$AY$1,),)))))/(((VLOOKUP(EDATE(B300,-12),Database!$F:$AY,MATCH($P$1,Database!$F$1:$AY$1,),))))</f>
        <v>2.1307328526720178E-2</v>
      </c>
      <c r="Q300" s="13">
        <f>((((VLOOKUP(B300,Database!$F:$AY,MATCH($Q$1,Database!$F$1:$AY$1,),))))-(((VLOOKUP(EDATE(B300,-12),Database!$F:$AY,MATCH($Q$1,Database!$F$1:$AY$1,),)))))/(((VLOOKUP(EDATE(B300,-12),Database!$F:$AY,MATCH($Q$1,Database!$F$1:$AY$1,),))))</f>
        <v>4.1836963553222549E-2</v>
      </c>
      <c r="R300" s="13">
        <f>((((VLOOKUP(B300,Database!$F:$AY,MATCH($R$1,Database!$F$1:$AY$1,),))))-(((VLOOKUP(EDATE(B300,-12),Database!$F:$AY,MATCH($R$1,Database!$F$1:$AY$1,),)))))/(((VLOOKUP(EDATE(B300,-12),Database!$F:$AY,MATCH($R$1,Database!$F$1:$AY$1,),))))</f>
        <v>-3.0798168028375619E-2</v>
      </c>
      <c r="S300" s="13">
        <f>((((VLOOKUP(B300,Database!$F:$AY,MATCH($S$1,Database!$F$1:$AY$1,),))))-(((VLOOKUP(EDATE(B300,-12),Database!$F:$AY,MATCH($S$1,Database!$F$1:$AY$1,),)))))/(((VLOOKUP(EDATE(B300,-12),Database!$F:$AY,MATCH($S$1,Database!$F$1:$AY$1,),))))</f>
        <v>-4.4444490753201081E-2</v>
      </c>
      <c r="T300" s="13">
        <f>((((VLOOKUP(B300,Database!$F:$AY,MATCH($T$1,Database!$F$1:$AY$1,),))))-(((VLOOKUP(EDATE(B300,-12),Database!$F:$AY,MATCH($T$1,Database!$F$1:$AY$1,),)))))/(((VLOOKUP(EDATE(B300,-12),Database!$F:$AY,MATCH($T$1,Database!$F$1:$AY$1,),))))</f>
        <v>4.1463458659234523E-2</v>
      </c>
      <c r="U300" s="13">
        <f>((((VLOOKUP(B300,Database!$F:$AY,MATCH($U$1,Database!$F$1:$AY$1,),))))-(((VLOOKUP(EDATE(B300,-12),Database!$F:$AY,MATCH($U$1,Database!$F$1:$AY$1,),)))))/(((VLOOKUP(EDATE(B300,-12),Database!$F:$AY,MATCH($U$1,Database!$F$1:$AY$1,),))))</f>
        <v>-3.7960987860884421E-2</v>
      </c>
      <c r="V300" s="13">
        <f>((((VLOOKUP(B300,Database!$F:$AY,MATCH($V$1,Database!$F$1:$AY$1,),))))-(((VLOOKUP(EDATE(B300,-12),Database!$F:$AY,MATCH($V$1,Database!$F$1:$AY$1,),)))))/(((VLOOKUP(EDATE(B300,-12),Database!$F:$AY,MATCH($V$1,Database!$F$1:$AY$1,),))))</f>
        <v>-2.0925110132158496E-2</v>
      </c>
    </row>
    <row r="301" spans="1:22" s="85" customFormat="1" x14ac:dyDescent="0.2">
      <c r="A301" s="44"/>
      <c r="B301" s="91">
        <v>41306</v>
      </c>
      <c r="C301" s="13">
        <f>((((VLOOKUP(B301,Database!$F:$AY,MATCH($C$1,Database!$F$1:$AY$1,),))))-(((VLOOKUP(EDATE(B301,-12),Database!$F:$AY,MATCH($C$1,Database!$F$1:$AY$1,),)))))/(((VLOOKUP(EDATE(B301,-12),Database!$F:$AY,MATCH($C$1,Database!$F$1:$AY$1,),))))</f>
        <v>1.7859828345242898E-2</v>
      </c>
      <c r="D301" s="13">
        <f>((((VLOOKUP(B301,Database!$F:$AY,MATCH($D$1,Database!$F$1:$AY$1,),))))-(((VLOOKUP(EDATE(B301,-12),Database!$F:$AY,MATCH($D$1,Database!$F$1:$AY$1,),)))))/(((VLOOKUP(EDATE(B301,-12),Database!$F:$AY,MATCH($D$1,Database!$F$1:$AY$1,),))))</f>
        <v>-3.0487903422124891E-2</v>
      </c>
      <c r="E301" s="13">
        <f>((((VLOOKUP(B301,Database!$F:$AY,MATCH($E$1,Database!$F$1:$AY$1,),))))-(((VLOOKUP(EDATE(B301,-12),Database!$F:$AY,MATCH($E$1,Database!$F$1:$AY$1,),)))))/(((VLOOKUP(EDATE(B301,-12),Database!$F:$AY,MATCH($E$1,Database!$F$1:$AY$1,),))))</f>
        <v>-6.4386022113197591E-2</v>
      </c>
      <c r="F301" s="13">
        <f>((((VLOOKUP(B301,Database!$F:$AY,MATCH($F$1,Database!$F$1:$AY$1,),))))-(((VLOOKUP(EDATE(B301,-12),Database!$F:$AY,MATCH($F$1,Database!$F$1:$AY$1,),)))))/(((VLOOKUP(EDATE(B301,-12),Database!$F:$AY,MATCH($F$1,Database!$F$1:$AY$1,),))))</f>
        <v>-1.7489729082361811E-2</v>
      </c>
      <c r="G301" s="13">
        <f>((((VLOOKUP(B301,Database!$F:$AY,MATCH($G$1,Database!$F$1:$AY$1,),))))-(((VLOOKUP(EDATE(B301,-12),Database!$F:$AY,MATCH($G$1,Database!$F$1:$AY$1,),)))))/(((VLOOKUP(EDATE(B301,-12),Database!$F:$AY,MATCH($G$1,Database!$F$1:$AY$1,),))))</f>
        <v>-2.0921826641351796E-2</v>
      </c>
      <c r="H301" s="13">
        <f>((((VLOOKUP(B301,Database!$F:$AY,MATCH($H$1,Database!$F$1:$AY$1,),))))-(((VLOOKUP(EDATE(B301,-12),Database!$F:$AY,MATCH($H$1,Database!$F$1:$AY$1,),)))))/(((VLOOKUP(EDATE(B301,-12),Database!$F:$AY,MATCH($H$1,Database!$F$1:$AY$1,),))))</f>
        <v>-3.0991584230332214E-2</v>
      </c>
      <c r="I301" s="13">
        <f>((((VLOOKUP(B301,Database!$F:$AY,MATCH($I$1,Database!$F$1:$AY$1,),))))-(((VLOOKUP(EDATE(B301,-12),Database!$F:$AY,MATCH($I$1,Database!$F$1:$AY$1,),)))))/(((VLOOKUP(EDATE(B301,-12),Database!$F:$AY,MATCH($I$1,Database!$F$1:$AY$1,),))))</f>
        <v>-4.3310460067397312E-2</v>
      </c>
      <c r="J301" s="13">
        <f>((((VLOOKUP(B301,Database!$F:$AY,MATCH($J$1,Database!$F$1:$AY$1,),))))-(((VLOOKUP(EDATE(B301,-12),Database!$F:$AY,MATCH($J$1,Database!$F$1:$AY$1,),)))))/(((VLOOKUP(EDATE(B301,-12),Database!$F:$AY,MATCH($J$1,Database!$F$1:$AY$1,),))))</f>
        <v>-4.7312634315927152E-2</v>
      </c>
      <c r="K301" s="13">
        <f>((((VLOOKUP(B301,Database!$F:$AY,MATCH($K$1,Database!$F$1:$AY$1,),))))-(((VLOOKUP(EDATE(B301,-12),Database!$F:$AY,MATCH($K$1,Database!$F$1:$AY$1,),)))))/(((VLOOKUP(EDATE(B301,-12),Database!$F:$AY,MATCH($K$1,Database!$F$1:$AY$1,),))))</f>
        <v>-2.2682445759368949E-2</v>
      </c>
      <c r="L301" s="13">
        <f>((((VLOOKUP(B301,Database!$F:$AY,MATCH($L$1,Database!$F$1:$AY$1,),))))-(((VLOOKUP(EDATE(B301,-12),Database!$F:$AY,MATCH($L$1,Database!$F$1:$AY$1,),)))))/(((VLOOKUP(EDATE(B301,-12),Database!$F:$AY,MATCH($L$1,Database!$F$1:$AY$1,),))))</f>
        <v>1.3988209802340357E-3</v>
      </c>
      <c r="M301" s="13">
        <f>((((VLOOKUP(B301,Database!$F:$AY,MATCH($M$1,Database!$F$1:$AY$1,),))))-(((VLOOKUP(EDATE(B301,-12),Database!$F:$AY,MATCH($M$1,Database!$F$1:$AY$1,),)))))/(((VLOOKUP(EDATE(B301,-12),Database!$F:$AY,MATCH($M$1,Database!$F$1:$AY$1,),))))</f>
        <v>-4.4247787610620093E-3</v>
      </c>
      <c r="N301" s="13">
        <f>((((VLOOKUP(B301,Database!$F:$AY,MATCH($N$1,Database!$F$1:$AY$1,),))))-(((VLOOKUP(EDATE(B301,-12),Database!$F:$AY,MATCH($N$1,Database!$F$1:$AY$1,),)))))/(((VLOOKUP(EDATE(B301,-12),Database!$F:$AY,MATCH($N$1,Database!$F$1:$AY$1,),))))</f>
        <v>-2.0439381628555821E-2</v>
      </c>
      <c r="O301" s="13">
        <f>((((VLOOKUP(B301,Database!$F:$AY,MATCH($O$1,Database!$F$1:$AY$1,),))))-(((VLOOKUP(EDATE(B301,-12),Database!$F:$AY,MATCH($O$1,Database!$F$1:$AY$1,),)))))/(((VLOOKUP(EDATE(B301,-12),Database!$F:$AY,MATCH($O$1,Database!$F$1:$AY$1,),))))</f>
        <v>1.1018477459702027E-2</v>
      </c>
      <c r="P301" s="13">
        <f>((((VLOOKUP(B301,Database!$F:$AY,MATCH($P$1,Database!$F$1:$AY$1,),))))-(((VLOOKUP(EDATE(B301,-12),Database!$F:$AY,MATCH($P$1,Database!$F$1:$AY$1,),)))))/(((VLOOKUP(EDATE(B301,-12),Database!$F:$AY,MATCH($P$1,Database!$F$1:$AY$1,),))))</f>
        <v>-6.1166969240730746E-3</v>
      </c>
      <c r="Q301" s="13">
        <f>((((VLOOKUP(B301,Database!$F:$AY,MATCH($Q$1,Database!$F$1:$AY$1,),))))-(((VLOOKUP(EDATE(B301,-12),Database!$F:$AY,MATCH($Q$1,Database!$F$1:$AY$1,),)))))/(((VLOOKUP(EDATE(B301,-12),Database!$F:$AY,MATCH($Q$1,Database!$F$1:$AY$1,),))))</f>
        <v>6.0543905329348609E-3</v>
      </c>
      <c r="R301" s="13">
        <f>((((VLOOKUP(B301,Database!$F:$AY,MATCH($R$1,Database!$F$1:$AY$1,),))))-(((VLOOKUP(EDATE(B301,-12),Database!$F:$AY,MATCH($R$1,Database!$F$1:$AY$1,),)))))/(((VLOOKUP(EDATE(B301,-12),Database!$F:$AY,MATCH($R$1,Database!$F$1:$AY$1,),))))</f>
        <v>-3.1250274978563836E-2</v>
      </c>
      <c r="S301" s="13">
        <f>((((VLOOKUP(B301,Database!$F:$AY,MATCH($S$1,Database!$F$1:$AY$1,),))))-(((VLOOKUP(EDATE(B301,-12),Database!$F:$AY,MATCH($S$1,Database!$F$1:$AY$1,),)))))/(((VLOOKUP(EDATE(B301,-12),Database!$F:$AY,MATCH($S$1,Database!$F$1:$AY$1,),))))</f>
        <v>-4.8533870002642775E-2</v>
      </c>
      <c r="T301" s="13">
        <f>((((VLOOKUP(B301,Database!$F:$AY,MATCH($T$1,Database!$F$1:$AY$1,),))))-(((VLOOKUP(EDATE(B301,-12),Database!$F:$AY,MATCH($T$1,Database!$F$1:$AY$1,),)))))/(((VLOOKUP(EDATE(B301,-12),Database!$F:$AY,MATCH($T$1,Database!$F$1:$AY$1,),))))</f>
        <v>7.9109928317884645E-2</v>
      </c>
      <c r="U301" s="13">
        <f>((((VLOOKUP(B301,Database!$F:$AY,MATCH($U$1,Database!$F$1:$AY$1,),))))-(((VLOOKUP(EDATE(B301,-12),Database!$F:$AY,MATCH($U$1,Database!$F$1:$AY$1,),)))))/(((VLOOKUP(EDATE(B301,-12),Database!$F:$AY,MATCH($U$1,Database!$F$1:$AY$1,),))))</f>
        <v>-4.6087852798617671E-2</v>
      </c>
      <c r="V301" s="13">
        <f>((((VLOOKUP(B301,Database!$F:$AY,MATCH($V$1,Database!$F$1:$AY$1,),))))-(((VLOOKUP(EDATE(B301,-12),Database!$F:$AY,MATCH($V$1,Database!$F$1:$AY$1,),)))))/(((VLOOKUP(EDATE(B301,-12),Database!$F:$AY,MATCH($V$1,Database!$F$1:$AY$1,),))))</f>
        <v>1.4672686230248436E-2</v>
      </c>
    </row>
    <row r="302" spans="1:22" s="85" customFormat="1" x14ac:dyDescent="0.2">
      <c r="A302" s="44"/>
      <c r="B302" s="91">
        <v>41334</v>
      </c>
      <c r="C302" s="13">
        <f>((((VLOOKUP(B302,Database!$F:$AY,MATCH($C$1,Database!$F$1:$AY$1,),))))-(((VLOOKUP(EDATE(B302,-12),Database!$F:$AY,MATCH($C$1,Database!$F$1:$AY$1,),)))))/(((VLOOKUP(EDATE(B302,-12),Database!$F:$AY,MATCH($C$1,Database!$F$1:$AY$1,),))))</f>
        <v>2.6789327360456427E-2</v>
      </c>
      <c r="D302" s="13">
        <f>((((VLOOKUP(B302,Database!$F:$AY,MATCH($D$1,Database!$F$1:$AY$1,),))))-(((VLOOKUP(EDATE(B302,-12),Database!$F:$AY,MATCH($D$1,Database!$F$1:$AY$1,),)))))/(((VLOOKUP(EDATE(B302,-12),Database!$F:$AY,MATCH($D$1,Database!$F$1:$AY$1,),))))</f>
        <v>-1.932865313670775E-2</v>
      </c>
      <c r="E302" s="13">
        <f>((((VLOOKUP(B302,Database!$F:$AY,MATCH($E$1,Database!$F$1:$AY$1,),))))-(((VLOOKUP(EDATE(B302,-12),Database!$F:$AY,MATCH($E$1,Database!$F$1:$AY$1,),)))))/(((VLOOKUP(EDATE(B302,-12),Database!$F:$AY,MATCH($E$1,Database!$F$1:$AY$1,),))))</f>
        <v>-5.383123931363698E-2</v>
      </c>
      <c r="F302" s="13">
        <f>((((VLOOKUP(B302,Database!$F:$AY,MATCH($F$1,Database!$F$1:$AY$1,),))))-(((VLOOKUP(EDATE(B302,-12),Database!$F:$AY,MATCH($F$1,Database!$F$1:$AY$1,),)))))/(((VLOOKUP(EDATE(B302,-12),Database!$F:$AY,MATCH($F$1,Database!$F$1:$AY$1,),))))</f>
        <v>-1.6260196479788051E-2</v>
      </c>
      <c r="G302" s="13">
        <f>((((VLOOKUP(B302,Database!$F:$AY,MATCH($G$1,Database!$F$1:$AY$1,),))))-(((VLOOKUP(EDATE(B302,-12),Database!$F:$AY,MATCH($G$1,Database!$F$1:$AY$1,),)))))/(((VLOOKUP(EDATE(B302,-12),Database!$F:$AY,MATCH($G$1,Database!$F$1:$AY$1,),))))</f>
        <v>-1.178178786702682E-2</v>
      </c>
      <c r="H302" s="13">
        <f>((((VLOOKUP(B302,Database!$F:$AY,MATCH($H$1,Database!$F$1:$AY$1,),))))-(((VLOOKUP(EDATE(B302,-12),Database!$F:$AY,MATCH($H$1,Database!$F$1:$AY$1,),)))))/(((VLOOKUP(EDATE(B302,-12),Database!$F:$AY,MATCH($H$1,Database!$F$1:$AY$1,),))))</f>
        <v>-1.66840753097902E-2</v>
      </c>
      <c r="I302" s="13">
        <f>((((VLOOKUP(B302,Database!$F:$AY,MATCH($I$1,Database!$F$1:$AY$1,),))))-(((VLOOKUP(EDATE(B302,-12),Database!$F:$AY,MATCH($I$1,Database!$F$1:$AY$1,),)))))/(((VLOOKUP(EDATE(B302,-12),Database!$F:$AY,MATCH($I$1,Database!$F$1:$AY$1,),))))</f>
        <v>-5.268197637159415E-2</v>
      </c>
      <c r="J302" s="13">
        <f>((((VLOOKUP(B302,Database!$F:$AY,MATCH($J$1,Database!$F$1:$AY$1,),))))-(((VLOOKUP(EDATE(B302,-12),Database!$F:$AY,MATCH($J$1,Database!$F$1:$AY$1,),)))))/(((VLOOKUP(EDATE(B302,-12),Database!$F:$AY,MATCH($J$1,Database!$F$1:$AY$1,),))))</f>
        <v>-2.5063735539132413E-2</v>
      </c>
      <c r="K302" s="13">
        <f>((((VLOOKUP(B302,Database!$F:$AY,MATCH($K$1,Database!$F$1:$AY$1,),))))-(((VLOOKUP(EDATE(B302,-12),Database!$F:$AY,MATCH($K$1,Database!$F$1:$AY$1,),)))))/(((VLOOKUP(EDATE(B302,-12),Database!$F:$AY,MATCH($K$1,Database!$F$1:$AY$1,),))))</f>
        <v>-8.8408644400785018E-3</v>
      </c>
      <c r="L302" s="13">
        <f>((((VLOOKUP(B302,Database!$F:$AY,MATCH($L$1,Database!$F$1:$AY$1,),))))-(((VLOOKUP(EDATE(B302,-12),Database!$F:$AY,MATCH($L$1,Database!$F$1:$AY$1,),)))))/(((VLOOKUP(EDATE(B302,-12),Database!$F:$AY,MATCH($L$1,Database!$F$1:$AY$1,),))))</f>
        <v>3.9445626984321511E-3</v>
      </c>
      <c r="M302" s="13">
        <f>((((VLOOKUP(B302,Database!$F:$AY,MATCH($M$1,Database!$F$1:$AY$1,),))))-(((VLOOKUP(EDATE(B302,-12),Database!$F:$AY,MATCH($M$1,Database!$F$1:$AY$1,),)))))/(((VLOOKUP(EDATE(B302,-12),Database!$F:$AY,MATCH($M$1,Database!$F$1:$AY$1,),))))</f>
        <v>3.3370411568409343E-2</v>
      </c>
      <c r="N302" s="13">
        <f>((((VLOOKUP(B302,Database!$F:$AY,MATCH($N$1,Database!$F$1:$AY$1,),))))-(((VLOOKUP(EDATE(B302,-12),Database!$F:$AY,MATCH($N$1,Database!$F$1:$AY$1,),)))))/(((VLOOKUP(EDATE(B302,-12),Database!$F:$AY,MATCH($N$1,Database!$F$1:$AY$1,),))))</f>
        <v>7.2228384145074584E-3</v>
      </c>
      <c r="O302" s="13">
        <f>((((VLOOKUP(B302,Database!$F:$AY,MATCH($O$1,Database!$F$1:$AY$1,),))))-(((VLOOKUP(EDATE(B302,-12),Database!$F:$AY,MATCH($O$1,Database!$F$1:$AY$1,),)))))/(((VLOOKUP(EDATE(B302,-12),Database!$F:$AY,MATCH($O$1,Database!$F$1:$AY$1,),))))</f>
        <v>1.5519409317270312E-2</v>
      </c>
      <c r="P302" s="13">
        <f>((((VLOOKUP(B302,Database!$F:$AY,MATCH($P$1,Database!$F$1:$AY$1,),))))-(((VLOOKUP(EDATE(B302,-12),Database!$F:$AY,MATCH($P$1,Database!$F$1:$AY$1,),)))))/(((VLOOKUP(EDATE(B302,-12),Database!$F:$AY,MATCH($P$1,Database!$F$1:$AY$1,),))))</f>
        <v>-2.2433199104338079E-3</v>
      </c>
      <c r="Q302" s="13">
        <f>((((VLOOKUP(B302,Database!$F:$AY,MATCH($Q$1,Database!$F$1:$AY$1,),))))-(((VLOOKUP(EDATE(B302,-12),Database!$F:$AY,MATCH($Q$1,Database!$F$1:$AY$1,),)))))/(((VLOOKUP(EDATE(B302,-12),Database!$F:$AY,MATCH($Q$1,Database!$F$1:$AY$1,),))))</f>
        <v>3.0550314465408811E-2</v>
      </c>
      <c r="R302" s="13">
        <f>((((VLOOKUP(B302,Database!$F:$AY,MATCH($R$1,Database!$F$1:$AY$1,),))))-(((VLOOKUP(EDATE(B302,-12),Database!$F:$AY,MATCH($R$1,Database!$F$1:$AY$1,),)))))/(((VLOOKUP(EDATE(B302,-12),Database!$F:$AY,MATCH($R$1,Database!$F$1:$AY$1,),))))</f>
        <v>-4.901792383474545E-3</v>
      </c>
      <c r="S302" s="13">
        <f>((((VLOOKUP(B302,Database!$F:$AY,MATCH($S$1,Database!$F$1:$AY$1,),))))-(((VLOOKUP(EDATE(B302,-12),Database!$F:$AY,MATCH($S$1,Database!$F$1:$AY$1,),)))))/(((VLOOKUP(EDATE(B302,-12),Database!$F:$AY,MATCH($S$1,Database!$F$1:$AY$1,),))))</f>
        <v>-4.1958039740726927E-2</v>
      </c>
      <c r="T302" s="13">
        <f>((((VLOOKUP(B302,Database!$F:$AY,MATCH($T$1,Database!$F$1:$AY$1,),))))-(((VLOOKUP(EDATE(B302,-12),Database!$F:$AY,MATCH($T$1,Database!$F$1:$AY$1,),)))))/(((VLOOKUP(EDATE(B302,-12),Database!$F:$AY,MATCH($T$1,Database!$F$1:$AY$1,),))))</f>
        <v>5.1995142037831163E-2</v>
      </c>
      <c r="U302" s="13">
        <f>((((VLOOKUP(B302,Database!$F:$AY,MATCH($U$1,Database!$F$1:$AY$1,),))))-(((VLOOKUP(EDATE(B302,-12),Database!$F:$AY,MATCH($U$1,Database!$F$1:$AY$1,),)))))/(((VLOOKUP(EDATE(B302,-12),Database!$F:$AY,MATCH($U$1,Database!$F$1:$AY$1,),))))</f>
        <v>-4.1125572755029177E-2</v>
      </c>
      <c r="V302" s="13">
        <f>((((VLOOKUP(B302,Database!$F:$AY,MATCH($V$1,Database!$F$1:$AY$1,),))))-(((VLOOKUP(EDATE(B302,-12),Database!$F:$AY,MATCH($V$1,Database!$F$1:$AY$1,),)))))/(((VLOOKUP(EDATE(B302,-12),Database!$F:$AY,MATCH($V$1,Database!$F$1:$AY$1,),))))</f>
        <v>-5.5617352614015566E-3</v>
      </c>
    </row>
    <row r="303" spans="1:22" s="85" customFormat="1" x14ac:dyDescent="0.2">
      <c r="A303" s="44"/>
      <c r="B303" s="91">
        <v>41365</v>
      </c>
      <c r="C303" s="13">
        <f>((((VLOOKUP(B303,Database!$F:$AY,MATCH($C$1,Database!$F$1:$AY$1,),))))-(((VLOOKUP(EDATE(B303,-12),Database!$F:$AY,MATCH($C$1,Database!$F$1:$AY$1,),)))))/(((VLOOKUP(EDATE(B303,-12),Database!$F:$AY,MATCH($C$1,Database!$F$1:$AY$1,),))))</f>
        <v>1.7375351295762492E-2</v>
      </c>
      <c r="D303" s="13">
        <f>((((VLOOKUP(B303,Database!$F:$AY,MATCH($D$1,Database!$F$1:$AY$1,),))))-(((VLOOKUP(EDATE(B303,-12),Database!$F:$AY,MATCH($D$1,Database!$F$1:$AY$1,),)))))/(((VLOOKUP(EDATE(B303,-12),Database!$F:$AY,MATCH($D$1,Database!$F$1:$AY$1,),))))</f>
        <v>-9.2307692307692386E-3</v>
      </c>
      <c r="E303" s="13">
        <f>((((VLOOKUP(B303,Database!$F:$AY,MATCH($E$1,Database!$F$1:$AY$1,),))))-(((VLOOKUP(EDATE(B303,-12),Database!$F:$AY,MATCH($E$1,Database!$F$1:$AY$1,),)))))/(((VLOOKUP(EDATE(B303,-12),Database!$F:$AY,MATCH($E$1,Database!$F$1:$AY$1,),))))</f>
        <v>-4.7172021630316585E-2</v>
      </c>
      <c r="F303" s="13">
        <f>((((VLOOKUP(B303,Database!$F:$AY,MATCH($F$1,Database!$F$1:$AY$1,),))))-(((VLOOKUP(EDATE(B303,-12),Database!$F:$AY,MATCH($F$1,Database!$F$1:$AY$1,),)))))/(((VLOOKUP(EDATE(B303,-12),Database!$F:$AY,MATCH($F$1,Database!$F$1:$AY$1,),))))</f>
        <v>5.1760006915690339E-3</v>
      </c>
      <c r="G303" s="13">
        <f>((((VLOOKUP(B303,Database!$F:$AY,MATCH($G$1,Database!$F$1:$AY$1,),))))-(((VLOOKUP(EDATE(B303,-12),Database!$F:$AY,MATCH($G$1,Database!$F$1:$AY$1,),)))))/(((VLOOKUP(EDATE(B303,-12),Database!$F:$AY,MATCH($G$1,Database!$F$1:$AY$1,),))))</f>
        <v>1.6793307965560058E-3</v>
      </c>
      <c r="H303" s="13">
        <f>((((VLOOKUP(B303,Database!$F:$AY,MATCH($H$1,Database!$F$1:$AY$1,),))))-(((VLOOKUP(EDATE(B303,-12),Database!$F:$AY,MATCH($H$1,Database!$F$1:$AY$1,),)))))/(((VLOOKUP(EDATE(B303,-12),Database!$F:$AY,MATCH($H$1,Database!$F$1:$AY$1,),))))</f>
        <v>-2.6014619887436728E-2</v>
      </c>
      <c r="I303" s="13">
        <f>((((VLOOKUP(B303,Database!$F:$AY,MATCH($I$1,Database!$F$1:$AY$1,),))))-(((VLOOKUP(EDATE(B303,-12),Database!$F:$AY,MATCH($I$1,Database!$F$1:$AY$1,),)))))/(((VLOOKUP(EDATE(B303,-12),Database!$F:$AY,MATCH($I$1,Database!$F$1:$AY$1,),))))</f>
        <v>-4.6646950085235526E-2</v>
      </c>
      <c r="J303" s="13">
        <f>((((VLOOKUP(B303,Database!$F:$AY,MATCH($J$1,Database!$F$1:$AY$1,),))))-(((VLOOKUP(EDATE(B303,-12),Database!$F:$AY,MATCH($J$1,Database!$F$1:$AY$1,),)))))/(((VLOOKUP(EDATE(B303,-12),Database!$F:$AY,MATCH($J$1,Database!$F$1:$AY$1,),))))</f>
        <v>-2.8482260062187206E-2</v>
      </c>
      <c r="K303" s="13">
        <f>((((VLOOKUP(B303,Database!$F:$AY,MATCH($K$1,Database!$F$1:$AY$1,),))))-(((VLOOKUP(EDATE(B303,-12),Database!$F:$AY,MATCH($K$1,Database!$F$1:$AY$1,),)))))/(((VLOOKUP(EDATE(B303,-12),Database!$F:$AY,MATCH($K$1,Database!$F$1:$AY$1,),))))</f>
        <v>-3.7218413320274216E-2</v>
      </c>
      <c r="L303" s="13">
        <f>((((VLOOKUP(B303,Database!$F:$AY,MATCH($L$1,Database!$F$1:$AY$1,),))))-(((VLOOKUP(EDATE(B303,-12),Database!$F:$AY,MATCH($L$1,Database!$F$1:$AY$1,),)))))/(((VLOOKUP(EDATE(B303,-12),Database!$F:$AY,MATCH($L$1,Database!$F$1:$AY$1,),))))</f>
        <v>-1.1937534105563124E-2</v>
      </c>
      <c r="M303" s="13">
        <f>((((VLOOKUP(B303,Database!$F:$AY,MATCH($M$1,Database!$F$1:$AY$1,),))))-(((VLOOKUP(EDATE(B303,-12),Database!$F:$AY,MATCH($M$1,Database!$F$1:$AY$1,),)))))/(((VLOOKUP(EDATE(B303,-12),Database!$F:$AY,MATCH($M$1,Database!$F$1:$AY$1,),))))</f>
        <v>2.558398220244713E-2</v>
      </c>
      <c r="N303" s="13">
        <f>((((VLOOKUP(B303,Database!$F:$AY,MATCH($N$1,Database!$F$1:$AY$1,),))))-(((VLOOKUP(EDATE(B303,-12),Database!$F:$AY,MATCH($N$1,Database!$F$1:$AY$1,),)))))/(((VLOOKUP(EDATE(B303,-12),Database!$F:$AY,MATCH($N$1,Database!$F$1:$AY$1,),))))</f>
        <v>3.2971880051451449E-2</v>
      </c>
      <c r="O303" s="13">
        <f>((((VLOOKUP(B303,Database!$F:$AY,MATCH($O$1,Database!$F$1:$AY$1,),))))-(((VLOOKUP(EDATE(B303,-12),Database!$F:$AY,MATCH($O$1,Database!$F$1:$AY$1,),)))))/(((VLOOKUP(EDATE(B303,-12),Database!$F:$AY,MATCH($O$1,Database!$F$1:$AY$1,),))))</f>
        <v>-5.0077793606709698E-4</v>
      </c>
      <c r="P303" s="13">
        <f>((((VLOOKUP(B303,Database!$F:$AY,MATCH($P$1,Database!$F$1:$AY$1,),))))-(((VLOOKUP(EDATE(B303,-12),Database!$F:$AY,MATCH($P$1,Database!$F$1:$AY$1,),)))))/(((VLOOKUP(EDATE(B303,-12),Database!$F:$AY,MATCH($P$1,Database!$F$1:$AY$1,),))))</f>
        <v>-3.3573999114742898E-3</v>
      </c>
      <c r="Q303" s="13">
        <f>((((VLOOKUP(B303,Database!$F:$AY,MATCH($Q$1,Database!$F$1:$AY$1,),))))-(((VLOOKUP(EDATE(B303,-12),Database!$F:$AY,MATCH($Q$1,Database!$F$1:$AY$1,),)))))/(((VLOOKUP(EDATE(B303,-12),Database!$F:$AY,MATCH($Q$1,Database!$F$1:$AY$1,),))))</f>
        <v>4.4670231433200244E-2</v>
      </c>
      <c r="R303" s="13">
        <f>((((VLOOKUP(B303,Database!$F:$AY,MATCH($R$1,Database!$F$1:$AY$1,),))))-(((VLOOKUP(EDATE(B303,-12),Database!$F:$AY,MATCH($R$1,Database!$F$1:$AY$1,),)))))/(((VLOOKUP(EDATE(B303,-12),Database!$F:$AY,MATCH($R$1,Database!$F$1:$AY$1,),))))</f>
        <v>2.9187710970567005E-3</v>
      </c>
      <c r="S303" s="13">
        <f>((((VLOOKUP(B303,Database!$F:$AY,MATCH($S$1,Database!$F$1:$AY$1,),))))-(((VLOOKUP(EDATE(B303,-12),Database!$F:$AY,MATCH($S$1,Database!$F$1:$AY$1,),)))))/(((VLOOKUP(EDATE(B303,-12),Database!$F:$AY,MATCH($S$1,Database!$F$1:$AY$1,),))))</f>
        <v>1.0319369838779451E-3</v>
      </c>
      <c r="T303" s="13">
        <f>((((VLOOKUP(B303,Database!$F:$AY,MATCH($T$1,Database!$F$1:$AY$1,),))))-(((VLOOKUP(EDATE(B303,-12),Database!$F:$AY,MATCH($T$1,Database!$F$1:$AY$1,),)))))/(((VLOOKUP(EDATE(B303,-12),Database!$F:$AY,MATCH($T$1,Database!$F$1:$AY$1,),))))</f>
        <v>4.7789887376509986E-2</v>
      </c>
      <c r="U303" s="13">
        <f>((((VLOOKUP(B303,Database!$F:$AY,MATCH($U$1,Database!$F$1:$AY$1,),))))-(((VLOOKUP(EDATE(B303,-12),Database!$F:$AY,MATCH($U$1,Database!$F$1:$AY$1,),)))))/(((VLOOKUP(EDATE(B303,-12),Database!$F:$AY,MATCH($U$1,Database!$F$1:$AY$1,),))))</f>
        <v>-2.8169049187177667E-2</v>
      </c>
      <c r="V303" s="13">
        <f>((((VLOOKUP(B303,Database!$F:$AY,MATCH($V$1,Database!$F$1:$AY$1,),))))-(((VLOOKUP(EDATE(B303,-12),Database!$F:$AY,MATCH($V$1,Database!$F$1:$AY$1,),)))))/(((VLOOKUP(EDATE(B303,-12),Database!$F:$AY,MATCH($V$1,Database!$F$1:$AY$1,),))))</f>
        <v>4.4395116537181544E-3</v>
      </c>
    </row>
    <row r="304" spans="1:22" s="85" customFormat="1" x14ac:dyDescent="0.2">
      <c r="A304" s="44"/>
      <c r="B304" s="91">
        <v>41395</v>
      </c>
      <c r="C304" s="13">
        <f>((((VLOOKUP(B304,Database!$F:$AY,MATCH($C$1,Database!$F$1:$AY$1,),))))-(((VLOOKUP(EDATE(B304,-12),Database!$F:$AY,MATCH($C$1,Database!$F$1:$AY$1,),)))))/(((VLOOKUP(EDATE(B304,-12),Database!$F:$AY,MATCH($C$1,Database!$F$1:$AY$1,),))))</f>
        <v>1.6536768889438964E-2</v>
      </c>
      <c r="D304" s="13">
        <f>((((VLOOKUP(B304,Database!$F:$AY,MATCH($D$1,Database!$F$1:$AY$1,),))))-(((VLOOKUP(EDATE(B304,-12),Database!$F:$AY,MATCH($D$1,Database!$F$1:$AY$1,),)))))/(((VLOOKUP(EDATE(B304,-12),Database!$F:$AY,MATCH($D$1,Database!$F$1:$AY$1,),))))</f>
        <v>-1.4256652126566134E-2</v>
      </c>
      <c r="E304" s="13">
        <f>((((VLOOKUP(B304,Database!$F:$AY,MATCH($E$1,Database!$F$1:$AY$1,),))))-(((VLOOKUP(EDATE(B304,-12),Database!$F:$AY,MATCH($E$1,Database!$F$1:$AY$1,),)))))/(((VLOOKUP(EDATE(B304,-12),Database!$F:$AY,MATCH($E$1,Database!$F$1:$AY$1,),))))</f>
        <v>-1.4924738329940644E-2</v>
      </c>
      <c r="F304" s="13">
        <f>((((VLOOKUP(B304,Database!$F:$AY,MATCH($F$1,Database!$F$1:$AY$1,),))))-(((VLOOKUP(EDATE(B304,-12),Database!$F:$AY,MATCH($F$1,Database!$F$1:$AY$1,),)))))/(((VLOOKUP(EDATE(B304,-12),Database!$F:$AY,MATCH($F$1,Database!$F$1:$AY$1,),))))</f>
        <v>-2.0304535027741794E-2</v>
      </c>
      <c r="G304" s="13">
        <f>((((VLOOKUP(B304,Database!$F:$AY,MATCH($G$1,Database!$F$1:$AY$1,),))))-(((VLOOKUP(EDATE(B304,-12),Database!$F:$AY,MATCH($G$1,Database!$F$1:$AY$1,),)))))/(((VLOOKUP(EDATE(B304,-12),Database!$F:$AY,MATCH($G$1,Database!$F$1:$AY$1,),))))</f>
        <v>1.2827814721525227E-2</v>
      </c>
      <c r="H304" s="13">
        <f>((((VLOOKUP(B304,Database!$F:$AY,MATCH($H$1,Database!$F$1:$AY$1,),))))-(((VLOOKUP(EDATE(B304,-12),Database!$F:$AY,MATCH($H$1,Database!$F$1:$AY$1,),)))))/(((VLOOKUP(EDATE(B304,-12),Database!$F:$AY,MATCH($H$1,Database!$F$1:$AY$1,),))))</f>
        <v>-2.4845005992370457E-2</v>
      </c>
      <c r="I304" s="13">
        <f>((((VLOOKUP(B304,Database!$F:$AY,MATCH($I$1,Database!$F$1:$AY$1,),))))-(((VLOOKUP(EDATE(B304,-12),Database!$F:$AY,MATCH($I$1,Database!$F$1:$AY$1,),)))))/(((VLOOKUP(EDATE(B304,-12),Database!$F:$AY,MATCH($I$1,Database!$F$1:$AY$1,),))))</f>
        <v>-4.2185877441359085E-2</v>
      </c>
      <c r="J304" s="13">
        <f>((((VLOOKUP(B304,Database!$F:$AY,MATCH($J$1,Database!$F$1:$AY$1,),))))-(((VLOOKUP(EDATE(B304,-12),Database!$F:$AY,MATCH($J$1,Database!$F$1:$AY$1,),)))))/(((VLOOKUP(EDATE(B304,-12),Database!$F:$AY,MATCH($J$1,Database!$F$1:$AY$1,),))))</f>
        <v>-3.1291422620097105E-2</v>
      </c>
      <c r="K304" s="13">
        <f>((((VLOOKUP(B304,Database!$F:$AY,MATCH($K$1,Database!$F$1:$AY$1,),))))-(((VLOOKUP(EDATE(B304,-12),Database!$F:$AY,MATCH($K$1,Database!$F$1:$AY$1,),)))))/(((VLOOKUP(EDATE(B304,-12),Database!$F:$AY,MATCH($K$1,Database!$F$1:$AY$1,),))))</f>
        <v>-9.3632958801498134E-2</v>
      </c>
      <c r="L304" s="13">
        <f>((((VLOOKUP(B304,Database!$F:$AY,MATCH($L$1,Database!$F$1:$AY$1,),))))-(((VLOOKUP(EDATE(B304,-12),Database!$F:$AY,MATCH($L$1,Database!$F$1:$AY$1,),)))))/(((VLOOKUP(EDATE(B304,-12),Database!$F:$AY,MATCH($L$1,Database!$F$1:$AY$1,),))))</f>
        <v>-1.223544601203266E-2</v>
      </c>
      <c r="M304" s="13">
        <f>((((VLOOKUP(B304,Database!$F:$AY,MATCH($M$1,Database!$F$1:$AY$1,),))))-(((VLOOKUP(EDATE(B304,-12),Database!$F:$AY,MATCH($M$1,Database!$F$1:$AY$1,),)))))/(((VLOOKUP(EDATE(B304,-12),Database!$F:$AY,MATCH($M$1,Database!$F$1:$AY$1,),))))</f>
        <v>3.642384105960278E-2</v>
      </c>
      <c r="N304" s="13">
        <f>((((VLOOKUP(B304,Database!$F:$AY,MATCH($N$1,Database!$F$1:$AY$1,),))))-(((VLOOKUP(EDATE(B304,-12),Database!$F:$AY,MATCH($N$1,Database!$F$1:$AY$1,),)))))/(((VLOOKUP(EDATE(B304,-12),Database!$F:$AY,MATCH($N$1,Database!$F$1:$AY$1,),))))</f>
        <v>4.4221800487058973E-3</v>
      </c>
      <c r="O304" s="13">
        <f>((((VLOOKUP(B304,Database!$F:$AY,MATCH($O$1,Database!$F$1:$AY$1,),))))-(((VLOOKUP(EDATE(B304,-12),Database!$F:$AY,MATCH($O$1,Database!$F$1:$AY$1,),)))))/(((VLOOKUP(EDATE(B304,-12),Database!$F:$AY,MATCH($O$1,Database!$F$1:$AY$1,),))))</f>
        <v>-2.0356134477200671E-3</v>
      </c>
      <c r="P304" s="13">
        <f>((((VLOOKUP(B304,Database!$F:$AY,MATCH($P$1,Database!$F$1:$AY$1,),))))-(((VLOOKUP(EDATE(B304,-12),Database!$F:$AY,MATCH($P$1,Database!$F$1:$AY$1,),)))))/(((VLOOKUP(EDATE(B304,-12),Database!$F:$AY,MATCH($P$1,Database!$F$1:$AY$1,),))))</f>
        <v>-1.4510763228711827E-2</v>
      </c>
      <c r="Q304" s="13">
        <f>((((VLOOKUP(B304,Database!$F:$AY,MATCH($Q$1,Database!$F$1:$AY$1,),))))-(((VLOOKUP(EDATE(B304,-12),Database!$F:$AY,MATCH($Q$1,Database!$F$1:$AY$1,),)))))/(((VLOOKUP(EDATE(B304,-12),Database!$F:$AY,MATCH($Q$1,Database!$F$1:$AY$1,),))))</f>
        <v>3.744969231646076E-2</v>
      </c>
      <c r="R304" s="13">
        <f>((((VLOOKUP(B304,Database!$F:$AY,MATCH($R$1,Database!$F$1:$AY$1,),))))-(((VLOOKUP(EDATE(B304,-12),Database!$F:$AY,MATCH($R$1,Database!$F$1:$AY$1,),)))))/(((VLOOKUP(EDATE(B304,-12),Database!$F:$AY,MATCH($R$1,Database!$F$1:$AY$1,),))))</f>
        <v>-4.0758381090388728E-2</v>
      </c>
      <c r="S304" s="13">
        <f>((((VLOOKUP(B304,Database!$F:$AY,MATCH($S$1,Database!$F$1:$AY$1,),))))-(((VLOOKUP(EDATE(B304,-12),Database!$F:$AY,MATCH($S$1,Database!$F$1:$AY$1,),)))))/(((VLOOKUP(EDATE(B304,-12),Database!$F:$AY,MATCH($S$1,Database!$F$1:$AY$1,),))))</f>
        <v>-3.9565827594645409E-3</v>
      </c>
      <c r="T304" s="13">
        <f>((((VLOOKUP(B304,Database!$F:$AY,MATCH($T$1,Database!$F$1:$AY$1,),))))-(((VLOOKUP(EDATE(B304,-12),Database!$F:$AY,MATCH($T$1,Database!$F$1:$AY$1,),)))))/(((VLOOKUP(EDATE(B304,-12),Database!$F:$AY,MATCH($T$1,Database!$F$1:$AY$1,),))))</f>
        <v>4.6428630957341732E-2</v>
      </c>
      <c r="U304" s="13">
        <f>((((VLOOKUP(B304,Database!$F:$AY,MATCH($U$1,Database!$F$1:$AY$1,),))))-(((VLOOKUP(EDATE(B304,-12),Database!$F:$AY,MATCH($U$1,Database!$F$1:$AY$1,),)))))/(((VLOOKUP(EDATE(B304,-12),Database!$F:$AY,MATCH($U$1,Database!$F$1:$AY$1,),))))</f>
        <v>-2.0540611143975367E-2</v>
      </c>
      <c r="V304" s="13">
        <f>((((VLOOKUP(B304,Database!$F:$AY,MATCH($V$1,Database!$F$1:$AY$1,),))))-(((VLOOKUP(EDATE(B304,-12),Database!$F:$AY,MATCH($V$1,Database!$F$1:$AY$1,),)))))/(((VLOOKUP(EDATE(B304,-12),Database!$F:$AY,MATCH($V$1,Database!$F$1:$AY$1,),))))</f>
        <v>4.366812227074298E-3</v>
      </c>
    </row>
    <row r="305" spans="1:22" s="85" customFormat="1" x14ac:dyDescent="0.2">
      <c r="A305" s="44"/>
      <c r="B305" s="91">
        <v>41426</v>
      </c>
      <c r="C305" s="13">
        <f>((((VLOOKUP(B305,Database!$F:$AY,MATCH($C$1,Database!$F$1:$AY$1,),))))-(((VLOOKUP(EDATE(B305,-12),Database!$F:$AY,MATCH($C$1,Database!$F$1:$AY$1,),)))))/(((VLOOKUP(EDATE(B305,-12),Database!$F:$AY,MATCH($C$1,Database!$F$1:$AY$1,),))))</f>
        <v>1.8807256030115464E-2</v>
      </c>
      <c r="D305" s="13">
        <f>((((VLOOKUP(B305,Database!$F:$AY,MATCH($D$1,Database!$F$1:$AY$1,),))))-(((VLOOKUP(EDATE(B305,-12),Database!$F:$AY,MATCH($D$1,Database!$F$1:$AY$1,),)))))/(((VLOOKUP(EDATE(B305,-12),Database!$F:$AY,MATCH($D$1,Database!$F$1:$AY$1,),))))</f>
        <v>-6.1601640601920138E-3</v>
      </c>
      <c r="E305" s="13">
        <f>((((VLOOKUP(B305,Database!$F:$AY,MATCH($E$1,Database!$F$1:$AY$1,),))))-(((VLOOKUP(EDATE(B305,-12),Database!$F:$AY,MATCH($E$1,Database!$F$1:$AY$1,),)))))/(((VLOOKUP(EDATE(B305,-12),Database!$F:$AY,MATCH($E$1,Database!$F$1:$AY$1,),))))</f>
        <v>-1.7835052265294252E-2</v>
      </c>
      <c r="F305" s="13">
        <f>((((VLOOKUP(B305,Database!$F:$AY,MATCH($F$1,Database!$F$1:$AY$1,),))))-(((VLOOKUP(EDATE(B305,-12),Database!$F:$AY,MATCH($F$1,Database!$F$1:$AY$1,),)))))/(((VLOOKUP(EDATE(B305,-12),Database!$F:$AY,MATCH($F$1,Database!$F$1:$AY$1,),))))</f>
        <v>9.2497946128912902E-3</v>
      </c>
      <c r="G305" s="13">
        <f>((((VLOOKUP(B305,Database!$F:$AY,MATCH($G$1,Database!$F$1:$AY$1,),))))-(((VLOOKUP(EDATE(B305,-12),Database!$F:$AY,MATCH($G$1,Database!$F$1:$AY$1,),)))))/(((VLOOKUP(EDATE(B305,-12),Database!$F:$AY,MATCH($G$1,Database!$F$1:$AY$1,),))))</f>
        <v>6.8562651528794585E-3</v>
      </c>
      <c r="H305" s="13">
        <f>((((VLOOKUP(B305,Database!$F:$AY,MATCH($H$1,Database!$F$1:$AY$1,),))))-(((VLOOKUP(EDATE(B305,-12),Database!$F:$AY,MATCH($H$1,Database!$F$1:$AY$1,),)))))/(((VLOOKUP(EDATE(B305,-12),Database!$F:$AY,MATCH($H$1,Database!$F$1:$AY$1,),))))</f>
        <v>1.0571416470028826E-3</v>
      </c>
      <c r="I305" s="13">
        <f>((((VLOOKUP(B305,Database!$F:$AY,MATCH($I$1,Database!$F$1:$AY$1,),))))-(((VLOOKUP(EDATE(B305,-12),Database!$F:$AY,MATCH($I$1,Database!$F$1:$AY$1,),)))))/(((VLOOKUP(EDATE(B305,-12),Database!$F:$AY,MATCH($I$1,Database!$F$1:$AY$1,),))))</f>
        <v>-2.4461917087037644E-2</v>
      </c>
      <c r="J305" s="13">
        <f>((((VLOOKUP(B305,Database!$F:$AY,MATCH($J$1,Database!$F$1:$AY$1,),))))-(((VLOOKUP(EDATE(B305,-12),Database!$F:$AY,MATCH($J$1,Database!$F$1:$AY$1,),)))))/(((VLOOKUP(EDATE(B305,-12),Database!$F:$AY,MATCH($J$1,Database!$F$1:$AY$1,),))))</f>
        <v>-1.6497981893849326E-2</v>
      </c>
      <c r="K305" s="13">
        <f>((((VLOOKUP(B305,Database!$F:$AY,MATCH($K$1,Database!$F$1:$AY$1,),))))-(((VLOOKUP(EDATE(B305,-12),Database!$F:$AY,MATCH($K$1,Database!$F$1:$AY$1,),)))))/(((VLOOKUP(EDATE(B305,-12),Database!$F:$AY,MATCH($K$1,Database!$F$1:$AY$1,),))))</f>
        <v>-6.8767908309455617E-2</v>
      </c>
      <c r="L305" s="13">
        <f>((((VLOOKUP(B305,Database!$F:$AY,MATCH($L$1,Database!$F$1:$AY$1,),))))-(((VLOOKUP(EDATE(B305,-12),Database!$F:$AY,MATCH($L$1,Database!$F$1:$AY$1,),)))))/(((VLOOKUP(EDATE(B305,-12),Database!$F:$AY,MATCH($L$1,Database!$F$1:$AY$1,),))))</f>
        <v>-1.5339666713930743E-2</v>
      </c>
      <c r="M305" s="13">
        <f>((((VLOOKUP(B305,Database!$F:$AY,MATCH($M$1,Database!$F$1:$AY$1,),))))-(((VLOOKUP(EDATE(B305,-12),Database!$F:$AY,MATCH($M$1,Database!$F$1:$AY$1,),)))))/(((VLOOKUP(EDATE(B305,-12),Database!$F:$AY,MATCH($M$1,Database!$F$1:$AY$1,),))))</f>
        <v>1.7621145374449435E-2</v>
      </c>
      <c r="N305" s="13">
        <f>((((VLOOKUP(B305,Database!$F:$AY,MATCH($N$1,Database!$F$1:$AY$1,),))))-(((VLOOKUP(EDATE(B305,-12),Database!$F:$AY,MATCH($N$1,Database!$F$1:$AY$1,),)))))/(((VLOOKUP(EDATE(B305,-12),Database!$F:$AY,MATCH($N$1,Database!$F$1:$AY$1,),))))</f>
        <v>-6.7322512556897678E-3</v>
      </c>
      <c r="O305" s="13">
        <f>((((VLOOKUP(B305,Database!$F:$AY,MATCH($O$1,Database!$F$1:$AY$1,),))))-(((VLOOKUP(EDATE(B305,-12),Database!$F:$AY,MATCH($O$1,Database!$F$1:$AY$1,),)))))/(((VLOOKUP(EDATE(B305,-12),Database!$F:$AY,MATCH($O$1,Database!$F$1:$AY$1,),))))</f>
        <v>6.5977395358933098E-4</v>
      </c>
      <c r="P305" s="13">
        <f>((((VLOOKUP(B305,Database!$F:$AY,MATCH($P$1,Database!$F$1:$AY$1,),))))-(((VLOOKUP(EDATE(B305,-12),Database!$F:$AY,MATCH($P$1,Database!$F$1:$AY$1,),)))))/(((VLOOKUP(EDATE(B305,-12),Database!$F:$AY,MATCH($P$1,Database!$F$1:$AY$1,),))))</f>
        <v>3.2234981195673083E-3</v>
      </c>
      <c r="Q305" s="13">
        <f>((((VLOOKUP(B305,Database!$F:$AY,MATCH($Q$1,Database!$F$1:$AY$1,),))))-(((VLOOKUP(EDATE(B305,-12),Database!$F:$AY,MATCH($Q$1,Database!$F$1:$AY$1,),)))))/(((VLOOKUP(EDATE(B305,-12),Database!$F:$AY,MATCH($Q$1,Database!$F$1:$AY$1,),))))</f>
        <v>4.2424459270023758E-2</v>
      </c>
      <c r="R305" s="13">
        <f>((((VLOOKUP(B305,Database!$F:$AY,MATCH($R$1,Database!$F$1:$AY$1,),))))-(((VLOOKUP(EDATE(B305,-12),Database!$F:$AY,MATCH($R$1,Database!$F$1:$AY$1,),)))))/(((VLOOKUP(EDATE(B305,-12),Database!$F:$AY,MATCH($R$1,Database!$F$1:$AY$1,),))))</f>
        <v>2.3099107814787134E-2</v>
      </c>
      <c r="S305" s="13">
        <f>((((VLOOKUP(B305,Database!$F:$AY,MATCH($S$1,Database!$F$1:$AY$1,),))))-(((VLOOKUP(EDATE(B305,-12),Database!$F:$AY,MATCH($S$1,Database!$F$1:$AY$1,),)))))/(((VLOOKUP(EDATE(B305,-12),Database!$F:$AY,MATCH($S$1,Database!$F$1:$AY$1,),))))</f>
        <v>-2.414486664540073E-2</v>
      </c>
      <c r="T305" s="13">
        <f>((((VLOOKUP(B305,Database!$F:$AY,MATCH($T$1,Database!$F$1:$AY$1,),))))-(((VLOOKUP(EDATE(B305,-12),Database!$F:$AY,MATCH($T$1,Database!$F$1:$AY$1,),)))))/(((VLOOKUP(EDATE(B305,-12),Database!$F:$AY,MATCH($T$1,Database!$F$1:$AY$1,),))))</f>
        <v>8.6330935251798524E-2</v>
      </c>
      <c r="U305" s="13">
        <f>((((VLOOKUP(B305,Database!$F:$AY,MATCH($U$1,Database!$F$1:$AY$1,),))))-(((VLOOKUP(EDATE(B305,-12),Database!$F:$AY,MATCH($U$1,Database!$F$1:$AY$1,),)))))/(((VLOOKUP(EDATE(B305,-12),Database!$F:$AY,MATCH($U$1,Database!$F$1:$AY$1,),))))</f>
        <v>-1.8418236971664392E-2</v>
      </c>
      <c r="V305" s="13">
        <f>((((VLOOKUP(B305,Database!$F:$AY,MATCH($V$1,Database!$F$1:$AY$1,),))))-(((VLOOKUP(EDATE(B305,-12),Database!$F:$AY,MATCH($V$1,Database!$F$1:$AY$1,),)))))/(((VLOOKUP(EDATE(B305,-12),Database!$F:$AY,MATCH($V$1,Database!$F$1:$AY$1,),))))</f>
        <v>2.7654867256637166E-2</v>
      </c>
    </row>
    <row r="306" spans="1:22" s="85" customFormat="1" x14ac:dyDescent="0.2">
      <c r="A306" s="44"/>
      <c r="B306" s="91">
        <v>41456</v>
      </c>
      <c r="C306" s="13">
        <f>((((VLOOKUP(B306,Database!$F:$AY,MATCH($C$1,Database!$F$1:$AY$1,),))))-(((VLOOKUP(EDATE(B306,-12),Database!$F:$AY,MATCH($C$1,Database!$F$1:$AY$1,),)))))/(((VLOOKUP(EDATE(B306,-12),Database!$F:$AY,MATCH($C$1,Database!$F$1:$AY$1,),))))</f>
        <v>1.1810348343018065E-2</v>
      </c>
      <c r="D306" s="13">
        <f>((((VLOOKUP(B306,Database!$F:$AY,MATCH($D$1,Database!$F$1:$AY$1,),))))-(((VLOOKUP(EDATE(B306,-12),Database!$F:$AY,MATCH($D$1,Database!$F$1:$AY$1,),)))))/(((VLOOKUP(EDATE(B306,-12),Database!$F:$AY,MATCH($D$1,Database!$F$1:$AY$1,),))))</f>
        <v>-1.7400238238265284E-2</v>
      </c>
      <c r="E306" s="13">
        <f>((((VLOOKUP(B306,Database!$F:$AY,MATCH($E$1,Database!$F$1:$AY$1,),))))-(((VLOOKUP(EDATE(B306,-12),Database!$F:$AY,MATCH($E$1,Database!$F$1:$AY$1,),)))))/(((VLOOKUP(EDATE(B306,-12),Database!$F:$AY,MATCH($E$1,Database!$F$1:$AY$1,),))))</f>
        <v>2.2305233238683426E-3</v>
      </c>
      <c r="F306" s="13">
        <f>((((VLOOKUP(B306,Database!$F:$AY,MATCH($F$1,Database!$F$1:$AY$1,),))))-(((VLOOKUP(EDATE(B306,-12),Database!$F:$AY,MATCH($F$1,Database!$F$1:$AY$1,),)))))/(((VLOOKUP(EDATE(B306,-12),Database!$F:$AY,MATCH($F$1,Database!$F$1:$AY$1,),))))</f>
        <v>-1.9308926150349903E-2</v>
      </c>
      <c r="G306" s="13">
        <f>((((VLOOKUP(B306,Database!$F:$AY,MATCH($G$1,Database!$F$1:$AY$1,),))))-(((VLOOKUP(EDATE(B306,-12),Database!$F:$AY,MATCH($G$1,Database!$F$1:$AY$1,),)))))/(((VLOOKUP(EDATE(B306,-12),Database!$F:$AY,MATCH($G$1,Database!$F$1:$AY$1,),))))</f>
        <v>-6.6164862989109624E-3</v>
      </c>
      <c r="H306" s="13">
        <f>((((VLOOKUP(B306,Database!$F:$AY,MATCH($H$1,Database!$F$1:$AY$1,),))))-(((VLOOKUP(EDATE(B306,-12),Database!$F:$AY,MATCH($H$1,Database!$F$1:$AY$1,),)))))/(((VLOOKUP(EDATE(B306,-12),Database!$F:$AY,MATCH($H$1,Database!$F$1:$AY$1,),))))</f>
        <v>-2.4665589001879741E-2</v>
      </c>
      <c r="I306" s="13">
        <f>((((VLOOKUP(B306,Database!$F:$AY,MATCH($I$1,Database!$F$1:$AY$1,),))))-(((VLOOKUP(EDATE(B306,-12),Database!$F:$AY,MATCH($I$1,Database!$F$1:$AY$1,),)))))/(((VLOOKUP(EDATE(B306,-12),Database!$F:$AY,MATCH($I$1,Database!$F$1:$AY$1,),))))</f>
        <v>-3.5852697027077877E-2</v>
      </c>
      <c r="J306" s="13">
        <f>((((VLOOKUP(B306,Database!$F:$AY,MATCH($J$1,Database!$F$1:$AY$1,),))))-(((VLOOKUP(EDATE(B306,-12),Database!$F:$AY,MATCH($J$1,Database!$F$1:$AY$1,),)))))/(((VLOOKUP(EDATE(B306,-12),Database!$F:$AY,MATCH($J$1,Database!$F$1:$AY$1,),))))</f>
        <v>-1.1071932619795128E-2</v>
      </c>
      <c r="K306" s="13">
        <f>((((VLOOKUP(B306,Database!$F:$AY,MATCH($K$1,Database!$F$1:$AY$1,),))))-(((VLOOKUP(EDATE(B306,-12),Database!$F:$AY,MATCH($K$1,Database!$F$1:$AY$1,),)))))/(((VLOOKUP(EDATE(B306,-12),Database!$F:$AY,MATCH($K$1,Database!$F$1:$AY$1,),))))</f>
        <v>-3.9309683604985567E-2</v>
      </c>
      <c r="L306" s="13">
        <f>((((VLOOKUP(B306,Database!$F:$AY,MATCH($L$1,Database!$F$1:$AY$1,),))))-(((VLOOKUP(EDATE(B306,-12),Database!$F:$AY,MATCH($L$1,Database!$F$1:$AY$1,),)))))/(((VLOOKUP(EDATE(B306,-12),Database!$F:$AY,MATCH($L$1,Database!$F$1:$AY$1,),))))</f>
        <v>-9.7384574051311342E-3</v>
      </c>
      <c r="M306" s="13">
        <f>((((VLOOKUP(B306,Database!$F:$AY,MATCH($M$1,Database!$F$1:$AY$1,),))))-(((VLOOKUP(EDATE(B306,-12),Database!$F:$AY,MATCH($M$1,Database!$F$1:$AY$1,),)))))/(((VLOOKUP(EDATE(B306,-12),Database!$F:$AY,MATCH($M$1,Database!$F$1:$AY$1,),))))</f>
        <v>7.6586433260392621E-3</v>
      </c>
      <c r="N306" s="13">
        <f>((((VLOOKUP(B306,Database!$F:$AY,MATCH($N$1,Database!$F$1:$AY$1,),))))-(((VLOOKUP(EDATE(B306,-12),Database!$F:$AY,MATCH($N$1,Database!$F$1:$AY$1,),)))))/(((VLOOKUP(EDATE(B306,-12),Database!$F:$AY,MATCH($N$1,Database!$F$1:$AY$1,),))))</f>
        <v>2.9009874953606685E-2</v>
      </c>
      <c r="O306" s="13">
        <f>((((VLOOKUP(B306,Database!$F:$AY,MATCH($O$1,Database!$F$1:$AY$1,),))))-(((VLOOKUP(EDATE(B306,-12),Database!$F:$AY,MATCH($O$1,Database!$F$1:$AY$1,),)))))/(((VLOOKUP(EDATE(B306,-12),Database!$F:$AY,MATCH($O$1,Database!$F$1:$AY$1,),))))</f>
        <v>8.530640113580467E-3</v>
      </c>
      <c r="P306" s="13">
        <f>((((VLOOKUP(B306,Database!$F:$AY,MATCH($P$1,Database!$F$1:$AY$1,),))))-(((VLOOKUP(EDATE(B306,-12),Database!$F:$AY,MATCH($P$1,Database!$F$1:$AY$1,),)))))/(((VLOOKUP(EDATE(B306,-12),Database!$F:$AY,MATCH($P$1,Database!$F$1:$AY$1,),))))</f>
        <v>3.5383310726030686E-3</v>
      </c>
      <c r="Q306" s="13">
        <f>((((VLOOKUP(B306,Database!$F:$AY,MATCH($Q$1,Database!$F$1:$AY$1,),))))-(((VLOOKUP(EDATE(B306,-12),Database!$F:$AY,MATCH($Q$1,Database!$F$1:$AY$1,),)))))/(((VLOOKUP(EDATE(B306,-12),Database!$F:$AY,MATCH($Q$1,Database!$F$1:$AY$1,),))))</f>
        <v>1.8905148013057062E-2</v>
      </c>
      <c r="R306" s="13">
        <f>((((VLOOKUP(B306,Database!$F:$AY,MATCH($R$1,Database!$F$1:$AY$1,),))))-(((VLOOKUP(EDATE(B306,-12),Database!$F:$AY,MATCH($R$1,Database!$F$1:$AY$1,),)))))/(((VLOOKUP(EDATE(B306,-12),Database!$F:$AY,MATCH($R$1,Database!$F$1:$AY$1,),))))</f>
        <v>-7.2300492874795869E-2</v>
      </c>
      <c r="S306" s="13">
        <f>((((VLOOKUP(B306,Database!$F:$AY,MATCH($S$1,Database!$F$1:$AY$1,),))))-(((VLOOKUP(EDATE(B306,-12),Database!$F:$AY,MATCH($S$1,Database!$F$1:$AY$1,),)))))/(((VLOOKUP(EDATE(B306,-12),Database!$F:$AY,MATCH($S$1,Database!$F$1:$AY$1,),))))</f>
        <v>-2.7551018921002649E-2</v>
      </c>
      <c r="T306" s="13">
        <f>((((VLOOKUP(B306,Database!$F:$AY,MATCH($T$1,Database!$F$1:$AY$1,),))))-(((VLOOKUP(EDATE(B306,-12),Database!$F:$AY,MATCH($T$1,Database!$F$1:$AY$1,),)))))/(((VLOOKUP(EDATE(B306,-12),Database!$F:$AY,MATCH($T$1,Database!$F$1:$AY$1,),))))</f>
        <v>7.0071154379954953E-2</v>
      </c>
      <c r="U306" s="13">
        <f>((((VLOOKUP(B306,Database!$F:$AY,MATCH($U$1,Database!$F$1:$AY$1,),))))-(((VLOOKUP(EDATE(B306,-12),Database!$F:$AY,MATCH($U$1,Database!$F$1:$AY$1,),)))))/(((VLOOKUP(EDATE(B306,-12),Database!$F:$AY,MATCH($U$1,Database!$F$1:$AY$1,),))))</f>
        <v>-2.1645380112552655E-3</v>
      </c>
      <c r="V306" s="13">
        <f>((((VLOOKUP(B306,Database!$F:$AY,MATCH($V$1,Database!$F$1:$AY$1,),))))-(((VLOOKUP(EDATE(B306,-12),Database!$F:$AY,MATCH($V$1,Database!$F$1:$AY$1,),)))))/(((VLOOKUP(EDATE(B306,-12),Database!$F:$AY,MATCH($V$1,Database!$F$1:$AY$1,),))))</f>
        <v>3.8716814159292033E-2</v>
      </c>
    </row>
    <row r="307" spans="1:22" s="85" customFormat="1" x14ac:dyDescent="0.2">
      <c r="A307" s="44"/>
      <c r="B307" s="91">
        <v>41487</v>
      </c>
      <c r="C307" s="13">
        <f>((((VLOOKUP(B307,Database!$F:$AY,MATCH($C$1,Database!$F$1:$AY$1,),))))-(((VLOOKUP(EDATE(B307,-12),Database!$F:$AY,MATCH($C$1,Database!$F$1:$AY$1,),)))))/(((VLOOKUP(EDATE(B307,-12),Database!$F:$AY,MATCH($C$1,Database!$F$1:$AY$1,),))))</f>
        <v>2.3380651392767491E-2</v>
      </c>
      <c r="D307" s="13">
        <f>((((VLOOKUP(B307,Database!$F:$AY,MATCH($D$1,Database!$F$1:$AY$1,),))))-(((VLOOKUP(EDATE(B307,-12),Database!$F:$AY,MATCH($D$1,Database!$F$1:$AY$1,),)))))/(((VLOOKUP(EDATE(B307,-12),Database!$F:$AY,MATCH($D$1,Database!$F$1:$AY$1,),))))</f>
        <v>-1.9309008888777374E-2</v>
      </c>
      <c r="E307" s="13">
        <f>((((VLOOKUP(B307,Database!$F:$AY,MATCH($E$1,Database!$F$1:$AY$1,),))))-(((VLOOKUP(EDATE(B307,-12),Database!$F:$AY,MATCH($E$1,Database!$F$1:$AY$1,),)))))/(((VLOOKUP(EDATE(B307,-12),Database!$F:$AY,MATCH($E$1,Database!$F$1:$AY$1,),))))</f>
        <v>1.7785773854626531E-2</v>
      </c>
      <c r="F307" s="13">
        <f>((((VLOOKUP(B307,Database!$F:$AY,MATCH($F$1,Database!$F$1:$AY$1,),))))-(((VLOOKUP(EDATE(B307,-12),Database!$F:$AY,MATCH($F$1,Database!$F$1:$AY$1,),)))))/(((VLOOKUP(EDATE(B307,-12),Database!$F:$AY,MATCH($F$1,Database!$F$1:$AY$1,),))))</f>
        <v>3.0487296705619966E-3</v>
      </c>
      <c r="G307" s="13">
        <f>((((VLOOKUP(B307,Database!$F:$AY,MATCH($G$1,Database!$F$1:$AY$1,),))))-(((VLOOKUP(EDATE(B307,-12),Database!$F:$AY,MATCH($G$1,Database!$F$1:$AY$1,),)))))/(((VLOOKUP(EDATE(B307,-12),Database!$F:$AY,MATCH($G$1,Database!$F$1:$AY$1,),))))</f>
        <v>-3.1059122790463516E-2</v>
      </c>
      <c r="H307" s="13">
        <f>((((VLOOKUP(B307,Database!$F:$AY,MATCH($H$1,Database!$F$1:$AY$1,),))))-(((VLOOKUP(EDATE(B307,-12),Database!$F:$AY,MATCH($H$1,Database!$F$1:$AY$1,),)))))/(((VLOOKUP(EDATE(B307,-12),Database!$F:$AY,MATCH($H$1,Database!$F$1:$AY$1,),))))</f>
        <v>-2.3785035558477219E-2</v>
      </c>
      <c r="I307" s="13">
        <f>((((VLOOKUP(B307,Database!$F:$AY,MATCH($I$1,Database!$F$1:$AY$1,),))))-(((VLOOKUP(EDATE(B307,-12),Database!$F:$AY,MATCH($I$1,Database!$F$1:$AY$1,),)))))/(((VLOOKUP(EDATE(B307,-12),Database!$F:$AY,MATCH($I$1,Database!$F$1:$AY$1,),))))</f>
        <v>-4.5763910122950953E-2</v>
      </c>
      <c r="J307" s="13">
        <f>((((VLOOKUP(B307,Database!$F:$AY,MATCH($J$1,Database!$F$1:$AY$1,),))))-(((VLOOKUP(EDATE(B307,-12),Database!$F:$AY,MATCH($J$1,Database!$F$1:$AY$1,),)))))/(((VLOOKUP(EDATE(B307,-12),Database!$F:$AY,MATCH($J$1,Database!$F$1:$AY$1,),))))</f>
        <v>-2.3721084873336594E-2</v>
      </c>
      <c r="K307" s="13">
        <f>((((VLOOKUP(B307,Database!$F:$AY,MATCH($K$1,Database!$F$1:$AY$1,),))))-(((VLOOKUP(EDATE(B307,-12),Database!$F:$AY,MATCH($K$1,Database!$F$1:$AY$1,),)))))/(((VLOOKUP(EDATE(B307,-12),Database!$F:$AY,MATCH($K$1,Database!$F$1:$AY$1,),))))</f>
        <v>-8.3568075117370952E-2</v>
      </c>
      <c r="L307" s="13">
        <f>((((VLOOKUP(B307,Database!$F:$AY,MATCH($L$1,Database!$F$1:$AY$1,),))))-(((VLOOKUP(EDATE(B307,-12),Database!$F:$AY,MATCH($L$1,Database!$F$1:$AY$1,),)))))/(((VLOOKUP(EDATE(B307,-12),Database!$F:$AY,MATCH($L$1,Database!$F$1:$AY$1,),))))</f>
        <v>6.4250132085441505E-4</v>
      </c>
      <c r="M307" s="13">
        <f>((((VLOOKUP(B307,Database!$F:$AY,MATCH($M$1,Database!$F$1:$AY$1,),))))-(((VLOOKUP(EDATE(B307,-12),Database!$F:$AY,MATCH($M$1,Database!$F$1:$AY$1,),)))))/(((VLOOKUP(EDATE(B307,-12),Database!$F:$AY,MATCH($M$1,Database!$F$1:$AY$1,),))))</f>
        <v>-9.7297297297297917E-3</v>
      </c>
      <c r="N307" s="13">
        <f>((((VLOOKUP(B307,Database!$F:$AY,MATCH($N$1,Database!$F$1:$AY$1,),))))-(((VLOOKUP(EDATE(B307,-12),Database!$F:$AY,MATCH($N$1,Database!$F$1:$AY$1,),)))))/(((VLOOKUP(EDATE(B307,-12),Database!$F:$AY,MATCH($N$1,Database!$F$1:$AY$1,),))))</f>
        <v>4.1976765905369473E-2</v>
      </c>
      <c r="O307" s="13">
        <f>((((VLOOKUP(B307,Database!$F:$AY,MATCH($O$1,Database!$F$1:$AY$1,),))))-(((VLOOKUP(EDATE(B307,-12),Database!$F:$AY,MATCH($O$1,Database!$F$1:$AY$1,),)))))/(((VLOOKUP(EDATE(B307,-12),Database!$F:$AY,MATCH($O$1,Database!$F$1:$AY$1,),))))</f>
        <v>2.765242223403595E-2</v>
      </c>
      <c r="P307" s="13">
        <f>((((VLOOKUP(B307,Database!$F:$AY,MATCH($P$1,Database!$F$1:$AY$1,),))))-(((VLOOKUP(EDATE(B307,-12),Database!$F:$AY,MATCH($P$1,Database!$F$1:$AY$1,),)))))/(((VLOOKUP(EDATE(B307,-12),Database!$F:$AY,MATCH($P$1,Database!$F$1:$AY$1,),))))</f>
        <v>3.4862834370095581E-2</v>
      </c>
      <c r="Q307" s="13">
        <f>((((VLOOKUP(B307,Database!$F:$AY,MATCH($Q$1,Database!$F$1:$AY$1,),))))-(((VLOOKUP(EDATE(B307,-12),Database!$F:$AY,MATCH($Q$1,Database!$F$1:$AY$1,),)))))/(((VLOOKUP(EDATE(B307,-12),Database!$F:$AY,MATCH($Q$1,Database!$F$1:$AY$1,),))))</f>
        <v>2.9239274285283788E-3</v>
      </c>
      <c r="R307" s="13">
        <f>((((VLOOKUP(B307,Database!$F:$AY,MATCH($R$1,Database!$F$1:$AY$1,),))))-(((VLOOKUP(EDATE(B307,-12),Database!$F:$AY,MATCH($R$1,Database!$F$1:$AY$1,),)))))/(((VLOOKUP(EDATE(B307,-12),Database!$F:$AY,MATCH($R$1,Database!$F$1:$AY$1,),))))</f>
        <v>-5.8216193705529218E-2</v>
      </c>
      <c r="S307" s="13">
        <f>((((VLOOKUP(B307,Database!$F:$AY,MATCH($S$1,Database!$F$1:$AY$1,),))))-(((VLOOKUP(EDATE(B307,-12),Database!$F:$AY,MATCH($S$1,Database!$F$1:$AY$1,),)))))/(((VLOOKUP(EDATE(B307,-12),Database!$F:$AY,MATCH($S$1,Database!$F$1:$AY$1,),))))</f>
        <v>-7.8564496453955343E-2</v>
      </c>
      <c r="T307" s="13">
        <f>((((VLOOKUP(B307,Database!$F:$AY,MATCH($T$1,Database!$F$1:$AY$1,),))))-(((VLOOKUP(EDATE(B307,-12),Database!$F:$AY,MATCH($T$1,Database!$F$1:$AY$1,),)))))/(((VLOOKUP(EDATE(B307,-12),Database!$F:$AY,MATCH($T$1,Database!$F$1:$AY$1,),))))</f>
        <v>5.5421729136935119E-2</v>
      </c>
      <c r="U307" s="13">
        <f>((((VLOOKUP(B307,Database!$F:$AY,MATCH($U$1,Database!$F$1:$AY$1,),))))-(((VLOOKUP(EDATE(B307,-12),Database!$F:$AY,MATCH($U$1,Database!$F$1:$AY$1,),)))))/(((VLOOKUP(EDATE(B307,-12),Database!$F:$AY,MATCH($U$1,Database!$F$1:$AY$1,),))))</f>
        <v>4.1248680800200187E-2</v>
      </c>
      <c r="V307" s="13">
        <f>((((VLOOKUP(B307,Database!$F:$AY,MATCH($V$1,Database!$F$1:$AY$1,),))))-(((VLOOKUP(EDATE(B307,-12),Database!$F:$AY,MATCH($V$1,Database!$F$1:$AY$1,),)))))/(((VLOOKUP(EDATE(B307,-12),Database!$F:$AY,MATCH($V$1,Database!$F$1:$AY$1,),))))</f>
        <v>4.8780487804877953E-2</v>
      </c>
    </row>
    <row r="308" spans="1:22" s="85" customFormat="1" x14ac:dyDescent="0.2">
      <c r="A308" s="44"/>
      <c r="B308" s="91">
        <v>41518</v>
      </c>
      <c r="C308" s="13">
        <f>((((VLOOKUP(B308,Database!$F:$AY,MATCH($C$1,Database!$F$1:$AY$1,),))))-(((VLOOKUP(EDATE(B308,-12),Database!$F:$AY,MATCH($C$1,Database!$F$1:$AY$1,),)))))/(((VLOOKUP(EDATE(B308,-12),Database!$F:$AY,MATCH($C$1,Database!$F$1:$AY$1,),))))</f>
        <v>2.8147780092061599E-2</v>
      </c>
      <c r="D308" s="13">
        <f>((((VLOOKUP(B308,Database!$F:$AY,MATCH($D$1,Database!$F$1:$AY$1,),))))-(((VLOOKUP(EDATE(B308,-12),Database!$F:$AY,MATCH($D$1,Database!$F$1:$AY$1,),)))))/(((VLOOKUP(EDATE(B308,-12),Database!$F:$AY,MATCH($D$1,Database!$F$1:$AY$1,),))))</f>
        <v>1.0362348461795726E-3</v>
      </c>
      <c r="E308" s="13">
        <f>((((VLOOKUP(B308,Database!$F:$AY,MATCH($E$1,Database!$F$1:$AY$1,),))))-(((VLOOKUP(EDATE(B308,-12),Database!$F:$AY,MATCH($E$1,Database!$F$1:$AY$1,),)))))/(((VLOOKUP(EDATE(B308,-12),Database!$F:$AY,MATCH($E$1,Database!$F$1:$AY$1,),))))</f>
        <v>4.8815315550153941E-2</v>
      </c>
      <c r="F308" s="13">
        <f>((((VLOOKUP(B308,Database!$F:$AY,MATCH($F$1,Database!$F$1:$AY$1,),))))-(((VLOOKUP(EDATE(B308,-12),Database!$F:$AY,MATCH($F$1,Database!$F$1:$AY$1,),)))))/(((VLOOKUP(EDATE(B308,-12),Database!$F:$AY,MATCH($F$1,Database!$F$1:$AY$1,),))))</f>
        <v>1.1328544262853707E-2</v>
      </c>
      <c r="G308" s="13">
        <f>((((VLOOKUP(B308,Database!$F:$AY,MATCH($G$1,Database!$F$1:$AY$1,),))))-(((VLOOKUP(EDATE(B308,-12),Database!$F:$AY,MATCH($G$1,Database!$F$1:$AY$1,),)))))/(((VLOOKUP(EDATE(B308,-12),Database!$F:$AY,MATCH($G$1,Database!$F$1:$AY$1,),))))</f>
        <v>-1.0604153646983546E-2</v>
      </c>
      <c r="H308" s="13">
        <f>((((VLOOKUP(B308,Database!$F:$AY,MATCH($H$1,Database!$F$1:$AY$1,),))))-(((VLOOKUP(EDATE(B308,-12),Database!$F:$AY,MATCH($H$1,Database!$F$1:$AY$1,),)))))/(((VLOOKUP(EDATE(B308,-12),Database!$F:$AY,MATCH($H$1,Database!$F$1:$AY$1,),))))</f>
        <v>2.0299149696684862E-2</v>
      </c>
      <c r="I308" s="13">
        <f>((((VLOOKUP(B308,Database!$F:$AY,MATCH($I$1,Database!$F$1:$AY$1,),))))-(((VLOOKUP(EDATE(B308,-12),Database!$F:$AY,MATCH($I$1,Database!$F$1:$AY$1,),)))))/(((VLOOKUP(EDATE(B308,-12),Database!$F:$AY,MATCH($I$1,Database!$F$1:$AY$1,),))))</f>
        <v>-2.6367423077110857E-2</v>
      </c>
      <c r="J308" s="13">
        <f>((((VLOOKUP(B308,Database!$F:$AY,MATCH($J$1,Database!$F$1:$AY$1,),))))-(((VLOOKUP(EDATE(B308,-12),Database!$F:$AY,MATCH($J$1,Database!$F$1:$AY$1,),)))))/(((VLOOKUP(EDATE(B308,-12),Database!$F:$AY,MATCH($J$1,Database!$F$1:$AY$1,),))))</f>
        <v>9.1304999744513515E-3</v>
      </c>
      <c r="K308" s="13">
        <f>((((VLOOKUP(B308,Database!$F:$AY,MATCH($K$1,Database!$F$1:$AY$1,),))))-(((VLOOKUP(EDATE(B308,-12),Database!$F:$AY,MATCH($K$1,Database!$F$1:$AY$1,),)))))/(((VLOOKUP(EDATE(B308,-12),Database!$F:$AY,MATCH($K$1,Database!$F$1:$AY$1,),))))</f>
        <v>-2.4703557312252964E-2</v>
      </c>
      <c r="L308" s="13">
        <f>((((VLOOKUP(B308,Database!$F:$AY,MATCH($L$1,Database!$F$1:$AY$1,),))))-(((VLOOKUP(EDATE(B308,-12),Database!$F:$AY,MATCH($L$1,Database!$F$1:$AY$1,),)))))/(((VLOOKUP(EDATE(B308,-12),Database!$F:$AY,MATCH($L$1,Database!$F$1:$AY$1,),))))</f>
        <v>-1.3882868597944929E-2</v>
      </c>
      <c r="M308" s="13">
        <f>((((VLOOKUP(B308,Database!$F:$AY,MATCH($M$1,Database!$F$1:$AY$1,),))))-(((VLOOKUP(EDATE(B308,-12),Database!$F:$AY,MATCH($M$1,Database!$F$1:$AY$1,),)))))/(((VLOOKUP(EDATE(B308,-12),Database!$F:$AY,MATCH($M$1,Database!$F$1:$AY$1,),))))</f>
        <v>1.6375545851528384E-2</v>
      </c>
      <c r="N308" s="13">
        <f>((((VLOOKUP(B308,Database!$F:$AY,MATCH($N$1,Database!$F$1:$AY$1,),))))-(((VLOOKUP(EDATE(B308,-12),Database!$F:$AY,MATCH($N$1,Database!$F$1:$AY$1,),)))))/(((VLOOKUP(EDATE(B308,-12),Database!$F:$AY,MATCH($N$1,Database!$F$1:$AY$1,),))))</f>
        <v>6.2499040325041146E-2</v>
      </c>
      <c r="O308" s="13">
        <f>((((VLOOKUP(B308,Database!$F:$AY,MATCH($O$1,Database!$F$1:$AY$1,),))))-(((VLOOKUP(EDATE(B308,-12),Database!$F:$AY,MATCH($O$1,Database!$F$1:$AY$1,),)))))/(((VLOOKUP(EDATE(B308,-12),Database!$F:$AY,MATCH($O$1,Database!$F$1:$AY$1,),))))</f>
        <v>3.9613134706929287E-2</v>
      </c>
      <c r="P308" s="13">
        <f>((((VLOOKUP(B308,Database!$F:$AY,MATCH($P$1,Database!$F$1:$AY$1,),))))-(((VLOOKUP(EDATE(B308,-12),Database!$F:$AY,MATCH($P$1,Database!$F$1:$AY$1,),)))))/(((VLOOKUP(EDATE(B308,-12),Database!$F:$AY,MATCH($P$1,Database!$F$1:$AY$1,),))))</f>
        <v>8.1629196367615977E-3</v>
      </c>
      <c r="Q308" s="13">
        <f>((((VLOOKUP(B308,Database!$F:$AY,MATCH($Q$1,Database!$F$1:$AY$1,),))))-(((VLOOKUP(EDATE(B308,-12),Database!$F:$AY,MATCH($Q$1,Database!$F$1:$AY$1,),)))))/(((VLOOKUP(EDATE(B308,-12),Database!$F:$AY,MATCH($Q$1,Database!$F$1:$AY$1,),))))</f>
        <v>2.8826543279539506E-2</v>
      </c>
      <c r="R308" s="13">
        <f>((((VLOOKUP(B308,Database!$F:$AY,MATCH($R$1,Database!$F$1:$AY$1,),))))-(((VLOOKUP(EDATE(B308,-12),Database!$F:$AY,MATCH($R$1,Database!$F$1:$AY$1,),)))))/(((VLOOKUP(EDATE(B308,-12),Database!$F:$AY,MATCH($R$1,Database!$F$1:$AY$1,),))))</f>
        <v>-2.6922721479262383E-2</v>
      </c>
      <c r="S308" s="13">
        <f>((((VLOOKUP(B308,Database!$F:$AY,MATCH($S$1,Database!$F$1:$AY$1,),))))-(((VLOOKUP(EDATE(B308,-12),Database!$F:$AY,MATCH($S$1,Database!$F$1:$AY$1,),)))))/(((VLOOKUP(EDATE(B308,-12),Database!$F:$AY,MATCH($S$1,Database!$F$1:$AY$1,),))))</f>
        <v>7.8038022071031027E-2</v>
      </c>
      <c r="T308" s="13">
        <f>((((VLOOKUP(B308,Database!$F:$AY,MATCH($T$1,Database!$F$1:$AY$1,),))))-(((VLOOKUP(EDATE(B308,-12),Database!$F:$AY,MATCH($T$1,Database!$F$1:$AY$1,),)))))/(((VLOOKUP(EDATE(B308,-12),Database!$F:$AY,MATCH($T$1,Database!$F$1:$AY$1,),))))</f>
        <v>9.1872786108336574E-2</v>
      </c>
      <c r="U308" s="13">
        <f>((((VLOOKUP(B308,Database!$F:$AY,MATCH($U$1,Database!$F$1:$AY$1,),))))-(((VLOOKUP(EDATE(B308,-12),Database!$F:$AY,MATCH($U$1,Database!$F$1:$AY$1,),)))))/(((VLOOKUP(EDATE(B308,-12),Database!$F:$AY,MATCH($U$1,Database!$F$1:$AY$1,),))))</f>
        <v>1.2195047578326974E-2</v>
      </c>
      <c r="V308" s="13">
        <f>((((VLOOKUP(B308,Database!$F:$AY,MATCH($V$1,Database!$F$1:$AY$1,),))))-(((VLOOKUP(EDATE(B308,-12),Database!$F:$AY,MATCH($V$1,Database!$F$1:$AY$1,),)))))/(((VLOOKUP(EDATE(B308,-12),Database!$F:$AY,MATCH($V$1,Database!$F$1:$AY$1,),))))</f>
        <v>3.8588754134509372E-2</v>
      </c>
    </row>
    <row r="309" spans="1:22" s="85" customFormat="1" x14ac:dyDescent="0.2">
      <c r="A309" s="44"/>
      <c r="B309" s="91">
        <v>41548</v>
      </c>
      <c r="C309" s="13">
        <f>((((VLOOKUP(B309,Database!$F:$AY,MATCH($C$1,Database!$F$1:$AY$1,),))))-(((VLOOKUP(EDATE(B309,-12),Database!$F:$AY,MATCH($C$1,Database!$F$1:$AY$1,),)))))/(((VLOOKUP(EDATE(B309,-12),Database!$F:$AY,MATCH($C$1,Database!$F$1:$AY$1,),))))</f>
        <v>2.4175709901048264E-2</v>
      </c>
      <c r="D309" s="13">
        <f>((((VLOOKUP(B309,Database!$F:$AY,MATCH($D$1,Database!$F$1:$AY$1,),))))-(((VLOOKUP(EDATE(B309,-12),Database!$F:$AY,MATCH($D$1,Database!$F$1:$AY$1,),)))))/(((VLOOKUP(EDATE(B309,-12),Database!$F:$AY,MATCH($D$1,Database!$F$1:$AY$1,),))))</f>
        <v>3.1315241173293239E-3</v>
      </c>
      <c r="E309" s="13">
        <f>((((VLOOKUP(B309,Database!$F:$AY,MATCH($E$1,Database!$F$1:$AY$1,),))))-(((VLOOKUP(EDATE(B309,-12),Database!$F:$AY,MATCH($E$1,Database!$F$1:$AY$1,),)))))/(((VLOOKUP(EDATE(B309,-12),Database!$F:$AY,MATCH($E$1,Database!$F$1:$AY$1,),))))</f>
        <v>4.8577157927809034E-2</v>
      </c>
      <c r="F309" s="13">
        <f>((((VLOOKUP(B309,Database!$F:$AY,MATCH($F$1,Database!$F$1:$AY$1,),))))-(((VLOOKUP(EDATE(B309,-12),Database!$F:$AY,MATCH($F$1,Database!$F$1:$AY$1,),)))))/(((VLOOKUP(EDATE(B309,-12),Database!$F:$AY,MATCH($F$1,Database!$F$1:$AY$1,),))))</f>
        <v>1.7745215102468997E-2</v>
      </c>
      <c r="G309" s="13">
        <f>((((VLOOKUP(B309,Database!$F:$AY,MATCH($G$1,Database!$F$1:$AY$1,),))))-(((VLOOKUP(EDATE(B309,-12),Database!$F:$AY,MATCH($G$1,Database!$F$1:$AY$1,),)))))/(((VLOOKUP(EDATE(B309,-12),Database!$F:$AY,MATCH($G$1,Database!$F$1:$AY$1,),))))</f>
        <v>8.3511880234832178E-3</v>
      </c>
      <c r="H309" s="13">
        <f>((((VLOOKUP(B309,Database!$F:$AY,MATCH($H$1,Database!$F$1:$AY$1,),))))-(((VLOOKUP(EDATE(B309,-12),Database!$F:$AY,MATCH($H$1,Database!$F$1:$AY$1,),)))))/(((VLOOKUP(EDATE(B309,-12),Database!$F:$AY,MATCH($H$1,Database!$F$1:$AY$1,),))))</f>
        <v>1.9251385595207754E-2</v>
      </c>
      <c r="I309" s="13">
        <f>((((VLOOKUP(B309,Database!$F:$AY,MATCH($I$1,Database!$F$1:$AY$1,),))))-(((VLOOKUP(EDATE(B309,-12),Database!$F:$AY,MATCH($I$1,Database!$F$1:$AY$1,),)))))/(((VLOOKUP(EDATE(B309,-12),Database!$F:$AY,MATCH($I$1,Database!$F$1:$AY$1,),))))</f>
        <v>-3.9754810540840622E-3</v>
      </c>
      <c r="J309" s="13">
        <f>((((VLOOKUP(B309,Database!$F:$AY,MATCH($J$1,Database!$F$1:$AY$1,),))))-(((VLOOKUP(EDATE(B309,-12),Database!$F:$AY,MATCH($J$1,Database!$F$1:$AY$1,),)))))/(((VLOOKUP(EDATE(B309,-12),Database!$F:$AY,MATCH($J$1,Database!$F$1:$AY$1,),))))</f>
        <v>-9.5699660006717344E-3</v>
      </c>
      <c r="K309" s="13">
        <f>((((VLOOKUP(B309,Database!$F:$AY,MATCH($K$1,Database!$F$1:$AY$1,),))))-(((VLOOKUP(EDATE(B309,-12),Database!$F:$AY,MATCH($K$1,Database!$F$1:$AY$1,),)))))/(((VLOOKUP(EDATE(B309,-12),Database!$F:$AY,MATCH($K$1,Database!$F$1:$AY$1,),))))</f>
        <v>-7.3170731707317069E-2</v>
      </c>
      <c r="L309" s="13">
        <f>((((VLOOKUP(B309,Database!$F:$AY,MATCH($L$1,Database!$F$1:$AY$1,),))))-(((VLOOKUP(EDATE(B309,-12),Database!$F:$AY,MATCH($L$1,Database!$F$1:$AY$1,),)))))/(((VLOOKUP(EDATE(B309,-12),Database!$F:$AY,MATCH($L$1,Database!$F$1:$AY$1,),))))</f>
        <v>5.3189473524640337E-3</v>
      </c>
      <c r="M309" s="13">
        <f>((((VLOOKUP(B309,Database!$F:$AY,MATCH($M$1,Database!$F$1:$AY$1,),))))-(((VLOOKUP(EDATE(B309,-12),Database!$F:$AY,MATCH($M$1,Database!$F$1:$AY$1,),)))))/(((VLOOKUP(EDATE(B309,-12),Database!$F:$AY,MATCH($M$1,Database!$F$1:$AY$1,),))))</f>
        <v>1.8619934282584915E-2</v>
      </c>
      <c r="N309" s="13">
        <f>((((VLOOKUP(B309,Database!$F:$AY,MATCH($N$1,Database!$F$1:$AY$1,),))))-(((VLOOKUP(EDATE(B309,-12),Database!$F:$AY,MATCH($N$1,Database!$F$1:$AY$1,),)))))/(((VLOOKUP(EDATE(B309,-12),Database!$F:$AY,MATCH($N$1,Database!$F$1:$AY$1,),))))</f>
        <v>1.9988883317776537E-2</v>
      </c>
      <c r="O309" s="13">
        <f>((((VLOOKUP(B309,Database!$F:$AY,MATCH($O$1,Database!$F$1:$AY$1,),))))-(((VLOOKUP(EDATE(B309,-12),Database!$F:$AY,MATCH($O$1,Database!$F$1:$AY$1,),)))))/(((VLOOKUP(EDATE(B309,-12),Database!$F:$AY,MATCH($O$1,Database!$F$1:$AY$1,),))))</f>
        <v>5.4349377513888283E-2</v>
      </c>
      <c r="P309" s="13">
        <f>((((VLOOKUP(B309,Database!$F:$AY,MATCH($P$1,Database!$F$1:$AY$1,),))))-(((VLOOKUP(EDATE(B309,-12),Database!$F:$AY,MATCH($P$1,Database!$F$1:$AY$1,),)))))/(((VLOOKUP(EDATE(B309,-12),Database!$F:$AY,MATCH($P$1,Database!$F$1:$AY$1,),))))</f>
        <v>1.2302217690747554E-2</v>
      </c>
      <c r="Q309" s="13">
        <f>((((VLOOKUP(B309,Database!$F:$AY,MATCH($Q$1,Database!$F$1:$AY$1,),))))-(((VLOOKUP(EDATE(B309,-12),Database!$F:$AY,MATCH($Q$1,Database!$F$1:$AY$1,),)))))/(((VLOOKUP(EDATE(B309,-12),Database!$F:$AY,MATCH($Q$1,Database!$F$1:$AY$1,),))))</f>
        <v>2.9382461259273226E-3</v>
      </c>
      <c r="R309" s="13">
        <f>((((VLOOKUP(B309,Database!$F:$AY,MATCH($R$1,Database!$F$1:$AY$1,),))))-(((VLOOKUP(EDATE(B309,-12),Database!$F:$AY,MATCH($R$1,Database!$F$1:$AY$1,),)))))/(((VLOOKUP(EDATE(B309,-12),Database!$F:$AY,MATCH($R$1,Database!$F$1:$AY$1,),))))</f>
        <v>-5.313116230294871E-2</v>
      </c>
      <c r="S309" s="13">
        <f>((((VLOOKUP(B309,Database!$F:$AY,MATCH($S$1,Database!$F$1:$AY$1,),))))-(((VLOOKUP(EDATE(B309,-12),Database!$F:$AY,MATCH($S$1,Database!$F$1:$AY$1,),)))))/(((VLOOKUP(EDATE(B309,-12),Database!$F:$AY,MATCH($S$1,Database!$F$1:$AY$1,),))))</f>
        <v>-7.5819718111992188E-2</v>
      </c>
      <c r="T309" s="13">
        <f>((((VLOOKUP(B309,Database!$F:$AY,MATCH($T$1,Database!$F$1:$AY$1,),))))-(((VLOOKUP(EDATE(B309,-12),Database!$F:$AY,MATCH($T$1,Database!$F$1:$AY$1,),)))))/(((VLOOKUP(EDATE(B309,-12),Database!$F:$AY,MATCH($T$1,Database!$F$1:$AY$1,),))))</f>
        <v>7.8823506710911873E-2</v>
      </c>
      <c r="U309" s="13">
        <f>((((VLOOKUP(B309,Database!$F:$AY,MATCH($U$1,Database!$F$1:$AY$1,),))))-(((VLOOKUP(EDATE(B309,-12),Database!$F:$AY,MATCH($U$1,Database!$F$1:$AY$1,),)))))/(((VLOOKUP(EDATE(B309,-12),Database!$F:$AY,MATCH($U$1,Database!$F$1:$AY$1,),))))</f>
        <v>5.0675675675675713E-2</v>
      </c>
      <c r="V309" s="13">
        <f>((((VLOOKUP(B309,Database!$F:$AY,MATCH($V$1,Database!$F$1:$AY$1,),))))-(((VLOOKUP(EDATE(B309,-12),Database!$F:$AY,MATCH($V$1,Database!$F$1:$AY$1,),)))))/(((VLOOKUP(EDATE(B309,-12),Database!$F:$AY,MATCH($V$1,Database!$F$1:$AY$1,),))))</f>
        <v>4.5404208194905968E-2</v>
      </c>
    </row>
    <row r="310" spans="1:22" s="85" customFormat="1" x14ac:dyDescent="0.2">
      <c r="A310" s="44"/>
      <c r="B310" s="91">
        <v>41579</v>
      </c>
      <c r="C310" s="13">
        <f>((((VLOOKUP(B310,Database!$F:$AY,MATCH($C$1,Database!$F$1:$AY$1,),))))-(((VLOOKUP(EDATE(B310,-12),Database!$F:$AY,MATCH($C$1,Database!$F$1:$AY$1,),)))))/(((VLOOKUP(EDATE(B310,-12),Database!$F:$AY,MATCH($C$1,Database!$F$1:$AY$1,),))))</f>
        <v>2.2254684020102181E-2</v>
      </c>
      <c r="D310" s="13">
        <f>((((VLOOKUP(B310,Database!$F:$AY,MATCH($D$1,Database!$F$1:$AY$1,),))))-(((VLOOKUP(EDATE(B310,-12),Database!$F:$AY,MATCH($D$1,Database!$F$1:$AY$1,),)))))/(((VLOOKUP(EDATE(B310,-12),Database!$F:$AY,MATCH($D$1,Database!$F$1:$AY$1,),))))</f>
        <v>2.4185103405772724E-2</v>
      </c>
      <c r="E310" s="13">
        <f>((((VLOOKUP(B310,Database!$F:$AY,MATCH($E$1,Database!$F$1:$AY$1,),))))-(((VLOOKUP(EDATE(B310,-12),Database!$F:$AY,MATCH($E$1,Database!$F$1:$AY$1,),)))))/(((VLOOKUP(EDATE(B310,-12),Database!$F:$AY,MATCH($E$1,Database!$F$1:$AY$1,),))))</f>
        <v>6.0582640488179212E-2</v>
      </c>
      <c r="F310" s="13">
        <f>((((VLOOKUP(B310,Database!$F:$AY,MATCH($F$1,Database!$F$1:$AY$1,),))))-(((VLOOKUP(EDATE(B310,-12),Database!$F:$AY,MATCH($F$1,Database!$F$1:$AY$1,),)))))/(((VLOOKUP(EDATE(B310,-12),Database!$F:$AY,MATCH($F$1,Database!$F$1:$AY$1,),))))</f>
        <v>4.8370169208623914E-2</v>
      </c>
      <c r="G310" s="13">
        <f>((((VLOOKUP(B310,Database!$F:$AY,MATCH($G$1,Database!$F$1:$AY$1,),))))-(((VLOOKUP(EDATE(B310,-12),Database!$F:$AY,MATCH($G$1,Database!$F$1:$AY$1,),)))))/(((VLOOKUP(EDATE(B310,-12),Database!$F:$AY,MATCH($G$1,Database!$F$1:$AY$1,),))))</f>
        <v>2.6583399894195295E-2</v>
      </c>
      <c r="H310" s="13">
        <f>((((VLOOKUP(B310,Database!$F:$AY,MATCH($H$1,Database!$F$1:$AY$1,),))))-(((VLOOKUP(EDATE(B310,-12),Database!$F:$AY,MATCH($H$1,Database!$F$1:$AY$1,),)))))/(((VLOOKUP(EDATE(B310,-12),Database!$F:$AY,MATCH($H$1,Database!$F$1:$AY$1,),))))</f>
        <v>1.27523885715409E-2</v>
      </c>
      <c r="I310" s="13">
        <f>((((VLOOKUP(B310,Database!$F:$AY,MATCH($I$1,Database!$F$1:$AY$1,),))))-(((VLOOKUP(EDATE(B310,-12),Database!$F:$AY,MATCH($I$1,Database!$F$1:$AY$1,),)))))/(((VLOOKUP(EDATE(B310,-12),Database!$F:$AY,MATCH($I$1,Database!$F$1:$AY$1,),))))</f>
        <v>6.0484881148861478E-3</v>
      </c>
      <c r="J310" s="13">
        <f>((((VLOOKUP(B310,Database!$F:$AY,MATCH($J$1,Database!$F$1:$AY$1,),))))-(((VLOOKUP(EDATE(B310,-12),Database!$F:$AY,MATCH($J$1,Database!$F$1:$AY$1,),)))))/(((VLOOKUP(EDATE(B310,-12),Database!$F:$AY,MATCH($J$1,Database!$F$1:$AY$1,),))))</f>
        <v>2.7654208121378074E-2</v>
      </c>
      <c r="K310" s="13">
        <f>((((VLOOKUP(B310,Database!$F:$AY,MATCH($K$1,Database!$F$1:$AY$1,),))))-(((VLOOKUP(EDATE(B310,-12),Database!$F:$AY,MATCH($K$1,Database!$F$1:$AY$1,),)))))/(((VLOOKUP(EDATE(B310,-12),Database!$F:$AY,MATCH($K$1,Database!$F$1:$AY$1,),))))</f>
        <v>-4.9800796812749003E-3</v>
      </c>
      <c r="L310" s="13">
        <f>((((VLOOKUP(B310,Database!$F:$AY,MATCH($L$1,Database!$F$1:$AY$1,),))))-(((VLOOKUP(EDATE(B310,-12),Database!$F:$AY,MATCH($L$1,Database!$F$1:$AY$1,),)))))/(((VLOOKUP(EDATE(B310,-12),Database!$F:$AY,MATCH($L$1,Database!$F$1:$AY$1,),))))</f>
        <v>-5.4923111376530267E-3</v>
      </c>
      <c r="M310" s="13">
        <f>((((VLOOKUP(B310,Database!$F:$AY,MATCH($M$1,Database!$F$1:$AY$1,),))))-(((VLOOKUP(EDATE(B310,-12),Database!$F:$AY,MATCH($M$1,Database!$F$1:$AY$1,),)))))/(((VLOOKUP(EDATE(B310,-12),Database!$F:$AY,MATCH($M$1,Database!$F$1:$AY$1,),))))</f>
        <v>4.4808743169398847E-2</v>
      </c>
      <c r="N310" s="13">
        <f>((((VLOOKUP(B310,Database!$F:$AY,MATCH($N$1,Database!$F$1:$AY$1,),))))-(((VLOOKUP(EDATE(B310,-12),Database!$F:$AY,MATCH($N$1,Database!$F$1:$AY$1,),)))))/(((VLOOKUP(EDATE(B310,-12),Database!$F:$AY,MATCH($N$1,Database!$F$1:$AY$1,),))))</f>
        <v>3.7447576948609576E-2</v>
      </c>
      <c r="O310" s="13">
        <f>((((VLOOKUP(B310,Database!$F:$AY,MATCH($O$1,Database!$F$1:$AY$1,),))))-(((VLOOKUP(EDATE(B310,-12),Database!$F:$AY,MATCH($O$1,Database!$F$1:$AY$1,),)))))/(((VLOOKUP(EDATE(B310,-12),Database!$F:$AY,MATCH($O$1,Database!$F$1:$AY$1,),))))</f>
        <v>4.010378312347028E-2</v>
      </c>
      <c r="P310" s="13">
        <f>((((VLOOKUP(B310,Database!$F:$AY,MATCH($P$1,Database!$F$1:$AY$1,),))))-(((VLOOKUP(EDATE(B310,-12),Database!$F:$AY,MATCH($P$1,Database!$F$1:$AY$1,),)))))/(((VLOOKUP(EDATE(B310,-12),Database!$F:$AY,MATCH($P$1,Database!$F$1:$AY$1,),))))</f>
        <v>-5.0429481299606406E-3</v>
      </c>
      <c r="Q310" s="13">
        <f>((((VLOOKUP(B310,Database!$F:$AY,MATCH($Q$1,Database!$F$1:$AY$1,),))))-(((VLOOKUP(EDATE(B310,-12),Database!$F:$AY,MATCH($Q$1,Database!$F$1:$AY$1,),)))))/(((VLOOKUP(EDATE(B310,-12),Database!$F:$AY,MATCH($Q$1,Database!$F$1:$AY$1,),))))</f>
        <v>2.4875194754022487E-2</v>
      </c>
      <c r="R310" s="13">
        <f>((((VLOOKUP(B310,Database!$F:$AY,MATCH($R$1,Database!$F$1:$AY$1,),))))-(((VLOOKUP(EDATE(B310,-12),Database!$F:$AY,MATCH($R$1,Database!$F$1:$AY$1,),)))))/(((VLOOKUP(EDATE(B310,-12),Database!$F:$AY,MATCH($R$1,Database!$F$1:$AY$1,),))))</f>
        <v>-5.4794481631725393E-2</v>
      </c>
      <c r="S310" s="13">
        <f>((((VLOOKUP(B310,Database!$F:$AY,MATCH($S$1,Database!$F$1:$AY$1,),))))-(((VLOOKUP(EDATE(B310,-12),Database!$F:$AY,MATCH($S$1,Database!$F$1:$AY$1,),)))))/(((VLOOKUP(EDATE(B310,-12),Database!$F:$AY,MATCH($S$1,Database!$F$1:$AY$1,),))))</f>
        <v>2.0964915082362537E-3</v>
      </c>
      <c r="T310" s="13">
        <f>((((VLOOKUP(B310,Database!$F:$AY,MATCH($T$1,Database!$F$1:$AY$1,),))))-(((VLOOKUP(EDATE(B310,-12),Database!$F:$AY,MATCH($T$1,Database!$F$1:$AY$1,),)))))/(((VLOOKUP(EDATE(B310,-12),Database!$F:$AY,MATCH($T$1,Database!$F$1:$AY$1,),))))</f>
        <v>0.10143208842837852</v>
      </c>
      <c r="U310" s="13">
        <f>((((VLOOKUP(B310,Database!$F:$AY,MATCH($U$1,Database!$F$1:$AY$1,),))))-(((VLOOKUP(EDATE(B310,-12),Database!$F:$AY,MATCH($U$1,Database!$F$1:$AY$1,),)))))/(((VLOOKUP(EDATE(B310,-12),Database!$F:$AY,MATCH($U$1,Database!$F$1:$AY$1,),))))</f>
        <v>5.902379647369177E-2</v>
      </c>
      <c r="V310" s="13">
        <f>((((VLOOKUP(B310,Database!$F:$AY,MATCH($V$1,Database!$F$1:$AY$1,),))))-(((VLOOKUP(EDATE(B310,-12),Database!$F:$AY,MATCH($V$1,Database!$F$1:$AY$1,),)))))/(((VLOOKUP(EDATE(B310,-12),Database!$F:$AY,MATCH($V$1,Database!$F$1:$AY$1,),))))</f>
        <v>7.7354260089686003E-2</v>
      </c>
    </row>
    <row r="311" spans="1:22" s="85" customFormat="1" x14ac:dyDescent="0.2">
      <c r="A311" s="44"/>
      <c r="B311" s="91">
        <v>41609</v>
      </c>
      <c r="C311" s="13">
        <f>((((VLOOKUP(B311,Database!$F:$AY,MATCH($C$1,Database!$F$1:$AY$1,),))))-(((VLOOKUP(EDATE(B311,-12),Database!$F:$AY,MATCH($C$1,Database!$F$1:$AY$1,),)))))/(((VLOOKUP(EDATE(B311,-12),Database!$F:$AY,MATCH($C$1,Database!$F$1:$AY$1,),))))</f>
        <v>2.175440897859857E-2</v>
      </c>
      <c r="D311" s="13">
        <f>((((VLOOKUP(B311,Database!$F:$AY,MATCH($D$1,Database!$F$1:$AY$1,),))))-(((VLOOKUP(EDATE(B311,-12),Database!$F:$AY,MATCH($D$1,Database!$F$1:$AY$1,),)))))/(((VLOOKUP(EDATE(B311,-12),Database!$F:$AY,MATCH($D$1,Database!$F$1:$AY$1,),))))</f>
        <v>1.6736366216671964E-2</v>
      </c>
      <c r="E311" s="13">
        <f>((((VLOOKUP(B311,Database!$F:$AY,MATCH($E$1,Database!$F$1:$AY$1,),))))-(((VLOOKUP(EDATE(B311,-12),Database!$F:$AY,MATCH($E$1,Database!$F$1:$AY$1,),)))))/(((VLOOKUP(EDATE(B311,-12),Database!$F:$AY,MATCH($E$1,Database!$F$1:$AY$1,),))))</f>
        <v>4.605414248897672E-2</v>
      </c>
      <c r="F311" s="13">
        <f>((((VLOOKUP(B311,Database!$F:$AY,MATCH($F$1,Database!$F$1:$AY$1,),))))-(((VLOOKUP(EDATE(B311,-12),Database!$F:$AY,MATCH($F$1,Database!$F$1:$AY$1,),)))))/(((VLOOKUP(EDATE(B311,-12),Database!$F:$AY,MATCH($F$1,Database!$F$1:$AY$1,),))))</f>
        <v>4.066741327040703E-2</v>
      </c>
      <c r="G311" s="13">
        <f>((((VLOOKUP(B311,Database!$F:$AY,MATCH($G$1,Database!$F$1:$AY$1,),))))-(((VLOOKUP(EDATE(B311,-12),Database!$F:$AY,MATCH($G$1,Database!$F$1:$AY$1,),)))))/(((VLOOKUP(EDATE(B311,-12),Database!$F:$AY,MATCH($G$1,Database!$F$1:$AY$1,),))))</f>
        <v>3.0153532742666973E-4</v>
      </c>
      <c r="H311" s="13">
        <f>((((VLOOKUP(B311,Database!$F:$AY,MATCH($H$1,Database!$F$1:$AY$1,),))))-(((VLOOKUP(EDATE(B311,-12),Database!$F:$AY,MATCH($H$1,Database!$F$1:$AY$1,),)))))/(((VLOOKUP(EDATE(B311,-12),Database!$F:$AY,MATCH($H$1,Database!$F$1:$AY$1,),))))</f>
        <v>5.2742520649918159E-3</v>
      </c>
      <c r="I311" s="13">
        <f>((((VLOOKUP(B311,Database!$F:$AY,MATCH($I$1,Database!$F$1:$AY$1,),))))-(((VLOOKUP(EDATE(B311,-12),Database!$F:$AY,MATCH($I$1,Database!$F$1:$AY$1,),)))))/(((VLOOKUP(EDATE(B311,-12),Database!$F:$AY,MATCH($I$1,Database!$F$1:$AY$1,),))))</f>
        <v>-1.2012111519197481E-2</v>
      </c>
      <c r="J311" s="13">
        <f>((((VLOOKUP(B311,Database!$F:$AY,MATCH($J$1,Database!$F$1:$AY$1,),))))-(((VLOOKUP(EDATE(B311,-12),Database!$F:$AY,MATCH($J$1,Database!$F$1:$AY$1,),)))))/(((VLOOKUP(EDATE(B311,-12),Database!$F:$AY,MATCH($J$1,Database!$F$1:$AY$1,),))))</f>
        <v>2.5436101968245632E-2</v>
      </c>
      <c r="K311" s="13">
        <f>((((VLOOKUP(B311,Database!$F:$AY,MATCH($K$1,Database!$F$1:$AY$1,),))))-(((VLOOKUP(EDATE(B311,-12),Database!$F:$AY,MATCH($K$1,Database!$F$1:$AY$1,),)))))/(((VLOOKUP(EDATE(B311,-12),Database!$F:$AY,MATCH($K$1,Database!$F$1:$AY$1,),))))</f>
        <v>-2.3506366307541545E-2</v>
      </c>
      <c r="L311" s="13">
        <f>((((VLOOKUP(B311,Database!$F:$AY,MATCH($L$1,Database!$F$1:$AY$1,),))))-(((VLOOKUP(EDATE(B311,-12),Database!$F:$AY,MATCH($L$1,Database!$F$1:$AY$1,),)))))/(((VLOOKUP(EDATE(B311,-12),Database!$F:$AY,MATCH($L$1,Database!$F$1:$AY$1,),))))</f>
        <v>8.5206364922072661E-3</v>
      </c>
      <c r="M311" s="13">
        <f>((((VLOOKUP(B311,Database!$F:$AY,MATCH($M$1,Database!$F$1:$AY$1,),))))-(((VLOOKUP(EDATE(B311,-12),Database!$F:$AY,MATCH($M$1,Database!$F$1:$AY$1,),)))))/(((VLOOKUP(EDATE(B311,-12),Database!$F:$AY,MATCH($M$1,Database!$F$1:$AY$1,),))))</f>
        <v>5.016357688113407E-2</v>
      </c>
      <c r="N311" s="13">
        <f>((((VLOOKUP(B311,Database!$F:$AY,MATCH($N$1,Database!$F$1:$AY$1,),))))-(((VLOOKUP(EDATE(B311,-12),Database!$F:$AY,MATCH($N$1,Database!$F$1:$AY$1,),)))))/(((VLOOKUP(EDATE(B311,-12),Database!$F:$AY,MATCH($N$1,Database!$F$1:$AY$1,),))))</f>
        <v>3.6438517755432442E-2</v>
      </c>
      <c r="O311" s="13">
        <f>((((VLOOKUP(B311,Database!$F:$AY,MATCH($O$1,Database!$F$1:$AY$1,),))))-(((VLOOKUP(EDATE(B311,-12),Database!$F:$AY,MATCH($O$1,Database!$F$1:$AY$1,),)))))/(((VLOOKUP(EDATE(B311,-12),Database!$F:$AY,MATCH($O$1,Database!$F$1:$AY$1,),))))</f>
        <v>3.5611468144928292E-2</v>
      </c>
      <c r="P311" s="13">
        <f>((((VLOOKUP(B311,Database!$F:$AY,MATCH($P$1,Database!$F$1:$AY$1,),))))-(((VLOOKUP(EDATE(B311,-12),Database!$F:$AY,MATCH($P$1,Database!$F$1:$AY$1,),)))))/(((VLOOKUP(EDATE(B311,-12),Database!$F:$AY,MATCH($P$1,Database!$F$1:$AY$1,),))))</f>
        <v>9.9939671838695007E-3</v>
      </c>
      <c r="Q311" s="13">
        <f>((((VLOOKUP(B311,Database!$F:$AY,MATCH($Q$1,Database!$F$1:$AY$1,),))))-(((VLOOKUP(EDATE(B311,-12),Database!$F:$AY,MATCH($Q$1,Database!$F$1:$AY$1,),)))))/(((VLOOKUP(EDATE(B311,-12),Database!$F:$AY,MATCH($Q$1,Database!$F$1:$AY$1,),))))</f>
        <v>-2.2705346928089534E-2</v>
      </c>
      <c r="R311" s="13">
        <f>((((VLOOKUP(B311,Database!$F:$AY,MATCH($R$1,Database!$F$1:$AY$1,),))))-(((VLOOKUP(EDATE(B311,-12),Database!$F:$AY,MATCH($R$1,Database!$F$1:$AY$1,),)))))/(((VLOOKUP(EDATE(B311,-12),Database!$F:$AY,MATCH($R$1,Database!$F$1:$AY$1,),))))</f>
        <v>-1.0924045586368249E-2</v>
      </c>
      <c r="S311" s="13">
        <f>((((VLOOKUP(B311,Database!$F:$AY,MATCH($S$1,Database!$F$1:$AY$1,),))))-(((VLOOKUP(EDATE(B311,-12),Database!$F:$AY,MATCH($S$1,Database!$F$1:$AY$1,),)))))/(((VLOOKUP(EDATE(B311,-12),Database!$F:$AY,MATCH($S$1,Database!$F$1:$AY$1,),))))</f>
        <v>1.2307692307692212E-2</v>
      </c>
      <c r="T311" s="13">
        <f>((((VLOOKUP(B311,Database!$F:$AY,MATCH($T$1,Database!$F$1:$AY$1,),))))-(((VLOOKUP(EDATE(B311,-12),Database!$F:$AY,MATCH($T$1,Database!$F$1:$AY$1,),)))))/(((VLOOKUP(EDATE(B311,-12),Database!$F:$AY,MATCH($T$1,Database!$F$1:$AY$1,),))))</f>
        <v>7.9999957643530795E-2</v>
      </c>
      <c r="U311" s="13">
        <f>((((VLOOKUP(B311,Database!$F:$AY,MATCH($U$1,Database!$F$1:$AY$1,),))))-(((VLOOKUP(EDATE(B311,-12),Database!$F:$AY,MATCH($U$1,Database!$F$1:$AY$1,),)))))/(((VLOOKUP(EDATE(B311,-12),Database!$F:$AY,MATCH($U$1,Database!$F$1:$AY$1,),))))</f>
        <v>5.8296041055274569E-2</v>
      </c>
      <c r="V311" s="13">
        <f>((((VLOOKUP(B311,Database!$F:$AY,MATCH($V$1,Database!$F$1:$AY$1,),))))-(((VLOOKUP(EDATE(B311,-12),Database!$F:$AY,MATCH($V$1,Database!$F$1:$AY$1,),)))))/(((VLOOKUP(EDATE(B311,-12),Database!$F:$AY,MATCH($V$1,Database!$F$1:$AY$1,),))))</f>
        <v>4.1619797525309206E-2</v>
      </c>
    </row>
    <row r="312" spans="1:22" s="85" customFormat="1" x14ac:dyDescent="0.2">
      <c r="A312" s="44"/>
      <c r="B312" s="91">
        <v>41640</v>
      </c>
      <c r="C312" s="13">
        <f>((((VLOOKUP(B312,Database!$F:$AY,MATCH($C$1,Database!$F$1:$AY$1,),))))-(((VLOOKUP(EDATE(B312,-12),Database!$F:$AY,MATCH($C$1,Database!$F$1:$AY$1,),)))))/(((VLOOKUP(EDATE(B312,-12),Database!$F:$AY,MATCH($C$1,Database!$F$1:$AY$1,),))))</f>
        <v>1.8857286364909361E-2</v>
      </c>
      <c r="D312" s="13">
        <f>((((VLOOKUP(B312,Database!$F:$AY,MATCH($D$1,Database!$F$1:$AY$1,),))))-(((VLOOKUP(EDATE(B312,-12),Database!$F:$AY,MATCH($D$1,Database!$F$1:$AY$1,),)))))/(((VLOOKUP(EDATE(B312,-12),Database!$F:$AY,MATCH($D$1,Database!$F$1:$AY$1,),))))</f>
        <v>1.7857071566754673E-2</v>
      </c>
      <c r="E312" s="13">
        <f>((((VLOOKUP(B312,Database!$F:$AY,MATCH($E$1,Database!$F$1:$AY$1,),))))-(((VLOOKUP(EDATE(B312,-12),Database!$F:$AY,MATCH($E$1,Database!$F$1:$AY$1,),)))))/(((VLOOKUP(EDATE(B312,-12),Database!$F:$AY,MATCH($E$1,Database!$F$1:$AY$1,),))))</f>
        <v>8.5954227841837927E-2</v>
      </c>
      <c r="F312" s="13">
        <f>((((VLOOKUP(B312,Database!$F:$AY,MATCH($F$1,Database!$F$1:$AY$1,),))))-(((VLOOKUP(EDATE(B312,-12),Database!$F:$AY,MATCH($F$1,Database!$F$1:$AY$1,),)))))/(((VLOOKUP(EDATE(B312,-12),Database!$F:$AY,MATCH($F$1,Database!$F$1:$AY$1,),))))</f>
        <v>4.8574479964592632E-2</v>
      </c>
      <c r="G312" s="13">
        <f>((((VLOOKUP(B312,Database!$F:$AY,MATCH($G$1,Database!$F$1:$AY$1,),))))-(((VLOOKUP(EDATE(B312,-12),Database!$F:$AY,MATCH($G$1,Database!$F$1:$AY$1,),)))))/(((VLOOKUP(EDATE(B312,-12),Database!$F:$AY,MATCH($G$1,Database!$F$1:$AY$1,),))))</f>
        <v>-6.493553929441777E-3</v>
      </c>
      <c r="H312" s="13">
        <f>((((VLOOKUP(B312,Database!$F:$AY,MATCH($H$1,Database!$F$1:$AY$1,),))))-(((VLOOKUP(EDATE(B312,-12),Database!$F:$AY,MATCH($H$1,Database!$F$1:$AY$1,),)))))/(((VLOOKUP(EDATE(B312,-12),Database!$F:$AY,MATCH($H$1,Database!$F$1:$AY$1,),))))</f>
        <v>1.8104457123233407E-2</v>
      </c>
      <c r="I312" s="13">
        <f>((((VLOOKUP(B312,Database!$F:$AY,MATCH($I$1,Database!$F$1:$AY$1,),))))-(((VLOOKUP(EDATE(B312,-12),Database!$F:$AY,MATCH($I$1,Database!$F$1:$AY$1,),)))))/(((VLOOKUP(EDATE(B312,-12),Database!$F:$AY,MATCH($I$1,Database!$F$1:$AY$1,),))))</f>
        <v>3.9996331694429916E-3</v>
      </c>
      <c r="J312" s="13">
        <f>((((VLOOKUP(B312,Database!$F:$AY,MATCH($J$1,Database!$F$1:$AY$1,),))))-(((VLOOKUP(EDATE(B312,-12),Database!$F:$AY,MATCH($J$1,Database!$F$1:$AY$1,),)))))/(((VLOOKUP(EDATE(B312,-12),Database!$F:$AY,MATCH($J$1,Database!$F$1:$AY$1,),))))</f>
        <v>1.2056772089683842E-2</v>
      </c>
      <c r="K312" s="13">
        <f>((((VLOOKUP(B312,Database!$F:$AY,MATCH($K$1,Database!$F$1:$AY$1,),))))-(((VLOOKUP(EDATE(B312,-12),Database!$F:$AY,MATCH($K$1,Database!$F$1:$AY$1,),)))))/(((VLOOKUP(EDATE(B312,-12),Database!$F:$AY,MATCH($K$1,Database!$F$1:$AY$1,),))))</f>
        <v>-4.0040040040040603E-3</v>
      </c>
      <c r="L312" s="13">
        <f>((((VLOOKUP(B312,Database!$F:$AY,MATCH($L$1,Database!$F$1:$AY$1,),))))-(((VLOOKUP(EDATE(B312,-12),Database!$F:$AY,MATCH($L$1,Database!$F$1:$AY$1,),)))))/(((VLOOKUP(EDATE(B312,-12),Database!$F:$AY,MATCH($L$1,Database!$F$1:$AY$1,),))))</f>
        <v>1.841967854328657E-2</v>
      </c>
      <c r="M312" s="13">
        <f>((((VLOOKUP(B312,Database!$F:$AY,MATCH($M$1,Database!$F$1:$AY$1,),))))-(((VLOOKUP(EDATE(B312,-12),Database!$F:$AY,MATCH($M$1,Database!$F$1:$AY$1,),)))))/(((VLOOKUP(EDATE(B312,-12),Database!$F:$AY,MATCH($M$1,Database!$F$1:$AY$1,),))))</f>
        <v>6.7189249720045752E-3</v>
      </c>
      <c r="N312" s="13">
        <f>((((VLOOKUP(B312,Database!$F:$AY,MATCH($N$1,Database!$F$1:$AY$1,),))))-(((VLOOKUP(EDATE(B312,-12),Database!$F:$AY,MATCH($N$1,Database!$F$1:$AY$1,),)))))/(((VLOOKUP(EDATE(B312,-12),Database!$F:$AY,MATCH($N$1,Database!$F$1:$AY$1,),))))</f>
        <v>5.0404960374491756E-2</v>
      </c>
      <c r="O312" s="13">
        <f>((((VLOOKUP(B312,Database!$F:$AY,MATCH($O$1,Database!$F$1:$AY$1,),))))-(((VLOOKUP(EDATE(B312,-12),Database!$F:$AY,MATCH($O$1,Database!$F$1:$AY$1,),)))))/(((VLOOKUP(EDATE(B312,-12),Database!$F:$AY,MATCH($O$1,Database!$F$1:$AY$1,),))))</f>
        <v>3.1422829547821572E-2</v>
      </c>
      <c r="P312" s="13">
        <f>((((VLOOKUP(B312,Database!$F:$AY,MATCH($P$1,Database!$F$1:$AY$1,),))))-(((VLOOKUP(EDATE(B312,-12),Database!$F:$AY,MATCH($P$1,Database!$F$1:$AY$1,),)))))/(((VLOOKUP(EDATE(B312,-12),Database!$F:$AY,MATCH($P$1,Database!$F$1:$AY$1,),))))</f>
        <v>8.756409007500918E-3</v>
      </c>
      <c r="Q312" s="13">
        <f>((((VLOOKUP(B312,Database!$F:$AY,MATCH($Q$1,Database!$F$1:$AY$1,),))))-(((VLOOKUP(EDATE(B312,-12),Database!$F:$AY,MATCH($Q$1,Database!$F$1:$AY$1,),)))))/(((VLOOKUP(EDATE(B312,-12),Database!$F:$AY,MATCH($Q$1,Database!$F$1:$AY$1,),))))</f>
        <v>-1.4691230629636865E-2</v>
      </c>
      <c r="R312" s="13">
        <f>((((VLOOKUP(B312,Database!$F:$AY,MATCH($R$1,Database!$F$1:$AY$1,),))))-(((VLOOKUP(EDATE(B312,-12),Database!$F:$AY,MATCH($R$1,Database!$F$1:$AY$1,),)))))/(((VLOOKUP(EDATE(B312,-12),Database!$F:$AY,MATCH($R$1,Database!$F$1:$AY$1,),))))</f>
        <v>-3.1778029422554775E-2</v>
      </c>
      <c r="S312" s="13">
        <f>((((VLOOKUP(B312,Database!$F:$AY,MATCH($S$1,Database!$F$1:$AY$1,),))))-(((VLOOKUP(EDATE(B312,-12),Database!$F:$AY,MATCH($S$1,Database!$F$1:$AY$1,),)))))/(((VLOOKUP(EDATE(B312,-12),Database!$F:$AY,MATCH($S$1,Database!$F$1:$AY$1,),))))</f>
        <v>9.5137410078942289E-2</v>
      </c>
      <c r="T312" s="13">
        <f>((((VLOOKUP(B312,Database!$F:$AY,MATCH($T$1,Database!$F$1:$AY$1,),))))-(((VLOOKUP(EDATE(B312,-12),Database!$F:$AY,MATCH($T$1,Database!$F$1:$AY$1,),)))))/(((VLOOKUP(EDATE(B312,-12),Database!$F:$AY,MATCH($T$1,Database!$F$1:$AY$1,),))))</f>
        <v>0.11475418091063325</v>
      </c>
      <c r="U312" s="13">
        <f>((((VLOOKUP(B312,Database!$F:$AY,MATCH($U$1,Database!$F$1:$AY$1,),))))-(((VLOOKUP(EDATE(B312,-12),Database!$F:$AY,MATCH($U$1,Database!$F$1:$AY$1,),)))))/(((VLOOKUP(EDATE(B312,-12),Database!$F:$AY,MATCH($U$1,Database!$F$1:$AY$1,),))))</f>
        <v>5.1860163395884971E-2</v>
      </c>
      <c r="V312" s="13">
        <f>((((VLOOKUP(B312,Database!$F:$AY,MATCH($V$1,Database!$F$1:$AY$1,),))))-(((VLOOKUP(EDATE(B312,-12),Database!$F:$AY,MATCH($V$1,Database!$F$1:$AY$1,),)))))/(((VLOOKUP(EDATE(B312,-12),Database!$F:$AY,MATCH($V$1,Database!$F$1:$AY$1,),))))</f>
        <v>6.5241844769403784E-2</v>
      </c>
    </row>
    <row r="313" spans="1:22" s="85" customFormat="1" x14ac:dyDescent="0.2">
      <c r="A313" s="44"/>
      <c r="B313" s="91">
        <v>41671</v>
      </c>
      <c r="C313" s="13">
        <f>((((VLOOKUP(B313,Database!$F:$AY,MATCH($C$1,Database!$F$1:$AY$1,),))))-(((VLOOKUP(EDATE(B313,-12),Database!$F:$AY,MATCH($C$1,Database!$F$1:$AY$1,),)))))/(((VLOOKUP(EDATE(B313,-12),Database!$F:$AY,MATCH($C$1,Database!$F$1:$AY$1,),))))</f>
        <v>2.1619445477749005E-2</v>
      </c>
      <c r="D313" s="13">
        <f>((((VLOOKUP(B313,Database!$F:$AY,MATCH($D$1,Database!$F$1:$AY$1,),))))-(((VLOOKUP(EDATE(B313,-12),Database!$F:$AY,MATCH($D$1,Database!$F$1:$AY$1,),)))))/(((VLOOKUP(EDATE(B313,-12),Database!$F:$AY,MATCH($D$1,Database!$F$1:$AY$1,),))))</f>
        <v>2.3060761699276913E-2</v>
      </c>
      <c r="E313" s="13">
        <f>((((VLOOKUP(B313,Database!$F:$AY,MATCH($E$1,Database!$F$1:$AY$1,),))))-(((VLOOKUP(EDATE(B313,-12),Database!$F:$AY,MATCH($E$1,Database!$F$1:$AY$1,),)))))/(((VLOOKUP(EDATE(B313,-12),Database!$F:$AY,MATCH($E$1,Database!$F$1:$AY$1,),))))</f>
        <v>6.0824448057116627E-2</v>
      </c>
      <c r="F313" s="13">
        <f>((((VLOOKUP(B313,Database!$F:$AY,MATCH($F$1,Database!$F$1:$AY$1,),))))-(((VLOOKUP(EDATE(B313,-12),Database!$F:$AY,MATCH($F$1,Database!$F$1:$AY$1,),)))))/(((VLOOKUP(EDATE(B313,-12),Database!$F:$AY,MATCH($F$1,Database!$F$1:$AY$1,),))))</f>
        <v>4.0837749408222962E-2</v>
      </c>
      <c r="G313" s="13">
        <f>((((VLOOKUP(B313,Database!$F:$AY,MATCH($G$1,Database!$F$1:$AY$1,),))))-(((VLOOKUP(EDATE(B313,-12),Database!$F:$AY,MATCH($G$1,Database!$F$1:$AY$1,),)))))/(((VLOOKUP(EDATE(B313,-12),Database!$F:$AY,MATCH($G$1,Database!$F$1:$AY$1,),))))</f>
        <v>-2.3073644150034063E-3</v>
      </c>
      <c r="H313" s="13">
        <f>((((VLOOKUP(B313,Database!$F:$AY,MATCH($H$1,Database!$F$1:$AY$1,),))))-(((VLOOKUP(EDATE(B313,-12),Database!$F:$AY,MATCH($H$1,Database!$F$1:$AY$1,),)))))/(((VLOOKUP(EDATE(B313,-12),Database!$F:$AY,MATCH($H$1,Database!$F$1:$AY$1,),))))</f>
        <v>2.3454238133617029E-2</v>
      </c>
      <c r="I313" s="13">
        <f>((((VLOOKUP(B313,Database!$F:$AY,MATCH($I$1,Database!$F$1:$AY$1,),))))-(((VLOOKUP(EDATE(B313,-12),Database!$F:$AY,MATCH($I$1,Database!$F$1:$AY$1,),)))))/(((VLOOKUP(EDATE(B313,-12),Database!$F:$AY,MATCH($I$1,Database!$F$1:$AY$1,),))))</f>
        <v>2.0120388297938346E-3</v>
      </c>
      <c r="J313" s="13">
        <f>((((VLOOKUP(B313,Database!$F:$AY,MATCH($J$1,Database!$F$1:$AY$1,),))))-(((VLOOKUP(EDATE(B313,-12),Database!$F:$AY,MATCH($J$1,Database!$F$1:$AY$1,),)))))/(((VLOOKUP(EDATE(B313,-12),Database!$F:$AY,MATCH($J$1,Database!$F$1:$AY$1,),))))</f>
        <v>2.7658269346943602E-2</v>
      </c>
      <c r="K313" s="13">
        <f>((((VLOOKUP(B313,Database!$F:$AY,MATCH($K$1,Database!$F$1:$AY$1,),))))-(((VLOOKUP(EDATE(B313,-12),Database!$F:$AY,MATCH($K$1,Database!$F$1:$AY$1,),)))))/(((VLOOKUP(EDATE(B313,-12),Database!$F:$AY,MATCH($K$1,Database!$F$1:$AY$1,),))))</f>
        <v>8.0726538849647967E-3</v>
      </c>
      <c r="L313" s="13">
        <f>((((VLOOKUP(B313,Database!$F:$AY,MATCH($L$1,Database!$F$1:$AY$1,),))))-(((VLOOKUP(EDATE(B313,-12),Database!$F:$AY,MATCH($L$1,Database!$F$1:$AY$1,),)))))/(((VLOOKUP(EDATE(B313,-12),Database!$F:$AY,MATCH($L$1,Database!$F$1:$AY$1,),))))</f>
        <v>1.438706911044403E-2</v>
      </c>
      <c r="M313" s="13">
        <f>((((VLOOKUP(B313,Database!$F:$AY,MATCH($M$1,Database!$F$1:$AY$1,),))))-(((VLOOKUP(EDATE(B313,-12),Database!$F:$AY,MATCH($M$1,Database!$F$1:$AY$1,),)))))/(((VLOOKUP(EDATE(B313,-12),Database!$F:$AY,MATCH($M$1,Database!$F$1:$AY$1,),))))</f>
        <v>2.8888888888888825E-2</v>
      </c>
      <c r="N313" s="13">
        <f>((((VLOOKUP(B313,Database!$F:$AY,MATCH($N$1,Database!$F$1:$AY$1,),))))-(((VLOOKUP(EDATE(B313,-12),Database!$F:$AY,MATCH($N$1,Database!$F$1:$AY$1,),)))))/(((VLOOKUP(EDATE(B313,-12),Database!$F:$AY,MATCH($N$1,Database!$F$1:$AY$1,),))))</f>
        <v>5.3549914019378177E-2</v>
      </c>
      <c r="O313" s="13">
        <f>((((VLOOKUP(B313,Database!$F:$AY,MATCH($O$1,Database!$F$1:$AY$1,),))))-(((VLOOKUP(EDATE(B313,-12),Database!$F:$AY,MATCH($O$1,Database!$F$1:$AY$1,),)))))/(((VLOOKUP(EDATE(B313,-12),Database!$F:$AY,MATCH($O$1,Database!$F$1:$AY$1,),))))</f>
        <v>3.952017666079561E-2</v>
      </c>
      <c r="P313" s="13">
        <f>((((VLOOKUP(B313,Database!$F:$AY,MATCH($P$1,Database!$F$1:$AY$1,),))))-(((VLOOKUP(EDATE(B313,-12),Database!$F:$AY,MATCH($P$1,Database!$F$1:$AY$1,),)))))/(((VLOOKUP(EDATE(B313,-12),Database!$F:$AY,MATCH($P$1,Database!$F$1:$AY$1,),))))</f>
        <v>3.756156589461792E-3</v>
      </c>
      <c r="Q313" s="13">
        <f>((((VLOOKUP(B313,Database!$F:$AY,MATCH($Q$1,Database!$F$1:$AY$1,),))))-(((VLOOKUP(EDATE(B313,-12),Database!$F:$AY,MATCH($Q$1,Database!$F$1:$AY$1,),)))))/(((VLOOKUP(EDATE(B313,-12),Database!$F:$AY,MATCH($Q$1,Database!$F$1:$AY$1,),))))</f>
        <v>1.6048792263929985E-2</v>
      </c>
      <c r="R313" s="13">
        <f>((((VLOOKUP(B313,Database!$F:$AY,MATCH($R$1,Database!$F$1:$AY$1,),))))-(((VLOOKUP(EDATE(B313,-12),Database!$F:$AY,MATCH($R$1,Database!$F$1:$AY$1,),)))))/(((VLOOKUP(EDATE(B313,-12),Database!$F:$AY,MATCH($R$1,Database!$F$1:$AY$1,),))))</f>
        <v>6.0483789577370347E-3</v>
      </c>
      <c r="S313" s="13">
        <f>((((VLOOKUP(B313,Database!$F:$AY,MATCH($S$1,Database!$F$1:$AY$1,),))))-(((VLOOKUP(EDATE(B313,-12),Database!$F:$AY,MATCH($S$1,Database!$F$1:$AY$1,),)))))/(((VLOOKUP(EDATE(B313,-12),Database!$F:$AY,MATCH($S$1,Database!$F$1:$AY$1,),))))</f>
        <v>0.16046752243633791</v>
      </c>
      <c r="T313" s="13">
        <f>((((VLOOKUP(B313,Database!$F:$AY,MATCH($T$1,Database!$F$1:$AY$1,),))))-(((VLOOKUP(EDATE(B313,-12),Database!$F:$AY,MATCH($T$1,Database!$F$1:$AY$1,),)))))/(((VLOOKUP(EDATE(B313,-12),Database!$F:$AY,MATCH($T$1,Database!$F$1:$AY$1,),))))</f>
        <v>8.0183318838042861E-2</v>
      </c>
      <c r="U313" s="13">
        <f>((((VLOOKUP(B313,Database!$F:$AY,MATCH($U$1,Database!$F$1:$AY$1,),))))-(((VLOOKUP(EDATE(B313,-12),Database!$F:$AY,MATCH($U$1,Database!$F$1:$AY$1,),)))))/(((VLOOKUP(EDATE(B313,-12),Database!$F:$AY,MATCH($U$1,Database!$F$1:$AY$1,),))))</f>
        <v>6.067415503055177E-2</v>
      </c>
      <c r="V313" s="13">
        <f>((((VLOOKUP(B313,Database!$F:$AY,MATCH($V$1,Database!$F$1:$AY$1,),))))-(((VLOOKUP(EDATE(B313,-12),Database!$F:$AY,MATCH($V$1,Database!$F$1:$AY$1,),)))))/(((VLOOKUP(EDATE(B313,-12),Database!$F:$AY,MATCH($V$1,Database!$F$1:$AY$1,),))))</f>
        <v>5.0055617352614011E-2</v>
      </c>
    </row>
    <row r="314" spans="1:22" s="85" customFormat="1" x14ac:dyDescent="0.2">
      <c r="A314" s="44"/>
      <c r="B314" s="91">
        <v>41699</v>
      </c>
      <c r="C314" s="13">
        <f>((((VLOOKUP(B314,Database!$F:$AY,MATCH($C$1,Database!$F$1:$AY$1,),))))-(((VLOOKUP(EDATE(B314,-12),Database!$F:$AY,MATCH($C$1,Database!$F$1:$AY$1,),)))))/(((VLOOKUP(EDATE(B314,-12),Database!$F:$AY,MATCH($C$1,Database!$F$1:$AY$1,),))))</f>
        <v>2.7280474793032798E-2</v>
      </c>
      <c r="D314" s="13">
        <f>((((VLOOKUP(B314,Database!$F:$AY,MATCH($D$1,Database!$F$1:$AY$1,),))))-(((VLOOKUP(EDATE(B314,-12),Database!$F:$AY,MATCH($D$1,Database!$F$1:$AY$1,),)))))/(((VLOOKUP(EDATE(B314,-12),Database!$F:$AY,MATCH($D$1,Database!$F$1:$AY$1,),))))</f>
        <v>6.2240666052939628E-3</v>
      </c>
      <c r="E314" s="13">
        <f>((((VLOOKUP(B314,Database!$F:$AY,MATCH($E$1,Database!$F$1:$AY$1,),))))-(((VLOOKUP(EDATE(B314,-12),Database!$F:$AY,MATCH($E$1,Database!$F$1:$AY$1,),)))))/(((VLOOKUP(EDATE(B314,-12),Database!$F:$AY,MATCH($E$1,Database!$F$1:$AY$1,),))))</f>
        <v>6.5372653596800973E-2</v>
      </c>
      <c r="F314" s="13">
        <f>((((VLOOKUP(B314,Database!$F:$AY,MATCH($F$1,Database!$F$1:$AY$1,),))))-(((VLOOKUP(EDATE(B314,-12),Database!$F:$AY,MATCH($F$1,Database!$F$1:$AY$1,),)))))/(((VLOOKUP(EDATE(B314,-12),Database!$F:$AY,MATCH($F$1,Database!$F$1:$AY$1,),))))</f>
        <v>3.0991839918885895E-2</v>
      </c>
      <c r="G314" s="13">
        <f>((((VLOOKUP(B314,Database!$F:$AY,MATCH($G$1,Database!$F$1:$AY$1,),))))-(((VLOOKUP(EDATE(B314,-12),Database!$F:$AY,MATCH($G$1,Database!$F$1:$AY$1,),)))))/(((VLOOKUP(EDATE(B314,-12),Database!$F:$AY,MATCH($G$1,Database!$F$1:$AY$1,),))))</f>
        <v>-1.0920658609892225E-2</v>
      </c>
      <c r="H314" s="13">
        <f>((((VLOOKUP(B314,Database!$F:$AY,MATCH($H$1,Database!$F$1:$AY$1,),))))-(((VLOOKUP(EDATE(B314,-12),Database!$F:$AY,MATCH($H$1,Database!$F$1:$AY$1,),)))))/(((VLOOKUP(EDATE(B314,-12),Database!$F:$AY,MATCH($H$1,Database!$F$1:$AY$1,),))))</f>
        <v>1.4846249282859625E-2</v>
      </c>
      <c r="I314" s="13">
        <f>((((VLOOKUP(B314,Database!$F:$AY,MATCH($I$1,Database!$F$1:$AY$1,),))))-(((VLOOKUP(EDATE(B314,-12),Database!$F:$AY,MATCH($I$1,Database!$F$1:$AY$1,),)))))/(((VLOOKUP(EDATE(B314,-12),Database!$F:$AY,MATCH($I$1,Database!$F$1:$AY$1,),))))</f>
        <v>-4.0445230219384341E-3</v>
      </c>
      <c r="J314" s="13">
        <f>((((VLOOKUP(B314,Database!$F:$AY,MATCH($J$1,Database!$F$1:$AY$1,),))))-(((VLOOKUP(EDATE(B314,-12),Database!$F:$AY,MATCH($J$1,Database!$F$1:$AY$1,),)))))/(((VLOOKUP(EDATE(B314,-12),Database!$F:$AY,MATCH($J$1,Database!$F$1:$AY$1,),))))</f>
        <v>7.4602597300410722E-3</v>
      </c>
      <c r="K314" s="13">
        <f>((((VLOOKUP(B314,Database!$F:$AY,MATCH($K$1,Database!$F$1:$AY$1,),))))-(((VLOOKUP(EDATE(B314,-12),Database!$F:$AY,MATCH($K$1,Database!$F$1:$AY$1,),)))))/(((VLOOKUP(EDATE(B314,-12),Database!$F:$AY,MATCH($K$1,Database!$F$1:$AY$1,),))))</f>
        <v>-3.6669970267591702E-2</v>
      </c>
      <c r="L314" s="13">
        <f>((((VLOOKUP(B314,Database!$F:$AY,MATCH($L$1,Database!$F$1:$AY$1,),))))-(((VLOOKUP(EDATE(B314,-12),Database!$F:$AY,MATCH($L$1,Database!$F$1:$AY$1,),)))))/(((VLOOKUP(EDATE(B314,-12),Database!$F:$AY,MATCH($L$1,Database!$F$1:$AY$1,),))))</f>
        <v>1.3745610726336099E-2</v>
      </c>
      <c r="M314" s="13">
        <f>((((VLOOKUP(B314,Database!$F:$AY,MATCH($M$1,Database!$F$1:$AY$1,),))))-(((VLOOKUP(EDATE(B314,-12),Database!$F:$AY,MATCH($M$1,Database!$F$1:$AY$1,),)))))/(((VLOOKUP(EDATE(B314,-12),Database!$F:$AY,MATCH($M$1,Database!$F$1:$AY$1,),))))</f>
        <v>-1.1840688912809564E-2</v>
      </c>
      <c r="N314" s="13">
        <f>((((VLOOKUP(B314,Database!$F:$AY,MATCH($N$1,Database!$F$1:$AY$1,),))))-(((VLOOKUP(EDATE(B314,-12),Database!$F:$AY,MATCH($N$1,Database!$F$1:$AY$1,),)))))/(((VLOOKUP(EDATE(B314,-12),Database!$F:$AY,MATCH($N$1,Database!$F$1:$AY$1,),))))</f>
        <v>3.2050069111096383E-2</v>
      </c>
      <c r="O314" s="13">
        <f>((((VLOOKUP(B314,Database!$F:$AY,MATCH($O$1,Database!$F$1:$AY$1,),))))-(((VLOOKUP(EDATE(B314,-12),Database!$F:$AY,MATCH($O$1,Database!$F$1:$AY$1,),)))))/(((VLOOKUP(EDATE(B314,-12),Database!$F:$AY,MATCH($O$1,Database!$F$1:$AY$1,),))))</f>
        <v>3.6382538663854214E-2</v>
      </c>
      <c r="P314" s="13">
        <f>((((VLOOKUP(B314,Database!$F:$AY,MATCH($P$1,Database!$F$1:$AY$1,),))))-(((VLOOKUP(EDATE(B314,-12),Database!$F:$AY,MATCH($P$1,Database!$F$1:$AY$1,),)))))/(((VLOOKUP(EDATE(B314,-12),Database!$F:$AY,MATCH($P$1,Database!$F$1:$AY$1,),))))</f>
        <v>3.2077082918510066E-2</v>
      </c>
      <c r="Q314" s="13">
        <f>((((VLOOKUP(B314,Database!$F:$AY,MATCH($Q$1,Database!$F$1:$AY$1,),))))-(((VLOOKUP(EDATE(B314,-12),Database!$F:$AY,MATCH($Q$1,Database!$F$1:$AY$1,),)))))/(((VLOOKUP(EDATE(B314,-12),Database!$F:$AY,MATCH($Q$1,Database!$F$1:$AY$1,),))))</f>
        <v>-9.8812544256983285E-4</v>
      </c>
      <c r="R314" s="13">
        <f>((((VLOOKUP(B314,Database!$F:$AY,MATCH($R$1,Database!$F$1:$AY$1,),))))-(((VLOOKUP(EDATE(B314,-12),Database!$F:$AY,MATCH($R$1,Database!$F$1:$AY$1,),)))))/(((VLOOKUP(EDATE(B314,-12),Database!$F:$AY,MATCH($R$1,Database!$F$1:$AY$1,),))))</f>
        <v>-3.7438216167217472E-2</v>
      </c>
      <c r="S314" s="13">
        <f>((((VLOOKUP(B314,Database!$F:$AY,MATCH($S$1,Database!$F$1:$AY$1,),))))-(((VLOOKUP(EDATE(B314,-12),Database!$F:$AY,MATCH($S$1,Database!$F$1:$AY$1,),)))))/(((VLOOKUP(EDATE(B314,-12),Database!$F:$AY,MATCH($S$1,Database!$F$1:$AY$1,),))))</f>
        <v>0.1637121360176827</v>
      </c>
      <c r="T314" s="13">
        <f>((((VLOOKUP(B314,Database!$F:$AY,MATCH($T$1,Database!$F$1:$AY$1,),))))-(((VLOOKUP(EDATE(B314,-12),Database!$F:$AY,MATCH($T$1,Database!$F$1:$AY$1,),)))))/(((VLOOKUP(EDATE(B314,-12),Database!$F:$AY,MATCH($T$1,Database!$F$1:$AY$1,),))))</f>
        <v>8.6206954027778199E-2</v>
      </c>
      <c r="U314" s="13">
        <f>((((VLOOKUP(B314,Database!$F:$AY,MATCH($U$1,Database!$F$1:$AY$1,),))))-(((VLOOKUP(EDATE(B314,-12),Database!$F:$AY,MATCH($U$1,Database!$F$1:$AY$1,),)))))/(((VLOOKUP(EDATE(B314,-12),Database!$F:$AY,MATCH($U$1,Database!$F$1:$AY$1,),))))</f>
        <v>7.6749354632893757E-2</v>
      </c>
      <c r="V314" s="13">
        <f>((((VLOOKUP(B314,Database!$F:$AY,MATCH($V$1,Database!$F$1:$AY$1,),))))-(((VLOOKUP(EDATE(B314,-12),Database!$F:$AY,MATCH($V$1,Database!$F$1:$AY$1,),)))))/(((VLOOKUP(EDATE(B314,-12),Database!$F:$AY,MATCH($V$1,Database!$F$1:$AY$1,),))))</f>
        <v>5.3691275167785199E-2</v>
      </c>
    </row>
    <row r="315" spans="1:22" s="85" customFormat="1" x14ac:dyDescent="0.2">
      <c r="A315" s="44"/>
      <c r="B315" s="91">
        <v>41730</v>
      </c>
      <c r="C315" s="13">
        <f>((((VLOOKUP(B315,Database!$F:$AY,MATCH($C$1,Database!$F$1:$AY$1,),))))-(((VLOOKUP(EDATE(B315,-12),Database!$F:$AY,MATCH($C$1,Database!$F$1:$AY$1,),)))))/(((VLOOKUP(EDATE(B315,-12),Database!$F:$AY,MATCH($C$1,Database!$F$1:$AY$1,),))))</f>
        <v>2.9523554606596249E-2</v>
      </c>
      <c r="D315" s="13">
        <f>((((VLOOKUP(B315,Database!$F:$AY,MATCH($D$1,Database!$F$1:$AY$1,),))))-(((VLOOKUP(EDATE(B315,-12),Database!$F:$AY,MATCH($D$1,Database!$F$1:$AY$1,),)))))/(((VLOOKUP(EDATE(B315,-12),Database!$F:$AY,MATCH($D$1,Database!$F$1:$AY$1,),))))</f>
        <v>2.0703968259720252E-2</v>
      </c>
      <c r="E315" s="13">
        <f>((((VLOOKUP(B315,Database!$F:$AY,MATCH($E$1,Database!$F$1:$AY$1,),))))-(((VLOOKUP(EDATE(B315,-12),Database!$F:$AY,MATCH($E$1,Database!$F$1:$AY$1,),)))))/(((VLOOKUP(EDATE(B315,-12),Database!$F:$AY,MATCH($E$1,Database!$F$1:$AY$1,),))))</f>
        <v>1.7329271968929534E-2</v>
      </c>
      <c r="F315" s="13">
        <f>((((VLOOKUP(B315,Database!$F:$AY,MATCH($F$1,Database!$F$1:$AY$1,),))))-(((VLOOKUP(EDATE(B315,-12),Database!$F:$AY,MATCH($F$1,Database!$F$1:$AY$1,),)))))/(((VLOOKUP(EDATE(B315,-12),Database!$F:$AY,MATCH($F$1,Database!$F$1:$AY$1,),))))</f>
        <v>2.3686937459568031E-2</v>
      </c>
      <c r="G315" s="13">
        <f>((((VLOOKUP(B315,Database!$F:$AY,MATCH($G$1,Database!$F$1:$AY$1,),))))-(((VLOOKUP(EDATE(B315,-12),Database!$F:$AY,MATCH($G$1,Database!$F$1:$AY$1,),)))))/(((VLOOKUP(EDATE(B315,-12),Database!$F:$AY,MATCH($G$1,Database!$F$1:$AY$1,),))))</f>
        <v>-2.2977925223469697E-2</v>
      </c>
      <c r="H315" s="13">
        <f>((((VLOOKUP(B315,Database!$F:$AY,MATCH($H$1,Database!$F$1:$AY$1,),))))-(((VLOOKUP(EDATE(B315,-12),Database!$F:$AY,MATCH($H$1,Database!$F$1:$AY$1,),)))))/(((VLOOKUP(EDATE(B315,-12),Database!$F:$AY,MATCH($H$1,Database!$F$1:$AY$1,),))))</f>
        <v>2.6709456238891618E-2</v>
      </c>
      <c r="I315" s="13">
        <f>((((VLOOKUP(B315,Database!$F:$AY,MATCH($I$1,Database!$F$1:$AY$1,),))))-(((VLOOKUP(EDATE(B315,-12),Database!$F:$AY,MATCH($I$1,Database!$F$1:$AY$1,),)))))/(((VLOOKUP(EDATE(B315,-12),Database!$F:$AY,MATCH($I$1,Database!$F$1:$AY$1,),))))</f>
        <v>1.4271117176629246E-2</v>
      </c>
      <c r="J315" s="13">
        <f>((((VLOOKUP(B315,Database!$F:$AY,MATCH($J$1,Database!$F$1:$AY$1,),))))-(((VLOOKUP(EDATE(B315,-12),Database!$F:$AY,MATCH($J$1,Database!$F$1:$AY$1,),)))))/(((VLOOKUP(EDATE(B315,-12),Database!$F:$AY,MATCH($J$1,Database!$F$1:$AY$1,),))))</f>
        <v>3.4320087065757621E-2</v>
      </c>
      <c r="K315" s="13">
        <f>((((VLOOKUP(B315,Database!$F:$AY,MATCH($K$1,Database!$F$1:$AY$1,),))))-(((VLOOKUP(EDATE(B315,-12),Database!$F:$AY,MATCH($K$1,Database!$F$1:$AY$1,),)))))/(((VLOOKUP(EDATE(B315,-12),Database!$F:$AY,MATCH($K$1,Database!$F$1:$AY$1,),))))</f>
        <v>-6.1037639877924146E-3</v>
      </c>
      <c r="L315" s="13">
        <f>((((VLOOKUP(B315,Database!$F:$AY,MATCH($L$1,Database!$F$1:$AY$1,),))))-(((VLOOKUP(EDATE(B315,-12),Database!$F:$AY,MATCH($L$1,Database!$F$1:$AY$1,),)))))/(((VLOOKUP(EDATE(B315,-12),Database!$F:$AY,MATCH($L$1,Database!$F$1:$AY$1,),))))</f>
        <v>3.145345195195047E-2</v>
      </c>
      <c r="M315" s="13">
        <f>((((VLOOKUP(B315,Database!$F:$AY,MATCH($M$1,Database!$F$1:$AY$1,),))))-(((VLOOKUP(EDATE(B315,-12),Database!$F:$AY,MATCH($M$1,Database!$F$1:$AY$1,),)))))/(((VLOOKUP(EDATE(B315,-12),Database!$F:$AY,MATCH($M$1,Database!$F$1:$AY$1,),))))</f>
        <v>2.1691973969631236E-2</v>
      </c>
      <c r="N315" s="13">
        <f>((((VLOOKUP(B315,Database!$F:$AY,MATCH($N$1,Database!$F$1:$AY$1,),))))-(((VLOOKUP(EDATE(B315,-12),Database!$F:$AY,MATCH($N$1,Database!$F$1:$AY$1,),)))))/(((VLOOKUP(EDATE(B315,-12),Database!$F:$AY,MATCH($N$1,Database!$F$1:$AY$1,),))))</f>
        <v>4.0221953125542477E-2</v>
      </c>
      <c r="O315" s="13">
        <f>((((VLOOKUP(B315,Database!$F:$AY,MATCH($O$1,Database!$F$1:$AY$1,),))))-(((VLOOKUP(EDATE(B315,-12),Database!$F:$AY,MATCH($O$1,Database!$F$1:$AY$1,),)))))/(((VLOOKUP(EDATE(B315,-12),Database!$F:$AY,MATCH($O$1,Database!$F$1:$AY$1,),))))</f>
        <v>5.7242413454134521E-2</v>
      </c>
      <c r="P315" s="13">
        <f>((((VLOOKUP(B315,Database!$F:$AY,MATCH($P$1,Database!$F$1:$AY$1,),))))-(((VLOOKUP(EDATE(B315,-12),Database!$F:$AY,MATCH($P$1,Database!$F$1:$AY$1,),)))))/(((VLOOKUP(EDATE(B315,-12),Database!$F:$AY,MATCH($P$1,Database!$F$1:$AY$1,),))))</f>
        <v>2.7845763446881392E-2</v>
      </c>
      <c r="Q315" s="13">
        <f>((((VLOOKUP(B315,Database!$F:$AY,MATCH($Q$1,Database!$F$1:$AY$1,),))))-(((VLOOKUP(EDATE(B315,-12),Database!$F:$AY,MATCH($Q$1,Database!$F$1:$AY$1,),)))))/(((VLOOKUP(EDATE(B315,-12),Database!$F:$AY,MATCH($Q$1,Database!$F$1:$AY$1,),))))</f>
        <v>-2.6239509668581368E-2</v>
      </c>
      <c r="R315" s="13">
        <f>((((VLOOKUP(B315,Database!$F:$AY,MATCH($R$1,Database!$F$1:$AY$1,),))))-(((VLOOKUP(EDATE(B315,-12),Database!$F:$AY,MATCH($R$1,Database!$F$1:$AY$1,),)))))/(((VLOOKUP(EDATE(B315,-12),Database!$F:$AY,MATCH($R$1,Database!$F$1:$AY$1,),))))</f>
        <v>-2.9098396871622512E-2</v>
      </c>
      <c r="S315" s="13">
        <f>((((VLOOKUP(B315,Database!$F:$AY,MATCH($S$1,Database!$F$1:$AY$1,),))))-(((VLOOKUP(EDATE(B315,-12),Database!$F:$AY,MATCH($S$1,Database!$F$1:$AY$1,),)))))/(((VLOOKUP(EDATE(B315,-12),Database!$F:$AY,MATCH($S$1,Database!$F$1:$AY$1,),))))</f>
        <v>0.3391751116683851</v>
      </c>
      <c r="T315" s="13">
        <f>((((VLOOKUP(B315,Database!$F:$AY,MATCH($T$1,Database!$F$1:$AY$1,),))))-(((VLOOKUP(EDATE(B315,-12),Database!$F:$AY,MATCH($T$1,Database!$F$1:$AY$1,),)))))/(((VLOOKUP(EDATE(B315,-12),Database!$F:$AY,MATCH($T$1,Database!$F$1:$AY$1,),))))</f>
        <v>6.72746990342412E-2</v>
      </c>
      <c r="U315" s="13">
        <f>((((VLOOKUP(B315,Database!$F:$AY,MATCH($U$1,Database!$F$1:$AY$1,),))))-(((VLOOKUP(EDATE(B315,-12),Database!$F:$AY,MATCH($U$1,Database!$F$1:$AY$1,),)))))/(((VLOOKUP(EDATE(B315,-12),Database!$F:$AY,MATCH($U$1,Database!$F$1:$AY$1,),))))</f>
        <v>6.2430360466989729E-2</v>
      </c>
      <c r="V315" s="13">
        <f>((((VLOOKUP(B315,Database!$F:$AY,MATCH($V$1,Database!$F$1:$AY$1,),))))-(((VLOOKUP(EDATE(B315,-12),Database!$F:$AY,MATCH($V$1,Database!$F$1:$AY$1,),)))))/(((VLOOKUP(EDATE(B315,-12),Database!$F:$AY,MATCH($V$1,Database!$F$1:$AY$1,),))))</f>
        <v>5.5248618784530384E-2</v>
      </c>
    </row>
    <row r="316" spans="1:22" s="85" customFormat="1" x14ac:dyDescent="0.2">
      <c r="A316" s="44"/>
      <c r="B316" s="91">
        <v>41760</v>
      </c>
      <c r="C316" s="13">
        <f>((((VLOOKUP(B316,Database!$F:$AY,MATCH($C$1,Database!$F$1:$AY$1,),))))-(((VLOOKUP(EDATE(B316,-12),Database!$F:$AY,MATCH($C$1,Database!$F$1:$AY$1,),)))))/(((VLOOKUP(EDATE(B316,-12),Database!$F:$AY,MATCH($C$1,Database!$F$1:$AY$1,),))))</f>
        <v>3.2114752612157987E-2</v>
      </c>
      <c r="D316" s="13">
        <f>((((VLOOKUP(B316,Database!$F:$AY,MATCH($D$1,Database!$F$1:$AY$1,),))))-(((VLOOKUP(EDATE(B316,-12),Database!$F:$AY,MATCH($D$1,Database!$F$1:$AY$1,),)))))/(((VLOOKUP(EDATE(B316,-12),Database!$F:$AY,MATCH($D$1,Database!$F$1:$AY$1,),))))</f>
        <v>1.0330543715600575E-2</v>
      </c>
      <c r="E316" s="13">
        <f>((((VLOOKUP(B316,Database!$F:$AY,MATCH($E$1,Database!$F$1:$AY$1,),))))-(((VLOOKUP(EDATE(B316,-12),Database!$F:$AY,MATCH($E$1,Database!$F$1:$AY$1,),)))))/(((VLOOKUP(EDATE(B316,-12),Database!$F:$AY,MATCH($E$1,Database!$F$1:$AY$1,),))))</f>
        <v>2.3092285802933279E-2</v>
      </c>
      <c r="F316" s="13">
        <f>((((VLOOKUP(B316,Database!$F:$AY,MATCH($F$1,Database!$F$1:$AY$1,),))))-(((VLOOKUP(EDATE(B316,-12),Database!$F:$AY,MATCH($F$1,Database!$F$1:$AY$1,),)))))/(((VLOOKUP(EDATE(B316,-12),Database!$F:$AY,MATCH($F$1,Database!$F$1:$AY$1,),))))</f>
        <v>2.2797857976975484E-2</v>
      </c>
      <c r="G316" s="13">
        <f>((((VLOOKUP(B316,Database!$F:$AY,MATCH($G$1,Database!$F$1:$AY$1,),))))-(((VLOOKUP(EDATE(B316,-12),Database!$F:$AY,MATCH($G$1,Database!$F$1:$AY$1,),)))))/(((VLOOKUP(EDATE(B316,-12),Database!$F:$AY,MATCH($G$1,Database!$F$1:$AY$1,),))))</f>
        <v>-4.1559041685797063E-2</v>
      </c>
      <c r="H316" s="13">
        <f>((((VLOOKUP(B316,Database!$F:$AY,MATCH($H$1,Database!$F$1:$AY$1,),))))-(((VLOOKUP(EDATE(B316,-12),Database!$F:$AY,MATCH($H$1,Database!$F$1:$AY$1,),)))))/(((VLOOKUP(EDATE(B316,-12),Database!$F:$AY,MATCH($H$1,Database!$F$1:$AY$1,),))))</f>
        <v>1.6985167744878123E-2</v>
      </c>
      <c r="I316" s="13">
        <f>((((VLOOKUP(B316,Database!$F:$AY,MATCH($I$1,Database!$F$1:$AY$1,),))))-(((VLOOKUP(EDATE(B316,-12),Database!$F:$AY,MATCH($I$1,Database!$F$1:$AY$1,),)))))/(((VLOOKUP(EDATE(B316,-12),Database!$F:$AY,MATCH($I$1,Database!$F$1:$AY$1,),))))</f>
        <v>-1.9019001382297281E-2</v>
      </c>
      <c r="J316" s="13">
        <f>((((VLOOKUP(B316,Database!$F:$AY,MATCH($J$1,Database!$F$1:$AY$1,),))))-(((VLOOKUP(EDATE(B316,-12),Database!$F:$AY,MATCH($J$1,Database!$F$1:$AY$1,),)))))/(((VLOOKUP(EDATE(B316,-12),Database!$F:$AY,MATCH($J$1,Database!$F$1:$AY$1,),))))</f>
        <v>2.4044973263000834E-2</v>
      </c>
      <c r="K316" s="13">
        <f>((((VLOOKUP(B316,Database!$F:$AY,MATCH($K$1,Database!$F$1:$AY$1,),))))-(((VLOOKUP(EDATE(B316,-12),Database!$F:$AY,MATCH($K$1,Database!$F$1:$AY$1,),)))))/(((VLOOKUP(EDATE(B316,-12),Database!$F:$AY,MATCH($K$1,Database!$F$1:$AY$1,),))))</f>
        <v>-1.8595041322314022E-2</v>
      </c>
      <c r="L316" s="13">
        <f>((((VLOOKUP(B316,Database!$F:$AY,MATCH($L$1,Database!$F$1:$AY$1,),))))-(((VLOOKUP(EDATE(B316,-12),Database!$F:$AY,MATCH($L$1,Database!$F$1:$AY$1,),)))))/(((VLOOKUP(EDATE(B316,-12),Database!$F:$AY,MATCH($L$1,Database!$F$1:$AY$1,),))))</f>
        <v>3.5208926244115139E-2</v>
      </c>
      <c r="M316" s="13">
        <f>((((VLOOKUP(B316,Database!$F:$AY,MATCH($M$1,Database!$F$1:$AY$1,),))))-(((VLOOKUP(EDATE(B316,-12),Database!$F:$AY,MATCH($M$1,Database!$F$1:$AY$1,),)))))/(((VLOOKUP(EDATE(B316,-12),Database!$F:$AY,MATCH($M$1,Database!$F$1:$AY$1,),))))</f>
        <v>-2.1299254526091888E-3</v>
      </c>
      <c r="N316" s="13">
        <f>((((VLOOKUP(B316,Database!$F:$AY,MATCH($N$1,Database!$F$1:$AY$1,),))))-(((VLOOKUP(EDATE(B316,-12),Database!$F:$AY,MATCH($N$1,Database!$F$1:$AY$1,),)))))/(((VLOOKUP(EDATE(B316,-12),Database!$F:$AY,MATCH($N$1,Database!$F$1:$AY$1,),))))</f>
        <v>4.4278237215111066E-2</v>
      </c>
      <c r="O316" s="13">
        <f>((((VLOOKUP(B316,Database!$F:$AY,MATCH($O$1,Database!$F$1:$AY$1,),))))-(((VLOOKUP(EDATE(B316,-12),Database!$F:$AY,MATCH($O$1,Database!$F$1:$AY$1,),)))))/(((VLOOKUP(EDATE(B316,-12),Database!$F:$AY,MATCH($O$1,Database!$F$1:$AY$1,),))))</f>
        <v>6.2269482334861972E-2</v>
      </c>
      <c r="P316" s="13">
        <f>((((VLOOKUP(B316,Database!$F:$AY,MATCH($P$1,Database!$F$1:$AY$1,),))))-(((VLOOKUP(EDATE(B316,-12),Database!$F:$AY,MATCH($P$1,Database!$F$1:$AY$1,),)))))/(((VLOOKUP(EDATE(B316,-12),Database!$F:$AY,MATCH($P$1,Database!$F$1:$AY$1,),))))</f>
        <v>-2.6742815792014938E-3</v>
      </c>
      <c r="Q316" s="13">
        <f>((((VLOOKUP(B316,Database!$F:$AY,MATCH($Q$1,Database!$F$1:$AY$1,),))))-(((VLOOKUP(EDATE(B316,-12),Database!$F:$AY,MATCH($Q$1,Database!$F$1:$AY$1,),)))))/(((VLOOKUP(EDATE(B316,-12),Database!$F:$AY,MATCH($Q$1,Database!$F$1:$AY$1,),))))</f>
        <v>-3.6097839339892746E-2</v>
      </c>
      <c r="R316" s="13">
        <f>((((VLOOKUP(B316,Database!$F:$AY,MATCH($R$1,Database!$F$1:$AY$1,),))))-(((VLOOKUP(EDATE(B316,-12),Database!$F:$AY,MATCH($R$1,Database!$F$1:$AY$1,),)))))/(((VLOOKUP(EDATE(B316,-12),Database!$F:$AY,MATCH($R$1,Database!$F$1:$AY$1,),))))</f>
        <v>4.2490213400790067E-2</v>
      </c>
      <c r="S316" s="13">
        <f>((((VLOOKUP(B316,Database!$F:$AY,MATCH($S$1,Database!$F$1:$AY$1,),))))-(((VLOOKUP(EDATE(B316,-12),Database!$F:$AY,MATCH($S$1,Database!$F$1:$AY$1,),)))))/(((VLOOKUP(EDATE(B316,-12),Database!$F:$AY,MATCH($S$1,Database!$F$1:$AY$1,),))))</f>
        <v>0.32671304430596892</v>
      </c>
      <c r="T316" s="13">
        <f>((((VLOOKUP(B316,Database!$F:$AY,MATCH($T$1,Database!$F$1:$AY$1,),))))-(((VLOOKUP(EDATE(B316,-12),Database!$F:$AY,MATCH($T$1,Database!$F$1:$AY$1,),)))))/(((VLOOKUP(EDATE(B316,-12),Database!$F:$AY,MATCH($T$1,Database!$F$1:$AY$1,),))))</f>
        <v>5.1194479449255696E-2</v>
      </c>
      <c r="U316" s="13">
        <f>((((VLOOKUP(B316,Database!$F:$AY,MATCH($U$1,Database!$F$1:$AY$1,),))))-(((VLOOKUP(EDATE(B316,-12),Database!$F:$AY,MATCH($U$1,Database!$F$1:$AY$1,),)))))/(((VLOOKUP(EDATE(B316,-12),Database!$F:$AY,MATCH($U$1,Database!$F$1:$AY$1,),))))</f>
        <v>5.0772700527350521E-2</v>
      </c>
      <c r="V316" s="13">
        <f>((((VLOOKUP(B316,Database!$F:$AY,MATCH($V$1,Database!$F$1:$AY$1,),))))-(((VLOOKUP(EDATE(B316,-12),Database!$F:$AY,MATCH($V$1,Database!$F$1:$AY$1,),)))))/(((VLOOKUP(EDATE(B316,-12),Database!$F:$AY,MATCH($V$1,Database!$F$1:$AY$1,),))))</f>
        <v>2.0652173913043539E-2</v>
      </c>
    </row>
    <row r="317" spans="1:22" s="85" customFormat="1" x14ac:dyDescent="0.2">
      <c r="A317" s="44"/>
      <c r="B317" s="91">
        <v>41791</v>
      </c>
      <c r="C317" s="13">
        <f>((((VLOOKUP(B317,Database!$F:$AY,MATCH($C$1,Database!$F$1:$AY$1,),))))-(((VLOOKUP(EDATE(B317,-12),Database!$F:$AY,MATCH($C$1,Database!$F$1:$AY$1,),)))))/(((VLOOKUP(EDATE(B317,-12),Database!$F:$AY,MATCH($C$1,Database!$F$1:$AY$1,),))))</f>
        <v>3.3870067646189363E-2</v>
      </c>
      <c r="D317" s="13">
        <f>((((VLOOKUP(B317,Database!$F:$AY,MATCH($D$1,Database!$F$1:$AY$1,),))))-(((VLOOKUP(EDATE(B317,-12),Database!$F:$AY,MATCH($D$1,Database!$F$1:$AY$1,),)))))/(((VLOOKUP(EDATE(B317,-12),Database!$F:$AY,MATCH($D$1,Database!$F$1:$AY$1,),))))</f>
        <v>5.1652201962992372E-3</v>
      </c>
      <c r="E317" s="13">
        <f>((((VLOOKUP(B317,Database!$F:$AY,MATCH($E$1,Database!$F$1:$AY$1,),))))-(((VLOOKUP(EDATE(B317,-12),Database!$F:$AY,MATCH($E$1,Database!$F$1:$AY$1,),)))))/(((VLOOKUP(EDATE(B317,-12),Database!$F:$AY,MATCH($E$1,Database!$F$1:$AY$1,),))))</f>
        <v>2.0283841107240377E-2</v>
      </c>
      <c r="F317" s="13">
        <f>((((VLOOKUP(B317,Database!$F:$AY,MATCH($F$1,Database!$F$1:$AY$1,),))))-(((VLOOKUP(EDATE(B317,-12),Database!$F:$AY,MATCH($F$1,Database!$F$1:$AY$1,),)))))/(((VLOOKUP(EDATE(B317,-12),Database!$F:$AY,MATCH($F$1,Database!$F$1:$AY$1,),))))</f>
        <v>6.1099794259846961E-3</v>
      </c>
      <c r="G317" s="13">
        <f>((((VLOOKUP(B317,Database!$F:$AY,MATCH($G$1,Database!$F$1:$AY$1,),))))-(((VLOOKUP(EDATE(B317,-12),Database!$F:$AY,MATCH($G$1,Database!$F$1:$AY$1,),)))))/(((VLOOKUP(EDATE(B317,-12),Database!$F:$AY,MATCH($G$1,Database!$F$1:$AY$1,),))))</f>
        <v>-7.6106917997778335E-3</v>
      </c>
      <c r="H317" s="13">
        <f>((((VLOOKUP(B317,Database!$F:$AY,MATCH($H$1,Database!$F$1:$AY$1,),))))-(((VLOOKUP(EDATE(B317,-12),Database!$F:$AY,MATCH($H$1,Database!$F$1:$AY$1,),)))))/(((VLOOKUP(EDATE(B317,-12),Database!$F:$AY,MATCH($H$1,Database!$F$1:$AY$1,),))))</f>
        <v>1.3727616673096158E-2</v>
      </c>
      <c r="I317" s="13">
        <f>((((VLOOKUP(B317,Database!$F:$AY,MATCH($I$1,Database!$F$1:$AY$1,),))))-(((VLOOKUP(EDATE(B317,-12),Database!$F:$AY,MATCH($I$1,Database!$F$1:$AY$1,),)))))/(((VLOOKUP(EDATE(B317,-12),Database!$F:$AY,MATCH($I$1,Database!$F$1:$AY$1,),))))</f>
        <v>2.0059844500594985E-3</v>
      </c>
      <c r="J317" s="13">
        <f>((((VLOOKUP(B317,Database!$F:$AY,MATCH($J$1,Database!$F$1:$AY$1,),))))-(((VLOOKUP(EDATE(B317,-12),Database!$F:$AY,MATCH($J$1,Database!$F$1:$AY$1,),)))))/(((VLOOKUP(EDATE(B317,-12),Database!$F:$AY,MATCH($J$1,Database!$F$1:$AY$1,),))))</f>
        <v>6.2449123251841964E-3</v>
      </c>
      <c r="K317" s="13">
        <f>((((VLOOKUP(B317,Database!$F:$AY,MATCH($K$1,Database!$F$1:$AY$1,),))))-(((VLOOKUP(EDATE(B317,-12),Database!$F:$AY,MATCH($K$1,Database!$F$1:$AY$1,),)))))/(((VLOOKUP(EDATE(B317,-12),Database!$F:$AY,MATCH($K$1,Database!$F$1:$AY$1,),))))</f>
        <v>-7.179487179487209E-3</v>
      </c>
      <c r="L317" s="13">
        <f>((((VLOOKUP(B317,Database!$F:$AY,MATCH($L$1,Database!$F$1:$AY$1,),))))-(((VLOOKUP(EDATE(B317,-12),Database!$F:$AY,MATCH($L$1,Database!$F$1:$AY$1,),)))))/(((VLOOKUP(EDATE(B317,-12),Database!$F:$AY,MATCH($L$1,Database!$F$1:$AY$1,),))))</f>
        <v>3.038895436304178E-2</v>
      </c>
      <c r="M317" s="13">
        <f>((((VLOOKUP(B317,Database!$F:$AY,MATCH($M$1,Database!$F$1:$AY$1,),))))-(((VLOOKUP(EDATE(B317,-12),Database!$F:$AY,MATCH($M$1,Database!$F$1:$AY$1,),)))))/(((VLOOKUP(EDATE(B317,-12),Database!$F:$AY,MATCH($M$1,Database!$F$1:$AY$1,),))))</f>
        <v>2.7056277056277056E-2</v>
      </c>
      <c r="N317" s="13">
        <f>((((VLOOKUP(B317,Database!$F:$AY,MATCH($N$1,Database!$F$1:$AY$1,),))))-(((VLOOKUP(EDATE(B317,-12),Database!$F:$AY,MATCH($N$1,Database!$F$1:$AY$1,),)))))/(((VLOOKUP(EDATE(B317,-12),Database!$F:$AY,MATCH($N$1,Database!$F$1:$AY$1,),))))</f>
        <v>8.1066736801388387E-2</v>
      </c>
      <c r="O317" s="13">
        <f>((((VLOOKUP(B317,Database!$F:$AY,MATCH($O$1,Database!$F$1:$AY$1,),))))-(((VLOOKUP(EDATE(B317,-12),Database!$F:$AY,MATCH($O$1,Database!$F$1:$AY$1,),)))))/(((VLOOKUP(EDATE(B317,-12),Database!$F:$AY,MATCH($O$1,Database!$F$1:$AY$1,),))))</f>
        <v>7.4502443986338027E-2</v>
      </c>
      <c r="P317" s="13">
        <f>((((VLOOKUP(B317,Database!$F:$AY,MATCH($P$1,Database!$F$1:$AY$1,),))))-(((VLOOKUP(EDATE(B317,-12),Database!$F:$AY,MATCH($P$1,Database!$F$1:$AY$1,),)))))/(((VLOOKUP(EDATE(B317,-12),Database!$F:$AY,MATCH($P$1,Database!$F$1:$AY$1,),))))</f>
        <v>2.3948175216932415E-2</v>
      </c>
      <c r="Q317" s="13">
        <f>((((VLOOKUP(B317,Database!$F:$AY,MATCH($Q$1,Database!$F$1:$AY$1,),))))-(((VLOOKUP(EDATE(B317,-12),Database!$F:$AY,MATCH($Q$1,Database!$F$1:$AY$1,),)))))/(((VLOOKUP(EDATE(B317,-12),Database!$F:$AY,MATCH($Q$1,Database!$F$1:$AY$1,),))))</f>
        <v>-6.8798179275529781E-2</v>
      </c>
      <c r="R317" s="13">
        <f>((((VLOOKUP(B317,Database!$F:$AY,MATCH($R$1,Database!$F$1:$AY$1,),))))-(((VLOOKUP(EDATE(B317,-12),Database!$F:$AY,MATCH($R$1,Database!$F$1:$AY$1,),)))))/(((VLOOKUP(EDATE(B317,-12),Database!$F:$AY,MATCH($R$1,Database!$F$1:$AY$1,),))))</f>
        <v>-7.5258462120948139E-2</v>
      </c>
      <c r="S317" s="13">
        <f>((((VLOOKUP(B317,Database!$F:$AY,MATCH($S$1,Database!$F$1:$AY$1,),))))-(((VLOOKUP(EDATE(B317,-12),Database!$F:$AY,MATCH($S$1,Database!$F$1:$AY$1,),)))))/(((VLOOKUP(EDATE(B317,-12),Database!$F:$AY,MATCH($S$1,Database!$F$1:$AY$1,),))))</f>
        <v>4.6391747517380538E-2</v>
      </c>
      <c r="T317" s="13">
        <f>((((VLOOKUP(B317,Database!$F:$AY,MATCH($T$1,Database!$F$1:$AY$1,),))))-(((VLOOKUP(EDATE(B317,-12),Database!$F:$AY,MATCH($T$1,Database!$F$1:$AY$1,),)))))/(((VLOOKUP(EDATE(B317,-12),Database!$F:$AY,MATCH($T$1,Database!$F$1:$AY$1,),))))</f>
        <v>3.9735099337748332E-2</v>
      </c>
      <c r="U317" s="13">
        <f>((((VLOOKUP(B317,Database!$F:$AY,MATCH($U$1,Database!$F$1:$AY$1,),))))-(((VLOOKUP(EDATE(B317,-12),Database!$F:$AY,MATCH($U$1,Database!$F$1:$AY$1,),)))))/(((VLOOKUP(EDATE(B317,-12),Database!$F:$AY,MATCH($U$1,Database!$F$1:$AY$1,),))))</f>
        <v>5.1876416488840817E-2</v>
      </c>
      <c r="V317" s="13">
        <f>((((VLOOKUP(B317,Database!$F:$AY,MATCH($V$1,Database!$F$1:$AY$1,),))))-(((VLOOKUP(EDATE(B317,-12),Database!$F:$AY,MATCH($V$1,Database!$F$1:$AY$1,),)))))/(((VLOOKUP(EDATE(B317,-12),Database!$F:$AY,MATCH($V$1,Database!$F$1:$AY$1,),))))</f>
        <v>1.8299246501614515E-2</v>
      </c>
    </row>
    <row r="318" spans="1:22" s="85" customFormat="1" x14ac:dyDescent="0.2">
      <c r="A318" s="44"/>
      <c r="B318" s="91">
        <v>41821</v>
      </c>
      <c r="C318" s="13">
        <f>((((VLOOKUP(B318,Database!$F:$AY,MATCH($C$1,Database!$F$1:$AY$1,),))))-(((VLOOKUP(EDATE(B318,-12),Database!$F:$AY,MATCH($C$1,Database!$F$1:$AY$1,),)))))/(((VLOOKUP(EDATE(B318,-12),Database!$F:$AY,MATCH($C$1,Database!$F$1:$AY$1,),))))</f>
        <v>4.0339833399838536E-2</v>
      </c>
      <c r="D318" s="13">
        <f>((((VLOOKUP(B318,Database!$F:$AY,MATCH($D$1,Database!$F$1:$AY$1,),))))-(((VLOOKUP(EDATE(B318,-12),Database!$F:$AY,MATCH($D$1,Database!$F$1:$AY$1,),)))))/(((VLOOKUP(EDATE(B318,-12),Database!$F:$AY,MATCH($D$1,Database!$F$1:$AY$1,),))))</f>
        <v>2.1875104184030675E-2</v>
      </c>
      <c r="E318" s="13">
        <f>((((VLOOKUP(B318,Database!$F:$AY,MATCH($E$1,Database!$F$1:$AY$1,),))))-(((VLOOKUP(EDATE(B318,-12),Database!$F:$AY,MATCH($E$1,Database!$F$1:$AY$1,),)))))/(((VLOOKUP(EDATE(B318,-12),Database!$F:$AY,MATCH($E$1,Database!$F$1:$AY$1,),))))</f>
        <v>2.9962524365156535E-3</v>
      </c>
      <c r="F318" s="13">
        <f>((((VLOOKUP(B318,Database!$F:$AY,MATCH($F$1,Database!$F$1:$AY$1,),))))-(((VLOOKUP(EDATE(B318,-12),Database!$F:$AY,MATCH($F$1,Database!$F$1:$AY$1,),)))))/(((VLOOKUP(EDATE(B318,-12),Database!$F:$AY,MATCH($F$1,Database!$F$1:$AY$1,),))))</f>
        <v>4.559592322510591E-2</v>
      </c>
      <c r="G318" s="13">
        <f>((((VLOOKUP(B318,Database!$F:$AY,MATCH($G$1,Database!$F$1:$AY$1,),))))-(((VLOOKUP(EDATE(B318,-12),Database!$F:$AY,MATCH($G$1,Database!$F$1:$AY$1,),)))))/(((VLOOKUP(EDATE(B318,-12),Database!$F:$AY,MATCH($G$1,Database!$F$1:$AY$1,),))))</f>
        <v>1.2513468703410796E-2</v>
      </c>
      <c r="H318" s="13">
        <f>((((VLOOKUP(B318,Database!$F:$AY,MATCH($H$1,Database!$F$1:$AY$1,),))))-(((VLOOKUP(EDATE(B318,-12),Database!$F:$AY,MATCH($H$1,Database!$F$1:$AY$1,),)))))/(((VLOOKUP(EDATE(B318,-12),Database!$F:$AY,MATCH($H$1,Database!$F$1:$AY$1,),))))</f>
        <v>1.6859374422759605E-2</v>
      </c>
      <c r="I318" s="13">
        <f>((((VLOOKUP(B318,Database!$F:$AY,MATCH($I$1,Database!$F$1:$AY$1,),))))-(((VLOOKUP(EDATE(B318,-12),Database!$F:$AY,MATCH($I$1,Database!$F$1:$AY$1,),)))))/(((VLOOKUP(EDATE(B318,-12),Database!$F:$AY,MATCH($I$1,Database!$F$1:$AY$1,),))))</f>
        <v>-1.0050284591550423E-2</v>
      </c>
      <c r="J318" s="13">
        <f>((((VLOOKUP(B318,Database!$F:$AY,MATCH($J$1,Database!$F$1:$AY$1,),))))-(((VLOOKUP(EDATE(B318,-12),Database!$F:$AY,MATCH($J$1,Database!$F$1:$AY$1,),)))))/(((VLOOKUP(EDATE(B318,-12),Database!$F:$AY,MATCH($J$1,Database!$F$1:$AY$1,),))))</f>
        <v>8.937897605772481E-3</v>
      </c>
      <c r="K318" s="13">
        <f>((((VLOOKUP(B318,Database!$F:$AY,MATCH($K$1,Database!$F$1:$AY$1,),))))-(((VLOOKUP(EDATE(B318,-12),Database!$F:$AY,MATCH($K$1,Database!$F$1:$AY$1,),)))))/(((VLOOKUP(EDATE(B318,-12),Database!$F:$AY,MATCH($K$1,Database!$F$1:$AY$1,),))))</f>
        <v>-4.1916167664670684E-2</v>
      </c>
      <c r="L318" s="13">
        <f>((((VLOOKUP(B318,Database!$F:$AY,MATCH($L$1,Database!$F$1:$AY$1,),))))-(((VLOOKUP(EDATE(B318,-12),Database!$F:$AY,MATCH($L$1,Database!$F$1:$AY$1,),)))))/(((VLOOKUP(EDATE(B318,-12),Database!$F:$AY,MATCH($L$1,Database!$F$1:$AY$1,),))))</f>
        <v>2.9566965011589605E-2</v>
      </c>
      <c r="M318" s="13">
        <f>((((VLOOKUP(B318,Database!$F:$AY,MATCH($M$1,Database!$F$1:$AY$1,),))))-(((VLOOKUP(EDATE(B318,-12),Database!$F:$AY,MATCH($M$1,Database!$F$1:$AY$1,),)))))/(((VLOOKUP(EDATE(B318,-12),Database!$F:$AY,MATCH($M$1,Database!$F$1:$AY$1,),))))</f>
        <v>2.8230184581976209E-2</v>
      </c>
      <c r="N318" s="13">
        <f>((((VLOOKUP(B318,Database!$F:$AY,MATCH($N$1,Database!$F$1:$AY$1,),))))-(((VLOOKUP(EDATE(B318,-12),Database!$F:$AY,MATCH($N$1,Database!$F$1:$AY$1,),)))))/(((VLOOKUP(EDATE(B318,-12),Database!$F:$AY,MATCH($N$1,Database!$F$1:$AY$1,),))))</f>
        <v>5.5290147822302224E-2</v>
      </c>
      <c r="O318" s="13">
        <f>((((VLOOKUP(B318,Database!$F:$AY,MATCH($O$1,Database!$F$1:$AY$1,),))))-(((VLOOKUP(EDATE(B318,-12),Database!$F:$AY,MATCH($O$1,Database!$F$1:$AY$1,),)))))/(((VLOOKUP(EDATE(B318,-12),Database!$F:$AY,MATCH($O$1,Database!$F$1:$AY$1,),))))</f>
        <v>6.3944645952304785E-2</v>
      </c>
      <c r="P318" s="13">
        <f>((((VLOOKUP(B318,Database!$F:$AY,MATCH($P$1,Database!$F$1:$AY$1,),))))-(((VLOOKUP(EDATE(B318,-12),Database!$F:$AY,MATCH($P$1,Database!$F$1:$AY$1,),)))))/(((VLOOKUP(EDATE(B318,-12),Database!$F:$AY,MATCH($P$1,Database!$F$1:$AY$1,),))))</f>
        <v>4.1873155532192632E-2</v>
      </c>
      <c r="Q318" s="13">
        <f>((((VLOOKUP(B318,Database!$F:$AY,MATCH($Q$1,Database!$F$1:$AY$1,),))))-(((VLOOKUP(EDATE(B318,-12),Database!$F:$AY,MATCH($Q$1,Database!$F$1:$AY$1,),)))))/(((VLOOKUP(EDATE(B318,-12),Database!$F:$AY,MATCH($Q$1,Database!$F$1:$AY$1,),))))</f>
        <v>-4.0039274712779294E-2</v>
      </c>
      <c r="R318" s="13">
        <f>((((VLOOKUP(B318,Database!$F:$AY,MATCH($R$1,Database!$F$1:$AY$1,),))))-(((VLOOKUP(EDATE(B318,-12),Database!$F:$AY,MATCH($R$1,Database!$F$1:$AY$1,),)))))/(((VLOOKUP(EDATE(B318,-12),Database!$F:$AY,MATCH($R$1,Database!$F$1:$AY$1,),))))</f>
        <v>-9.1092991255903692E-3</v>
      </c>
      <c r="S318" s="13">
        <f>((((VLOOKUP(B318,Database!$F:$AY,MATCH($S$1,Database!$F$1:$AY$1,),))))-(((VLOOKUP(EDATE(B318,-12),Database!$F:$AY,MATCH($S$1,Database!$F$1:$AY$1,),)))))/(((VLOOKUP(EDATE(B318,-12),Database!$F:$AY,MATCH($S$1,Database!$F$1:$AY$1,),))))</f>
        <v>0.18572926566121109</v>
      </c>
      <c r="T318" s="13">
        <f>((((VLOOKUP(B318,Database!$F:$AY,MATCH($T$1,Database!$F$1:$AY$1,),))))-(((VLOOKUP(EDATE(B318,-12),Database!$F:$AY,MATCH($T$1,Database!$F$1:$AY$1,),)))))/(((VLOOKUP(EDATE(B318,-12),Database!$F:$AY,MATCH($T$1,Database!$F$1:$AY$1,),))))</f>
        <v>7.1032224772564379E-2</v>
      </c>
      <c r="U318" s="13">
        <f>((((VLOOKUP(B318,Database!$F:$AY,MATCH($U$1,Database!$F$1:$AY$1,),))))-(((VLOOKUP(EDATE(B318,-12),Database!$F:$AY,MATCH($U$1,Database!$F$1:$AY$1,),)))))/(((VLOOKUP(EDATE(B318,-12),Database!$F:$AY,MATCH($U$1,Database!$F$1:$AY$1,),))))</f>
        <v>3.579175446148071E-2</v>
      </c>
      <c r="V318" s="13">
        <f>((((VLOOKUP(B318,Database!$F:$AY,MATCH($V$1,Database!$F$1:$AY$1,),))))-(((VLOOKUP(EDATE(B318,-12),Database!$F:$AY,MATCH($V$1,Database!$F$1:$AY$1,),)))))/(((VLOOKUP(EDATE(B318,-12),Database!$F:$AY,MATCH($V$1,Database!$F$1:$AY$1,),))))</f>
        <v>2.5559105431309813E-2</v>
      </c>
    </row>
    <row r="319" spans="1:22" s="85" customFormat="1" x14ac:dyDescent="0.2">
      <c r="A319" s="44"/>
      <c r="B319" s="91">
        <v>41852</v>
      </c>
      <c r="C319" s="13">
        <f>((((VLOOKUP(B319,Database!$F:$AY,MATCH($C$1,Database!$F$1:$AY$1,),))))-(((VLOOKUP(EDATE(B319,-12),Database!$F:$AY,MATCH($C$1,Database!$F$1:$AY$1,),)))))/(((VLOOKUP(EDATE(B319,-12),Database!$F:$AY,MATCH($C$1,Database!$F$1:$AY$1,),))))</f>
        <v>3.2369777069239609E-2</v>
      </c>
      <c r="D319" s="13">
        <f>((((VLOOKUP(B319,Database!$F:$AY,MATCH($D$1,Database!$F$1:$AY$1,),))))-(((VLOOKUP(EDATE(B319,-12),Database!$F:$AY,MATCH($D$1,Database!$F$1:$AY$1,),)))))/(((VLOOKUP(EDATE(B319,-12),Database!$F:$AY,MATCH($D$1,Database!$F$1:$AY$1,),))))</f>
        <v>-1.0363384903929187E-3</v>
      </c>
      <c r="E319" s="13">
        <f>((((VLOOKUP(B319,Database!$F:$AY,MATCH($E$1,Database!$F$1:$AY$1,),))))-(((VLOOKUP(EDATE(B319,-12),Database!$F:$AY,MATCH($E$1,Database!$F$1:$AY$1,),)))))/(((VLOOKUP(EDATE(B319,-12),Database!$F:$AY,MATCH($E$1,Database!$F$1:$AY$1,),))))</f>
        <v>-8.9637977679407361E-3</v>
      </c>
      <c r="F319" s="13">
        <f>((((VLOOKUP(B319,Database!$F:$AY,MATCH($F$1,Database!$F$1:$AY$1,),))))-(((VLOOKUP(EDATE(B319,-12),Database!$F:$AY,MATCH($F$1,Database!$F$1:$AY$1,),)))))/(((VLOOKUP(EDATE(B319,-12),Database!$F:$AY,MATCH($F$1,Database!$F$1:$AY$1,),))))</f>
        <v>-2.0263391770154723E-2</v>
      </c>
      <c r="G319" s="13">
        <f>((((VLOOKUP(B319,Database!$F:$AY,MATCH($G$1,Database!$F$1:$AY$1,),))))-(((VLOOKUP(EDATE(B319,-12),Database!$F:$AY,MATCH($G$1,Database!$F$1:$AY$1,),)))))/(((VLOOKUP(EDATE(B319,-12),Database!$F:$AY,MATCH($G$1,Database!$F$1:$AY$1,),))))</f>
        <v>-2.2316714346664883E-3</v>
      </c>
      <c r="H319" s="13">
        <f>((((VLOOKUP(B319,Database!$F:$AY,MATCH($H$1,Database!$F$1:$AY$1,),))))-(((VLOOKUP(EDATE(B319,-12),Database!$F:$AY,MATCH($H$1,Database!$F$1:$AY$1,),)))))/(((VLOOKUP(EDATE(B319,-12),Database!$F:$AY,MATCH($H$1,Database!$F$1:$AY$1,),))))</f>
        <v>1.4830624988075126E-2</v>
      </c>
      <c r="I319" s="13">
        <f>((((VLOOKUP(B319,Database!$F:$AY,MATCH($I$1,Database!$F$1:$AY$1,),))))-(((VLOOKUP(EDATE(B319,-12),Database!$F:$AY,MATCH($I$1,Database!$F$1:$AY$1,),)))))/(((VLOOKUP(EDATE(B319,-12),Database!$F:$AY,MATCH($I$1,Database!$F$1:$AY$1,),))))</f>
        <v>-6.1225506123774778E-3</v>
      </c>
      <c r="J319" s="13">
        <f>((((VLOOKUP(B319,Database!$F:$AY,MATCH($J$1,Database!$F$1:$AY$1,),))))-(((VLOOKUP(EDATE(B319,-12),Database!$F:$AY,MATCH($J$1,Database!$F$1:$AY$1,),)))))/(((VLOOKUP(EDATE(B319,-12),Database!$F:$AY,MATCH($J$1,Database!$F$1:$AY$1,),))))</f>
        <v>3.9012344043756258E-3</v>
      </c>
      <c r="K319" s="13">
        <f>((((VLOOKUP(B319,Database!$F:$AY,MATCH($K$1,Database!$F$1:$AY$1,),))))-(((VLOOKUP(EDATE(B319,-12),Database!$F:$AY,MATCH($K$1,Database!$F$1:$AY$1,),)))))/(((VLOOKUP(EDATE(B319,-12),Database!$F:$AY,MATCH($K$1,Database!$F$1:$AY$1,),))))</f>
        <v>-9.2213114754097492E-3</v>
      </c>
      <c r="L319" s="13">
        <f>((((VLOOKUP(B319,Database!$F:$AY,MATCH($L$1,Database!$F$1:$AY$1,),))))-(((VLOOKUP(EDATE(B319,-12),Database!$F:$AY,MATCH($L$1,Database!$F$1:$AY$1,),)))))/(((VLOOKUP(EDATE(B319,-12),Database!$F:$AY,MATCH($L$1,Database!$F$1:$AY$1,),))))</f>
        <v>2.8166105821133398E-2</v>
      </c>
      <c r="M319" s="13">
        <f>((((VLOOKUP(B319,Database!$F:$AY,MATCH($M$1,Database!$F$1:$AY$1,),))))-(((VLOOKUP(EDATE(B319,-12),Database!$F:$AY,MATCH($M$1,Database!$F$1:$AY$1,),)))))/(((VLOOKUP(EDATE(B319,-12),Database!$F:$AY,MATCH($M$1,Database!$F$1:$AY$1,),))))</f>
        <v>3.4934497816593919E-2</v>
      </c>
      <c r="N319" s="13">
        <f>((((VLOOKUP(B319,Database!$F:$AY,MATCH($N$1,Database!$F$1:$AY$1,),))))-(((VLOOKUP(EDATE(B319,-12),Database!$F:$AY,MATCH($N$1,Database!$F$1:$AY$1,),)))))/(((VLOOKUP(EDATE(B319,-12),Database!$F:$AY,MATCH($N$1,Database!$F$1:$AY$1,),))))</f>
        <v>3.2866513440128725E-2</v>
      </c>
      <c r="O319" s="13">
        <f>((((VLOOKUP(B319,Database!$F:$AY,MATCH($O$1,Database!$F$1:$AY$1,),))))-(((VLOOKUP(EDATE(B319,-12),Database!$F:$AY,MATCH($O$1,Database!$F$1:$AY$1,),)))))/(((VLOOKUP(EDATE(B319,-12),Database!$F:$AY,MATCH($O$1,Database!$F$1:$AY$1,),))))</f>
        <v>3.7216070327055394E-2</v>
      </c>
      <c r="P319" s="13">
        <f>((((VLOOKUP(B319,Database!$F:$AY,MATCH($P$1,Database!$F$1:$AY$1,),))))-(((VLOOKUP(EDATE(B319,-12),Database!$F:$AY,MATCH($P$1,Database!$F$1:$AY$1,),)))))/(((VLOOKUP(EDATE(B319,-12),Database!$F:$AY,MATCH($P$1,Database!$F$1:$AY$1,),))))</f>
        <v>-1.2738751435743417E-2</v>
      </c>
      <c r="Q319" s="13">
        <f>((((VLOOKUP(B319,Database!$F:$AY,MATCH($Q$1,Database!$F$1:$AY$1,),))))-(((VLOOKUP(EDATE(B319,-12),Database!$F:$AY,MATCH($Q$1,Database!$F$1:$AY$1,),)))))/(((VLOOKUP(EDATE(B319,-12),Database!$F:$AY,MATCH($Q$1,Database!$F$1:$AY$1,),))))</f>
        <v>-3.5957519674336261E-2</v>
      </c>
      <c r="R319" s="13">
        <f>((((VLOOKUP(B319,Database!$F:$AY,MATCH($R$1,Database!$F$1:$AY$1,),))))-(((VLOOKUP(EDATE(B319,-12),Database!$F:$AY,MATCH($R$1,Database!$F$1:$AY$1,),)))))/(((VLOOKUP(EDATE(B319,-12),Database!$F:$AY,MATCH($R$1,Database!$F$1:$AY$1,),))))</f>
        <v>-4.0877153931151974E-2</v>
      </c>
      <c r="S319" s="13">
        <f>((((VLOOKUP(B319,Database!$F:$AY,MATCH($S$1,Database!$F$1:$AY$1,),))))-(((VLOOKUP(EDATE(B319,-12),Database!$F:$AY,MATCH($S$1,Database!$F$1:$AY$1,),)))))/(((VLOOKUP(EDATE(B319,-12),Database!$F:$AY,MATCH($S$1,Database!$F$1:$AY$1,),))))</f>
        <v>0.251578989042754</v>
      </c>
      <c r="T319" s="13">
        <f>((((VLOOKUP(B319,Database!$F:$AY,MATCH($T$1,Database!$F$1:$AY$1,),))))-(((VLOOKUP(EDATE(B319,-12),Database!$F:$AY,MATCH($T$1,Database!$F$1:$AY$1,),)))))/(((VLOOKUP(EDATE(B319,-12),Database!$F:$AY,MATCH($T$1,Database!$F$1:$AY$1,),))))</f>
        <v>4.7945205479452122E-2</v>
      </c>
      <c r="U319" s="13">
        <f>((((VLOOKUP(B319,Database!$F:$AY,MATCH($U$1,Database!$F$1:$AY$1,),))))-(((VLOOKUP(EDATE(B319,-12),Database!$F:$AY,MATCH($U$1,Database!$F$1:$AY$1,),)))))/(((VLOOKUP(EDATE(B319,-12),Database!$F:$AY,MATCH($U$1,Database!$F$1:$AY$1,),))))</f>
        <v>2.6766557683485695E-2</v>
      </c>
      <c r="V319" s="13">
        <f>((((VLOOKUP(B319,Database!$F:$AY,MATCH($V$1,Database!$F$1:$AY$1,),))))-(((VLOOKUP(EDATE(B319,-12),Database!$F:$AY,MATCH($V$1,Database!$F$1:$AY$1,),)))))/(((VLOOKUP(EDATE(B319,-12),Database!$F:$AY,MATCH($V$1,Database!$F$1:$AY$1,),))))</f>
        <v>6.3424947145878287E-3</v>
      </c>
    </row>
    <row r="320" spans="1:22" s="85" customFormat="1" x14ac:dyDescent="0.2">
      <c r="A320" s="44"/>
      <c r="B320" s="91">
        <v>41883</v>
      </c>
      <c r="C320" s="13">
        <f>((((VLOOKUP(B320,Database!$F:$AY,MATCH($C$1,Database!$F$1:$AY$1,),))))-(((VLOOKUP(EDATE(B320,-12),Database!$F:$AY,MATCH($C$1,Database!$F$1:$AY$1,),)))))/(((VLOOKUP(EDATE(B320,-12),Database!$F:$AY,MATCH($C$1,Database!$F$1:$AY$1,),))))</f>
        <v>3.0149200299288539E-2</v>
      </c>
      <c r="D320" s="13">
        <f>((((VLOOKUP(B320,Database!$F:$AY,MATCH($D$1,Database!$F$1:$AY$1,),))))-(((VLOOKUP(EDATE(B320,-12),Database!$F:$AY,MATCH($D$1,Database!$F$1:$AY$1,),)))))/(((VLOOKUP(EDATE(B320,-12),Database!$F:$AY,MATCH($D$1,Database!$F$1:$AY$1,),))))</f>
        <v>8.281608011273086E-3</v>
      </c>
      <c r="E320" s="13">
        <f>((((VLOOKUP(B320,Database!$F:$AY,MATCH($E$1,Database!$F$1:$AY$1,),))))-(((VLOOKUP(EDATE(B320,-12),Database!$F:$AY,MATCH($E$1,Database!$F$1:$AY$1,),)))))/(((VLOOKUP(EDATE(B320,-12),Database!$F:$AY,MATCH($E$1,Database!$F$1:$AY$1,),))))</f>
        <v>-5.9293459140876744E-3</v>
      </c>
      <c r="F320" s="13">
        <f>((((VLOOKUP(B320,Database!$F:$AY,MATCH($F$1,Database!$F$1:$AY$1,),))))-(((VLOOKUP(EDATE(B320,-12),Database!$F:$AY,MATCH($F$1,Database!$F$1:$AY$1,),)))))/(((VLOOKUP(EDATE(B320,-12),Database!$F:$AY,MATCH($F$1,Database!$F$1:$AY$1,),))))</f>
        <v>9.1649182182384891E-3</v>
      </c>
      <c r="G320" s="13">
        <f>((((VLOOKUP(B320,Database!$F:$AY,MATCH($G$1,Database!$F$1:$AY$1,),))))-(((VLOOKUP(EDATE(B320,-12),Database!$F:$AY,MATCH($G$1,Database!$F$1:$AY$1,),)))))/(((VLOOKUP(EDATE(B320,-12),Database!$F:$AY,MATCH($G$1,Database!$F$1:$AY$1,),))))</f>
        <v>2.2244504924781609E-3</v>
      </c>
      <c r="H320" s="13">
        <f>((((VLOOKUP(B320,Database!$F:$AY,MATCH($H$1,Database!$F$1:$AY$1,),))))-(((VLOOKUP(EDATE(B320,-12),Database!$F:$AY,MATCH($H$1,Database!$F$1:$AY$1,),)))))/(((VLOOKUP(EDATE(B320,-12),Database!$F:$AY,MATCH($H$1,Database!$F$1:$AY$1,),))))</f>
        <v>8.3770288274276558E-3</v>
      </c>
      <c r="I320" s="13">
        <f>((((VLOOKUP(B320,Database!$F:$AY,MATCH($I$1,Database!$F$1:$AY$1,),))))-(((VLOOKUP(EDATE(B320,-12),Database!$F:$AY,MATCH($I$1,Database!$F$1:$AY$1,),)))))/(((VLOOKUP(EDATE(B320,-12),Database!$F:$AY,MATCH($I$1,Database!$F$1:$AY$1,),))))</f>
        <v>-1.705116875326633E-2</v>
      </c>
      <c r="J320" s="13">
        <f>((((VLOOKUP(B320,Database!$F:$AY,MATCH($J$1,Database!$F$1:$AY$1,),))))-(((VLOOKUP(EDATE(B320,-12),Database!$F:$AY,MATCH($J$1,Database!$F$1:$AY$1,),)))))/(((VLOOKUP(EDATE(B320,-12),Database!$F:$AY,MATCH($J$1,Database!$F$1:$AY$1,),))))</f>
        <v>1.0002481943652395E-2</v>
      </c>
      <c r="K320" s="13">
        <f>((((VLOOKUP(B320,Database!$F:$AY,MATCH($K$1,Database!$F$1:$AY$1,),))))-(((VLOOKUP(EDATE(B320,-12),Database!$F:$AY,MATCH($K$1,Database!$F$1:$AY$1,),)))))/(((VLOOKUP(EDATE(B320,-12),Database!$F:$AY,MATCH($K$1,Database!$F$1:$AY$1,),))))</f>
        <v>-3.647416413373869E-2</v>
      </c>
      <c r="L320" s="13">
        <f>((((VLOOKUP(B320,Database!$F:$AY,MATCH($L$1,Database!$F$1:$AY$1,),))))-(((VLOOKUP(EDATE(B320,-12),Database!$F:$AY,MATCH($L$1,Database!$F$1:$AY$1,),)))))/(((VLOOKUP(EDATE(B320,-12),Database!$F:$AY,MATCH($L$1,Database!$F$1:$AY$1,),))))</f>
        <v>3.3182778947846055E-2</v>
      </c>
      <c r="M320" s="13">
        <f>((((VLOOKUP(B320,Database!$F:$AY,MATCH($M$1,Database!$F$1:$AY$1,),))))-(((VLOOKUP(EDATE(B320,-12),Database!$F:$AY,MATCH($M$1,Database!$F$1:$AY$1,),)))))/(((VLOOKUP(EDATE(B320,-12),Database!$F:$AY,MATCH($M$1,Database!$F$1:$AY$1,),))))</f>
        <v>3.5445757250268654E-2</v>
      </c>
      <c r="N320" s="13">
        <f>((((VLOOKUP(B320,Database!$F:$AY,MATCH($N$1,Database!$F$1:$AY$1,),))))-(((VLOOKUP(EDATE(B320,-12),Database!$F:$AY,MATCH($N$1,Database!$F$1:$AY$1,),)))))/(((VLOOKUP(EDATE(B320,-12),Database!$F:$AY,MATCH($N$1,Database!$F$1:$AY$1,),))))</f>
        <v>3.5565674460366639E-2</v>
      </c>
      <c r="O320" s="13">
        <f>((((VLOOKUP(B320,Database!$F:$AY,MATCH($O$1,Database!$F$1:$AY$1,),))))-(((VLOOKUP(EDATE(B320,-12),Database!$F:$AY,MATCH($O$1,Database!$F$1:$AY$1,),)))))/(((VLOOKUP(EDATE(B320,-12),Database!$F:$AY,MATCH($O$1,Database!$F$1:$AY$1,),))))</f>
        <v>4.8477137536109272E-2</v>
      </c>
      <c r="P320" s="13">
        <f>((((VLOOKUP(B320,Database!$F:$AY,MATCH($P$1,Database!$F$1:$AY$1,),))))-(((VLOOKUP(EDATE(B320,-12),Database!$F:$AY,MATCH($P$1,Database!$F$1:$AY$1,),)))))/(((VLOOKUP(EDATE(B320,-12),Database!$F:$AY,MATCH($P$1,Database!$F$1:$AY$1,),))))</f>
        <v>3.0387581245660874E-3</v>
      </c>
      <c r="Q320" s="13">
        <f>((((VLOOKUP(B320,Database!$F:$AY,MATCH($Q$1,Database!$F$1:$AY$1,),))))-(((VLOOKUP(EDATE(B320,-12),Database!$F:$AY,MATCH($Q$1,Database!$F$1:$AY$1,),)))))/(((VLOOKUP(EDATE(B320,-12),Database!$F:$AY,MATCH($Q$1,Database!$F$1:$AY$1,),))))</f>
        <v>-4.0579911088022079E-2</v>
      </c>
      <c r="R320" s="13">
        <f>((((VLOOKUP(B320,Database!$F:$AY,MATCH($R$1,Database!$F$1:$AY$1,),))))-(((VLOOKUP(EDATE(B320,-12),Database!$F:$AY,MATCH($R$1,Database!$F$1:$AY$1,),)))))/(((VLOOKUP(EDATE(B320,-12),Database!$F:$AY,MATCH($R$1,Database!$F$1:$AY$1,),))))</f>
        <v>-3.8537881583386134E-2</v>
      </c>
      <c r="S320" s="13">
        <f>((((VLOOKUP(B320,Database!$F:$AY,MATCH($S$1,Database!$F$1:$AY$1,),))))-(((VLOOKUP(EDATE(B320,-12),Database!$F:$AY,MATCH($S$1,Database!$F$1:$AY$1,),)))))/(((VLOOKUP(EDATE(B320,-12),Database!$F:$AY,MATCH($S$1,Database!$F$1:$AY$1,),))))</f>
        <v>0.20475695794951573</v>
      </c>
      <c r="T320" s="13">
        <f>((((VLOOKUP(B320,Database!$F:$AY,MATCH($T$1,Database!$F$1:$AY$1,),))))-(((VLOOKUP(EDATE(B320,-12),Database!$F:$AY,MATCH($T$1,Database!$F$1:$AY$1,),)))))/(((VLOOKUP(EDATE(B320,-12),Database!$F:$AY,MATCH($T$1,Database!$F$1:$AY$1,),))))</f>
        <v>3.6677488136013077E-2</v>
      </c>
      <c r="U320" s="13">
        <f>((((VLOOKUP(B320,Database!$F:$AY,MATCH($U$1,Database!$F$1:$AY$1,),))))-(((VLOOKUP(EDATE(B320,-12),Database!$F:$AY,MATCH($U$1,Database!$F$1:$AY$1,),)))))/(((VLOOKUP(EDATE(B320,-12),Database!$F:$AY,MATCH($U$1,Database!$F$1:$AY$1,),))))</f>
        <v>6.6812780838163832E-2</v>
      </c>
      <c r="V320" s="13">
        <f>((((VLOOKUP(B320,Database!$F:$AY,MATCH($V$1,Database!$F$1:$AY$1,),))))-(((VLOOKUP(EDATE(B320,-12),Database!$F:$AY,MATCH($V$1,Database!$F$1:$AY$1,),)))))/(((VLOOKUP(EDATE(B320,-12),Database!$F:$AY,MATCH($V$1,Database!$F$1:$AY$1,),))))</f>
        <v>2.0169851380042372E-2</v>
      </c>
    </row>
    <row r="321" spans="1:22" s="85" customFormat="1" x14ac:dyDescent="0.2">
      <c r="A321" s="44"/>
      <c r="B321" s="91">
        <v>41913</v>
      </c>
      <c r="C321" s="13">
        <f>((((VLOOKUP(B321,Database!$F:$AY,MATCH($C$1,Database!$F$1:$AY$1,),))))-(((VLOOKUP(EDATE(B321,-12),Database!$F:$AY,MATCH($C$1,Database!$F$1:$AY$1,),)))))/(((VLOOKUP(EDATE(B321,-12),Database!$F:$AY,MATCH($C$1,Database!$F$1:$AY$1,),))))</f>
        <v>3.2169853218457591E-2</v>
      </c>
      <c r="D321" s="13">
        <f>((((VLOOKUP(B321,Database!$F:$AY,MATCH($D$1,Database!$F$1:$AY$1,),))))-(((VLOOKUP(EDATE(B321,-12),Database!$F:$AY,MATCH($D$1,Database!$F$1:$AY$1,),)))))/(((VLOOKUP(EDATE(B321,-12),Database!$F:$AY,MATCH($D$1,Database!$F$1:$AY$1,),))))</f>
        <v>1.0405897008013263E-2</v>
      </c>
      <c r="E321" s="13">
        <f>((((VLOOKUP(B321,Database!$F:$AY,MATCH($E$1,Database!$F$1:$AY$1,),))))-(((VLOOKUP(EDATE(B321,-12),Database!$F:$AY,MATCH($E$1,Database!$F$1:$AY$1,),)))))/(((VLOOKUP(EDATE(B321,-12),Database!$F:$AY,MATCH($E$1,Database!$F$1:$AY$1,),))))</f>
        <v>-8.8667523881310484E-3</v>
      </c>
      <c r="F321" s="13">
        <f>((((VLOOKUP(B321,Database!$F:$AY,MATCH($F$1,Database!$F$1:$AY$1,),))))-(((VLOOKUP(EDATE(B321,-12),Database!$F:$AY,MATCH($F$1,Database!$F$1:$AY$1,),)))))/(((VLOOKUP(EDATE(B321,-12),Database!$F:$AY,MATCH($F$1,Database!$F$1:$AY$1,),))))</f>
        <v>1.8461641981018472E-2</v>
      </c>
      <c r="G321" s="13">
        <f>((((VLOOKUP(B321,Database!$F:$AY,MATCH($G$1,Database!$F$1:$AY$1,),))))-(((VLOOKUP(EDATE(B321,-12),Database!$F:$AY,MATCH($G$1,Database!$F$1:$AY$1,),)))))/(((VLOOKUP(EDATE(B321,-12),Database!$F:$AY,MATCH($G$1,Database!$F$1:$AY$1,),))))</f>
        <v>-1.4342067428381258E-2</v>
      </c>
      <c r="H321" s="13">
        <f>((((VLOOKUP(B321,Database!$F:$AY,MATCH($H$1,Database!$F$1:$AY$1,),))))-(((VLOOKUP(EDATE(B321,-12),Database!$F:$AY,MATCH($H$1,Database!$F$1:$AY$1,),)))))/(((VLOOKUP(EDATE(B321,-12),Database!$F:$AY,MATCH($H$1,Database!$F$1:$AY$1,),))))</f>
        <v>6.2959569738373702E-3</v>
      </c>
      <c r="I321" s="13">
        <f>((((VLOOKUP(B321,Database!$F:$AY,MATCH($I$1,Database!$F$1:$AY$1,),))))-(((VLOOKUP(EDATE(B321,-12),Database!$F:$AY,MATCH($I$1,Database!$F$1:$AY$1,),)))))/(((VLOOKUP(EDATE(B321,-12),Database!$F:$AY,MATCH($I$1,Database!$F$1:$AY$1,),))))</f>
        <v>-2.3952582898583423E-2</v>
      </c>
      <c r="J321" s="13">
        <f>((((VLOOKUP(B321,Database!$F:$AY,MATCH($J$1,Database!$F$1:$AY$1,),))))-(((VLOOKUP(EDATE(B321,-12),Database!$F:$AY,MATCH($J$1,Database!$F$1:$AY$1,),)))))/(((VLOOKUP(EDATE(B321,-12),Database!$F:$AY,MATCH($J$1,Database!$F$1:$AY$1,),))))</f>
        <v>1.4923327214489633E-2</v>
      </c>
      <c r="K321" s="13">
        <f>((((VLOOKUP(B321,Database!$F:$AY,MATCH($K$1,Database!$F$1:$AY$1,),))))-(((VLOOKUP(EDATE(B321,-12),Database!$F:$AY,MATCH($K$1,Database!$F$1:$AY$1,),)))))/(((VLOOKUP(EDATE(B321,-12),Database!$F:$AY,MATCH($K$1,Database!$F$1:$AY$1,),))))</f>
        <v>8.4210526315789177E-3</v>
      </c>
      <c r="L321" s="13">
        <f>((((VLOOKUP(B321,Database!$F:$AY,MATCH($L$1,Database!$F$1:$AY$1,),))))-(((VLOOKUP(EDATE(B321,-12),Database!$F:$AY,MATCH($L$1,Database!$F$1:$AY$1,),)))))/(((VLOOKUP(EDATE(B321,-12),Database!$F:$AY,MATCH($L$1,Database!$F$1:$AY$1,),))))</f>
        <v>3.0645960836350711E-2</v>
      </c>
      <c r="M321" s="13">
        <f>((((VLOOKUP(B321,Database!$F:$AY,MATCH($M$1,Database!$F$1:$AY$1,),))))-(((VLOOKUP(EDATE(B321,-12),Database!$F:$AY,MATCH($M$1,Database!$F$1:$AY$1,),)))))/(((VLOOKUP(EDATE(B321,-12),Database!$F:$AY,MATCH($M$1,Database!$F$1:$AY$1,),))))</f>
        <v>4.9462365591397786E-2</v>
      </c>
      <c r="N321" s="13">
        <f>((((VLOOKUP(B321,Database!$F:$AY,MATCH($N$1,Database!$F$1:$AY$1,),))))-(((VLOOKUP(EDATE(B321,-12),Database!$F:$AY,MATCH($N$1,Database!$F$1:$AY$1,),)))))/(((VLOOKUP(EDATE(B321,-12),Database!$F:$AY,MATCH($N$1,Database!$F$1:$AY$1,),))))</f>
        <v>6.2018704691652118E-3</v>
      </c>
      <c r="O321" s="13">
        <f>((((VLOOKUP(B321,Database!$F:$AY,MATCH($O$1,Database!$F$1:$AY$1,),))))-(((VLOOKUP(EDATE(B321,-12),Database!$F:$AY,MATCH($O$1,Database!$F$1:$AY$1,),)))))/(((VLOOKUP(EDATE(B321,-12),Database!$F:$AY,MATCH($O$1,Database!$F$1:$AY$1,),))))</f>
        <v>4.239968597366052E-2</v>
      </c>
      <c r="P321" s="13">
        <f>((((VLOOKUP(B321,Database!$F:$AY,MATCH($P$1,Database!$F$1:$AY$1,),))))-(((VLOOKUP(EDATE(B321,-12),Database!$F:$AY,MATCH($P$1,Database!$F$1:$AY$1,),)))))/(((VLOOKUP(EDATE(B321,-12),Database!$F:$AY,MATCH($P$1,Database!$F$1:$AY$1,),))))</f>
        <v>-2.8884972034585479E-2</v>
      </c>
      <c r="Q321" s="13">
        <f>((((VLOOKUP(B321,Database!$F:$AY,MATCH($Q$1,Database!$F$1:$AY$1,),))))-(((VLOOKUP(EDATE(B321,-12),Database!$F:$AY,MATCH($Q$1,Database!$F$1:$AY$1,),)))))/(((VLOOKUP(EDATE(B321,-12),Database!$F:$AY,MATCH($Q$1,Database!$F$1:$AY$1,),))))</f>
        <v>-2.636763011522527E-2</v>
      </c>
      <c r="R321" s="13">
        <f>((((VLOOKUP(B321,Database!$F:$AY,MATCH($R$1,Database!$F$1:$AY$1,),))))-(((VLOOKUP(EDATE(B321,-12),Database!$F:$AY,MATCH($R$1,Database!$F$1:$AY$1,),)))))/(((VLOOKUP(EDATE(B321,-12),Database!$F:$AY,MATCH($R$1,Database!$F$1:$AY$1,),))))</f>
        <v>1.0019692286702727E-3</v>
      </c>
      <c r="S321" s="13">
        <f>((((VLOOKUP(B321,Database!$F:$AY,MATCH($S$1,Database!$F$1:$AY$1,),))))-(((VLOOKUP(EDATE(B321,-12),Database!$F:$AY,MATCH($S$1,Database!$F$1:$AY$1,),)))))/(((VLOOKUP(EDATE(B321,-12),Database!$F:$AY,MATCH($S$1,Database!$F$1:$AY$1,),))))</f>
        <v>0.34589798414899303</v>
      </c>
      <c r="T321" s="13">
        <f>((((VLOOKUP(B321,Database!$F:$AY,MATCH($T$1,Database!$F$1:$AY$1,),))))-(((VLOOKUP(EDATE(B321,-12),Database!$F:$AY,MATCH($T$1,Database!$F$1:$AY$1,),)))))/(((VLOOKUP(EDATE(B321,-12),Database!$F:$AY,MATCH($T$1,Database!$F$1:$AY$1,),))))</f>
        <v>3.489636432086602E-2</v>
      </c>
      <c r="U321" s="13">
        <f>((((VLOOKUP(B321,Database!$F:$AY,MATCH($U$1,Database!$F$1:$AY$1,),))))-(((VLOOKUP(EDATE(B321,-12),Database!$F:$AY,MATCH($U$1,Database!$F$1:$AY$1,),)))))/(((VLOOKUP(EDATE(B321,-12),Database!$F:$AY,MATCH($U$1,Database!$F$1:$AY$1,),))))</f>
        <v>3.5369774919614072E-2</v>
      </c>
      <c r="V321" s="13">
        <f>((((VLOOKUP(B321,Database!$F:$AY,MATCH($V$1,Database!$F$1:$AY$1,),))))-(((VLOOKUP(EDATE(B321,-12),Database!$F:$AY,MATCH($V$1,Database!$F$1:$AY$1,),)))))/(((VLOOKUP(EDATE(B321,-12),Database!$F:$AY,MATCH($V$1,Database!$F$1:$AY$1,),))))</f>
        <v>1.9067796610169462E-2</v>
      </c>
    </row>
    <row r="322" spans="1:22" s="85" customFormat="1" x14ac:dyDescent="0.2">
      <c r="A322" s="44"/>
      <c r="B322" s="91">
        <v>41944</v>
      </c>
      <c r="C322" s="13">
        <f>((((VLOOKUP(B322,Database!$F:$AY,MATCH($C$1,Database!$F$1:$AY$1,),))))-(((VLOOKUP(EDATE(B322,-12),Database!$F:$AY,MATCH($C$1,Database!$F$1:$AY$1,),)))))/(((VLOOKUP(EDATE(B322,-12),Database!$F:$AY,MATCH($C$1,Database!$F$1:$AY$1,),))))</f>
        <v>3.7199123397308159E-2</v>
      </c>
      <c r="D322" s="13">
        <f>((((VLOOKUP(B322,Database!$F:$AY,MATCH($D$1,Database!$F$1:$AY$1,),))))-(((VLOOKUP(EDATE(B322,-12),Database!$F:$AY,MATCH($D$1,Database!$F$1:$AY$1,),)))))/(((VLOOKUP(EDATE(B322,-12),Database!$F:$AY,MATCH($D$1,Database!$F$1:$AY$1,),))))</f>
        <v>-6.1601640601920138E-3</v>
      </c>
      <c r="E322" s="13">
        <f>((((VLOOKUP(B322,Database!$F:$AY,MATCH($E$1,Database!$F$1:$AY$1,),))))-(((VLOOKUP(EDATE(B322,-12),Database!$F:$AY,MATCH($E$1,Database!$F$1:$AY$1,),)))))/(((VLOOKUP(EDATE(B322,-12),Database!$F:$AY,MATCH($E$1,Database!$F$1:$AY$1,),))))</f>
        <v>-1.275768832532639E-2</v>
      </c>
      <c r="F322" s="13">
        <f>((((VLOOKUP(B322,Database!$F:$AY,MATCH($F$1,Database!$F$1:$AY$1,),))))-(((VLOOKUP(EDATE(B322,-12),Database!$F:$AY,MATCH($F$1,Database!$F$1:$AY$1,),)))))/(((VLOOKUP(EDATE(B322,-12),Database!$F:$AY,MATCH($F$1,Database!$F$1:$AY$1,),))))</f>
        <v>-3.0090769843426363E-3</v>
      </c>
      <c r="G322" s="13">
        <f>((((VLOOKUP(B322,Database!$F:$AY,MATCH($G$1,Database!$F$1:$AY$1,),))))-(((VLOOKUP(EDATE(B322,-12),Database!$F:$AY,MATCH($G$1,Database!$F$1:$AY$1,),)))))/(((VLOOKUP(EDATE(B322,-12),Database!$F:$AY,MATCH($G$1,Database!$F$1:$AY$1,),))))</f>
        <v>-4.0876647471793072E-2</v>
      </c>
      <c r="H322" s="13">
        <f>((((VLOOKUP(B322,Database!$F:$AY,MATCH($H$1,Database!$F$1:$AY$1,),))))-(((VLOOKUP(EDATE(B322,-12),Database!$F:$AY,MATCH($H$1,Database!$F$1:$AY$1,),)))))/(((VLOOKUP(EDATE(B322,-12),Database!$F:$AY,MATCH($H$1,Database!$F$1:$AY$1,),))))</f>
        <v>7.3453336695488312E-3</v>
      </c>
      <c r="I322" s="13">
        <f>((((VLOOKUP(B322,Database!$F:$AY,MATCH($I$1,Database!$F$1:$AY$1,),))))-(((VLOOKUP(EDATE(B322,-12),Database!$F:$AY,MATCH($I$1,Database!$F$1:$AY$1,),)))))/(((VLOOKUP(EDATE(B322,-12),Database!$F:$AY,MATCH($I$1,Database!$F$1:$AY$1,),))))</f>
        <v>-2.0040145627356405E-2</v>
      </c>
      <c r="J322" s="13">
        <f>((((VLOOKUP(B322,Database!$F:$AY,MATCH($J$1,Database!$F$1:$AY$1,),))))-(((VLOOKUP(EDATE(B322,-12),Database!$F:$AY,MATCH($J$1,Database!$F$1:$AY$1,),)))))/(((VLOOKUP(EDATE(B322,-12),Database!$F:$AY,MATCH($J$1,Database!$F$1:$AY$1,),))))</f>
        <v>-8.9044355271237932E-4</v>
      </c>
      <c r="K322" s="13">
        <f>((((VLOOKUP(B322,Database!$F:$AY,MATCH($K$1,Database!$F$1:$AY$1,),))))-(((VLOOKUP(EDATE(B322,-12),Database!$F:$AY,MATCH($K$1,Database!$F$1:$AY$1,),)))))/(((VLOOKUP(EDATE(B322,-12),Database!$F:$AY,MATCH($K$1,Database!$F$1:$AY$1,),))))</f>
        <v>-4.6046046046046125E-2</v>
      </c>
      <c r="L322" s="13">
        <f>((((VLOOKUP(B322,Database!$F:$AY,MATCH($L$1,Database!$F$1:$AY$1,),))))-(((VLOOKUP(EDATE(B322,-12),Database!$F:$AY,MATCH($L$1,Database!$F$1:$AY$1,),)))))/(((VLOOKUP(EDATE(B322,-12),Database!$F:$AY,MATCH($L$1,Database!$F$1:$AY$1,),))))</f>
        <v>2.7939733194219406E-2</v>
      </c>
      <c r="M322" s="13">
        <f>((((VLOOKUP(B322,Database!$F:$AY,MATCH($M$1,Database!$F$1:$AY$1,),))))-(((VLOOKUP(EDATE(B322,-12),Database!$F:$AY,MATCH($M$1,Database!$F$1:$AY$1,),)))))/(((VLOOKUP(EDATE(B322,-12),Database!$F:$AY,MATCH($M$1,Database!$F$1:$AY$1,),))))</f>
        <v>2.1966527196652812E-2</v>
      </c>
      <c r="N322" s="13">
        <f>((((VLOOKUP(B322,Database!$F:$AY,MATCH($N$1,Database!$F$1:$AY$1,),))))-(((VLOOKUP(EDATE(B322,-12),Database!$F:$AY,MATCH($N$1,Database!$F$1:$AY$1,),)))))/(((VLOOKUP(EDATE(B322,-12),Database!$F:$AY,MATCH($N$1,Database!$F$1:$AY$1,),))))</f>
        <v>7.3177394621178712E-2</v>
      </c>
      <c r="O322" s="13">
        <f>((((VLOOKUP(B322,Database!$F:$AY,MATCH($O$1,Database!$F$1:$AY$1,),))))-(((VLOOKUP(EDATE(B322,-12),Database!$F:$AY,MATCH($O$1,Database!$F$1:$AY$1,),)))))/(((VLOOKUP(EDATE(B322,-12),Database!$F:$AY,MATCH($O$1,Database!$F$1:$AY$1,),))))</f>
        <v>4.2208660306545451E-2</v>
      </c>
      <c r="P322" s="13">
        <f>((((VLOOKUP(B322,Database!$F:$AY,MATCH($P$1,Database!$F$1:$AY$1,),))))-(((VLOOKUP(EDATE(B322,-12),Database!$F:$AY,MATCH($P$1,Database!$F$1:$AY$1,),)))))/(((VLOOKUP(EDATE(B322,-12),Database!$F:$AY,MATCH($P$1,Database!$F$1:$AY$1,),))))</f>
        <v>-1.7127238657850204E-2</v>
      </c>
      <c r="Q322" s="13">
        <f>((((VLOOKUP(B322,Database!$F:$AY,MATCH($Q$1,Database!$F$1:$AY$1,),))))-(((VLOOKUP(EDATE(B322,-12),Database!$F:$AY,MATCH($Q$1,Database!$F$1:$AY$1,),)))))/(((VLOOKUP(EDATE(B322,-12),Database!$F:$AY,MATCH($Q$1,Database!$F$1:$AY$1,),))))</f>
        <v>-4.2718612687811519E-2</v>
      </c>
      <c r="R322" s="13">
        <f>((((VLOOKUP(B322,Database!$F:$AY,MATCH($R$1,Database!$F$1:$AY$1,),))))-(((VLOOKUP(EDATE(B322,-12),Database!$F:$AY,MATCH($R$1,Database!$F$1:$AY$1,),)))))/(((VLOOKUP(EDATE(B322,-12),Database!$F:$AY,MATCH($R$1,Database!$F$1:$AY$1,),))))</f>
        <v>3.0020698032894009E-2</v>
      </c>
      <c r="S322" s="13">
        <f>((((VLOOKUP(B322,Database!$F:$AY,MATCH($S$1,Database!$F$1:$AY$1,),))))-(((VLOOKUP(EDATE(B322,-12),Database!$F:$AY,MATCH($S$1,Database!$F$1:$AY$1,),)))))/(((VLOOKUP(EDATE(B322,-12),Database!$F:$AY,MATCH($S$1,Database!$F$1:$AY$1,),))))</f>
        <v>0.26150637234762186</v>
      </c>
      <c r="T322" s="13">
        <f>((((VLOOKUP(B322,Database!$F:$AY,MATCH($T$1,Database!$F$1:$AY$1,),))))-(((VLOOKUP(EDATE(B322,-12),Database!$F:$AY,MATCH($T$1,Database!$F$1:$AY$1,),)))))/(((VLOOKUP(EDATE(B322,-12),Database!$F:$AY,MATCH($T$1,Database!$F$1:$AY$1,),))))</f>
        <v>3.6836330134114088E-2</v>
      </c>
      <c r="U322" s="13">
        <f>((((VLOOKUP(B322,Database!$F:$AY,MATCH($U$1,Database!$F$1:$AY$1,),))))-(((VLOOKUP(EDATE(B322,-12),Database!$F:$AY,MATCH($U$1,Database!$F$1:$AY$1,),)))))/(((VLOOKUP(EDATE(B322,-12),Database!$F:$AY,MATCH($U$1,Database!$F$1:$AY$1,),))))</f>
        <v>4.7159735625819599E-2</v>
      </c>
      <c r="V322" s="13">
        <f>((((VLOOKUP(B322,Database!$F:$AY,MATCH($V$1,Database!$F$1:$AY$1,),))))-(((VLOOKUP(EDATE(B322,-12),Database!$F:$AY,MATCH($V$1,Database!$F$1:$AY$1,),)))))/(((VLOOKUP(EDATE(B322,-12),Database!$F:$AY,MATCH($V$1,Database!$F$1:$AY$1,),))))</f>
        <v>2.0811654526535156E-3</v>
      </c>
    </row>
    <row r="323" spans="1:22" s="85" customFormat="1" x14ac:dyDescent="0.2">
      <c r="A323" s="44"/>
      <c r="B323" s="91">
        <v>41974</v>
      </c>
      <c r="C323" s="13">
        <f>((((VLOOKUP(B323,Database!$F:$AY,MATCH($C$1,Database!$F$1:$AY$1,),))))-(((VLOOKUP(EDATE(B323,-12),Database!$F:$AY,MATCH($C$1,Database!$F$1:$AY$1,),)))))/(((VLOOKUP(EDATE(B323,-12),Database!$F:$AY,MATCH($C$1,Database!$F$1:$AY$1,),))))</f>
        <v>3.2555103134998042E-2</v>
      </c>
      <c r="D323" s="13">
        <f>((((VLOOKUP(B323,Database!$F:$AY,MATCH($D$1,Database!$F$1:$AY$1,),))))-(((VLOOKUP(EDATE(B323,-12),Database!$F:$AY,MATCH($D$1,Database!$F$1:$AY$1,),)))))/(((VLOOKUP(EDATE(B323,-12),Database!$F:$AY,MATCH($D$1,Database!$F$1:$AY$1,),))))</f>
        <v>9.259362157067224E-3</v>
      </c>
      <c r="E323" s="13">
        <f>((((VLOOKUP(B323,Database!$F:$AY,MATCH($E$1,Database!$F$1:$AY$1,),))))-(((VLOOKUP(EDATE(B323,-12),Database!$F:$AY,MATCH($E$1,Database!$F$1:$AY$1,),)))))/(((VLOOKUP(EDATE(B323,-12),Database!$F:$AY,MATCH($E$1,Database!$F$1:$AY$1,),))))</f>
        <v>-1.6682451431179208E-2</v>
      </c>
      <c r="F323" s="13">
        <f>((((VLOOKUP(B323,Database!$F:$AY,MATCH($F$1,Database!$F$1:$AY$1,),))))-(((VLOOKUP(EDATE(B323,-12),Database!$F:$AY,MATCH($F$1,Database!$F$1:$AY$1,),)))))/(((VLOOKUP(EDATE(B323,-12),Database!$F:$AY,MATCH($F$1,Database!$F$1:$AY$1,),))))</f>
        <v>1.3026234950024366E-2</v>
      </c>
      <c r="G323" s="13">
        <f>((((VLOOKUP(B323,Database!$F:$AY,MATCH($G$1,Database!$F$1:$AY$1,),))))-(((VLOOKUP(EDATE(B323,-12),Database!$F:$AY,MATCH($G$1,Database!$F$1:$AY$1,),)))))/(((VLOOKUP(EDATE(B323,-12),Database!$F:$AY,MATCH($G$1,Database!$F$1:$AY$1,),))))</f>
        <v>-1.7081851105944525E-3</v>
      </c>
      <c r="H323" s="13">
        <f>((((VLOOKUP(B323,Database!$F:$AY,MATCH($H$1,Database!$F$1:$AY$1,),))))-(((VLOOKUP(EDATE(B323,-12),Database!$F:$AY,MATCH($H$1,Database!$F$1:$AY$1,),)))))/(((VLOOKUP(EDATE(B323,-12),Database!$F:$AY,MATCH($H$1,Database!$F$1:$AY$1,),))))</f>
        <v>9.4438849273506785E-3</v>
      </c>
      <c r="I323" s="13">
        <f>((((VLOOKUP(B323,Database!$F:$AY,MATCH($I$1,Database!$F$1:$AY$1,),))))-(((VLOOKUP(EDATE(B323,-12),Database!$F:$AY,MATCH($I$1,Database!$F$1:$AY$1,),)))))/(((VLOOKUP(EDATE(B323,-12),Database!$F:$AY,MATCH($I$1,Database!$F$1:$AY$1,),))))</f>
        <v>1.0132557152434728E-3</v>
      </c>
      <c r="J323" s="13">
        <f>((((VLOOKUP(B323,Database!$F:$AY,MATCH($J$1,Database!$F$1:$AY$1,),))))-(((VLOOKUP(EDATE(B323,-12),Database!$F:$AY,MATCH($J$1,Database!$F$1:$AY$1,),)))))/(((VLOOKUP(EDATE(B323,-12),Database!$F:$AY,MATCH($J$1,Database!$F$1:$AY$1,),))))</f>
        <v>8.0616755386442567E-4</v>
      </c>
      <c r="K323" s="13">
        <f>((((VLOOKUP(B323,Database!$F:$AY,MATCH($K$1,Database!$F$1:$AY$1,),))))-(((VLOOKUP(EDATE(B323,-12),Database!$F:$AY,MATCH($K$1,Database!$F$1:$AY$1,),)))))/(((VLOOKUP(EDATE(B323,-12),Database!$F:$AY,MATCH($K$1,Database!$F$1:$AY$1,),))))</f>
        <v>-1.0030090270812437E-2</v>
      </c>
      <c r="L323" s="13">
        <f>((((VLOOKUP(B323,Database!$F:$AY,MATCH($L$1,Database!$F$1:$AY$1,),))))-(((VLOOKUP(EDATE(B323,-12),Database!$F:$AY,MATCH($L$1,Database!$F$1:$AY$1,),)))))/(((VLOOKUP(EDATE(B323,-12),Database!$F:$AY,MATCH($L$1,Database!$F$1:$AY$1,),))))</f>
        <v>2.6686451061725038E-2</v>
      </c>
      <c r="M323" s="13">
        <f>((((VLOOKUP(B323,Database!$F:$AY,MATCH($M$1,Database!$F$1:$AY$1,),))))-(((VLOOKUP(EDATE(B323,-12),Database!$F:$AY,MATCH($M$1,Database!$F$1:$AY$1,),)))))/(((VLOOKUP(EDATE(B323,-12),Database!$F:$AY,MATCH($M$1,Database!$F$1:$AY$1,),))))</f>
        <v>4.4652128764278272E-2</v>
      </c>
      <c r="N323" s="13">
        <f>((((VLOOKUP(B323,Database!$F:$AY,MATCH($N$1,Database!$F$1:$AY$1,),))))-(((VLOOKUP(EDATE(B323,-12),Database!$F:$AY,MATCH($N$1,Database!$F$1:$AY$1,),)))))/(((VLOOKUP(EDATE(B323,-12),Database!$F:$AY,MATCH($N$1,Database!$F$1:$AY$1,),))))</f>
        <v>4.1378476060849032E-2</v>
      </c>
      <c r="O323" s="13">
        <f>((((VLOOKUP(B323,Database!$F:$AY,MATCH($O$1,Database!$F$1:$AY$1,),))))-(((VLOOKUP(EDATE(B323,-12),Database!$F:$AY,MATCH($O$1,Database!$F$1:$AY$1,),)))))/(((VLOOKUP(EDATE(B323,-12),Database!$F:$AY,MATCH($O$1,Database!$F$1:$AY$1,),))))</f>
        <v>5.555168898756508E-2</v>
      </c>
      <c r="P323" s="13">
        <f>((((VLOOKUP(B323,Database!$F:$AY,MATCH($P$1,Database!$F$1:$AY$1,),))))-(((VLOOKUP(EDATE(B323,-12),Database!$F:$AY,MATCH($P$1,Database!$F$1:$AY$1,),)))))/(((VLOOKUP(EDATE(B323,-12),Database!$F:$AY,MATCH($P$1,Database!$F$1:$AY$1,),))))</f>
        <v>-2.2561838065339231E-3</v>
      </c>
      <c r="Q323" s="13">
        <f>((((VLOOKUP(B323,Database!$F:$AY,MATCH($Q$1,Database!$F$1:$AY$1,),))))-(((VLOOKUP(EDATE(B323,-12),Database!$F:$AY,MATCH($Q$1,Database!$F$1:$AY$1,),)))))/(((VLOOKUP(EDATE(B323,-12),Database!$F:$AY,MATCH($Q$1,Database!$F$1:$AY$1,),))))</f>
        <v>-3.6363035867626653E-2</v>
      </c>
      <c r="R323" s="13">
        <f>((((VLOOKUP(B323,Database!$F:$AY,MATCH($R$1,Database!$F$1:$AY$1,),))))-(((VLOOKUP(EDATE(B323,-12),Database!$F:$AY,MATCH($R$1,Database!$F$1:$AY$1,),)))))/(((VLOOKUP(EDATE(B323,-12),Database!$F:$AY,MATCH($R$1,Database!$F$1:$AY$1,),))))</f>
        <v>-2.8112480075927839E-2</v>
      </c>
      <c r="S323" s="13">
        <f>((((VLOOKUP(B323,Database!$F:$AY,MATCH($S$1,Database!$F$1:$AY$1,),))))-(((VLOOKUP(EDATE(B323,-12),Database!$F:$AY,MATCH($S$1,Database!$F$1:$AY$1,),)))))/(((VLOOKUP(EDATE(B323,-12),Database!$F:$AY,MATCH($S$1,Database!$F$1:$AY$1,),))))</f>
        <v>0.12765957446808526</v>
      </c>
      <c r="T323" s="13">
        <f>((((VLOOKUP(B323,Database!$F:$AY,MATCH($T$1,Database!$F$1:$AY$1,),))))-(((VLOOKUP(EDATE(B323,-12),Database!$F:$AY,MATCH($T$1,Database!$F$1:$AY$1,),)))))/(((VLOOKUP(EDATE(B323,-12),Database!$F:$AY,MATCH($T$1,Database!$F$1:$AY$1,),))))</f>
        <v>4.1394299198135739E-2</v>
      </c>
      <c r="U323" s="13">
        <f>((((VLOOKUP(B323,Database!$F:$AY,MATCH($U$1,Database!$F$1:$AY$1,),))))-(((VLOOKUP(EDATE(B323,-12),Database!$F:$AY,MATCH($U$1,Database!$F$1:$AY$1,),)))))/(((VLOOKUP(EDATE(B323,-12),Database!$F:$AY,MATCH($U$1,Database!$F$1:$AY$1,),))))</f>
        <v>4.9788169151490994E-2</v>
      </c>
      <c r="V323" s="13">
        <f>((((VLOOKUP(B323,Database!$F:$AY,MATCH($V$1,Database!$F$1:$AY$1,),))))-(((VLOOKUP(EDATE(B323,-12),Database!$F:$AY,MATCH($V$1,Database!$F$1:$AY$1,),)))))/(((VLOOKUP(EDATE(B323,-12),Database!$F:$AY,MATCH($V$1,Database!$F$1:$AY$1,),))))</f>
        <v>5.615550755939528E-2</v>
      </c>
    </row>
    <row r="324" spans="1:22" s="85" customFormat="1" x14ac:dyDescent="0.2">
      <c r="A324" s="44"/>
      <c r="B324" s="91">
        <v>42005</v>
      </c>
      <c r="C324" s="13">
        <f>((((VLOOKUP(B324,Database!$F:$AY,MATCH($C$1,Database!$F$1:$AY$1,),))))-(((VLOOKUP(EDATE(B324,-12),Database!$F:$AY,MATCH($C$1,Database!$F$1:$AY$1,),)))))/(((VLOOKUP(EDATE(B324,-12),Database!$F:$AY,MATCH($C$1,Database!$F$1:$AY$1,),))))</f>
        <v>3.1726726416276128E-2</v>
      </c>
      <c r="D324" s="13">
        <f>((((VLOOKUP(B324,Database!$F:$AY,MATCH($D$1,Database!$F$1:$AY$1,),))))-(((VLOOKUP(EDATE(B324,-12),Database!$F:$AY,MATCH($D$1,Database!$F$1:$AY$1,),)))))/(((VLOOKUP(EDATE(B324,-12),Database!$F:$AY,MATCH($D$1,Database!$F$1:$AY$1,),))))</f>
        <v>9.2879256965944356E-3</v>
      </c>
      <c r="E324" s="13">
        <f>((((VLOOKUP(B324,Database!$F:$AY,MATCH($E$1,Database!$F$1:$AY$1,),))))-(((VLOOKUP(EDATE(B324,-12),Database!$F:$AY,MATCH($E$1,Database!$F$1:$AY$1,),)))))/(((VLOOKUP(EDATE(B324,-12),Database!$F:$AY,MATCH($E$1,Database!$F$1:$AY$1,),))))</f>
        <v>-8.6879798902224654E-3</v>
      </c>
      <c r="F324" s="13">
        <f>((((VLOOKUP(B324,Database!$F:$AY,MATCH($F$1,Database!$F$1:$AY$1,),))))-(((VLOOKUP(EDATE(B324,-12),Database!$F:$AY,MATCH($F$1,Database!$F$1:$AY$1,),)))))/(((VLOOKUP(EDATE(B324,-12),Database!$F:$AY,MATCH($F$1,Database!$F$1:$AY$1,),))))</f>
        <v>-4.0282307499325083E-3</v>
      </c>
      <c r="G324" s="13">
        <f>((((VLOOKUP(B324,Database!$F:$AY,MATCH($G$1,Database!$F$1:$AY$1,),))))-(((VLOOKUP(EDATE(B324,-12),Database!$F:$AY,MATCH($G$1,Database!$F$1:$AY$1,),)))))/(((VLOOKUP(EDATE(B324,-12),Database!$F:$AY,MATCH($G$1,Database!$F$1:$AY$1,),))))</f>
        <v>1.6237815026244121E-2</v>
      </c>
      <c r="H324" s="13">
        <f>((((VLOOKUP(B324,Database!$F:$AY,MATCH($H$1,Database!$F$1:$AY$1,),))))-(((VLOOKUP(EDATE(B324,-12),Database!$F:$AY,MATCH($H$1,Database!$F$1:$AY$1,),)))))/(((VLOOKUP(EDATE(B324,-12),Database!$F:$AY,MATCH($H$1,Database!$F$1:$AY$1,),))))</f>
        <v>1.0459828445514431E-3</v>
      </c>
      <c r="I324" s="13">
        <f>((((VLOOKUP(B324,Database!$F:$AY,MATCH($I$1,Database!$F$1:$AY$1,),))))-(((VLOOKUP(EDATE(B324,-12),Database!$F:$AY,MATCH($I$1,Database!$F$1:$AY$1,),)))))/(((VLOOKUP(EDATE(B324,-12),Database!$F:$AY,MATCH($I$1,Database!$F$1:$AY$1,),))))</f>
        <v>-2.0915992971523502E-2</v>
      </c>
      <c r="J324" s="13">
        <f>((((VLOOKUP(B324,Database!$F:$AY,MATCH($J$1,Database!$F$1:$AY$1,),))))-(((VLOOKUP(EDATE(B324,-12),Database!$F:$AY,MATCH($J$1,Database!$F$1:$AY$1,),)))))/(((VLOOKUP(EDATE(B324,-12),Database!$F:$AY,MATCH($J$1,Database!$F$1:$AY$1,),))))</f>
        <v>3.3046009160892695E-3</v>
      </c>
      <c r="K324" s="13">
        <f>((((VLOOKUP(B324,Database!$F:$AY,MATCH($K$1,Database!$F$1:$AY$1,),))))-(((VLOOKUP(EDATE(B324,-12),Database!$F:$AY,MATCH($K$1,Database!$F$1:$AY$1,),)))))/(((VLOOKUP(EDATE(B324,-12),Database!$F:$AY,MATCH($K$1,Database!$F$1:$AY$1,),))))</f>
        <v>-4.8241206030150724E-2</v>
      </c>
      <c r="L324" s="13">
        <f>((((VLOOKUP(B324,Database!$F:$AY,MATCH($L$1,Database!$F$1:$AY$1,),))))-(((VLOOKUP(EDATE(B324,-12),Database!$F:$AY,MATCH($L$1,Database!$F$1:$AY$1,),)))))/(((VLOOKUP(EDATE(B324,-12),Database!$F:$AY,MATCH($L$1,Database!$F$1:$AY$1,),))))</f>
        <v>1.8674748212973939E-2</v>
      </c>
      <c r="M324" s="13">
        <f>((((VLOOKUP(B324,Database!$F:$AY,MATCH($M$1,Database!$F$1:$AY$1,),))))-(((VLOOKUP(EDATE(B324,-12),Database!$F:$AY,MATCH($M$1,Database!$F$1:$AY$1,),)))))/(((VLOOKUP(EDATE(B324,-12),Database!$F:$AY,MATCH($M$1,Database!$F$1:$AY$1,),))))</f>
        <v>0.1201334816462736</v>
      </c>
      <c r="N324" s="13">
        <f>((((VLOOKUP(B324,Database!$F:$AY,MATCH($N$1,Database!$F$1:$AY$1,),))))-(((VLOOKUP(EDATE(B324,-12),Database!$F:$AY,MATCH($N$1,Database!$F$1:$AY$1,),)))))/(((VLOOKUP(EDATE(B324,-12),Database!$F:$AY,MATCH($N$1,Database!$F$1:$AY$1,),))))</f>
        <v>2.2682475367707004E-2</v>
      </c>
      <c r="O324" s="13">
        <f>((((VLOOKUP(B324,Database!$F:$AY,MATCH($O$1,Database!$F$1:$AY$1,),))))-(((VLOOKUP(EDATE(B324,-12),Database!$F:$AY,MATCH($O$1,Database!$F$1:$AY$1,),)))))/(((VLOOKUP(EDATE(B324,-12),Database!$F:$AY,MATCH($O$1,Database!$F$1:$AY$1,),))))</f>
        <v>4.4655796588130028E-2</v>
      </c>
      <c r="P324" s="13">
        <f>((((VLOOKUP(B324,Database!$F:$AY,MATCH($P$1,Database!$F$1:$AY$1,),))))-(((VLOOKUP(EDATE(B324,-12),Database!$F:$AY,MATCH($P$1,Database!$F$1:$AY$1,),)))))/(((VLOOKUP(EDATE(B324,-12),Database!$F:$AY,MATCH($P$1,Database!$F$1:$AY$1,),))))</f>
        <v>-3.9313865088710667E-2</v>
      </c>
      <c r="Q324" s="13">
        <f>((((VLOOKUP(B324,Database!$F:$AY,MATCH($Q$1,Database!$F$1:$AY$1,),))))-(((VLOOKUP(EDATE(B324,-12),Database!$F:$AY,MATCH($Q$1,Database!$F$1:$AY$1,),)))))/(((VLOOKUP(EDATE(B324,-12),Database!$F:$AY,MATCH($Q$1,Database!$F$1:$AY$1,),))))</f>
        <v>-4.5725764586389814E-2</v>
      </c>
      <c r="R324" s="13">
        <f>((((VLOOKUP(B324,Database!$F:$AY,MATCH($R$1,Database!$F$1:$AY$1,),))))-(((VLOOKUP(EDATE(B324,-12),Database!$F:$AY,MATCH($R$1,Database!$F$1:$AY$1,),)))))/(((VLOOKUP(EDATE(B324,-12),Database!$F:$AY,MATCH($R$1,Database!$F$1:$AY$1,),))))</f>
        <v>6.1538379391450782E-3</v>
      </c>
      <c r="S324" s="13">
        <f>((((VLOOKUP(B324,Database!$F:$AY,MATCH($S$1,Database!$F$1:$AY$1,),))))-(((VLOOKUP(EDATE(B324,-12),Database!$F:$AY,MATCH($S$1,Database!$F$1:$AY$1,),)))))/(((VLOOKUP(EDATE(B324,-12),Database!$F:$AY,MATCH($S$1,Database!$F$1:$AY$1,),))))</f>
        <v>0.19798314446502874</v>
      </c>
      <c r="T324" s="13">
        <f>((((VLOOKUP(B324,Database!$F:$AY,MATCH($T$1,Database!$F$1:$AY$1,),))))-(((VLOOKUP(EDATE(B324,-12),Database!$F:$AY,MATCH($T$1,Database!$F$1:$AY$1,),)))))/(((VLOOKUP(EDATE(B324,-12),Database!$F:$AY,MATCH($T$1,Database!$F$1:$AY$1,),))))</f>
        <v>0</v>
      </c>
      <c r="U324" s="13">
        <f>((((VLOOKUP(B324,Database!$F:$AY,MATCH($U$1,Database!$F$1:$AY$1,),))))-(((VLOOKUP(EDATE(B324,-12),Database!$F:$AY,MATCH($U$1,Database!$F$1:$AY$1,),)))))/(((VLOOKUP(EDATE(B324,-12),Database!$F:$AY,MATCH($U$1,Database!$F$1:$AY$1,),))))</f>
        <v>5.3590603793022225E-2</v>
      </c>
      <c r="V324" s="13">
        <f>((((VLOOKUP(B324,Database!$F:$AY,MATCH($V$1,Database!$F$1:$AY$1,),))))-(((VLOOKUP(EDATE(B324,-12),Database!$F:$AY,MATCH($V$1,Database!$F$1:$AY$1,),)))))/(((VLOOKUP(EDATE(B324,-12),Database!$F:$AY,MATCH($V$1,Database!$F$1:$AY$1,),))))</f>
        <v>4.1182682154170973E-2</v>
      </c>
    </row>
    <row r="325" spans="1:22" s="85" customFormat="1" x14ac:dyDescent="0.2">
      <c r="A325" s="44"/>
      <c r="B325" s="91">
        <v>42036</v>
      </c>
      <c r="C325" s="13">
        <f>((((VLOOKUP(B325,Database!$F:$AY,MATCH($C$1,Database!$F$1:$AY$1,),))))-(((VLOOKUP(EDATE(B325,-12),Database!$F:$AY,MATCH($C$1,Database!$F$1:$AY$1,),)))))/(((VLOOKUP(EDATE(B325,-12),Database!$F:$AY,MATCH($C$1,Database!$F$1:$AY$1,),))))</f>
        <v>1.7865983416015963E-2</v>
      </c>
      <c r="D325" s="13">
        <f>((((VLOOKUP(B325,Database!$F:$AY,MATCH($D$1,Database!$F$1:$AY$1,),))))-(((VLOOKUP(EDATE(B325,-12),Database!$F:$AY,MATCH($D$1,Database!$F$1:$AY$1,),)))))/(((VLOOKUP(EDATE(B325,-12),Database!$F:$AY,MATCH($D$1,Database!$F$1:$AY$1,),))))</f>
        <v>2.6639379330960191E-2</v>
      </c>
      <c r="E325" s="13">
        <f>((((VLOOKUP(B325,Database!$F:$AY,MATCH($E$1,Database!$F$1:$AY$1,),))))-(((VLOOKUP(EDATE(B325,-12),Database!$F:$AY,MATCH($E$1,Database!$F$1:$AY$1,),)))))/(((VLOOKUP(EDATE(B325,-12),Database!$F:$AY,MATCH($E$1,Database!$F$1:$AY$1,),))))</f>
        <v>-3.0126035800854122E-2</v>
      </c>
      <c r="F325" s="13">
        <f>((((VLOOKUP(B325,Database!$F:$AY,MATCH($F$1,Database!$F$1:$AY$1,),))))-(((VLOOKUP(EDATE(B325,-12),Database!$F:$AY,MATCH($F$1,Database!$F$1:$AY$1,),)))))/(((VLOOKUP(EDATE(B325,-12),Database!$F:$AY,MATCH($F$1,Database!$F$1:$AY$1,),))))</f>
        <v>0</v>
      </c>
      <c r="G325" s="13">
        <f>((((VLOOKUP(B325,Database!$F:$AY,MATCH($G$1,Database!$F$1:$AY$1,),))))-(((VLOOKUP(EDATE(B325,-12),Database!$F:$AY,MATCH($G$1,Database!$F$1:$AY$1,),)))))/(((VLOOKUP(EDATE(B325,-12),Database!$F:$AY,MATCH($G$1,Database!$F$1:$AY$1,),))))</f>
        <v>6.2339349002920267E-3</v>
      </c>
      <c r="H325" s="13">
        <f>((((VLOOKUP(B325,Database!$F:$AY,MATCH($H$1,Database!$F$1:$AY$1,),))))-(((VLOOKUP(EDATE(B325,-12),Database!$F:$AY,MATCH($H$1,Database!$F$1:$AY$1,),)))))/(((VLOOKUP(EDATE(B325,-12),Database!$F:$AY,MATCH($H$1,Database!$F$1:$AY$1,),))))</f>
        <v>3.124973976943998E-3</v>
      </c>
      <c r="I325" s="13">
        <f>((((VLOOKUP(B325,Database!$F:$AY,MATCH($I$1,Database!$F$1:$AY$1,),))))-(((VLOOKUP(EDATE(B325,-12),Database!$F:$AY,MATCH($I$1,Database!$F$1:$AY$1,),)))))/(((VLOOKUP(EDATE(B325,-12),Database!$F:$AY,MATCH($I$1,Database!$F$1:$AY$1,),))))</f>
        <v>-4.0160977270193819E-3</v>
      </c>
      <c r="J325" s="13">
        <f>((((VLOOKUP(B325,Database!$F:$AY,MATCH($J$1,Database!$F$1:$AY$1,),))))-(((VLOOKUP(EDATE(B325,-12),Database!$F:$AY,MATCH($J$1,Database!$F$1:$AY$1,),)))))/(((VLOOKUP(EDATE(B325,-12),Database!$F:$AY,MATCH($J$1,Database!$F$1:$AY$1,),))))</f>
        <v>1.0654481340671091E-2</v>
      </c>
      <c r="K325" s="13">
        <f>((((VLOOKUP(B325,Database!$F:$AY,MATCH($K$1,Database!$F$1:$AY$1,),))))-(((VLOOKUP(EDATE(B325,-12),Database!$F:$AY,MATCH($K$1,Database!$F$1:$AY$1,),)))))/(((VLOOKUP(EDATE(B325,-12),Database!$F:$AY,MATCH($K$1,Database!$F$1:$AY$1,),))))</f>
        <v>-4.1041041041041122E-2</v>
      </c>
      <c r="L325" s="13">
        <f>((((VLOOKUP(B325,Database!$F:$AY,MATCH($L$1,Database!$F$1:$AY$1,),))))-(((VLOOKUP(EDATE(B325,-12),Database!$F:$AY,MATCH($L$1,Database!$F$1:$AY$1,),)))))/(((VLOOKUP(EDATE(B325,-12),Database!$F:$AY,MATCH($L$1,Database!$F$1:$AY$1,),))))</f>
        <v>2.0366265033318509E-2</v>
      </c>
      <c r="M325" s="13">
        <f>((((VLOOKUP(B325,Database!$F:$AY,MATCH($M$1,Database!$F$1:$AY$1,),))))-(((VLOOKUP(EDATE(B325,-12),Database!$F:$AY,MATCH($M$1,Database!$F$1:$AY$1,),)))))/(((VLOOKUP(EDATE(B325,-12),Database!$F:$AY,MATCH($M$1,Database!$F$1:$AY$1,),))))</f>
        <v>7.7753779697624231E-2</v>
      </c>
      <c r="N325" s="13">
        <f>((((VLOOKUP(B325,Database!$F:$AY,MATCH($N$1,Database!$F$1:$AY$1,),))))-(((VLOOKUP(EDATE(B325,-12),Database!$F:$AY,MATCH($N$1,Database!$F$1:$AY$1,),)))))/(((VLOOKUP(EDATE(B325,-12),Database!$F:$AY,MATCH($N$1,Database!$F$1:$AY$1,),))))</f>
        <v>3.0412094729915084E-2</v>
      </c>
      <c r="O325" s="13">
        <f>((((VLOOKUP(B325,Database!$F:$AY,MATCH($O$1,Database!$F$1:$AY$1,),))))-(((VLOOKUP(EDATE(B325,-12),Database!$F:$AY,MATCH($O$1,Database!$F$1:$AY$1,),)))))/(((VLOOKUP(EDATE(B325,-12),Database!$F:$AY,MATCH($O$1,Database!$F$1:$AY$1,),))))</f>
        <v>1.9122100814145615E-2</v>
      </c>
      <c r="P325" s="13">
        <f>((((VLOOKUP(B325,Database!$F:$AY,MATCH($P$1,Database!$F$1:$AY$1,),))))-(((VLOOKUP(EDATE(B325,-12),Database!$F:$AY,MATCH($P$1,Database!$F$1:$AY$1,),)))))/(((VLOOKUP(EDATE(B325,-12),Database!$F:$AY,MATCH($P$1,Database!$F$1:$AY$1,),))))</f>
        <v>3.9820172102790052E-4</v>
      </c>
      <c r="Q325" s="13">
        <f>((((VLOOKUP(B325,Database!$F:$AY,MATCH($Q$1,Database!$F$1:$AY$1,),))))-(((VLOOKUP(EDATE(B325,-12),Database!$F:$AY,MATCH($Q$1,Database!$F$1:$AY$1,),)))))/(((VLOOKUP(EDATE(B325,-12),Database!$F:$AY,MATCH($Q$1,Database!$F$1:$AY$1,),))))</f>
        <v>-5.6268447421933467E-2</v>
      </c>
      <c r="R325" s="13">
        <f>((((VLOOKUP(B325,Database!$F:$AY,MATCH($R$1,Database!$F$1:$AY$1,),))))-(((VLOOKUP(EDATE(B325,-12),Database!$F:$AY,MATCH($R$1,Database!$F$1:$AY$1,),)))))/(((VLOOKUP(EDATE(B325,-12),Database!$F:$AY,MATCH($R$1,Database!$F$1:$AY$1,),))))</f>
        <v>2.0040387746441943E-2</v>
      </c>
      <c r="S325" s="13">
        <f>((((VLOOKUP(B325,Database!$F:$AY,MATCH($S$1,Database!$F$1:$AY$1,),))))-(((VLOOKUP(EDATE(B325,-12),Database!$F:$AY,MATCH($S$1,Database!$F$1:$AY$1,),)))))/(((VLOOKUP(EDATE(B325,-12),Database!$F:$AY,MATCH($S$1,Database!$F$1:$AY$1,),))))</f>
        <v>0.58564470337111052</v>
      </c>
      <c r="T325" s="13">
        <f>((((VLOOKUP(B325,Database!$F:$AY,MATCH($T$1,Database!$F$1:$AY$1,),))))-(((VLOOKUP(EDATE(B325,-12),Database!$F:$AY,MATCH($T$1,Database!$F$1:$AY$1,),)))))/(((VLOOKUP(EDATE(B325,-12),Database!$F:$AY,MATCH($T$1,Database!$F$1:$AY$1,),))))</f>
        <v>9.5440616789479772E-3</v>
      </c>
      <c r="U325" s="13">
        <f>((((VLOOKUP(B325,Database!$F:$AY,MATCH($U$1,Database!$F$1:$AY$1,),))))-(((VLOOKUP(EDATE(B325,-12),Database!$F:$AY,MATCH($U$1,Database!$F$1:$AY$1,),)))))/(((VLOOKUP(EDATE(B325,-12),Database!$F:$AY,MATCH($U$1,Database!$F$1:$AY$1,),))))</f>
        <v>4.7669489841898484E-2</v>
      </c>
      <c r="V325" s="13">
        <f>((((VLOOKUP(B325,Database!$F:$AY,MATCH($V$1,Database!$F$1:$AY$1,),))))-(((VLOOKUP(EDATE(B325,-12),Database!$F:$AY,MATCH($V$1,Database!$F$1:$AY$1,),)))))/(((VLOOKUP(EDATE(B325,-12),Database!$F:$AY,MATCH($V$1,Database!$F$1:$AY$1,),))))</f>
        <v>5.0847457627118613E-2</v>
      </c>
    </row>
    <row r="326" spans="1:22" s="85" customFormat="1" x14ac:dyDescent="0.2">
      <c r="A326" s="44"/>
      <c r="B326" s="91">
        <v>42064</v>
      </c>
      <c r="C326" s="13">
        <f>((((VLOOKUP(B326,Database!$F:$AY,MATCH($C$1,Database!$F$1:$AY$1,),))))-(((VLOOKUP(EDATE(B326,-12),Database!$F:$AY,MATCH($C$1,Database!$F$1:$AY$1,),)))))/(((VLOOKUP(EDATE(B326,-12),Database!$F:$AY,MATCH($C$1,Database!$F$1:$AY$1,),))))</f>
        <v>5.3305540789937243E-3</v>
      </c>
      <c r="D326" s="13">
        <f>((((VLOOKUP(B326,Database!$F:$AY,MATCH($D$1,Database!$F$1:$AY$1,),))))-(((VLOOKUP(EDATE(B326,-12),Database!$F:$AY,MATCH($D$1,Database!$F$1:$AY$1,),)))))/(((VLOOKUP(EDATE(B326,-12),Database!$F:$AY,MATCH($D$1,Database!$F$1:$AY$1,),))))</f>
        <v>3.8144193727964772E-2</v>
      </c>
      <c r="E326" s="13">
        <f>((((VLOOKUP(B326,Database!$F:$AY,MATCH($E$1,Database!$F$1:$AY$1,),))))-(((VLOOKUP(EDATE(B326,-12),Database!$F:$AY,MATCH($E$1,Database!$F$1:$AY$1,),)))))/(((VLOOKUP(EDATE(B326,-12),Database!$F:$AY,MATCH($E$1,Database!$F$1:$AY$1,),))))</f>
        <v>-4.7938514526139814E-2</v>
      </c>
      <c r="F326" s="13">
        <f>((((VLOOKUP(B326,Database!$F:$AY,MATCH($F$1,Database!$F$1:$AY$1,),))))-(((VLOOKUP(EDATE(B326,-12),Database!$F:$AY,MATCH($F$1,Database!$F$1:$AY$1,),)))))/(((VLOOKUP(EDATE(B326,-12),Database!$F:$AY,MATCH($F$1,Database!$F$1:$AY$1,),))))</f>
        <v>-4.0080491672201983E-3</v>
      </c>
      <c r="G326" s="13">
        <f>((((VLOOKUP(B326,Database!$F:$AY,MATCH($G$1,Database!$F$1:$AY$1,),))))-(((VLOOKUP(EDATE(B326,-12),Database!$F:$AY,MATCH($G$1,Database!$F$1:$AY$1,),)))))/(((VLOOKUP(EDATE(B326,-12),Database!$F:$AY,MATCH($G$1,Database!$F$1:$AY$1,),))))</f>
        <v>1.1142531925633062E-2</v>
      </c>
      <c r="H326" s="13">
        <f>((((VLOOKUP(B326,Database!$F:$AY,MATCH($H$1,Database!$F$1:$AY$1,),))))-(((VLOOKUP(EDATE(B326,-12),Database!$F:$AY,MATCH($H$1,Database!$F$1:$AY$1,),)))))/(((VLOOKUP(EDATE(B326,-12),Database!$F:$AY,MATCH($H$1,Database!$F$1:$AY$1,),))))</f>
        <v>1.1494090917096687E-2</v>
      </c>
      <c r="I326" s="13">
        <f>((((VLOOKUP(B326,Database!$F:$AY,MATCH($I$1,Database!$F$1:$AY$1,),))))-(((VLOOKUP(EDATE(B326,-12),Database!$F:$AY,MATCH($I$1,Database!$F$1:$AY$1,),)))))/(((VLOOKUP(EDATE(B326,-12),Database!$F:$AY,MATCH($I$1,Database!$F$1:$AY$1,),))))</f>
        <v>1.0152318279523634E-2</v>
      </c>
      <c r="J326" s="13">
        <f>((((VLOOKUP(B326,Database!$F:$AY,MATCH($J$1,Database!$F$1:$AY$1,),))))-(((VLOOKUP(EDATE(B326,-12),Database!$F:$AY,MATCH($J$1,Database!$F$1:$AY$1,),)))))/(((VLOOKUP(EDATE(B326,-12),Database!$F:$AY,MATCH($J$1,Database!$F$1:$AY$1,),))))</f>
        <v>2.6078535962830721E-2</v>
      </c>
      <c r="K326" s="13">
        <f>((((VLOOKUP(B326,Database!$F:$AY,MATCH($K$1,Database!$F$1:$AY$1,),))))-(((VLOOKUP(EDATE(B326,-12),Database!$F:$AY,MATCH($K$1,Database!$F$1:$AY$1,),)))))/(((VLOOKUP(EDATE(B326,-12),Database!$F:$AY,MATCH($K$1,Database!$F$1:$AY$1,),))))</f>
        <v>-9.2592592592593177E-3</v>
      </c>
      <c r="L326" s="13">
        <f>((((VLOOKUP(B326,Database!$F:$AY,MATCH($L$1,Database!$F$1:$AY$1,),))))-(((VLOOKUP(EDATE(B326,-12),Database!$F:$AY,MATCH($L$1,Database!$F$1:$AY$1,),)))))/(((VLOOKUP(EDATE(B326,-12),Database!$F:$AY,MATCH($L$1,Database!$F$1:$AY$1,),))))</f>
        <v>1.783586770540652E-2</v>
      </c>
      <c r="M326" s="13">
        <f>((((VLOOKUP(B326,Database!$F:$AY,MATCH($M$1,Database!$F$1:$AY$1,),))))-(((VLOOKUP(EDATE(B326,-12),Database!$F:$AY,MATCH($M$1,Database!$F$1:$AY$1,),)))))/(((VLOOKUP(EDATE(B326,-12),Database!$F:$AY,MATCH($M$1,Database!$F$1:$AY$1,),))))</f>
        <v>8.4967320261437884E-2</v>
      </c>
      <c r="N326" s="13">
        <f>((((VLOOKUP(B326,Database!$F:$AY,MATCH($N$1,Database!$F$1:$AY$1,),))))-(((VLOOKUP(EDATE(B326,-12),Database!$F:$AY,MATCH($N$1,Database!$F$1:$AY$1,),)))))/(((VLOOKUP(EDATE(B326,-12),Database!$F:$AY,MATCH($N$1,Database!$F$1:$AY$1,),))))</f>
        <v>2.3844644844247552E-2</v>
      </c>
      <c r="O326" s="13">
        <f>((((VLOOKUP(B326,Database!$F:$AY,MATCH($O$1,Database!$F$1:$AY$1,),))))-(((VLOOKUP(EDATE(B326,-12),Database!$F:$AY,MATCH($O$1,Database!$F$1:$AY$1,),)))))/(((VLOOKUP(EDATE(B326,-12),Database!$F:$AY,MATCH($O$1,Database!$F$1:$AY$1,),))))</f>
        <v>9.8166181790204487E-3</v>
      </c>
      <c r="P326" s="13">
        <f>((((VLOOKUP(B326,Database!$F:$AY,MATCH($P$1,Database!$F$1:$AY$1,),))))-(((VLOOKUP(EDATE(B326,-12),Database!$F:$AY,MATCH($P$1,Database!$F$1:$AY$1,),)))))/(((VLOOKUP(EDATE(B326,-12),Database!$F:$AY,MATCH($P$1,Database!$F$1:$AY$1,),))))</f>
        <v>-2.7068194701170618E-2</v>
      </c>
      <c r="Q326" s="13">
        <f>((((VLOOKUP(B326,Database!$F:$AY,MATCH($Q$1,Database!$F$1:$AY$1,),))))-(((VLOOKUP(EDATE(B326,-12),Database!$F:$AY,MATCH($Q$1,Database!$F$1:$AY$1,),)))))/(((VLOOKUP(EDATE(B326,-12),Database!$F:$AY,MATCH($Q$1,Database!$F$1:$AY$1,),))))</f>
        <v>-6.1326170348476879E-2</v>
      </c>
      <c r="R326" s="13">
        <f>((((VLOOKUP(B326,Database!$F:$AY,MATCH($R$1,Database!$F$1:$AY$1,),))))-(((VLOOKUP(EDATE(B326,-12),Database!$F:$AY,MATCH($R$1,Database!$F$1:$AY$1,),)))))/(((VLOOKUP(EDATE(B326,-12),Database!$F:$AY,MATCH($R$1,Database!$F$1:$AY$1,),))))</f>
        <v>4.0941772987252822E-2</v>
      </c>
      <c r="S326" s="13">
        <f>((((VLOOKUP(B326,Database!$F:$AY,MATCH($S$1,Database!$F$1:$AY$1,),))))-(((VLOOKUP(EDATE(B326,-12),Database!$F:$AY,MATCH($S$1,Database!$F$1:$AY$1,),)))))/(((VLOOKUP(EDATE(B326,-12),Database!$F:$AY,MATCH($S$1,Database!$F$1:$AY$1,),))))</f>
        <v>0.63260662816994995</v>
      </c>
      <c r="T326" s="13">
        <f>((((VLOOKUP(B326,Database!$F:$AY,MATCH($T$1,Database!$F$1:$AY$1,),))))-(((VLOOKUP(EDATE(B326,-12),Database!$F:$AY,MATCH($T$1,Database!$F$1:$AY$1,),)))))/(((VLOOKUP(EDATE(B326,-12),Database!$F:$AY,MATCH($T$1,Database!$F$1:$AY$1,),))))</f>
        <v>4.867717554890548E-2</v>
      </c>
      <c r="U326" s="13">
        <f>((((VLOOKUP(B326,Database!$F:$AY,MATCH($U$1,Database!$F$1:$AY$1,),))))-(((VLOOKUP(EDATE(B326,-12),Database!$F:$AY,MATCH($U$1,Database!$F$1:$AY$1,),)))))/(((VLOOKUP(EDATE(B326,-12),Database!$F:$AY,MATCH($U$1,Database!$F$1:$AY$1,),))))</f>
        <v>3.983232006172932E-2</v>
      </c>
      <c r="V326" s="13">
        <f>((((VLOOKUP(B326,Database!$F:$AY,MATCH($V$1,Database!$F$1:$AY$1,),))))-(((VLOOKUP(EDATE(B326,-12),Database!$F:$AY,MATCH($V$1,Database!$F$1:$AY$1,),)))))/(((VLOOKUP(EDATE(B326,-12),Database!$F:$AY,MATCH($V$1,Database!$F$1:$AY$1,),))))</f>
        <v>6.4755838641188904E-2</v>
      </c>
    </row>
    <row r="327" spans="1:22" s="85" customFormat="1" x14ac:dyDescent="0.2">
      <c r="A327" s="44"/>
      <c r="B327" s="91">
        <v>42095</v>
      </c>
      <c r="C327" s="13">
        <f>((((VLOOKUP(B327,Database!$F:$AY,MATCH($C$1,Database!$F$1:$AY$1,),))))-(((VLOOKUP(EDATE(B327,-12),Database!$F:$AY,MATCH($C$1,Database!$F$1:$AY$1,),)))))/(((VLOOKUP(EDATE(B327,-12),Database!$F:$AY,MATCH($C$1,Database!$F$1:$AY$1,),))))</f>
        <v>-1.0497000643750341E-3</v>
      </c>
      <c r="D327" s="13">
        <f>((((VLOOKUP(B327,Database!$F:$AY,MATCH($D$1,Database!$F$1:$AY$1,),))))-(((VLOOKUP(EDATE(B327,-12),Database!$F:$AY,MATCH($D$1,Database!$F$1:$AY$1,),)))))/(((VLOOKUP(EDATE(B327,-12),Database!$F:$AY,MATCH($D$1,Database!$F$1:$AY$1,),))))</f>
        <v>1.2170384984029392E-2</v>
      </c>
      <c r="E327" s="13">
        <f>((((VLOOKUP(B327,Database!$F:$AY,MATCH($E$1,Database!$F$1:$AY$1,),))))-(((VLOOKUP(EDATE(B327,-12),Database!$F:$AY,MATCH($E$1,Database!$F$1:$AY$1,),)))))/(((VLOOKUP(EDATE(B327,-12),Database!$F:$AY,MATCH($E$1,Database!$F$1:$AY$1,),))))</f>
        <v>-1.0019872396189037E-3</v>
      </c>
      <c r="F327" s="13">
        <f>((((VLOOKUP(B327,Database!$F:$AY,MATCH($F$1,Database!$F$1:$AY$1,),))))-(((VLOOKUP(EDATE(B327,-12),Database!$F:$AY,MATCH($F$1,Database!$F$1:$AY$1,),)))))/(((VLOOKUP(EDATE(B327,-12),Database!$F:$AY,MATCH($F$1,Database!$F$1:$AY$1,),))))</f>
        <v>6.0362171013842265E-3</v>
      </c>
      <c r="G327" s="13">
        <f>((((VLOOKUP(B327,Database!$F:$AY,MATCH($G$1,Database!$F$1:$AY$1,),))))-(((VLOOKUP(EDATE(B327,-12),Database!$F:$AY,MATCH($G$1,Database!$F$1:$AY$1,),)))))/(((VLOOKUP(EDATE(B327,-12),Database!$F:$AY,MATCH($G$1,Database!$F$1:$AY$1,),))))</f>
        <v>2.9271989471774461E-3</v>
      </c>
      <c r="H327" s="13">
        <f>((((VLOOKUP(B327,Database!$F:$AY,MATCH($H$1,Database!$F$1:$AY$1,),))))-(((VLOOKUP(EDATE(B327,-12),Database!$F:$AY,MATCH($H$1,Database!$F$1:$AY$1,),)))))/(((VLOOKUP(EDATE(B327,-12),Database!$F:$AY,MATCH($H$1,Database!$F$1:$AY$1,),))))</f>
        <v>9.3655678448671537E-3</v>
      </c>
      <c r="I327" s="13">
        <f>((((VLOOKUP(B327,Database!$F:$AY,MATCH($I$1,Database!$F$1:$AY$1,),))))-(((VLOOKUP(EDATE(B327,-12),Database!$F:$AY,MATCH($I$1,Database!$F$1:$AY$1,),)))))/(((VLOOKUP(EDATE(B327,-12),Database!$F:$AY,MATCH($I$1,Database!$F$1:$AY$1,),))))</f>
        <v>2.0101172248421467E-3</v>
      </c>
      <c r="J327" s="13">
        <f>((((VLOOKUP(B327,Database!$F:$AY,MATCH($J$1,Database!$F$1:$AY$1,),))))-(((VLOOKUP(EDATE(B327,-12),Database!$F:$AY,MATCH($J$1,Database!$F$1:$AY$1,),)))))/(((VLOOKUP(EDATE(B327,-12),Database!$F:$AY,MATCH($J$1,Database!$F$1:$AY$1,),))))</f>
        <v>2.1837354644787914E-2</v>
      </c>
      <c r="K327" s="13">
        <f>((((VLOOKUP(B327,Database!$F:$AY,MATCH($K$1,Database!$F$1:$AY$1,),))))-(((VLOOKUP(EDATE(B327,-12),Database!$F:$AY,MATCH($K$1,Database!$F$1:$AY$1,),)))))/(((VLOOKUP(EDATE(B327,-12),Database!$F:$AY,MATCH($K$1,Database!$F$1:$AY$1,),))))</f>
        <v>2.8659160696008157E-2</v>
      </c>
      <c r="L327" s="13">
        <f>((((VLOOKUP(B327,Database!$F:$AY,MATCH($L$1,Database!$F$1:$AY$1,),))))-(((VLOOKUP(EDATE(B327,-12),Database!$F:$AY,MATCH($L$1,Database!$F$1:$AY$1,),)))))/(((VLOOKUP(EDATE(B327,-12),Database!$F:$AY,MATCH($L$1,Database!$F$1:$AY$1,),))))</f>
        <v>1.7923891887109654E-2</v>
      </c>
      <c r="M327" s="13">
        <f>((((VLOOKUP(B327,Database!$F:$AY,MATCH($M$1,Database!$F$1:$AY$1,),))))-(((VLOOKUP(EDATE(B327,-12),Database!$F:$AY,MATCH($M$1,Database!$F$1:$AY$1,),)))))/(((VLOOKUP(EDATE(B327,-12),Database!$F:$AY,MATCH($M$1,Database!$F$1:$AY$1,),))))</f>
        <v>5.4140127388534971E-2</v>
      </c>
      <c r="N327" s="13">
        <f>((((VLOOKUP(B327,Database!$F:$AY,MATCH($N$1,Database!$F$1:$AY$1,),))))-(((VLOOKUP(EDATE(B327,-12),Database!$F:$AY,MATCH($N$1,Database!$F$1:$AY$1,),)))))/(((VLOOKUP(EDATE(B327,-12),Database!$F:$AY,MATCH($N$1,Database!$F$1:$AY$1,),))))</f>
        <v>6.4142735868027417E-3</v>
      </c>
      <c r="O327" s="13">
        <f>((((VLOOKUP(B327,Database!$F:$AY,MATCH($O$1,Database!$F$1:$AY$1,),))))-(((VLOOKUP(EDATE(B327,-12),Database!$F:$AY,MATCH($O$1,Database!$F$1:$AY$1,),)))))/(((VLOOKUP(EDATE(B327,-12),Database!$F:$AY,MATCH($O$1,Database!$F$1:$AY$1,),))))</f>
        <v>-1.1823550549003118E-2</v>
      </c>
      <c r="P327" s="13">
        <f>((((VLOOKUP(B327,Database!$F:$AY,MATCH($P$1,Database!$F$1:$AY$1,),))))-(((VLOOKUP(EDATE(B327,-12),Database!$F:$AY,MATCH($P$1,Database!$F$1:$AY$1,),)))))/(((VLOOKUP(EDATE(B327,-12),Database!$F:$AY,MATCH($P$1,Database!$F$1:$AY$1,),))))</f>
        <v>-2.2600646761544618E-2</v>
      </c>
      <c r="Q327" s="13">
        <f>((((VLOOKUP(B327,Database!$F:$AY,MATCH($Q$1,Database!$F$1:$AY$1,),))))-(((VLOOKUP(EDATE(B327,-12),Database!$F:$AY,MATCH($Q$1,Database!$F$1:$AY$1,),)))))/(((VLOOKUP(EDATE(B327,-12),Database!$F:$AY,MATCH($Q$1,Database!$F$1:$AY$1,),))))</f>
        <v>-7.1856021464440478E-2</v>
      </c>
      <c r="R327" s="13">
        <f>((((VLOOKUP(B327,Database!$F:$AY,MATCH($R$1,Database!$F$1:$AY$1,),))))-(((VLOOKUP(EDATE(B327,-12),Database!$F:$AY,MATCH($R$1,Database!$F$1:$AY$1,),)))))/(((VLOOKUP(EDATE(B327,-12),Database!$F:$AY,MATCH($R$1,Database!$F$1:$AY$1,),))))</f>
        <v>6.992664278602418E-3</v>
      </c>
      <c r="S327" s="13">
        <f>((((VLOOKUP(B327,Database!$F:$AY,MATCH($S$1,Database!$F$1:$AY$1,),))))-(((VLOOKUP(EDATE(B327,-12),Database!$F:$AY,MATCH($S$1,Database!$F$1:$AY$1,),)))))/(((VLOOKUP(EDATE(B327,-12),Database!$F:$AY,MATCH($S$1,Database!$F$1:$AY$1,),))))</f>
        <v>0.1875744615556027</v>
      </c>
      <c r="T327" s="13">
        <f>((((VLOOKUP(B327,Database!$F:$AY,MATCH($T$1,Database!$F$1:$AY$1,),))))-(((VLOOKUP(EDATE(B327,-12),Database!$F:$AY,MATCH($T$1,Database!$F$1:$AY$1,),)))))/(((VLOOKUP(EDATE(B327,-12),Database!$F:$AY,MATCH($T$1,Database!$F$1:$AY$1,),))))</f>
        <v>6.1965847581315549E-2</v>
      </c>
      <c r="U327" s="13">
        <f>((((VLOOKUP(B327,Database!$F:$AY,MATCH($U$1,Database!$F$1:$AY$1,),))))-(((VLOOKUP(EDATE(B327,-12),Database!$F:$AY,MATCH($U$1,Database!$F$1:$AY$1,),)))))/(((VLOOKUP(EDATE(B327,-12),Database!$F:$AY,MATCH($U$1,Database!$F$1:$AY$1,),))))</f>
        <v>4.6170022874745566E-2</v>
      </c>
      <c r="V327" s="13">
        <f>((((VLOOKUP(B327,Database!$F:$AY,MATCH($V$1,Database!$F$1:$AY$1,),))))-(((VLOOKUP(EDATE(B327,-12),Database!$F:$AY,MATCH($V$1,Database!$F$1:$AY$1,),)))))/(((VLOOKUP(EDATE(B327,-12),Database!$F:$AY,MATCH($V$1,Database!$F$1:$AY$1,),))))</f>
        <v>2.5130890052356081E-2</v>
      </c>
    </row>
    <row r="328" spans="1:22" s="85" customFormat="1" x14ac:dyDescent="0.2">
      <c r="A328" s="44"/>
      <c r="B328" s="91">
        <v>42125</v>
      </c>
      <c r="C328" s="13">
        <f>((((VLOOKUP(B328,Database!$F:$AY,MATCH($C$1,Database!$F$1:$AY$1,),))))-(((VLOOKUP(EDATE(B328,-12),Database!$F:$AY,MATCH($C$1,Database!$F$1:$AY$1,),)))))/(((VLOOKUP(EDATE(B328,-12),Database!$F:$AY,MATCH($C$1,Database!$F$1:$AY$1,),))))</f>
        <v>-8.9606129192480316E-3</v>
      </c>
      <c r="D328" s="13">
        <f>((((VLOOKUP(B328,Database!$F:$AY,MATCH($D$1,Database!$F$1:$AY$1,),))))-(((VLOOKUP(EDATE(B328,-12),Database!$F:$AY,MATCH($D$1,Database!$F$1:$AY$1,),)))))/(((VLOOKUP(EDATE(B328,-12),Database!$F:$AY,MATCH($D$1,Database!$F$1:$AY$1,),))))</f>
        <v>2.249495570325118E-2</v>
      </c>
      <c r="E328" s="13">
        <f>((((VLOOKUP(B328,Database!$F:$AY,MATCH($E$1,Database!$F$1:$AY$1,),))))-(((VLOOKUP(EDATE(B328,-12),Database!$F:$AY,MATCH($E$1,Database!$F$1:$AY$1,),)))))/(((VLOOKUP(EDATE(B328,-12),Database!$F:$AY,MATCH($E$1,Database!$F$1:$AY$1,),))))</f>
        <v>-2.1589632108664571E-2</v>
      </c>
      <c r="F328" s="13">
        <f>((((VLOOKUP(B328,Database!$F:$AY,MATCH($F$1,Database!$F$1:$AY$1,),))))-(((VLOOKUP(EDATE(B328,-12),Database!$F:$AY,MATCH($F$1,Database!$F$1:$AY$1,),)))))/(((VLOOKUP(EDATE(B328,-12),Database!$F:$AY,MATCH($F$1,Database!$F$1:$AY$1,),))))</f>
        <v>1.4184870734408732E-2</v>
      </c>
      <c r="G328" s="13">
        <f>((((VLOOKUP(B328,Database!$F:$AY,MATCH($G$1,Database!$F$1:$AY$1,),))))-(((VLOOKUP(EDATE(B328,-12),Database!$F:$AY,MATCH($G$1,Database!$F$1:$AY$1,),)))))/(((VLOOKUP(EDATE(B328,-12),Database!$F:$AY,MATCH($G$1,Database!$F$1:$AY$1,),))))</f>
        <v>3.5308294448497785E-2</v>
      </c>
      <c r="H328" s="13">
        <f>((((VLOOKUP(B328,Database!$F:$AY,MATCH($H$1,Database!$F$1:$AY$1,),))))-(((VLOOKUP(EDATE(B328,-12),Database!$F:$AY,MATCH($H$1,Database!$F$1:$AY$1,),)))))/(((VLOOKUP(EDATE(B328,-12),Database!$F:$AY,MATCH($H$1,Database!$F$1:$AY$1,),))))</f>
        <v>1.1481790621250536E-2</v>
      </c>
      <c r="I328" s="13">
        <f>((((VLOOKUP(B328,Database!$F:$AY,MATCH($I$1,Database!$F$1:$AY$1,),))))-(((VLOOKUP(EDATE(B328,-12),Database!$F:$AY,MATCH($I$1,Database!$F$1:$AY$1,),)))))/(((VLOOKUP(EDATE(B328,-12),Database!$F:$AY,MATCH($I$1,Database!$F$1:$AY$1,),))))</f>
        <v>2.5509879189940809E-2</v>
      </c>
      <c r="J328" s="13">
        <f>((((VLOOKUP(B328,Database!$F:$AY,MATCH($J$1,Database!$F$1:$AY$1,),))))-(((VLOOKUP(EDATE(B328,-12),Database!$F:$AY,MATCH($J$1,Database!$F$1:$AY$1,),)))))/(((VLOOKUP(EDATE(B328,-12),Database!$F:$AY,MATCH($J$1,Database!$F$1:$AY$1,),))))</f>
        <v>3.5555046339568991E-2</v>
      </c>
      <c r="K328" s="13">
        <f>((((VLOOKUP(B328,Database!$F:$AY,MATCH($K$1,Database!$F$1:$AY$1,),))))-(((VLOOKUP(EDATE(B328,-12),Database!$F:$AY,MATCH($K$1,Database!$F$1:$AY$1,),)))))/(((VLOOKUP(EDATE(B328,-12),Database!$F:$AY,MATCH($K$1,Database!$F$1:$AY$1,),))))</f>
        <v>6.2105263157894795E-2</v>
      </c>
      <c r="L328" s="13">
        <f>((((VLOOKUP(B328,Database!$F:$AY,MATCH($L$1,Database!$F$1:$AY$1,),))))-(((VLOOKUP(EDATE(B328,-12),Database!$F:$AY,MATCH($L$1,Database!$F$1:$AY$1,),)))))/(((VLOOKUP(EDATE(B328,-12),Database!$F:$AY,MATCH($L$1,Database!$F$1:$AY$1,),))))</f>
        <v>-9.1761555762037564E-5</v>
      </c>
      <c r="M328" s="13">
        <f>((((VLOOKUP(B328,Database!$F:$AY,MATCH($M$1,Database!$F$1:$AY$1,),))))-(((VLOOKUP(EDATE(B328,-12),Database!$F:$AY,MATCH($M$1,Database!$F$1:$AY$1,),)))))/(((VLOOKUP(EDATE(B328,-12),Database!$F:$AY,MATCH($M$1,Database!$F$1:$AY$1,),))))</f>
        <v>6.4034151547491994E-2</v>
      </c>
      <c r="N328" s="13">
        <f>((((VLOOKUP(B328,Database!$F:$AY,MATCH($N$1,Database!$F$1:$AY$1,),))))-(((VLOOKUP(EDATE(B328,-12),Database!$F:$AY,MATCH($N$1,Database!$F$1:$AY$1,),)))))/(((VLOOKUP(EDATE(B328,-12),Database!$F:$AY,MATCH($N$1,Database!$F$1:$AY$1,),))))</f>
        <v>1.6831021589402806E-2</v>
      </c>
      <c r="O328" s="13">
        <f>((((VLOOKUP(B328,Database!$F:$AY,MATCH($O$1,Database!$F$1:$AY$1,),))))-(((VLOOKUP(EDATE(B328,-12),Database!$F:$AY,MATCH($O$1,Database!$F$1:$AY$1,),)))))/(((VLOOKUP(EDATE(B328,-12),Database!$F:$AY,MATCH($O$1,Database!$F$1:$AY$1,),))))</f>
        <v>-2.3571493100815646E-2</v>
      </c>
      <c r="P328" s="13">
        <f>((((VLOOKUP(B328,Database!$F:$AY,MATCH($P$1,Database!$F$1:$AY$1,),))))-(((VLOOKUP(EDATE(B328,-12),Database!$F:$AY,MATCH($P$1,Database!$F$1:$AY$1,),)))))/(((VLOOKUP(EDATE(B328,-12),Database!$F:$AY,MATCH($P$1,Database!$F$1:$AY$1,),))))</f>
        <v>-1.5767808728877886E-2</v>
      </c>
      <c r="Q328" s="13">
        <f>((((VLOOKUP(B328,Database!$F:$AY,MATCH($Q$1,Database!$F$1:$AY$1,),))))-(((VLOOKUP(EDATE(B328,-12),Database!$F:$AY,MATCH($Q$1,Database!$F$1:$AY$1,),)))))/(((VLOOKUP(EDATE(B328,-12),Database!$F:$AY,MATCH($Q$1,Database!$F$1:$AY$1,),))))</f>
        <v>-6.6801433343813138E-2</v>
      </c>
      <c r="R328" s="13">
        <f>((((VLOOKUP(B328,Database!$F:$AY,MATCH($R$1,Database!$F$1:$AY$1,),))))-(((VLOOKUP(EDATE(B328,-12),Database!$F:$AY,MATCH($R$1,Database!$F$1:$AY$1,),)))))/(((VLOOKUP(EDATE(B328,-12),Database!$F:$AY,MATCH($R$1,Database!$F$1:$AY$1,),))))</f>
        <v>-8.9099908803715377E-2</v>
      </c>
      <c r="S328" s="13">
        <f>((((VLOOKUP(B328,Database!$F:$AY,MATCH($S$1,Database!$F$1:$AY$1,),))))-(((VLOOKUP(EDATE(B328,-12),Database!$F:$AY,MATCH($S$1,Database!$F$1:$AY$1,),)))))/(((VLOOKUP(EDATE(B328,-12),Database!$F:$AY,MATCH($S$1,Database!$F$1:$AY$1,),))))</f>
        <v>0.15349699034825576</v>
      </c>
      <c r="T328" s="13">
        <f>((((VLOOKUP(B328,Database!$F:$AY,MATCH($T$1,Database!$F$1:$AY$1,),))))-(((VLOOKUP(EDATE(B328,-12),Database!$F:$AY,MATCH($T$1,Database!$F$1:$AY$1,),)))))/(((VLOOKUP(EDATE(B328,-12),Database!$F:$AY,MATCH($T$1,Database!$F$1:$AY$1,),))))</f>
        <v>7.683984487884804E-2</v>
      </c>
      <c r="U328" s="13">
        <f>((((VLOOKUP(B328,Database!$F:$AY,MATCH($U$1,Database!$F$1:$AY$1,),))))-(((VLOOKUP(EDATE(B328,-12),Database!$F:$AY,MATCH($U$1,Database!$F$1:$AY$1,),)))))/(((VLOOKUP(EDATE(B328,-12),Database!$F:$AY,MATCH($U$1,Database!$F$1:$AY$1,),))))</f>
        <v>4.9369674401638697E-2</v>
      </c>
      <c r="V328" s="13">
        <f>((((VLOOKUP(B328,Database!$F:$AY,MATCH($V$1,Database!$F$1:$AY$1,),))))-(((VLOOKUP(EDATE(B328,-12),Database!$F:$AY,MATCH($V$1,Database!$F$1:$AY$1,),)))))/(((VLOOKUP(EDATE(B328,-12),Database!$F:$AY,MATCH($V$1,Database!$F$1:$AY$1,),))))</f>
        <v>5.5378061767838001E-2</v>
      </c>
    </row>
    <row r="329" spans="1:22" s="85" customFormat="1" x14ac:dyDescent="0.2">
      <c r="A329" s="44"/>
      <c r="B329" s="91">
        <v>42156</v>
      </c>
      <c r="C329" s="13">
        <f>((((VLOOKUP(B329,Database!$F:$AY,MATCH($C$1,Database!$F$1:$AY$1,),))))-(((VLOOKUP(EDATE(B329,-12),Database!$F:$AY,MATCH($C$1,Database!$F$1:$AY$1,),)))))/(((VLOOKUP(EDATE(B329,-12),Database!$F:$AY,MATCH($C$1,Database!$F$1:$AY$1,),))))</f>
        <v>-1.6039725222355639E-2</v>
      </c>
      <c r="D329" s="13">
        <f>((((VLOOKUP(B329,Database!$F:$AY,MATCH($D$1,Database!$F$1:$AY$1,),))))-(((VLOOKUP(EDATE(B329,-12),Database!$F:$AY,MATCH($D$1,Database!$F$1:$AY$1,),)))))/(((VLOOKUP(EDATE(B329,-12),Database!$F:$AY,MATCH($D$1,Database!$F$1:$AY$1,),))))</f>
        <v>3.0832683516203874E-2</v>
      </c>
      <c r="E329" s="13">
        <f>((((VLOOKUP(B329,Database!$F:$AY,MATCH($E$1,Database!$F$1:$AY$1,),))))-(((VLOOKUP(EDATE(B329,-12),Database!$F:$AY,MATCH($E$1,Database!$F$1:$AY$1,),)))))/(((VLOOKUP(EDATE(B329,-12),Database!$F:$AY,MATCH($E$1,Database!$F$1:$AY$1,),))))</f>
        <v>-9.9411879321925807E-4</v>
      </c>
      <c r="F329" s="13">
        <f>((((VLOOKUP(B329,Database!$F:$AY,MATCH($F$1,Database!$F$1:$AY$1,),))))-(((VLOOKUP(EDATE(B329,-12),Database!$F:$AY,MATCH($F$1,Database!$F$1:$AY$1,),)))))/(((VLOOKUP(EDATE(B329,-12),Database!$F:$AY,MATCH($F$1,Database!$F$1:$AY$1,),))))</f>
        <v>1.2145748578044503E-2</v>
      </c>
      <c r="G329" s="13">
        <f>((((VLOOKUP(B329,Database!$F:$AY,MATCH($G$1,Database!$F$1:$AY$1,),))))-(((VLOOKUP(EDATE(B329,-12),Database!$F:$AY,MATCH($G$1,Database!$F$1:$AY$1,),)))))/(((VLOOKUP(EDATE(B329,-12),Database!$F:$AY,MATCH($G$1,Database!$F$1:$AY$1,),))))</f>
        <v>1.0595068739088184E-2</v>
      </c>
      <c r="H329" s="13">
        <f>((((VLOOKUP(B329,Database!$F:$AY,MATCH($H$1,Database!$F$1:$AY$1,),))))-(((VLOOKUP(EDATE(B329,-12),Database!$F:$AY,MATCH($H$1,Database!$F$1:$AY$1,),)))))/(((VLOOKUP(EDATE(B329,-12),Database!$F:$AY,MATCH($H$1,Database!$F$1:$AY$1,),))))</f>
        <v>1.0416947799279807E-2</v>
      </c>
      <c r="I329" s="13">
        <f>((((VLOOKUP(B329,Database!$F:$AY,MATCH($I$1,Database!$F$1:$AY$1,),))))-(((VLOOKUP(EDATE(B329,-12),Database!$F:$AY,MATCH($I$1,Database!$F$1:$AY$1,),)))))/(((VLOOKUP(EDATE(B329,-12),Database!$F:$AY,MATCH($I$1,Database!$F$1:$AY$1,),))))</f>
        <v>1.000984266157155E-3</v>
      </c>
      <c r="J329" s="13">
        <f>((((VLOOKUP(B329,Database!$F:$AY,MATCH($J$1,Database!$F$1:$AY$1,),))))-(((VLOOKUP(EDATE(B329,-12),Database!$F:$AY,MATCH($J$1,Database!$F$1:$AY$1,),)))))/(((VLOOKUP(EDATE(B329,-12),Database!$F:$AY,MATCH($J$1,Database!$F$1:$AY$1,),))))</f>
        <v>4.8406147388627883E-2</v>
      </c>
      <c r="K329" s="13">
        <f>((((VLOOKUP(B329,Database!$F:$AY,MATCH($K$1,Database!$F$1:$AY$1,),))))-(((VLOOKUP(EDATE(B329,-12),Database!$F:$AY,MATCH($K$1,Database!$F$1:$AY$1,),)))))/(((VLOOKUP(EDATE(B329,-12),Database!$F:$AY,MATCH($K$1,Database!$F$1:$AY$1,),))))</f>
        <v>3.9256198347107411E-2</v>
      </c>
      <c r="L329" s="13">
        <f>((((VLOOKUP(B329,Database!$F:$AY,MATCH($L$1,Database!$F$1:$AY$1,),))))-(((VLOOKUP(EDATE(B329,-12),Database!$F:$AY,MATCH($L$1,Database!$F$1:$AY$1,),)))))/(((VLOOKUP(EDATE(B329,-12),Database!$F:$AY,MATCH($L$1,Database!$F$1:$AY$1,),))))</f>
        <v>6.1712446845190103E-3</v>
      </c>
      <c r="M329" s="13">
        <f>((((VLOOKUP(B329,Database!$F:$AY,MATCH($M$1,Database!$F$1:$AY$1,),))))-(((VLOOKUP(EDATE(B329,-12),Database!$F:$AY,MATCH($M$1,Database!$F$1:$AY$1,),)))))/(((VLOOKUP(EDATE(B329,-12),Database!$F:$AY,MATCH($M$1,Database!$F$1:$AY$1,),))))</f>
        <v>5.1633298208640578E-2</v>
      </c>
      <c r="N329" s="13">
        <f>((((VLOOKUP(B329,Database!$F:$AY,MATCH($N$1,Database!$F$1:$AY$1,),))))-(((VLOOKUP(EDATE(B329,-12),Database!$F:$AY,MATCH($N$1,Database!$F$1:$AY$1,),)))))/(((VLOOKUP(EDATE(B329,-12),Database!$F:$AY,MATCH($N$1,Database!$F$1:$AY$1,),))))</f>
        <v>8.9329221253214401E-3</v>
      </c>
      <c r="O329" s="13">
        <f>((((VLOOKUP(B329,Database!$F:$AY,MATCH($O$1,Database!$F$1:$AY$1,),))))-(((VLOOKUP(EDATE(B329,-12),Database!$F:$AY,MATCH($O$1,Database!$F$1:$AY$1,),)))))/(((VLOOKUP(EDATE(B329,-12),Database!$F:$AY,MATCH($O$1,Database!$F$1:$AY$1,),))))</f>
        <v>-2.3830371215559407E-2</v>
      </c>
      <c r="P329" s="13">
        <f>((((VLOOKUP(B329,Database!$F:$AY,MATCH($P$1,Database!$F$1:$AY$1,),))))-(((VLOOKUP(EDATE(B329,-12),Database!$F:$AY,MATCH($P$1,Database!$F$1:$AY$1,),)))))/(((VLOOKUP(EDATE(B329,-12),Database!$F:$AY,MATCH($P$1,Database!$F$1:$AY$1,),))))</f>
        <v>-1.9367439306046567E-2</v>
      </c>
      <c r="Q329" s="13">
        <f>((((VLOOKUP(B329,Database!$F:$AY,MATCH($Q$1,Database!$F$1:$AY$1,),))))-(((VLOOKUP(EDATE(B329,-12),Database!$F:$AY,MATCH($Q$1,Database!$F$1:$AY$1,),)))))/(((VLOOKUP(EDATE(B329,-12),Database!$F:$AY,MATCH($Q$1,Database!$F$1:$AY$1,),))))</f>
        <v>-5.0988631283675513E-2</v>
      </c>
      <c r="R329" s="13">
        <f>((((VLOOKUP(B329,Database!$F:$AY,MATCH($R$1,Database!$F$1:$AY$1,),))))-(((VLOOKUP(EDATE(B329,-12),Database!$F:$AY,MATCH($R$1,Database!$F$1:$AY$1,),)))))/(((VLOOKUP(EDATE(B329,-12),Database!$F:$AY,MATCH($R$1,Database!$F$1:$AY$1,),))))</f>
        <v>-3.1536037162329E-2</v>
      </c>
      <c r="S329" s="13">
        <f>((((VLOOKUP(B329,Database!$F:$AY,MATCH($S$1,Database!$F$1:$AY$1,),))))-(((VLOOKUP(EDATE(B329,-12),Database!$F:$AY,MATCH($S$1,Database!$F$1:$AY$1,),)))))/(((VLOOKUP(EDATE(B329,-12),Database!$F:$AY,MATCH($S$1,Database!$F$1:$AY$1,),))))</f>
        <v>0.59178899330722678</v>
      </c>
      <c r="T329" s="13">
        <f>((((VLOOKUP(B329,Database!$F:$AY,MATCH($T$1,Database!$F$1:$AY$1,),))))-(((VLOOKUP(EDATE(B329,-12),Database!$F:$AY,MATCH($T$1,Database!$F$1:$AY$1,),)))))/(((VLOOKUP(EDATE(B329,-12),Database!$F:$AY,MATCH($T$1,Database!$F$1:$AY$1,),))))</f>
        <v>6.5817055879922037E-2</v>
      </c>
      <c r="U329" s="13">
        <f>((((VLOOKUP(B329,Database!$F:$AY,MATCH($U$1,Database!$F$1:$AY$1,),))))-(((VLOOKUP(EDATE(B329,-12),Database!$F:$AY,MATCH($U$1,Database!$F$1:$AY$1,),)))))/(((VLOOKUP(EDATE(B329,-12),Database!$F:$AY,MATCH($U$1,Database!$F$1:$AY$1,),))))</f>
        <v>4.9317976594630844E-2</v>
      </c>
      <c r="V329" s="13">
        <f>((((VLOOKUP(B329,Database!$F:$AY,MATCH($V$1,Database!$F$1:$AY$1,),))))-(((VLOOKUP(EDATE(B329,-12),Database!$F:$AY,MATCH($V$1,Database!$F$1:$AY$1,),)))))/(((VLOOKUP(EDATE(B329,-12),Database!$F:$AY,MATCH($V$1,Database!$F$1:$AY$1,),))))</f>
        <v>5.2854122621564484E-2</v>
      </c>
    </row>
    <row r="330" spans="1:22" s="85" customFormat="1" x14ac:dyDescent="0.2">
      <c r="A330" s="44"/>
      <c r="B330" s="91">
        <v>42186</v>
      </c>
      <c r="C330" s="13">
        <f>((((VLOOKUP(B330,Database!$F:$AY,MATCH($C$1,Database!$F$1:$AY$1,),))))-(((VLOOKUP(EDATE(B330,-12),Database!$F:$AY,MATCH($C$1,Database!$F$1:$AY$1,),)))))/(((VLOOKUP(EDATE(B330,-12),Database!$F:$AY,MATCH($C$1,Database!$F$1:$AY$1,),))))</f>
        <v>-1.2227327347160952E-2</v>
      </c>
      <c r="D330" s="13">
        <f>((((VLOOKUP(B330,Database!$F:$AY,MATCH($D$1,Database!$F$1:$AY$1,),))))-(((VLOOKUP(EDATE(B330,-12),Database!$F:$AY,MATCH($D$1,Database!$F$1:$AY$1,),)))))/(((VLOOKUP(EDATE(B330,-12),Database!$F:$AY,MATCH($D$1,Database!$F$1:$AY$1,),))))</f>
        <v>2.8542368830853249E-2</v>
      </c>
      <c r="E330" s="13">
        <f>((((VLOOKUP(B330,Database!$F:$AY,MATCH($E$1,Database!$F$1:$AY$1,),))))-(((VLOOKUP(EDATE(B330,-12),Database!$F:$AY,MATCH($E$1,Database!$F$1:$AY$1,),)))))/(((VLOOKUP(EDATE(B330,-12),Database!$F:$AY,MATCH($E$1,Database!$F$1:$AY$1,),))))</f>
        <v>0</v>
      </c>
      <c r="F330" s="13">
        <f>((((VLOOKUP(B330,Database!$F:$AY,MATCH($F$1,Database!$F$1:$AY$1,),))))-(((VLOOKUP(EDATE(B330,-12),Database!$F:$AY,MATCH($F$1,Database!$F$1:$AY$1,),)))))/(((VLOOKUP(EDATE(B330,-12),Database!$F:$AY,MATCH($F$1,Database!$F$1:$AY$1,),))))</f>
        <v>4.9548227999159167E-3</v>
      </c>
      <c r="G330" s="13">
        <f>((((VLOOKUP(B330,Database!$F:$AY,MATCH($G$1,Database!$F$1:$AY$1,),))))-(((VLOOKUP(EDATE(B330,-12),Database!$F:$AY,MATCH($G$1,Database!$F$1:$AY$1,),)))))/(((VLOOKUP(EDATE(B330,-12),Database!$F:$AY,MATCH($G$1,Database!$F$1:$AY$1,),))))</f>
        <v>-1.1860565250152409E-2</v>
      </c>
      <c r="H330" s="13">
        <f>((((VLOOKUP(B330,Database!$F:$AY,MATCH($H$1,Database!$F$1:$AY$1,),))))-(((VLOOKUP(EDATE(B330,-12),Database!$F:$AY,MATCH($H$1,Database!$F$1:$AY$1,),)))))/(((VLOOKUP(EDATE(B330,-12),Database!$F:$AY,MATCH($H$1,Database!$F$1:$AY$1,),))))</f>
        <v>-6.2171687279106574E-3</v>
      </c>
      <c r="I330" s="13">
        <f>((((VLOOKUP(B330,Database!$F:$AY,MATCH($I$1,Database!$F$1:$AY$1,),))))-(((VLOOKUP(EDATE(B330,-12),Database!$F:$AY,MATCH($I$1,Database!$F$1:$AY$1,),)))))/(((VLOOKUP(EDATE(B330,-12),Database!$F:$AY,MATCH($I$1,Database!$F$1:$AY$1,),))))</f>
        <v>2.5380897230114417E-2</v>
      </c>
      <c r="J330" s="13">
        <f>((((VLOOKUP(B330,Database!$F:$AY,MATCH($J$1,Database!$F$1:$AY$1,),))))-(((VLOOKUP(EDATE(B330,-12),Database!$F:$AY,MATCH($J$1,Database!$F$1:$AY$1,),)))))/(((VLOOKUP(EDATE(B330,-12),Database!$F:$AY,MATCH($J$1,Database!$F$1:$AY$1,),))))</f>
        <v>5.9939027144773678E-2</v>
      </c>
      <c r="K330" s="13">
        <f>((((VLOOKUP(B330,Database!$F:$AY,MATCH($K$1,Database!$F$1:$AY$1,),))))-(((VLOOKUP(EDATE(B330,-12),Database!$F:$AY,MATCH($K$1,Database!$F$1:$AY$1,),)))))/(((VLOOKUP(EDATE(B330,-12),Database!$F:$AY,MATCH($K$1,Database!$F$1:$AY$1,),))))</f>
        <v>1.9791666666666725E-2</v>
      </c>
      <c r="L330" s="13">
        <f>((((VLOOKUP(B330,Database!$F:$AY,MATCH($L$1,Database!$F$1:$AY$1,),))))-(((VLOOKUP(EDATE(B330,-12),Database!$F:$AY,MATCH($L$1,Database!$F$1:$AY$1,),)))))/(((VLOOKUP(EDATE(B330,-12),Database!$F:$AY,MATCH($L$1,Database!$F$1:$AY$1,),))))</f>
        <v>8.863175813712619E-3</v>
      </c>
      <c r="M330" s="13">
        <f>((((VLOOKUP(B330,Database!$F:$AY,MATCH($M$1,Database!$F$1:$AY$1,),))))-(((VLOOKUP(EDATE(B330,-12),Database!$F:$AY,MATCH($M$1,Database!$F$1:$AY$1,),)))))/(((VLOOKUP(EDATE(B330,-12),Database!$F:$AY,MATCH($M$1,Database!$F$1:$AY$1,),))))</f>
        <v>5.8078141499472012E-2</v>
      </c>
      <c r="N330" s="13">
        <f>((((VLOOKUP(B330,Database!$F:$AY,MATCH($N$1,Database!$F$1:$AY$1,),))))-(((VLOOKUP(EDATE(B330,-12),Database!$F:$AY,MATCH($N$1,Database!$F$1:$AY$1,),)))))/(((VLOOKUP(EDATE(B330,-12),Database!$F:$AY,MATCH($N$1,Database!$F$1:$AY$1,),))))</f>
        <v>1.2739104345728166E-2</v>
      </c>
      <c r="O330" s="13">
        <f>((((VLOOKUP(B330,Database!$F:$AY,MATCH($O$1,Database!$F$1:$AY$1,),))))-(((VLOOKUP(EDATE(B330,-12),Database!$F:$AY,MATCH($O$1,Database!$F$1:$AY$1,),)))))/(((VLOOKUP(EDATE(B330,-12),Database!$F:$AY,MATCH($O$1,Database!$F$1:$AY$1,),))))</f>
        <v>-3.6608599901769194E-3</v>
      </c>
      <c r="P330" s="13">
        <f>((((VLOOKUP(B330,Database!$F:$AY,MATCH($P$1,Database!$F$1:$AY$1,),))))-(((VLOOKUP(EDATE(B330,-12),Database!$F:$AY,MATCH($P$1,Database!$F$1:$AY$1,),)))))/(((VLOOKUP(EDATE(B330,-12),Database!$F:$AY,MATCH($P$1,Database!$F$1:$AY$1,),))))</f>
        <v>-3.7292465748095922E-2</v>
      </c>
      <c r="Q330" s="13">
        <f>((((VLOOKUP(B330,Database!$F:$AY,MATCH($Q$1,Database!$F$1:$AY$1,),))))-(((VLOOKUP(EDATE(B330,-12),Database!$F:$AY,MATCH($Q$1,Database!$F$1:$AY$1,),)))))/(((VLOOKUP(EDATE(B330,-12),Database!$F:$AY,MATCH($Q$1,Database!$F$1:$AY$1,),))))</f>
        <v>-8.9521768897931273E-2</v>
      </c>
      <c r="R330" s="13">
        <f>((((VLOOKUP(B330,Database!$F:$AY,MATCH($R$1,Database!$F$1:$AY$1,),))))-(((VLOOKUP(EDATE(B330,-12),Database!$F:$AY,MATCH($R$1,Database!$F$1:$AY$1,),)))))/(((VLOOKUP(EDATE(B330,-12),Database!$F:$AY,MATCH($R$1,Database!$F$1:$AY$1,),))))</f>
        <v>-3.0643470961872602E-3</v>
      </c>
      <c r="S330" s="13">
        <f>((((VLOOKUP(B330,Database!$F:$AY,MATCH($S$1,Database!$F$1:$AY$1,),))))-(((VLOOKUP(EDATE(B330,-12),Database!$F:$AY,MATCH($S$1,Database!$F$1:$AY$1,),)))))/(((VLOOKUP(EDATE(B330,-12),Database!$F:$AY,MATCH($S$1,Database!$F$1:$AY$1,),))))</f>
        <v>0.41996068538377945</v>
      </c>
      <c r="T330" s="13">
        <f>((((VLOOKUP(B330,Database!$F:$AY,MATCH($T$1,Database!$F$1:$AY$1,),))))-(((VLOOKUP(EDATE(B330,-12),Database!$F:$AY,MATCH($T$1,Database!$F$1:$AY$1,),)))))/(((VLOOKUP(EDATE(B330,-12),Database!$F:$AY,MATCH($T$1,Database!$F$1:$AY$1,),))))</f>
        <v>3.4196942418829472E-2</v>
      </c>
      <c r="U330" s="13">
        <f>((((VLOOKUP(B330,Database!$F:$AY,MATCH($U$1,Database!$F$1:$AY$1,),))))-(((VLOOKUP(EDATE(B330,-12),Database!$F:$AY,MATCH($U$1,Database!$F$1:$AY$1,),)))))/(((VLOOKUP(EDATE(B330,-12),Database!$F:$AY,MATCH($U$1,Database!$F$1:$AY$1,),))))</f>
        <v>7.7487359412442558E-2</v>
      </c>
      <c r="V330" s="13">
        <f>((((VLOOKUP(B330,Database!$F:$AY,MATCH($V$1,Database!$F$1:$AY$1,),))))-(((VLOOKUP(EDATE(B330,-12),Database!$F:$AY,MATCH($V$1,Database!$F$1:$AY$1,),)))))/(((VLOOKUP(EDATE(B330,-12),Database!$F:$AY,MATCH($V$1,Database!$F$1:$AY$1,),))))</f>
        <v>4.5690550363447623E-2</v>
      </c>
    </row>
    <row r="331" spans="1:22" s="85" customFormat="1" x14ac:dyDescent="0.2">
      <c r="A331" s="44"/>
      <c r="B331" s="91">
        <v>42217</v>
      </c>
      <c r="C331" s="13">
        <f>((((VLOOKUP(B331,Database!$F:$AY,MATCH($C$1,Database!$F$1:$AY$1,),))))-(((VLOOKUP(EDATE(B331,-12),Database!$F:$AY,MATCH($C$1,Database!$F$1:$AY$1,),)))))/(((VLOOKUP(EDATE(B331,-12),Database!$F:$AY,MATCH($C$1,Database!$F$1:$AY$1,),))))</f>
        <v>-1.2668208786133657E-2</v>
      </c>
      <c r="D331" s="13">
        <f>((((VLOOKUP(B331,Database!$F:$AY,MATCH($D$1,Database!$F$1:$AY$1,),))))-(((VLOOKUP(EDATE(B331,-12),Database!$F:$AY,MATCH($D$1,Database!$F$1:$AY$1,),)))))/(((VLOOKUP(EDATE(B331,-12),Database!$F:$AY,MATCH($D$1,Database!$F$1:$AY$1,),))))</f>
        <v>3.6307089781460314E-2</v>
      </c>
      <c r="E331" s="13">
        <f>((((VLOOKUP(B331,Database!$F:$AY,MATCH($E$1,Database!$F$1:$AY$1,),))))-(((VLOOKUP(EDATE(B331,-12),Database!$F:$AY,MATCH($E$1,Database!$F$1:$AY$1,),)))))/(((VLOOKUP(EDATE(B331,-12),Database!$F:$AY,MATCH($E$1,Database!$F$1:$AY$1,),))))</f>
        <v>-7.0351590097305393E-3</v>
      </c>
      <c r="F331" s="13">
        <f>((((VLOOKUP(B331,Database!$F:$AY,MATCH($F$1,Database!$F$1:$AY$1,),))))-(((VLOOKUP(EDATE(B331,-12),Database!$F:$AY,MATCH($F$1,Database!$F$1:$AY$1,),)))))/(((VLOOKUP(EDATE(B331,-12),Database!$F:$AY,MATCH($F$1,Database!$F$1:$AY$1,),))))</f>
        <v>2.0682489150595208E-2</v>
      </c>
      <c r="G331" s="13">
        <f>((((VLOOKUP(B331,Database!$F:$AY,MATCH($G$1,Database!$F$1:$AY$1,),))))-(((VLOOKUP(EDATE(B331,-12),Database!$F:$AY,MATCH($G$1,Database!$F$1:$AY$1,),)))))/(((VLOOKUP(EDATE(B331,-12),Database!$F:$AY,MATCH($G$1,Database!$F$1:$AY$1,),))))</f>
        <v>1.6266741167875558E-2</v>
      </c>
      <c r="H331" s="13">
        <f>((((VLOOKUP(B331,Database!$F:$AY,MATCH($H$1,Database!$F$1:$AY$1,),))))-(((VLOOKUP(EDATE(B331,-12),Database!$F:$AY,MATCH($H$1,Database!$F$1:$AY$1,),)))))/(((VLOOKUP(EDATE(B331,-12),Database!$F:$AY,MATCH($H$1,Database!$F$1:$AY$1,),))))</f>
        <v>4.175297128858755E-3</v>
      </c>
      <c r="I331" s="13">
        <f>((((VLOOKUP(B331,Database!$F:$AY,MATCH($I$1,Database!$F$1:$AY$1,),))))-(((VLOOKUP(EDATE(B331,-12),Database!$F:$AY,MATCH($I$1,Database!$F$1:$AY$1,),)))))/(((VLOOKUP(EDATE(B331,-12),Database!$F:$AY,MATCH($I$1,Database!$F$1:$AY$1,),))))</f>
        <v>1.5400462543694654E-2</v>
      </c>
      <c r="J331" s="13">
        <f>((((VLOOKUP(B331,Database!$F:$AY,MATCH($J$1,Database!$F$1:$AY$1,),))))-(((VLOOKUP(EDATE(B331,-12),Database!$F:$AY,MATCH($J$1,Database!$F$1:$AY$1,),)))))/(((VLOOKUP(EDATE(B331,-12),Database!$F:$AY,MATCH($J$1,Database!$F$1:$AY$1,),))))</f>
        <v>2.5140939757814028E-2</v>
      </c>
      <c r="K331" s="13">
        <f>((((VLOOKUP(B331,Database!$F:$AY,MATCH($K$1,Database!$F$1:$AY$1,),))))-(((VLOOKUP(EDATE(B331,-12),Database!$F:$AY,MATCH($K$1,Database!$F$1:$AY$1,),)))))/(((VLOOKUP(EDATE(B331,-12),Database!$F:$AY,MATCH($K$1,Database!$F$1:$AY$1,),))))</f>
        <v>7.549120992761113E-2</v>
      </c>
      <c r="L331" s="13">
        <f>((((VLOOKUP(B331,Database!$F:$AY,MATCH($L$1,Database!$F$1:$AY$1,),))))-(((VLOOKUP(EDATE(B331,-12),Database!$F:$AY,MATCH($L$1,Database!$F$1:$AY$1,),)))))/(((VLOOKUP(EDATE(B331,-12),Database!$F:$AY,MATCH($L$1,Database!$F$1:$AY$1,),))))</f>
        <v>1.1576617140802986E-2</v>
      </c>
      <c r="M331" s="13">
        <f>((((VLOOKUP(B331,Database!$F:$AY,MATCH($M$1,Database!$F$1:$AY$1,),))))-(((VLOOKUP(EDATE(B331,-12),Database!$F:$AY,MATCH($M$1,Database!$F$1:$AY$1,),)))))/(((VLOOKUP(EDATE(B331,-12),Database!$F:$AY,MATCH($M$1,Database!$F$1:$AY$1,),))))</f>
        <v>6.3291139240506333E-2</v>
      </c>
      <c r="N331" s="13">
        <f>((((VLOOKUP(B331,Database!$F:$AY,MATCH($N$1,Database!$F$1:$AY$1,),))))-(((VLOOKUP(EDATE(B331,-12),Database!$F:$AY,MATCH($N$1,Database!$F$1:$AY$1,),)))))/(((VLOOKUP(EDATE(B331,-12),Database!$F:$AY,MATCH($N$1,Database!$F$1:$AY$1,),))))</f>
        <v>3.3813579445452754E-2</v>
      </c>
      <c r="O331" s="13">
        <f>((((VLOOKUP(B331,Database!$F:$AY,MATCH($O$1,Database!$F$1:$AY$1,),))))-(((VLOOKUP(EDATE(B331,-12),Database!$F:$AY,MATCH($O$1,Database!$F$1:$AY$1,),)))))/(((VLOOKUP(EDATE(B331,-12),Database!$F:$AY,MATCH($O$1,Database!$F$1:$AY$1,),))))</f>
        <v>2.4154171017612806E-2</v>
      </c>
      <c r="P331" s="13">
        <f>((((VLOOKUP(B331,Database!$F:$AY,MATCH($P$1,Database!$F$1:$AY$1,),))))-(((VLOOKUP(EDATE(B331,-12),Database!$F:$AY,MATCH($P$1,Database!$F$1:$AY$1,),)))))/(((VLOOKUP(EDATE(B331,-12),Database!$F:$AY,MATCH($P$1,Database!$F$1:$AY$1,),))))</f>
        <v>2.4203572249140562E-2</v>
      </c>
      <c r="Q331" s="13">
        <f>((((VLOOKUP(B331,Database!$F:$AY,MATCH($Q$1,Database!$F$1:$AY$1,),))))-(((VLOOKUP(EDATE(B331,-12),Database!$F:$AY,MATCH($Q$1,Database!$F$1:$AY$1,),)))))/(((VLOOKUP(EDATE(B331,-12),Database!$F:$AY,MATCH($Q$1,Database!$F$1:$AY$1,),))))</f>
        <v>-8.9717453603244818E-2</v>
      </c>
      <c r="R331" s="13">
        <f>((((VLOOKUP(B331,Database!$F:$AY,MATCH($R$1,Database!$F$1:$AY$1,),))))-(((VLOOKUP(EDATE(B331,-12),Database!$F:$AY,MATCH($R$1,Database!$F$1:$AY$1,),)))))/(((VLOOKUP(EDATE(B331,-12),Database!$F:$AY,MATCH($R$1,Database!$F$1:$AY$1,),))))</f>
        <v>4.8856307610011154E-2</v>
      </c>
      <c r="S331" s="13">
        <f>((((VLOOKUP(B331,Database!$F:$AY,MATCH($S$1,Database!$F$1:$AY$1,),))))-(((VLOOKUP(EDATE(B331,-12),Database!$F:$AY,MATCH($S$1,Database!$F$1:$AY$1,),)))))/(((VLOOKUP(EDATE(B331,-12),Database!$F:$AY,MATCH($S$1,Database!$F$1:$AY$1,),))))</f>
        <v>0.47764247120304798</v>
      </c>
      <c r="T331" s="13">
        <f>((((VLOOKUP(B331,Database!$F:$AY,MATCH($T$1,Database!$F$1:$AY$1,),))))-(((VLOOKUP(EDATE(B331,-12),Database!$F:$AY,MATCH($T$1,Database!$F$1:$AY$1,),)))))/(((VLOOKUP(EDATE(B331,-12),Database!$F:$AY,MATCH($T$1,Database!$F$1:$AY$1,),))))</f>
        <v>0.11764760353123106</v>
      </c>
      <c r="U331" s="13">
        <f>((((VLOOKUP(B331,Database!$F:$AY,MATCH($U$1,Database!$F$1:$AY$1,),))))-(((VLOOKUP(EDATE(B331,-12),Database!$F:$AY,MATCH($U$1,Database!$F$1:$AY$1,),)))))/(((VLOOKUP(EDATE(B331,-12),Database!$F:$AY,MATCH($U$1,Database!$F$1:$AY$1,),))))</f>
        <v>5.0051927318024339E-2</v>
      </c>
      <c r="V331" s="13">
        <f>((((VLOOKUP(B331,Database!$F:$AY,MATCH($V$1,Database!$F$1:$AY$1,),))))-(((VLOOKUP(EDATE(B331,-12),Database!$F:$AY,MATCH($V$1,Database!$F$1:$AY$1,),)))))/(((VLOOKUP(EDATE(B331,-12),Database!$F:$AY,MATCH($V$1,Database!$F$1:$AY$1,),))))</f>
        <v>3.4663865546218454E-2</v>
      </c>
    </row>
    <row r="332" spans="1:22" s="85" customFormat="1" x14ac:dyDescent="0.2">
      <c r="A332" s="44"/>
      <c r="B332" s="91">
        <v>42248</v>
      </c>
      <c r="C332" s="13">
        <f>((((VLOOKUP(B332,Database!$F:$AY,MATCH($C$1,Database!$F$1:$AY$1,),))))-(((VLOOKUP(EDATE(B332,-12),Database!$F:$AY,MATCH($C$1,Database!$F$1:$AY$1,),)))))/(((VLOOKUP(EDATE(B332,-12),Database!$F:$AY,MATCH($C$1,Database!$F$1:$AY$1,),))))</f>
        <v>-1.9251204307169117E-2</v>
      </c>
      <c r="D332" s="13">
        <f>((((VLOOKUP(B332,Database!$F:$AY,MATCH($D$1,Database!$F$1:$AY$1,),))))-(((VLOOKUP(EDATE(B332,-12),Database!$F:$AY,MATCH($D$1,Database!$F$1:$AY$1,),)))))/(((VLOOKUP(EDATE(B332,-12),Database!$F:$AY,MATCH($D$1,Database!$F$1:$AY$1,),))))</f>
        <v>2.8747398052057383E-2</v>
      </c>
      <c r="E332" s="13">
        <f>((((VLOOKUP(B332,Database!$F:$AY,MATCH($E$1,Database!$F$1:$AY$1,),))))-(((VLOOKUP(EDATE(B332,-12),Database!$F:$AY,MATCH($E$1,Database!$F$1:$AY$1,),)))))/(((VLOOKUP(EDATE(B332,-12),Database!$F:$AY,MATCH($E$1,Database!$F$1:$AY$1,),))))</f>
        <v>-9.9411879321925807E-4</v>
      </c>
      <c r="F332" s="13">
        <f>((((VLOOKUP(B332,Database!$F:$AY,MATCH($F$1,Database!$F$1:$AY$1,),))))-(((VLOOKUP(EDATE(B332,-12),Database!$F:$AY,MATCH($F$1,Database!$F$1:$AY$1,),)))))/(((VLOOKUP(EDATE(B332,-12),Database!$F:$AY,MATCH($F$1,Database!$F$1:$AY$1,),))))</f>
        <v>2.0182307829088447E-3</v>
      </c>
      <c r="G332" s="13">
        <f>((((VLOOKUP(B332,Database!$F:$AY,MATCH($G$1,Database!$F$1:$AY$1,),))))-(((VLOOKUP(EDATE(B332,-12),Database!$F:$AY,MATCH($G$1,Database!$F$1:$AY$1,),)))))/(((VLOOKUP(EDATE(B332,-12),Database!$F:$AY,MATCH($G$1,Database!$F$1:$AY$1,),))))</f>
        <v>2.0479751834200803E-2</v>
      </c>
      <c r="H332" s="13">
        <f>((((VLOOKUP(B332,Database!$F:$AY,MATCH($H$1,Database!$F$1:$AY$1,),))))-(((VLOOKUP(EDATE(B332,-12),Database!$F:$AY,MATCH($H$1,Database!$F$1:$AY$1,),)))))/(((VLOOKUP(EDATE(B332,-12),Database!$F:$AY,MATCH($H$1,Database!$F$1:$AY$1,),))))</f>
        <v>5.1918981983884093E-3</v>
      </c>
      <c r="I332" s="13">
        <f>((((VLOOKUP(B332,Database!$F:$AY,MATCH($I$1,Database!$F$1:$AY$1,),))))-(((VLOOKUP(EDATE(B332,-12),Database!$F:$AY,MATCH($I$1,Database!$F$1:$AY$1,),)))))/(((VLOOKUP(EDATE(B332,-12),Database!$F:$AY,MATCH($I$1,Database!$F$1:$AY$1,),))))</f>
        <v>1.9387736774817144E-2</v>
      </c>
      <c r="J332" s="13">
        <f>((((VLOOKUP(B332,Database!$F:$AY,MATCH($J$1,Database!$F$1:$AY$1,),))))-(((VLOOKUP(EDATE(B332,-12),Database!$F:$AY,MATCH($J$1,Database!$F$1:$AY$1,),)))))/(((VLOOKUP(EDATE(B332,-12),Database!$F:$AY,MATCH($J$1,Database!$F$1:$AY$1,),))))</f>
        <v>4.023029362622265E-2</v>
      </c>
      <c r="K332" s="13">
        <f>((((VLOOKUP(B332,Database!$F:$AY,MATCH($K$1,Database!$F$1:$AY$1,),))))-(((VLOOKUP(EDATE(B332,-12),Database!$F:$AY,MATCH($K$1,Database!$F$1:$AY$1,),)))))/(((VLOOKUP(EDATE(B332,-12),Database!$F:$AY,MATCH($K$1,Database!$F$1:$AY$1,),))))</f>
        <v>8.4121976866456366E-2</v>
      </c>
      <c r="L332" s="13">
        <f>((((VLOOKUP(B332,Database!$F:$AY,MATCH($L$1,Database!$F$1:$AY$1,),))))-(((VLOOKUP(EDATE(B332,-12),Database!$F:$AY,MATCH($L$1,Database!$F$1:$AY$1,),)))))/(((VLOOKUP(EDATE(B332,-12),Database!$F:$AY,MATCH($L$1,Database!$F$1:$AY$1,),))))</f>
        <v>1.4385560092628244E-2</v>
      </c>
      <c r="M332" s="13">
        <f>((((VLOOKUP(B332,Database!$F:$AY,MATCH($M$1,Database!$F$1:$AY$1,),))))-(((VLOOKUP(EDATE(B332,-12),Database!$F:$AY,MATCH($M$1,Database!$F$1:$AY$1,),)))))/(((VLOOKUP(EDATE(B332,-12),Database!$F:$AY,MATCH($M$1,Database!$F$1:$AY$1,),))))</f>
        <v>3.8381742738589089E-2</v>
      </c>
      <c r="N332" s="13">
        <f>((((VLOOKUP(B332,Database!$F:$AY,MATCH($N$1,Database!$F$1:$AY$1,),))))-(((VLOOKUP(EDATE(B332,-12),Database!$F:$AY,MATCH($N$1,Database!$F$1:$AY$1,),)))))/(((VLOOKUP(EDATE(B332,-12),Database!$F:$AY,MATCH($N$1,Database!$F$1:$AY$1,),))))</f>
        <v>1.8970659974613623E-2</v>
      </c>
      <c r="O332" s="13">
        <f>((((VLOOKUP(B332,Database!$F:$AY,MATCH($O$1,Database!$F$1:$AY$1,),))))-(((VLOOKUP(EDATE(B332,-12),Database!$F:$AY,MATCH($O$1,Database!$F$1:$AY$1,),)))))/(((VLOOKUP(EDATE(B332,-12),Database!$F:$AY,MATCH($O$1,Database!$F$1:$AY$1,),))))</f>
        <v>-1.643059686008708E-2</v>
      </c>
      <c r="P332" s="13">
        <f>((((VLOOKUP(B332,Database!$F:$AY,MATCH($P$1,Database!$F$1:$AY$1,),))))-(((VLOOKUP(EDATE(B332,-12),Database!$F:$AY,MATCH($P$1,Database!$F$1:$AY$1,),)))))/(((VLOOKUP(EDATE(B332,-12),Database!$F:$AY,MATCH($P$1,Database!$F$1:$AY$1,),))))</f>
        <v>3.7713931852643982E-2</v>
      </c>
      <c r="Q332" s="13">
        <f>((((VLOOKUP(B332,Database!$F:$AY,MATCH($Q$1,Database!$F$1:$AY$1,),))))-(((VLOOKUP(EDATE(B332,-12),Database!$F:$AY,MATCH($Q$1,Database!$F$1:$AY$1,),)))))/(((VLOOKUP(EDATE(B332,-12),Database!$F:$AY,MATCH($Q$1,Database!$F$1:$AY$1,),))))</f>
        <v>-0.11178219189233442</v>
      </c>
      <c r="R332" s="13">
        <f>((((VLOOKUP(B332,Database!$F:$AY,MATCH($R$1,Database!$F$1:$AY$1,),))))-(((VLOOKUP(EDATE(B332,-12),Database!$F:$AY,MATCH($R$1,Database!$F$1:$AY$1,),)))))/(((VLOOKUP(EDATE(B332,-12),Database!$F:$AY,MATCH($R$1,Database!$F$1:$AY$1,),))))</f>
        <v>3.2888172557927524E-2</v>
      </c>
      <c r="S332" s="13">
        <f>((((VLOOKUP(B332,Database!$F:$AY,MATCH($S$1,Database!$F$1:$AY$1,),))))-(((VLOOKUP(EDATE(B332,-12),Database!$F:$AY,MATCH($S$1,Database!$F$1:$AY$1,),)))))/(((VLOOKUP(EDATE(B332,-12),Database!$F:$AY,MATCH($S$1,Database!$F$1:$AY$1,),))))</f>
        <v>0.35550412788136426</v>
      </c>
      <c r="T332" s="13">
        <f>((((VLOOKUP(B332,Database!$F:$AY,MATCH($T$1,Database!$F$1:$AY$1,),))))-(((VLOOKUP(EDATE(B332,-12),Database!$F:$AY,MATCH($T$1,Database!$F$1:$AY$1,),)))))/(((VLOOKUP(EDATE(B332,-12),Database!$F:$AY,MATCH($T$1,Database!$F$1:$AY$1,),))))</f>
        <v>6.8677933646921735E-2</v>
      </c>
      <c r="U332" s="13">
        <f>((((VLOOKUP(B332,Database!$F:$AY,MATCH($U$1,Database!$F$1:$AY$1,),))))-(((VLOOKUP(EDATE(B332,-12),Database!$F:$AY,MATCH($U$1,Database!$F$1:$AY$1,),)))))/(((VLOOKUP(EDATE(B332,-12),Database!$F:$AY,MATCH($U$1,Database!$F$1:$AY$1,),))))</f>
        <v>2.4640656240767909E-2</v>
      </c>
      <c r="V332" s="13">
        <f>((((VLOOKUP(B332,Database!$F:$AY,MATCH($V$1,Database!$F$1:$AY$1,),))))-(((VLOOKUP(EDATE(B332,-12),Database!$F:$AY,MATCH($V$1,Database!$F$1:$AY$1,),)))))/(((VLOOKUP(EDATE(B332,-12),Database!$F:$AY,MATCH($V$1,Database!$F$1:$AY$1,),))))</f>
        <v>4.7866805411030271E-2</v>
      </c>
    </row>
    <row r="333" spans="1:22" s="85" customFormat="1" x14ac:dyDescent="0.2">
      <c r="A333" s="44"/>
      <c r="B333" s="91">
        <v>42278</v>
      </c>
      <c r="C333" s="13">
        <f>((((VLOOKUP(B333,Database!$F:$AY,MATCH($C$1,Database!$F$1:$AY$1,),))))-(((VLOOKUP(EDATE(B333,-12),Database!$F:$AY,MATCH($C$1,Database!$F$1:$AY$1,),)))))/(((VLOOKUP(EDATE(B333,-12),Database!$F:$AY,MATCH($C$1,Database!$F$1:$AY$1,),))))</f>
        <v>-2.3036666725689121E-2</v>
      </c>
      <c r="D333" s="13">
        <f>((((VLOOKUP(B333,Database!$F:$AY,MATCH($D$1,Database!$F$1:$AY$1,),))))-(((VLOOKUP(EDATE(B333,-12),Database!$F:$AY,MATCH($D$1,Database!$F$1:$AY$1,),)))))/(((VLOOKUP(EDATE(B333,-12),Database!$F:$AY,MATCH($D$1,Database!$F$1:$AY$1,),))))</f>
        <v>3.2955851963797821E-2</v>
      </c>
      <c r="E333" s="13">
        <f>((((VLOOKUP(B333,Database!$F:$AY,MATCH($E$1,Database!$F$1:$AY$1,),))))-(((VLOOKUP(EDATE(B333,-12),Database!$F:$AY,MATCH($E$1,Database!$F$1:$AY$1,),)))))/(((VLOOKUP(EDATE(B333,-12),Database!$F:$AY,MATCH($E$1,Database!$F$1:$AY$1,),))))</f>
        <v>0</v>
      </c>
      <c r="F333" s="13">
        <f>((((VLOOKUP(B333,Database!$F:$AY,MATCH($F$1,Database!$F$1:$AY$1,),))))-(((VLOOKUP(EDATE(B333,-12),Database!$F:$AY,MATCH($F$1,Database!$F$1:$AY$1,),)))))/(((VLOOKUP(EDATE(B333,-12),Database!$F:$AY,MATCH($F$1,Database!$F$1:$AY$1,),))))</f>
        <v>9.0638968623066203E-3</v>
      </c>
      <c r="G333" s="13">
        <f>((((VLOOKUP(B333,Database!$F:$AY,MATCH($G$1,Database!$F$1:$AY$1,),))))-(((VLOOKUP(EDATE(B333,-12),Database!$F:$AY,MATCH($G$1,Database!$F$1:$AY$1,),)))))/(((VLOOKUP(EDATE(B333,-12),Database!$F:$AY,MATCH($G$1,Database!$F$1:$AY$1,),))))</f>
        <v>4.0679957467306557E-2</v>
      </c>
      <c r="H333" s="13">
        <f>((((VLOOKUP(B333,Database!$F:$AY,MATCH($H$1,Database!$F$1:$AY$1,),))))-(((VLOOKUP(EDATE(B333,-12),Database!$F:$AY,MATCH($H$1,Database!$F$1:$AY$1,),)))))/(((VLOOKUP(EDATE(B333,-12),Database!$F:$AY,MATCH($H$1,Database!$F$1:$AY$1,),))))</f>
        <v>6.2560637317032189E-3</v>
      </c>
      <c r="I333" s="13">
        <f>((((VLOOKUP(B333,Database!$F:$AY,MATCH($I$1,Database!$F$1:$AY$1,),))))-(((VLOOKUP(EDATE(B333,-12),Database!$F:$AY,MATCH($I$1,Database!$F$1:$AY$1,),)))))/(((VLOOKUP(EDATE(B333,-12),Database!$F:$AY,MATCH($I$1,Database!$F$1:$AY$1,),))))</f>
        <v>2.2494921611565816E-2</v>
      </c>
      <c r="J333" s="13">
        <f>((((VLOOKUP(B333,Database!$F:$AY,MATCH($J$1,Database!$F$1:$AY$1,),))))-(((VLOOKUP(EDATE(B333,-12),Database!$F:$AY,MATCH($J$1,Database!$F$1:$AY$1,),)))))/(((VLOOKUP(EDATE(B333,-12),Database!$F:$AY,MATCH($J$1,Database!$F$1:$AY$1,),))))</f>
        <v>4.1654361791017142E-2</v>
      </c>
      <c r="K333" s="13">
        <f>((((VLOOKUP(B333,Database!$F:$AY,MATCH($K$1,Database!$F$1:$AY$1,),))))-(((VLOOKUP(EDATE(B333,-12),Database!$F:$AY,MATCH($K$1,Database!$F$1:$AY$1,),)))))/(((VLOOKUP(EDATE(B333,-12),Database!$F:$AY,MATCH($K$1,Database!$F$1:$AY$1,),))))</f>
        <v>7.4112734864300714E-2</v>
      </c>
      <c r="L333" s="13">
        <f>((((VLOOKUP(B333,Database!$F:$AY,MATCH($L$1,Database!$F$1:$AY$1,),))))-(((VLOOKUP(EDATE(B333,-12),Database!$F:$AY,MATCH($L$1,Database!$F$1:$AY$1,),)))))/(((VLOOKUP(EDATE(B333,-12),Database!$F:$AY,MATCH($L$1,Database!$F$1:$AY$1,),))))</f>
        <v>5.965596321886168E-3</v>
      </c>
      <c r="M333" s="13">
        <f>((((VLOOKUP(B333,Database!$F:$AY,MATCH($M$1,Database!$F$1:$AY$1,),))))-(((VLOOKUP(EDATE(B333,-12),Database!$F:$AY,MATCH($M$1,Database!$F$1:$AY$1,),)))))/(((VLOOKUP(EDATE(B333,-12),Database!$F:$AY,MATCH($M$1,Database!$F$1:$AY$1,),))))</f>
        <v>3.073770491803279E-2</v>
      </c>
      <c r="N333" s="13">
        <f>((((VLOOKUP(B333,Database!$F:$AY,MATCH($N$1,Database!$F$1:$AY$1,),))))-(((VLOOKUP(EDATE(B333,-12),Database!$F:$AY,MATCH($N$1,Database!$F$1:$AY$1,),)))))/(((VLOOKUP(EDATE(B333,-12),Database!$F:$AY,MATCH($N$1,Database!$F$1:$AY$1,),))))</f>
        <v>9.5115561728098305E-2</v>
      </c>
      <c r="O333" s="13">
        <f>((((VLOOKUP(B333,Database!$F:$AY,MATCH($O$1,Database!$F$1:$AY$1,),))))-(((VLOOKUP(EDATE(B333,-12),Database!$F:$AY,MATCH($O$1,Database!$F$1:$AY$1,),)))))/(((VLOOKUP(EDATE(B333,-12),Database!$F:$AY,MATCH($O$1,Database!$F$1:$AY$1,),))))</f>
        <v>-2.6468261863759713E-2</v>
      </c>
      <c r="P333" s="13">
        <f>((((VLOOKUP(B333,Database!$F:$AY,MATCH($P$1,Database!$F$1:$AY$1,),))))-(((VLOOKUP(EDATE(B333,-12),Database!$F:$AY,MATCH($P$1,Database!$F$1:$AY$1,),)))))/(((VLOOKUP(EDATE(B333,-12),Database!$F:$AY,MATCH($P$1,Database!$F$1:$AY$1,),))))</f>
        <v>3.4000933434217159E-2</v>
      </c>
      <c r="Q333" s="13">
        <f>((((VLOOKUP(B333,Database!$F:$AY,MATCH($Q$1,Database!$F$1:$AY$1,),))))-(((VLOOKUP(EDATE(B333,-12),Database!$F:$AY,MATCH($Q$1,Database!$F$1:$AY$1,),)))))/(((VLOOKUP(EDATE(B333,-12),Database!$F:$AY,MATCH($Q$1,Database!$F$1:$AY$1,),))))</f>
        <v>-0.117351680536387</v>
      </c>
      <c r="R333" s="13">
        <f>((((VLOOKUP(B333,Database!$F:$AY,MATCH($R$1,Database!$F$1:$AY$1,),))))-(((VLOOKUP(EDATE(B333,-12),Database!$F:$AY,MATCH($R$1,Database!$F$1:$AY$1,),)))))/(((VLOOKUP(EDATE(B333,-12),Database!$F:$AY,MATCH($R$1,Database!$F$1:$AY$1,),))))</f>
        <v>-2.0019325824950128E-3</v>
      </c>
      <c r="S333" s="13">
        <f>((((VLOOKUP(B333,Database!$F:$AY,MATCH($S$1,Database!$F$1:$AY$1,),))))-(((VLOOKUP(EDATE(B333,-12),Database!$F:$AY,MATCH($S$1,Database!$F$1:$AY$1,),)))))/(((VLOOKUP(EDATE(B333,-12),Database!$F:$AY,MATCH($S$1,Database!$F$1:$AY$1,),))))</f>
        <v>0.2210456221251772</v>
      </c>
      <c r="T333" s="13">
        <f>((((VLOOKUP(B333,Database!$F:$AY,MATCH($T$1,Database!$F$1:$AY$1,),))))-(((VLOOKUP(EDATE(B333,-12),Database!$F:$AY,MATCH($T$1,Database!$F$1:$AY$1,),)))))/(((VLOOKUP(EDATE(B333,-12),Database!$F:$AY,MATCH($T$1,Database!$F$1:$AY$1,),))))</f>
        <v>5.6901581575450666E-2</v>
      </c>
      <c r="U333" s="13">
        <f>((((VLOOKUP(B333,Database!$F:$AY,MATCH($U$1,Database!$F$1:$AY$1,),))))-(((VLOOKUP(EDATE(B333,-12),Database!$F:$AY,MATCH($U$1,Database!$F$1:$AY$1,),)))))/(((VLOOKUP(EDATE(B333,-12),Database!$F:$AY,MATCH($U$1,Database!$F$1:$AY$1,),))))</f>
        <v>5.7971359615836666E-2</v>
      </c>
      <c r="V333" s="13">
        <f>((((VLOOKUP(B333,Database!$F:$AY,MATCH($V$1,Database!$F$1:$AY$1,),))))-(((VLOOKUP(EDATE(B333,-12),Database!$F:$AY,MATCH($V$1,Database!$F$1:$AY$1,),)))))/(((VLOOKUP(EDATE(B333,-12),Database!$F:$AY,MATCH($V$1,Database!$F$1:$AY$1,),))))</f>
        <v>5.5093555093555062E-2</v>
      </c>
    </row>
    <row r="334" spans="1:22" s="85" customFormat="1" x14ac:dyDescent="0.2">
      <c r="A334" s="44"/>
      <c r="B334" s="91">
        <v>42309</v>
      </c>
      <c r="C334" s="13">
        <f>((((VLOOKUP(B334,Database!$F:$AY,MATCH($C$1,Database!$F$1:$AY$1,),))))-(((VLOOKUP(EDATE(B334,-12),Database!$F:$AY,MATCH($C$1,Database!$F$1:$AY$1,),)))))/(((VLOOKUP(EDATE(B334,-12),Database!$F:$AY,MATCH($C$1,Database!$F$1:$AY$1,),))))</f>
        <v>-3.728360429160419E-2</v>
      </c>
      <c r="D334" s="13">
        <f>((((VLOOKUP(B334,Database!$F:$AY,MATCH($D$1,Database!$F$1:$AY$1,),))))-(((VLOOKUP(EDATE(B334,-12),Database!$F:$AY,MATCH($D$1,Database!$F$1:$AY$1,),)))))/(((VLOOKUP(EDATE(B334,-12),Database!$F:$AY,MATCH($D$1,Database!$F$1:$AY$1,),))))</f>
        <v>3.0991734469803821E-2</v>
      </c>
      <c r="E334" s="13">
        <f>((((VLOOKUP(B334,Database!$F:$AY,MATCH($E$1,Database!$F$1:$AY$1,),))))-(((VLOOKUP(EDATE(B334,-12),Database!$F:$AY,MATCH($E$1,Database!$F$1:$AY$1,),)))))/(((VLOOKUP(EDATE(B334,-12),Database!$F:$AY,MATCH($E$1,Database!$F$1:$AY$1,),))))</f>
        <v>-5.9640168761606388E-3</v>
      </c>
      <c r="F334" s="13">
        <f>((((VLOOKUP(B334,Database!$F:$AY,MATCH($F$1,Database!$F$1:$AY$1,),))))-(((VLOOKUP(EDATE(B334,-12),Database!$F:$AY,MATCH($F$1,Database!$F$1:$AY$1,),)))))/(((VLOOKUP(EDATE(B334,-12),Database!$F:$AY,MATCH($F$1,Database!$F$1:$AY$1,),))))</f>
        <v>-1.0060194148969889E-3</v>
      </c>
      <c r="G334" s="13">
        <f>((((VLOOKUP(B334,Database!$F:$AY,MATCH($G$1,Database!$F$1:$AY$1,),))))-(((VLOOKUP(EDATE(B334,-12),Database!$F:$AY,MATCH($G$1,Database!$F$1:$AY$1,),)))))/(((VLOOKUP(EDATE(B334,-12),Database!$F:$AY,MATCH($G$1,Database!$F$1:$AY$1,),))))</f>
        <v>2.7826496953940915E-2</v>
      </c>
      <c r="H334" s="13">
        <f>((((VLOOKUP(B334,Database!$F:$AY,MATCH($H$1,Database!$F$1:$AY$1,),))))-(((VLOOKUP(EDATE(B334,-12),Database!$F:$AY,MATCH($H$1,Database!$F$1:$AY$1,),)))))/(((VLOOKUP(EDATE(B334,-12),Database!$F:$AY,MATCH($H$1,Database!$F$1:$AY$1,),))))</f>
        <v>-4.1666988558281843E-3</v>
      </c>
      <c r="I334" s="13">
        <f>((((VLOOKUP(B334,Database!$F:$AY,MATCH($I$1,Database!$F$1:$AY$1,),))))-(((VLOOKUP(EDATE(B334,-12),Database!$F:$AY,MATCH($I$1,Database!$F$1:$AY$1,),)))))/(((VLOOKUP(EDATE(B334,-12),Database!$F:$AY,MATCH($I$1,Database!$F$1:$AY$1,),))))</f>
        <v>2.8629686420698689E-2</v>
      </c>
      <c r="J334" s="13">
        <f>((((VLOOKUP(B334,Database!$F:$AY,MATCH($J$1,Database!$F$1:$AY$1,),))))-(((VLOOKUP(EDATE(B334,-12),Database!$F:$AY,MATCH($J$1,Database!$F$1:$AY$1,),)))))/(((VLOOKUP(EDATE(B334,-12),Database!$F:$AY,MATCH($J$1,Database!$F$1:$AY$1,),))))</f>
        <v>3.9193915378898103E-2</v>
      </c>
      <c r="K334" s="13">
        <f>((((VLOOKUP(B334,Database!$F:$AY,MATCH($K$1,Database!$F$1:$AY$1,),))))-(((VLOOKUP(EDATE(B334,-12),Database!$F:$AY,MATCH($K$1,Database!$F$1:$AY$1,),)))))/(((VLOOKUP(EDATE(B334,-12),Database!$F:$AY,MATCH($K$1,Database!$F$1:$AY$1,),))))</f>
        <v>7.555089192025187E-2</v>
      </c>
      <c r="L334" s="13">
        <f>((((VLOOKUP(B334,Database!$F:$AY,MATCH($L$1,Database!$F$1:$AY$1,),))))-(((VLOOKUP(EDATE(B334,-12),Database!$F:$AY,MATCH($L$1,Database!$F$1:$AY$1,),)))))/(((VLOOKUP(EDATE(B334,-12),Database!$F:$AY,MATCH($L$1,Database!$F$1:$AY$1,),))))</f>
        <v>-2.9792656256274574E-3</v>
      </c>
      <c r="M334" s="13">
        <f>((((VLOOKUP(B334,Database!$F:$AY,MATCH($M$1,Database!$F$1:$AY$1,),))))-(((VLOOKUP(EDATE(B334,-12),Database!$F:$AY,MATCH($M$1,Database!$F$1:$AY$1,),)))))/(((VLOOKUP(EDATE(B334,-12),Database!$F:$AY,MATCH($M$1,Database!$F$1:$AY$1,),))))</f>
        <v>2.4564994882292645E-2</v>
      </c>
      <c r="N334" s="13">
        <f>((((VLOOKUP(B334,Database!$F:$AY,MATCH($N$1,Database!$F$1:$AY$1,),))))-(((VLOOKUP(EDATE(B334,-12),Database!$F:$AY,MATCH($N$1,Database!$F$1:$AY$1,),)))))/(((VLOOKUP(EDATE(B334,-12),Database!$F:$AY,MATCH($N$1,Database!$F$1:$AY$1,),))))</f>
        <v>2.1393411026577988E-3</v>
      </c>
      <c r="O334" s="13">
        <f>((((VLOOKUP(B334,Database!$F:$AY,MATCH($O$1,Database!$F$1:$AY$1,),))))-(((VLOOKUP(EDATE(B334,-12),Database!$F:$AY,MATCH($O$1,Database!$F$1:$AY$1,),)))))/(((VLOOKUP(EDATE(B334,-12),Database!$F:$AY,MATCH($O$1,Database!$F$1:$AY$1,),))))</f>
        <v>-1.9798501252235326E-2</v>
      </c>
      <c r="P334" s="13">
        <f>((((VLOOKUP(B334,Database!$F:$AY,MATCH($P$1,Database!$F$1:$AY$1,),))))-(((VLOOKUP(EDATE(B334,-12),Database!$F:$AY,MATCH($P$1,Database!$F$1:$AY$1,),)))))/(((VLOOKUP(EDATE(B334,-12),Database!$F:$AY,MATCH($P$1,Database!$F$1:$AY$1,),))))</f>
        <v>2.1310864513304179E-2</v>
      </c>
      <c r="Q334" s="13">
        <f>((((VLOOKUP(B334,Database!$F:$AY,MATCH($Q$1,Database!$F$1:$AY$1,),))))-(((VLOOKUP(EDATE(B334,-12),Database!$F:$AY,MATCH($Q$1,Database!$F$1:$AY$1,),)))))/(((VLOOKUP(EDATE(B334,-12),Database!$F:$AY,MATCH($Q$1,Database!$F$1:$AY$1,),))))</f>
        <v>-0.12373213436943861</v>
      </c>
      <c r="R334" s="13">
        <f>((((VLOOKUP(B334,Database!$F:$AY,MATCH($R$1,Database!$F$1:$AY$1,),))))-(((VLOOKUP(EDATE(B334,-12),Database!$F:$AY,MATCH($R$1,Database!$F$1:$AY$1,),)))))/(((VLOOKUP(EDATE(B334,-12),Database!$F:$AY,MATCH($R$1,Database!$F$1:$AY$1,),))))</f>
        <v>3.5176167604358981E-2</v>
      </c>
      <c r="S334" s="13">
        <f>((((VLOOKUP(B334,Database!$F:$AY,MATCH($S$1,Database!$F$1:$AY$1,),))))-(((VLOOKUP(EDATE(B334,-12),Database!$F:$AY,MATCH($S$1,Database!$F$1:$AY$1,),)))))/(((VLOOKUP(EDATE(B334,-12),Database!$F:$AY,MATCH($S$1,Database!$F$1:$AY$1,),))))</f>
        <v>0.25283334532988033</v>
      </c>
      <c r="T334" s="13">
        <f>((((VLOOKUP(B334,Database!$F:$AY,MATCH($T$1,Database!$F$1:$AY$1,),))))-(((VLOOKUP(EDATE(B334,-12),Database!$F:$AY,MATCH($T$1,Database!$F$1:$AY$1,),)))))/(((VLOOKUP(EDATE(B334,-12),Database!$F:$AY,MATCH($T$1,Database!$F$1:$AY$1,),))))</f>
        <v>7.1055872788556476E-2</v>
      </c>
      <c r="U334" s="13">
        <f>((((VLOOKUP(B334,Database!$F:$AY,MATCH($U$1,Database!$F$1:$AY$1,),))))-(((VLOOKUP(EDATE(B334,-12),Database!$F:$AY,MATCH($U$1,Database!$F$1:$AY$1,),)))))/(((VLOOKUP(EDATE(B334,-12),Database!$F:$AY,MATCH($U$1,Database!$F$1:$AY$1,),))))</f>
        <v>2.2517877083305174E-2</v>
      </c>
      <c r="V334" s="13">
        <f>((((VLOOKUP(B334,Database!$F:$AY,MATCH($V$1,Database!$F$1:$AY$1,),))))-(((VLOOKUP(EDATE(B334,-12),Database!$F:$AY,MATCH($V$1,Database!$F$1:$AY$1,),)))))/(((VLOOKUP(EDATE(B334,-12),Database!$F:$AY,MATCH($V$1,Database!$F$1:$AY$1,),))))</f>
        <v>5.8151609553478804E-2</v>
      </c>
    </row>
    <row r="335" spans="1:22" s="85" customFormat="1" x14ac:dyDescent="0.2">
      <c r="A335" s="44"/>
      <c r="B335" s="91">
        <v>42339</v>
      </c>
      <c r="C335" s="13">
        <f>((((VLOOKUP(B335,Database!$F:$AY,MATCH($C$1,Database!$F$1:$AY$1,),))))-(((VLOOKUP(EDATE(B335,-12),Database!$F:$AY,MATCH($C$1,Database!$F$1:$AY$1,),)))))/(((VLOOKUP(EDATE(B335,-12),Database!$F:$AY,MATCH($C$1,Database!$F$1:$AY$1,),))))</f>
        <v>-4.1377621639375022E-2</v>
      </c>
      <c r="D335" s="13">
        <f>((((VLOOKUP(B335,Database!$F:$AY,MATCH($D$1,Database!$F$1:$AY$1,),))))-(((VLOOKUP(EDATE(B335,-12),Database!$F:$AY,MATCH($D$1,Database!$F$1:$AY$1,),)))))/(((VLOOKUP(EDATE(B335,-12),Database!$F:$AY,MATCH($D$1,Database!$F$1:$AY$1,),))))</f>
        <v>1.8348520028718323E-2</v>
      </c>
      <c r="E335" s="13">
        <f>((((VLOOKUP(B335,Database!$F:$AY,MATCH($E$1,Database!$F$1:$AY$1,),))))-(((VLOOKUP(EDATE(B335,-12),Database!$F:$AY,MATCH($E$1,Database!$F$1:$AY$1,),)))))/(((VLOOKUP(EDATE(B335,-12),Database!$F:$AY,MATCH($E$1,Database!$F$1:$AY$1,),))))</f>
        <v>-2.0958522512343793E-2</v>
      </c>
      <c r="F335" s="13">
        <f>((((VLOOKUP(B335,Database!$F:$AY,MATCH($F$1,Database!$F$1:$AY$1,),))))-(((VLOOKUP(EDATE(B335,-12),Database!$F:$AY,MATCH($F$1,Database!$F$1:$AY$1,),)))))/(((VLOOKUP(EDATE(B335,-12),Database!$F:$AY,MATCH($F$1,Database!$F$1:$AY$1,),))))</f>
        <v>-9.8910295217406463E-3</v>
      </c>
      <c r="G335" s="13">
        <f>((((VLOOKUP(B335,Database!$F:$AY,MATCH($G$1,Database!$F$1:$AY$1,),))))-(((VLOOKUP(EDATE(B335,-12),Database!$F:$AY,MATCH($G$1,Database!$F$1:$AY$1,),)))))/(((VLOOKUP(EDATE(B335,-12),Database!$F:$AY,MATCH($G$1,Database!$F$1:$AY$1,),))))</f>
        <v>3.0196023525922949E-3</v>
      </c>
      <c r="H335" s="13">
        <f>((((VLOOKUP(B335,Database!$F:$AY,MATCH($H$1,Database!$F$1:$AY$1,),))))-(((VLOOKUP(EDATE(B335,-12),Database!$F:$AY,MATCH($H$1,Database!$F$1:$AY$1,),)))))/(((VLOOKUP(EDATE(B335,-12),Database!$F:$AY,MATCH($H$1,Database!$F$1:$AY$1,),))))</f>
        <v>-1.2474009768032045E-2</v>
      </c>
      <c r="I335" s="13">
        <f>((((VLOOKUP(B335,Database!$F:$AY,MATCH($I$1,Database!$F$1:$AY$1,),))))-(((VLOOKUP(EDATE(B335,-12),Database!$F:$AY,MATCH($I$1,Database!$F$1:$AY$1,),)))))/(((VLOOKUP(EDATE(B335,-12),Database!$F:$AY,MATCH($I$1,Database!$F$1:$AY$1,),))))</f>
        <v>-1.0122300673425966E-3</v>
      </c>
      <c r="J335" s="13">
        <f>((((VLOOKUP(B335,Database!$F:$AY,MATCH($J$1,Database!$F$1:$AY$1,),))))-(((VLOOKUP(EDATE(B335,-12),Database!$F:$AY,MATCH($J$1,Database!$F$1:$AY$1,),)))))/(((VLOOKUP(EDATE(B335,-12),Database!$F:$AY,MATCH($J$1,Database!$F$1:$AY$1,),))))</f>
        <v>3.6072962596693174E-2</v>
      </c>
      <c r="K335" s="13">
        <f>((((VLOOKUP(B335,Database!$F:$AY,MATCH($K$1,Database!$F$1:$AY$1,),))))-(((VLOOKUP(EDATE(B335,-12),Database!$F:$AY,MATCH($K$1,Database!$F$1:$AY$1,),)))))/(((VLOOKUP(EDATE(B335,-12),Database!$F:$AY,MATCH($K$1,Database!$F$1:$AY$1,),))))</f>
        <v>2.1276595744680792E-2</v>
      </c>
      <c r="L335" s="13">
        <f>((((VLOOKUP(B335,Database!$F:$AY,MATCH($L$1,Database!$F$1:$AY$1,),))))-(((VLOOKUP(EDATE(B335,-12),Database!$F:$AY,MATCH($L$1,Database!$F$1:$AY$1,),)))))/(((VLOOKUP(EDATE(B335,-12),Database!$F:$AY,MATCH($L$1,Database!$F$1:$AY$1,),))))</f>
        <v>1.3385085347027712E-3</v>
      </c>
      <c r="M335" s="13">
        <f>((((VLOOKUP(B335,Database!$F:$AY,MATCH($M$1,Database!$F$1:$AY$1,),))))-(((VLOOKUP(EDATE(B335,-12),Database!$F:$AY,MATCH($M$1,Database!$F$1:$AY$1,),)))))/(((VLOOKUP(EDATE(B335,-12),Database!$F:$AY,MATCH($M$1,Database!$F$1:$AY$1,),))))</f>
        <v>-8.9463220675943499E-3</v>
      </c>
      <c r="N335" s="13">
        <f>((((VLOOKUP(B335,Database!$F:$AY,MATCH($N$1,Database!$F$1:$AY$1,),))))-(((VLOOKUP(EDATE(B335,-12),Database!$F:$AY,MATCH($N$1,Database!$F$1:$AY$1,),)))))/(((VLOOKUP(EDATE(B335,-12),Database!$F:$AY,MATCH($N$1,Database!$F$1:$AY$1,),))))</f>
        <v>3.5228142048668983E-2</v>
      </c>
      <c r="O335" s="13">
        <f>((((VLOOKUP(B335,Database!$F:$AY,MATCH($O$1,Database!$F$1:$AY$1,),))))-(((VLOOKUP(EDATE(B335,-12),Database!$F:$AY,MATCH($O$1,Database!$F$1:$AY$1,),)))))/(((VLOOKUP(EDATE(B335,-12),Database!$F:$AY,MATCH($O$1,Database!$F$1:$AY$1,),))))</f>
        <v>-1.9387751103168777E-2</v>
      </c>
      <c r="P335" s="13">
        <f>((((VLOOKUP(B335,Database!$F:$AY,MATCH($P$1,Database!$F$1:$AY$1,),))))-(((VLOOKUP(EDATE(B335,-12),Database!$F:$AY,MATCH($P$1,Database!$F$1:$AY$1,),)))))/(((VLOOKUP(EDATE(B335,-12),Database!$F:$AY,MATCH($P$1,Database!$F$1:$AY$1,),))))</f>
        <v>-1.3177694180128409E-2</v>
      </c>
      <c r="Q335" s="13">
        <f>((((VLOOKUP(B335,Database!$F:$AY,MATCH($Q$1,Database!$F$1:$AY$1,),))))-(((VLOOKUP(EDATE(B335,-12),Database!$F:$AY,MATCH($Q$1,Database!$F$1:$AY$1,),)))))/(((VLOOKUP(EDATE(B335,-12),Database!$F:$AY,MATCH($Q$1,Database!$F$1:$AY$1,),))))</f>
        <v>-0.11111149192857386</v>
      </c>
      <c r="R335" s="13">
        <f>((((VLOOKUP(B335,Database!$F:$AY,MATCH($R$1,Database!$F$1:$AY$1,),))))-(((VLOOKUP(EDATE(B335,-12),Database!$F:$AY,MATCH($R$1,Database!$F$1:$AY$1,),)))))/(((VLOOKUP(EDATE(B335,-12),Database!$F:$AY,MATCH($R$1,Database!$F$1:$AY$1,),))))</f>
        <v>9.5041649260879255E-2</v>
      </c>
      <c r="S335" s="13">
        <f>((((VLOOKUP(B335,Database!$F:$AY,MATCH($S$1,Database!$F$1:$AY$1,),))))-(((VLOOKUP(EDATE(B335,-12),Database!$F:$AY,MATCH($S$1,Database!$F$1:$AY$1,),)))))/(((VLOOKUP(EDATE(B335,-12),Database!$F:$AY,MATCH($S$1,Database!$F$1:$AY$1,),))))</f>
        <v>0.4487799327685465</v>
      </c>
      <c r="T335" s="13">
        <f>((((VLOOKUP(B335,Database!$F:$AY,MATCH($T$1,Database!$F$1:$AY$1,),))))-(((VLOOKUP(EDATE(B335,-12),Database!$F:$AY,MATCH($T$1,Database!$F$1:$AY$1,),)))))/(((VLOOKUP(EDATE(B335,-12),Database!$F:$AY,MATCH($T$1,Database!$F$1:$AY$1,),))))</f>
        <v>8.0544057909430339E-2</v>
      </c>
      <c r="U335" s="13">
        <f>((((VLOOKUP(B335,Database!$F:$AY,MATCH($U$1,Database!$F$1:$AY$1,),))))-(((VLOOKUP(EDATE(B335,-12),Database!$F:$AY,MATCH($U$1,Database!$F$1:$AY$1,),)))))/(((VLOOKUP(EDATE(B335,-12),Database!$F:$AY,MATCH($U$1,Database!$F$1:$AY$1,),))))</f>
        <v>3.0272450031785872E-3</v>
      </c>
      <c r="V335" s="13">
        <f>((((VLOOKUP(B335,Database!$F:$AY,MATCH($V$1,Database!$F$1:$AY$1,),))))-(((VLOOKUP(EDATE(B335,-12),Database!$F:$AY,MATCH($V$1,Database!$F$1:$AY$1,),)))))/(((VLOOKUP(EDATE(B335,-12),Database!$F:$AY,MATCH($V$1,Database!$F$1:$AY$1,),))))</f>
        <v>4.3967280163599153E-2</v>
      </c>
    </row>
    <row r="336" spans="1:22" s="85" customFormat="1" x14ac:dyDescent="0.2">
      <c r="A336" s="44"/>
      <c r="B336" s="91">
        <v>42370</v>
      </c>
      <c r="C336" s="13">
        <f>((((VLOOKUP(B336,Database!$F:$AY,MATCH($C$1,Database!$F$1:$AY$1,),))))-(((VLOOKUP(EDATE(B336,-12),Database!$F:$AY,MATCH($C$1,Database!$F$1:$AY$1,),)))))/(((VLOOKUP(EDATE(B336,-12),Database!$F:$AY,MATCH($C$1,Database!$F$1:$AY$1,),))))</f>
        <v>-2.8572410934089382E-2</v>
      </c>
      <c r="D336" s="13">
        <f>((((VLOOKUP(B336,Database!$F:$AY,MATCH($D$1,Database!$F$1:$AY$1,),))))-(((VLOOKUP(EDATE(B336,-12),Database!$F:$AY,MATCH($D$1,Database!$F$1:$AY$1,),)))))/(((VLOOKUP(EDATE(B336,-12),Database!$F:$AY,MATCH($D$1,Database!$F$1:$AY$1,),))))</f>
        <v>5.2147750596469665E-2</v>
      </c>
      <c r="E336" s="13">
        <f>((((VLOOKUP(B336,Database!$F:$AY,MATCH($E$1,Database!$F$1:$AY$1,),))))-(((VLOOKUP(EDATE(B336,-12),Database!$F:$AY,MATCH($E$1,Database!$F$1:$AY$1,),)))))/(((VLOOKUP(EDATE(B336,-12),Database!$F:$AY,MATCH($E$1,Database!$F$1:$AY$1,),))))</f>
        <v>-2.3369045509166287E-2</v>
      </c>
      <c r="F336" s="13">
        <f>((((VLOOKUP(B336,Database!$F:$AY,MATCH($F$1,Database!$F$1:$AY$1,),))))-(((VLOOKUP(EDATE(B336,-12),Database!$F:$AY,MATCH($F$1,Database!$F$1:$AY$1,),)))))/(((VLOOKUP(EDATE(B336,-12),Database!$F:$AY,MATCH($F$1,Database!$F$1:$AY$1,),))))</f>
        <v>3.1344775338208127E-2</v>
      </c>
      <c r="G336" s="13">
        <f>((((VLOOKUP(B336,Database!$F:$AY,MATCH($G$1,Database!$F$1:$AY$1,),))))-(((VLOOKUP(EDATE(B336,-12),Database!$F:$AY,MATCH($G$1,Database!$F$1:$AY$1,),)))))/(((VLOOKUP(EDATE(B336,-12),Database!$F:$AY,MATCH($G$1,Database!$F$1:$AY$1,),))))</f>
        <v>2.210784494511811E-2</v>
      </c>
      <c r="H336" s="13">
        <f>((((VLOOKUP(B336,Database!$F:$AY,MATCH($H$1,Database!$F$1:$AY$1,),))))-(((VLOOKUP(EDATE(B336,-12),Database!$F:$AY,MATCH($H$1,Database!$F$1:$AY$1,),)))))/(((VLOOKUP(EDATE(B336,-12),Database!$F:$AY,MATCH($H$1,Database!$F$1:$AY$1,),))))</f>
        <v>1.044990552009117E-3</v>
      </c>
      <c r="I336" s="13">
        <f>((((VLOOKUP(B336,Database!$F:$AY,MATCH($I$1,Database!$F$1:$AY$1,),))))-(((VLOOKUP(EDATE(B336,-12),Database!$F:$AY,MATCH($I$1,Database!$F$1:$AY$1,),)))))/(((VLOOKUP(EDATE(B336,-12),Database!$F:$AY,MATCH($I$1,Database!$F$1:$AY$1,),))))</f>
        <v>3.4587724043335925E-2</v>
      </c>
      <c r="J336" s="13">
        <f>((((VLOOKUP(B336,Database!$F:$AY,MATCH($J$1,Database!$F$1:$AY$1,),))))-(((VLOOKUP(EDATE(B336,-12),Database!$F:$AY,MATCH($J$1,Database!$F$1:$AY$1,),)))))/(((VLOOKUP(EDATE(B336,-12),Database!$F:$AY,MATCH($J$1,Database!$F$1:$AY$1,),))))</f>
        <v>5.3071375146255539E-2</v>
      </c>
      <c r="K336" s="13">
        <f>((((VLOOKUP(B336,Database!$F:$AY,MATCH($K$1,Database!$F$1:$AY$1,),))))-(((VLOOKUP(EDATE(B336,-12),Database!$F:$AY,MATCH($K$1,Database!$F$1:$AY$1,),)))))/(((VLOOKUP(EDATE(B336,-12),Database!$F:$AY,MATCH($K$1,Database!$F$1:$AY$1,),))))</f>
        <v>7.0749736008447764E-2</v>
      </c>
      <c r="L336" s="13">
        <f>((((VLOOKUP(B336,Database!$F:$AY,MATCH($L$1,Database!$F$1:$AY$1,),))))-(((VLOOKUP(EDATE(B336,-12),Database!$F:$AY,MATCH($L$1,Database!$F$1:$AY$1,),)))))/(((VLOOKUP(EDATE(B336,-12),Database!$F:$AY,MATCH($L$1,Database!$F$1:$AY$1,),))))</f>
        <v>7.3803608278083556E-3</v>
      </c>
      <c r="M336" s="13">
        <f>((((VLOOKUP(B336,Database!$F:$AY,MATCH($M$1,Database!$F$1:$AY$1,),))))-(((VLOOKUP(EDATE(B336,-12),Database!$F:$AY,MATCH($M$1,Database!$F$1:$AY$1,),)))))/(((VLOOKUP(EDATE(B336,-12),Database!$F:$AY,MATCH($M$1,Database!$F$1:$AY$1,),))))</f>
        <v>-7.9443892750744507E-3</v>
      </c>
      <c r="N336" s="13">
        <f>((((VLOOKUP(B336,Database!$F:$AY,MATCH($N$1,Database!$F$1:$AY$1,),))))-(((VLOOKUP(EDATE(B336,-12),Database!$F:$AY,MATCH($N$1,Database!$F$1:$AY$1,),)))))/(((VLOOKUP(EDATE(B336,-12),Database!$F:$AY,MATCH($N$1,Database!$F$1:$AY$1,),))))</f>
        <v>4.5096785228716275E-2</v>
      </c>
      <c r="O336" s="13">
        <f>((((VLOOKUP(B336,Database!$F:$AY,MATCH($O$1,Database!$F$1:$AY$1,),))))-(((VLOOKUP(EDATE(B336,-12),Database!$F:$AY,MATCH($O$1,Database!$F$1:$AY$1,),)))))/(((VLOOKUP(EDATE(B336,-12),Database!$F:$AY,MATCH($O$1,Database!$F$1:$AY$1,),))))</f>
        <v>-6.788885677848115E-3</v>
      </c>
      <c r="P336" s="13">
        <f>((((VLOOKUP(B336,Database!$F:$AY,MATCH($P$1,Database!$F$1:$AY$1,),))))-(((VLOOKUP(EDATE(B336,-12),Database!$F:$AY,MATCH($P$1,Database!$F$1:$AY$1,),)))))/(((VLOOKUP(EDATE(B336,-12),Database!$F:$AY,MATCH($P$1,Database!$F$1:$AY$1,),))))</f>
        <v>1.2307692938908644E-2</v>
      </c>
      <c r="Q336" s="13">
        <f>((((VLOOKUP(B336,Database!$F:$AY,MATCH($Q$1,Database!$F$1:$AY$1,),))))-(((VLOOKUP(EDATE(B336,-12),Database!$F:$AY,MATCH($Q$1,Database!$F$1:$AY$1,),)))))/(((VLOOKUP(EDATE(B336,-12),Database!$F:$AY,MATCH($Q$1,Database!$F$1:$AY$1,),))))</f>
        <v>-0.10312523061028704</v>
      </c>
      <c r="R336" s="13">
        <f>((((VLOOKUP(B336,Database!$F:$AY,MATCH($R$1,Database!$F$1:$AY$1,),))))-(((VLOOKUP(EDATE(B336,-12),Database!$F:$AY,MATCH($R$1,Database!$F$1:$AY$1,),)))))/(((VLOOKUP(EDATE(B336,-12),Database!$F:$AY,MATCH($R$1,Database!$F$1:$AY$1,),))))</f>
        <v>4.1794066234984516E-2</v>
      </c>
      <c r="S336" s="13">
        <f>((((VLOOKUP(B336,Database!$F:$AY,MATCH($S$1,Database!$F$1:$AY$1,),))))-(((VLOOKUP(EDATE(B336,-12),Database!$F:$AY,MATCH($S$1,Database!$F$1:$AY$1,),)))))/(((VLOOKUP(EDATE(B336,-12),Database!$F:$AY,MATCH($S$1,Database!$F$1:$AY$1,),))))</f>
        <v>0.50895091611287657</v>
      </c>
      <c r="T336" s="13">
        <f>((((VLOOKUP(B336,Database!$F:$AY,MATCH($T$1,Database!$F$1:$AY$1,),))))-(((VLOOKUP(EDATE(B336,-12),Database!$F:$AY,MATCH($T$1,Database!$F$1:$AY$1,),)))))/(((VLOOKUP(EDATE(B336,-12),Database!$F:$AY,MATCH($T$1,Database!$F$1:$AY$1,),))))</f>
        <v>7.7731579951985444E-2</v>
      </c>
      <c r="U336" s="13">
        <f>((((VLOOKUP(B336,Database!$F:$AY,MATCH($U$1,Database!$F$1:$AY$1,),))))-(((VLOOKUP(EDATE(B336,-12),Database!$F:$AY,MATCH($U$1,Database!$F$1:$AY$1,),)))))/(((VLOOKUP(EDATE(B336,-12),Database!$F:$AY,MATCH($U$1,Database!$F$1:$AY$1,),))))</f>
        <v>4.0692233354856104E-2</v>
      </c>
      <c r="V336" s="13">
        <f>((((VLOOKUP(B336,Database!$F:$AY,MATCH($V$1,Database!$F$1:$AY$1,),))))-(((VLOOKUP(EDATE(B336,-12),Database!$F:$AY,MATCH($V$1,Database!$F$1:$AY$1,),)))))/(((VLOOKUP(EDATE(B336,-12),Database!$F:$AY,MATCH($V$1,Database!$F$1:$AY$1,),))))</f>
        <v>3.3468559837728312E-2</v>
      </c>
    </row>
    <row r="337" spans="1:22" s="85" customFormat="1" x14ac:dyDescent="0.2">
      <c r="A337" s="44"/>
      <c r="B337" s="91">
        <v>42401</v>
      </c>
      <c r="C337" s="13">
        <f>((((VLOOKUP(B337,Database!$F:$AY,MATCH($C$1,Database!$F$1:$AY$1,),))))-(((VLOOKUP(EDATE(B337,-12),Database!$F:$AY,MATCH($C$1,Database!$F$1:$AY$1,),)))))/(((VLOOKUP(EDATE(B337,-12),Database!$F:$AY,MATCH($C$1,Database!$F$1:$AY$1,),))))</f>
        <v>-3.0537774552348122E-2</v>
      </c>
      <c r="D337" s="13">
        <f>((((VLOOKUP(B337,Database!$F:$AY,MATCH($D$1,Database!$F$1:$AY$1,),))))-(((VLOOKUP(EDATE(B337,-12),Database!$F:$AY,MATCH($D$1,Database!$F$1:$AY$1,),)))))/(((VLOOKUP(EDATE(B337,-12),Database!$F:$AY,MATCH($D$1,Database!$F$1:$AY$1,),))))</f>
        <v>6.9861943058373947E-3</v>
      </c>
      <c r="E337" s="13">
        <f>((((VLOOKUP(B337,Database!$F:$AY,MATCH($E$1,Database!$F$1:$AY$1,),))))-(((VLOOKUP(EDATE(B337,-12),Database!$F:$AY,MATCH($E$1,Database!$F$1:$AY$1,),)))))/(((VLOOKUP(EDATE(B337,-12),Database!$F:$AY,MATCH($E$1,Database!$F$1:$AY$1,),))))</f>
        <v>-3.0060619276014366E-3</v>
      </c>
      <c r="F337" s="13">
        <f>((((VLOOKUP(B337,Database!$F:$AY,MATCH($F$1,Database!$F$1:$AY$1,),))))-(((VLOOKUP(EDATE(B337,-12),Database!$F:$AY,MATCH($F$1,Database!$F$1:$AY$1,),)))))/(((VLOOKUP(EDATE(B337,-12),Database!$F:$AY,MATCH($F$1,Database!$F$1:$AY$1,),))))</f>
        <v>2.3138547154632177E-2</v>
      </c>
      <c r="G337" s="13">
        <f>((((VLOOKUP(B337,Database!$F:$AY,MATCH($G$1,Database!$F$1:$AY$1,),))))-(((VLOOKUP(EDATE(B337,-12),Database!$F:$AY,MATCH($G$1,Database!$F$1:$AY$1,),)))))/(((VLOOKUP(EDATE(B337,-12),Database!$F:$AY,MATCH($G$1,Database!$F$1:$AY$1,),))))</f>
        <v>5.2962502548195992E-3</v>
      </c>
      <c r="H337" s="13">
        <f>((((VLOOKUP(B337,Database!$F:$AY,MATCH($H$1,Database!$F$1:$AY$1,),))))-(((VLOOKUP(EDATE(B337,-12),Database!$F:$AY,MATCH($H$1,Database!$F$1:$AY$1,),)))))/(((VLOOKUP(EDATE(B337,-12),Database!$F:$AY,MATCH($H$1,Database!$F$1:$AY$1,),))))</f>
        <v>-1.0384296483291517E-2</v>
      </c>
      <c r="I337" s="13">
        <f>((((VLOOKUP(B337,Database!$F:$AY,MATCH($I$1,Database!$F$1:$AY$1,),))))-(((VLOOKUP(EDATE(B337,-12),Database!$F:$AY,MATCH($I$1,Database!$F$1:$AY$1,),)))))/(((VLOOKUP(EDATE(B337,-12),Database!$F:$AY,MATCH($I$1,Database!$F$1:$AY$1,),))))</f>
        <v>1.3104620717876363E-2</v>
      </c>
      <c r="J337" s="13">
        <f>((((VLOOKUP(B337,Database!$F:$AY,MATCH($J$1,Database!$F$1:$AY$1,),))))-(((VLOOKUP(EDATE(B337,-12),Database!$F:$AY,MATCH($J$1,Database!$F$1:$AY$1,),)))))/(((VLOOKUP(EDATE(B337,-12),Database!$F:$AY,MATCH($J$1,Database!$F$1:$AY$1,),))))</f>
        <v>2.6732109465882899E-2</v>
      </c>
      <c r="K337" s="13">
        <f>((((VLOOKUP(B337,Database!$F:$AY,MATCH($K$1,Database!$F$1:$AY$1,),))))-(((VLOOKUP(EDATE(B337,-12),Database!$F:$AY,MATCH($K$1,Database!$F$1:$AY$1,),)))))/(((VLOOKUP(EDATE(B337,-12),Database!$F:$AY,MATCH($K$1,Database!$F$1:$AY$1,),))))</f>
        <v>5.9498956158663914E-2</v>
      </c>
      <c r="L337" s="13">
        <f>((((VLOOKUP(B337,Database!$F:$AY,MATCH($L$1,Database!$F$1:$AY$1,),))))-(((VLOOKUP(EDATE(B337,-12),Database!$F:$AY,MATCH($L$1,Database!$F$1:$AY$1,),)))))/(((VLOOKUP(EDATE(B337,-12),Database!$F:$AY,MATCH($L$1,Database!$F$1:$AY$1,),))))</f>
        <v>3.8023368813901899E-3</v>
      </c>
      <c r="M337" s="13">
        <f>((((VLOOKUP(B337,Database!$F:$AY,MATCH($M$1,Database!$F$1:$AY$1,),))))-(((VLOOKUP(EDATE(B337,-12),Database!$F:$AY,MATCH($M$1,Database!$F$1:$AY$1,),)))))/(((VLOOKUP(EDATE(B337,-12),Database!$F:$AY,MATCH($M$1,Database!$F$1:$AY$1,),))))</f>
        <v>-1.0020040080159752E-3</v>
      </c>
      <c r="N337" s="13">
        <f>((((VLOOKUP(B337,Database!$F:$AY,MATCH($N$1,Database!$F$1:$AY$1,),))))-(((VLOOKUP(EDATE(B337,-12),Database!$F:$AY,MATCH($N$1,Database!$F$1:$AY$1,),)))))/(((VLOOKUP(EDATE(B337,-12),Database!$F:$AY,MATCH($N$1,Database!$F$1:$AY$1,),))))</f>
        <v>3.3823518413220961E-2</v>
      </c>
      <c r="O337" s="13">
        <f>((((VLOOKUP(B337,Database!$F:$AY,MATCH($O$1,Database!$F$1:$AY$1,),))))-(((VLOOKUP(EDATE(B337,-12),Database!$F:$AY,MATCH($O$1,Database!$F$1:$AY$1,),)))))/(((VLOOKUP(EDATE(B337,-12),Database!$F:$AY,MATCH($O$1,Database!$F$1:$AY$1,),))))</f>
        <v>-9.65496431127362E-3</v>
      </c>
      <c r="P337" s="13">
        <f>((((VLOOKUP(B337,Database!$F:$AY,MATCH($P$1,Database!$F$1:$AY$1,),))))-(((VLOOKUP(EDATE(B337,-12),Database!$F:$AY,MATCH($P$1,Database!$F$1:$AY$1,),)))))/(((VLOOKUP(EDATE(B337,-12),Database!$F:$AY,MATCH($P$1,Database!$F$1:$AY$1,),))))</f>
        <v>6.9657563418234819E-3</v>
      </c>
      <c r="Q337" s="13">
        <f>((((VLOOKUP(B337,Database!$F:$AY,MATCH($Q$1,Database!$F$1:$AY$1,),))))-(((VLOOKUP(EDATE(B337,-12),Database!$F:$AY,MATCH($Q$1,Database!$F$1:$AY$1,),)))))/(((VLOOKUP(EDATE(B337,-12),Database!$F:$AY,MATCH($Q$1,Database!$F$1:$AY$1,),))))</f>
        <v>-0.11087895007856938</v>
      </c>
      <c r="R337" s="13">
        <f>((((VLOOKUP(B337,Database!$F:$AY,MATCH($R$1,Database!$F$1:$AY$1,),))))-(((VLOOKUP(EDATE(B337,-12),Database!$F:$AY,MATCH($R$1,Database!$F$1:$AY$1,),)))))/(((VLOOKUP(EDATE(B337,-12),Database!$F:$AY,MATCH($R$1,Database!$F$1:$AY$1,),))))</f>
        <v>-3.2416744852057436E-2</v>
      </c>
      <c r="S337" s="13">
        <f>((((VLOOKUP(B337,Database!$F:$AY,MATCH($S$1,Database!$F$1:$AY$1,),))))-(((VLOOKUP(EDATE(B337,-12),Database!$F:$AY,MATCH($S$1,Database!$F$1:$AY$1,),)))))/(((VLOOKUP(EDATE(B337,-12),Database!$F:$AY,MATCH($S$1,Database!$F$1:$AY$1,),))))</f>
        <v>-0.13748862377198603</v>
      </c>
      <c r="T337" s="13">
        <f>((((VLOOKUP(B337,Database!$F:$AY,MATCH($T$1,Database!$F$1:$AY$1,),))))-(((VLOOKUP(EDATE(B337,-12),Database!$F:$AY,MATCH($T$1,Database!$F$1:$AY$1,),)))))/(((VLOOKUP(EDATE(B337,-12),Database!$F:$AY,MATCH($T$1,Database!$F$1:$AY$1,),))))</f>
        <v>8.9286113853811563E-2</v>
      </c>
      <c r="U337" s="13">
        <f>((((VLOOKUP(B337,Database!$F:$AY,MATCH($U$1,Database!$F$1:$AY$1,),))))-(((VLOOKUP(EDATE(B337,-12),Database!$F:$AY,MATCH($U$1,Database!$F$1:$AY$1,),)))))/(((VLOOKUP(EDATE(B337,-12),Database!$F:$AY,MATCH($U$1,Database!$F$1:$AY$1,),))))</f>
        <v>4.1455643973839044E-2</v>
      </c>
      <c r="V337" s="13">
        <f>((((VLOOKUP(B337,Database!$F:$AY,MATCH($V$1,Database!$F$1:$AY$1,),))))-(((VLOOKUP(EDATE(B337,-12),Database!$F:$AY,MATCH($V$1,Database!$F$1:$AY$1,),)))))/(((VLOOKUP(EDATE(B337,-12),Database!$F:$AY,MATCH($V$1,Database!$F$1:$AY$1,),))))</f>
        <v>2.4193548387096687E-2</v>
      </c>
    </row>
    <row r="338" spans="1:22" s="85" customFormat="1" x14ac:dyDescent="0.2">
      <c r="A338" s="44"/>
      <c r="B338" s="91">
        <v>42430</v>
      </c>
      <c r="C338" s="13">
        <f>((((VLOOKUP(B338,Database!$F:$AY,MATCH($C$1,Database!$F$1:$AY$1,),))))-(((VLOOKUP(EDATE(B338,-12),Database!$F:$AY,MATCH($C$1,Database!$F$1:$AY$1,),)))))/(((VLOOKUP(EDATE(B338,-12),Database!$F:$AY,MATCH($C$1,Database!$F$1:$AY$1,),))))</f>
        <v>-3.5482765824934349E-2</v>
      </c>
      <c r="D338" s="13">
        <f>((((VLOOKUP(B338,Database!$F:$AY,MATCH($D$1,Database!$F$1:$AY$1,),))))-(((VLOOKUP(EDATE(B338,-12),Database!$F:$AY,MATCH($D$1,Database!$F$1:$AY$1,),)))))/(((VLOOKUP(EDATE(B338,-12),Database!$F:$AY,MATCH($D$1,Database!$F$1:$AY$1,),))))</f>
        <v>-1.985435504632347E-3</v>
      </c>
      <c r="E338" s="13">
        <f>((((VLOOKUP(B338,Database!$F:$AY,MATCH($E$1,Database!$F$1:$AY$1,),))))-(((VLOOKUP(EDATE(B338,-12),Database!$F:$AY,MATCH($E$1,Database!$F$1:$AY$1,),)))))/(((VLOOKUP(EDATE(B338,-12),Database!$F:$AY,MATCH($E$1,Database!$F$1:$AY$1,),))))</f>
        <v>6.0422957682376233E-3</v>
      </c>
      <c r="F338" s="13">
        <f>((((VLOOKUP(B338,Database!$F:$AY,MATCH($F$1,Database!$F$1:$AY$1,),))))-(((VLOOKUP(EDATE(B338,-12),Database!$F:$AY,MATCH($F$1,Database!$F$1:$AY$1,),)))))/(((VLOOKUP(EDATE(B338,-12),Database!$F:$AY,MATCH($F$1,Database!$F$1:$AY$1,),))))</f>
        <v>1.1066112951863584E-2</v>
      </c>
      <c r="G338" s="13">
        <f>((((VLOOKUP(B338,Database!$F:$AY,MATCH($G$1,Database!$F$1:$AY$1,),))))-(((VLOOKUP(EDATE(B338,-12),Database!$F:$AY,MATCH($G$1,Database!$F$1:$AY$1,),)))))/(((VLOOKUP(EDATE(B338,-12),Database!$F:$AY,MATCH($G$1,Database!$F$1:$AY$1,),))))</f>
        <v>3.005084209377961E-3</v>
      </c>
      <c r="H338" s="13">
        <f>((((VLOOKUP(B338,Database!$F:$AY,MATCH($H$1,Database!$F$1:$AY$1,),))))-(((VLOOKUP(EDATE(B338,-12),Database!$F:$AY,MATCH($H$1,Database!$F$1:$AY$1,),)))))/(((VLOOKUP(EDATE(B338,-12),Database!$F:$AY,MATCH($H$1,Database!$F$1:$AY$1,),))))</f>
        <v>-6.1981974452198531E-3</v>
      </c>
      <c r="I338" s="13">
        <f>((((VLOOKUP(B338,Database!$F:$AY,MATCH($I$1,Database!$F$1:$AY$1,),))))-(((VLOOKUP(EDATE(B338,-12),Database!$F:$AY,MATCH($I$1,Database!$F$1:$AY$1,),)))))/(((VLOOKUP(EDATE(B338,-12),Database!$F:$AY,MATCH($I$1,Database!$F$1:$AY$1,),))))</f>
        <v>1.1055091926754522E-2</v>
      </c>
      <c r="J338" s="13">
        <f>((((VLOOKUP(B338,Database!$F:$AY,MATCH($J$1,Database!$F$1:$AY$1,),))))-(((VLOOKUP(EDATE(B338,-12),Database!$F:$AY,MATCH($J$1,Database!$F$1:$AY$1,),)))))/(((VLOOKUP(EDATE(B338,-12),Database!$F:$AY,MATCH($J$1,Database!$F$1:$AY$1,),))))</f>
        <v>3.5213793767994009E-2</v>
      </c>
      <c r="K338" s="13">
        <f>((((VLOOKUP(B338,Database!$F:$AY,MATCH($K$1,Database!$F$1:$AY$1,),))))-(((VLOOKUP(EDATE(B338,-12),Database!$F:$AY,MATCH($K$1,Database!$F$1:$AY$1,),)))))/(((VLOOKUP(EDATE(B338,-12),Database!$F:$AY,MATCH($K$1,Database!$F$1:$AY$1,),))))</f>
        <v>5.7113187954309454E-2</v>
      </c>
      <c r="L338" s="13">
        <f>((((VLOOKUP(B338,Database!$F:$AY,MATCH($L$1,Database!$F$1:$AY$1,),))))-(((VLOOKUP(EDATE(B338,-12),Database!$F:$AY,MATCH($L$1,Database!$F$1:$AY$1,),)))))/(((VLOOKUP(EDATE(B338,-12),Database!$F:$AY,MATCH($L$1,Database!$F$1:$AY$1,),))))</f>
        <v>-8.9430760899888875E-4</v>
      </c>
      <c r="M338" s="13">
        <f>((((VLOOKUP(B338,Database!$F:$AY,MATCH($M$1,Database!$F$1:$AY$1,),))))-(((VLOOKUP(EDATE(B338,-12),Database!$F:$AY,MATCH($M$1,Database!$F$1:$AY$1,),)))))/(((VLOOKUP(EDATE(B338,-12),Database!$F:$AY,MATCH($M$1,Database!$F$1:$AY$1,),))))</f>
        <v>1.2048192771084366E-2</v>
      </c>
      <c r="N338" s="13">
        <f>((((VLOOKUP(B338,Database!$F:$AY,MATCH($N$1,Database!$F$1:$AY$1,),))))-(((VLOOKUP(EDATE(B338,-12),Database!$F:$AY,MATCH($N$1,Database!$F$1:$AY$1,),)))))/(((VLOOKUP(EDATE(B338,-12),Database!$F:$AY,MATCH($N$1,Database!$F$1:$AY$1,),))))</f>
        <v>4.9881906811553182E-2</v>
      </c>
      <c r="O338" s="13">
        <f>((((VLOOKUP(B338,Database!$F:$AY,MATCH($O$1,Database!$F$1:$AY$1,),))))-(((VLOOKUP(EDATE(B338,-12),Database!$F:$AY,MATCH($O$1,Database!$F$1:$AY$1,),)))))/(((VLOOKUP(EDATE(B338,-12),Database!$F:$AY,MATCH($O$1,Database!$F$1:$AY$1,),))))</f>
        <v>-1.384339010875435E-2</v>
      </c>
      <c r="P338" s="13">
        <f>((((VLOOKUP(B338,Database!$F:$AY,MATCH($P$1,Database!$F$1:$AY$1,),))))-(((VLOOKUP(EDATE(B338,-12),Database!$F:$AY,MATCH($P$1,Database!$F$1:$AY$1,),)))))/(((VLOOKUP(EDATE(B338,-12),Database!$F:$AY,MATCH($P$1,Database!$F$1:$AY$1,),))))</f>
        <v>2.5329670346372232E-2</v>
      </c>
      <c r="Q338" s="13">
        <f>((((VLOOKUP(B338,Database!$F:$AY,MATCH($Q$1,Database!$F$1:$AY$1,),))))-(((VLOOKUP(EDATE(B338,-12),Database!$F:$AY,MATCH($Q$1,Database!$F$1:$AY$1,),)))))/(((VLOOKUP(EDATE(B338,-12),Database!$F:$AY,MATCH($Q$1,Database!$F$1:$AY$1,),))))</f>
        <v>-9.9051170197900967E-2</v>
      </c>
      <c r="R338" s="13">
        <f>((((VLOOKUP(B338,Database!$F:$AY,MATCH($R$1,Database!$F$1:$AY$1,),))))-(((VLOOKUP(EDATE(B338,-12),Database!$F:$AY,MATCH($R$1,Database!$F$1:$AY$1,),)))))/(((VLOOKUP(EDATE(B338,-12),Database!$F:$AY,MATCH($R$1,Database!$F$1:$AY$1,),))))</f>
        <v>-1.7699285795149754E-2</v>
      </c>
      <c r="S338" s="13">
        <f>((((VLOOKUP(B338,Database!$F:$AY,MATCH($S$1,Database!$F$1:$AY$1,),))))-(((VLOOKUP(EDATE(B338,-12),Database!$F:$AY,MATCH($S$1,Database!$F$1:$AY$1,),)))))/(((VLOOKUP(EDATE(B338,-12),Database!$F:$AY,MATCH($S$1,Database!$F$1:$AY$1,),))))</f>
        <v>-0.18292703746028202</v>
      </c>
      <c r="T338" s="13">
        <f>((((VLOOKUP(B338,Database!$F:$AY,MATCH($T$1,Database!$F$1:$AY$1,),))))-(((VLOOKUP(EDATE(B338,-12),Database!$F:$AY,MATCH($T$1,Database!$F$1:$AY$1,),)))))/(((VLOOKUP(EDATE(B338,-12),Database!$F:$AY,MATCH($T$1,Database!$F$1:$AY$1,),))))</f>
        <v>3.531838274310245E-2</v>
      </c>
      <c r="U338" s="13">
        <f>((((VLOOKUP(B338,Database!$F:$AY,MATCH($U$1,Database!$F$1:$AY$1,),))))-(((VLOOKUP(EDATE(B338,-12),Database!$F:$AY,MATCH($U$1,Database!$F$1:$AY$1,),)))))/(((VLOOKUP(EDATE(B338,-12),Database!$F:$AY,MATCH($U$1,Database!$F$1:$AY$1,),))))</f>
        <v>3.5282391309761636E-2</v>
      </c>
      <c r="V338" s="13">
        <f>((((VLOOKUP(B338,Database!$F:$AY,MATCH($V$1,Database!$F$1:$AY$1,),))))-(((VLOOKUP(EDATE(B338,-12),Database!$F:$AY,MATCH($V$1,Database!$F$1:$AY$1,),)))))/(((VLOOKUP(EDATE(B338,-12),Database!$F:$AY,MATCH($V$1,Database!$F$1:$AY$1,),))))</f>
        <v>9.9700897308084287E-4</v>
      </c>
    </row>
    <row r="339" spans="1:22" s="85" customFormat="1" x14ac:dyDescent="0.2">
      <c r="A339" s="44"/>
      <c r="B339" s="91">
        <v>42461</v>
      </c>
      <c r="C339" s="13">
        <f>((((VLOOKUP(B339,Database!$F:$AY,MATCH($C$1,Database!$F$1:$AY$1,),))))-(((VLOOKUP(EDATE(B339,-12),Database!$F:$AY,MATCH($C$1,Database!$F$1:$AY$1,),)))))/(((VLOOKUP(EDATE(B339,-12),Database!$F:$AY,MATCH($C$1,Database!$F$1:$AY$1,),))))</f>
        <v>-2.8801367338848593E-2</v>
      </c>
      <c r="D339" s="13">
        <f>((((VLOOKUP(B339,Database!$F:$AY,MATCH($D$1,Database!$F$1:$AY$1,),))))-(((VLOOKUP(EDATE(B339,-12),Database!$F:$AY,MATCH($D$1,Database!$F$1:$AY$1,),)))))/(((VLOOKUP(EDATE(B339,-12),Database!$F:$AY,MATCH($D$1,Database!$F$1:$AY$1,),))))</f>
        <v>1.8036372193081841E-2</v>
      </c>
      <c r="E339" s="13">
        <f>((((VLOOKUP(B339,Database!$F:$AY,MATCH($E$1,Database!$F$1:$AY$1,),))))-(((VLOOKUP(EDATE(B339,-12),Database!$F:$AY,MATCH($E$1,Database!$F$1:$AY$1,),)))))/(((VLOOKUP(EDATE(B339,-12),Database!$F:$AY,MATCH($E$1,Database!$F$1:$AY$1,),))))</f>
        <v>-5.0151617436555952E-3</v>
      </c>
      <c r="F339" s="13">
        <f>((((VLOOKUP(B339,Database!$F:$AY,MATCH($F$1,Database!$F$1:$AY$1,),))))-(((VLOOKUP(EDATE(B339,-12),Database!$F:$AY,MATCH($F$1,Database!$F$1:$AY$1,),)))))/(((VLOOKUP(EDATE(B339,-12),Database!$F:$AY,MATCH($F$1,Database!$F$1:$AY$1,),))))</f>
        <v>1.2000299624958707E-2</v>
      </c>
      <c r="G339" s="13">
        <f>((((VLOOKUP(B339,Database!$F:$AY,MATCH($G$1,Database!$F$1:$AY$1,),))))-(((VLOOKUP(EDATE(B339,-12),Database!$F:$AY,MATCH($G$1,Database!$F$1:$AY$1,),)))))/(((VLOOKUP(EDATE(B339,-12),Database!$F:$AY,MATCH($G$1,Database!$F$1:$AY$1,),))))</f>
        <v>1.8216234527855101E-2</v>
      </c>
      <c r="H339" s="13">
        <f>((((VLOOKUP(B339,Database!$F:$AY,MATCH($H$1,Database!$F$1:$AY$1,),))))-(((VLOOKUP(EDATE(B339,-12),Database!$F:$AY,MATCH($H$1,Database!$F$1:$AY$1,),)))))/(((VLOOKUP(EDATE(B339,-12),Database!$F:$AY,MATCH($H$1,Database!$F$1:$AY$1,),))))</f>
        <v>2.061771729578632E-2</v>
      </c>
      <c r="I339" s="13">
        <f>((((VLOOKUP(B339,Database!$F:$AY,MATCH($I$1,Database!$F$1:$AY$1,),))))-(((VLOOKUP(EDATE(B339,-12),Database!$F:$AY,MATCH($I$1,Database!$F$1:$AY$1,),)))))/(((VLOOKUP(EDATE(B339,-12),Database!$F:$AY,MATCH($I$1,Database!$F$1:$AY$1,),))))</f>
        <v>2.5075307172011386E-2</v>
      </c>
      <c r="J339" s="13">
        <f>((((VLOOKUP(B339,Database!$F:$AY,MATCH($J$1,Database!$F$1:$AY$1,),))))-(((VLOOKUP(EDATE(B339,-12),Database!$F:$AY,MATCH($J$1,Database!$F$1:$AY$1,),)))))/(((VLOOKUP(EDATE(B339,-12),Database!$F:$AY,MATCH($J$1,Database!$F$1:$AY$1,),))))</f>
        <v>3.1248921939169606E-2</v>
      </c>
      <c r="K339" s="13">
        <f>((((VLOOKUP(B339,Database!$F:$AY,MATCH($K$1,Database!$F$1:$AY$1,),))))-(((VLOOKUP(EDATE(B339,-12),Database!$F:$AY,MATCH($K$1,Database!$F$1:$AY$1,),)))))/(((VLOOKUP(EDATE(B339,-12),Database!$F:$AY,MATCH($K$1,Database!$F$1:$AY$1,),))))</f>
        <v>3.1840796019900523E-2</v>
      </c>
      <c r="L339" s="13">
        <f>((((VLOOKUP(B339,Database!$F:$AY,MATCH($L$1,Database!$F$1:$AY$1,),))))-(((VLOOKUP(EDATE(B339,-12),Database!$F:$AY,MATCH($L$1,Database!$F$1:$AY$1,),)))))/(((VLOOKUP(EDATE(B339,-12),Database!$F:$AY,MATCH($L$1,Database!$F$1:$AY$1,),))))</f>
        <v>-1.0632509368178627E-2</v>
      </c>
      <c r="M339" s="13">
        <f>((((VLOOKUP(B339,Database!$F:$AY,MATCH($M$1,Database!$F$1:$AY$1,),))))-(((VLOOKUP(EDATE(B339,-12),Database!$F:$AY,MATCH($M$1,Database!$F$1:$AY$1,),)))))/(((VLOOKUP(EDATE(B339,-12),Database!$F:$AY,MATCH($M$1,Database!$F$1:$AY$1,),))))</f>
        <v>7.049345417925507E-3</v>
      </c>
      <c r="N339" s="13">
        <f>((((VLOOKUP(B339,Database!$F:$AY,MATCH($N$1,Database!$F$1:$AY$1,),))))-(((VLOOKUP(EDATE(B339,-12),Database!$F:$AY,MATCH($N$1,Database!$F$1:$AY$1,),)))))/(((VLOOKUP(EDATE(B339,-12),Database!$F:$AY,MATCH($N$1,Database!$F$1:$AY$1,),))))</f>
        <v>6.2348142607421331E-2</v>
      </c>
      <c r="O339" s="13">
        <f>((((VLOOKUP(B339,Database!$F:$AY,MATCH($O$1,Database!$F$1:$AY$1,),))))-(((VLOOKUP(EDATE(B339,-12),Database!$F:$AY,MATCH($O$1,Database!$F$1:$AY$1,),)))))/(((VLOOKUP(EDATE(B339,-12),Database!$F:$AY,MATCH($O$1,Database!$F$1:$AY$1,),))))</f>
        <v>-2.6597550305682703E-3</v>
      </c>
      <c r="P339" s="13">
        <f>((((VLOOKUP(B339,Database!$F:$AY,MATCH($P$1,Database!$F$1:$AY$1,),))))-(((VLOOKUP(EDATE(B339,-12),Database!$F:$AY,MATCH($P$1,Database!$F$1:$AY$1,),)))))/(((VLOOKUP(EDATE(B339,-12),Database!$F:$AY,MATCH($P$1,Database!$F$1:$AY$1,),))))</f>
        <v>1.000984266157155E-3</v>
      </c>
      <c r="Q339" s="13">
        <f>((((VLOOKUP(B339,Database!$F:$AY,MATCH($Q$1,Database!$F$1:$AY$1,),))))-(((VLOOKUP(EDATE(B339,-12),Database!$F:$AY,MATCH($Q$1,Database!$F$1:$AY$1,),)))))/(((VLOOKUP(EDATE(B339,-12),Database!$F:$AY,MATCH($Q$1,Database!$F$1:$AY$1,),))))</f>
        <v>-8.1720245286133031E-2</v>
      </c>
      <c r="R339" s="13">
        <f>((((VLOOKUP(B339,Database!$F:$AY,MATCH($R$1,Database!$F$1:$AY$1,),))))-(((VLOOKUP(EDATE(B339,-12),Database!$F:$AY,MATCH($R$1,Database!$F$1:$AY$1,),)))))/(((VLOOKUP(EDATE(B339,-12),Database!$F:$AY,MATCH($R$1,Database!$F$1:$AY$1,),))))</f>
        <v>2.3809500161398434E-2</v>
      </c>
      <c r="S339" s="13">
        <f>((((VLOOKUP(B339,Database!$F:$AY,MATCH($S$1,Database!$F$1:$AY$1,),))))-(((VLOOKUP(EDATE(B339,-12),Database!$F:$AY,MATCH($S$1,Database!$F$1:$AY$1,),)))))/(((VLOOKUP(EDATE(B339,-12),Database!$F:$AY,MATCH($S$1,Database!$F$1:$AY$1,),))))</f>
        <v>-1.6460973931184706E-2</v>
      </c>
      <c r="T339" s="13">
        <f>((((VLOOKUP(B339,Database!$F:$AY,MATCH($T$1,Database!$F$1:$AY$1,),))))-(((VLOOKUP(EDATE(B339,-12),Database!$F:$AY,MATCH($T$1,Database!$F$1:$AY$1,),)))))/(((VLOOKUP(EDATE(B339,-12),Database!$F:$AY,MATCH($T$1,Database!$F$1:$AY$1,),))))</f>
        <v>3.420486133050106E-2</v>
      </c>
      <c r="U339" s="13">
        <f>((((VLOOKUP(B339,Database!$F:$AY,MATCH($U$1,Database!$F$1:$AY$1,),))))-(((VLOOKUP(EDATE(B339,-12),Database!$F:$AY,MATCH($U$1,Database!$F$1:$AY$1,),)))))/(((VLOOKUP(EDATE(B339,-12),Database!$F:$AY,MATCH($U$1,Database!$F$1:$AY$1,),))))</f>
        <v>3.009036911766344E-2</v>
      </c>
      <c r="V339" s="13">
        <f>((((VLOOKUP(B339,Database!$F:$AY,MATCH($V$1,Database!$F$1:$AY$1,),))))-(((VLOOKUP(EDATE(B339,-12),Database!$F:$AY,MATCH($V$1,Database!$F$1:$AY$1,),)))))/(((VLOOKUP(EDATE(B339,-12),Database!$F:$AY,MATCH($V$1,Database!$F$1:$AY$1,),))))</f>
        <v>5.413687436159343E-2</v>
      </c>
    </row>
    <row r="340" spans="1:22" s="85" customFormat="1" x14ac:dyDescent="0.2">
      <c r="A340" s="44"/>
      <c r="B340" s="91">
        <v>42491</v>
      </c>
      <c r="C340" s="13">
        <f>((((VLOOKUP(B340,Database!$F:$AY,MATCH($C$1,Database!$F$1:$AY$1,),))))-(((VLOOKUP(EDATE(B340,-12),Database!$F:$AY,MATCH($C$1,Database!$F$1:$AY$1,),)))))/(((VLOOKUP(EDATE(B340,-12),Database!$F:$AY,MATCH($C$1,Database!$F$1:$AY$1,),))))</f>
        <v>-2.5408781098364523E-2</v>
      </c>
      <c r="D340" s="13">
        <f>((((VLOOKUP(B340,Database!$F:$AY,MATCH($D$1,Database!$F$1:$AY$1,),))))-(((VLOOKUP(EDATE(B340,-12),Database!$F:$AY,MATCH($D$1,Database!$F$1:$AY$1,),)))))/(((VLOOKUP(EDATE(B340,-12),Database!$F:$AY,MATCH($D$1,Database!$F$1:$AY$1,),))))</f>
        <v>1.9999331888693093E-3</v>
      </c>
      <c r="E340" s="13">
        <f>((((VLOOKUP(B340,Database!$F:$AY,MATCH($E$1,Database!$F$1:$AY$1,),))))-(((VLOOKUP(EDATE(B340,-12),Database!$F:$AY,MATCH($E$1,Database!$F$1:$AY$1,),)))))/(((VLOOKUP(EDATE(B340,-12),Database!$F:$AY,MATCH($E$1,Database!$F$1:$AY$1,),))))</f>
        <v>-1.0030223178057872E-2</v>
      </c>
      <c r="F340" s="13">
        <f>((((VLOOKUP(B340,Database!$F:$AY,MATCH($F$1,Database!$F$1:$AY$1,),))))-(((VLOOKUP(EDATE(B340,-12),Database!$F:$AY,MATCH($F$1,Database!$F$1:$AY$1,),)))))/(((VLOOKUP(EDATE(B340,-12),Database!$F:$AY,MATCH($F$1,Database!$F$1:$AY$1,),))))</f>
        <v>-7.9923709957968724E-3</v>
      </c>
      <c r="G340" s="13">
        <f>((((VLOOKUP(B340,Database!$F:$AY,MATCH($G$1,Database!$F$1:$AY$1,),))))-(((VLOOKUP(EDATE(B340,-12),Database!$F:$AY,MATCH($G$1,Database!$F$1:$AY$1,),)))))/(((VLOOKUP(EDATE(B340,-12),Database!$F:$AY,MATCH($G$1,Database!$F$1:$AY$1,),))))</f>
        <v>-6.4814999481455689E-3</v>
      </c>
      <c r="H340" s="13">
        <f>((((VLOOKUP(B340,Database!$F:$AY,MATCH($H$1,Database!$F$1:$AY$1,),))))-(((VLOOKUP(EDATE(B340,-12),Database!$F:$AY,MATCH($H$1,Database!$F$1:$AY$1,),)))))/(((VLOOKUP(EDATE(B340,-12),Database!$F:$AY,MATCH($H$1,Database!$F$1:$AY$1,),))))</f>
        <v>1.2384002480975275E-2</v>
      </c>
      <c r="I340" s="13">
        <f>((((VLOOKUP(B340,Database!$F:$AY,MATCH($I$1,Database!$F$1:$AY$1,),))))-(((VLOOKUP(EDATE(B340,-12),Database!$F:$AY,MATCH($I$1,Database!$F$1:$AY$1,),)))))/(((VLOOKUP(EDATE(B340,-12),Database!$F:$AY,MATCH($I$1,Database!$F$1:$AY$1,),))))</f>
        <v>0</v>
      </c>
      <c r="J340" s="13">
        <f>((((VLOOKUP(B340,Database!$F:$AY,MATCH($J$1,Database!$F$1:$AY$1,),))))-(((VLOOKUP(EDATE(B340,-12),Database!$F:$AY,MATCH($J$1,Database!$F$1:$AY$1,),)))))/(((VLOOKUP(EDATE(B340,-12),Database!$F:$AY,MATCH($J$1,Database!$F$1:$AY$1,),))))</f>
        <v>-4.89635713015863E-3</v>
      </c>
      <c r="K340" s="13">
        <f>((((VLOOKUP(B340,Database!$F:$AY,MATCH($K$1,Database!$F$1:$AY$1,),))))-(((VLOOKUP(EDATE(B340,-12),Database!$F:$AY,MATCH($K$1,Database!$F$1:$AY$1,),)))))/(((VLOOKUP(EDATE(B340,-12),Database!$F:$AY,MATCH($K$1,Database!$F$1:$AY$1,),))))</f>
        <v>-1.189296333002976E-2</v>
      </c>
      <c r="L340" s="13">
        <f>((((VLOOKUP(B340,Database!$F:$AY,MATCH($L$1,Database!$F$1:$AY$1,),))))-(((VLOOKUP(EDATE(B340,-12),Database!$F:$AY,MATCH($L$1,Database!$F$1:$AY$1,),)))))/(((VLOOKUP(EDATE(B340,-12),Database!$F:$AY,MATCH($L$1,Database!$F$1:$AY$1,),))))</f>
        <v>3.4349502285530441E-3</v>
      </c>
      <c r="M340" s="13">
        <f>((((VLOOKUP(B340,Database!$F:$AY,MATCH($M$1,Database!$F$1:$AY$1,),))))-(((VLOOKUP(EDATE(B340,-12),Database!$F:$AY,MATCH($M$1,Database!$F$1:$AY$1,),)))))/(((VLOOKUP(EDATE(B340,-12),Database!$F:$AY,MATCH($M$1,Database!$F$1:$AY$1,),))))</f>
        <v>5.0150451354062184E-3</v>
      </c>
      <c r="N340" s="13">
        <f>((((VLOOKUP(B340,Database!$F:$AY,MATCH($N$1,Database!$F$1:$AY$1,),))))-(((VLOOKUP(EDATE(B340,-12),Database!$F:$AY,MATCH($N$1,Database!$F$1:$AY$1,),)))))/(((VLOOKUP(EDATE(B340,-12),Database!$F:$AY,MATCH($N$1,Database!$F$1:$AY$1,),))))</f>
        <v>6.8203964262967473E-2</v>
      </c>
      <c r="O340" s="13">
        <f>((((VLOOKUP(B340,Database!$F:$AY,MATCH($O$1,Database!$F$1:$AY$1,),))))-(((VLOOKUP(EDATE(B340,-12),Database!$F:$AY,MATCH($O$1,Database!$F$1:$AY$1,),)))))/(((VLOOKUP(EDATE(B340,-12),Database!$F:$AY,MATCH($O$1,Database!$F$1:$AY$1,),))))</f>
        <v>-3.1881767833569441E-2</v>
      </c>
      <c r="P340" s="13">
        <f>((((VLOOKUP(B340,Database!$F:$AY,MATCH($P$1,Database!$F$1:$AY$1,),))))-(((VLOOKUP(EDATE(B340,-12),Database!$F:$AY,MATCH($P$1,Database!$F$1:$AY$1,),)))))/(((VLOOKUP(EDATE(B340,-12),Database!$F:$AY,MATCH($P$1,Database!$F$1:$AY$1,),))))</f>
        <v>5.3061152847012627E-2</v>
      </c>
      <c r="Q340" s="13">
        <f>((((VLOOKUP(B340,Database!$F:$AY,MATCH($Q$1,Database!$F$1:$AY$1,),))))-(((VLOOKUP(EDATE(B340,-12),Database!$F:$AY,MATCH($Q$1,Database!$F$1:$AY$1,),)))))/(((VLOOKUP(EDATE(B340,-12),Database!$F:$AY,MATCH($Q$1,Database!$F$1:$AY$1,),))))</f>
        <v>-6.9414336361818429E-2</v>
      </c>
      <c r="R340" s="13">
        <f>((((VLOOKUP(B340,Database!$F:$AY,MATCH($R$1,Database!$F$1:$AY$1,),))))-(((VLOOKUP(EDATE(B340,-12),Database!$F:$AY,MATCH($R$1,Database!$F$1:$AY$1,),)))))/(((VLOOKUP(EDATE(B340,-12),Database!$F:$AY,MATCH($R$1,Database!$F$1:$AY$1,),))))</f>
        <v>4.9947800772200533E-2</v>
      </c>
      <c r="S340" s="13">
        <f>((((VLOOKUP(B340,Database!$F:$AY,MATCH($S$1,Database!$F$1:$AY$1,),))))-(((VLOOKUP(EDATE(B340,-12),Database!$F:$AY,MATCH($S$1,Database!$F$1:$AY$1,),)))))/(((VLOOKUP(EDATE(B340,-12),Database!$F:$AY,MATCH($S$1,Database!$F$1:$AY$1,),))))</f>
        <v>1.3388276919049581E-2</v>
      </c>
      <c r="T340" s="13">
        <f>((((VLOOKUP(B340,Database!$F:$AY,MATCH($T$1,Database!$F$1:$AY$1,),))))-(((VLOOKUP(EDATE(B340,-12),Database!$F:$AY,MATCH($T$1,Database!$F$1:$AY$1,),)))))/(((VLOOKUP(EDATE(B340,-12),Database!$F:$AY,MATCH($T$1,Database!$F$1:$AY$1,),))))</f>
        <v>5.025132244686515E-2</v>
      </c>
      <c r="U340" s="13">
        <f>((((VLOOKUP(B340,Database!$F:$AY,MATCH($U$1,Database!$F$1:$AY$1,),))))-(((VLOOKUP(EDATE(B340,-12),Database!$F:$AY,MATCH($U$1,Database!$F$1:$AY$1,),)))))/(((VLOOKUP(EDATE(B340,-12),Database!$F:$AY,MATCH($U$1,Database!$F$1:$AY$1,),))))</f>
        <v>1.5015015015015076E-2</v>
      </c>
      <c r="V340" s="13">
        <f>((((VLOOKUP(B340,Database!$F:$AY,MATCH($V$1,Database!$F$1:$AY$1,),))))-(((VLOOKUP(EDATE(B340,-12),Database!$F:$AY,MATCH($V$1,Database!$F$1:$AY$1,),)))))/(((VLOOKUP(EDATE(B340,-12),Database!$F:$AY,MATCH($V$1,Database!$F$1:$AY$1,),))))</f>
        <v>2.7245206861755831E-2</v>
      </c>
    </row>
    <row r="341" spans="1:22" s="85" customFormat="1" x14ac:dyDescent="0.2">
      <c r="A341" s="44"/>
      <c r="B341" s="91">
        <v>42522</v>
      </c>
      <c r="C341" s="13">
        <f>((((VLOOKUP(B341,Database!$F:$AY,MATCH($C$1,Database!$F$1:$AY$1,),))))-(((VLOOKUP(EDATE(B341,-12),Database!$F:$AY,MATCH($C$1,Database!$F$1:$AY$1,),)))))/(((VLOOKUP(EDATE(B341,-12),Database!$F:$AY,MATCH($C$1,Database!$F$1:$AY$1,),))))</f>
        <v>-1.7766537461021258E-2</v>
      </c>
      <c r="D341" s="13">
        <f>((((VLOOKUP(B341,Database!$F:$AY,MATCH($D$1,Database!$F$1:$AY$1,),))))-(((VLOOKUP(EDATE(B341,-12),Database!$F:$AY,MATCH($D$1,Database!$F$1:$AY$1,),)))))/(((VLOOKUP(EDATE(B341,-12),Database!$F:$AY,MATCH($D$1,Database!$F$1:$AY$1,),))))</f>
        <v>6.9792278475080049E-3</v>
      </c>
      <c r="E341" s="13">
        <f>((((VLOOKUP(B341,Database!$F:$AY,MATCH($E$1,Database!$F$1:$AY$1,),))))-(((VLOOKUP(EDATE(B341,-12),Database!$F:$AY,MATCH($E$1,Database!$F$1:$AY$1,),)))))/(((VLOOKUP(EDATE(B341,-12),Database!$F:$AY,MATCH($E$1,Database!$F$1:$AY$1,),))))</f>
        <v>-1.2935110994351752E-2</v>
      </c>
      <c r="F341" s="13">
        <f>((((VLOOKUP(B341,Database!$F:$AY,MATCH($F$1,Database!$F$1:$AY$1,),))))-(((VLOOKUP(EDATE(B341,-12),Database!$F:$AY,MATCH($F$1,Database!$F$1:$AY$1,),)))))/(((VLOOKUP(EDATE(B341,-12),Database!$F:$AY,MATCH($F$1,Database!$F$1:$AY$1,),))))</f>
        <v>1.4999549462470252E-2</v>
      </c>
      <c r="G341" s="13">
        <f>((((VLOOKUP(B341,Database!$F:$AY,MATCH($G$1,Database!$F$1:$AY$1,),))))-(((VLOOKUP(EDATE(B341,-12),Database!$F:$AY,MATCH($G$1,Database!$F$1:$AY$1,),)))))/(((VLOOKUP(EDATE(B341,-12),Database!$F:$AY,MATCH($G$1,Database!$F$1:$AY$1,),))))</f>
        <v>-8.7864500333497096E-3</v>
      </c>
      <c r="H341" s="13">
        <f>((((VLOOKUP(B341,Database!$F:$AY,MATCH($H$1,Database!$F$1:$AY$1,),))))-(((VLOOKUP(EDATE(B341,-12),Database!$F:$AY,MATCH($H$1,Database!$F$1:$AY$1,),)))))/(((VLOOKUP(EDATE(B341,-12),Database!$F:$AY,MATCH($H$1,Database!$F$1:$AY$1,),))))</f>
        <v>5.1544293239465444E-3</v>
      </c>
      <c r="I341" s="13">
        <f>((((VLOOKUP(B341,Database!$F:$AY,MATCH($I$1,Database!$F$1:$AY$1,),))))-(((VLOOKUP(EDATE(B341,-12),Database!$F:$AY,MATCH($I$1,Database!$F$1:$AY$1,),)))))/(((VLOOKUP(EDATE(B341,-12),Database!$F:$AY,MATCH($I$1,Database!$F$1:$AY$1,),))))</f>
        <v>-5.9999997999832652E-3</v>
      </c>
      <c r="J341" s="13">
        <f>((((VLOOKUP(B341,Database!$F:$AY,MATCH($J$1,Database!$F$1:$AY$1,),))))-(((VLOOKUP(EDATE(B341,-12),Database!$F:$AY,MATCH($J$1,Database!$F$1:$AY$1,),)))))/(((VLOOKUP(EDATE(B341,-12),Database!$F:$AY,MATCH($J$1,Database!$F$1:$AY$1,),))))</f>
        <v>-4.763358899328083E-3</v>
      </c>
      <c r="K341" s="13">
        <f>((((VLOOKUP(B341,Database!$F:$AY,MATCH($K$1,Database!$F$1:$AY$1,),))))-(((VLOOKUP(EDATE(B341,-12),Database!$F:$AY,MATCH($K$1,Database!$F$1:$AY$1,),)))))/(((VLOOKUP(EDATE(B341,-12),Database!$F:$AY,MATCH($K$1,Database!$F$1:$AY$1,),))))</f>
        <v>-2.7833001988071544E-2</v>
      </c>
      <c r="L341" s="13">
        <f>((((VLOOKUP(B341,Database!$F:$AY,MATCH($L$1,Database!$F$1:$AY$1,),))))-(((VLOOKUP(EDATE(B341,-12),Database!$F:$AY,MATCH($L$1,Database!$F$1:$AY$1,),)))))/(((VLOOKUP(EDATE(B341,-12),Database!$F:$AY,MATCH($L$1,Database!$F$1:$AY$1,),))))</f>
        <v>9.4395053808839864E-4</v>
      </c>
      <c r="M341" s="13">
        <f>((((VLOOKUP(B341,Database!$F:$AY,MATCH($M$1,Database!$F$1:$AY$1,),))))-(((VLOOKUP(EDATE(B341,-12),Database!$F:$AY,MATCH($M$1,Database!$F$1:$AY$1,),)))))/(((VLOOKUP(EDATE(B341,-12),Database!$F:$AY,MATCH($M$1,Database!$F$1:$AY$1,),))))</f>
        <v>9.0180360721443462E-3</v>
      </c>
      <c r="N341" s="13">
        <f>((((VLOOKUP(B341,Database!$F:$AY,MATCH($N$1,Database!$F$1:$AY$1,),))))-(((VLOOKUP(EDATE(B341,-12),Database!$F:$AY,MATCH($N$1,Database!$F$1:$AY$1,),)))))/(((VLOOKUP(EDATE(B341,-12),Database!$F:$AY,MATCH($N$1,Database!$F$1:$AY$1,),))))</f>
        <v>8.1627125164024678E-2</v>
      </c>
      <c r="O341" s="13">
        <f>((((VLOOKUP(B341,Database!$F:$AY,MATCH($O$1,Database!$F$1:$AY$1,),))))-(((VLOOKUP(EDATE(B341,-12),Database!$F:$AY,MATCH($O$1,Database!$F$1:$AY$1,),)))))/(((VLOOKUP(EDATE(B341,-12),Database!$F:$AY,MATCH($O$1,Database!$F$1:$AY$1,),))))</f>
        <v>-1.4726016897735865E-2</v>
      </c>
      <c r="P341" s="13">
        <f>((((VLOOKUP(B341,Database!$F:$AY,MATCH($P$1,Database!$F$1:$AY$1,),))))-(((VLOOKUP(EDATE(B341,-12),Database!$F:$AY,MATCH($P$1,Database!$F$1:$AY$1,),)))))/(((VLOOKUP(EDATE(B341,-12),Database!$F:$AY,MATCH($P$1,Database!$F$1:$AY$1,),))))</f>
        <v>3.3000048904073674E-2</v>
      </c>
      <c r="Q341" s="13">
        <f>((((VLOOKUP(B341,Database!$F:$AY,MATCH($Q$1,Database!$F$1:$AY$1,),))))-(((VLOOKUP(EDATE(B341,-12),Database!$F:$AY,MATCH($Q$1,Database!$F$1:$AY$1,),)))))/(((VLOOKUP(EDATE(B341,-12),Database!$F:$AY,MATCH($Q$1,Database!$F$1:$AY$1,),))))</f>
        <v>-7.0175644762774436E-2</v>
      </c>
      <c r="R341" s="13">
        <f>((((VLOOKUP(B341,Database!$F:$AY,MATCH($R$1,Database!$F$1:$AY$1,),))))-(((VLOOKUP(EDATE(B341,-12),Database!$F:$AY,MATCH($R$1,Database!$F$1:$AY$1,),)))))/(((VLOOKUP(EDATE(B341,-12),Database!$F:$AY,MATCH($R$1,Database!$F$1:$AY$1,),))))</f>
        <v>6.9327946944901131E-2</v>
      </c>
      <c r="S341" s="13">
        <f>((((VLOOKUP(B341,Database!$F:$AY,MATCH($S$1,Database!$F$1:$AY$1,),))))-(((VLOOKUP(EDATE(B341,-12),Database!$F:$AY,MATCH($S$1,Database!$F$1:$AY$1,),)))))/(((VLOOKUP(EDATE(B341,-12),Database!$F:$AY,MATCH($S$1,Database!$F$1:$AY$1,),))))</f>
        <v>-5.8943997799790551E-3</v>
      </c>
      <c r="T341" s="13">
        <f>((((VLOOKUP(B341,Database!$F:$AY,MATCH($T$1,Database!$F$1:$AY$1,),))))-(((VLOOKUP(EDATE(B341,-12),Database!$F:$AY,MATCH($T$1,Database!$F$1:$AY$1,),)))))/(((VLOOKUP(EDATE(B341,-12),Database!$F:$AY,MATCH($T$1,Database!$F$1:$AY$1,),))))</f>
        <v>3.5856585610748296E-2</v>
      </c>
      <c r="U341" s="13">
        <f>((((VLOOKUP(B341,Database!$F:$AY,MATCH($U$1,Database!$F$1:$AY$1,),))))-(((VLOOKUP(EDATE(B341,-12),Database!$F:$AY,MATCH($U$1,Database!$F$1:$AY$1,),)))))/(((VLOOKUP(EDATE(B341,-12),Database!$F:$AY,MATCH($U$1,Database!$F$1:$AY$1,),))))</f>
        <v>4.2999763760642559E-2</v>
      </c>
      <c r="V341" s="13">
        <f>((((VLOOKUP(B341,Database!$F:$AY,MATCH($V$1,Database!$F$1:$AY$1,),))))-(((VLOOKUP(EDATE(B341,-12),Database!$F:$AY,MATCH($V$1,Database!$F$1:$AY$1,),)))))/(((VLOOKUP(EDATE(B341,-12),Database!$F:$AY,MATCH($V$1,Database!$F$1:$AY$1,),))))</f>
        <v>3.2128514056224931E-2</v>
      </c>
    </row>
    <row r="342" spans="1:22" s="85" customFormat="1" x14ac:dyDescent="0.2">
      <c r="A342" s="44"/>
      <c r="B342" s="91">
        <v>42552</v>
      </c>
      <c r="C342" s="13">
        <f>((((VLOOKUP(B342,Database!$F:$AY,MATCH($C$1,Database!$F$1:$AY$1,),))))-(((VLOOKUP(EDATE(B342,-12),Database!$F:$AY,MATCH($C$1,Database!$F$1:$AY$1,),)))))/(((VLOOKUP(EDATE(B342,-12),Database!$F:$AY,MATCH($C$1,Database!$F$1:$AY$1,),))))</f>
        <v>-2.1009635295820062E-2</v>
      </c>
      <c r="D342" s="13">
        <f>((((VLOOKUP(B342,Database!$F:$AY,MATCH($D$1,Database!$F$1:$AY$1,),))))-(((VLOOKUP(EDATE(B342,-12),Database!$F:$AY,MATCH($D$1,Database!$F$1:$AY$1,),)))))/(((VLOOKUP(EDATE(B342,-12),Database!$F:$AY,MATCH($D$1,Database!$F$1:$AY$1,),))))</f>
        <v>1.9824906426441948E-3</v>
      </c>
      <c r="E342" s="13">
        <f>((((VLOOKUP(B342,Database!$F:$AY,MATCH($E$1,Database!$F$1:$AY$1,),))))-(((VLOOKUP(EDATE(B342,-12),Database!$F:$AY,MATCH($E$1,Database!$F$1:$AY$1,),)))))/(((VLOOKUP(EDATE(B342,-12),Database!$F:$AY,MATCH($E$1,Database!$F$1:$AY$1,),))))</f>
        <v>-6.9716988273919285E-3</v>
      </c>
      <c r="F342" s="13">
        <f>((((VLOOKUP(B342,Database!$F:$AY,MATCH($F$1,Database!$F$1:$AY$1,),))))-(((VLOOKUP(EDATE(B342,-12),Database!$F:$AY,MATCH($F$1,Database!$F$1:$AY$1,),)))))/(((VLOOKUP(EDATE(B342,-12),Database!$F:$AY,MATCH($F$1,Database!$F$1:$AY$1,),))))</f>
        <v>-1.3806186909158996E-2</v>
      </c>
      <c r="G342" s="13">
        <f>((((VLOOKUP(B342,Database!$F:$AY,MATCH($G$1,Database!$F$1:$AY$1,),))))-(((VLOOKUP(EDATE(B342,-12),Database!$F:$AY,MATCH($G$1,Database!$F$1:$AY$1,),)))))/(((VLOOKUP(EDATE(B342,-12),Database!$F:$AY,MATCH($G$1,Database!$F$1:$AY$1,),))))</f>
        <v>-1.0076575925034654E-4</v>
      </c>
      <c r="H342" s="13">
        <f>((((VLOOKUP(B342,Database!$F:$AY,MATCH($H$1,Database!$F$1:$AY$1,),))))-(((VLOOKUP(EDATE(B342,-12),Database!$F:$AY,MATCH($H$1,Database!$F$1:$AY$1,),)))))/(((VLOOKUP(EDATE(B342,-12),Database!$F:$AY,MATCH($H$1,Database!$F$1:$AY$1,),))))</f>
        <v>1.4598151603838113E-2</v>
      </c>
      <c r="I342" s="13">
        <f>((((VLOOKUP(B342,Database!$F:$AY,MATCH($I$1,Database!$F$1:$AY$1,),))))-(((VLOOKUP(EDATE(B342,-12),Database!$F:$AY,MATCH($I$1,Database!$F$1:$AY$1,),)))))/(((VLOOKUP(EDATE(B342,-12),Database!$F:$AY,MATCH($I$1,Database!$F$1:$AY$1,),))))</f>
        <v>2.9705440848545538E-3</v>
      </c>
      <c r="J342" s="13">
        <f>((((VLOOKUP(B342,Database!$F:$AY,MATCH($J$1,Database!$F$1:$AY$1,),))))-(((VLOOKUP(EDATE(B342,-12),Database!$F:$AY,MATCH($J$1,Database!$F$1:$AY$1,),)))))/(((VLOOKUP(EDATE(B342,-12),Database!$F:$AY,MATCH($J$1,Database!$F$1:$AY$1,),))))</f>
        <v>-1.1935472203839524E-2</v>
      </c>
      <c r="K342" s="13">
        <f>((((VLOOKUP(B342,Database!$F:$AY,MATCH($K$1,Database!$F$1:$AY$1,),))))-(((VLOOKUP(EDATE(B342,-12),Database!$F:$AY,MATCH($K$1,Database!$F$1:$AY$1,),)))))/(((VLOOKUP(EDATE(B342,-12),Database!$F:$AY,MATCH($K$1,Database!$F$1:$AY$1,),))))</f>
        <v>3.3707865168539297E-2</v>
      </c>
      <c r="L342" s="13">
        <f>((((VLOOKUP(B342,Database!$F:$AY,MATCH($L$1,Database!$F$1:$AY$1,),))))-(((VLOOKUP(EDATE(B342,-12),Database!$F:$AY,MATCH($L$1,Database!$F$1:$AY$1,),)))))/(((VLOOKUP(EDATE(B342,-12),Database!$F:$AY,MATCH($L$1,Database!$F$1:$AY$1,),))))</f>
        <v>-5.7337049016808301E-4</v>
      </c>
      <c r="M342" s="13">
        <f>((((VLOOKUP(B342,Database!$F:$AY,MATCH($M$1,Database!$F$1:$AY$1,),))))-(((VLOOKUP(EDATE(B342,-12),Database!$F:$AY,MATCH($M$1,Database!$F$1:$AY$1,),)))))/(((VLOOKUP(EDATE(B342,-12),Database!$F:$AY,MATCH($M$1,Database!$F$1:$AY$1,),))))</f>
        <v>1.4970059880239521E-2</v>
      </c>
      <c r="N342" s="13">
        <f>((((VLOOKUP(B342,Database!$F:$AY,MATCH($N$1,Database!$F$1:$AY$1,),))))-(((VLOOKUP(EDATE(B342,-12),Database!$F:$AY,MATCH($N$1,Database!$F$1:$AY$1,),)))))/(((VLOOKUP(EDATE(B342,-12),Database!$F:$AY,MATCH($N$1,Database!$F$1:$AY$1,),))))</f>
        <v>5.1112774994826742E-2</v>
      </c>
      <c r="O342" s="13">
        <f>((((VLOOKUP(B342,Database!$F:$AY,MATCH($O$1,Database!$F$1:$AY$1,),))))-(((VLOOKUP(EDATE(B342,-12),Database!$F:$AY,MATCH($O$1,Database!$F$1:$AY$1,),)))))/(((VLOOKUP(EDATE(B342,-12),Database!$F:$AY,MATCH($O$1,Database!$F$1:$AY$1,),))))</f>
        <v>-3.5789002907049244E-3</v>
      </c>
      <c r="P342" s="13">
        <f>((((VLOOKUP(B342,Database!$F:$AY,MATCH($P$1,Database!$F$1:$AY$1,),))))-(((VLOOKUP(EDATE(B342,-12),Database!$F:$AY,MATCH($P$1,Database!$F$1:$AY$1,),)))))/(((VLOOKUP(EDATE(B342,-12),Database!$F:$AY,MATCH($P$1,Database!$F$1:$AY$1,),))))</f>
        <v>3.3333585879631415E-2</v>
      </c>
      <c r="Q342" s="13">
        <f>((((VLOOKUP(B342,Database!$F:$AY,MATCH($Q$1,Database!$F$1:$AY$1,),))))-(((VLOOKUP(EDATE(B342,-12),Database!$F:$AY,MATCH($Q$1,Database!$F$1:$AY$1,),)))))/(((VLOOKUP(EDATE(B342,-12),Database!$F:$AY,MATCH($Q$1,Database!$F$1:$AY$1,),))))</f>
        <v>-4.4692699445866062E-2</v>
      </c>
      <c r="R342" s="13">
        <f>((((VLOOKUP(B342,Database!$F:$AY,MATCH($R$1,Database!$F$1:$AY$1,),))))-(((VLOOKUP(EDATE(B342,-12),Database!$F:$AY,MATCH($R$1,Database!$F$1:$AY$1,),)))))/(((VLOOKUP(EDATE(B342,-12),Database!$F:$AY,MATCH($R$1,Database!$F$1:$AY$1,),))))</f>
        <v>5.8401352313510291E-2</v>
      </c>
      <c r="S342" s="13">
        <f>((((VLOOKUP(B342,Database!$F:$AY,MATCH($S$1,Database!$F$1:$AY$1,),))))-(((VLOOKUP(EDATE(B342,-12),Database!$F:$AY,MATCH($S$1,Database!$F$1:$AY$1,),)))))/(((VLOOKUP(EDATE(B342,-12),Database!$F:$AY,MATCH($S$1,Database!$F$1:$AY$1,),))))</f>
        <v>2.6705990797994975E-2</v>
      </c>
      <c r="T342" s="13">
        <f>((((VLOOKUP(B342,Database!$F:$AY,MATCH($T$1,Database!$F$1:$AY$1,),))))-(((VLOOKUP(EDATE(B342,-12),Database!$F:$AY,MATCH($T$1,Database!$F$1:$AY$1,),)))))/(((VLOOKUP(EDATE(B342,-12),Database!$F:$AY,MATCH($T$1,Database!$F$1:$AY$1,),))))</f>
        <v>-2.1042132866975167E-2</v>
      </c>
      <c r="U342" s="13">
        <f>((((VLOOKUP(B342,Database!$F:$AY,MATCH($U$1,Database!$F$1:$AY$1,),))))-(((VLOOKUP(EDATE(B342,-12),Database!$F:$AY,MATCH($U$1,Database!$F$1:$AY$1,),)))))/(((VLOOKUP(EDATE(B342,-12),Database!$F:$AY,MATCH($U$1,Database!$F$1:$AY$1,),))))</f>
        <v>-1.3605759557710885E-2</v>
      </c>
      <c r="V342" s="13">
        <f>((((VLOOKUP(B342,Database!$F:$AY,MATCH($V$1,Database!$F$1:$AY$1,),))))-(((VLOOKUP(EDATE(B342,-12),Database!$F:$AY,MATCH($V$1,Database!$F$1:$AY$1,),)))))/(((VLOOKUP(EDATE(B342,-12),Database!$F:$AY,MATCH($V$1,Database!$F$1:$AY$1,),))))</f>
        <v>1.1916583912611746E-2</v>
      </c>
    </row>
    <row r="343" spans="1:22" s="85" customFormat="1" x14ac:dyDescent="0.2">
      <c r="A343" s="44"/>
      <c r="B343" s="91">
        <v>42583</v>
      </c>
      <c r="C343" s="13">
        <f>((((VLOOKUP(B343,Database!$F:$AY,MATCH($C$1,Database!$F$1:$AY$1,),))))-(((VLOOKUP(EDATE(B343,-12),Database!$F:$AY,MATCH($C$1,Database!$F$1:$AY$1,),)))))/(((VLOOKUP(EDATE(B343,-12),Database!$F:$AY,MATCH($C$1,Database!$F$1:$AY$1,),))))</f>
        <v>-2.0366481523498018E-2</v>
      </c>
      <c r="D343" s="13">
        <f>((((VLOOKUP(B343,Database!$F:$AY,MATCH($D$1,Database!$F$1:$AY$1,),))))-(((VLOOKUP(EDATE(B343,-12),Database!$F:$AY,MATCH($D$1,Database!$F$1:$AY$1,),)))))/(((VLOOKUP(EDATE(B343,-12),Database!$F:$AY,MATCH($D$1,Database!$F$1:$AY$1,),))))</f>
        <v>1.4013847152703747E-2</v>
      </c>
      <c r="E343" s="13">
        <f>((((VLOOKUP(B343,Database!$F:$AY,MATCH($E$1,Database!$F$1:$AY$1,),))))-(((VLOOKUP(EDATE(B343,-12),Database!$F:$AY,MATCH($E$1,Database!$F$1:$AY$1,),)))))/(((VLOOKUP(EDATE(B343,-12),Database!$F:$AY,MATCH($E$1,Database!$F$1:$AY$1,),))))</f>
        <v>1.8218420421053292E-2</v>
      </c>
      <c r="F343" s="13">
        <f>((((VLOOKUP(B343,Database!$F:$AY,MATCH($F$1,Database!$F$1:$AY$1,),))))-(((VLOOKUP(EDATE(B343,-12),Database!$F:$AY,MATCH($F$1,Database!$F$1:$AY$1,),)))))/(((VLOOKUP(EDATE(B343,-12),Database!$F:$AY,MATCH($F$1,Database!$F$1:$AY$1,),))))</f>
        <v>2.9381679951631132E-2</v>
      </c>
      <c r="G343" s="13">
        <f>((((VLOOKUP(B343,Database!$F:$AY,MATCH($G$1,Database!$F$1:$AY$1,),))))-(((VLOOKUP(EDATE(B343,-12),Database!$F:$AY,MATCH($G$1,Database!$F$1:$AY$1,),)))))/(((VLOOKUP(EDATE(B343,-12),Database!$F:$AY,MATCH($G$1,Database!$F$1:$AY$1,),))))</f>
        <v>1.0803931900125309E-2</v>
      </c>
      <c r="H343" s="13">
        <f>((((VLOOKUP(B343,Database!$F:$AY,MATCH($H$1,Database!$F$1:$AY$1,),))))-(((VLOOKUP(EDATE(B343,-12),Database!$F:$AY,MATCH($H$1,Database!$F$1:$AY$1,),)))))/(((VLOOKUP(EDATE(B343,-12),Database!$F:$AY,MATCH($H$1,Database!$F$1:$AY$1,),))))</f>
        <v>1.0394891331870281E-2</v>
      </c>
      <c r="I343" s="13">
        <f>((((VLOOKUP(B343,Database!$F:$AY,MATCH($I$1,Database!$F$1:$AY$1,),))))-(((VLOOKUP(EDATE(B343,-12),Database!$F:$AY,MATCH($I$1,Database!$F$1:$AY$1,),)))))/(((VLOOKUP(EDATE(B343,-12),Database!$F:$AY,MATCH($I$1,Database!$F$1:$AY$1,),))))</f>
        <v>3.3367188530166715E-2</v>
      </c>
      <c r="J343" s="13">
        <f>((((VLOOKUP(B343,Database!$F:$AY,MATCH($J$1,Database!$F$1:$AY$1,),))))-(((VLOOKUP(EDATE(B343,-12),Database!$F:$AY,MATCH($J$1,Database!$F$1:$AY$1,),)))))/(((VLOOKUP(EDATE(B343,-12),Database!$F:$AY,MATCH($J$1,Database!$F$1:$AY$1,),))))</f>
        <v>2.9964380835473831E-2</v>
      </c>
      <c r="K343" s="13">
        <f>((((VLOOKUP(B343,Database!$F:$AY,MATCH($K$1,Database!$F$1:$AY$1,),))))-(((VLOOKUP(EDATE(B343,-12),Database!$F:$AY,MATCH($K$1,Database!$F$1:$AY$1,),)))))/(((VLOOKUP(EDATE(B343,-12),Database!$F:$AY,MATCH($K$1,Database!$F$1:$AY$1,),))))</f>
        <v>-5.0961538461538433E-2</v>
      </c>
      <c r="L343" s="13">
        <f>((((VLOOKUP(B343,Database!$F:$AY,MATCH($L$1,Database!$F$1:$AY$1,),))))-(((VLOOKUP(EDATE(B343,-12),Database!$F:$AY,MATCH($L$1,Database!$F$1:$AY$1,),)))))/(((VLOOKUP(EDATE(B343,-12),Database!$F:$AY,MATCH($L$1,Database!$F$1:$AY$1,),))))</f>
        <v>-8.071812295915682E-3</v>
      </c>
      <c r="M343" s="13">
        <f>((((VLOOKUP(B343,Database!$F:$AY,MATCH($M$1,Database!$F$1:$AY$1,),))))-(((VLOOKUP(EDATE(B343,-12),Database!$F:$AY,MATCH($M$1,Database!$F$1:$AY$1,),)))))/(((VLOOKUP(EDATE(B343,-12),Database!$F:$AY,MATCH($M$1,Database!$F$1:$AY$1,),))))</f>
        <v>8.9285714285714853E-3</v>
      </c>
      <c r="N343" s="13">
        <f>((((VLOOKUP(B343,Database!$F:$AY,MATCH($N$1,Database!$F$1:$AY$1,),))))-(((VLOOKUP(EDATE(B343,-12),Database!$F:$AY,MATCH($N$1,Database!$F$1:$AY$1,),)))))/(((VLOOKUP(EDATE(B343,-12),Database!$F:$AY,MATCH($N$1,Database!$F$1:$AY$1,),))))</f>
        <v>3.2680015614957252E-2</v>
      </c>
      <c r="O343" s="13">
        <f>((((VLOOKUP(B343,Database!$F:$AY,MATCH($O$1,Database!$F$1:$AY$1,),))))-(((VLOOKUP(EDATE(B343,-12),Database!$F:$AY,MATCH($O$1,Database!$F$1:$AY$1,),)))))/(((VLOOKUP(EDATE(B343,-12),Database!$F:$AY,MATCH($O$1,Database!$F$1:$AY$1,),))))</f>
        <v>-1.0248105825973903E-2</v>
      </c>
      <c r="P343" s="13">
        <f>((((VLOOKUP(B343,Database!$F:$AY,MATCH($P$1,Database!$F$1:$AY$1,),))))-(((VLOOKUP(EDATE(B343,-12),Database!$F:$AY,MATCH($P$1,Database!$F$1:$AY$1,),)))))/(((VLOOKUP(EDATE(B343,-12),Database!$F:$AY,MATCH($P$1,Database!$F$1:$AY$1,),))))</f>
        <v>-1.9686686386164477E-3</v>
      </c>
      <c r="Q343" s="13">
        <f>((((VLOOKUP(B343,Database!$F:$AY,MATCH($Q$1,Database!$F$1:$AY$1,),))))-(((VLOOKUP(EDATE(B343,-12),Database!$F:$AY,MATCH($Q$1,Database!$F$1:$AY$1,),)))))/(((VLOOKUP(EDATE(B343,-12),Database!$F:$AY,MATCH($Q$1,Database!$F$1:$AY$1,),))))</f>
        <v>-7.6411984192226362E-2</v>
      </c>
      <c r="R343" s="13">
        <f>((((VLOOKUP(B343,Database!$F:$AY,MATCH($R$1,Database!$F$1:$AY$1,),))))-(((VLOOKUP(EDATE(B343,-12),Database!$F:$AY,MATCH($R$1,Database!$F$1:$AY$1,),)))))/(((VLOOKUP(EDATE(B343,-12),Database!$F:$AY,MATCH($R$1,Database!$F$1:$AY$1,),))))</f>
        <v>2.2794654622235698E-2</v>
      </c>
      <c r="S343" s="13">
        <f>((((VLOOKUP(B343,Database!$F:$AY,MATCH($S$1,Database!$F$1:$AY$1,),))))-(((VLOOKUP(EDATE(B343,-12),Database!$F:$AY,MATCH($S$1,Database!$F$1:$AY$1,),)))))/(((VLOOKUP(EDATE(B343,-12),Database!$F:$AY,MATCH($S$1,Database!$F$1:$AY$1,),))))</f>
        <v>-0.18970175920339047</v>
      </c>
      <c r="T343" s="13">
        <f>((((VLOOKUP(B343,Database!$F:$AY,MATCH($T$1,Database!$F$1:$AY$1,),))))-(((VLOOKUP(EDATE(B343,-12),Database!$F:$AY,MATCH($T$1,Database!$F$1:$AY$1,),)))))/(((VLOOKUP(EDATE(B343,-12),Database!$F:$AY,MATCH($T$1,Database!$F$1:$AY$1,),))))</f>
        <v>2.3390826725411071E-2</v>
      </c>
      <c r="U343" s="13">
        <f>((((VLOOKUP(B343,Database!$F:$AY,MATCH($U$1,Database!$F$1:$AY$1,),))))-(((VLOOKUP(EDATE(B343,-12),Database!$F:$AY,MATCH($U$1,Database!$F$1:$AY$1,),)))))/(((VLOOKUP(EDATE(B343,-12),Database!$F:$AY,MATCH($U$1,Database!$F$1:$AY$1,),))))</f>
        <v>3.3763328936704438E-2</v>
      </c>
      <c r="V343" s="13">
        <f>((((VLOOKUP(B343,Database!$F:$AY,MATCH($V$1,Database!$F$1:$AY$1,),))))-(((VLOOKUP(EDATE(B343,-12),Database!$F:$AY,MATCH($V$1,Database!$F$1:$AY$1,),)))))/(((VLOOKUP(EDATE(B343,-12),Database!$F:$AY,MATCH($V$1,Database!$F$1:$AY$1,),))))</f>
        <v>4.6700507614213141E-2</v>
      </c>
    </row>
    <row r="344" spans="1:22" s="85" customFormat="1" x14ac:dyDescent="0.2">
      <c r="A344" s="44"/>
      <c r="B344" s="91">
        <v>42614</v>
      </c>
      <c r="C344" s="13">
        <f>((((VLOOKUP(B344,Database!$F:$AY,MATCH($C$1,Database!$F$1:$AY$1,),))))-(((VLOOKUP(EDATE(B344,-12),Database!$F:$AY,MATCH($C$1,Database!$F$1:$AY$1,),)))))/(((VLOOKUP(EDATE(B344,-12),Database!$F:$AY,MATCH($C$1,Database!$F$1:$AY$1,),))))</f>
        <v>-1.666165054485113E-2</v>
      </c>
      <c r="D344" s="13">
        <f>((((VLOOKUP(B344,Database!$F:$AY,MATCH($D$1,Database!$F$1:$AY$1,),))))-(((VLOOKUP(EDATE(B344,-12),Database!$F:$AY,MATCH($D$1,Database!$F$1:$AY$1,),)))))/(((VLOOKUP(EDATE(B344,-12),Database!$F:$AY,MATCH($D$1,Database!$F$1:$AY$1,),))))</f>
        <v>1.1976047904191579E-2</v>
      </c>
      <c r="E344" s="13">
        <f>((((VLOOKUP(B344,Database!$F:$AY,MATCH($E$1,Database!$F$1:$AY$1,),))))-(((VLOOKUP(EDATE(B344,-12),Database!$F:$AY,MATCH($E$1,Database!$F$1:$AY$1,),)))))/(((VLOOKUP(EDATE(B344,-12),Database!$F:$AY,MATCH($E$1,Database!$F$1:$AY$1,),))))</f>
        <v>4.9755402441597103E-3</v>
      </c>
      <c r="F344" s="13">
        <f>((((VLOOKUP(B344,Database!$F:$AY,MATCH($F$1,Database!$F$1:$AY$1,),))))-(((VLOOKUP(EDATE(B344,-12),Database!$F:$AY,MATCH($F$1,Database!$F$1:$AY$1,),)))))/(((VLOOKUP(EDATE(B344,-12),Database!$F:$AY,MATCH($F$1,Database!$F$1:$AY$1,),))))</f>
        <v>2.2154614488034411E-2</v>
      </c>
      <c r="G344" s="13">
        <f>((((VLOOKUP(B344,Database!$F:$AY,MATCH($G$1,Database!$F$1:$AY$1,),))))-(((VLOOKUP(EDATE(B344,-12),Database!$F:$AY,MATCH($G$1,Database!$F$1:$AY$1,),)))))/(((VLOOKUP(EDATE(B344,-12),Database!$F:$AY,MATCH($G$1,Database!$F$1:$AY$1,),))))</f>
        <v>-1.1171439079078065E-2</v>
      </c>
      <c r="H344" s="13">
        <f>((((VLOOKUP(B344,Database!$F:$AY,MATCH($H$1,Database!$F$1:$AY$1,),))))-(((VLOOKUP(EDATE(B344,-12),Database!$F:$AY,MATCH($H$1,Database!$F$1:$AY$1,),)))))/(((VLOOKUP(EDATE(B344,-12),Database!$F:$AY,MATCH($H$1,Database!$F$1:$AY$1,),))))</f>
        <v>9.2973459181825251E-3</v>
      </c>
      <c r="I344" s="13">
        <f>((((VLOOKUP(B344,Database!$F:$AY,MATCH($I$1,Database!$F$1:$AY$1,),))))-(((VLOOKUP(EDATE(B344,-12),Database!$F:$AY,MATCH($I$1,Database!$F$1:$AY$1,),)))))/(((VLOOKUP(EDATE(B344,-12),Database!$F:$AY,MATCH($I$1,Database!$F$1:$AY$1,),))))</f>
        <v>2.1020969914611592E-2</v>
      </c>
      <c r="J344" s="13">
        <f>((((VLOOKUP(B344,Database!$F:$AY,MATCH($J$1,Database!$F$1:$AY$1,),))))-(((VLOOKUP(EDATE(B344,-12),Database!$F:$AY,MATCH($J$1,Database!$F$1:$AY$1,),)))))/(((VLOOKUP(EDATE(B344,-12),Database!$F:$AY,MATCH($J$1,Database!$F$1:$AY$1,),))))</f>
        <v>5.9947005661881046E-3</v>
      </c>
      <c r="K344" s="13">
        <f>((((VLOOKUP(B344,Database!$F:$AY,MATCH($K$1,Database!$F$1:$AY$1,),))))-(((VLOOKUP(EDATE(B344,-12),Database!$F:$AY,MATCH($K$1,Database!$F$1:$AY$1,),)))))/(((VLOOKUP(EDATE(B344,-12),Database!$F:$AY,MATCH($K$1,Database!$F$1:$AY$1,),))))</f>
        <v>2.3278370514064072E-2</v>
      </c>
      <c r="L344" s="13">
        <f>((((VLOOKUP(B344,Database!$F:$AY,MATCH($L$1,Database!$F$1:$AY$1,),))))-(((VLOOKUP(EDATE(B344,-12),Database!$F:$AY,MATCH($L$1,Database!$F$1:$AY$1,),)))))/(((VLOOKUP(EDATE(B344,-12),Database!$F:$AY,MATCH($L$1,Database!$F$1:$AY$1,),))))</f>
        <v>-1.3101901877344009E-2</v>
      </c>
      <c r="M344" s="13">
        <f>((((VLOOKUP(B344,Database!$F:$AY,MATCH($M$1,Database!$F$1:$AY$1,),))))-(((VLOOKUP(EDATE(B344,-12),Database!$F:$AY,MATCH($M$1,Database!$F$1:$AY$1,),)))))/(((VLOOKUP(EDATE(B344,-12),Database!$F:$AY,MATCH($M$1,Database!$F$1:$AY$1,),))))</f>
        <v>2.2977022977023091E-2</v>
      </c>
      <c r="N344" s="13">
        <f>((((VLOOKUP(B344,Database!$F:$AY,MATCH($N$1,Database!$F$1:$AY$1,),))))-(((VLOOKUP(EDATE(B344,-12),Database!$F:$AY,MATCH($N$1,Database!$F$1:$AY$1,),)))))/(((VLOOKUP(EDATE(B344,-12),Database!$F:$AY,MATCH($N$1,Database!$F$1:$AY$1,),))))</f>
        <v>4.858510133639795E-2</v>
      </c>
      <c r="O344" s="13">
        <f>((((VLOOKUP(B344,Database!$F:$AY,MATCH($O$1,Database!$F$1:$AY$1,),))))-(((VLOOKUP(EDATE(B344,-12),Database!$F:$AY,MATCH($O$1,Database!$F$1:$AY$1,),)))))/(((VLOOKUP(EDATE(B344,-12),Database!$F:$AY,MATCH($O$1,Database!$F$1:$AY$1,),))))</f>
        <v>2.3100851521762764E-2</v>
      </c>
      <c r="P344" s="13">
        <f>((((VLOOKUP(B344,Database!$F:$AY,MATCH($P$1,Database!$F$1:$AY$1,),))))-(((VLOOKUP(EDATE(B344,-12),Database!$F:$AY,MATCH($P$1,Database!$F$1:$AY$1,),)))))/(((VLOOKUP(EDATE(B344,-12),Database!$F:$AY,MATCH($P$1,Database!$F$1:$AY$1,),))))</f>
        <v>-1.0669173180303993E-2</v>
      </c>
      <c r="Q344" s="13">
        <f>((((VLOOKUP(B344,Database!$F:$AY,MATCH($Q$1,Database!$F$1:$AY$1,),))))-(((VLOOKUP(EDATE(B344,-12),Database!$F:$AY,MATCH($Q$1,Database!$F$1:$AY$1,),)))))/(((VLOOKUP(EDATE(B344,-12),Database!$F:$AY,MATCH($Q$1,Database!$F$1:$AY$1,),))))</f>
        <v>-4.3083897891696428E-2</v>
      </c>
      <c r="R344" s="13">
        <f>((((VLOOKUP(B344,Database!$F:$AY,MATCH($R$1,Database!$F$1:$AY$1,),))))-(((VLOOKUP(EDATE(B344,-12),Database!$F:$AY,MATCH($R$1,Database!$F$1:$AY$1,),)))))/(((VLOOKUP(EDATE(B344,-12),Database!$F:$AY,MATCH($R$1,Database!$F$1:$AY$1,),))))</f>
        <v>1.2935470085044264E-2</v>
      </c>
      <c r="S344" s="13">
        <f>((((VLOOKUP(B344,Database!$F:$AY,MATCH($S$1,Database!$F$1:$AY$1,),))))-(((VLOOKUP(EDATE(B344,-12),Database!$F:$AY,MATCH($S$1,Database!$F$1:$AY$1,),)))))/(((VLOOKUP(EDATE(B344,-12),Database!$F:$AY,MATCH($S$1,Database!$F$1:$AY$1,),))))</f>
        <v>-2.7135628599386057E-2</v>
      </c>
      <c r="T344" s="13">
        <f>((((VLOOKUP(B344,Database!$F:$AY,MATCH($T$1,Database!$F$1:$AY$1,),))))-(((VLOOKUP(EDATE(B344,-12),Database!$F:$AY,MATCH($T$1,Database!$F$1:$AY$1,),)))))/(((VLOOKUP(EDATE(B344,-12),Database!$F:$AY,MATCH($T$1,Database!$F$1:$AY$1,),))))</f>
        <v>-6.81556586043232E-3</v>
      </c>
      <c r="U344" s="13">
        <f>((((VLOOKUP(B344,Database!$F:$AY,MATCH($U$1,Database!$F$1:$AY$1,),))))-(((VLOOKUP(EDATE(B344,-12),Database!$F:$AY,MATCH($U$1,Database!$F$1:$AY$1,),)))))/(((VLOOKUP(EDATE(B344,-12),Database!$F:$AY,MATCH($U$1,Database!$F$1:$AY$1,),))))</f>
        <v>3.3065930725731156E-2</v>
      </c>
      <c r="V344" s="13">
        <f>((((VLOOKUP(B344,Database!$F:$AY,MATCH($V$1,Database!$F$1:$AY$1,),))))-(((VLOOKUP(EDATE(B344,-12),Database!$F:$AY,MATCH($V$1,Database!$F$1:$AY$1,),)))))/(((VLOOKUP(EDATE(B344,-12),Database!$F:$AY,MATCH($V$1,Database!$F$1:$AY$1,),))))</f>
        <v>2.9791459781529295E-2</v>
      </c>
    </row>
    <row r="345" spans="1:22" s="85" customFormat="1" x14ac:dyDescent="0.2">
      <c r="A345" s="44"/>
      <c r="B345" s="91">
        <v>42644</v>
      </c>
      <c r="C345" s="13">
        <f>((((VLOOKUP(B345,Database!$F:$AY,MATCH($C$1,Database!$F$1:$AY$1,),))))-(((VLOOKUP(EDATE(B345,-12),Database!$F:$AY,MATCH($C$1,Database!$F$1:$AY$1,),)))))/(((VLOOKUP(EDATE(B345,-12),Database!$F:$AY,MATCH($C$1,Database!$F$1:$AY$1,),))))</f>
        <v>-1.1113395663346995E-2</v>
      </c>
      <c r="D345" s="13">
        <f>((((VLOOKUP(B345,Database!$F:$AY,MATCH($D$1,Database!$F$1:$AY$1,),))))-(((VLOOKUP(EDATE(B345,-12),Database!$F:$AY,MATCH($D$1,Database!$F$1:$AY$1,),)))))/(((VLOOKUP(EDATE(B345,-12),Database!$F:$AY,MATCH($D$1,Database!$F$1:$AY$1,),))))</f>
        <v>2.1933861370736742E-2</v>
      </c>
      <c r="E345" s="13">
        <f>((((VLOOKUP(B345,Database!$F:$AY,MATCH($E$1,Database!$F$1:$AY$1,),))))-(((VLOOKUP(EDATE(B345,-12),Database!$F:$AY,MATCH($E$1,Database!$F$1:$AY$1,),)))))/(((VLOOKUP(EDATE(B345,-12),Database!$F:$AY,MATCH($E$1,Database!$F$1:$AY$1,),))))</f>
        <v>4.9705939660965731E-3</v>
      </c>
      <c r="F345" s="13">
        <f>((((VLOOKUP(B345,Database!$F:$AY,MATCH($F$1,Database!$F$1:$AY$1,),))))-(((VLOOKUP(EDATE(B345,-12),Database!$F:$AY,MATCH($F$1,Database!$F$1:$AY$1,),)))))/(((VLOOKUP(EDATE(B345,-12),Database!$F:$AY,MATCH($F$1,Database!$F$1:$AY$1,),))))</f>
        <v>1.9959737183818695E-2</v>
      </c>
      <c r="G345" s="13">
        <f>((((VLOOKUP(B345,Database!$F:$AY,MATCH($G$1,Database!$F$1:$AY$1,),))))-(((VLOOKUP(EDATE(B345,-12),Database!$F:$AY,MATCH($G$1,Database!$F$1:$AY$1,),)))))/(((VLOOKUP(EDATE(B345,-12),Database!$F:$AY,MATCH($G$1,Database!$F$1:$AY$1,),))))</f>
        <v>-1.870771006136222E-2</v>
      </c>
      <c r="H345" s="13">
        <f>((((VLOOKUP(B345,Database!$F:$AY,MATCH($H$1,Database!$F$1:$AY$1,),))))-(((VLOOKUP(EDATE(B345,-12),Database!$F:$AY,MATCH($H$1,Database!$F$1:$AY$1,),)))))/(((VLOOKUP(EDATE(B345,-12),Database!$F:$AY,MATCH($H$1,Database!$F$1:$AY$1,),))))</f>
        <v>0</v>
      </c>
      <c r="I345" s="13">
        <f>((((VLOOKUP(B345,Database!$F:$AY,MATCH($I$1,Database!$F$1:$AY$1,),))))-(((VLOOKUP(EDATE(B345,-12),Database!$F:$AY,MATCH($I$1,Database!$F$1:$AY$1,),)))))/(((VLOOKUP(EDATE(B345,-12),Database!$F:$AY,MATCH($I$1,Database!$F$1:$AY$1,),))))</f>
        <v>2.400029922492538E-2</v>
      </c>
      <c r="J345" s="13">
        <f>((((VLOOKUP(B345,Database!$F:$AY,MATCH($J$1,Database!$F$1:$AY$1,),))))-(((VLOOKUP(EDATE(B345,-12),Database!$F:$AY,MATCH($J$1,Database!$F$1:$AY$1,),)))))/(((VLOOKUP(EDATE(B345,-12),Database!$F:$AY,MATCH($J$1,Database!$F$1:$AY$1,),))))</f>
        <v>1.1340307358015739E-2</v>
      </c>
      <c r="K345" s="13">
        <f>((((VLOOKUP(B345,Database!$F:$AY,MATCH($K$1,Database!$F$1:$AY$1,),))))-(((VLOOKUP(EDATE(B345,-12),Database!$F:$AY,MATCH($K$1,Database!$F$1:$AY$1,),)))))/(((VLOOKUP(EDATE(B345,-12),Database!$F:$AY,MATCH($K$1,Database!$F$1:$AY$1,),))))</f>
        <v>-1.3605442176870803E-2</v>
      </c>
      <c r="L345" s="13">
        <f>((((VLOOKUP(B345,Database!$F:$AY,MATCH($L$1,Database!$F$1:$AY$1,),))))-(((VLOOKUP(EDATE(B345,-12),Database!$F:$AY,MATCH($L$1,Database!$F$1:$AY$1,),)))))/(((VLOOKUP(EDATE(B345,-12),Database!$F:$AY,MATCH($L$1,Database!$F$1:$AY$1,),))))</f>
        <v>-2.814217981907589E-3</v>
      </c>
      <c r="M345" s="13">
        <f>((((VLOOKUP(B345,Database!$F:$AY,MATCH($M$1,Database!$F$1:$AY$1,),))))-(((VLOOKUP(EDATE(B345,-12),Database!$F:$AY,MATCH($M$1,Database!$F$1:$AY$1,),)))))/(((VLOOKUP(EDATE(B345,-12),Database!$F:$AY,MATCH($M$1,Database!$F$1:$AY$1,),))))</f>
        <v>3.379721669980125E-2</v>
      </c>
      <c r="N345" s="13">
        <f>((((VLOOKUP(B345,Database!$F:$AY,MATCH($N$1,Database!$F$1:$AY$1,),))))-(((VLOOKUP(EDATE(B345,-12),Database!$F:$AY,MATCH($N$1,Database!$F$1:$AY$1,),)))))/(((VLOOKUP(EDATE(B345,-12),Database!$F:$AY,MATCH($N$1,Database!$F$1:$AY$1,),))))</f>
        <v>4.6793521728182345E-2</v>
      </c>
      <c r="O345" s="13">
        <f>((((VLOOKUP(B345,Database!$F:$AY,MATCH($O$1,Database!$F$1:$AY$1,),))))-(((VLOOKUP(EDATE(B345,-12),Database!$F:$AY,MATCH($O$1,Database!$F$1:$AY$1,),)))))/(((VLOOKUP(EDATE(B345,-12),Database!$F:$AY,MATCH($O$1,Database!$F$1:$AY$1,),))))</f>
        <v>1.9942086018833578E-2</v>
      </c>
      <c r="P345" s="13">
        <f>((((VLOOKUP(B345,Database!$F:$AY,MATCH($P$1,Database!$F$1:$AY$1,),))))-(((VLOOKUP(EDATE(B345,-12),Database!$F:$AY,MATCH($P$1,Database!$F$1:$AY$1,),)))))/(((VLOOKUP(EDATE(B345,-12),Database!$F:$AY,MATCH($P$1,Database!$F$1:$AY$1,),))))</f>
        <v>-8.8852382626003115E-3</v>
      </c>
      <c r="Q345" s="13">
        <f>((((VLOOKUP(B345,Database!$F:$AY,MATCH($Q$1,Database!$F$1:$AY$1,),))))-(((VLOOKUP(EDATE(B345,-12),Database!$F:$AY,MATCH($Q$1,Database!$F$1:$AY$1,),)))))/(((VLOOKUP(EDATE(B345,-12),Database!$F:$AY,MATCH($Q$1,Database!$F$1:$AY$1,),))))</f>
        <v>-5.3409121285735134E-2</v>
      </c>
      <c r="R345" s="13">
        <f>((((VLOOKUP(B345,Database!$F:$AY,MATCH($R$1,Database!$F$1:$AY$1,),))))-(((VLOOKUP(EDATE(B345,-12),Database!$F:$AY,MATCH($R$1,Database!$F$1:$AY$1,),)))))/(((VLOOKUP(EDATE(B345,-12),Database!$F:$AY,MATCH($R$1,Database!$F$1:$AY$1,),))))</f>
        <v>6.0180258198570841E-2</v>
      </c>
      <c r="S345" s="13">
        <f>((((VLOOKUP(B345,Database!$F:$AY,MATCH($S$1,Database!$F$1:$AY$1,),))))-(((VLOOKUP(EDATE(B345,-12),Database!$F:$AY,MATCH($S$1,Database!$F$1:$AY$1,),)))))/(((VLOOKUP(EDATE(B345,-12),Database!$F:$AY,MATCH($S$1,Database!$F$1:$AY$1,),))))</f>
        <v>0.18522461405249105</v>
      </c>
      <c r="T345" s="13">
        <f>((((VLOOKUP(B345,Database!$F:$AY,MATCH($T$1,Database!$F$1:$AY$1,),))))-(((VLOOKUP(EDATE(B345,-12),Database!$F:$AY,MATCH($T$1,Database!$F$1:$AY$1,),)))))/(((VLOOKUP(EDATE(B345,-12),Database!$F:$AY,MATCH($T$1,Database!$F$1:$AY$1,),))))</f>
        <v>6.1814748194265523E-2</v>
      </c>
      <c r="U345" s="13">
        <f>((((VLOOKUP(B345,Database!$F:$AY,MATCH($U$1,Database!$F$1:$AY$1,),))))-(((VLOOKUP(EDATE(B345,-12),Database!$F:$AY,MATCH($U$1,Database!$F$1:$AY$1,),)))))/(((VLOOKUP(EDATE(B345,-12),Database!$F:$AY,MATCH($U$1,Database!$F$1:$AY$1,),))))</f>
        <v>1.9568812816221744E-2</v>
      </c>
      <c r="V345" s="13">
        <f>((((VLOOKUP(B345,Database!$F:$AY,MATCH($V$1,Database!$F$1:$AY$1,),))))-(((VLOOKUP(EDATE(B345,-12),Database!$F:$AY,MATCH($V$1,Database!$F$1:$AY$1,),)))))/(((VLOOKUP(EDATE(B345,-12),Database!$F:$AY,MATCH($V$1,Database!$F$1:$AY$1,),))))</f>
        <v>7.88177339901475E-3</v>
      </c>
    </row>
    <row r="346" spans="1:22" s="85" customFormat="1" x14ac:dyDescent="0.2">
      <c r="A346" s="44"/>
      <c r="B346" s="91">
        <v>42675</v>
      </c>
      <c r="C346" s="13">
        <f>((((VLOOKUP(B346,Database!$F:$AY,MATCH($C$1,Database!$F$1:$AY$1,),))))-(((VLOOKUP(EDATE(B346,-12),Database!$F:$AY,MATCH($C$1,Database!$F$1:$AY$1,),)))))/(((VLOOKUP(EDATE(B346,-12),Database!$F:$AY,MATCH($C$1,Database!$F$1:$AY$1,),))))</f>
        <v>-6.1925481172587999E-3</v>
      </c>
      <c r="D346" s="13">
        <f>((((VLOOKUP(B346,Database!$F:$AY,MATCH($D$1,Database!$F$1:$AY$1,),))))-(((VLOOKUP(EDATE(B346,-12),Database!$F:$AY,MATCH($D$1,Database!$F$1:$AY$1,),)))))/(((VLOOKUP(EDATE(B346,-12),Database!$F:$AY,MATCH($D$1,Database!$F$1:$AY$1,),))))</f>
        <v>3.0060419887602441E-2</v>
      </c>
      <c r="E346" s="13">
        <f>((((VLOOKUP(B346,Database!$F:$AY,MATCH($E$1,Database!$F$1:$AY$1,),))))-(((VLOOKUP(EDATE(B346,-12),Database!$F:$AY,MATCH($E$1,Database!$F$1:$AY$1,),)))))/(((VLOOKUP(EDATE(B346,-12),Database!$F:$AY,MATCH($E$1,Database!$F$1:$AY$1,),))))</f>
        <v>2.1000049304107003E-2</v>
      </c>
      <c r="F346" s="13">
        <f>((((VLOOKUP(B346,Database!$F:$AY,MATCH($F$1,Database!$F$1:$AY$1,),))))-(((VLOOKUP(EDATE(B346,-12),Database!$F:$AY,MATCH($F$1,Database!$F$1:$AY$1,),)))))/(((VLOOKUP(EDATE(B346,-12),Database!$F:$AY,MATCH($F$1,Database!$F$1:$AY$1,),))))</f>
        <v>2.6183147377933615E-2</v>
      </c>
      <c r="G346" s="13">
        <f>((((VLOOKUP(B346,Database!$F:$AY,MATCH($G$1,Database!$F$1:$AY$1,),))))-(((VLOOKUP(EDATE(B346,-12),Database!$F:$AY,MATCH($G$1,Database!$F$1:$AY$1,),)))))/(((VLOOKUP(EDATE(B346,-12),Database!$F:$AY,MATCH($G$1,Database!$F$1:$AY$1,),))))</f>
        <v>2.9086716474360792E-2</v>
      </c>
      <c r="H346" s="13">
        <f>((((VLOOKUP(B346,Database!$F:$AY,MATCH($H$1,Database!$F$1:$AY$1,),))))-(((VLOOKUP(EDATE(B346,-12),Database!$F:$AY,MATCH($H$1,Database!$F$1:$AY$1,),)))))/(((VLOOKUP(EDATE(B346,-12),Database!$F:$AY,MATCH($H$1,Database!$F$1:$AY$1,),))))</f>
        <v>2.5104495016065924E-2</v>
      </c>
      <c r="I346" s="13">
        <f>((((VLOOKUP(B346,Database!$F:$AY,MATCH($I$1,Database!$F$1:$AY$1,),))))-(((VLOOKUP(EDATE(B346,-12),Database!$F:$AY,MATCH($I$1,Database!$F$1:$AY$1,),)))))/(((VLOOKUP(EDATE(B346,-12),Database!$F:$AY,MATCH($I$1,Database!$F$1:$AY$1,),))))</f>
        <v>2.6839219179335017E-2</v>
      </c>
      <c r="J346" s="13">
        <f>((((VLOOKUP(B346,Database!$F:$AY,MATCH($J$1,Database!$F$1:$AY$1,),))))-(((VLOOKUP(EDATE(B346,-12),Database!$F:$AY,MATCH($J$1,Database!$F$1:$AY$1,),)))))/(((VLOOKUP(EDATE(B346,-12),Database!$F:$AY,MATCH($J$1,Database!$F$1:$AY$1,),))))</f>
        <v>2.9528177420368142E-2</v>
      </c>
      <c r="K346" s="13">
        <f>((((VLOOKUP(B346,Database!$F:$AY,MATCH($K$1,Database!$F$1:$AY$1,),))))-(((VLOOKUP(EDATE(B346,-12),Database!$F:$AY,MATCH($K$1,Database!$F$1:$AY$1,),)))))/(((VLOOKUP(EDATE(B346,-12),Database!$F:$AY,MATCH($K$1,Database!$F$1:$AY$1,),))))</f>
        <v>-1.9512195121951497E-3</v>
      </c>
      <c r="L346" s="13">
        <f>((((VLOOKUP(B346,Database!$F:$AY,MATCH($L$1,Database!$F$1:$AY$1,),))))-(((VLOOKUP(EDATE(B346,-12),Database!$F:$AY,MATCH($L$1,Database!$F$1:$AY$1,),)))))/(((VLOOKUP(EDATE(B346,-12),Database!$F:$AY,MATCH($L$1,Database!$F$1:$AY$1,),))))</f>
        <v>5.0425337908355083E-3</v>
      </c>
      <c r="M346" s="13">
        <f>((((VLOOKUP(B346,Database!$F:$AY,MATCH($M$1,Database!$F$1:$AY$1,),))))-(((VLOOKUP(EDATE(B346,-12),Database!$F:$AY,MATCH($M$1,Database!$F$1:$AY$1,),)))))/(((VLOOKUP(EDATE(B346,-12),Database!$F:$AY,MATCH($M$1,Database!$F$1:$AY$1,),))))</f>
        <v>4.795204795204807E-2</v>
      </c>
      <c r="N346" s="13">
        <f>((((VLOOKUP(B346,Database!$F:$AY,MATCH($N$1,Database!$F$1:$AY$1,),))))-(((VLOOKUP(EDATE(B346,-12),Database!$F:$AY,MATCH($N$1,Database!$F$1:$AY$1,),)))))/(((VLOOKUP(EDATE(B346,-12),Database!$F:$AY,MATCH($N$1,Database!$F$1:$AY$1,),))))</f>
        <v>4.4837142314665811E-2</v>
      </c>
      <c r="O346" s="13">
        <f>((((VLOOKUP(B346,Database!$F:$AY,MATCH($O$1,Database!$F$1:$AY$1,),))))-(((VLOOKUP(EDATE(B346,-12),Database!$F:$AY,MATCH($O$1,Database!$F$1:$AY$1,),)))))/(((VLOOKUP(EDATE(B346,-12),Database!$F:$AY,MATCH($O$1,Database!$F$1:$AY$1,),))))</f>
        <v>2.9444173706956327E-2</v>
      </c>
      <c r="P346" s="13">
        <f>((((VLOOKUP(B346,Database!$F:$AY,MATCH($P$1,Database!$F$1:$AY$1,),))))-(((VLOOKUP(EDATE(B346,-12),Database!$F:$AY,MATCH($P$1,Database!$F$1:$AY$1,),)))))/(((VLOOKUP(EDATE(B346,-12),Database!$F:$AY,MATCH($P$1,Database!$F$1:$AY$1,),))))</f>
        <v>4.4821479087891858E-2</v>
      </c>
      <c r="Q346" s="13">
        <f>((((VLOOKUP(B346,Database!$F:$AY,MATCH($Q$1,Database!$F$1:$AY$1,),))))-(((VLOOKUP(EDATE(B346,-12),Database!$F:$AY,MATCH($Q$1,Database!$F$1:$AY$1,),)))))/(((VLOOKUP(EDATE(B346,-12),Database!$F:$AY,MATCH($Q$1,Database!$F$1:$AY$1,),))))</f>
        <v>-2.7777733977139573E-2</v>
      </c>
      <c r="R346" s="13">
        <f>((((VLOOKUP(B346,Database!$F:$AY,MATCH($R$1,Database!$F$1:$AY$1,),))))-(((VLOOKUP(EDATE(B346,-12),Database!$F:$AY,MATCH($R$1,Database!$F$1:$AY$1,),)))))/(((VLOOKUP(EDATE(B346,-12),Database!$F:$AY,MATCH($R$1,Database!$F$1:$AY$1,),))))</f>
        <v>2.2329898911353101E-2</v>
      </c>
      <c r="S346" s="13">
        <f>((((VLOOKUP(B346,Database!$F:$AY,MATCH($S$1,Database!$F$1:$AY$1,),))))-(((VLOOKUP(EDATE(B346,-12),Database!$F:$AY,MATCH($S$1,Database!$F$1:$AY$1,),)))))/(((VLOOKUP(EDATE(B346,-12),Database!$F:$AY,MATCH($S$1,Database!$F$1:$AY$1,),))))</f>
        <v>7.6680272326055121E-2</v>
      </c>
      <c r="T346" s="13">
        <f>((((VLOOKUP(B346,Database!$F:$AY,MATCH($T$1,Database!$F$1:$AY$1,),))))-(((VLOOKUP(EDATE(B346,-12),Database!$F:$AY,MATCH($T$1,Database!$F$1:$AY$1,),)))))/(((VLOOKUP(EDATE(B346,-12),Database!$F:$AY,MATCH($T$1,Database!$F$1:$AY$1,),))))</f>
        <v>3.1219174272988422E-2</v>
      </c>
      <c r="U346" s="13">
        <f>((((VLOOKUP(B346,Database!$F:$AY,MATCH($U$1,Database!$F$1:$AY$1,),))))-(((VLOOKUP(EDATE(B346,-12),Database!$F:$AY,MATCH($U$1,Database!$F$1:$AY$1,),)))))/(((VLOOKUP(EDATE(B346,-12),Database!$F:$AY,MATCH($U$1,Database!$F$1:$AY$1,),))))</f>
        <v>4.9048715326428342E-2</v>
      </c>
      <c r="V346" s="13">
        <f>((((VLOOKUP(B346,Database!$F:$AY,MATCH($V$1,Database!$F$1:$AY$1,),))))-(((VLOOKUP(EDATE(B346,-12),Database!$F:$AY,MATCH($V$1,Database!$F$1:$AY$1,),)))))/(((VLOOKUP(EDATE(B346,-12),Database!$F:$AY,MATCH($V$1,Database!$F$1:$AY$1,),))))</f>
        <v>2.6496565260058769E-2</v>
      </c>
    </row>
    <row r="347" spans="1:22" s="85" customFormat="1" x14ac:dyDescent="0.2">
      <c r="A347" s="44"/>
      <c r="B347" s="91">
        <v>42705</v>
      </c>
      <c r="C347" s="13">
        <f>((((VLOOKUP(B347,Database!$F:$AY,MATCH($C$1,Database!$F$1:$AY$1,),))))-(((VLOOKUP(EDATE(B347,-12),Database!$F:$AY,MATCH($C$1,Database!$F$1:$AY$1,),)))))/(((VLOOKUP(EDATE(B347,-12),Database!$F:$AY,MATCH($C$1,Database!$F$1:$AY$1,),))))</f>
        <v>8.0968196287994759E-3</v>
      </c>
      <c r="D347" s="13">
        <f>((((VLOOKUP(B347,Database!$F:$AY,MATCH($D$1,Database!$F$1:$AY$1,),))))-(((VLOOKUP(EDATE(B347,-12),Database!$F:$AY,MATCH($D$1,Database!$F$1:$AY$1,),)))))/(((VLOOKUP(EDATE(B347,-12),Database!$F:$AY,MATCH($D$1,Database!$F$1:$AY$1,),))))</f>
        <v>2.5024691302404391E-2</v>
      </c>
      <c r="E347" s="13">
        <f>((((VLOOKUP(B347,Database!$F:$AY,MATCH($E$1,Database!$F$1:$AY$1,),))))-(((VLOOKUP(EDATE(B347,-12),Database!$F:$AY,MATCH($E$1,Database!$F$1:$AY$1,),)))))/(((VLOOKUP(EDATE(B347,-12),Database!$F:$AY,MATCH($E$1,Database!$F$1:$AY$1,),))))</f>
        <v>3.4658034211411899E-2</v>
      </c>
      <c r="F347" s="13">
        <f>((((VLOOKUP(B347,Database!$F:$AY,MATCH($F$1,Database!$F$1:$AY$1,),))))-(((VLOOKUP(EDATE(B347,-12),Database!$F:$AY,MATCH($F$1,Database!$F$1:$AY$1,),)))))/(((VLOOKUP(EDATE(B347,-12),Database!$F:$AY,MATCH($F$1,Database!$F$1:$AY$1,),))))</f>
        <v>1.9971685963970989E-3</v>
      </c>
      <c r="G347" s="13">
        <f>((((VLOOKUP(B347,Database!$F:$AY,MATCH($G$1,Database!$F$1:$AY$1,),))))-(((VLOOKUP(EDATE(B347,-12),Database!$F:$AY,MATCH($G$1,Database!$F$1:$AY$1,),)))))/(((VLOOKUP(EDATE(B347,-12),Database!$F:$AY,MATCH($G$1,Database!$F$1:$AY$1,),))))</f>
        <v>1.1238943017333573E-2</v>
      </c>
      <c r="H347" s="13">
        <f>((((VLOOKUP(B347,Database!$F:$AY,MATCH($H$1,Database!$F$1:$AY$1,),))))-(((VLOOKUP(EDATE(B347,-12),Database!$F:$AY,MATCH($H$1,Database!$F$1:$AY$1,),)))))/(((VLOOKUP(EDATE(B347,-12),Database!$F:$AY,MATCH($H$1,Database!$F$1:$AY$1,),))))</f>
        <v>4.7368740151620604E-2</v>
      </c>
      <c r="I347" s="13">
        <f>((((VLOOKUP(B347,Database!$F:$AY,MATCH($I$1,Database!$F$1:$AY$1,),))))-(((VLOOKUP(EDATE(B347,-12),Database!$F:$AY,MATCH($I$1,Database!$F$1:$AY$1,),)))))/(((VLOOKUP(EDATE(B347,-12),Database!$F:$AY,MATCH($I$1,Database!$F$1:$AY$1,),))))</f>
        <v>6.1803836327993723E-2</v>
      </c>
      <c r="J347" s="13">
        <f>((((VLOOKUP(B347,Database!$F:$AY,MATCH($J$1,Database!$F$1:$AY$1,),))))-(((VLOOKUP(EDATE(B347,-12),Database!$F:$AY,MATCH($J$1,Database!$F$1:$AY$1,),)))))/(((VLOOKUP(EDATE(B347,-12),Database!$F:$AY,MATCH($J$1,Database!$F$1:$AY$1,),))))</f>
        <v>2.6892572247622908E-2</v>
      </c>
      <c r="K347" s="13">
        <f>((((VLOOKUP(B347,Database!$F:$AY,MATCH($K$1,Database!$F$1:$AY$1,),))))-(((VLOOKUP(EDATE(B347,-12),Database!$F:$AY,MATCH($K$1,Database!$F$1:$AY$1,),)))))/(((VLOOKUP(EDATE(B347,-12),Database!$F:$AY,MATCH($K$1,Database!$F$1:$AY$1,),))))</f>
        <v>3.9682539682540244E-3</v>
      </c>
      <c r="L347" s="13">
        <f>((((VLOOKUP(B347,Database!$F:$AY,MATCH($L$1,Database!$F$1:$AY$1,),))))-(((VLOOKUP(EDATE(B347,-12),Database!$F:$AY,MATCH($L$1,Database!$F$1:$AY$1,),)))))/(((VLOOKUP(EDATE(B347,-12),Database!$F:$AY,MATCH($L$1,Database!$F$1:$AY$1,),))))</f>
        <v>-9.8499903869203251E-4</v>
      </c>
      <c r="M347" s="13">
        <f>((((VLOOKUP(B347,Database!$F:$AY,MATCH($M$1,Database!$F$1:$AY$1,),))))-(((VLOOKUP(EDATE(B347,-12),Database!$F:$AY,MATCH($M$1,Database!$F$1:$AY$1,),)))))/(((VLOOKUP(EDATE(B347,-12),Database!$F:$AY,MATCH($M$1,Database!$F$1:$AY$1,),))))</f>
        <v>4.7141424272818484E-2</v>
      </c>
      <c r="N347" s="13">
        <f>((((VLOOKUP(B347,Database!$F:$AY,MATCH($N$1,Database!$F$1:$AY$1,),))))-(((VLOOKUP(EDATE(B347,-12),Database!$F:$AY,MATCH($N$1,Database!$F$1:$AY$1,),)))))/(((VLOOKUP(EDATE(B347,-12),Database!$F:$AY,MATCH($N$1,Database!$F$1:$AY$1,),))))</f>
        <v>2.8173303070834134E-2</v>
      </c>
      <c r="O347" s="13">
        <f>((((VLOOKUP(B347,Database!$F:$AY,MATCH($O$1,Database!$F$1:$AY$1,),))))-(((VLOOKUP(EDATE(B347,-12),Database!$F:$AY,MATCH($O$1,Database!$F$1:$AY$1,),)))))/(((VLOOKUP(EDATE(B347,-12),Database!$F:$AY,MATCH($O$1,Database!$F$1:$AY$1,),))))</f>
        <v>2.7156369173160014E-2</v>
      </c>
      <c r="P347" s="13">
        <f>((((VLOOKUP(B347,Database!$F:$AY,MATCH($P$1,Database!$F$1:$AY$1,),))))-(((VLOOKUP(EDATE(B347,-12),Database!$F:$AY,MATCH($P$1,Database!$F$1:$AY$1,),)))))/(((VLOOKUP(EDATE(B347,-12),Database!$F:$AY,MATCH($P$1,Database!$F$1:$AY$1,),))))</f>
        <v>4.3042823986942702E-2</v>
      </c>
      <c r="Q347" s="13">
        <f>((((VLOOKUP(B347,Database!$F:$AY,MATCH($Q$1,Database!$F$1:$AY$1,),))))-(((VLOOKUP(EDATE(B347,-12),Database!$F:$AY,MATCH($Q$1,Database!$F$1:$AY$1,),)))))/(((VLOOKUP(EDATE(B347,-12),Database!$F:$AY,MATCH($Q$1,Database!$F$1:$AY$1,),))))</f>
        <v>9.4340188479019628E-3</v>
      </c>
      <c r="R347" s="13">
        <f>((((VLOOKUP(B347,Database!$F:$AY,MATCH($R$1,Database!$F$1:$AY$1,),))))-(((VLOOKUP(EDATE(B347,-12),Database!$F:$AY,MATCH($R$1,Database!$F$1:$AY$1,),)))))/(((VLOOKUP(EDATE(B347,-12),Database!$F:$AY,MATCH($R$1,Database!$F$1:$AY$1,),))))</f>
        <v>1.1320736896289671E-2</v>
      </c>
      <c r="S347" s="13">
        <f>((((VLOOKUP(B347,Database!$F:$AY,MATCH($S$1,Database!$F$1:$AY$1,),))))-(((VLOOKUP(EDATE(B347,-12),Database!$F:$AY,MATCH($S$1,Database!$F$1:$AY$1,),)))))/(((VLOOKUP(EDATE(B347,-12),Database!$F:$AY,MATCH($S$1,Database!$F$1:$AY$1,),))))</f>
        <v>-3.9376626955422919E-3</v>
      </c>
      <c r="T347" s="13">
        <f>((((VLOOKUP(B347,Database!$F:$AY,MATCH($T$1,Database!$F$1:$AY$1,),))))-(((VLOOKUP(EDATE(B347,-12),Database!$F:$AY,MATCH($T$1,Database!$F$1:$AY$1,),)))))/(((VLOOKUP(EDATE(B347,-12),Database!$F:$AY,MATCH($T$1,Database!$F$1:$AY$1,),))))</f>
        <v>1.6456355514592798E-2</v>
      </c>
      <c r="U347" s="13">
        <f>((((VLOOKUP(B347,Database!$F:$AY,MATCH($U$1,Database!$F$1:$AY$1,),))))-(((VLOOKUP(EDATE(B347,-12),Database!$F:$AY,MATCH($U$1,Database!$F$1:$AY$1,),)))))/(((VLOOKUP(EDATE(B347,-12),Database!$F:$AY,MATCH($U$1,Database!$F$1:$AY$1,),))))</f>
        <v>4.8289332709755273E-2</v>
      </c>
      <c r="V347" s="13">
        <f>((((VLOOKUP(B347,Database!$F:$AY,MATCH($V$1,Database!$F$1:$AY$1,),))))-(((VLOOKUP(EDATE(B347,-12),Database!$F:$AY,MATCH($V$1,Database!$F$1:$AY$1,),)))))/(((VLOOKUP(EDATE(B347,-12),Database!$F:$AY,MATCH($V$1,Database!$F$1:$AY$1,),))))</f>
        <v>4.3095004897159707E-2</v>
      </c>
    </row>
    <row r="348" spans="1:22" s="85" customFormat="1" x14ac:dyDescent="0.2">
      <c r="A348" s="44"/>
      <c r="B348" s="91">
        <v>42736</v>
      </c>
      <c r="C348" s="13">
        <f>((((VLOOKUP(B348,Database!$F:$AY,MATCH($C$1,Database!$F$1:$AY$1,),))))-(((VLOOKUP(EDATE(B348,-12),Database!$F:$AY,MATCH($C$1,Database!$F$1:$AY$1,),)))))/(((VLOOKUP(EDATE(B348,-12),Database!$F:$AY,MATCH($C$1,Database!$F$1:$AY$1,),))))</f>
        <v>8.1689316457216152E-4</v>
      </c>
      <c r="D348" s="13">
        <f>((((VLOOKUP(B348,Database!$F:$AY,MATCH($D$1,Database!$F$1:$AY$1,),))))-(((VLOOKUP(EDATE(B348,-12),Database!$F:$AY,MATCH($D$1,Database!$F$1:$AY$1,),)))))/(((VLOOKUP(EDATE(B348,-12),Database!$F:$AY,MATCH($D$1,Database!$F$1:$AY$1,),))))</f>
        <v>-6.8028797788553729E-3</v>
      </c>
      <c r="E348" s="13">
        <f>((((VLOOKUP(B348,Database!$F:$AY,MATCH($E$1,Database!$F$1:$AY$1,),))))-(((VLOOKUP(EDATE(B348,-12),Database!$F:$AY,MATCH($E$1,Database!$F$1:$AY$1,),)))))/(((VLOOKUP(EDATE(B348,-12),Database!$F:$AY,MATCH($E$1,Database!$F$1:$AY$1,),))))</f>
        <v>3.9883699133326364E-3</v>
      </c>
      <c r="F348" s="13">
        <f>((((VLOOKUP(B348,Database!$F:$AY,MATCH($F$1,Database!$F$1:$AY$1,),))))-(((VLOOKUP(EDATE(B348,-12),Database!$F:$AY,MATCH($F$1,Database!$F$1:$AY$1,),)))))/(((VLOOKUP(EDATE(B348,-12),Database!$F:$AY,MATCH($F$1,Database!$F$1:$AY$1,),))))</f>
        <v>-1.960947726036021E-3</v>
      </c>
      <c r="G348" s="13">
        <f>((((VLOOKUP(B348,Database!$F:$AY,MATCH($G$1,Database!$F$1:$AY$1,),))))-(((VLOOKUP(EDATE(B348,-12),Database!$F:$AY,MATCH($G$1,Database!$F$1:$AY$1,),)))))/(((VLOOKUP(EDATE(B348,-12),Database!$F:$AY,MATCH($G$1,Database!$F$1:$AY$1,),))))</f>
        <v>-3.2444932101606955E-3</v>
      </c>
      <c r="H348" s="13">
        <f>((((VLOOKUP(B348,Database!$F:$AY,MATCH($H$1,Database!$F$1:$AY$1,),))))-(((VLOOKUP(EDATE(B348,-12),Database!$F:$AY,MATCH($H$1,Database!$F$1:$AY$1,),)))))/(((VLOOKUP(EDATE(B348,-12),Database!$F:$AY,MATCH($H$1,Database!$F$1:$AY$1,),))))</f>
        <v>3.966597622969141E-2</v>
      </c>
      <c r="I348" s="13">
        <f>((((VLOOKUP(B348,Database!$F:$AY,MATCH($I$1,Database!$F$1:$AY$1,),))))-(((VLOOKUP(EDATE(B348,-12),Database!$F:$AY,MATCH($I$1,Database!$F$1:$AY$1,),)))))/(((VLOOKUP(EDATE(B348,-12),Database!$F:$AY,MATCH($I$1,Database!$F$1:$AY$1,),))))</f>
        <v>2.9500990741605456E-3</v>
      </c>
      <c r="J348" s="13">
        <f>((((VLOOKUP(B348,Database!$F:$AY,MATCH($J$1,Database!$F$1:$AY$1,),))))-(((VLOOKUP(EDATE(B348,-12),Database!$F:$AY,MATCH($J$1,Database!$F$1:$AY$1,),)))))/(((VLOOKUP(EDATE(B348,-12),Database!$F:$AY,MATCH($J$1,Database!$F$1:$AY$1,),))))</f>
        <v>2.0962613404502853E-2</v>
      </c>
      <c r="K348" s="13">
        <f>((((VLOOKUP(B348,Database!$F:$AY,MATCH($K$1,Database!$F$1:$AY$1,),))))-(((VLOOKUP(EDATE(B348,-12),Database!$F:$AY,MATCH($K$1,Database!$F$1:$AY$1,),)))))/(((VLOOKUP(EDATE(B348,-12),Database!$F:$AY,MATCH($K$1,Database!$F$1:$AY$1,),))))</f>
        <v>2.169625246548312E-2</v>
      </c>
      <c r="L348" s="13">
        <f>((((VLOOKUP(B348,Database!$F:$AY,MATCH($L$1,Database!$F$1:$AY$1,),))))-(((VLOOKUP(EDATE(B348,-12),Database!$F:$AY,MATCH($L$1,Database!$F$1:$AY$1,),)))))/(((VLOOKUP(EDATE(B348,-12),Database!$F:$AY,MATCH($L$1,Database!$F$1:$AY$1,),))))</f>
        <v>-3.1121971603245229E-3</v>
      </c>
      <c r="M348" s="13">
        <f>((((VLOOKUP(B348,Database!$F:$AY,MATCH($M$1,Database!$F$1:$AY$1,),))))-(((VLOOKUP(EDATE(B348,-12),Database!$F:$AY,MATCH($M$1,Database!$F$1:$AY$1,),)))))/(((VLOOKUP(EDATE(B348,-12),Database!$F:$AY,MATCH($M$1,Database!$F$1:$AY$1,),))))</f>
        <v>5.5055055055055049E-2</v>
      </c>
      <c r="N348" s="13">
        <f>((((VLOOKUP(B348,Database!$F:$AY,MATCH($N$1,Database!$F$1:$AY$1,),))))-(((VLOOKUP(EDATE(B348,-12),Database!$F:$AY,MATCH($N$1,Database!$F$1:$AY$1,),)))))/(((VLOOKUP(EDATE(B348,-12),Database!$F:$AY,MATCH($N$1,Database!$F$1:$AY$1,),))))</f>
        <v>3.3240056999675222E-2</v>
      </c>
      <c r="O348" s="13">
        <f>((((VLOOKUP(B348,Database!$F:$AY,MATCH($O$1,Database!$F$1:$AY$1,),))))-(((VLOOKUP(EDATE(B348,-12),Database!$F:$AY,MATCH($O$1,Database!$F$1:$AY$1,),)))))/(((VLOOKUP(EDATE(B348,-12),Database!$F:$AY,MATCH($O$1,Database!$F$1:$AY$1,),))))</f>
        <v>3.0308447039663219E-2</v>
      </c>
      <c r="P348" s="13">
        <f>((((VLOOKUP(B348,Database!$F:$AY,MATCH($P$1,Database!$F$1:$AY$1,),))))-(((VLOOKUP(EDATE(B348,-12),Database!$F:$AY,MATCH($P$1,Database!$F$1:$AY$1,),)))))/(((VLOOKUP(EDATE(B348,-12),Database!$F:$AY,MATCH($P$1,Database!$F$1:$AY$1,),))))</f>
        <v>8.1053668406190299E-2</v>
      </c>
      <c r="Q348" s="13">
        <f>((((VLOOKUP(B348,Database!$F:$AY,MATCH($Q$1,Database!$F$1:$AY$1,),))))-(((VLOOKUP(EDATE(B348,-12),Database!$F:$AY,MATCH($Q$1,Database!$F$1:$AY$1,),)))))/(((VLOOKUP(EDATE(B348,-12),Database!$F:$AY,MATCH($Q$1,Database!$F$1:$AY$1,),))))</f>
        <v>3.4842621165135355E-3</v>
      </c>
      <c r="R348" s="13">
        <f>((((VLOOKUP(B348,Database!$F:$AY,MATCH($R$1,Database!$F$1:$AY$1,),))))-(((VLOOKUP(EDATE(B348,-12),Database!$F:$AY,MATCH($R$1,Database!$F$1:$AY$1,),)))))/(((VLOOKUP(EDATE(B348,-12),Database!$F:$AY,MATCH($R$1,Database!$F$1:$AY$1,),))))</f>
        <v>4.8923941697222563E-2</v>
      </c>
      <c r="S348" s="13">
        <f>((((VLOOKUP(B348,Database!$F:$AY,MATCH($S$1,Database!$F$1:$AY$1,),))))-(((VLOOKUP(EDATE(B348,-12),Database!$F:$AY,MATCH($S$1,Database!$F$1:$AY$1,),)))))/(((VLOOKUP(EDATE(B348,-12),Database!$F:$AY,MATCH($S$1,Database!$F$1:$AY$1,),))))</f>
        <v>-0.16271157141186579</v>
      </c>
      <c r="T348" s="13">
        <f>((((VLOOKUP(B348,Database!$F:$AY,MATCH($T$1,Database!$F$1:$AY$1,),))))-(((VLOOKUP(EDATE(B348,-12),Database!$F:$AY,MATCH($T$1,Database!$F$1:$AY$1,),)))))/(((VLOOKUP(EDATE(B348,-12),Database!$F:$AY,MATCH($T$1,Database!$F$1:$AY$1,),))))</f>
        <v>3.1188743706837382E-2</v>
      </c>
      <c r="U348" s="13">
        <f>((((VLOOKUP(B348,Database!$F:$AY,MATCH($U$1,Database!$F$1:$AY$1,),))))-(((VLOOKUP(EDATE(B348,-12),Database!$F:$AY,MATCH($U$1,Database!$F$1:$AY$1,),)))))/(((VLOOKUP(EDATE(B348,-12),Database!$F:$AY,MATCH($U$1,Database!$F$1:$AY$1,),))))</f>
        <v>4.8875179648621946E-2</v>
      </c>
      <c r="V348" s="13">
        <f>((((VLOOKUP(B348,Database!$F:$AY,MATCH($V$1,Database!$F$1:$AY$1,),))))-(((VLOOKUP(EDATE(B348,-12),Database!$F:$AY,MATCH($V$1,Database!$F$1:$AY$1,),)))))/(((VLOOKUP(EDATE(B348,-12),Database!$F:$AY,MATCH($V$1,Database!$F$1:$AY$1,),))))</f>
        <v>4.3179587831206977E-2</v>
      </c>
    </row>
    <row r="349" spans="1:22" s="85" customFormat="1" x14ac:dyDescent="0.2">
      <c r="A349" s="44"/>
      <c r="B349" s="91">
        <v>42767</v>
      </c>
      <c r="C349" s="13">
        <f>((((VLOOKUP(B349,Database!$F:$AY,MATCH($C$1,Database!$F$1:$AY$1,),))))-(((VLOOKUP(EDATE(B349,-12),Database!$F:$AY,MATCH($C$1,Database!$F$1:$AY$1,),)))))/(((VLOOKUP(EDATE(B349,-12),Database!$F:$AY,MATCH($C$1,Database!$F$1:$AY$1,),))))</f>
        <v>4.1615029808826781E-3</v>
      </c>
      <c r="D349" s="13">
        <f>((((VLOOKUP(B349,Database!$F:$AY,MATCH($D$1,Database!$F$1:$AY$1,),))))-(((VLOOKUP(EDATE(B349,-12),Database!$F:$AY,MATCH($D$1,Database!$F$1:$AY$1,),)))))/(((VLOOKUP(EDATE(B349,-12),Database!$F:$AY,MATCH($D$1,Database!$F$1:$AY$1,),))))</f>
        <v>1.9821932690477741E-2</v>
      </c>
      <c r="E349" s="13">
        <f>((((VLOOKUP(B349,Database!$F:$AY,MATCH($E$1,Database!$F$1:$AY$1,),))))-(((VLOOKUP(EDATE(B349,-12),Database!$F:$AY,MATCH($E$1,Database!$F$1:$AY$1,),)))))/(((VLOOKUP(EDATE(B349,-12),Database!$F:$AY,MATCH($E$1,Database!$F$1:$AY$1,),))))</f>
        <v>1.909495776080234E-2</v>
      </c>
      <c r="F349" s="13">
        <f>((((VLOOKUP(B349,Database!$F:$AY,MATCH($F$1,Database!$F$1:$AY$1,),))))-(((VLOOKUP(EDATE(B349,-12),Database!$F:$AY,MATCH($F$1,Database!$F$1:$AY$1,),)))))/(((VLOOKUP(EDATE(B349,-12),Database!$F:$AY,MATCH($F$1,Database!$F$1:$AY$1,),))))</f>
        <v>1.0816046572230629E-2</v>
      </c>
      <c r="G349" s="13">
        <f>((((VLOOKUP(B349,Database!$F:$AY,MATCH($G$1,Database!$F$1:$AY$1,),))))-(((VLOOKUP(EDATE(B349,-12),Database!$F:$AY,MATCH($G$1,Database!$F$1:$AY$1,),)))))/(((VLOOKUP(EDATE(B349,-12),Database!$F:$AY,MATCH($G$1,Database!$F$1:$AY$1,),))))</f>
        <v>-5.0695421905194099E-3</v>
      </c>
      <c r="H349" s="13">
        <f>((((VLOOKUP(B349,Database!$F:$AY,MATCH($H$1,Database!$F$1:$AY$1,),))))-(((VLOOKUP(EDATE(B349,-12),Database!$F:$AY,MATCH($H$1,Database!$F$1:$AY$1,),)))))/(((VLOOKUP(EDATE(B349,-12),Database!$F:$AY,MATCH($H$1,Database!$F$1:$AY$1,),))))</f>
        <v>3.2528858364466055E-2</v>
      </c>
      <c r="I349" s="13">
        <f>((((VLOOKUP(B349,Database!$F:$AY,MATCH($I$1,Database!$F$1:$AY$1,),))))-(((VLOOKUP(EDATE(B349,-12),Database!$F:$AY,MATCH($I$1,Database!$F$1:$AY$1,),)))))/(((VLOOKUP(EDATE(B349,-12),Database!$F:$AY,MATCH($I$1,Database!$F$1:$AY$1,),))))</f>
        <v>2.6865927102364736E-2</v>
      </c>
      <c r="J349" s="13">
        <f>((((VLOOKUP(B349,Database!$F:$AY,MATCH($J$1,Database!$F$1:$AY$1,),))))-(((VLOOKUP(EDATE(B349,-12),Database!$F:$AY,MATCH($J$1,Database!$F$1:$AY$1,),)))))/(((VLOOKUP(EDATE(B349,-12),Database!$F:$AY,MATCH($J$1,Database!$F$1:$AY$1,),))))</f>
        <v>2.60458220142697E-2</v>
      </c>
      <c r="K349" s="13">
        <f>((((VLOOKUP(B349,Database!$F:$AY,MATCH($K$1,Database!$F$1:$AY$1,),))))-(((VLOOKUP(EDATE(B349,-12),Database!$F:$AY,MATCH($K$1,Database!$F$1:$AY$1,),)))))/(((VLOOKUP(EDATE(B349,-12),Database!$F:$AY,MATCH($K$1,Database!$F$1:$AY$1,),))))</f>
        <v>2.6600985221674905E-2</v>
      </c>
      <c r="L349" s="13">
        <f>((((VLOOKUP(B349,Database!$F:$AY,MATCH($L$1,Database!$F$1:$AY$1,),))))-(((VLOOKUP(EDATE(B349,-12),Database!$F:$AY,MATCH($L$1,Database!$F$1:$AY$1,),)))))/(((VLOOKUP(EDATE(B349,-12),Database!$F:$AY,MATCH($L$1,Database!$F$1:$AY$1,),))))</f>
        <v>-3.532496054803656E-3</v>
      </c>
      <c r="M349" s="13">
        <f>((((VLOOKUP(B349,Database!$F:$AY,MATCH($M$1,Database!$F$1:$AY$1,),))))-(((VLOOKUP(EDATE(B349,-12),Database!$F:$AY,MATCH($M$1,Database!$F$1:$AY$1,),)))))/(((VLOOKUP(EDATE(B349,-12),Database!$F:$AY,MATCH($M$1,Database!$F$1:$AY$1,),))))</f>
        <v>4.8144433299899668E-2</v>
      </c>
      <c r="N349" s="13">
        <f>((((VLOOKUP(B349,Database!$F:$AY,MATCH($N$1,Database!$F$1:$AY$1,),))))-(((VLOOKUP(EDATE(B349,-12),Database!$F:$AY,MATCH($N$1,Database!$F$1:$AY$1,),)))))/(((VLOOKUP(EDATE(B349,-12),Database!$F:$AY,MATCH($N$1,Database!$F$1:$AY$1,),))))</f>
        <v>4.8517844329173318E-2</v>
      </c>
      <c r="O349" s="13">
        <f>((((VLOOKUP(B349,Database!$F:$AY,MATCH($O$1,Database!$F$1:$AY$1,),))))-(((VLOOKUP(EDATE(B349,-12),Database!$F:$AY,MATCH($O$1,Database!$F$1:$AY$1,),)))))/(((VLOOKUP(EDATE(B349,-12),Database!$F:$AY,MATCH($O$1,Database!$F$1:$AY$1,),))))</f>
        <v>3.4313754968759283E-2</v>
      </c>
      <c r="P349" s="13">
        <f>((((VLOOKUP(B349,Database!$F:$AY,MATCH($P$1,Database!$F$1:$AY$1,),))))-(((VLOOKUP(EDATE(B349,-12),Database!$F:$AY,MATCH($P$1,Database!$F$1:$AY$1,),)))))/(((VLOOKUP(EDATE(B349,-12),Database!$F:$AY,MATCH($P$1,Database!$F$1:$AY$1,),))))</f>
        <v>3.1620213535510922E-2</v>
      </c>
      <c r="Q349" s="13">
        <f>((((VLOOKUP(B349,Database!$F:$AY,MATCH($Q$1,Database!$F$1:$AY$1,),))))-(((VLOOKUP(EDATE(B349,-12),Database!$F:$AY,MATCH($Q$1,Database!$F$1:$AY$1,),)))))/(((VLOOKUP(EDATE(B349,-12),Database!$F:$AY,MATCH($Q$1,Database!$F$1:$AY$1,),))))</f>
        <v>3.1764707265155727E-2</v>
      </c>
      <c r="R349" s="13">
        <f>((((VLOOKUP(B349,Database!$F:$AY,MATCH($R$1,Database!$F$1:$AY$1,),))))-(((VLOOKUP(EDATE(B349,-12),Database!$F:$AY,MATCH($R$1,Database!$F$1:$AY$1,),)))))/(((VLOOKUP(EDATE(B349,-12),Database!$F:$AY,MATCH($R$1,Database!$F$1:$AY$1,),))))</f>
        <v>0.10456834878246946</v>
      </c>
      <c r="S349" s="13">
        <f>((((VLOOKUP(B349,Database!$F:$AY,MATCH($S$1,Database!$F$1:$AY$1,),))))-(((VLOOKUP(EDATE(B349,-12),Database!$F:$AY,MATCH($S$1,Database!$F$1:$AY$1,),)))))/(((VLOOKUP(EDATE(B349,-12),Database!$F:$AY,MATCH($S$1,Database!$F$1:$AY$1,),))))</f>
        <v>6.6950426234413676E-2</v>
      </c>
      <c r="T349" s="13">
        <f>((((VLOOKUP(B349,Database!$F:$AY,MATCH($T$1,Database!$F$1:$AY$1,),))))-(((VLOOKUP(EDATE(B349,-12),Database!$F:$AY,MATCH($T$1,Database!$F$1:$AY$1,),)))))/(((VLOOKUP(EDATE(B349,-12),Database!$F:$AY,MATCH($T$1,Database!$F$1:$AY$1,),))))</f>
        <v>3.7607747604912194E-2</v>
      </c>
      <c r="U349" s="13">
        <f>((((VLOOKUP(B349,Database!$F:$AY,MATCH($U$1,Database!$F$1:$AY$1,),))))-(((VLOOKUP(EDATE(B349,-12),Database!$F:$AY,MATCH($U$1,Database!$F$1:$AY$1,),)))))/(((VLOOKUP(EDATE(B349,-12),Database!$F:$AY,MATCH($U$1,Database!$F$1:$AY$1,),))))</f>
        <v>4.7572992771608535E-2</v>
      </c>
      <c r="V349" s="13">
        <f>((((VLOOKUP(B349,Database!$F:$AY,MATCH($V$1,Database!$F$1:$AY$1,),))))-(((VLOOKUP(EDATE(B349,-12),Database!$F:$AY,MATCH($V$1,Database!$F$1:$AY$1,),)))))/(((VLOOKUP(EDATE(B349,-12),Database!$F:$AY,MATCH($V$1,Database!$F$1:$AY$1,),))))</f>
        <v>4.7244094488189094E-2</v>
      </c>
    </row>
    <row r="350" spans="1:22" s="85" customFormat="1" x14ac:dyDescent="0.2">
      <c r="A350" s="44"/>
      <c r="B350" s="91">
        <v>42795</v>
      </c>
      <c r="C350" s="13">
        <f>((((VLOOKUP(B350,Database!$F:$AY,MATCH($C$1,Database!$F$1:$AY$1,),))))-(((VLOOKUP(EDATE(B350,-12),Database!$F:$AY,MATCH($C$1,Database!$F$1:$AY$1,),)))))/(((VLOOKUP(EDATE(B350,-12),Database!$F:$AY,MATCH($C$1,Database!$F$1:$AY$1,),))))</f>
        <v>1.9006052219189759E-2</v>
      </c>
      <c r="D350" s="13">
        <f>((((VLOOKUP(B350,Database!$F:$AY,MATCH($D$1,Database!$F$1:$AY$1,),))))-(((VLOOKUP(EDATE(B350,-12),Database!$F:$AY,MATCH($D$1,Database!$F$1:$AY$1,),)))))/(((VLOOKUP(EDATE(B350,-12),Database!$F:$AY,MATCH($D$1,Database!$F$1:$AY$1,),))))</f>
        <v>2.1890204640970228E-2</v>
      </c>
      <c r="E350" s="13">
        <f>((((VLOOKUP(B350,Database!$F:$AY,MATCH($E$1,Database!$F$1:$AY$1,),))))-(((VLOOKUP(EDATE(B350,-12),Database!$F:$AY,MATCH($E$1,Database!$F$1:$AY$1,),)))))/(((VLOOKUP(EDATE(B350,-12),Database!$F:$AY,MATCH($E$1,Database!$F$1:$AY$1,),))))</f>
        <v>1.6015548041638787E-2</v>
      </c>
      <c r="F350" s="13">
        <f>((((VLOOKUP(B350,Database!$F:$AY,MATCH($F$1,Database!$F$1:$AY$1,),))))-(((VLOOKUP(EDATE(B350,-12),Database!$F:$AY,MATCH($F$1,Database!$F$1:$AY$1,),)))))/(((VLOOKUP(EDATE(B350,-12),Database!$F:$AY,MATCH($F$1,Database!$F$1:$AY$1,),))))</f>
        <v>1.7910949770926065E-2</v>
      </c>
      <c r="G350" s="13">
        <f>((((VLOOKUP(B350,Database!$F:$AY,MATCH($G$1,Database!$F$1:$AY$1,),))))-(((VLOOKUP(EDATE(B350,-12),Database!$F:$AY,MATCH($G$1,Database!$F$1:$AY$1,),)))))/(((VLOOKUP(EDATE(B350,-12),Database!$F:$AY,MATCH($G$1,Database!$F$1:$AY$1,),))))</f>
        <v>1.0786969341036011E-2</v>
      </c>
      <c r="H350" s="13">
        <f>((((VLOOKUP(B350,Database!$F:$AY,MATCH($H$1,Database!$F$1:$AY$1,),))))-(((VLOOKUP(EDATE(B350,-12),Database!$F:$AY,MATCH($H$1,Database!$F$1:$AY$1,),)))))/(((VLOOKUP(EDATE(B350,-12),Database!$F:$AY,MATCH($H$1,Database!$F$1:$AY$1,),))))</f>
        <v>1.6632446882909158E-2</v>
      </c>
      <c r="I350" s="13">
        <f>((((VLOOKUP(B350,Database!$F:$AY,MATCH($I$1,Database!$F$1:$AY$1,),))))-(((VLOOKUP(EDATE(B350,-12),Database!$F:$AY,MATCH($I$1,Database!$F$1:$AY$1,),)))))/(((VLOOKUP(EDATE(B350,-12),Database!$F:$AY,MATCH($I$1,Database!$F$1:$AY$1,),))))</f>
        <v>3.3797056613076991E-2</v>
      </c>
      <c r="J350" s="13">
        <f>((((VLOOKUP(B350,Database!$F:$AY,MATCH($J$1,Database!$F$1:$AY$1,),))))-(((VLOOKUP(EDATE(B350,-12),Database!$F:$AY,MATCH($J$1,Database!$F$1:$AY$1,),)))))/(((VLOOKUP(EDATE(B350,-12),Database!$F:$AY,MATCH($J$1,Database!$F$1:$AY$1,),))))</f>
        <v>7.274426772237109E-3</v>
      </c>
      <c r="K350" s="13">
        <f>((((VLOOKUP(B350,Database!$F:$AY,MATCH($K$1,Database!$F$1:$AY$1,),))))-(((VLOOKUP(EDATE(B350,-12),Database!$F:$AY,MATCH($K$1,Database!$F$1:$AY$1,),)))))/(((VLOOKUP(EDATE(B350,-12),Database!$F:$AY,MATCH($K$1,Database!$F$1:$AY$1,),))))</f>
        <v>3.0451866404715214E-2</v>
      </c>
      <c r="L350" s="13">
        <f>((((VLOOKUP(B350,Database!$F:$AY,MATCH($L$1,Database!$F$1:$AY$1,),))))-(((VLOOKUP(EDATE(B350,-12),Database!$F:$AY,MATCH($L$1,Database!$F$1:$AY$1,),)))))/(((VLOOKUP(EDATE(B350,-12),Database!$F:$AY,MATCH($L$1,Database!$F$1:$AY$1,),))))</f>
        <v>1.2847219370834158E-3</v>
      </c>
      <c r="M350" s="13">
        <f>((((VLOOKUP(B350,Database!$F:$AY,MATCH($M$1,Database!$F$1:$AY$1,),))))-(((VLOOKUP(EDATE(B350,-12),Database!$F:$AY,MATCH($M$1,Database!$F$1:$AY$1,),)))))/(((VLOOKUP(EDATE(B350,-12),Database!$F:$AY,MATCH($M$1,Database!$F$1:$AY$1,),))))</f>
        <v>3.7698412698412669E-2</v>
      </c>
      <c r="N350" s="13">
        <f>((((VLOOKUP(B350,Database!$F:$AY,MATCH($N$1,Database!$F$1:$AY$1,),))))-(((VLOOKUP(EDATE(B350,-12),Database!$F:$AY,MATCH($N$1,Database!$F$1:$AY$1,),)))))/(((VLOOKUP(EDATE(B350,-12),Database!$F:$AY,MATCH($N$1,Database!$F$1:$AY$1,),))))</f>
        <v>4.4098399623554919E-2</v>
      </c>
      <c r="O350" s="13">
        <f>((((VLOOKUP(B350,Database!$F:$AY,MATCH($O$1,Database!$F$1:$AY$1,),))))-(((VLOOKUP(EDATE(B350,-12),Database!$F:$AY,MATCH($O$1,Database!$F$1:$AY$1,),)))))/(((VLOOKUP(EDATE(B350,-12),Database!$F:$AY,MATCH($O$1,Database!$F$1:$AY$1,),))))</f>
        <v>4.5795539303731744E-2</v>
      </c>
      <c r="P350" s="13">
        <f>((((VLOOKUP(B350,Database!$F:$AY,MATCH($P$1,Database!$F$1:$AY$1,),))))-(((VLOOKUP(EDATE(B350,-12),Database!$F:$AY,MATCH($P$1,Database!$F$1:$AY$1,),)))))/(((VLOOKUP(EDATE(B350,-12),Database!$F:$AY,MATCH($P$1,Database!$F$1:$AY$1,),))))</f>
        <v>5.3359172105194537E-2</v>
      </c>
      <c r="Q350" s="13">
        <f>((((VLOOKUP(B350,Database!$F:$AY,MATCH($Q$1,Database!$F$1:$AY$1,),))))-(((VLOOKUP(EDATE(B350,-12),Database!$F:$AY,MATCH($Q$1,Database!$F$1:$AY$1,),)))))/(((VLOOKUP(EDATE(B350,-12),Database!$F:$AY,MATCH($Q$1,Database!$F$1:$AY$1,),))))</f>
        <v>0</v>
      </c>
      <c r="R350" s="13">
        <f>((((VLOOKUP(B350,Database!$F:$AY,MATCH($R$1,Database!$F$1:$AY$1,),))))-(((VLOOKUP(EDATE(B350,-12),Database!$F:$AY,MATCH($R$1,Database!$F$1:$AY$1,),)))))/(((VLOOKUP(EDATE(B350,-12),Database!$F:$AY,MATCH($R$1,Database!$F$1:$AY$1,),))))</f>
        <v>7.9079343515235725E-2</v>
      </c>
      <c r="S350" s="13">
        <f>((((VLOOKUP(B350,Database!$F:$AY,MATCH($S$1,Database!$F$1:$AY$1,),))))-(((VLOOKUP(EDATE(B350,-12),Database!$F:$AY,MATCH($S$1,Database!$F$1:$AY$1,),)))))/(((VLOOKUP(EDATE(B350,-12),Database!$F:$AY,MATCH($S$1,Database!$F$1:$AY$1,),))))</f>
        <v>2.5586353035386582E-2</v>
      </c>
      <c r="T350" s="13">
        <f>((((VLOOKUP(B350,Database!$F:$AY,MATCH($T$1,Database!$F$1:$AY$1,),))))-(((VLOOKUP(EDATE(B350,-12),Database!$F:$AY,MATCH($T$1,Database!$F$1:$AY$1,),)))))/(((VLOOKUP(EDATE(B350,-12),Database!$F:$AY,MATCH($T$1,Database!$F$1:$AY$1,),))))</f>
        <v>6.1402747790996387E-2</v>
      </c>
      <c r="U350" s="13">
        <f>((((VLOOKUP(B350,Database!$F:$AY,MATCH($U$1,Database!$F$1:$AY$1,),))))-(((VLOOKUP(EDATE(B350,-12),Database!$F:$AY,MATCH($U$1,Database!$F$1:$AY$1,),)))))/(((VLOOKUP(EDATE(B350,-12),Database!$F:$AY,MATCH($U$1,Database!$F$1:$AY$1,),))))</f>
        <v>4.9658706561657225E-2</v>
      </c>
      <c r="V350" s="13">
        <f>((((VLOOKUP(B350,Database!$F:$AY,MATCH($V$1,Database!$F$1:$AY$1,),))))-(((VLOOKUP(EDATE(B350,-12),Database!$F:$AY,MATCH($V$1,Database!$F$1:$AY$1,),)))))/(((VLOOKUP(EDATE(B350,-12),Database!$F:$AY,MATCH($V$1,Database!$F$1:$AY$1,),))))</f>
        <v>8.4661354581673301E-2</v>
      </c>
    </row>
    <row r="351" spans="1:22" s="85" customFormat="1" x14ac:dyDescent="0.2">
      <c r="A351" s="44"/>
      <c r="B351" s="91">
        <v>42826</v>
      </c>
      <c r="C351" s="13">
        <f>((((VLOOKUP(B351,Database!$F:$AY,MATCH($C$1,Database!$F$1:$AY$1,),))))-(((VLOOKUP(EDATE(B351,-12),Database!$F:$AY,MATCH($C$1,Database!$F$1:$AY$1,),)))))/(((VLOOKUP(EDATE(B351,-12),Database!$F:$AY,MATCH($C$1,Database!$F$1:$AY$1,),))))</f>
        <v>2.7141839787930739E-2</v>
      </c>
      <c r="D351" s="13">
        <f>((((VLOOKUP(B351,Database!$F:$AY,MATCH($D$1,Database!$F$1:$AY$1,),))))-(((VLOOKUP(EDATE(B351,-12),Database!$F:$AY,MATCH($D$1,Database!$F$1:$AY$1,),)))))/(((VLOOKUP(EDATE(B351,-12),Database!$F:$AY,MATCH($D$1,Database!$F$1:$AY$1,),))))</f>
        <v>1.9684376633514834E-2</v>
      </c>
      <c r="E351" s="13">
        <f>((((VLOOKUP(B351,Database!$F:$AY,MATCH($E$1,Database!$F$1:$AY$1,),))))-(((VLOOKUP(EDATE(B351,-12),Database!$F:$AY,MATCH($E$1,Database!$F$1:$AY$1,),)))))/(((VLOOKUP(EDATE(B351,-12),Database!$F:$AY,MATCH($E$1,Database!$F$1:$AY$1,),))))</f>
        <v>4.6371506979462788E-2</v>
      </c>
      <c r="F351" s="13">
        <f>((((VLOOKUP(B351,Database!$F:$AY,MATCH($F$1,Database!$F$1:$AY$1,),))))-(((VLOOKUP(EDATE(B351,-12),Database!$F:$AY,MATCH($F$1,Database!$F$1:$AY$1,),)))))/(((VLOOKUP(EDATE(B351,-12),Database!$F:$AY,MATCH($F$1,Database!$F$1:$AY$1,),))))</f>
        <v>2.3715407207712886E-2</v>
      </c>
      <c r="G351" s="13">
        <f>((((VLOOKUP(B351,Database!$F:$AY,MATCH($G$1,Database!$F$1:$AY$1,),))))-(((VLOOKUP(EDATE(B351,-12),Database!$F:$AY,MATCH($G$1,Database!$F$1:$AY$1,),)))))/(((VLOOKUP(EDATE(B351,-12),Database!$F:$AY,MATCH($G$1,Database!$F$1:$AY$1,),))))</f>
        <v>-2.9652824728084722E-4</v>
      </c>
      <c r="H351" s="13">
        <f>((((VLOOKUP(B351,Database!$F:$AY,MATCH($H$1,Database!$F$1:$AY$1,),))))-(((VLOOKUP(EDATE(B351,-12),Database!$F:$AY,MATCH($H$1,Database!$F$1:$AY$1,),)))))/(((VLOOKUP(EDATE(B351,-12),Database!$F:$AY,MATCH($H$1,Database!$F$1:$AY$1,),))))</f>
        <v>-1.1110473323675679E-2</v>
      </c>
      <c r="I351" s="13">
        <f>((((VLOOKUP(B351,Database!$F:$AY,MATCH($I$1,Database!$F$1:$AY$1,),))))-(((VLOOKUP(EDATE(B351,-12),Database!$F:$AY,MATCH($I$1,Database!$F$1:$AY$1,),)))))/(((VLOOKUP(EDATE(B351,-12),Database!$F:$AY,MATCH($I$1,Database!$F$1:$AY$1,),))))</f>
        <v>1.6633477344006067E-2</v>
      </c>
      <c r="J351" s="13">
        <f>((((VLOOKUP(B351,Database!$F:$AY,MATCH($J$1,Database!$F$1:$AY$1,),))))-(((VLOOKUP(EDATE(B351,-12),Database!$F:$AY,MATCH($J$1,Database!$F$1:$AY$1,),)))))/(((VLOOKUP(EDATE(B351,-12),Database!$F:$AY,MATCH($J$1,Database!$F$1:$AY$1,),))))</f>
        <v>4.3760654503798213E-3</v>
      </c>
      <c r="K351" s="13">
        <f>((((VLOOKUP(B351,Database!$F:$AY,MATCH($K$1,Database!$F$1:$AY$1,),))))-(((VLOOKUP(EDATE(B351,-12),Database!$F:$AY,MATCH($K$1,Database!$F$1:$AY$1,),)))))/(((VLOOKUP(EDATE(B351,-12),Database!$F:$AY,MATCH($K$1,Database!$F$1:$AY$1,),))))</f>
        <v>2.8929604628736465E-3</v>
      </c>
      <c r="L351" s="13">
        <f>((((VLOOKUP(B351,Database!$F:$AY,MATCH($L$1,Database!$F$1:$AY$1,),))))-(((VLOOKUP(EDATE(B351,-12),Database!$F:$AY,MATCH($L$1,Database!$F$1:$AY$1,),)))))/(((VLOOKUP(EDATE(B351,-12),Database!$F:$AY,MATCH($L$1,Database!$F$1:$AY$1,),))))</f>
        <v>1.9930581546550616E-3</v>
      </c>
      <c r="M351" s="13">
        <f>((((VLOOKUP(B351,Database!$F:$AY,MATCH($M$1,Database!$F$1:$AY$1,),))))-(((VLOOKUP(EDATE(B351,-12),Database!$F:$AY,MATCH($M$1,Database!$F$1:$AY$1,),)))))/(((VLOOKUP(EDATE(B351,-12),Database!$F:$AY,MATCH($M$1,Database!$F$1:$AY$1,),))))</f>
        <v>5.0999999999999941E-2</v>
      </c>
      <c r="N351" s="13">
        <f>((((VLOOKUP(B351,Database!$F:$AY,MATCH($N$1,Database!$F$1:$AY$1,),))))-(((VLOOKUP(EDATE(B351,-12),Database!$F:$AY,MATCH($N$1,Database!$F$1:$AY$1,),)))))/(((VLOOKUP(EDATE(B351,-12),Database!$F:$AY,MATCH($N$1,Database!$F$1:$AY$1,),))))</f>
        <v>3.4817832432157282E-2</v>
      </c>
      <c r="O351" s="13">
        <f>((((VLOOKUP(B351,Database!$F:$AY,MATCH($O$1,Database!$F$1:$AY$1,),))))-(((VLOOKUP(EDATE(B351,-12),Database!$F:$AY,MATCH($O$1,Database!$F$1:$AY$1,),)))))/(((VLOOKUP(EDATE(B351,-12),Database!$F:$AY,MATCH($O$1,Database!$F$1:$AY$1,),))))</f>
        <v>5.0975533170167946E-2</v>
      </c>
      <c r="P351" s="13">
        <f>((((VLOOKUP(B351,Database!$F:$AY,MATCH($P$1,Database!$F$1:$AY$1,),))))-(((VLOOKUP(EDATE(B351,-12),Database!$F:$AY,MATCH($P$1,Database!$F$1:$AY$1,),)))))/(((VLOOKUP(EDATE(B351,-12),Database!$F:$AY,MATCH($P$1,Database!$F$1:$AY$1,),))))</f>
        <v>4.3999965197100935E-2</v>
      </c>
      <c r="Q351" s="13">
        <f>((((VLOOKUP(B351,Database!$F:$AY,MATCH($Q$1,Database!$F$1:$AY$1,),))))-(((VLOOKUP(EDATE(B351,-12),Database!$F:$AY,MATCH($Q$1,Database!$F$1:$AY$1,),)))))/(((VLOOKUP(EDATE(B351,-12),Database!$F:$AY,MATCH($Q$1,Database!$F$1:$AY$1,),))))</f>
        <v>4.6837620436178109E-3</v>
      </c>
      <c r="R351" s="13">
        <f>((((VLOOKUP(B351,Database!$F:$AY,MATCH($R$1,Database!$F$1:$AY$1,),))))-(((VLOOKUP(EDATE(B351,-12),Database!$F:$AY,MATCH($R$1,Database!$F$1:$AY$1,),)))))/(((VLOOKUP(EDATE(B351,-12),Database!$F:$AY,MATCH($R$1,Database!$F$1:$AY$1,),))))</f>
        <v>2.9074589856198786E-3</v>
      </c>
      <c r="S351" s="13">
        <f>((((VLOOKUP(B351,Database!$F:$AY,MATCH($S$1,Database!$F$1:$AY$1,),))))-(((VLOOKUP(EDATE(B351,-12),Database!$F:$AY,MATCH($S$1,Database!$F$1:$AY$1,),)))))/(((VLOOKUP(EDATE(B351,-12),Database!$F:$AY,MATCH($S$1,Database!$F$1:$AY$1,),))))</f>
        <v>8.6820595272611087E-2</v>
      </c>
      <c r="T351" s="13">
        <f>((((VLOOKUP(B351,Database!$F:$AY,MATCH($T$1,Database!$F$1:$AY$1,),))))-(((VLOOKUP(EDATE(B351,-12),Database!$F:$AY,MATCH($T$1,Database!$F$1:$AY$1,),)))))/(((VLOOKUP(EDATE(B351,-12),Database!$F:$AY,MATCH($T$1,Database!$F$1:$AY$1,),))))</f>
        <v>8.8521996976400744E-2</v>
      </c>
      <c r="U351" s="13">
        <f>((((VLOOKUP(B351,Database!$F:$AY,MATCH($U$1,Database!$F$1:$AY$1,),))))-(((VLOOKUP(EDATE(B351,-12),Database!$F:$AY,MATCH($U$1,Database!$F$1:$AY$1,),)))))/(((VLOOKUP(EDATE(B351,-12),Database!$F:$AY,MATCH($U$1,Database!$F$1:$AY$1,),))))</f>
        <v>7.4001610784268784E-2</v>
      </c>
      <c r="V351" s="13">
        <f>((((VLOOKUP(B351,Database!$F:$AY,MATCH($V$1,Database!$F$1:$AY$1,),))))-(((VLOOKUP(EDATE(B351,-12),Database!$F:$AY,MATCH($V$1,Database!$F$1:$AY$1,),)))))/(((VLOOKUP(EDATE(B351,-12),Database!$F:$AY,MATCH($V$1,Database!$F$1:$AY$1,),))))</f>
        <v>4.2635658914728598E-2</v>
      </c>
    </row>
    <row r="352" spans="1:22" s="85" customFormat="1" x14ac:dyDescent="0.2">
      <c r="A352" s="44"/>
      <c r="B352" s="91">
        <v>42856</v>
      </c>
      <c r="C352" s="13">
        <f>((((VLOOKUP(B352,Database!$F:$AY,MATCH($C$1,Database!$F$1:$AY$1,),))))-(((VLOOKUP(EDATE(B352,-12),Database!$F:$AY,MATCH($C$1,Database!$F$1:$AY$1,),)))))/(((VLOOKUP(EDATE(B352,-12),Database!$F:$AY,MATCH($C$1,Database!$F$1:$AY$1,),))))</f>
        <v>2.941063260507204E-2</v>
      </c>
      <c r="D352" s="13">
        <f>((((VLOOKUP(B352,Database!$F:$AY,MATCH($D$1,Database!$F$1:$AY$1,),))))-(((VLOOKUP(EDATE(B352,-12),Database!$F:$AY,MATCH($D$1,Database!$F$1:$AY$1,),)))))/(((VLOOKUP(EDATE(B352,-12),Database!$F:$AY,MATCH($D$1,Database!$F$1:$AY$1,),))))</f>
        <v>3.5928143712574877E-2</v>
      </c>
      <c r="E352" s="13">
        <f>((((VLOOKUP(B352,Database!$F:$AY,MATCH($E$1,Database!$F$1:$AY$1,),))))-(((VLOOKUP(EDATE(B352,-12),Database!$F:$AY,MATCH($E$1,Database!$F$1:$AY$1,),)))))/(((VLOOKUP(EDATE(B352,-12),Database!$F:$AY,MATCH($E$1,Database!$F$1:$AY$1,),))))</f>
        <v>3.5461214243092398E-2</v>
      </c>
      <c r="F352" s="13">
        <f>((((VLOOKUP(B352,Database!$F:$AY,MATCH($F$1,Database!$F$1:$AY$1,),))))-(((VLOOKUP(EDATE(B352,-12),Database!$F:$AY,MATCH($F$1,Database!$F$1:$AY$1,),)))))/(((VLOOKUP(EDATE(B352,-12),Database!$F:$AY,MATCH($F$1,Database!$F$1:$AY$1,),))))</f>
        <v>4.7330930783459957E-2</v>
      </c>
      <c r="G352" s="13">
        <f>((((VLOOKUP(B352,Database!$F:$AY,MATCH($G$1,Database!$F$1:$AY$1,),))))-(((VLOOKUP(EDATE(B352,-12),Database!$F:$AY,MATCH($G$1,Database!$F$1:$AY$1,),)))))/(((VLOOKUP(EDATE(B352,-12),Database!$F:$AY,MATCH($G$1,Database!$F$1:$AY$1,),))))</f>
        <v>3.673631947058948E-2</v>
      </c>
      <c r="H352" s="13">
        <f>((((VLOOKUP(B352,Database!$F:$AY,MATCH($H$1,Database!$F$1:$AY$1,),))))-(((VLOOKUP(EDATE(B352,-12),Database!$F:$AY,MATCH($H$1,Database!$F$1:$AY$1,),)))))/(((VLOOKUP(EDATE(B352,-12),Database!$F:$AY,MATCH($H$1,Database!$F$1:$AY$1,),))))</f>
        <v>3.0583742016562863E-3</v>
      </c>
      <c r="I352" s="13">
        <f>((((VLOOKUP(B352,Database!$F:$AY,MATCH($I$1,Database!$F$1:$AY$1,),))))-(((VLOOKUP(EDATE(B352,-12),Database!$F:$AY,MATCH($I$1,Database!$F$1:$AY$1,),)))))/(((VLOOKUP(EDATE(B352,-12),Database!$F:$AY,MATCH($I$1,Database!$F$1:$AY$1,),))))</f>
        <v>3.8806228580299203E-2</v>
      </c>
      <c r="J352" s="13">
        <f>((((VLOOKUP(B352,Database!$F:$AY,MATCH($J$1,Database!$F$1:$AY$1,),))))-(((VLOOKUP(EDATE(B352,-12),Database!$F:$AY,MATCH($J$1,Database!$F$1:$AY$1,),)))))/(((VLOOKUP(EDATE(B352,-12),Database!$F:$AY,MATCH($J$1,Database!$F$1:$AY$1,),))))</f>
        <v>4.5102456132646442E-2</v>
      </c>
      <c r="K352" s="13">
        <f>((((VLOOKUP(B352,Database!$F:$AY,MATCH($K$1,Database!$F$1:$AY$1,),))))-(((VLOOKUP(EDATE(B352,-12),Database!$F:$AY,MATCH($K$1,Database!$F$1:$AY$1,),)))))/(((VLOOKUP(EDATE(B352,-12),Database!$F:$AY,MATCH($K$1,Database!$F$1:$AY$1,),))))</f>
        <v>6.0180541624874621E-2</v>
      </c>
      <c r="L352" s="13">
        <f>((((VLOOKUP(B352,Database!$F:$AY,MATCH($L$1,Database!$F$1:$AY$1,),))))-(((VLOOKUP(EDATE(B352,-12),Database!$F:$AY,MATCH($L$1,Database!$F$1:$AY$1,),)))))/(((VLOOKUP(EDATE(B352,-12),Database!$F:$AY,MATCH($L$1,Database!$F$1:$AY$1,),))))</f>
        <v>4.1795314534889046E-4</v>
      </c>
      <c r="M352" s="13">
        <f>((((VLOOKUP(B352,Database!$F:$AY,MATCH($M$1,Database!$F$1:$AY$1,),))))-(((VLOOKUP(EDATE(B352,-12),Database!$F:$AY,MATCH($M$1,Database!$F$1:$AY$1,),)))))/(((VLOOKUP(EDATE(B352,-12),Database!$F:$AY,MATCH($M$1,Database!$F$1:$AY$1,),))))</f>
        <v>6.1876247504990045E-2</v>
      </c>
      <c r="N352" s="13">
        <f>((((VLOOKUP(B352,Database!$F:$AY,MATCH($N$1,Database!$F$1:$AY$1,),))))-(((VLOOKUP(EDATE(B352,-12),Database!$F:$AY,MATCH($N$1,Database!$F$1:$AY$1,),)))))/(((VLOOKUP(EDATE(B352,-12),Database!$F:$AY,MATCH($N$1,Database!$F$1:$AY$1,),))))</f>
        <v>2.4356236582346025E-2</v>
      </c>
      <c r="O352" s="13">
        <f>((((VLOOKUP(B352,Database!$F:$AY,MATCH($O$1,Database!$F$1:$AY$1,),))))-(((VLOOKUP(EDATE(B352,-12),Database!$F:$AY,MATCH($O$1,Database!$F$1:$AY$1,),)))))/(((VLOOKUP(EDATE(B352,-12),Database!$F:$AY,MATCH($O$1,Database!$F$1:$AY$1,),))))</f>
        <v>0.10671237312042967</v>
      </c>
      <c r="P352" s="13">
        <f>((((VLOOKUP(B352,Database!$F:$AY,MATCH($P$1,Database!$F$1:$AY$1,),))))-(((VLOOKUP(EDATE(B352,-12),Database!$F:$AY,MATCH($P$1,Database!$F$1:$AY$1,),)))))/(((VLOOKUP(EDATE(B352,-12),Database!$F:$AY,MATCH($P$1,Database!$F$1:$AY$1,),))))</f>
        <v>1.9379521936905529E-2</v>
      </c>
      <c r="Q352" s="13">
        <f>((((VLOOKUP(B352,Database!$F:$AY,MATCH($Q$1,Database!$F$1:$AY$1,),))))-(((VLOOKUP(EDATE(B352,-12),Database!$F:$AY,MATCH($Q$1,Database!$F$1:$AY$1,),)))))/(((VLOOKUP(EDATE(B352,-12),Database!$F:$AY,MATCH($Q$1,Database!$F$1:$AY$1,),))))</f>
        <v>4.662032544990662E-3</v>
      </c>
      <c r="R352" s="13">
        <f>((((VLOOKUP(B352,Database!$F:$AY,MATCH($R$1,Database!$F$1:$AY$1,),))))-(((VLOOKUP(EDATE(B352,-12),Database!$F:$AY,MATCH($R$1,Database!$F$1:$AY$1,),)))))/(((VLOOKUP(EDATE(B352,-12),Database!$F:$AY,MATCH($R$1,Database!$F$1:$AY$1,),))))</f>
        <v>6.2438481322135718E-2</v>
      </c>
      <c r="S352" s="13">
        <f>((((VLOOKUP(B352,Database!$F:$AY,MATCH($S$1,Database!$F$1:$AY$1,),))))-(((VLOOKUP(EDATE(B352,-12),Database!$F:$AY,MATCH($S$1,Database!$F$1:$AY$1,),)))))/(((VLOOKUP(EDATE(B352,-12),Database!$F:$AY,MATCH($S$1,Database!$F$1:$AY$1,),))))</f>
        <v>-3.6585365853658437E-2</v>
      </c>
      <c r="T352" s="13">
        <f>((((VLOOKUP(B352,Database!$F:$AY,MATCH($T$1,Database!$F$1:$AY$1,),))))-(((VLOOKUP(EDATE(B352,-12),Database!$F:$AY,MATCH($T$1,Database!$F$1:$AY$1,),)))))/(((VLOOKUP(EDATE(B352,-12),Database!$F:$AY,MATCH($T$1,Database!$F$1:$AY$1,),))))</f>
        <v>5.7416263363552732E-2</v>
      </c>
      <c r="U352" s="13">
        <f>((((VLOOKUP(B352,Database!$F:$AY,MATCH($U$1,Database!$F$1:$AY$1,),))))-(((VLOOKUP(EDATE(B352,-12),Database!$F:$AY,MATCH($U$1,Database!$F$1:$AY$1,),)))))/(((VLOOKUP(EDATE(B352,-12),Database!$F:$AY,MATCH($U$1,Database!$F$1:$AY$1,),))))</f>
        <v>0.10946794880014525</v>
      </c>
      <c r="V352" s="13">
        <f>((((VLOOKUP(B352,Database!$F:$AY,MATCH($V$1,Database!$F$1:$AY$1,),))))-(((VLOOKUP(EDATE(B352,-12),Database!$F:$AY,MATCH($V$1,Database!$F$1:$AY$1,),)))))/(((VLOOKUP(EDATE(B352,-12),Database!$F:$AY,MATCH($V$1,Database!$F$1:$AY$1,),))))</f>
        <v>6.4833005893909709E-2</v>
      </c>
    </row>
    <row r="353" spans="1:22" s="85" customFormat="1" x14ac:dyDescent="0.2">
      <c r="A353" s="44"/>
      <c r="B353" s="91">
        <v>42887</v>
      </c>
      <c r="C353" s="13">
        <f>((((VLOOKUP(B353,Database!$F:$AY,MATCH($C$1,Database!$F$1:$AY$1,),))))-(((VLOOKUP(EDATE(B353,-12),Database!$F:$AY,MATCH($C$1,Database!$F$1:$AY$1,),)))))/(((VLOOKUP(EDATE(B353,-12),Database!$F:$AY,MATCH($C$1,Database!$F$1:$AY$1,),))))</f>
        <v>2.6603340854244508E-2</v>
      </c>
      <c r="D353" s="13">
        <f>((((VLOOKUP(B353,Database!$F:$AY,MATCH($D$1,Database!$F$1:$AY$1,),))))-(((VLOOKUP(EDATE(B353,-12),Database!$F:$AY,MATCH($D$1,Database!$F$1:$AY$1,),)))))/(((VLOOKUP(EDATE(B353,-12),Database!$F:$AY,MATCH($D$1,Database!$F$1:$AY$1,),))))</f>
        <v>2.3762368393950743E-2</v>
      </c>
      <c r="E353" s="13">
        <f>((((VLOOKUP(B353,Database!$F:$AY,MATCH($E$1,Database!$F$1:$AY$1,),))))-(((VLOOKUP(EDATE(B353,-12),Database!$F:$AY,MATCH($E$1,Database!$F$1:$AY$1,),)))))/(((VLOOKUP(EDATE(B353,-12),Database!$F:$AY,MATCH($E$1,Database!$F$1:$AY$1,),))))</f>
        <v>3.8306318480381296E-2</v>
      </c>
      <c r="F353" s="13">
        <f>((((VLOOKUP(B353,Database!$F:$AY,MATCH($F$1,Database!$F$1:$AY$1,),))))-(((VLOOKUP(EDATE(B353,-12),Database!$F:$AY,MATCH($F$1,Database!$F$1:$AY$1,),)))))/(((VLOOKUP(EDATE(B353,-12),Database!$F:$AY,MATCH($F$1,Database!$F$1:$AY$1,),))))</f>
        <v>2.3645329904474748E-2</v>
      </c>
      <c r="G353" s="13">
        <f>((((VLOOKUP(B353,Database!$F:$AY,MATCH($G$1,Database!$F$1:$AY$1,),))))-(((VLOOKUP(EDATE(B353,-12),Database!$F:$AY,MATCH($G$1,Database!$F$1:$AY$1,),)))))/(((VLOOKUP(EDATE(B353,-12),Database!$F:$AY,MATCH($G$1,Database!$F$1:$AY$1,),))))</f>
        <v>2.9011241267953538E-2</v>
      </c>
      <c r="H353" s="13">
        <f>((((VLOOKUP(B353,Database!$F:$AY,MATCH($H$1,Database!$F$1:$AY$1,),))))-(((VLOOKUP(EDATE(B353,-12),Database!$F:$AY,MATCH($H$1,Database!$F$1:$AY$1,),)))))/(((VLOOKUP(EDATE(B353,-12),Database!$F:$AY,MATCH($H$1,Database!$F$1:$AY$1,),))))</f>
        <v>1.2307786534635528E-2</v>
      </c>
      <c r="I353" s="13">
        <f>((((VLOOKUP(B353,Database!$F:$AY,MATCH($I$1,Database!$F$1:$AY$1,),))))-(((VLOOKUP(EDATE(B353,-12),Database!$F:$AY,MATCH($I$1,Database!$F$1:$AY$1,),)))))/(((VLOOKUP(EDATE(B353,-12),Database!$F:$AY,MATCH($I$1,Database!$F$1:$AY$1,),))))</f>
        <v>6.3380329870536378E-2</v>
      </c>
      <c r="J353" s="13">
        <f>((((VLOOKUP(B353,Database!$F:$AY,MATCH($J$1,Database!$F$1:$AY$1,),))))-(((VLOOKUP(EDATE(B353,-12),Database!$F:$AY,MATCH($J$1,Database!$F$1:$AY$1,),)))))/(((VLOOKUP(EDATE(B353,-12),Database!$F:$AY,MATCH($J$1,Database!$F$1:$AY$1,),))))</f>
        <v>4.110931602637749E-2</v>
      </c>
      <c r="K353" s="13">
        <f>((((VLOOKUP(B353,Database!$F:$AY,MATCH($K$1,Database!$F$1:$AY$1,),))))-(((VLOOKUP(EDATE(B353,-12),Database!$F:$AY,MATCH($K$1,Database!$F$1:$AY$1,),)))))/(((VLOOKUP(EDATE(B353,-12),Database!$F:$AY,MATCH($K$1,Database!$F$1:$AY$1,),))))</f>
        <v>8.5889570552147299E-2</v>
      </c>
      <c r="L353" s="13">
        <f>((((VLOOKUP(B353,Database!$F:$AY,MATCH($L$1,Database!$F$1:$AY$1,),))))-(((VLOOKUP(EDATE(B353,-12),Database!$F:$AY,MATCH($L$1,Database!$F$1:$AY$1,),)))))/(((VLOOKUP(EDATE(B353,-12),Database!$F:$AY,MATCH($L$1,Database!$F$1:$AY$1,),))))</f>
        <v>-1.053525292823504E-3</v>
      </c>
      <c r="M353" s="13">
        <f>((((VLOOKUP(B353,Database!$F:$AY,MATCH($M$1,Database!$F$1:$AY$1,),))))-(((VLOOKUP(EDATE(B353,-12),Database!$F:$AY,MATCH($M$1,Database!$F$1:$AY$1,),)))))/(((VLOOKUP(EDATE(B353,-12),Database!$F:$AY,MATCH($M$1,Database!$F$1:$AY$1,),))))</f>
        <v>5.9582919563058591E-2</v>
      </c>
      <c r="N353" s="13">
        <f>((((VLOOKUP(B353,Database!$F:$AY,MATCH($N$1,Database!$F$1:$AY$1,),))))-(((VLOOKUP(EDATE(B353,-12),Database!$F:$AY,MATCH($N$1,Database!$F$1:$AY$1,),)))))/(((VLOOKUP(EDATE(B353,-12),Database!$F:$AY,MATCH($N$1,Database!$F$1:$AY$1,),))))</f>
        <v>-2.973045013206309E-3</v>
      </c>
      <c r="O353" s="13">
        <f>((((VLOOKUP(B353,Database!$F:$AY,MATCH($O$1,Database!$F$1:$AY$1,),))))-(((VLOOKUP(EDATE(B353,-12),Database!$F:$AY,MATCH($O$1,Database!$F$1:$AY$1,),)))))/(((VLOOKUP(EDATE(B353,-12),Database!$F:$AY,MATCH($O$1,Database!$F$1:$AY$1,),))))</f>
        <v>8.0541432991832862E-2</v>
      </c>
      <c r="P353" s="13">
        <f>((((VLOOKUP(B353,Database!$F:$AY,MATCH($P$1,Database!$F$1:$AY$1,),))))-(((VLOOKUP(EDATE(B353,-12),Database!$F:$AY,MATCH($P$1,Database!$F$1:$AY$1,),)))))/(((VLOOKUP(EDATE(B353,-12),Database!$F:$AY,MATCH($P$1,Database!$F$1:$AY$1,),))))</f>
        <v>5.80784073020605E-3</v>
      </c>
      <c r="Q353" s="13">
        <f>((((VLOOKUP(B353,Database!$F:$AY,MATCH($Q$1,Database!$F$1:$AY$1,),))))-(((VLOOKUP(EDATE(B353,-12),Database!$F:$AY,MATCH($Q$1,Database!$F$1:$AY$1,),)))))/(((VLOOKUP(EDATE(B353,-12),Database!$F:$AY,MATCH($Q$1,Database!$F$1:$AY$1,),))))</f>
        <v>2.4764165594546039E-2</v>
      </c>
      <c r="R353" s="13">
        <f>((((VLOOKUP(B353,Database!$F:$AY,MATCH($R$1,Database!$F$1:$AY$1,),))))-(((VLOOKUP(EDATE(B353,-12),Database!$F:$AY,MATCH($R$1,Database!$F$1:$AY$1,),)))))/(((VLOOKUP(EDATE(B353,-12),Database!$F:$AY,MATCH($R$1,Database!$F$1:$AY$1,),))))</f>
        <v>5.0097657978745457E-2</v>
      </c>
      <c r="S353" s="13">
        <f>((((VLOOKUP(B353,Database!$F:$AY,MATCH($S$1,Database!$F$1:$AY$1,),))))-(((VLOOKUP(EDATE(B353,-12),Database!$F:$AY,MATCH($S$1,Database!$F$1:$AY$1,),)))))/(((VLOOKUP(EDATE(B353,-12),Database!$F:$AY,MATCH($S$1,Database!$F$1:$AY$1,),))))</f>
        <v>-0.15711433043107098</v>
      </c>
      <c r="T353" s="13">
        <f>((((VLOOKUP(B353,Database!$F:$AY,MATCH($T$1,Database!$F$1:$AY$1,),))))-(((VLOOKUP(EDATE(B353,-12),Database!$F:$AY,MATCH($T$1,Database!$F$1:$AY$1,),)))))/(((VLOOKUP(EDATE(B353,-12),Database!$F:$AY,MATCH($T$1,Database!$F$1:$AY$1,),))))</f>
        <v>6.923079142197483E-2</v>
      </c>
      <c r="U353" s="13">
        <f>((((VLOOKUP(B353,Database!$F:$AY,MATCH($U$1,Database!$F$1:$AY$1,),))))-(((VLOOKUP(EDATE(B353,-12),Database!$F:$AY,MATCH($U$1,Database!$F$1:$AY$1,),)))))/(((VLOOKUP(EDATE(B353,-12),Database!$F:$AY,MATCH($U$1,Database!$F$1:$AY$1,),))))</f>
        <v>3.7392623505743044E-2</v>
      </c>
      <c r="V353" s="13">
        <f>((((VLOOKUP(B353,Database!$F:$AY,MATCH($V$1,Database!$F$1:$AY$1,),))))-(((VLOOKUP(EDATE(B353,-12),Database!$F:$AY,MATCH($V$1,Database!$F$1:$AY$1,),)))))/(((VLOOKUP(EDATE(B353,-12),Database!$F:$AY,MATCH($V$1,Database!$F$1:$AY$1,),))))</f>
        <v>6.9066147859922267E-2</v>
      </c>
    </row>
    <row r="354" spans="1:22" s="85" customFormat="1" x14ac:dyDescent="0.2">
      <c r="A354" s="44"/>
      <c r="B354" s="91">
        <v>42917</v>
      </c>
      <c r="C354" s="13">
        <f>((((VLOOKUP(B354,Database!$F:$AY,MATCH($C$1,Database!$F$1:$AY$1,),))))-(((VLOOKUP(EDATE(B354,-12),Database!$F:$AY,MATCH($C$1,Database!$F$1:$AY$1,),)))))/(((VLOOKUP(EDATE(B354,-12),Database!$F:$AY,MATCH($C$1,Database!$F$1:$AY$1,),))))</f>
        <v>2.3599163459370354E-2</v>
      </c>
      <c r="D354" s="13">
        <f>((((VLOOKUP(B354,Database!$F:$AY,MATCH($D$1,Database!$F$1:$AY$1,),))))-(((VLOOKUP(EDATE(B354,-12),Database!$F:$AY,MATCH($D$1,Database!$F$1:$AY$1,),)))))/(((VLOOKUP(EDATE(B354,-12),Database!$F:$AY,MATCH($D$1,Database!$F$1:$AY$1,),))))</f>
        <v>3.9564438007502638E-2</v>
      </c>
      <c r="E354" s="13">
        <f>((((VLOOKUP(B354,Database!$F:$AY,MATCH($E$1,Database!$F$1:$AY$1,),))))-(((VLOOKUP(EDATE(B354,-12),Database!$F:$AY,MATCH($E$1,Database!$F$1:$AY$1,),)))))/(((VLOOKUP(EDATE(B354,-12),Database!$F:$AY,MATCH($E$1,Database!$F$1:$AY$1,),))))</f>
        <v>2.8084584774860945E-2</v>
      </c>
      <c r="F354" s="13">
        <f>((((VLOOKUP(B354,Database!$F:$AY,MATCH($F$1,Database!$F$1:$AY$1,),))))-(((VLOOKUP(EDATE(B354,-12),Database!$F:$AY,MATCH($F$1,Database!$F$1:$AY$1,),)))))/(((VLOOKUP(EDATE(B354,-12),Database!$F:$AY,MATCH($F$1,Database!$F$1:$AY$1,),))))</f>
        <v>4.7000215117919311E-2</v>
      </c>
      <c r="G354" s="13">
        <f>((((VLOOKUP(B354,Database!$F:$AY,MATCH($G$1,Database!$F$1:$AY$1,),))))-(((VLOOKUP(EDATE(B354,-12),Database!$F:$AY,MATCH($G$1,Database!$F$1:$AY$1,),)))))/(((VLOOKUP(EDATE(B354,-12),Database!$F:$AY,MATCH($G$1,Database!$F$1:$AY$1,),))))</f>
        <v>3.6215474035675856E-2</v>
      </c>
      <c r="H354" s="13">
        <f>((((VLOOKUP(B354,Database!$F:$AY,MATCH($H$1,Database!$F$1:$AY$1,),))))-(((VLOOKUP(EDATE(B354,-12),Database!$F:$AY,MATCH($H$1,Database!$F$1:$AY$1,),)))))/(((VLOOKUP(EDATE(B354,-12),Database!$F:$AY,MATCH($H$1,Database!$F$1:$AY$1,),))))</f>
        <v>1.5416611810031402E-2</v>
      </c>
      <c r="I354" s="13">
        <f>((((VLOOKUP(B354,Database!$F:$AY,MATCH($I$1,Database!$F$1:$AY$1,),))))-(((VLOOKUP(EDATE(B354,-12),Database!$F:$AY,MATCH($I$1,Database!$F$1:$AY$1,),)))))/(((VLOOKUP(EDATE(B354,-12),Database!$F:$AY,MATCH($I$1,Database!$F$1:$AY$1,),))))</f>
        <v>5.1331995940433368E-2</v>
      </c>
      <c r="J354" s="13">
        <f>((((VLOOKUP(B354,Database!$F:$AY,MATCH($J$1,Database!$F$1:$AY$1,),))))-(((VLOOKUP(EDATE(B354,-12),Database!$F:$AY,MATCH($J$1,Database!$F$1:$AY$1,),)))))/(((VLOOKUP(EDATE(B354,-12),Database!$F:$AY,MATCH($J$1,Database!$F$1:$AY$1,),))))</f>
        <v>3.392392690477064E-2</v>
      </c>
      <c r="K354" s="13">
        <f>((((VLOOKUP(B354,Database!$F:$AY,MATCH($K$1,Database!$F$1:$AY$1,),))))-(((VLOOKUP(EDATE(B354,-12),Database!$F:$AY,MATCH($K$1,Database!$F$1:$AY$1,),)))))/(((VLOOKUP(EDATE(B354,-12),Database!$F:$AY,MATCH($K$1,Database!$F$1:$AY$1,),))))</f>
        <v>5.1383399209486195E-2</v>
      </c>
      <c r="L354" s="13">
        <f>((((VLOOKUP(B354,Database!$F:$AY,MATCH($L$1,Database!$F$1:$AY$1,),))))-(((VLOOKUP(EDATE(B354,-12),Database!$F:$AY,MATCH($L$1,Database!$F$1:$AY$1,),)))))/(((VLOOKUP(EDATE(B354,-12),Database!$F:$AY,MATCH($L$1,Database!$F$1:$AY$1,),))))</f>
        <v>-1.2543072989137908E-2</v>
      </c>
      <c r="M354" s="13">
        <f>((((VLOOKUP(B354,Database!$F:$AY,MATCH($M$1,Database!$F$1:$AY$1,),))))-(((VLOOKUP(EDATE(B354,-12),Database!$F:$AY,MATCH($M$1,Database!$F$1:$AY$1,),)))))/(((VLOOKUP(EDATE(B354,-12),Database!$F:$AY,MATCH($M$1,Database!$F$1:$AY$1,),))))</f>
        <v>4.5231071779744288E-2</v>
      </c>
      <c r="N354" s="13">
        <f>((((VLOOKUP(B354,Database!$F:$AY,MATCH($N$1,Database!$F$1:$AY$1,),))))-(((VLOOKUP(EDATE(B354,-12),Database!$F:$AY,MATCH($N$1,Database!$F$1:$AY$1,),)))))/(((VLOOKUP(EDATE(B354,-12),Database!$F:$AY,MATCH($N$1,Database!$F$1:$AY$1,),))))</f>
        <v>1.0998918653652549E-2</v>
      </c>
      <c r="O354" s="13">
        <f>((((VLOOKUP(B354,Database!$F:$AY,MATCH($O$1,Database!$F$1:$AY$1,),))))-(((VLOOKUP(EDATE(B354,-12),Database!$F:$AY,MATCH($O$1,Database!$F$1:$AY$1,),)))))/(((VLOOKUP(EDATE(B354,-12),Database!$F:$AY,MATCH($O$1,Database!$F$1:$AY$1,),))))</f>
        <v>5.6778851236916131E-2</v>
      </c>
      <c r="P354" s="13">
        <f>((((VLOOKUP(B354,Database!$F:$AY,MATCH($P$1,Database!$F$1:$AY$1,),))))-(((VLOOKUP(EDATE(B354,-12),Database!$F:$AY,MATCH($P$1,Database!$F$1:$AY$1,),)))))/(((VLOOKUP(EDATE(B354,-12),Database!$F:$AY,MATCH($P$1,Database!$F$1:$AY$1,),))))</f>
        <v>2.2482806489297787E-2</v>
      </c>
      <c r="Q354" s="13">
        <f>((((VLOOKUP(B354,Database!$F:$AY,MATCH($Q$1,Database!$F$1:$AY$1,),))))-(((VLOOKUP(EDATE(B354,-12),Database!$F:$AY,MATCH($Q$1,Database!$F$1:$AY$1,),)))))/(((VLOOKUP(EDATE(B354,-12),Database!$F:$AY,MATCH($Q$1,Database!$F$1:$AY$1,),))))</f>
        <v>1.8713348661335234E-2</v>
      </c>
      <c r="R354" s="13">
        <f>((((VLOOKUP(B354,Database!$F:$AY,MATCH($R$1,Database!$F$1:$AY$1,),))))-(((VLOOKUP(EDATE(B354,-12),Database!$F:$AY,MATCH($R$1,Database!$F$1:$AY$1,),)))))/(((VLOOKUP(EDATE(B354,-12),Database!$F:$AY,MATCH($R$1,Database!$F$1:$AY$1,),))))</f>
        <v>2.3233274794630065E-2</v>
      </c>
      <c r="S354" s="13">
        <f>((((VLOOKUP(B354,Database!$F:$AY,MATCH($S$1,Database!$F$1:$AY$1,),))))-(((VLOOKUP(EDATE(B354,-12),Database!$F:$AY,MATCH($S$1,Database!$F$1:$AY$1,),)))))/(((VLOOKUP(EDATE(B354,-12),Database!$F:$AY,MATCH($S$1,Database!$F$1:$AY$1,),))))</f>
        <v>-1.1559735898567198E-2</v>
      </c>
      <c r="T354" s="13">
        <f>((((VLOOKUP(B354,Database!$F:$AY,MATCH($T$1,Database!$F$1:$AY$1,),))))-(((VLOOKUP(EDATE(B354,-12),Database!$F:$AY,MATCH($T$1,Database!$F$1:$AY$1,),)))))/(((VLOOKUP(EDATE(B354,-12),Database!$F:$AY,MATCH($T$1,Database!$F$1:$AY$1,),))))</f>
        <v>0.13613150573650648</v>
      </c>
      <c r="U354" s="13">
        <f>((((VLOOKUP(B354,Database!$F:$AY,MATCH($U$1,Database!$F$1:$AY$1,),))))-(((VLOOKUP(EDATE(B354,-12),Database!$F:$AY,MATCH($U$1,Database!$F$1:$AY$1,),)))))/(((VLOOKUP(EDATE(B354,-12),Database!$F:$AY,MATCH($U$1,Database!$F$1:$AY$1,),))))</f>
        <v>6.206846263072377E-2</v>
      </c>
      <c r="V354" s="13">
        <f>((((VLOOKUP(B354,Database!$F:$AY,MATCH($V$1,Database!$F$1:$AY$1,),))))-(((VLOOKUP(EDATE(B354,-12),Database!$F:$AY,MATCH($V$1,Database!$F$1:$AY$1,),)))))/(((VLOOKUP(EDATE(B354,-12),Database!$F:$AY,MATCH($V$1,Database!$F$1:$AY$1,),))))</f>
        <v>6.4769381746810545E-2</v>
      </c>
    </row>
    <row r="355" spans="1:22" s="85" customFormat="1" x14ac:dyDescent="0.2">
      <c r="A355" s="44"/>
      <c r="B355" s="91">
        <v>42948</v>
      </c>
      <c r="C355" s="13">
        <f>((((VLOOKUP(B355,Database!$F:$AY,MATCH($C$1,Database!$F$1:$AY$1,),))))-(((VLOOKUP(EDATE(B355,-12),Database!$F:$AY,MATCH($C$1,Database!$F$1:$AY$1,),)))))/(((VLOOKUP(EDATE(B355,-12),Database!$F:$AY,MATCH($C$1,Database!$F$1:$AY$1,),))))</f>
        <v>1.9666658028185763E-2</v>
      </c>
      <c r="D355" s="13">
        <f>((((VLOOKUP(B355,Database!$F:$AY,MATCH($D$1,Database!$F$1:$AY$1,),))))-(((VLOOKUP(EDATE(B355,-12),Database!$F:$AY,MATCH($D$1,Database!$F$1:$AY$1,),)))))/(((VLOOKUP(EDATE(B355,-12),Database!$F:$AY,MATCH($D$1,Database!$F$1:$AY$1,),))))</f>
        <v>4.343567683058671E-2</v>
      </c>
      <c r="E355" s="13">
        <f>((((VLOOKUP(B355,Database!$F:$AY,MATCH($E$1,Database!$F$1:$AY$1,),))))-(((VLOOKUP(EDATE(B355,-12),Database!$F:$AY,MATCH($E$1,Database!$F$1:$AY$1,),)))))/(((VLOOKUP(EDATE(B355,-12),Database!$F:$AY,MATCH($E$1,Database!$F$1:$AY$1,),))))</f>
        <v>3.180981314543159E-2</v>
      </c>
      <c r="F355" s="13">
        <f>((((VLOOKUP(B355,Database!$F:$AY,MATCH($F$1,Database!$F$1:$AY$1,),))))-(((VLOOKUP(EDATE(B355,-12),Database!$F:$AY,MATCH($F$1,Database!$F$1:$AY$1,),)))))/(((VLOOKUP(EDATE(B355,-12),Database!$F:$AY,MATCH($F$1,Database!$F$1:$AY$1,),))))</f>
        <v>5.1181447266749718E-2</v>
      </c>
      <c r="G355" s="13">
        <f>((((VLOOKUP(B355,Database!$F:$AY,MATCH($G$1,Database!$F$1:$AY$1,),))))-(((VLOOKUP(EDATE(B355,-12),Database!$F:$AY,MATCH($G$1,Database!$F$1:$AY$1,),)))))/(((VLOOKUP(EDATE(B355,-12),Database!$F:$AY,MATCH($G$1,Database!$F$1:$AY$1,),))))</f>
        <v>1.8607334858789702E-2</v>
      </c>
      <c r="H355" s="13">
        <f>((((VLOOKUP(B355,Database!$F:$AY,MATCH($H$1,Database!$F$1:$AY$1,),))))-(((VLOOKUP(EDATE(B355,-12),Database!$F:$AY,MATCH($H$1,Database!$F$1:$AY$1,),)))))/(((VLOOKUP(EDATE(B355,-12),Database!$F:$AY,MATCH($H$1,Database!$F$1:$AY$1,),))))</f>
        <v>1.5432468828374984E-2</v>
      </c>
      <c r="I355" s="13">
        <f>((((VLOOKUP(B355,Database!$F:$AY,MATCH($I$1,Database!$F$1:$AY$1,),))))-(((VLOOKUP(EDATE(B355,-12),Database!$F:$AY,MATCH($I$1,Database!$F$1:$AY$1,),)))))/(((VLOOKUP(EDATE(B355,-12),Database!$F:$AY,MATCH($I$1,Database!$F$1:$AY$1,),))))</f>
        <v>5.9686960265775447E-2</v>
      </c>
      <c r="J355" s="13">
        <f>((((VLOOKUP(B355,Database!$F:$AY,MATCH($J$1,Database!$F$1:$AY$1,),))))-(((VLOOKUP(EDATE(B355,-12),Database!$F:$AY,MATCH($J$1,Database!$F$1:$AY$1,),)))))/(((VLOOKUP(EDATE(B355,-12),Database!$F:$AY,MATCH($J$1,Database!$F$1:$AY$1,),))))</f>
        <v>2.476762655456631E-2</v>
      </c>
      <c r="K355" s="13">
        <f>((((VLOOKUP(B355,Database!$F:$AY,MATCH($K$1,Database!$F$1:$AY$1,),))))-(((VLOOKUP(EDATE(B355,-12),Database!$F:$AY,MATCH($K$1,Database!$F$1:$AY$1,),)))))/(((VLOOKUP(EDATE(B355,-12),Database!$F:$AY,MATCH($K$1,Database!$F$1:$AY$1,),))))</f>
        <v>7.0921985815602828E-2</v>
      </c>
      <c r="L355" s="13">
        <f>((((VLOOKUP(B355,Database!$F:$AY,MATCH($L$1,Database!$F$1:$AY$1,),))))-(((VLOOKUP(EDATE(B355,-12),Database!$F:$AY,MATCH($L$1,Database!$F$1:$AY$1,),)))))/(((VLOOKUP(EDATE(B355,-12),Database!$F:$AY,MATCH($L$1,Database!$F$1:$AY$1,),))))</f>
        <v>-5.7421261677544919E-3</v>
      </c>
      <c r="M355" s="13">
        <f>((((VLOOKUP(B355,Database!$F:$AY,MATCH($M$1,Database!$F$1:$AY$1,),))))-(((VLOOKUP(EDATE(B355,-12),Database!$F:$AY,MATCH($M$1,Database!$F$1:$AY$1,),)))))/(((VLOOKUP(EDATE(B355,-12),Database!$F:$AY,MATCH($M$1,Database!$F$1:$AY$1,),))))</f>
        <v>4.9164208456243856E-2</v>
      </c>
      <c r="N355" s="13">
        <f>((((VLOOKUP(B355,Database!$F:$AY,MATCH($N$1,Database!$F$1:$AY$1,),))))-(((VLOOKUP(EDATE(B355,-12),Database!$F:$AY,MATCH($N$1,Database!$F$1:$AY$1,),)))))/(((VLOOKUP(EDATE(B355,-12),Database!$F:$AY,MATCH($N$1,Database!$F$1:$AY$1,),))))</f>
        <v>4.8105937304009409E-2</v>
      </c>
      <c r="O355" s="13">
        <f>((((VLOOKUP(B355,Database!$F:$AY,MATCH($O$1,Database!$F$1:$AY$1,),))))-(((VLOOKUP(EDATE(B355,-12),Database!$F:$AY,MATCH($O$1,Database!$F$1:$AY$1,),)))))/(((VLOOKUP(EDATE(B355,-12),Database!$F:$AY,MATCH($O$1,Database!$F$1:$AY$1,),))))</f>
        <v>4.0682744528099925E-2</v>
      </c>
      <c r="P355" s="13">
        <f>((((VLOOKUP(B355,Database!$F:$AY,MATCH($P$1,Database!$F$1:$AY$1,),))))-(((VLOOKUP(EDATE(B355,-12),Database!$F:$AY,MATCH($P$1,Database!$F$1:$AY$1,),)))))/(((VLOOKUP(EDATE(B355,-12),Database!$F:$AY,MATCH($P$1,Database!$F$1:$AY$1,),))))</f>
        <v>3.5502976087739238E-2</v>
      </c>
      <c r="Q355" s="13">
        <f>((((VLOOKUP(B355,Database!$F:$AY,MATCH($Q$1,Database!$F$1:$AY$1,),))))-(((VLOOKUP(EDATE(B355,-12),Database!$F:$AY,MATCH($Q$1,Database!$F$1:$AY$1,),)))))/(((VLOOKUP(EDATE(B355,-12),Database!$F:$AY,MATCH($Q$1,Database!$F$1:$AY$1,),))))</f>
        <v>4.1966376455024108E-2</v>
      </c>
      <c r="R355" s="13">
        <f>((((VLOOKUP(B355,Database!$F:$AY,MATCH($R$1,Database!$F$1:$AY$1,),))))-(((VLOOKUP(EDATE(B355,-12),Database!$F:$AY,MATCH($R$1,Database!$F$1:$AY$1,),)))))/(((VLOOKUP(EDATE(B355,-12),Database!$F:$AY,MATCH($R$1,Database!$F$1:$AY$1,),))))</f>
        <v>5.523298961871248E-2</v>
      </c>
      <c r="S355" s="13">
        <f>((((VLOOKUP(B355,Database!$F:$AY,MATCH($S$1,Database!$F$1:$AY$1,),))))-(((VLOOKUP(EDATE(B355,-12),Database!$F:$AY,MATCH($S$1,Database!$F$1:$AY$1,),)))))/(((VLOOKUP(EDATE(B355,-12),Database!$F:$AY,MATCH($S$1,Database!$F$1:$AY$1,),))))</f>
        <v>3.7904201288922745E-2</v>
      </c>
      <c r="T355" s="13">
        <f>((((VLOOKUP(B355,Database!$F:$AY,MATCH($T$1,Database!$F$1:$AY$1,),))))-(((VLOOKUP(EDATE(B355,-12),Database!$F:$AY,MATCH($T$1,Database!$F$1:$AY$1,),)))))/(((VLOOKUP(EDATE(B355,-12),Database!$F:$AY,MATCH($T$1,Database!$F$1:$AY$1,),))))</f>
        <v>8.9524645875082826E-2</v>
      </c>
      <c r="U355" s="13">
        <f>((((VLOOKUP(B355,Database!$F:$AY,MATCH($U$1,Database!$F$1:$AY$1,),))))-(((VLOOKUP(EDATE(B355,-12),Database!$F:$AY,MATCH($U$1,Database!$F$1:$AY$1,),)))))/(((VLOOKUP(EDATE(B355,-12),Database!$F:$AY,MATCH($U$1,Database!$F$1:$AY$1,),))))</f>
        <v>6.2440792216950723E-2</v>
      </c>
      <c r="V355" s="13">
        <f>((((VLOOKUP(B355,Database!$F:$AY,MATCH($V$1,Database!$F$1:$AY$1,),))))-(((VLOOKUP(EDATE(B355,-12),Database!$F:$AY,MATCH($V$1,Database!$F$1:$AY$1,),)))))/(((VLOOKUP(EDATE(B355,-12),Database!$F:$AY,MATCH($V$1,Database!$F$1:$AY$1,),))))</f>
        <v>9.0203685741998177E-2</v>
      </c>
    </row>
    <row r="356" spans="1:22" s="85" customFormat="1" x14ac:dyDescent="0.2">
      <c r="A356" s="44"/>
      <c r="B356" s="91">
        <v>42979</v>
      </c>
      <c r="C356" s="13">
        <f>((((VLOOKUP(B356,Database!$F:$AY,MATCH($C$1,Database!$F$1:$AY$1,),))))-(((VLOOKUP(EDATE(B356,-12),Database!$F:$AY,MATCH($C$1,Database!$F$1:$AY$1,),)))))/(((VLOOKUP(EDATE(B356,-12),Database!$F:$AY,MATCH($C$1,Database!$F$1:$AY$1,),))))</f>
        <v>1.9623172487361659E-2</v>
      </c>
      <c r="D356" s="13">
        <f>((((VLOOKUP(B356,Database!$F:$AY,MATCH($D$1,Database!$F$1:$AY$1,),))))-(((VLOOKUP(EDATE(B356,-12),Database!$F:$AY,MATCH($D$1,Database!$F$1:$AY$1,),)))))/(((VLOOKUP(EDATE(B356,-12),Database!$F:$AY,MATCH($D$1,Database!$F$1:$AY$1,),))))</f>
        <v>3.846203164038188E-2</v>
      </c>
      <c r="E356" s="13">
        <f>((((VLOOKUP(B356,Database!$F:$AY,MATCH($E$1,Database!$F$1:$AY$1,),))))-(((VLOOKUP(EDATE(B356,-12),Database!$F:$AY,MATCH($E$1,Database!$F$1:$AY$1,),)))))/(((VLOOKUP(EDATE(B356,-12),Database!$F:$AY,MATCH($E$1,Database!$F$1:$AY$1,),))))</f>
        <v>1.5841911604529395E-2</v>
      </c>
      <c r="F356" s="13">
        <f>((((VLOOKUP(B356,Database!$F:$AY,MATCH($F$1,Database!$F$1:$AY$1,),))))-(((VLOOKUP(EDATE(B356,-12),Database!$F:$AY,MATCH($F$1,Database!$F$1:$AY$1,),)))))/(((VLOOKUP(EDATE(B356,-12),Database!$F:$AY,MATCH($F$1,Database!$F$1:$AY$1,),))))</f>
        <v>4.5321036737066639E-2</v>
      </c>
      <c r="G356" s="13">
        <f>((((VLOOKUP(B356,Database!$F:$AY,MATCH($G$1,Database!$F$1:$AY$1,),))))-(((VLOOKUP(EDATE(B356,-12),Database!$F:$AY,MATCH($G$1,Database!$F$1:$AY$1,),)))))/(((VLOOKUP(EDATE(B356,-12),Database!$F:$AY,MATCH($G$1,Database!$F$1:$AY$1,),))))</f>
        <v>3.769315982275686E-2</v>
      </c>
      <c r="H356" s="13">
        <f>((((VLOOKUP(B356,Database!$F:$AY,MATCH($H$1,Database!$F$1:$AY$1,),))))-(((VLOOKUP(EDATE(B356,-12),Database!$F:$AY,MATCH($H$1,Database!$F$1:$AY$1,),)))))/(((VLOOKUP(EDATE(B356,-12),Database!$F:$AY,MATCH($H$1,Database!$F$1:$AY$1,),))))</f>
        <v>2.661278715093823E-2</v>
      </c>
      <c r="I356" s="13">
        <f>((((VLOOKUP(B356,Database!$F:$AY,MATCH($I$1,Database!$F$1:$AY$1,),))))-(((VLOOKUP(EDATE(B356,-12),Database!$F:$AY,MATCH($I$1,Database!$F$1:$AY$1,),)))))/(((VLOOKUP(EDATE(B356,-12),Database!$F:$AY,MATCH($I$1,Database!$F$1:$AY$1,),))))</f>
        <v>3.2352696058004844E-2</v>
      </c>
      <c r="J356" s="13">
        <f>((((VLOOKUP(B356,Database!$F:$AY,MATCH($J$1,Database!$F$1:$AY$1,),))))-(((VLOOKUP(EDATE(B356,-12),Database!$F:$AY,MATCH($J$1,Database!$F$1:$AY$1,),)))))/(((VLOOKUP(EDATE(B356,-12),Database!$F:$AY,MATCH($J$1,Database!$F$1:$AY$1,),))))</f>
        <v>3.6372346806645375E-2</v>
      </c>
      <c r="K356" s="13">
        <f>((((VLOOKUP(B356,Database!$F:$AY,MATCH($K$1,Database!$F$1:$AY$1,),))))-(((VLOOKUP(EDATE(B356,-12),Database!$F:$AY,MATCH($K$1,Database!$F$1:$AY$1,),)))))/(((VLOOKUP(EDATE(B356,-12),Database!$F:$AY,MATCH($K$1,Database!$F$1:$AY$1,),))))</f>
        <v>1.8957345971563982E-2</v>
      </c>
      <c r="L356" s="13">
        <f>((((VLOOKUP(B356,Database!$F:$AY,MATCH($L$1,Database!$F$1:$AY$1,),))))-(((VLOOKUP(EDATE(B356,-12),Database!$F:$AY,MATCH($L$1,Database!$F$1:$AY$1,),)))))/(((VLOOKUP(EDATE(B356,-12),Database!$F:$AY,MATCH($L$1,Database!$F$1:$AY$1,),))))</f>
        <v>-1.021780933092537E-2</v>
      </c>
      <c r="M356" s="13">
        <f>((((VLOOKUP(B356,Database!$F:$AY,MATCH($M$1,Database!$F$1:$AY$1,),))))-(((VLOOKUP(EDATE(B356,-12),Database!$F:$AY,MATCH($M$1,Database!$F$1:$AY$1,),)))))/(((VLOOKUP(EDATE(B356,-12),Database!$F:$AY,MATCH($M$1,Database!$F$1:$AY$1,),))))</f>
        <v>4.2968749999999917E-2</v>
      </c>
      <c r="N356" s="13">
        <f>((((VLOOKUP(B356,Database!$F:$AY,MATCH($N$1,Database!$F$1:$AY$1,),))))-(((VLOOKUP(EDATE(B356,-12),Database!$F:$AY,MATCH($N$1,Database!$F$1:$AY$1,),)))))/(((VLOOKUP(EDATE(B356,-12),Database!$F:$AY,MATCH($N$1,Database!$F$1:$AY$1,),))))</f>
        <v>4.4723118712083149E-2</v>
      </c>
      <c r="O356" s="13">
        <f>((((VLOOKUP(B356,Database!$F:$AY,MATCH($O$1,Database!$F$1:$AY$1,),))))-(((VLOOKUP(EDATE(B356,-12),Database!$F:$AY,MATCH($O$1,Database!$F$1:$AY$1,),)))))/(((VLOOKUP(EDATE(B356,-12),Database!$F:$AY,MATCH($O$1,Database!$F$1:$AY$1,),))))</f>
        <v>3.3338340711852842E-2</v>
      </c>
      <c r="P356" s="13">
        <f>((((VLOOKUP(B356,Database!$F:$AY,MATCH($P$1,Database!$F$1:$AY$1,),))))-(((VLOOKUP(EDATE(B356,-12),Database!$F:$AY,MATCH($P$1,Database!$F$1:$AY$1,),)))))/(((VLOOKUP(EDATE(B356,-12),Database!$F:$AY,MATCH($P$1,Database!$F$1:$AY$1,),))))</f>
        <v>3.4313643784040865E-2</v>
      </c>
      <c r="Q356" s="13">
        <f>((((VLOOKUP(B356,Database!$F:$AY,MATCH($Q$1,Database!$F$1:$AY$1,),))))-(((VLOOKUP(EDATE(B356,-12),Database!$F:$AY,MATCH($Q$1,Database!$F$1:$AY$1,),)))))/(((VLOOKUP(EDATE(B356,-12),Database!$F:$AY,MATCH($Q$1,Database!$F$1:$AY$1,),))))</f>
        <v>3.436015081253932E-2</v>
      </c>
      <c r="R356" s="13">
        <f>((((VLOOKUP(B356,Database!$F:$AY,MATCH($R$1,Database!$F$1:$AY$1,),))))-(((VLOOKUP(EDATE(B356,-12),Database!$F:$AY,MATCH($R$1,Database!$F$1:$AY$1,),)))))/(((VLOOKUP(EDATE(B356,-12),Database!$F:$AY,MATCH($R$1,Database!$F$1:$AY$1,),))))</f>
        <v>2.4558080435556583E-2</v>
      </c>
      <c r="S356" s="13">
        <f>((((VLOOKUP(B356,Database!$F:$AY,MATCH($S$1,Database!$F$1:$AY$1,),))))-(((VLOOKUP(EDATE(B356,-12),Database!$F:$AY,MATCH($S$1,Database!$F$1:$AY$1,),)))))/(((VLOOKUP(EDATE(B356,-12),Database!$F:$AY,MATCH($S$1,Database!$F$1:$AY$1,),))))</f>
        <v>2.0661190745771475E-2</v>
      </c>
      <c r="T356" s="13">
        <f>((((VLOOKUP(B356,Database!$F:$AY,MATCH($T$1,Database!$F$1:$AY$1,),))))-(((VLOOKUP(EDATE(B356,-12),Database!$F:$AY,MATCH($T$1,Database!$F$1:$AY$1,),)))))/(((VLOOKUP(EDATE(B356,-12),Database!$F:$AY,MATCH($T$1,Database!$F$1:$AY$1,),))))</f>
        <v>0.13529460788399036</v>
      </c>
      <c r="U356" s="13">
        <f>((((VLOOKUP(B356,Database!$F:$AY,MATCH($U$1,Database!$F$1:$AY$1,),))))-(((VLOOKUP(EDATE(B356,-12),Database!$F:$AY,MATCH($U$1,Database!$F$1:$AY$1,),)))))/(((VLOOKUP(EDATE(B356,-12),Database!$F:$AY,MATCH($U$1,Database!$F$1:$AY$1,),))))</f>
        <v>8.535468574776775E-2</v>
      </c>
      <c r="V356" s="13">
        <f>((((VLOOKUP(B356,Database!$F:$AY,MATCH($V$1,Database!$F$1:$AY$1,),))))-(((VLOOKUP(EDATE(B356,-12),Database!$F:$AY,MATCH($V$1,Database!$F$1:$AY$1,),)))))/(((VLOOKUP(EDATE(B356,-12),Database!$F:$AY,MATCH($V$1,Database!$F$1:$AY$1,),))))</f>
        <v>7.1359691417550539E-2</v>
      </c>
    </row>
    <row r="357" spans="1:22" s="85" customFormat="1" x14ac:dyDescent="0.2">
      <c r="A357" s="44"/>
      <c r="B357" s="91">
        <v>43009</v>
      </c>
      <c r="C357" s="13">
        <f>((((VLOOKUP(B357,Database!$F:$AY,MATCH($C$1,Database!$F$1:$AY$1,),))))-(((VLOOKUP(EDATE(B357,-12),Database!$F:$AY,MATCH($C$1,Database!$F$1:$AY$1,),)))))/(((VLOOKUP(EDATE(B357,-12),Database!$F:$AY,MATCH($C$1,Database!$F$1:$AY$1,),))))</f>
        <v>3.305893677936797E-2</v>
      </c>
      <c r="D357" s="13">
        <f>((((VLOOKUP(B357,Database!$F:$AY,MATCH($D$1,Database!$F$1:$AY$1,),))))-(((VLOOKUP(EDATE(B357,-12),Database!$F:$AY,MATCH($D$1,Database!$F$1:$AY$1,),)))))/(((VLOOKUP(EDATE(B357,-12),Database!$F:$AY,MATCH($D$1,Database!$F$1:$AY$1,),))))</f>
        <v>2.4390410497751341E-2</v>
      </c>
      <c r="E357" s="13">
        <f>((((VLOOKUP(B357,Database!$F:$AY,MATCH($E$1,Database!$F$1:$AY$1,),))))-(((VLOOKUP(EDATE(B357,-12),Database!$F:$AY,MATCH($E$1,Database!$F$1:$AY$1,),)))))/(((VLOOKUP(EDATE(B357,-12),Database!$F:$AY,MATCH($E$1,Database!$F$1:$AY$1,),))))</f>
        <v>2.0771260915842679E-2</v>
      </c>
      <c r="F357" s="13">
        <f>((((VLOOKUP(B357,Database!$F:$AY,MATCH($F$1,Database!$F$1:$AY$1,),))))-(((VLOOKUP(EDATE(B357,-12),Database!$F:$AY,MATCH($F$1,Database!$F$1:$AY$1,),)))))/(((VLOOKUP(EDATE(B357,-12),Database!$F:$AY,MATCH($F$1,Database!$F$1:$AY$1,),))))</f>
        <v>2.1526252183400735E-2</v>
      </c>
      <c r="G357" s="13">
        <f>((((VLOOKUP(B357,Database!$F:$AY,MATCH($G$1,Database!$F$1:$AY$1,),))))-(((VLOOKUP(EDATE(B357,-12),Database!$F:$AY,MATCH($G$1,Database!$F$1:$AY$1,),)))))/(((VLOOKUP(EDATE(B357,-12),Database!$F:$AY,MATCH($G$1,Database!$F$1:$AY$1,),))))</f>
        <v>4.5856230577248865E-2</v>
      </c>
      <c r="H357" s="13">
        <f>((((VLOOKUP(B357,Database!$F:$AY,MATCH($H$1,Database!$F$1:$AY$1,),))))-(((VLOOKUP(EDATE(B357,-12),Database!$F:$AY,MATCH($H$1,Database!$F$1:$AY$1,),)))))/(((VLOOKUP(EDATE(B357,-12),Database!$F:$AY,MATCH($H$1,Database!$F$1:$AY$1,),))))</f>
        <v>3.7306006669308348E-2</v>
      </c>
      <c r="I357" s="13">
        <f>((((VLOOKUP(B357,Database!$F:$AY,MATCH($I$1,Database!$F$1:$AY$1,),))))-(((VLOOKUP(EDATE(B357,-12),Database!$F:$AY,MATCH($I$1,Database!$F$1:$AY$1,),)))))/(((VLOOKUP(EDATE(B357,-12),Database!$F:$AY,MATCH($I$1,Database!$F$1:$AY$1,),))))</f>
        <v>3.1249664278773213E-2</v>
      </c>
      <c r="J357" s="13">
        <f>((((VLOOKUP(B357,Database!$F:$AY,MATCH($J$1,Database!$F$1:$AY$1,),))))-(((VLOOKUP(EDATE(B357,-12),Database!$F:$AY,MATCH($J$1,Database!$F$1:$AY$1,),)))))/(((VLOOKUP(EDATE(B357,-12),Database!$F:$AY,MATCH($J$1,Database!$F$1:$AY$1,),))))</f>
        <v>3.6805390151838119E-2</v>
      </c>
      <c r="K357" s="13">
        <f>((((VLOOKUP(B357,Database!$F:$AY,MATCH($K$1,Database!$F$1:$AY$1,),))))-(((VLOOKUP(EDATE(B357,-12),Database!$F:$AY,MATCH($K$1,Database!$F$1:$AY$1,),)))))/(((VLOOKUP(EDATE(B357,-12),Database!$F:$AY,MATCH($K$1,Database!$F$1:$AY$1,),))))</f>
        <v>5.7142857142857113E-2</v>
      </c>
      <c r="L357" s="13">
        <f>((((VLOOKUP(B357,Database!$F:$AY,MATCH($L$1,Database!$F$1:$AY$1,),))))-(((VLOOKUP(EDATE(B357,-12),Database!$F:$AY,MATCH($L$1,Database!$F$1:$AY$1,),)))))/(((VLOOKUP(EDATE(B357,-12),Database!$F:$AY,MATCH($L$1,Database!$F$1:$AY$1,),))))</f>
        <v>-8.1538186670944302E-3</v>
      </c>
      <c r="M357" s="13">
        <f>((((VLOOKUP(B357,Database!$F:$AY,MATCH($M$1,Database!$F$1:$AY$1,),))))-(((VLOOKUP(EDATE(B357,-12),Database!$F:$AY,MATCH($M$1,Database!$F$1:$AY$1,),)))))/(((VLOOKUP(EDATE(B357,-12),Database!$F:$AY,MATCH($M$1,Database!$F$1:$AY$1,),))))</f>
        <v>1.6346153846153875E-2</v>
      </c>
      <c r="N357" s="13">
        <f>((((VLOOKUP(B357,Database!$F:$AY,MATCH($N$1,Database!$F$1:$AY$1,),))))-(((VLOOKUP(EDATE(B357,-12),Database!$F:$AY,MATCH($N$1,Database!$F$1:$AY$1,),)))))/(((VLOOKUP(EDATE(B357,-12),Database!$F:$AY,MATCH($N$1,Database!$F$1:$AY$1,),))))</f>
        <v>1.6077226724472416E-2</v>
      </c>
      <c r="O357" s="13">
        <f>((((VLOOKUP(B357,Database!$F:$AY,MATCH($O$1,Database!$F$1:$AY$1,),))))-(((VLOOKUP(EDATE(B357,-12),Database!$F:$AY,MATCH($O$1,Database!$F$1:$AY$1,),)))))/(((VLOOKUP(EDATE(B357,-12),Database!$F:$AY,MATCH($O$1,Database!$F$1:$AY$1,),))))</f>
        <v>3.1401457346649939E-2</v>
      </c>
      <c r="P357" s="13">
        <f>((((VLOOKUP(B357,Database!$F:$AY,MATCH($P$1,Database!$F$1:$AY$1,),))))-(((VLOOKUP(EDATE(B357,-12),Database!$F:$AY,MATCH($P$1,Database!$F$1:$AY$1,),)))))/(((VLOOKUP(EDATE(B357,-12),Database!$F:$AY,MATCH($P$1,Database!$F$1:$AY$1,),))))</f>
        <v>5.3785376465760149E-2</v>
      </c>
      <c r="Q357" s="13">
        <f>((((VLOOKUP(B357,Database!$F:$AY,MATCH($Q$1,Database!$F$1:$AY$1,),))))-(((VLOOKUP(EDATE(B357,-12),Database!$F:$AY,MATCH($Q$1,Database!$F$1:$AY$1,),)))))/(((VLOOKUP(EDATE(B357,-12),Database!$F:$AY,MATCH($Q$1,Database!$F$1:$AY$1,),))))</f>
        <v>5.5222033860605438E-2</v>
      </c>
      <c r="R357" s="13">
        <f>((((VLOOKUP(B357,Database!$F:$AY,MATCH($R$1,Database!$F$1:$AY$1,),))))-(((VLOOKUP(EDATE(B357,-12),Database!$F:$AY,MATCH($R$1,Database!$F$1:$AY$1,),)))))/(((VLOOKUP(EDATE(B357,-12),Database!$F:$AY,MATCH($R$1,Database!$F$1:$AY$1,),))))</f>
        <v>2.0814231914587207E-2</v>
      </c>
      <c r="S357" s="13">
        <f>((((VLOOKUP(B357,Database!$F:$AY,MATCH($S$1,Database!$F$1:$AY$1,),))))-(((VLOOKUP(EDATE(B357,-12),Database!$F:$AY,MATCH($S$1,Database!$F$1:$AY$1,),)))))/(((VLOOKUP(EDATE(B357,-12),Database!$F:$AY,MATCH($S$1,Database!$F$1:$AY$1,),))))</f>
        <v>-0.10298087241168759</v>
      </c>
      <c r="T357" s="13">
        <f>((((VLOOKUP(B357,Database!$F:$AY,MATCH($T$1,Database!$F$1:$AY$1,),))))-(((VLOOKUP(EDATE(B357,-12),Database!$F:$AY,MATCH($T$1,Database!$F$1:$AY$1,),)))))/(((VLOOKUP(EDATE(B357,-12),Database!$F:$AY,MATCH($T$1,Database!$F$1:$AY$1,),))))</f>
        <v>9.2958003063166719E-2</v>
      </c>
      <c r="U357" s="13">
        <f>((((VLOOKUP(B357,Database!$F:$AY,MATCH($U$1,Database!$F$1:$AY$1,),))))-(((VLOOKUP(EDATE(B357,-12),Database!$F:$AY,MATCH($U$1,Database!$F$1:$AY$1,),)))))/(((VLOOKUP(EDATE(B357,-12),Database!$F:$AY,MATCH($U$1,Database!$F$1:$AY$1,),))))</f>
        <v>5.7581592319638879E-2</v>
      </c>
      <c r="V357" s="13">
        <f>((((VLOOKUP(B357,Database!$F:$AY,MATCH($V$1,Database!$F$1:$AY$1,),))))-(((VLOOKUP(EDATE(B357,-12),Database!$F:$AY,MATCH($V$1,Database!$F$1:$AY$1,),)))))/(((VLOOKUP(EDATE(B357,-12),Database!$F:$AY,MATCH($V$1,Database!$F$1:$AY$1,),))))</f>
        <v>9.8729227761485919E-2</v>
      </c>
    </row>
    <row r="358" spans="1:22" s="85" customFormat="1" x14ac:dyDescent="0.2">
      <c r="A358" s="44"/>
      <c r="B358" s="91">
        <v>43040</v>
      </c>
      <c r="C358" s="13">
        <f>((((VLOOKUP(B358,Database!$F:$AY,MATCH($C$1,Database!$F$1:$AY$1,),))))-(((VLOOKUP(EDATE(B358,-12),Database!$F:$AY,MATCH($C$1,Database!$F$1:$AY$1,),)))))/(((VLOOKUP(EDATE(B358,-12),Database!$F:$AY,MATCH($C$1,Database!$F$1:$AY$1,),))))</f>
        <v>4.0590724384968996E-2</v>
      </c>
      <c r="D358" s="13">
        <f>((((VLOOKUP(B358,Database!$F:$AY,MATCH($D$1,Database!$F$1:$AY$1,),))))-(((VLOOKUP(EDATE(B358,-12),Database!$F:$AY,MATCH($D$1,Database!$F$1:$AY$1,),)))))/(((VLOOKUP(EDATE(B358,-12),Database!$F:$AY,MATCH($D$1,Database!$F$1:$AY$1,),))))</f>
        <v>4.5719667376577282E-2</v>
      </c>
      <c r="E358" s="13">
        <f>((((VLOOKUP(B358,Database!$F:$AY,MATCH($E$1,Database!$F$1:$AY$1,),))))-(((VLOOKUP(EDATE(B358,-12),Database!$F:$AY,MATCH($E$1,Database!$F$1:$AY$1,),)))))/(((VLOOKUP(EDATE(B358,-12),Database!$F:$AY,MATCH($E$1,Database!$F$1:$AY$1,),))))</f>
        <v>1.8608797010524862E-2</v>
      </c>
      <c r="F358" s="13">
        <f>((((VLOOKUP(B358,Database!$F:$AY,MATCH($F$1,Database!$F$1:$AY$1,),))))-(((VLOOKUP(EDATE(B358,-12),Database!$F:$AY,MATCH($F$1,Database!$F$1:$AY$1,),)))))/(((VLOOKUP(EDATE(B358,-12),Database!$F:$AY,MATCH($F$1,Database!$F$1:$AY$1,),))))</f>
        <v>6.5751313897626409E-2</v>
      </c>
      <c r="G358" s="13">
        <f>((((VLOOKUP(B358,Database!$F:$AY,MATCH($G$1,Database!$F$1:$AY$1,),))))-(((VLOOKUP(EDATE(B358,-12),Database!$F:$AY,MATCH($G$1,Database!$F$1:$AY$1,),)))))/(((VLOOKUP(EDATE(B358,-12),Database!$F:$AY,MATCH($G$1,Database!$F$1:$AY$1,),))))</f>
        <v>2.3569474694110238E-2</v>
      </c>
      <c r="H358" s="13">
        <f>((((VLOOKUP(B358,Database!$F:$AY,MATCH($H$1,Database!$F$1:$AY$1,),))))-(((VLOOKUP(EDATE(B358,-12),Database!$F:$AY,MATCH($H$1,Database!$F$1:$AY$1,),)))))/(((VLOOKUP(EDATE(B358,-12),Database!$F:$AY,MATCH($H$1,Database!$F$1:$AY$1,),))))</f>
        <v>2.346981799097184E-2</v>
      </c>
      <c r="I358" s="13">
        <f>((((VLOOKUP(B358,Database!$F:$AY,MATCH($I$1,Database!$F$1:$AY$1,),))))-(((VLOOKUP(EDATE(B358,-12),Database!$F:$AY,MATCH($I$1,Database!$F$1:$AY$1,),)))))/(((VLOOKUP(EDATE(B358,-12),Database!$F:$AY,MATCH($I$1,Database!$F$1:$AY$1,),))))</f>
        <v>3.8722488029013104E-2</v>
      </c>
      <c r="J358" s="13">
        <f>((((VLOOKUP(B358,Database!$F:$AY,MATCH($J$1,Database!$F$1:$AY$1,),))))-(((VLOOKUP(EDATE(B358,-12),Database!$F:$AY,MATCH($J$1,Database!$F$1:$AY$1,),)))))/(((VLOOKUP(EDATE(B358,-12),Database!$F:$AY,MATCH($J$1,Database!$F$1:$AY$1,),))))</f>
        <v>4.15447397811467E-2</v>
      </c>
      <c r="K358" s="13">
        <f>((((VLOOKUP(B358,Database!$F:$AY,MATCH($K$1,Database!$F$1:$AY$1,),))))-(((VLOOKUP(EDATE(B358,-12),Database!$F:$AY,MATCH($K$1,Database!$F$1:$AY$1,),)))))/(((VLOOKUP(EDATE(B358,-12),Database!$F:$AY,MATCH($K$1,Database!$F$1:$AY$1,),))))</f>
        <v>6.4516129032258146E-2</v>
      </c>
      <c r="L358" s="13">
        <f>((((VLOOKUP(B358,Database!$F:$AY,MATCH($L$1,Database!$F$1:$AY$1,),))))-(((VLOOKUP(EDATE(B358,-12),Database!$F:$AY,MATCH($L$1,Database!$F$1:$AY$1,),)))))/(((VLOOKUP(EDATE(B358,-12),Database!$F:$AY,MATCH($L$1,Database!$F$1:$AY$1,),))))</f>
        <v>-1.4435023719821883E-2</v>
      </c>
      <c r="M358" s="13">
        <f>((((VLOOKUP(B358,Database!$F:$AY,MATCH($M$1,Database!$F$1:$AY$1,),))))-(((VLOOKUP(EDATE(B358,-12),Database!$F:$AY,MATCH($M$1,Database!$F$1:$AY$1,),)))))/(((VLOOKUP(EDATE(B358,-12),Database!$F:$AY,MATCH($M$1,Database!$F$1:$AY$1,),))))</f>
        <v>1.0486177311725398E-2</v>
      </c>
      <c r="N358" s="13">
        <f>((((VLOOKUP(B358,Database!$F:$AY,MATCH($N$1,Database!$F$1:$AY$1,),))))-(((VLOOKUP(EDATE(B358,-12),Database!$F:$AY,MATCH($N$1,Database!$F$1:$AY$1,),)))))/(((VLOOKUP(EDATE(B358,-12),Database!$F:$AY,MATCH($N$1,Database!$F$1:$AY$1,),))))</f>
        <v>8.2906340212300672E-2</v>
      </c>
      <c r="O358" s="13">
        <f>((((VLOOKUP(B358,Database!$F:$AY,MATCH($O$1,Database!$F$1:$AY$1,),))))-(((VLOOKUP(EDATE(B358,-12),Database!$F:$AY,MATCH($O$1,Database!$F$1:$AY$1,),)))))/(((VLOOKUP(EDATE(B358,-12),Database!$F:$AY,MATCH($O$1,Database!$F$1:$AY$1,),))))</f>
        <v>3.226180669626983E-2</v>
      </c>
      <c r="P358" s="13">
        <f>((((VLOOKUP(B358,Database!$F:$AY,MATCH($P$1,Database!$F$1:$AY$1,),))))-(((VLOOKUP(EDATE(B358,-12),Database!$F:$AY,MATCH($P$1,Database!$F$1:$AY$1,),)))))/(((VLOOKUP(EDATE(B358,-12),Database!$F:$AY,MATCH($P$1,Database!$F$1:$AY$1,),))))</f>
        <v>6.6726220382433959E-3</v>
      </c>
      <c r="Q358" s="13">
        <f>((((VLOOKUP(B358,Database!$F:$AY,MATCH($Q$1,Database!$F$1:$AY$1,),))))-(((VLOOKUP(EDATE(B358,-12),Database!$F:$AY,MATCH($Q$1,Database!$F$1:$AY$1,),)))))/(((VLOOKUP(EDATE(B358,-12),Database!$F:$AY,MATCH($Q$1,Database!$F$1:$AY$1,),))))</f>
        <v>5.3571395747768084E-2</v>
      </c>
      <c r="R358" s="13">
        <f>((((VLOOKUP(B358,Database!$F:$AY,MATCH($R$1,Database!$F$1:$AY$1,),))))-(((VLOOKUP(EDATE(B358,-12),Database!$F:$AY,MATCH($R$1,Database!$F$1:$AY$1,),)))))/(((VLOOKUP(EDATE(B358,-12),Database!$F:$AY,MATCH($R$1,Database!$F$1:$AY$1,),))))</f>
        <v>1.5194343266085004E-2</v>
      </c>
      <c r="S358" s="13">
        <f>((((VLOOKUP(B358,Database!$F:$AY,MATCH($S$1,Database!$F$1:$AY$1,),))))-(((VLOOKUP(EDATE(B358,-12),Database!$F:$AY,MATCH($S$1,Database!$F$1:$AY$1,),)))))/(((VLOOKUP(EDATE(B358,-12),Database!$F:$AY,MATCH($S$1,Database!$F$1:$AY$1,),))))</f>
        <v>3.9025056458732679E-2</v>
      </c>
      <c r="T358" s="13">
        <f>((((VLOOKUP(B358,Database!$F:$AY,MATCH($T$1,Database!$F$1:$AY$1,),))))-(((VLOOKUP(EDATE(B358,-12),Database!$F:$AY,MATCH($T$1,Database!$F$1:$AY$1,),)))))/(((VLOOKUP(EDATE(B358,-12),Database!$F:$AY,MATCH($T$1,Database!$F$1:$AY$1,),))))</f>
        <v>0.10690577834294632</v>
      </c>
      <c r="U358" s="13">
        <f>((((VLOOKUP(B358,Database!$F:$AY,MATCH($U$1,Database!$F$1:$AY$1,),))))-(((VLOOKUP(EDATE(B358,-12),Database!$F:$AY,MATCH($U$1,Database!$F$1:$AY$1,),)))))/(((VLOOKUP(EDATE(B358,-12),Database!$F:$AY,MATCH($U$1,Database!$F$1:$AY$1,),))))</f>
        <v>7.8244935938730248E-2</v>
      </c>
      <c r="V358" s="13">
        <f>((((VLOOKUP(B358,Database!$F:$AY,MATCH($V$1,Database!$F$1:$AY$1,),))))-(((VLOOKUP(EDATE(B358,-12),Database!$F:$AY,MATCH($V$1,Database!$F$1:$AY$1,),)))))/(((VLOOKUP(EDATE(B358,-12),Database!$F:$AY,MATCH($V$1,Database!$F$1:$AY$1,),))))</f>
        <v>6.7877629063097605E-2</v>
      </c>
    </row>
    <row r="359" spans="1:22" s="85" customFormat="1" x14ac:dyDescent="0.2">
      <c r="A359" s="44"/>
      <c r="B359" s="91">
        <v>43070</v>
      </c>
      <c r="C359" s="13">
        <f>((((VLOOKUP(B359,Database!$F:$AY,MATCH($C$1,Database!$F$1:$AY$1,),))))-(((VLOOKUP(EDATE(B359,-12),Database!$F:$AY,MATCH($C$1,Database!$F$1:$AY$1,),)))))/(((VLOOKUP(EDATE(B359,-12),Database!$F:$AY,MATCH($C$1,Database!$F$1:$AY$1,),))))</f>
        <v>3.5052196252162791E-2</v>
      </c>
      <c r="D359" s="13">
        <f>((((VLOOKUP(B359,Database!$F:$AY,MATCH($D$1,Database!$F$1:$AY$1,),))))-(((VLOOKUP(EDATE(B359,-12),Database!$F:$AY,MATCH($D$1,Database!$F$1:$AY$1,),)))))/(((VLOOKUP(EDATE(B359,-12),Database!$F:$AY,MATCH($D$1,Database!$F$1:$AY$1,),))))</f>
        <v>5.3711117774550225E-2</v>
      </c>
      <c r="E359" s="13">
        <f>((((VLOOKUP(B359,Database!$F:$AY,MATCH($E$1,Database!$F$1:$AY$1,),))))-(((VLOOKUP(EDATE(B359,-12),Database!$F:$AY,MATCH($E$1,Database!$F$1:$AY$1,),)))))/(((VLOOKUP(EDATE(B359,-12),Database!$F:$AY,MATCH($E$1,Database!$F$1:$AY$1,),))))</f>
        <v>3.9409211608853988E-2</v>
      </c>
      <c r="F359" s="13">
        <f>((((VLOOKUP(B359,Database!$F:$AY,MATCH($F$1,Database!$F$1:$AY$1,),))))-(((VLOOKUP(EDATE(B359,-12),Database!$F:$AY,MATCH($F$1,Database!$F$1:$AY$1,),)))))/(((VLOOKUP(EDATE(B359,-12),Database!$F:$AY,MATCH($F$1,Database!$F$1:$AY$1,),))))</f>
        <v>7.8764323233451256E-2</v>
      </c>
      <c r="G359" s="13">
        <f>((((VLOOKUP(B359,Database!$F:$AY,MATCH($G$1,Database!$F$1:$AY$1,),))))-(((VLOOKUP(EDATE(B359,-12),Database!$F:$AY,MATCH($G$1,Database!$F$1:$AY$1,),)))))/(((VLOOKUP(EDATE(B359,-12),Database!$F:$AY,MATCH($G$1,Database!$F$1:$AY$1,),))))</f>
        <v>4.8923894620267083E-2</v>
      </c>
      <c r="H359" s="13">
        <f>((((VLOOKUP(B359,Database!$F:$AY,MATCH($H$1,Database!$F$1:$AY$1,),))))-(((VLOOKUP(EDATE(B359,-12),Database!$F:$AY,MATCH($H$1,Database!$F$1:$AY$1,),)))))/(((VLOOKUP(EDATE(B359,-12),Database!$F:$AY,MATCH($H$1,Database!$F$1:$AY$1,),))))</f>
        <v>4.0201306615065668E-3</v>
      </c>
      <c r="I359" s="13">
        <f>((((VLOOKUP(B359,Database!$F:$AY,MATCH($I$1,Database!$F$1:$AY$1,),))))-(((VLOOKUP(EDATE(B359,-12),Database!$F:$AY,MATCH($I$1,Database!$F$1:$AY$1,),)))))/(((VLOOKUP(EDATE(B359,-12),Database!$F:$AY,MATCH($I$1,Database!$F$1:$AY$1,),))))</f>
        <v>5.2480501721039796E-2</v>
      </c>
      <c r="J359" s="13">
        <f>((((VLOOKUP(B359,Database!$F:$AY,MATCH($J$1,Database!$F$1:$AY$1,),))))-(((VLOOKUP(EDATE(B359,-12),Database!$F:$AY,MATCH($J$1,Database!$F$1:$AY$1,),)))))/(((VLOOKUP(EDATE(B359,-12),Database!$F:$AY,MATCH($J$1,Database!$F$1:$AY$1,),))))</f>
        <v>6.5266915866441635E-2</v>
      </c>
      <c r="K359" s="13">
        <f>((((VLOOKUP(B359,Database!$F:$AY,MATCH($K$1,Database!$F$1:$AY$1,),))))-(((VLOOKUP(EDATE(B359,-12),Database!$F:$AY,MATCH($K$1,Database!$F$1:$AY$1,),)))))/(((VLOOKUP(EDATE(B359,-12),Database!$F:$AY,MATCH($K$1,Database!$F$1:$AY$1,),))))</f>
        <v>8.6956521739130405E-2</v>
      </c>
      <c r="L359" s="13">
        <f>((((VLOOKUP(B359,Database!$F:$AY,MATCH($L$1,Database!$F$1:$AY$1,),))))-(((VLOOKUP(EDATE(B359,-12),Database!$F:$AY,MATCH($L$1,Database!$F$1:$AY$1,),)))))/(((VLOOKUP(EDATE(B359,-12),Database!$F:$AY,MATCH($L$1,Database!$F$1:$AY$1,),))))</f>
        <v>8.0537622835839904E-4</v>
      </c>
      <c r="M359" s="13">
        <f>((((VLOOKUP(B359,Database!$F:$AY,MATCH($M$1,Database!$F$1:$AY$1,),))))-(((VLOOKUP(EDATE(B359,-12),Database!$F:$AY,MATCH($M$1,Database!$F$1:$AY$1,),)))))/(((VLOOKUP(EDATE(B359,-12),Database!$F:$AY,MATCH($M$1,Database!$F$1:$AY$1,),))))</f>
        <v>8.6206896551723321E-3</v>
      </c>
      <c r="N359" s="13">
        <f>((((VLOOKUP(B359,Database!$F:$AY,MATCH($N$1,Database!$F$1:$AY$1,),))))-(((VLOOKUP(EDATE(B359,-12),Database!$F:$AY,MATCH($N$1,Database!$F$1:$AY$1,),)))))/(((VLOOKUP(EDATE(B359,-12),Database!$F:$AY,MATCH($N$1,Database!$F$1:$AY$1,),))))</f>
        <v>7.7138522692534503E-2</v>
      </c>
      <c r="O359" s="13">
        <f>((((VLOOKUP(B359,Database!$F:$AY,MATCH($O$1,Database!$F$1:$AY$1,),))))-(((VLOOKUP(EDATE(B359,-12),Database!$F:$AY,MATCH($O$1,Database!$F$1:$AY$1,),)))))/(((VLOOKUP(EDATE(B359,-12),Database!$F:$AY,MATCH($O$1,Database!$F$1:$AY$1,),))))</f>
        <v>3.8991798367454832E-2</v>
      </c>
      <c r="P359" s="13">
        <f>((((VLOOKUP(B359,Database!$F:$AY,MATCH($P$1,Database!$F$1:$AY$1,),))))-(((VLOOKUP(EDATE(B359,-12),Database!$F:$AY,MATCH($P$1,Database!$F$1:$AY$1,),)))))/(((VLOOKUP(EDATE(B359,-12),Database!$F:$AY,MATCH($P$1,Database!$F$1:$AY$1,),))))</f>
        <v>-4.7979053913330258E-3</v>
      </c>
      <c r="Q359" s="13">
        <f>((((VLOOKUP(B359,Database!$F:$AY,MATCH($Q$1,Database!$F$1:$AY$1,),))))-(((VLOOKUP(EDATE(B359,-12),Database!$F:$AY,MATCH($Q$1,Database!$F$1:$AY$1,),)))))/(((VLOOKUP(EDATE(B359,-12),Database!$F:$AY,MATCH($Q$1,Database!$F$1:$AY$1,),))))</f>
        <v>6.8925351400434487E-2</v>
      </c>
      <c r="R359" s="13">
        <f>((((VLOOKUP(B359,Database!$F:$AY,MATCH($R$1,Database!$F$1:$AY$1,),))))-(((VLOOKUP(EDATE(B359,-12),Database!$F:$AY,MATCH($R$1,Database!$F$1:$AY$1,),)))))/(((VLOOKUP(EDATE(B359,-12),Database!$F:$AY,MATCH($R$1,Database!$F$1:$AY$1,),))))</f>
        <v>1.1194012426792027E-2</v>
      </c>
      <c r="S359" s="13">
        <f>((((VLOOKUP(B359,Database!$F:$AY,MATCH($S$1,Database!$F$1:$AY$1,),))))-(((VLOOKUP(EDATE(B359,-12),Database!$F:$AY,MATCH($S$1,Database!$F$1:$AY$1,),)))))/(((VLOOKUP(EDATE(B359,-12),Database!$F:$AY,MATCH($S$1,Database!$F$1:$AY$1,),))))</f>
        <v>3.7550242865216688E-2</v>
      </c>
      <c r="T359" s="13">
        <f>((((VLOOKUP(B359,Database!$F:$AY,MATCH($T$1,Database!$F$1:$AY$1,),))))-(((VLOOKUP(EDATE(B359,-12),Database!$F:$AY,MATCH($T$1,Database!$F$1:$AY$1,),)))))/(((VLOOKUP(EDATE(B359,-12),Database!$F:$AY,MATCH($T$1,Database!$F$1:$AY$1,),))))</f>
        <v>0.14381014789810953</v>
      </c>
      <c r="U359" s="13">
        <f>((((VLOOKUP(B359,Database!$F:$AY,MATCH($U$1,Database!$F$1:$AY$1,),))))-(((VLOOKUP(EDATE(B359,-12),Database!$F:$AY,MATCH($U$1,Database!$F$1:$AY$1,),)))))/(((VLOOKUP(EDATE(B359,-12),Database!$F:$AY,MATCH($U$1,Database!$F$1:$AY$1,),))))</f>
        <v>8.6372388479458259E-2</v>
      </c>
      <c r="V359" s="13">
        <f>((((VLOOKUP(B359,Database!$F:$AY,MATCH($V$1,Database!$F$1:$AY$1,),))))-(((VLOOKUP(EDATE(B359,-12),Database!$F:$AY,MATCH($V$1,Database!$F$1:$AY$1,),)))))/(((VLOOKUP(EDATE(B359,-12),Database!$F:$AY,MATCH($V$1,Database!$F$1:$AY$1,),))))</f>
        <v>8.075117370892014E-2</v>
      </c>
    </row>
    <row r="360" spans="1:22" s="85" customFormat="1" x14ac:dyDescent="0.2">
      <c r="A360" s="44"/>
      <c r="B360" s="91">
        <v>43101</v>
      </c>
      <c r="C360" s="13">
        <f>((((VLOOKUP(B360,Database!$F:$AY,MATCH($C$1,Database!$F$1:$AY$1,),))))-(((VLOOKUP(EDATE(B360,-12),Database!$F:$AY,MATCH($C$1,Database!$F$1:$AY$1,),)))))/(((VLOOKUP(EDATE(B360,-12),Database!$F:$AY,MATCH($C$1,Database!$F$1:$AY$1,),))))</f>
        <v>3.1337111807455444E-2</v>
      </c>
      <c r="D360" s="13">
        <f>((((VLOOKUP(B360,Database!$F:$AY,MATCH($D$1,Database!$F$1:$AY$1,),))))-(((VLOOKUP(EDATE(B360,-12),Database!$F:$AY,MATCH($D$1,Database!$F$1:$AY$1,),)))))/(((VLOOKUP(EDATE(B360,-12),Database!$F:$AY,MATCH($D$1,Database!$F$1:$AY$1,),))))</f>
        <v>3.6203673800925762E-2</v>
      </c>
      <c r="E360" s="13">
        <f>((((VLOOKUP(B360,Database!$F:$AY,MATCH($E$1,Database!$F$1:$AY$1,),))))-(((VLOOKUP(EDATE(B360,-12),Database!$F:$AY,MATCH($E$1,Database!$F$1:$AY$1,),)))))/(((VLOOKUP(EDATE(B360,-12),Database!$F:$AY,MATCH($E$1,Database!$F$1:$AY$1,),))))</f>
        <v>5.958789015171162E-3</v>
      </c>
      <c r="F360" s="13">
        <f>((((VLOOKUP(B360,Database!$F:$AY,MATCH($F$1,Database!$F$1:$AY$1,),))))-(((VLOOKUP(EDATE(B360,-12),Database!$F:$AY,MATCH($F$1,Database!$F$1:$AY$1,),)))))/(((VLOOKUP(EDATE(B360,-12),Database!$F:$AY,MATCH($F$1,Database!$F$1:$AY$1,),))))</f>
        <v>5.4028086824538406E-2</v>
      </c>
      <c r="G360" s="13">
        <f>((((VLOOKUP(B360,Database!$F:$AY,MATCH($G$1,Database!$F$1:$AY$1,),))))-(((VLOOKUP(EDATE(B360,-12),Database!$F:$AY,MATCH($G$1,Database!$F$1:$AY$1,),)))))/(((VLOOKUP(EDATE(B360,-12),Database!$F:$AY,MATCH($G$1,Database!$F$1:$AY$1,),))))</f>
        <v>6.3138187901457072E-3</v>
      </c>
      <c r="H360" s="13">
        <f>((((VLOOKUP(B360,Database!$F:$AY,MATCH($H$1,Database!$F$1:$AY$1,),))))-(((VLOOKUP(EDATE(B360,-12),Database!$F:$AY,MATCH($H$1,Database!$F$1:$AY$1,),)))))/(((VLOOKUP(EDATE(B360,-12),Database!$F:$AY,MATCH($H$1,Database!$F$1:$AY$1,),))))</f>
        <v>9.0359727257518126E-3</v>
      </c>
      <c r="I360" s="13">
        <f>((((VLOOKUP(B360,Database!$F:$AY,MATCH($I$1,Database!$F$1:$AY$1,),))))-(((VLOOKUP(EDATE(B360,-12),Database!$F:$AY,MATCH($I$1,Database!$F$1:$AY$1,),)))))/(((VLOOKUP(EDATE(B360,-12),Database!$F:$AY,MATCH($I$1,Database!$F$1:$AY$1,),))))</f>
        <v>4.1176960825166732E-2</v>
      </c>
      <c r="J360" s="13">
        <f>((((VLOOKUP(B360,Database!$F:$AY,MATCH($J$1,Database!$F$1:$AY$1,),))))-(((VLOOKUP(EDATE(B360,-12),Database!$F:$AY,MATCH($J$1,Database!$F$1:$AY$1,),)))))/(((VLOOKUP(EDATE(B360,-12),Database!$F:$AY,MATCH($J$1,Database!$F$1:$AY$1,),))))</f>
        <v>1.3348814116323872E-3</v>
      </c>
      <c r="K360" s="13">
        <f>((((VLOOKUP(B360,Database!$F:$AY,MATCH($K$1,Database!$F$1:$AY$1,),))))-(((VLOOKUP(EDATE(B360,-12),Database!$F:$AY,MATCH($K$1,Database!$F$1:$AY$1,),)))))/(((VLOOKUP(EDATE(B360,-12),Database!$F:$AY,MATCH($K$1,Database!$F$1:$AY$1,),))))</f>
        <v>5.1158301158301271E-2</v>
      </c>
      <c r="L360" s="13">
        <f>((((VLOOKUP(B360,Database!$F:$AY,MATCH($L$1,Database!$F$1:$AY$1,),))))-(((VLOOKUP(EDATE(B360,-12),Database!$F:$AY,MATCH($L$1,Database!$F$1:$AY$1,),)))))/(((VLOOKUP(EDATE(B360,-12),Database!$F:$AY,MATCH($L$1,Database!$F$1:$AY$1,),))))</f>
        <v>-4.7730826568883862E-3</v>
      </c>
      <c r="M360" s="13">
        <f>((((VLOOKUP(B360,Database!$F:$AY,MATCH($M$1,Database!$F$1:$AY$1,),))))-(((VLOOKUP(EDATE(B360,-12),Database!$F:$AY,MATCH($M$1,Database!$F$1:$AY$1,),)))))/(((VLOOKUP(EDATE(B360,-12),Database!$F:$AY,MATCH($M$1,Database!$F$1:$AY$1,),))))</f>
        <v>2.7514231499051151E-2</v>
      </c>
      <c r="N360" s="13">
        <f>((((VLOOKUP(B360,Database!$F:$AY,MATCH($N$1,Database!$F$1:$AY$1,),))))-(((VLOOKUP(EDATE(B360,-12),Database!$F:$AY,MATCH($N$1,Database!$F$1:$AY$1,),)))))/(((VLOOKUP(EDATE(B360,-12),Database!$F:$AY,MATCH($N$1,Database!$F$1:$AY$1,),))))</f>
        <v>7.2290623769881351E-2</v>
      </c>
      <c r="O360" s="13">
        <f>((((VLOOKUP(B360,Database!$F:$AY,MATCH($O$1,Database!$F$1:$AY$1,),))))-(((VLOOKUP(EDATE(B360,-12),Database!$F:$AY,MATCH($O$1,Database!$F$1:$AY$1,),)))))/(((VLOOKUP(EDATE(B360,-12),Database!$F:$AY,MATCH($O$1,Database!$F$1:$AY$1,),))))</f>
        <v>2.4065542168674632E-2</v>
      </c>
      <c r="P360" s="13">
        <f>((((VLOOKUP(B360,Database!$F:$AY,MATCH($P$1,Database!$F$1:$AY$1,),))))-(((VLOOKUP(EDATE(B360,-12),Database!$F:$AY,MATCH($P$1,Database!$F$1:$AY$1,),)))))/(((VLOOKUP(EDATE(B360,-12),Database!$F:$AY,MATCH($P$1,Database!$F$1:$AY$1,),))))</f>
        <v>-1.4995627564061155E-2</v>
      </c>
      <c r="Q360" s="13">
        <f>((((VLOOKUP(B360,Database!$F:$AY,MATCH($Q$1,Database!$F$1:$AY$1,),))))-(((VLOOKUP(EDATE(B360,-12),Database!$F:$AY,MATCH($Q$1,Database!$F$1:$AY$1,),)))))/(((VLOOKUP(EDATE(B360,-12),Database!$F:$AY,MATCH($Q$1,Database!$F$1:$AY$1,),))))</f>
        <v>3.2407496468704916E-2</v>
      </c>
      <c r="R360" s="13">
        <f>((((VLOOKUP(B360,Database!$F:$AY,MATCH($R$1,Database!$F$1:$AY$1,),))))-(((VLOOKUP(EDATE(B360,-12),Database!$F:$AY,MATCH($R$1,Database!$F$1:$AY$1,),)))))/(((VLOOKUP(EDATE(B360,-12),Database!$F:$AY,MATCH($R$1,Database!$F$1:$AY$1,),))))</f>
        <v>3.7310261676149641E-3</v>
      </c>
      <c r="S360" s="13">
        <f>((((VLOOKUP(B360,Database!$F:$AY,MATCH($S$1,Database!$F$1:$AY$1,),))))-(((VLOOKUP(EDATE(B360,-12),Database!$F:$AY,MATCH($S$1,Database!$F$1:$AY$1,),)))))/(((VLOOKUP(EDATE(B360,-12),Database!$F:$AY,MATCH($S$1,Database!$F$1:$AY$1,),))))</f>
        <v>2.5303152854458374E-2</v>
      </c>
      <c r="T360" s="13">
        <f>((((VLOOKUP(B360,Database!$F:$AY,MATCH($T$1,Database!$F$1:$AY$1,),))))-(((VLOOKUP(EDATE(B360,-12),Database!$F:$AY,MATCH($T$1,Database!$F$1:$AY$1,),)))))/(((VLOOKUP(EDATE(B360,-12),Database!$F:$AY,MATCH($T$1,Database!$F$1:$AY$1,),))))</f>
        <v>0.11625730684593796</v>
      </c>
      <c r="U360" s="13">
        <f>((((VLOOKUP(B360,Database!$F:$AY,MATCH($U$1,Database!$F$1:$AY$1,),))))-(((VLOOKUP(EDATE(B360,-12),Database!$F:$AY,MATCH($U$1,Database!$F$1:$AY$1,),)))))/(((VLOOKUP(EDATE(B360,-12),Database!$F:$AY,MATCH($U$1,Database!$F$1:$AY$1,),))))</f>
        <v>5.8714361482484094E-2</v>
      </c>
      <c r="V360" s="13">
        <f>((((VLOOKUP(B360,Database!$F:$AY,MATCH($V$1,Database!$F$1:$AY$1,),))))-(((VLOOKUP(EDATE(B360,-12),Database!$F:$AY,MATCH($V$1,Database!$F$1:$AY$1,),)))))/(((VLOOKUP(EDATE(B360,-12),Database!$F:$AY,MATCH($V$1,Database!$F$1:$AY$1,),))))</f>
        <v>6.208842897460027E-2</v>
      </c>
    </row>
    <row r="361" spans="1:22" s="85" customFormat="1" x14ac:dyDescent="0.2">
      <c r="A361" s="44"/>
      <c r="B361" s="91">
        <v>43132</v>
      </c>
      <c r="C361" s="13">
        <f>((((VLOOKUP(B361,Database!$F:$AY,MATCH($C$1,Database!$F$1:$AY$1,),))))-(((VLOOKUP(EDATE(B361,-12),Database!$F:$AY,MATCH($C$1,Database!$F$1:$AY$1,),)))))/(((VLOOKUP(EDATE(B361,-12),Database!$F:$AY,MATCH($C$1,Database!$F$1:$AY$1,),))))</f>
        <v>3.8910168013803648E-2</v>
      </c>
      <c r="D361" s="13">
        <f>((((VLOOKUP(B361,Database!$F:$AY,MATCH($D$1,Database!$F$1:$AY$1,),))))-(((VLOOKUP(EDATE(B361,-12),Database!$F:$AY,MATCH($D$1,Database!$F$1:$AY$1,),)))))/(((VLOOKUP(EDATE(B361,-12),Database!$F:$AY,MATCH($D$1,Database!$F$1:$AY$1,),))))</f>
        <v>2.137964618026892E-2</v>
      </c>
      <c r="E361" s="13">
        <f>((((VLOOKUP(B361,Database!$F:$AY,MATCH($E$1,Database!$F$1:$AY$1,),))))-(((VLOOKUP(EDATE(B361,-12),Database!$F:$AY,MATCH($E$1,Database!$F$1:$AY$1,),)))))/(((VLOOKUP(EDATE(B361,-12),Database!$F:$AY,MATCH($E$1,Database!$F$1:$AY$1,),))))</f>
        <v>2.3669637001129312E-2</v>
      </c>
      <c r="F361" s="13">
        <f>((((VLOOKUP(B361,Database!$F:$AY,MATCH($F$1,Database!$F$1:$AY$1,),))))-(((VLOOKUP(EDATE(B361,-12),Database!$F:$AY,MATCH($F$1,Database!$F$1:$AY$1,),)))))/(((VLOOKUP(EDATE(B361,-12),Database!$F:$AY,MATCH($F$1,Database!$F$1:$AY$1,),))))</f>
        <v>2.4319155104415426E-2</v>
      </c>
      <c r="G361" s="13">
        <f>((((VLOOKUP(B361,Database!$F:$AY,MATCH($G$1,Database!$F$1:$AY$1,),))))-(((VLOOKUP(EDATE(B361,-12),Database!$F:$AY,MATCH($G$1,Database!$F$1:$AY$1,),)))))/(((VLOOKUP(EDATE(B361,-12),Database!$F:$AY,MATCH($G$1,Database!$F$1:$AY$1,),))))</f>
        <v>3.0573239498535243E-2</v>
      </c>
      <c r="H361" s="13">
        <f>((((VLOOKUP(B361,Database!$F:$AY,MATCH($H$1,Database!$F$1:$AY$1,),))))-(((VLOOKUP(EDATE(B361,-12),Database!$F:$AY,MATCH($H$1,Database!$F$1:$AY$1,),)))))/(((VLOOKUP(EDATE(B361,-12),Database!$F:$AY,MATCH($H$1,Database!$F$1:$AY$1,),))))</f>
        <v>2.1341385824613635E-2</v>
      </c>
      <c r="I361" s="13">
        <f>((((VLOOKUP(B361,Database!$F:$AY,MATCH($I$1,Database!$F$1:$AY$1,),))))-(((VLOOKUP(EDATE(B361,-12),Database!$F:$AY,MATCH($I$1,Database!$F$1:$AY$1,),)))))/(((VLOOKUP(EDATE(B361,-12),Database!$F:$AY,MATCH($I$1,Database!$F$1:$AY$1,),))))</f>
        <v>2.5193959961779779E-2</v>
      </c>
      <c r="J361" s="13">
        <f>((((VLOOKUP(B361,Database!$F:$AY,MATCH($J$1,Database!$F$1:$AY$1,),))))-(((VLOOKUP(EDATE(B361,-12),Database!$F:$AY,MATCH($J$1,Database!$F$1:$AY$1,),)))))/(((VLOOKUP(EDATE(B361,-12),Database!$F:$AY,MATCH($J$1,Database!$F$1:$AY$1,),))))</f>
        <v>2.5780689307437345E-2</v>
      </c>
      <c r="K361" s="13">
        <f>((((VLOOKUP(B361,Database!$F:$AY,MATCH($K$1,Database!$F$1:$AY$1,),))))-(((VLOOKUP(EDATE(B361,-12),Database!$F:$AY,MATCH($K$1,Database!$F$1:$AY$1,),)))))/(((VLOOKUP(EDATE(B361,-12),Database!$F:$AY,MATCH($K$1,Database!$F$1:$AY$1,),))))</f>
        <v>4.5105566218810005E-2</v>
      </c>
      <c r="L361" s="13">
        <f>((((VLOOKUP(B361,Database!$F:$AY,MATCH($L$1,Database!$F$1:$AY$1,),))))-(((VLOOKUP(EDATE(B361,-12),Database!$F:$AY,MATCH($L$1,Database!$F$1:$AY$1,),)))))/(((VLOOKUP(EDATE(B361,-12),Database!$F:$AY,MATCH($L$1,Database!$F$1:$AY$1,),))))</f>
        <v>6.5664038767142821E-3</v>
      </c>
      <c r="M361" s="13">
        <f>((((VLOOKUP(B361,Database!$F:$AY,MATCH($M$1,Database!$F$1:$AY$1,),))))-(((VLOOKUP(EDATE(B361,-12),Database!$F:$AY,MATCH($M$1,Database!$F$1:$AY$1,),)))))/(((VLOOKUP(EDATE(B361,-12),Database!$F:$AY,MATCH($M$1,Database!$F$1:$AY$1,),))))</f>
        <v>2.9665071770334873E-2</v>
      </c>
      <c r="N361" s="13">
        <f>((((VLOOKUP(B361,Database!$F:$AY,MATCH($N$1,Database!$F$1:$AY$1,),))))-(((VLOOKUP(EDATE(B361,-12),Database!$F:$AY,MATCH($N$1,Database!$F$1:$AY$1,),)))))/(((VLOOKUP(EDATE(B361,-12),Database!$F:$AY,MATCH($N$1,Database!$F$1:$AY$1,),))))</f>
        <v>6.8948123643978523E-2</v>
      </c>
      <c r="O361" s="13">
        <f>((((VLOOKUP(B361,Database!$F:$AY,MATCH($O$1,Database!$F$1:$AY$1,),))))-(((VLOOKUP(EDATE(B361,-12),Database!$F:$AY,MATCH($O$1,Database!$F$1:$AY$1,),)))))/(((VLOOKUP(EDATE(B361,-12),Database!$F:$AY,MATCH($O$1,Database!$F$1:$AY$1,),))))</f>
        <v>4.2876246402511711E-2</v>
      </c>
      <c r="P361" s="13">
        <f>((((VLOOKUP(B361,Database!$F:$AY,MATCH($P$1,Database!$F$1:$AY$1,),))))-(((VLOOKUP(EDATE(B361,-12),Database!$F:$AY,MATCH($P$1,Database!$F$1:$AY$1,),)))))/(((VLOOKUP(EDATE(B361,-12),Database!$F:$AY,MATCH($P$1,Database!$F$1:$AY$1,),))))</f>
        <v>2.10726372791602E-2</v>
      </c>
      <c r="Q361" s="13">
        <f>((((VLOOKUP(B361,Database!$F:$AY,MATCH($Q$1,Database!$F$1:$AY$1,),))))-(((VLOOKUP(EDATE(B361,-12),Database!$F:$AY,MATCH($Q$1,Database!$F$1:$AY$1,),)))))/(((VLOOKUP(EDATE(B361,-12),Database!$F:$AY,MATCH($Q$1,Database!$F$1:$AY$1,),))))</f>
        <v>1.4823219550427648E-2</v>
      </c>
      <c r="R361" s="13">
        <f>((((VLOOKUP(B361,Database!$F:$AY,MATCH($R$1,Database!$F$1:$AY$1,),))))-(((VLOOKUP(EDATE(B361,-12),Database!$F:$AY,MATCH($R$1,Database!$F$1:$AY$1,),)))))/(((VLOOKUP(EDATE(B361,-12),Database!$F:$AY,MATCH($R$1,Database!$F$1:$AY$1,),))))</f>
        <v>-7.3532388850240512E-3</v>
      </c>
      <c r="S361" s="13">
        <f>((((VLOOKUP(B361,Database!$F:$AY,MATCH($S$1,Database!$F$1:$AY$1,),))))-(((VLOOKUP(EDATE(B361,-12),Database!$F:$AY,MATCH($S$1,Database!$F$1:$AY$1,),)))))/(((VLOOKUP(EDATE(B361,-12),Database!$F:$AY,MATCH($S$1,Database!$F$1:$AY$1,),))))</f>
        <v>-4.6813015644109397E-2</v>
      </c>
      <c r="T361" s="13">
        <f>((((VLOOKUP(B361,Database!$F:$AY,MATCH($T$1,Database!$F$1:$AY$1,),))))-(((VLOOKUP(EDATE(B361,-12),Database!$F:$AY,MATCH($T$1,Database!$F$1:$AY$1,),)))))/(((VLOOKUP(EDATE(B361,-12),Database!$F:$AY,MATCH($T$1,Database!$F$1:$AY$1,),))))</f>
        <v>8.828991272504208E-2</v>
      </c>
      <c r="U361" s="13">
        <f>((((VLOOKUP(B361,Database!$F:$AY,MATCH($U$1,Database!$F$1:$AY$1,),))))-(((VLOOKUP(EDATE(B361,-12),Database!$F:$AY,MATCH($U$1,Database!$F$1:$AY$1,),)))))/(((VLOOKUP(EDATE(B361,-12),Database!$F:$AY,MATCH($U$1,Database!$F$1:$AY$1,),))))</f>
        <v>2.8730464767060232E-2</v>
      </c>
      <c r="V361" s="13">
        <f>((((VLOOKUP(B361,Database!$F:$AY,MATCH($V$1,Database!$F$1:$AY$1,),))))-(((VLOOKUP(EDATE(B361,-12),Database!$F:$AY,MATCH($V$1,Database!$F$1:$AY$1,),)))))/(((VLOOKUP(EDATE(B361,-12),Database!$F:$AY,MATCH($V$1,Database!$F$1:$AY$1,),))))</f>
        <v>7.2368421052631471E-2</v>
      </c>
    </row>
    <row r="362" spans="1:22" s="85" customFormat="1" x14ac:dyDescent="0.2">
      <c r="A362" s="44"/>
      <c r="B362" s="91">
        <v>43160</v>
      </c>
      <c r="C362" s="13">
        <f>((((VLOOKUP(B362,Database!$F:$AY,MATCH($C$1,Database!$F$1:$AY$1,),))))-(((VLOOKUP(EDATE(B362,-12),Database!$F:$AY,MATCH($C$1,Database!$F$1:$AY$1,),)))))/(((VLOOKUP(EDATE(B362,-12),Database!$F:$AY,MATCH($C$1,Database!$F$1:$AY$1,),))))</f>
        <v>3.7824769493725367E-2</v>
      </c>
      <c r="D362" s="13">
        <f>((((VLOOKUP(B362,Database!$F:$AY,MATCH($D$1,Database!$F$1:$AY$1,),))))-(((VLOOKUP(EDATE(B362,-12),Database!$F:$AY,MATCH($D$1,Database!$F$1:$AY$1,),)))))/(((VLOOKUP(EDATE(B362,-12),Database!$F:$AY,MATCH($D$1,Database!$F$1:$AY$1,),))))</f>
        <v>2.4342904222611563E-2</v>
      </c>
      <c r="E362" s="13">
        <f>((((VLOOKUP(B362,Database!$F:$AY,MATCH($E$1,Database!$F$1:$AY$1,),))))-(((VLOOKUP(EDATE(B362,-12),Database!$F:$AY,MATCH($E$1,Database!$F$1:$AY$1,),)))))/(((VLOOKUP(EDATE(B362,-12),Database!$F:$AY,MATCH($E$1,Database!$F$1:$AY$1,),))))</f>
        <v>3.3498371784829263E-2</v>
      </c>
      <c r="F362" s="13">
        <f>((((VLOOKUP(B362,Database!$F:$AY,MATCH($F$1,Database!$F$1:$AY$1,),))))-(((VLOOKUP(EDATE(B362,-12),Database!$F:$AY,MATCH($F$1,Database!$F$1:$AY$1,),)))))/(((VLOOKUP(EDATE(B362,-12),Database!$F:$AY,MATCH($F$1,Database!$F$1:$AY$1,),))))</f>
        <v>4.2032817976078149E-2</v>
      </c>
      <c r="G362" s="13">
        <f>((((VLOOKUP(B362,Database!$F:$AY,MATCH($G$1,Database!$F$1:$AY$1,),))))-(((VLOOKUP(EDATE(B362,-12),Database!$F:$AY,MATCH($G$1,Database!$F$1:$AY$1,),)))))/(((VLOOKUP(EDATE(B362,-12),Database!$F:$AY,MATCH($G$1,Database!$F$1:$AY$1,),))))</f>
        <v>2.6680619125540431E-2</v>
      </c>
      <c r="H362" s="13">
        <f>((((VLOOKUP(B362,Database!$F:$AY,MATCH($H$1,Database!$F$1:$AY$1,),))))-(((VLOOKUP(EDATE(B362,-12),Database!$F:$AY,MATCH($H$1,Database!$F$1:$AY$1,),)))))/(((VLOOKUP(EDATE(B362,-12),Database!$F:$AY,MATCH($H$1,Database!$F$1:$AY$1,),))))</f>
        <v>2.4539073725552848E-2</v>
      </c>
      <c r="I362" s="13">
        <f>((((VLOOKUP(B362,Database!$F:$AY,MATCH($I$1,Database!$F$1:$AY$1,),))))-(((VLOOKUP(EDATE(B362,-12),Database!$F:$AY,MATCH($I$1,Database!$F$1:$AY$1,),)))))/(((VLOOKUP(EDATE(B362,-12),Database!$F:$AY,MATCH($I$1,Database!$F$1:$AY$1,),))))</f>
        <v>3.1731500615916952E-2</v>
      </c>
      <c r="J362" s="13">
        <f>((((VLOOKUP(B362,Database!$F:$AY,MATCH($J$1,Database!$F$1:$AY$1,),))))-(((VLOOKUP(EDATE(B362,-12),Database!$F:$AY,MATCH($J$1,Database!$F$1:$AY$1,),)))))/(((VLOOKUP(EDATE(B362,-12),Database!$F:$AY,MATCH($J$1,Database!$F$1:$AY$1,),))))</f>
        <v>4.8340081207453728E-2</v>
      </c>
      <c r="K362" s="13">
        <f>((((VLOOKUP(B362,Database!$F:$AY,MATCH($K$1,Database!$F$1:$AY$1,),))))-(((VLOOKUP(EDATE(B362,-12),Database!$F:$AY,MATCH($K$1,Database!$F$1:$AY$1,),)))))/(((VLOOKUP(EDATE(B362,-12),Database!$F:$AY,MATCH($K$1,Database!$F$1:$AY$1,),))))</f>
        <v>4.7664442326024785E-2</v>
      </c>
      <c r="L362" s="13">
        <f>((((VLOOKUP(B362,Database!$F:$AY,MATCH($L$1,Database!$F$1:$AY$1,),))))-(((VLOOKUP(EDATE(B362,-12),Database!$F:$AY,MATCH($L$1,Database!$F$1:$AY$1,),)))))/(((VLOOKUP(EDATE(B362,-12),Database!$F:$AY,MATCH($L$1,Database!$F$1:$AY$1,),))))</f>
        <v>-1</v>
      </c>
      <c r="M362" s="13">
        <f>((((VLOOKUP(B362,Database!$F:$AY,MATCH($M$1,Database!$F$1:$AY$1,),))))-(((VLOOKUP(EDATE(B362,-12),Database!$F:$AY,MATCH($M$1,Database!$F$1:$AY$1,),)))))/(((VLOOKUP(EDATE(B362,-12),Database!$F:$AY,MATCH($M$1,Database!$F$1:$AY$1,),))))</f>
        <v>3.5372848948374787E-2</v>
      </c>
      <c r="N362" s="13">
        <f>((((VLOOKUP(B362,Database!$F:$AY,MATCH($N$1,Database!$F$1:$AY$1,),))))-(((VLOOKUP(EDATE(B362,-12),Database!$F:$AY,MATCH($N$1,Database!$F$1:$AY$1,),)))))/(((VLOOKUP(EDATE(B362,-12),Database!$F:$AY,MATCH($N$1,Database!$F$1:$AY$1,),))))</f>
        <v>5.579070517317803E-2</v>
      </c>
      <c r="O362" s="13">
        <f>((((VLOOKUP(B362,Database!$F:$AY,MATCH($O$1,Database!$F$1:$AY$1,),))))-(((VLOOKUP(EDATE(B362,-12),Database!$F:$AY,MATCH($O$1,Database!$F$1:$AY$1,),)))))/(((VLOOKUP(EDATE(B362,-12),Database!$F:$AY,MATCH($O$1,Database!$F$1:$AY$1,),))))</f>
        <v>5.2377337591039533E-2</v>
      </c>
      <c r="P362" s="13">
        <f>((((VLOOKUP(B362,Database!$F:$AY,MATCH($P$1,Database!$F$1:$AY$1,),))))-(((VLOOKUP(EDATE(B362,-12),Database!$F:$AY,MATCH($P$1,Database!$F$1:$AY$1,),)))))/(((VLOOKUP(EDATE(B362,-12),Database!$F:$AY,MATCH($P$1,Database!$F$1:$AY$1,),))))</f>
        <v>-1.5946922397836183E-2</v>
      </c>
      <c r="Q362" s="13">
        <f>((((VLOOKUP(B362,Database!$F:$AY,MATCH($Q$1,Database!$F$1:$AY$1,),))))-(((VLOOKUP(EDATE(B362,-12),Database!$F:$AY,MATCH($Q$1,Database!$F$1:$AY$1,),)))))/(((VLOOKUP(EDATE(B362,-12),Database!$F:$AY,MATCH($Q$1,Database!$F$1:$AY$1,),))))</f>
        <v>4.5614013096645888E-2</v>
      </c>
      <c r="R362" s="13">
        <f>((((VLOOKUP(B362,Database!$F:$AY,MATCH($R$1,Database!$F$1:$AY$1,),))))-(((VLOOKUP(EDATE(B362,-12),Database!$F:$AY,MATCH($R$1,Database!$F$1:$AY$1,),)))))/(((VLOOKUP(EDATE(B362,-12),Database!$F:$AY,MATCH($R$1,Database!$F$1:$AY$1,),))))</f>
        <v>9.2761139137992731E-3</v>
      </c>
      <c r="S362" s="13">
        <f>((((VLOOKUP(B362,Database!$F:$AY,MATCH($S$1,Database!$F$1:$AY$1,),))))-(((VLOOKUP(EDATE(B362,-12),Database!$F:$AY,MATCH($S$1,Database!$F$1:$AY$1,),)))))/(((VLOOKUP(EDATE(B362,-12),Database!$F:$AY,MATCH($S$1,Database!$F$1:$AY$1,),))))</f>
        <v>-0.18087327854787988</v>
      </c>
      <c r="T362" s="13">
        <f>((((VLOOKUP(B362,Database!$F:$AY,MATCH($T$1,Database!$F$1:$AY$1,),))))-(((VLOOKUP(EDATE(B362,-12),Database!$F:$AY,MATCH($T$1,Database!$F$1:$AY$1,),)))))/(((VLOOKUP(EDATE(B362,-12),Database!$F:$AY,MATCH($T$1,Database!$F$1:$AY$1,),))))</f>
        <v>7.2544170357669926E-2</v>
      </c>
      <c r="U362" s="13">
        <f>((((VLOOKUP(B362,Database!$F:$AY,MATCH($U$1,Database!$F$1:$AY$1,),))))-(((VLOOKUP(EDATE(B362,-12),Database!$F:$AY,MATCH($U$1,Database!$F$1:$AY$1,),)))))/(((VLOOKUP(EDATE(B362,-12),Database!$F:$AY,MATCH($U$1,Database!$F$1:$AY$1,),))))</f>
        <v>4.5454714145219122E-2</v>
      </c>
      <c r="V362" s="13">
        <f>((((VLOOKUP(B362,Database!$F:$AY,MATCH($V$1,Database!$F$1:$AY$1,),))))-(((VLOOKUP(EDATE(B362,-12),Database!$F:$AY,MATCH($V$1,Database!$F$1:$AY$1,),)))))/(((VLOOKUP(EDATE(B362,-12),Database!$F:$AY,MATCH($V$1,Database!$F$1:$AY$1,),))))</f>
        <v>3.9485766758494002E-2</v>
      </c>
    </row>
    <row r="363" spans="1:22" s="85" customFormat="1" x14ac:dyDescent="0.2">
      <c r="A363" s="44"/>
      <c r="B363" s="91">
        <v>43191</v>
      </c>
      <c r="C363" s="13">
        <f>((((VLOOKUP(B363,Database!$F:$AY,MATCH($C$1,Database!$F$1:$AY$1,),))))-(((VLOOKUP(EDATE(B363,-12),Database!$F:$AY,MATCH($C$1,Database!$F$1:$AY$1,),)))))/(((VLOOKUP(EDATE(B363,-12),Database!$F:$AY,MATCH($C$1,Database!$F$1:$AY$1,),))))</f>
        <v>3.7883545689001763E-2</v>
      </c>
      <c r="D363" s="13">
        <f>((((VLOOKUP(B363,Database!$F:$AY,MATCH($D$1,Database!$F$1:$AY$1,),))))-(((VLOOKUP(EDATE(B363,-12),Database!$F:$AY,MATCH($D$1,Database!$F$1:$AY$1,),)))))/(((VLOOKUP(EDATE(B363,-12),Database!$F:$AY,MATCH($D$1,Database!$F$1:$AY$1,),))))</f>
        <v>1.5444664022080926E-2</v>
      </c>
      <c r="E363" s="13">
        <f>((((VLOOKUP(B363,Database!$F:$AY,MATCH($E$1,Database!$F$1:$AY$1,),))))-(((VLOOKUP(EDATE(B363,-12),Database!$F:$AY,MATCH($E$1,Database!$F$1:$AY$1,),)))))/(((VLOOKUP(EDATE(B363,-12),Database!$F:$AY,MATCH($E$1,Database!$F$1:$AY$1,),))))</f>
        <v>4.8163913387815459E-3</v>
      </c>
      <c r="F363" s="13">
        <f>((((VLOOKUP(B363,Database!$F:$AY,MATCH($F$1,Database!$F$1:$AY$1,),))))-(((VLOOKUP(EDATE(B363,-12),Database!$F:$AY,MATCH($F$1,Database!$F$1:$AY$1,),)))))/(((VLOOKUP(EDATE(B363,-12),Database!$F:$AY,MATCH($F$1,Database!$F$1:$AY$1,),))))</f>
        <v>2.4131346810642659E-2</v>
      </c>
      <c r="G363" s="13">
        <f>((((VLOOKUP(B363,Database!$F:$AY,MATCH($G$1,Database!$F$1:$AY$1,),))))-(((VLOOKUP(EDATE(B363,-12),Database!$F:$AY,MATCH($G$1,Database!$F$1:$AY$1,),)))))/(((VLOOKUP(EDATE(B363,-12),Database!$F:$AY,MATCH($G$1,Database!$F$1:$AY$1,),))))</f>
        <v>1.4831798838846473E-2</v>
      </c>
      <c r="H363" s="13">
        <f>((((VLOOKUP(B363,Database!$F:$AY,MATCH($H$1,Database!$F$1:$AY$1,),))))-(((VLOOKUP(EDATE(B363,-12),Database!$F:$AY,MATCH($H$1,Database!$F$1:$AY$1,),)))))/(((VLOOKUP(EDATE(B363,-12),Database!$F:$AY,MATCH($H$1,Database!$F$1:$AY$1,),))))</f>
        <v>2.6557422531012655E-2</v>
      </c>
      <c r="I363" s="13">
        <f>((((VLOOKUP(B363,Database!$F:$AY,MATCH($I$1,Database!$F$1:$AY$1,),))))-(((VLOOKUP(EDATE(B363,-12),Database!$F:$AY,MATCH($I$1,Database!$F$1:$AY$1,),)))))/(((VLOOKUP(EDATE(B363,-12),Database!$F:$AY,MATCH($I$1,Database!$F$1:$AY$1,),))))</f>
        <v>2.3099143046626608E-2</v>
      </c>
      <c r="J363" s="13">
        <f>((((VLOOKUP(B363,Database!$F:$AY,MATCH($J$1,Database!$F$1:$AY$1,),))))-(((VLOOKUP(EDATE(B363,-12),Database!$F:$AY,MATCH($J$1,Database!$F$1:$AY$1,),)))))/(((VLOOKUP(EDATE(B363,-12),Database!$F:$AY,MATCH($J$1,Database!$F$1:$AY$1,),))))</f>
        <v>1.7544182389784849E-2</v>
      </c>
      <c r="K363" s="13">
        <f>((((VLOOKUP(B363,Database!$F:$AY,MATCH($K$1,Database!$F$1:$AY$1,),))))-(((VLOOKUP(EDATE(B363,-12),Database!$F:$AY,MATCH($K$1,Database!$F$1:$AY$1,),)))))/(((VLOOKUP(EDATE(B363,-12),Database!$F:$AY,MATCH($K$1,Database!$F$1:$AY$1,),))))</f>
        <v>1.2499999999999973E-2</v>
      </c>
      <c r="L363" s="13">
        <f>((((VLOOKUP(B363,Database!$F:$AY,MATCH($L$1,Database!$F$1:$AY$1,),))))-(((VLOOKUP(EDATE(B363,-12),Database!$F:$AY,MATCH($L$1,Database!$F$1:$AY$1,),)))))/(((VLOOKUP(EDATE(B363,-12),Database!$F:$AY,MATCH($L$1,Database!$F$1:$AY$1,),))))</f>
        <v>-1</v>
      </c>
      <c r="M363" s="13">
        <f>((((VLOOKUP(B363,Database!$F:$AY,MATCH($M$1,Database!$F$1:$AY$1,),))))-(((VLOOKUP(EDATE(B363,-12),Database!$F:$AY,MATCH($M$1,Database!$F$1:$AY$1,),)))))/(((VLOOKUP(EDATE(B363,-12),Database!$F:$AY,MATCH($M$1,Database!$F$1:$AY$1,),))))</f>
        <v>2.6641294005708957E-2</v>
      </c>
      <c r="N363" s="13">
        <f>((((VLOOKUP(B363,Database!$F:$AY,MATCH($N$1,Database!$F$1:$AY$1,),))))-(((VLOOKUP(EDATE(B363,-12),Database!$F:$AY,MATCH($N$1,Database!$F$1:$AY$1,),)))))/(((VLOOKUP(EDATE(B363,-12),Database!$F:$AY,MATCH($N$1,Database!$F$1:$AY$1,),))))</f>
        <v>4.2162121018032267E-2</v>
      </c>
      <c r="O363" s="13">
        <f>((((VLOOKUP(B363,Database!$F:$AY,MATCH($O$1,Database!$F$1:$AY$1,),))))-(((VLOOKUP(EDATE(B363,-12),Database!$F:$AY,MATCH($O$1,Database!$F$1:$AY$1,),)))))/(((VLOOKUP(EDATE(B363,-12),Database!$F:$AY,MATCH($O$1,Database!$F$1:$AY$1,),))))</f>
        <v>4.6668627089195287E-2</v>
      </c>
      <c r="P363" s="13">
        <f>((((VLOOKUP(B363,Database!$F:$AY,MATCH($P$1,Database!$F$1:$AY$1,),))))-(((VLOOKUP(EDATE(B363,-12),Database!$F:$AY,MATCH($P$1,Database!$F$1:$AY$1,),)))))/(((VLOOKUP(EDATE(B363,-12),Database!$F:$AY,MATCH($P$1,Database!$F$1:$AY$1,),))))</f>
        <v>2.5862308449075701E-2</v>
      </c>
      <c r="Q363" s="13">
        <f>((((VLOOKUP(B363,Database!$F:$AY,MATCH($Q$1,Database!$F$1:$AY$1,),))))-(((VLOOKUP(EDATE(B363,-12),Database!$F:$AY,MATCH($Q$1,Database!$F$1:$AY$1,),)))))/(((VLOOKUP(EDATE(B363,-12),Database!$F:$AY,MATCH($Q$1,Database!$F$1:$AY$1,),))))</f>
        <v>4.6620007879968617E-2</v>
      </c>
      <c r="R363" s="13">
        <f>((((VLOOKUP(B363,Database!$F:$AY,MATCH($R$1,Database!$F$1:$AY$1,),))))-(((VLOOKUP(EDATE(B363,-12),Database!$F:$AY,MATCH($R$1,Database!$F$1:$AY$1,),)))))/(((VLOOKUP(EDATE(B363,-12),Database!$F:$AY,MATCH($R$1,Database!$F$1:$AY$1,),))))</f>
        <v>3.188352805297763E-2</v>
      </c>
      <c r="S363" s="13">
        <f>((((VLOOKUP(B363,Database!$F:$AY,MATCH($S$1,Database!$F$1:$AY$1,),))))-(((VLOOKUP(EDATE(B363,-12),Database!$F:$AY,MATCH($S$1,Database!$F$1:$AY$1,),)))))/(((VLOOKUP(EDATE(B363,-12),Database!$F:$AY,MATCH($S$1,Database!$F$1:$AY$1,),))))</f>
        <v>-0.10394644529283878</v>
      </c>
      <c r="T363" s="13">
        <f>((((VLOOKUP(B363,Database!$F:$AY,MATCH($T$1,Database!$F$1:$AY$1,),))))-(((VLOOKUP(EDATE(B363,-12),Database!$F:$AY,MATCH($T$1,Database!$F$1:$AY$1,),)))))/(((VLOOKUP(EDATE(B363,-12),Database!$F:$AY,MATCH($T$1,Database!$F$1:$AY$1,),))))</f>
        <v>5.5406749622622799E-2</v>
      </c>
      <c r="U363" s="13">
        <f>((((VLOOKUP(B363,Database!$F:$AY,MATCH($U$1,Database!$F$1:$AY$1,),))))-(((VLOOKUP(EDATE(B363,-12),Database!$F:$AY,MATCH($U$1,Database!$F$1:$AY$1,),)))))/(((VLOOKUP(EDATE(B363,-12),Database!$F:$AY,MATCH($U$1,Database!$F$1:$AY$1,),))))</f>
        <v>9.0676957896882642E-4</v>
      </c>
      <c r="V363" s="13">
        <f>((((VLOOKUP(B363,Database!$F:$AY,MATCH($V$1,Database!$F$1:$AY$1,),))))-(((VLOOKUP(EDATE(B363,-12),Database!$F:$AY,MATCH($V$1,Database!$F$1:$AY$1,),)))))/(((VLOOKUP(EDATE(B363,-12),Database!$F:$AY,MATCH($V$1,Database!$F$1:$AY$1,),))))</f>
        <v>6.6914498141263976E-2</v>
      </c>
    </row>
    <row r="364" spans="1:22" s="85" customFormat="1" x14ac:dyDescent="0.2">
      <c r="A364" s="44"/>
      <c r="B364" s="91">
        <v>43221</v>
      </c>
      <c r="C364" s="13">
        <f>((((VLOOKUP(B364,Database!$F:$AY,MATCH($C$1,Database!$F$1:$AY$1,),))))-(((VLOOKUP(EDATE(B364,-12),Database!$F:$AY,MATCH($C$1,Database!$F$1:$AY$1,),)))))/(((VLOOKUP(EDATE(B364,-12),Database!$F:$AY,MATCH($C$1,Database!$F$1:$AY$1,),))))</f>
        <v>2.8262152805475369E-2</v>
      </c>
      <c r="D364" s="13">
        <f>((((VLOOKUP(B364,Database!$F:$AY,MATCH($D$1,Database!$F$1:$AY$1,),))))-(((VLOOKUP(EDATE(B364,-12),Database!$F:$AY,MATCH($D$1,Database!$F$1:$AY$1,),)))))/(((VLOOKUP(EDATE(B364,-12),Database!$F:$AY,MATCH($D$1,Database!$F$1:$AY$1,),))))</f>
        <v>2.312138728323692E-2</v>
      </c>
      <c r="E364" s="13">
        <f>((((VLOOKUP(B364,Database!$F:$AY,MATCH($E$1,Database!$F$1:$AY$1,),))))-(((VLOOKUP(EDATE(B364,-12),Database!$F:$AY,MATCH($E$1,Database!$F$1:$AY$1,),)))))/(((VLOOKUP(EDATE(B364,-12),Database!$F:$AY,MATCH($E$1,Database!$F$1:$AY$1,),))))</f>
        <v>2.3483362119158628E-2</v>
      </c>
      <c r="F364" s="13">
        <f>((((VLOOKUP(B364,Database!$F:$AY,MATCH($F$1,Database!$F$1:$AY$1,),))))-(((VLOOKUP(EDATE(B364,-12),Database!$F:$AY,MATCH($F$1,Database!$F$1:$AY$1,),)))))/(((VLOOKUP(EDATE(B364,-12),Database!$F:$AY,MATCH($F$1,Database!$F$1:$AY$1,),))))</f>
        <v>3.653863352030412E-2</v>
      </c>
      <c r="G364" s="13">
        <f>((((VLOOKUP(B364,Database!$F:$AY,MATCH($G$1,Database!$F$1:$AY$1,),))))-(((VLOOKUP(EDATE(B364,-12),Database!$F:$AY,MATCH($G$1,Database!$F$1:$AY$1,),)))))/(((VLOOKUP(EDATE(B364,-12),Database!$F:$AY,MATCH($G$1,Database!$F$1:$AY$1,),))))</f>
        <v>-1.5394386146310978E-2</v>
      </c>
      <c r="H364" s="13">
        <f>((((VLOOKUP(B364,Database!$F:$AY,MATCH($H$1,Database!$F$1:$AY$1,),))))-(((VLOOKUP(EDATE(B364,-12),Database!$F:$AY,MATCH($H$1,Database!$F$1:$AY$1,),)))))/(((VLOOKUP(EDATE(B364,-12),Database!$F:$AY,MATCH($H$1,Database!$F$1:$AY$1,),))))</f>
        <v>1.1179194033064801E-2</v>
      </c>
      <c r="I364" s="13">
        <f>((((VLOOKUP(B364,Database!$F:$AY,MATCH($I$1,Database!$F$1:$AY$1,),))))-(((VLOOKUP(EDATE(B364,-12),Database!$F:$AY,MATCH($I$1,Database!$F$1:$AY$1,),)))))/(((VLOOKUP(EDATE(B364,-12),Database!$F:$AY,MATCH($I$1,Database!$F$1:$AY$1,),))))</f>
        <v>2.0114703045177155E-2</v>
      </c>
      <c r="J364" s="13">
        <f>((((VLOOKUP(B364,Database!$F:$AY,MATCH($J$1,Database!$F$1:$AY$1,),))))-(((VLOOKUP(EDATE(B364,-12),Database!$F:$AY,MATCH($J$1,Database!$F$1:$AY$1,),)))))/(((VLOOKUP(EDATE(B364,-12),Database!$F:$AY,MATCH($J$1,Database!$F$1:$AY$1,),))))</f>
        <v>9.6454025332074513E-3</v>
      </c>
      <c r="K364" s="13">
        <f>((((VLOOKUP(B364,Database!$F:$AY,MATCH($K$1,Database!$F$1:$AY$1,),))))-(((VLOOKUP(EDATE(B364,-12),Database!$F:$AY,MATCH($K$1,Database!$F$1:$AY$1,),)))))/(((VLOOKUP(EDATE(B364,-12),Database!$F:$AY,MATCH($K$1,Database!$F$1:$AY$1,),))))</f>
        <v>3.9735099337748367E-2</v>
      </c>
      <c r="L364" s="13">
        <f>((((VLOOKUP(B364,Database!$F:$AY,MATCH($L$1,Database!$F$1:$AY$1,),))))-(((VLOOKUP(EDATE(B364,-12),Database!$F:$AY,MATCH($L$1,Database!$F$1:$AY$1,),)))))/(((VLOOKUP(EDATE(B364,-12),Database!$F:$AY,MATCH($L$1,Database!$F$1:$AY$1,),))))</f>
        <v>-1</v>
      </c>
      <c r="M364" s="13">
        <f>((((VLOOKUP(B364,Database!$F:$AY,MATCH($M$1,Database!$F$1:$AY$1,),))))-(((VLOOKUP(EDATE(B364,-12),Database!$F:$AY,MATCH($M$1,Database!$F$1:$AY$1,),)))))/(((VLOOKUP(EDATE(B364,-12),Database!$F:$AY,MATCH($M$1,Database!$F$1:$AY$1,),))))</f>
        <v>3.6654135338345779E-2</v>
      </c>
      <c r="N364" s="13">
        <f>((((VLOOKUP(B364,Database!$F:$AY,MATCH($N$1,Database!$F$1:$AY$1,),))))-(((VLOOKUP(EDATE(B364,-12),Database!$F:$AY,MATCH($N$1,Database!$F$1:$AY$1,),)))))/(((VLOOKUP(EDATE(B364,-12),Database!$F:$AY,MATCH($N$1,Database!$F$1:$AY$1,),))))</f>
        <v>3.7407073717282371E-2</v>
      </c>
      <c r="O364" s="13">
        <f>((((VLOOKUP(B364,Database!$F:$AY,MATCH($O$1,Database!$F$1:$AY$1,),))))-(((VLOOKUP(EDATE(B364,-12),Database!$F:$AY,MATCH($O$1,Database!$F$1:$AY$1,),)))))/(((VLOOKUP(EDATE(B364,-12),Database!$F:$AY,MATCH($O$1,Database!$F$1:$AY$1,),))))</f>
        <v>3.5961180600169035E-2</v>
      </c>
      <c r="P364" s="13">
        <f>((((VLOOKUP(B364,Database!$F:$AY,MATCH($P$1,Database!$F$1:$AY$1,),))))-(((VLOOKUP(EDATE(B364,-12),Database!$F:$AY,MATCH($P$1,Database!$F$1:$AY$1,),)))))/(((VLOOKUP(EDATE(B364,-12),Database!$F:$AY,MATCH($P$1,Database!$F$1:$AY$1,),))))</f>
        <v>2.1863045577957138E-2</v>
      </c>
      <c r="Q364" s="13">
        <f>((((VLOOKUP(B364,Database!$F:$AY,MATCH($Q$1,Database!$F$1:$AY$1,),))))-(((VLOOKUP(EDATE(B364,-12),Database!$F:$AY,MATCH($Q$1,Database!$F$1:$AY$1,),)))))/(((VLOOKUP(EDATE(B364,-12),Database!$F:$AY,MATCH($Q$1,Database!$F$1:$AY$1,),))))</f>
        <v>-6.9605561355922427E-2</v>
      </c>
      <c r="R364" s="13">
        <f>((((VLOOKUP(B364,Database!$F:$AY,MATCH($R$1,Database!$F$1:$AY$1,),))))-(((VLOOKUP(EDATE(B364,-12),Database!$F:$AY,MATCH($R$1,Database!$F$1:$AY$1,),)))))/(((VLOOKUP(EDATE(B364,-12),Database!$F:$AY,MATCH($R$1,Database!$F$1:$AY$1,),))))</f>
        <v>1.2127002449682418E-2</v>
      </c>
      <c r="S364" s="13">
        <f>((((VLOOKUP(B364,Database!$F:$AY,MATCH($S$1,Database!$F$1:$AY$1,),))))-(((VLOOKUP(EDATE(B364,-12),Database!$F:$AY,MATCH($S$1,Database!$F$1:$AY$1,),)))))/(((VLOOKUP(EDATE(B364,-12),Database!$F:$AY,MATCH($S$1,Database!$F$1:$AY$1,),))))</f>
        <v>4.2194163144632403E-2</v>
      </c>
      <c r="T364" s="13">
        <f>((((VLOOKUP(B364,Database!$F:$AY,MATCH($T$1,Database!$F$1:$AY$1,),))))-(((VLOOKUP(EDATE(B364,-12),Database!$F:$AY,MATCH($T$1,Database!$F$1:$AY$1,),)))))/(((VLOOKUP(EDATE(B364,-12),Database!$F:$AY,MATCH($T$1,Database!$F$1:$AY$1,),))))</f>
        <v>5.4298638438675551E-2</v>
      </c>
      <c r="U364" s="13">
        <f>((((VLOOKUP(B364,Database!$F:$AY,MATCH($U$1,Database!$F$1:$AY$1,),))))-(((VLOOKUP(EDATE(B364,-12),Database!$F:$AY,MATCH($U$1,Database!$F$1:$AY$1,),)))))/(((VLOOKUP(EDATE(B364,-12),Database!$F:$AY,MATCH($U$1,Database!$F$1:$AY$1,),))))</f>
        <v>6.2214785924415541E-3</v>
      </c>
      <c r="V364" s="13">
        <f>((((VLOOKUP(B364,Database!$F:$AY,MATCH($V$1,Database!$F$1:$AY$1,),))))-(((VLOOKUP(EDATE(B364,-12),Database!$F:$AY,MATCH($V$1,Database!$F$1:$AY$1,),)))))/(((VLOOKUP(EDATE(B364,-12),Database!$F:$AY,MATCH($V$1,Database!$F$1:$AY$1,),))))</f>
        <v>7.472324723247227E-2</v>
      </c>
    </row>
    <row r="365" spans="1:22" s="85" customFormat="1" x14ac:dyDescent="0.2">
      <c r="A365" s="44"/>
      <c r="B365" s="91">
        <v>43252</v>
      </c>
      <c r="C365" s="13">
        <f>((((VLOOKUP(B365,Database!$F:$AY,MATCH($C$1,Database!$F$1:$AY$1,),))))-(((VLOOKUP(EDATE(B365,-12),Database!$F:$AY,MATCH($C$1,Database!$F$1:$AY$1,),)))))/(((VLOOKUP(EDATE(B365,-12),Database!$F:$AY,MATCH($C$1,Database!$F$1:$AY$1,),))))</f>
        <v>3.4286066967432069E-2</v>
      </c>
      <c r="D365" s="13">
        <f>((((VLOOKUP(B365,Database!$F:$AY,MATCH($D$1,Database!$F$1:$AY$1,),))))-(((VLOOKUP(EDATE(B365,-12),Database!$F:$AY,MATCH($D$1,Database!$F$1:$AY$1,),)))))/(((VLOOKUP(EDATE(B365,-12),Database!$F:$AY,MATCH($D$1,Database!$F$1:$AY$1,),))))</f>
        <v>2.7078972517672134E-2</v>
      </c>
      <c r="E365" s="13">
        <f>((((VLOOKUP(B365,Database!$F:$AY,MATCH($E$1,Database!$F$1:$AY$1,),))))-(((VLOOKUP(EDATE(B365,-12),Database!$F:$AY,MATCH($E$1,Database!$F$1:$AY$1,),)))))/(((VLOOKUP(EDATE(B365,-12),Database!$F:$AY,MATCH($E$1,Database!$F$1:$AY$1,),))))</f>
        <v>5.8257291385493768E-3</v>
      </c>
      <c r="F365" s="13">
        <f>((((VLOOKUP(B365,Database!$F:$AY,MATCH($F$1,Database!$F$1:$AY$1,),))))-(((VLOOKUP(EDATE(B365,-12),Database!$F:$AY,MATCH($F$1,Database!$F$1:$AY$1,),)))))/(((VLOOKUP(EDATE(B365,-12),Database!$F:$AY,MATCH($F$1,Database!$F$1:$AY$1,),))))</f>
        <v>3.4648714569939912E-2</v>
      </c>
      <c r="G365" s="13">
        <f>((((VLOOKUP(B365,Database!$F:$AY,MATCH($G$1,Database!$F$1:$AY$1,),))))-(((VLOOKUP(EDATE(B365,-12),Database!$F:$AY,MATCH($G$1,Database!$F$1:$AY$1,),)))))/(((VLOOKUP(EDATE(B365,-12),Database!$F:$AY,MATCH($G$1,Database!$F$1:$AY$1,),))))</f>
        <v>1.3020945504097879E-2</v>
      </c>
      <c r="H365" s="13">
        <f>((((VLOOKUP(B365,Database!$F:$AY,MATCH($H$1,Database!$F$1:$AY$1,),))))-(((VLOOKUP(EDATE(B365,-12),Database!$F:$AY,MATCH($H$1,Database!$F$1:$AY$1,),)))))/(((VLOOKUP(EDATE(B365,-12),Database!$F:$AY,MATCH($H$1,Database!$F$1:$AY$1,),))))</f>
        <v>1.5196951436698865E-2</v>
      </c>
      <c r="I365" s="13">
        <f>((((VLOOKUP(B365,Database!$F:$AY,MATCH($I$1,Database!$F$1:$AY$1,),))))-(((VLOOKUP(EDATE(B365,-12),Database!$F:$AY,MATCH($I$1,Database!$F$1:$AY$1,),)))))/(((VLOOKUP(EDATE(B365,-12),Database!$F:$AY,MATCH($I$1,Database!$F$1:$AY$1,),))))</f>
        <v>1.1352884629940805E-2</v>
      </c>
      <c r="J365" s="13">
        <f>((((VLOOKUP(B365,Database!$F:$AY,MATCH($J$1,Database!$F$1:$AY$1,),))))-(((VLOOKUP(EDATE(B365,-12),Database!$F:$AY,MATCH($J$1,Database!$F$1:$AY$1,),)))))/(((VLOOKUP(EDATE(B365,-12),Database!$F:$AY,MATCH($J$1,Database!$F$1:$AY$1,),))))</f>
        <v>3.2046666049895373E-3</v>
      </c>
      <c r="K365" s="13">
        <f>((((VLOOKUP(B365,Database!$F:$AY,MATCH($K$1,Database!$F$1:$AY$1,),))))-(((VLOOKUP(EDATE(B365,-12),Database!$F:$AY,MATCH($K$1,Database!$F$1:$AY$1,),)))))/(((VLOOKUP(EDATE(B365,-12),Database!$F:$AY,MATCH($K$1,Database!$F$1:$AY$1,),))))</f>
        <v>3.2956685499058377E-2</v>
      </c>
      <c r="L365" s="13">
        <f>((((VLOOKUP(B365,Database!$F:$AY,MATCH($L$1,Database!$F$1:$AY$1,),))))-(((VLOOKUP(EDATE(B365,-12),Database!$F:$AY,MATCH($L$1,Database!$F$1:$AY$1,),)))))/(((VLOOKUP(EDATE(B365,-12),Database!$F:$AY,MATCH($L$1,Database!$F$1:$AY$1,),))))</f>
        <v>-1</v>
      </c>
      <c r="M365" s="13">
        <f>((((VLOOKUP(B365,Database!$F:$AY,MATCH($M$1,Database!$F$1:$AY$1,),))))-(((VLOOKUP(EDATE(B365,-12),Database!$F:$AY,MATCH($M$1,Database!$F$1:$AY$1,),)))))/(((VLOOKUP(EDATE(B365,-12),Database!$F:$AY,MATCH($M$1,Database!$F$1:$AY$1,),))))</f>
        <v>2.8116213683223992E-2</v>
      </c>
      <c r="N365" s="13">
        <f>((((VLOOKUP(B365,Database!$F:$AY,MATCH($N$1,Database!$F$1:$AY$1,),))))-(((VLOOKUP(EDATE(B365,-12),Database!$F:$AY,MATCH($N$1,Database!$F$1:$AY$1,),)))))/(((VLOOKUP(EDATE(B365,-12),Database!$F:$AY,MATCH($N$1,Database!$F$1:$AY$1,),))))</f>
        <v>7.3973811535786693E-2</v>
      </c>
      <c r="O365" s="13">
        <f>((((VLOOKUP(B365,Database!$F:$AY,MATCH($O$1,Database!$F$1:$AY$1,),))))-(((VLOOKUP(EDATE(B365,-12),Database!$F:$AY,MATCH($O$1,Database!$F$1:$AY$1,),)))))/(((VLOOKUP(EDATE(B365,-12),Database!$F:$AY,MATCH($O$1,Database!$F$1:$AY$1,),))))</f>
        <v>4.4205034059616399E-2</v>
      </c>
      <c r="P365" s="13">
        <f>((((VLOOKUP(B365,Database!$F:$AY,MATCH($P$1,Database!$F$1:$AY$1,),))))-(((VLOOKUP(EDATE(B365,-12),Database!$F:$AY,MATCH($P$1,Database!$F$1:$AY$1,),)))))/(((VLOOKUP(EDATE(B365,-12),Database!$F:$AY,MATCH($P$1,Database!$F$1:$AY$1,),))))</f>
        <v>3.6573803581243104E-2</v>
      </c>
      <c r="Q365" s="13">
        <f>((((VLOOKUP(B365,Database!$F:$AY,MATCH($Q$1,Database!$F$1:$AY$1,),))))-(((VLOOKUP(EDATE(B365,-12),Database!$F:$AY,MATCH($Q$1,Database!$F$1:$AY$1,),)))))/(((VLOOKUP(EDATE(B365,-12),Database!$F:$AY,MATCH($Q$1,Database!$F$1:$AY$1,),))))</f>
        <v>3.9125508865628142E-2</v>
      </c>
      <c r="R365" s="13">
        <f>((((VLOOKUP(B365,Database!$F:$AY,MATCH($R$1,Database!$F$1:$AY$1,),))))-(((VLOOKUP(EDATE(B365,-12),Database!$F:$AY,MATCH($R$1,Database!$F$1:$AY$1,),)))))/(((VLOOKUP(EDATE(B365,-12),Database!$F:$AY,MATCH($R$1,Database!$F$1:$AY$1,),))))</f>
        <v>1.4967867130443823E-2</v>
      </c>
      <c r="S365" s="13">
        <f>((((VLOOKUP(B365,Database!$F:$AY,MATCH($S$1,Database!$F$1:$AY$1,),))))-(((VLOOKUP(EDATE(B365,-12),Database!$F:$AY,MATCH($S$1,Database!$F$1:$AY$1,),)))))/(((VLOOKUP(EDATE(B365,-12),Database!$F:$AY,MATCH($S$1,Database!$F$1:$AY$1,),))))</f>
        <v>0.13364595284027334</v>
      </c>
      <c r="T365" s="13">
        <f>((((VLOOKUP(B365,Database!$F:$AY,MATCH($T$1,Database!$F$1:$AY$1,),))))-(((VLOOKUP(EDATE(B365,-12),Database!$F:$AY,MATCH($T$1,Database!$F$1:$AY$1,),)))))/(((VLOOKUP(EDATE(B365,-12),Database!$F:$AY,MATCH($T$1,Database!$F$1:$AY$1,),))))</f>
        <v>2.338145186602825E-2</v>
      </c>
      <c r="U365" s="13">
        <f>((((VLOOKUP(B365,Database!$F:$AY,MATCH($U$1,Database!$F$1:$AY$1,),))))-(((VLOOKUP(EDATE(B365,-12),Database!$F:$AY,MATCH($U$1,Database!$F$1:$AY$1,),)))))/(((VLOOKUP(EDATE(B365,-12),Database!$F:$AY,MATCH($U$1,Database!$F$1:$AY$1,),))))</f>
        <v>6.6543417574088035E-2</v>
      </c>
      <c r="V365" s="13">
        <f>((((VLOOKUP(B365,Database!$F:$AY,MATCH($V$1,Database!$F$1:$AY$1,),))))-(((VLOOKUP(EDATE(B365,-12),Database!$F:$AY,MATCH($V$1,Database!$F$1:$AY$1,),)))))/(((VLOOKUP(EDATE(B365,-12),Database!$F:$AY,MATCH($V$1,Database!$F$1:$AY$1,),))))</f>
        <v>6.7333939945404833E-2</v>
      </c>
    </row>
    <row r="366" spans="1:22" s="85" customFormat="1" x14ac:dyDescent="0.2">
      <c r="A366" s="44"/>
      <c r="B366" s="91">
        <v>43282</v>
      </c>
      <c r="C366" s="13">
        <f>((((VLOOKUP(B366,Database!$F:$AY,MATCH($C$1,Database!$F$1:$AY$1,),))))-(((VLOOKUP(EDATE(B366,-12),Database!$F:$AY,MATCH($C$1,Database!$F$1:$AY$1,),)))))/(((VLOOKUP(EDATE(B366,-12),Database!$F:$AY,MATCH($C$1,Database!$F$1:$AY$1,),))))</f>
        <v>3.93071504755797E-2</v>
      </c>
      <c r="D366" s="13">
        <f>((((VLOOKUP(B366,Database!$F:$AY,MATCH($D$1,Database!$F$1:$AY$1,),))))-(((VLOOKUP(EDATE(B366,-12),Database!$F:$AY,MATCH($D$1,Database!$F$1:$AY$1,),)))))/(((VLOOKUP(EDATE(B366,-12),Database!$F:$AY,MATCH($D$1,Database!$F$1:$AY$1,),))))</f>
        <v>0</v>
      </c>
      <c r="E366" s="13">
        <f>((((VLOOKUP(B366,Database!$F:$AY,MATCH($E$1,Database!$F$1:$AY$1,),))))-(((VLOOKUP(EDATE(B366,-12),Database!$F:$AY,MATCH($E$1,Database!$F$1:$AY$1,),)))))/(((VLOOKUP(EDATE(B366,-12),Database!$F:$AY,MATCH($E$1,Database!$F$1:$AY$1,),))))</f>
        <v>1.2683002980734928E-2</v>
      </c>
      <c r="F366" s="13">
        <f>((((VLOOKUP(B366,Database!$F:$AY,MATCH($F$1,Database!$F$1:$AY$1,),))))-(((VLOOKUP(EDATE(B366,-12),Database!$F:$AY,MATCH($F$1,Database!$F$1:$AY$1,),)))))/(((VLOOKUP(EDATE(B366,-12),Database!$F:$AY,MATCH($F$1,Database!$F$1:$AY$1,),))))</f>
        <v>7.6405584800265927E-3</v>
      </c>
      <c r="G366" s="13">
        <f>((((VLOOKUP(B366,Database!$F:$AY,MATCH($G$1,Database!$F$1:$AY$1,),))))-(((VLOOKUP(EDATE(B366,-12),Database!$F:$AY,MATCH($G$1,Database!$F$1:$AY$1,),)))))/(((VLOOKUP(EDATE(B366,-12),Database!$F:$AY,MATCH($G$1,Database!$F$1:$AY$1,),))))</f>
        <v>6.9119332093078795E-3</v>
      </c>
      <c r="H366" s="13">
        <f>((((VLOOKUP(B366,Database!$F:$AY,MATCH($H$1,Database!$F$1:$AY$1,),))))-(((VLOOKUP(EDATE(B366,-12),Database!$F:$AY,MATCH($H$1,Database!$F$1:$AY$1,),)))))/(((VLOOKUP(EDATE(B366,-12),Database!$F:$AY,MATCH($H$1,Database!$F$1:$AY$1,),))))</f>
        <v>1.8218278134849254E-2</v>
      </c>
      <c r="I366" s="13">
        <f>((((VLOOKUP(B366,Database!$F:$AY,MATCH($I$1,Database!$F$1:$AY$1,),))))-(((VLOOKUP(EDATE(B366,-12),Database!$F:$AY,MATCH($I$1,Database!$F$1:$AY$1,),)))))/(((VLOOKUP(EDATE(B366,-12),Database!$F:$AY,MATCH($I$1,Database!$F$1:$AY$1,),))))</f>
        <v>-4.6942890063112943E-3</v>
      </c>
      <c r="J366" s="13">
        <f>((((VLOOKUP(B366,Database!$F:$AY,MATCH($J$1,Database!$F$1:$AY$1,),))))-(((VLOOKUP(EDATE(B366,-12),Database!$F:$AY,MATCH($J$1,Database!$F$1:$AY$1,),)))))/(((VLOOKUP(EDATE(B366,-12),Database!$F:$AY,MATCH($J$1,Database!$F$1:$AY$1,),))))</f>
        <v>1.0362833120112205E-2</v>
      </c>
      <c r="K366" s="13">
        <f>((((VLOOKUP(B366,Database!$F:$AY,MATCH($K$1,Database!$F$1:$AY$1,),))))-(((VLOOKUP(EDATE(B366,-12),Database!$F:$AY,MATCH($K$1,Database!$F$1:$AY$1,),)))))/(((VLOOKUP(EDATE(B366,-12),Database!$F:$AY,MATCH($K$1,Database!$F$1:$AY$1,),))))</f>
        <v>-9.3984962406023045E-4</v>
      </c>
      <c r="L366" s="13">
        <f>((((VLOOKUP(B366,Database!$F:$AY,MATCH($L$1,Database!$F$1:$AY$1,),))))-(((VLOOKUP(EDATE(B366,-12),Database!$F:$AY,MATCH($L$1,Database!$F$1:$AY$1,),)))))/(((VLOOKUP(EDATE(B366,-12),Database!$F:$AY,MATCH($L$1,Database!$F$1:$AY$1,),))))</f>
        <v>-1</v>
      </c>
      <c r="M366" s="13">
        <f>((((VLOOKUP(B366,Database!$F:$AY,MATCH($M$1,Database!$F$1:$AY$1,),))))-(((VLOOKUP(EDATE(B366,-12),Database!$F:$AY,MATCH($M$1,Database!$F$1:$AY$1,),)))))/(((VLOOKUP(EDATE(B366,-12),Database!$F:$AY,MATCH($M$1,Database!$F$1:$AY$1,),))))</f>
        <v>2.9162746942615322E-2</v>
      </c>
      <c r="N366" s="13">
        <f>((((VLOOKUP(B366,Database!$F:$AY,MATCH($N$1,Database!$F$1:$AY$1,),))))-(((VLOOKUP(EDATE(B366,-12),Database!$F:$AY,MATCH($N$1,Database!$F$1:$AY$1,),)))))/(((VLOOKUP(EDATE(B366,-12),Database!$F:$AY,MATCH($N$1,Database!$F$1:$AY$1,),))))</f>
        <v>6.3176837574033431E-2</v>
      </c>
      <c r="O366" s="13">
        <f>((((VLOOKUP(B366,Database!$F:$AY,MATCH($O$1,Database!$F$1:$AY$1,),))))-(((VLOOKUP(EDATE(B366,-12),Database!$F:$AY,MATCH($O$1,Database!$F$1:$AY$1,),)))))/(((VLOOKUP(EDATE(B366,-12),Database!$F:$AY,MATCH($O$1,Database!$F$1:$AY$1,),))))</f>
        <v>4.9230815696852892E-2</v>
      </c>
      <c r="P366" s="13">
        <f>((((VLOOKUP(B366,Database!$F:$AY,MATCH($P$1,Database!$F$1:$AY$1,),))))-(((VLOOKUP(EDATE(B366,-12),Database!$F:$AY,MATCH($P$1,Database!$F$1:$AY$1,),)))))/(((VLOOKUP(EDATE(B366,-12),Database!$F:$AY,MATCH($P$1,Database!$F$1:$AY$1,),))))</f>
        <v>3.0592410649834093E-2</v>
      </c>
      <c r="Q366" s="13">
        <f>((((VLOOKUP(B366,Database!$F:$AY,MATCH($Q$1,Database!$F$1:$AY$1,),))))-(((VLOOKUP(EDATE(B366,-12),Database!$F:$AY,MATCH($Q$1,Database!$F$1:$AY$1,),)))))/(((VLOOKUP(EDATE(B366,-12),Database!$F:$AY,MATCH($Q$1,Database!$F$1:$AY$1,),))))</f>
        <v>2.8702683143775665E-2</v>
      </c>
      <c r="R366" s="13">
        <f>((((VLOOKUP(B366,Database!$F:$AY,MATCH($R$1,Database!$F$1:$AY$1,),))))-(((VLOOKUP(EDATE(B366,-12),Database!$F:$AY,MATCH($R$1,Database!$F$1:$AY$1,),)))))/(((VLOOKUP(EDATE(B366,-12),Database!$F:$AY,MATCH($R$1,Database!$F$1:$AY$1,),))))</f>
        <v>3.5004849550279868E-2</v>
      </c>
      <c r="S366" s="13">
        <f>((((VLOOKUP(B366,Database!$F:$AY,MATCH($S$1,Database!$F$1:$AY$1,),))))-(((VLOOKUP(EDATE(B366,-12),Database!$F:$AY,MATCH($S$1,Database!$F$1:$AY$1,),)))))/(((VLOOKUP(EDATE(B366,-12),Database!$F:$AY,MATCH($S$1,Database!$F$1:$AY$1,),))))</f>
        <v>-0.10526359388979092</v>
      </c>
      <c r="T366" s="13">
        <f>((((VLOOKUP(B366,Database!$F:$AY,MATCH($T$1,Database!$F$1:$AY$1,),))))-(((VLOOKUP(EDATE(B366,-12),Database!$F:$AY,MATCH($T$1,Database!$F$1:$AY$1,),)))))/(((VLOOKUP(EDATE(B366,-12),Database!$F:$AY,MATCH($T$1,Database!$F$1:$AY$1,),))))</f>
        <v>4.1441272609982177E-2</v>
      </c>
      <c r="U366" s="13">
        <f>((((VLOOKUP(B366,Database!$F:$AY,MATCH($U$1,Database!$F$1:$AY$1,),))))-(((VLOOKUP(EDATE(B366,-12),Database!$F:$AY,MATCH($U$1,Database!$F$1:$AY$1,),)))))/(((VLOOKUP(EDATE(B366,-12),Database!$F:$AY,MATCH($U$1,Database!$F$1:$AY$1,),))))</f>
        <v>7.0501567979811081E-2</v>
      </c>
      <c r="V366" s="13">
        <f>((((VLOOKUP(B366,Database!$F:$AY,MATCH($V$1,Database!$F$1:$AY$1,),))))-(((VLOOKUP(EDATE(B366,-12),Database!$F:$AY,MATCH($V$1,Database!$F$1:$AY$1,),)))))/(((VLOOKUP(EDATE(B366,-12),Database!$F:$AY,MATCH($V$1,Database!$F$1:$AY$1,),))))</f>
        <v>7.8341013824884786E-2</v>
      </c>
    </row>
    <row r="367" spans="1:22" s="85" customFormat="1" x14ac:dyDescent="0.2">
      <c r="A367" s="44"/>
      <c r="B367" s="91">
        <v>43313</v>
      </c>
      <c r="C367" s="13">
        <f>((((VLOOKUP(B367,Database!$F:$AY,MATCH($C$1,Database!$F$1:$AY$1,),))))-(((VLOOKUP(EDATE(B367,-12),Database!$F:$AY,MATCH($C$1,Database!$F$1:$AY$1,),)))))/(((VLOOKUP(EDATE(B367,-12),Database!$F:$AY,MATCH($C$1,Database!$F$1:$AY$1,),))))</f>
        <v>5.2640215828497115E-2</v>
      </c>
      <c r="D367" s="13">
        <f>((((VLOOKUP(B367,Database!$F:$AY,MATCH($D$1,Database!$F$1:$AY$1,),))))-(((VLOOKUP(EDATE(B367,-12),Database!$F:$AY,MATCH($D$1,Database!$F$1:$AY$1,),)))))/(((VLOOKUP(EDATE(B367,-12),Database!$F:$AY,MATCH($D$1,Database!$F$1:$AY$1,),))))</f>
        <v>3.7839791677706258E-3</v>
      </c>
      <c r="E367" s="13">
        <f>((((VLOOKUP(B367,Database!$F:$AY,MATCH($E$1,Database!$F$1:$AY$1,),))))-(((VLOOKUP(EDATE(B367,-12),Database!$F:$AY,MATCH($E$1,Database!$F$1:$AY$1,),)))))/(((VLOOKUP(EDATE(B367,-12),Database!$F:$AY,MATCH($E$1,Database!$F$1:$AY$1,),))))</f>
        <v>-1.926941923897383E-3</v>
      </c>
      <c r="F367" s="13">
        <f>((((VLOOKUP(B367,Database!$F:$AY,MATCH($F$1,Database!$F$1:$AY$1,),))))-(((VLOOKUP(EDATE(B367,-12),Database!$F:$AY,MATCH($F$1,Database!$F$1:$AY$1,),)))))/(((VLOOKUP(EDATE(B367,-12),Database!$F:$AY,MATCH($F$1,Database!$F$1:$AY$1,),))))</f>
        <v>-1.1235955056179771E-2</v>
      </c>
      <c r="G367" s="13">
        <f>((((VLOOKUP(B367,Database!$F:$AY,MATCH($G$1,Database!$F$1:$AY$1,),))))-(((VLOOKUP(EDATE(B367,-12),Database!$F:$AY,MATCH($G$1,Database!$F$1:$AY$1,),)))))/(((VLOOKUP(EDATE(B367,-12),Database!$F:$AY,MATCH($G$1,Database!$F$1:$AY$1,),))))</f>
        <v>1.1950925419423943E-2</v>
      </c>
      <c r="H367" s="13">
        <f>((((VLOOKUP(B367,Database!$F:$AY,MATCH($H$1,Database!$F$1:$AY$1,),))))-(((VLOOKUP(EDATE(B367,-12),Database!$F:$AY,MATCH($H$1,Database!$F$1:$AY$1,),)))))/(((VLOOKUP(EDATE(B367,-12),Database!$F:$AY,MATCH($H$1,Database!$F$1:$AY$1,),))))</f>
        <v>1.5196951436698865E-2</v>
      </c>
      <c r="I367" s="13">
        <f>((((VLOOKUP(B367,Database!$F:$AY,MATCH($I$1,Database!$F$1:$AY$1,),))))-(((VLOOKUP(EDATE(B367,-12),Database!$F:$AY,MATCH($I$1,Database!$F$1:$AY$1,),)))))/(((VLOOKUP(EDATE(B367,-12),Database!$F:$AY,MATCH($I$1,Database!$F$1:$AY$1,),))))</f>
        <v>-1.3850643174409661E-2</v>
      </c>
      <c r="J367" s="13">
        <f>((((VLOOKUP(B367,Database!$F:$AY,MATCH($J$1,Database!$F$1:$AY$1,),))))-(((VLOOKUP(EDATE(B367,-12),Database!$F:$AY,MATCH($J$1,Database!$F$1:$AY$1,),)))))/(((VLOOKUP(EDATE(B367,-12),Database!$F:$AY,MATCH($J$1,Database!$F$1:$AY$1,),))))</f>
        <v>8.0309348179607477E-3</v>
      </c>
      <c r="K367" s="13">
        <f>((((VLOOKUP(B367,Database!$F:$AY,MATCH($K$1,Database!$F$1:$AY$1,),))))-(((VLOOKUP(EDATE(B367,-12),Database!$F:$AY,MATCH($K$1,Database!$F$1:$AY$1,),)))))/(((VLOOKUP(EDATE(B367,-12),Database!$F:$AY,MATCH($K$1,Database!$F$1:$AY$1,),))))</f>
        <v>1.4191106906338694E-2</v>
      </c>
      <c r="L367" s="13">
        <f>((((VLOOKUP(B367,Database!$F:$AY,MATCH($L$1,Database!$F$1:$AY$1,),))))-(((VLOOKUP(EDATE(B367,-12),Database!$F:$AY,MATCH($L$1,Database!$F$1:$AY$1,),)))))/(((VLOOKUP(EDATE(B367,-12),Database!$F:$AY,MATCH($L$1,Database!$F$1:$AY$1,),))))</f>
        <v>-1</v>
      </c>
      <c r="M367" s="13">
        <f>((((VLOOKUP(B367,Database!$F:$AY,MATCH($M$1,Database!$F$1:$AY$1,),))))-(((VLOOKUP(EDATE(B367,-12),Database!$F:$AY,MATCH($M$1,Database!$F$1:$AY$1,),)))))/(((VLOOKUP(EDATE(B367,-12),Database!$F:$AY,MATCH($M$1,Database!$F$1:$AY$1,),))))</f>
        <v>2.3430178069353328E-2</v>
      </c>
      <c r="N367" s="13">
        <f>((((VLOOKUP(B367,Database!$F:$AY,MATCH($N$1,Database!$F$1:$AY$1,),))))-(((VLOOKUP(EDATE(B367,-12),Database!$F:$AY,MATCH($N$1,Database!$F$1:$AY$1,),)))))/(((VLOOKUP(EDATE(B367,-12),Database!$F:$AY,MATCH($N$1,Database!$F$1:$AY$1,),))))</f>
        <v>4.8376211454547034E-2</v>
      </c>
      <c r="O367" s="13">
        <f>((((VLOOKUP(B367,Database!$F:$AY,MATCH($O$1,Database!$F$1:$AY$1,),))))-(((VLOOKUP(EDATE(B367,-12),Database!$F:$AY,MATCH($O$1,Database!$F$1:$AY$1,),)))))/(((VLOOKUP(EDATE(B367,-12),Database!$F:$AY,MATCH($O$1,Database!$F$1:$AY$1,),))))</f>
        <v>6.048133058927295E-2</v>
      </c>
      <c r="P367" s="13">
        <f>((((VLOOKUP(B367,Database!$F:$AY,MATCH($P$1,Database!$F$1:$AY$1,),))))-(((VLOOKUP(EDATE(B367,-12),Database!$F:$AY,MATCH($P$1,Database!$F$1:$AY$1,),)))))/(((VLOOKUP(EDATE(B367,-12),Database!$F:$AY,MATCH($P$1,Database!$F$1:$AY$1,),))))</f>
        <v>3.9048034501939194E-2</v>
      </c>
      <c r="Q367" s="13">
        <f>((((VLOOKUP(B367,Database!$F:$AY,MATCH($Q$1,Database!$F$1:$AY$1,),))))-(((VLOOKUP(EDATE(B367,-12),Database!$F:$AY,MATCH($Q$1,Database!$F$1:$AY$1,),)))))/(((VLOOKUP(EDATE(B367,-12),Database!$F:$AY,MATCH($Q$1,Database!$F$1:$AY$1,),))))</f>
        <v>2.1864264176382299E-2</v>
      </c>
      <c r="R367" s="13">
        <f>((((VLOOKUP(B367,Database!$F:$AY,MATCH($R$1,Database!$F$1:$AY$1,),))))-(((VLOOKUP(EDATE(B367,-12),Database!$F:$AY,MATCH($R$1,Database!$F$1:$AY$1,),)))))/(((VLOOKUP(EDATE(B367,-12),Database!$F:$AY,MATCH($R$1,Database!$F$1:$AY$1,),))))</f>
        <v>2.7543574652188645E-3</v>
      </c>
      <c r="S367" s="13">
        <f>((((VLOOKUP(B367,Database!$F:$AY,MATCH($S$1,Database!$F$1:$AY$1,),))))-(((VLOOKUP(EDATE(B367,-12),Database!$F:$AY,MATCH($S$1,Database!$F$1:$AY$1,),)))))/(((VLOOKUP(EDATE(B367,-12),Database!$F:$AY,MATCH($S$1,Database!$F$1:$AY$1,),))))</f>
        <v>7.8410650197147921E-2</v>
      </c>
      <c r="T367" s="13">
        <f>((((VLOOKUP(B367,Database!$F:$AY,MATCH($T$1,Database!$F$1:$AY$1,),))))-(((VLOOKUP(EDATE(B367,-12),Database!$F:$AY,MATCH($T$1,Database!$F$1:$AY$1,),)))))/(((VLOOKUP(EDATE(B367,-12),Database!$F:$AY,MATCH($T$1,Database!$F$1:$AY$1,),))))</f>
        <v>1.4859625580795574E-2</v>
      </c>
      <c r="U367" s="13">
        <f>((((VLOOKUP(B367,Database!$F:$AY,MATCH($U$1,Database!$F$1:$AY$1,),))))-(((VLOOKUP(EDATE(B367,-12),Database!$F:$AY,MATCH($U$1,Database!$F$1:$AY$1,),)))))/(((VLOOKUP(EDATE(B367,-12),Database!$F:$AY,MATCH($U$1,Database!$F$1:$AY$1,),))))</f>
        <v>2.4411837050648578E-2</v>
      </c>
      <c r="V367" s="13">
        <f>((((VLOOKUP(B367,Database!$F:$AY,MATCH($V$1,Database!$F$1:$AY$1,),))))-(((VLOOKUP(EDATE(B367,-12),Database!$F:$AY,MATCH($V$1,Database!$F$1:$AY$1,),)))))/(((VLOOKUP(EDATE(B367,-12),Database!$F:$AY,MATCH($V$1,Database!$F$1:$AY$1,),))))</f>
        <v>5.0711743772241892E-2</v>
      </c>
    </row>
    <row r="368" spans="1:22" s="85" customFormat="1" x14ac:dyDescent="0.2">
      <c r="A368" s="44"/>
      <c r="B368" s="91">
        <v>43344</v>
      </c>
      <c r="C368" s="13">
        <f>((((VLOOKUP(B368,Database!$F:$AY,MATCH($C$1,Database!$F$1:$AY$1,),))))-(((VLOOKUP(EDATE(B368,-12),Database!$F:$AY,MATCH($C$1,Database!$F$1:$AY$1,),)))))/(((VLOOKUP(EDATE(B368,-12),Database!$F:$AY,MATCH($C$1,Database!$F$1:$AY$1,),))))</f>
        <v>5.4057680510372082E-2</v>
      </c>
      <c r="D368" s="13">
        <f>((((VLOOKUP(B368,Database!$F:$AY,MATCH($D$1,Database!$F$1:$AY$1,),))))-(((VLOOKUP(EDATE(B368,-12),Database!$F:$AY,MATCH($D$1,Database!$F$1:$AY$1,),)))))/(((VLOOKUP(EDATE(B368,-12),Database!$F:$AY,MATCH($D$1,Database!$F$1:$AY$1,),))))</f>
        <v>1.8987011136703585E-3</v>
      </c>
      <c r="E368" s="13">
        <f>((((VLOOKUP(B368,Database!$F:$AY,MATCH($E$1,Database!$F$1:$AY$1,),))))-(((VLOOKUP(EDATE(B368,-12),Database!$F:$AY,MATCH($E$1,Database!$F$1:$AY$1,),)))))/(((VLOOKUP(EDATE(B368,-12),Database!$F:$AY,MATCH($E$1,Database!$F$1:$AY$1,),))))</f>
        <v>6.8222026191253615E-3</v>
      </c>
      <c r="F368" s="13">
        <f>((((VLOOKUP(B368,Database!$F:$AY,MATCH($F$1,Database!$F$1:$AY$1,),))))-(((VLOOKUP(EDATE(B368,-12),Database!$F:$AY,MATCH($F$1,Database!$F$1:$AY$1,),)))))/(((VLOOKUP(EDATE(B368,-12),Database!$F:$AY,MATCH($F$1,Database!$F$1:$AY$1,),))))</f>
        <v>-3.7703409896391567E-3</v>
      </c>
      <c r="G368" s="13">
        <f>((((VLOOKUP(B368,Database!$F:$AY,MATCH($G$1,Database!$F$1:$AY$1,),))))-(((VLOOKUP(EDATE(B368,-12),Database!$F:$AY,MATCH($G$1,Database!$F$1:$AY$1,),)))))/(((VLOOKUP(EDATE(B368,-12),Database!$F:$AY,MATCH($G$1,Database!$F$1:$AY$1,),))))</f>
        <v>-8.6712804301725052E-3</v>
      </c>
      <c r="H368" s="13">
        <f>((((VLOOKUP(B368,Database!$F:$AY,MATCH($H$1,Database!$F$1:$AY$1,),))))-(((VLOOKUP(EDATE(B368,-12),Database!$F:$AY,MATCH($H$1,Database!$F$1:$AY$1,),)))))/(((VLOOKUP(EDATE(B368,-12),Database!$F:$AY,MATCH($H$1,Database!$F$1:$AY$1,),))))</f>
        <v>9.9677632166496962E-4</v>
      </c>
      <c r="I368" s="13">
        <f>((((VLOOKUP(B368,Database!$F:$AY,MATCH($I$1,Database!$F$1:$AY$1,),))))-(((VLOOKUP(EDATE(B368,-12),Database!$F:$AY,MATCH($I$1,Database!$F$1:$AY$1,),)))))/(((VLOOKUP(EDATE(B368,-12),Database!$F:$AY,MATCH($I$1,Database!$F$1:$AY$1,),))))</f>
        <v>1.4245255064050905E-2</v>
      </c>
      <c r="J368" s="13">
        <f>((((VLOOKUP(B368,Database!$F:$AY,MATCH($J$1,Database!$F$1:$AY$1,),))))-(((VLOOKUP(EDATE(B368,-12),Database!$F:$AY,MATCH($J$1,Database!$F$1:$AY$1,),)))))/(((VLOOKUP(EDATE(B368,-12),Database!$F:$AY,MATCH($J$1,Database!$F$1:$AY$1,),))))</f>
        <v>-3.2490875558052433E-3</v>
      </c>
      <c r="K368" s="13">
        <f>((((VLOOKUP(B368,Database!$F:$AY,MATCH($K$1,Database!$F$1:$AY$1,),))))-(((VLOOKUP(EDATE(B368,-12),Database!$F:$AY,MATCH($K$1,Database!$F$1:$AY$1,),)))))/(((VLOOKUP(EDATE(B368,-12),Database!$F:$AY,MATCH($K$1,Database!$F$1:$AY$1,),))))</f>
        <v>1.3953488372093023E-2</v>
      </c>
      <c r="L368" s="13">
        <f>((((VLOOKUP(B368,Database!$F:$AY,MATCH($L$1,Database!$F$1:$AY$1,),))))-(((VLOOKUP(EDATE(B368,-12),Database!$F:$AY,MATCH($L$1,Database!$F$1:$AY$1,),)))))/(((VLOOKUP(EDATE(B368,-12),Database!$F:$AY,MATCH($L$1,Database!$F$1:$AY$1,),))))</f>
        <v>-1</v>
      </c>
      <c r="M368" s="13">
        <f>((((VLOOKUP(B368,Database!$F:$AY,MATCH($M$1,Database!$F$1:$AY$1,),))))-(((VLOOKUP(EDATE(B368,-12),Database!$F:$AY,MATCH($M$1,Database!$F$1:$AY$1,),)))))/(((VLOOKUP(EDATE(B368,-12),Database!$F:$AY,MATCH($M$1,Database!$F$1:$AY$1,),))))</f>
        <v>2.5280898876404521E-2</v>
      </c>
      <c r="N368" s="13">
        <f>((((VLOOKUP(B368,Database!$F:$AY,MATCH($N$1,Database!$F$1:$AY$1,),))))-(((VLOOKUP(EDATE(B368,-12),Database!$F:$AY,MATCH($N$1,Database!$F$1:$AY$1,),)))))/(((VLOOKUP(EDATE(B368,-12),Database!$F:$AY,MATCH($N$1,Database!$F$1:$AY$1,),))))</f>
        <v>4.9191733614532551E-2</v>
      </c>
      <c r="O368" s="13">
        <f>((((VLOOKUP(B368,Database!$F:$AY,MATCH($O$1,Database!$F$1:$AY$1,),))))-(((VLOOKUP(EDATE(B368,-12),Database!$F:$AY,MATCH($O$1,Database!$F$1:$AY$1,),)))))/(((VLOOKUP(EDATE(B368,-12),Database!$F:$AY,MATCH($O$1,Database!$F$1:$AY$1,),))))</f>
        <v>5.2634229399535597E-2</v>
      </c>
      <c r="P368" s="13">
        <f>((((VLOOKUP(B368,Database!$F:$AY,MATCH($P$1,Database!$F$1:$AY$1,),))))-(((VLOOKUP(EDATE(B368,-12),Database!$F:$AY,MATCH($P$1,Database!$F$1:$AY$1,),)))))/(((VLOOKUP(EDATE(B368,-12),Database!$F:$AY,MATCH($P$1,Database!$F$1:$AY$1,),))))</f>
        <v>9.4785157434932633E-3</v>
      </c>
      <c r="Q368" s="13">
        <f>((((VLOOKUP(B368,Database!$F:$AY,MATCH($Q$1,Database!$F$1:$AY$1,),))))-(((VLOOKUP(EDATE(B368,-12),Database!$F:$AY,MATCH($Q$1,Database!$F$1:$AY$1,),)))))/(((VLOOKUP(EDATE(B368,-12),Database!$F:$AY,MATCH($Q$1,Database!$F$1:$AY$1,),))))</f>
        <v>-9.1637535215494722E-3</v>
      </c>
      <c r="R368" s="13">
        <f>((((VLOOKUP(B368,Database!$F:$AY,MATCH($R$1,Database!$F$1:$AY$1,),))))-(((VLOOKUP(EDATE(B368,-12),Database!$F:$AY,MATCH($R$1,Database!$F$1:$AY$1,),)))))/(((VLOOKUP(EDATE(B368,-12),Database!$F:$AY,MATCH($R$1,Database!$F$1:$AY$1,),))))</f>
        <v>3.5473730184251061E-2</v>
      </c>
      <c r="S368" s="13">
        <f>((((VLOOKUP(B368,Database!$F:$AY,MATCH($S$1,Database!$F$1:$AY$1,),))))-(((VLOOKUP(EDATE(B368,-12),Database!$F:$AY,MATCH($S$1,Database!$F$1:$AY$1,),)))))/(((VLOOKUP(EDATE(B368,-12),Database!$F:$AY,MATCH($S$1,Database!$F$1:$AY$1,),))))</f>
        <v>7.0849354264381648E-3</v>
      </c>
      <c r="T368" s="13">
        <f>((((VLOOKUP(B368,Database!$F:$AY,MATCH($T$1,Database!$F$1:$AY$1,),))))-(((VLOOKUP(EDATE(B368,-12),Database!$F:$AY,MATCH($T$1,Database!$F$1:$AY$1,),)))))/(((VLOOKUP(EDATE(B368,-12),Database!$F:$AY,MATCH($T$1,Database!$F$1:$AY$1,),))))</f>
        <v>-3.367895784106463E-2</v>
      </c>
      <c r="U368" s="13">
        <f>((((VLOOKUP(B368,Database!$F:$AY,MATCH($U$1,Database!$F$1:$AY$1,),))))-(((VLOOKUP(EDATE(B368,-12),Database!$F:$AY,MATCH($U$1,Database!$F$1:$AY$1,),)))))/(((VLOOKUP(EDATE(B368,-12),Database!$F:$AY,MATCH($U$1,Database!$F$1:$AY$1,),))))</f>
        <v>2.0553907977554787E-2</v>
      </c>
      <c r="V368" s="13">
        <f>((((VLOOKUP(B368,Database!$F:$AY,MATCH($V$1,Database!$F$1:$AY$1,),))))-(((VLOOKUP(EDATE(B368,-12),Database!$F:$AY,MATCH($V$1,Database!$F$1:$AY$1,),)))))/(((VLOOKUP(EDATE(B368,-12),Database!$F:$AY,MATCH($V$1,Database!$F$1:$AY$1,),))))</f>
        <v>5.3105310531053163E-2</v>
      </c>
    </row>
    <row r="369" spans="2:22" s="85" customFormat="1" x14ac:dyDescent="0.2">
      <c r="B369" s="91">
        <v>43374</v>
      </c>
      <c r="C369" s="13">
        <f>((((VLOOKUP(B369,Database!$F:$AY,MATCH($C$1,Database!$F$1:$AY$1,),))))-(((VLOOKUP(EDATE(B369,-12),Database!$F:$AY,MATCH($C$1,Database!$F$1:$AY$1,),)))))/(((VLOOKUP(EDATE(B369,-12),Database!$F:$AY,MATCH($C$1,Database!$F$1:$AY$1,),))))</f>
        <v>4.0592406271006291E-2</v>
      </c>
      <c r="D369" s="13">
        <f>((((VLOOKUP(B369,Database!$F:$AY,MATCH($D$1,Database!$F$1:$AY$1,),))))-(((VLOOKUP(EDATE(B369,-12),Database!$F:$AY,MATCH($D$1,Database!$F$1:$AY$1,),)))))/(((VLOOKUP(EDATE(B369,-12),Database!$F:$AY,MATCH($D$1,Database!$F$1:$AY$1,),))))</f>
        <v>3.8092062962874988E-3</v>
      </c>
      <c r="E369" s="13">
        <f>((((VLOOKUP(B369,Database!$F:$AY,MATCH($E$1,Database!$F$1:$AY$1,),))))-(((VLOOKUP(EDATE(B369,-12),Database!$F:$AY,MATCH($E$1,Database!$F$1:$AY$1,),)))))/(((VLOOKUP(EDATE(B369,-12),Database!$F:$AY,MATCH($E$1,Database!$F$1:$AY$1,),))))</f>
        <v>2.0348594941051307E-2</v>
      </c>
      <c r="F369" s="13">
        <f>((((VLOOKUP(B369,Database!$F:$AY,MATCH($F$1,Database!$F$1:$AY$1,),))))-(((VLOOKUP(EDATE(B369,-12),Database!$F:$AY,MATCH($F$1,Database!$F$1:$AY$1,),)))))/(((VLOOKUP(EDATE(B369,-12),Database!$F:$AY,MATCH($F$1,Database!$F$1:$AY$1,),))))</f>
        <v>1.0536318639580168E-2</v>
      </c>
      <c r="G369" s="13">
        <f>((((VLOOKUP(B369,Database!$F:$AY,MATCH($G$1,Database!$F$1:$AY$1,),))))-(((VLOOKUP(EDATE(B369,-12),Database!$F:$AY,MATCH($G$1,Database!$F$1:$AY$1,),)))))/(((VLOOKUP(EDATE(B369,-12),Database!$F:$AY,MATCH($G$1,Database!$F$1:$AY$1,),))))</f>
        <v>-5.5645686643789171E-3</v>
      </c>
      <c r="H369" s="13">
        <f>((((VLOOKUP(B369,Database!$F:$AY,MATCH($H$1,Database!$F$1:$AY$1,),))))-(((VLOOKUP(EDATE(B369,-12),Database!$F:$AY,MATCH($H$1,Database!$F$1:$AY$1,),)))))/(((VLOOKUP(EDATE(B369,-12),Database!$F:$AY,MATCH($H$1,Database!$F$1:$AY$1,),))))</f>
        <v>-5.993572473250725E-3</v>
      </c>
      <c r="I369" s="13">
        <f>((((VLOOKUP(B369,Database!$F:$AY,MATCH($I$1,Database!$F$1:$AY$1,),))))-(((VLOOKUP(EDATE(B369,-12),Database!$F:$AY,MATCH($I$1,Database!$F$1:$AY$1,),)))))/(((VLOOKUP(EDATE(B369,-12),Database!$F:$AY,MATCH($I$1,Database!$F$1:$AY$1,),))))</f>
        <v>8.5224905105728728E-3</v>
      </c>
      <c r="J369" s="13">
        <f>((((VLOOKUP(B369,Database!$F:$AY,MATCH($J$1,Database!$F$1:$AY$1,),))))-(((VLOOKUP(EDATE(B369,-12),Database!$F:$AY,MATCH($J$1,Database!$F$1:$AY$1,),)))))/(((VLOOKUP(EDATE(B369,-12),Database!$F:$AY,MATCH($J$1,Database!$F$1:$AY$1,),))))</f>
        <v>6.4380055985124671E-3</v>
      </c>
      <c r="K369" s="13">
        <f>((((VLOOKUP(B369,Database!$F:$AY,MATCH($K$1,Database!$F$1:$AY$1,),))))-(((VLOOKUP(EDATE(B369,-12),Database!$F:$AY,MATCH($K$1,Database!$F$1:$AY$1,),)))))/(((VLOOKUP(EDATE(B369,-12),Database!$F:$AY,MATCH($K$1,Database!$F$1:$AY$1,),))))</f>
        <v>3.6346691519105363E-2</v>
      </c>
      <c r="L369" s="13"/>
      <c r="M369" s="13">
        <f>((((VLOOKUP(B369,Database!$F:$AY,MATCH($M$1,Database!$F$1:$AY$1,),))))-(((VLOOKUP(EDATE(B369,-12),Database!$F:$AY,MATCH($M$1,Database!$F$1:$AY$1,),)))))/(((VLOOKUP(EDATE(B369,-12),Database!$F:$AY,MATCH($M$1,Database!$F$1:$AY$1,),))))</f>
        <v>4.4465468306527936E-2</v>
      </c>
      <c r="N369" s="13">
        <f>((((VLOOKUP(B369,Database!$F:$AY,MATCH($N$1,Database!$F$1:$AY$1,),))))-(((VLOOKUP(EDATE(B369,-12),Database!$F:$AY,MATCH($N$1,Database!$F$1:$AY$1,),)))))/(((VLOOKUP(EDATE(B369,-12),Database!$F:$AY,MATCH($N$1,Database!$F$1:$AY$1,),))))</f>
        <v>8.158866967147016E-2</v>
      </c>
      <c r="O369" s="13">
        <f>((((VLOOKUP(B369,Database!$F:$AY,MATCH($O$1,Database!$F$1:$AY$1,),))))-(((VLOOKUP(EDATE(B369,-12),Database!$F:$AY,MATCH($O$1,Database!$F$1:$AY$1,),)))))/(((VLOOKUP(EDATE(B369,-12),Database!$F:$AY,MATCH($O$1,Database!$F$1:$AY$1,),))))</f>
        <v>6.244796083017664E-2</v>
      </c>
      <c r="P369" s="13">
        <f>((((VLOOKUP(B369,Database!$F:$AY,MATCH($P$1,Database!$F$1:$AY$1,),))))-(((VLOOKUP(EDATE(B369,-12),Database!$F:$AY,MATCH($P$1,Database!$F$1:$AY$1,),)))))/(((VLOOKUP(EDATE(B369,-12),Database!$F:$AY,MATCH($P$1,Database!$F$1:$AY$1,),))))</f>
        <v>2.0793790031685019E-2</v>
      </c>
      <c r="Q369" s="13">
        <f>((((VLOOKUP(B369,Database!$F:$AY,MATCH($Q$1,Database!$F$1:$AY$1,),))))-(((VLOOKUP(EDATE(B369,-12),Database!$F:$AY,MATCH($Q$1,Database!$F$1:$AY$1,),)))))/(((VLOOKUP(EDATE(B369,-12),Database!$F:$AY,MATCH($Q$1,Database!$F$1:$AY$1,),))))</f>
        <v>-5.68829024983801E-3</v>
      </c>
      <c r="R369" s="13">
        <f>((((VLOOKUP(B369,Database!$F:$AY,MATCH($R$1,Database!$F$1:$AY$1,),))))-(((VLOOKUP(EDATE(B369,-12),Database!$F:$AY,MATCH($R$1,Database!$F$1:$AY$1,),)))))/(((VLOOKUP(EDATE(B369,-12),Database!$F:$AY,MATCH($R$1,Database!$F$1:$AY$1,),))))</f>
        <v>3.7068206427692254E-3</v>
      </c>
      <c r="S369" s="13">
        <f>((((VLOOKUP(B369,Database!$F:$AY,MATCH($S$1,Database!$F$1:$AY$1,),))))-(((VLOOKUP(EDATE(B369,-12),Database!$F:$AY,MATCH($S$1,Database!$F$1:$AY$1,),)))))/(((VLOOKUP(EDATE(B369,-12),Database!$F:$AY,MATCH($S$1,Database!$F$1:$AY$1,),))))</f>
        <v>-2.9204315008206201E-2</v>
      </c>
      <c r="T369" s="13">
        <f>((((VLOOKUP(B369,Database!$F:$AY,MATCH($T$1,Database!$F$1:$AY$1,),))))-(((VLOOKUP(EDATE(B369,-12),Database!$F:$AY,MATCH($T$1,Database!$F$1:$AY$1,),)))))/(((VLOOKUP(EDATE(B369,-12),Database!$F:$AY,MATCH($T$1,Database!$F$1:$AY$1,),))))</f>
        <v>-5.4123926134737987E-2</v>
      </c>
      <c r="U369" s="13">
        <f>((((VLOOKUP(B369,Database!$F:$AY,MATCH($U$1,Database!$F$1:$AY$1,),))))-(((VLOOKUP(EDATE(B369,-12),Database!$F:$AY,MATCH($U$1,Database!$F$1:$AY$1,),)))))/(((VLOOKUP(EDATE(B369,-12),Database!$F:$AY,MATCH($U$1,Database!$F$1:$AY$1,),))))</f>
        <v>2.903842383846305E-2</v>
      </c>
      <c r="V369" s="13">
        <f>((((VLOOKUP(B369,Database!$F:$AY,MATCH($V$1,Database!$F$1:$AY$1,),))))-(((VLOOKUP(EDATE(B369,-12),Database!$F:$AY,MATCH($V$1,Database!$F$1:$AY$1,),)))))/(((VLOOKUP(EDATE(B369,-12),Database!$F:$AY,MATCH($V$1,Database!$F$1:$AY$1,),))))</f>
        <v>4.8932384341637006E-2</v>
      </c>
    </row>
    <row r="370" spans="2:22" s="85" customFormat="1" x14ac:dyDescent="0.2">
      <c r="B370" s="91">
        <v>43405</v>
      </c>
      <c r="C370" s="13">
        <f>((((VLOOKUP(B370,Database!$F:$AY,MATCH($C$1,Database!$F$1:$AY$1,),))))-(((VLOOKUP(EDATE(B370,-12),Database!$F:$AY,MATCH($C$1,Database!$F$1:$AY$1,),)))))/(((VLOOKUP(EDATE(B370,-12),Database!$F:$AY,MATCH($C$1,Database!$F$1:$AY$1,),))))</f>
        <v>4.0620827181336465E-2</v>
      </c>
      <c r="D370" s="13">
        <f>((((VLOOKUP(B370,Database!$F:$AY,MATCH($D$1,Database!$F$1:$AY$1,),))))-(((VLOOKUP(EDATE(B370,-12),Database!$F:$AY,MATCH($D$1,Database!$F$1:$AY$1,),)))))/(((VLOOKUP(EDATE(B370,-12),Database!$F:$AY,MATCH($D$1,Database!$F$1:$AY$1,),))))</f>
        <v>-2.9767747373748748E-2</v>
      </c>
      <c r="E370" s="13">
        <f>((((VLOOKUP(B370,Database!$F:$AY,MATCH($E$1,Database!$F$1:$AY$1,),))))-(((VLOOKUP(EDATE(B370,-12),Database!$F:$AY,MATCH($E$1,Database!$F$1:$AY$1,),)))))/(((VLOOKUP(EDATE(B370,-12),Database!$F:$AY,MATCH($E$1,Database!$F$1:$AY$1,),))))</f>
        <v>9.6161890465845245E-4</v>
      </c>
      <c r="F370" s="13">
        <f>((((VLOOKUP(B370,Database!$F:$AY,MATCH($F$1,Database!$F$1:$AY$1,),))))-(((VLOOKUP(EDATE(B370,-12),Database!$F:$AY,MATCH($F$1,Database!$F$1:$AY$1,),)))))/(((VLOOKUP(EDATE(B370,-12),Database!$F:$AY,MATCH($F$1,Database!$F$1:$AY$1,),))))</f>
        <v>-4.4198874676538553E-2</v>
      </c>
      <c r="G370" s="13">
        <f>((((VLOOKUP(B370,Database!$F:$AY,MATCH($G$1,Database!$F$1:$AY$1,),))))-(((VLOOKUP(EDATE(B370,-12),Database!$F:$AY,MATCH($G$1,Database!$F$1:$AY$1,),)))))/(((VLOOKUP(EDATE(B370,-12),Database!$F:$AY,MATCH($G$1,Database!$F$1:$AY$1,),))))</f>
        <v>-1.7867226442730807E-2</v>
      </c>
      <c r="H370" s="13">
        <f>((((VLOOKUP(B370,Database!$F:$AY,MATCH($H$1,Database!$F$1:$AY$1,),))))-(((VLOOKUP(EDATE(B370,-12),Database!$F:$AY,MATCH($H$1,Database!$F$1:$AY$1,),)))))/(((VLOOKUP(EDATE(B370,-12),Database!$F:$AY,MATCH($H$1,Database!$F$1:$AY$1,),))))</f>
        <v>-1.3958709645203272E-2</v>
      </c>
      <c r="I370" s="13">
        <f>((((VLOOKUP(B370,Database!$F:$AY,MATCH($I$1,Database!$F$1:$AY$1,),))))-(((VLOOKUP(EDATE(B370,-12),Database!$F:$AY,MATCH($I$1,Database!$F$1:$AY$1,),)))))/(((VLOOKUP(EDATE(B370,-12),Database!$F:$AY,MATCH($I$1,Database!$F$1:$AY$1,),))))</f>
        <v>-2.5163317367423731E-2</v>
      </c>
      <c r="J370" s="13">
        <f>((((VLOOKUP(B370,Database!$F:$AY,MATCH($J$1,Database!$F$1:$AY$1,),))))-(((VLOOKUP(EDATE(B370,-12),Database!$F:$AY,MATCH($J$1,Database!$F$1:$AY$1,),)))))/(((VLOOKUP(EDATE(B370,-12),Database!$F:$AY,MATCH($J$1,Database!$F$1:$AY$1,),))))</f>
        <v>-3.1359536340141228E-2</v>
      </c>
      <c r="K370" s="13">
        <f>((((VLOOKUP(B370,Database!$F:$AY,MATCH($K$1,Database!$F$1:$AY$1,),))))-(((VLOOKUP(EDATE(B370,-12),Database!$F:$AY,MATCH($K$1,Database!$F$1:$AY$1,),)))))/(((VLOOKUP(EDATE(B370,-12),Database!$F:$AY,MATCH($K$1,Database!$F$1:$AY$1,),))))</f>
        <v>1.0101010101010048E-2</v>
      </c>
      <c r="L370" s="13"/>
      <c r="M370" s="13">
        <f>((((VLOOKUP(B370,Database!$F:$AY,MATCH($M$1,Database!$F$1:$AY$1,),))))-(((VLOOKUP(EDATE(B370,-12),Database!$F:$AY,MATCH($M$1,Database!$F$1:$AY$1,),)))))/(((VLOOKUP(EDATE(B370,-12),Database!$F:$AY,MATCH($M$1,Database!$F$1:$AY$1,),))))</f>
        <v>4.5283018867924504E-2</v>
      </c>
      <c r="N370" s="13">
        <f>((((VLOOKUP(B370,Database!$F:$AY,MATCH($N$1,Database!$F$1:$AY$1,),))))-(((VLOOKUP(EDATE(B370,-12),Database!$F:$AY,MATCH($N$1,Database!$F$1:$AY$1,),)))))/(((VLOOKUP(EDATE(B370,-12),Database!$F:$AY,MATCH($N$1,Database!$F$1:$AY$1,),))))</f>
        <v>1.255509155044117E-3</v>
      </c>
      <c r="O370" s="13">
        <f>((((VLOOKUP(B370,Database!$F:$AY,MATCH($O$1,Database!$F$1:$AY$1,),))))-(((VLOOKUP(EDATE(B370,-12),Database!$F:$AY,MATCH($O$1,Database!$F$1:$AY$1,),)))))/(((VLOOKUP(EDATE(B370,-12),Database!$F:$AY,MATCH($O$1,Database!$F$1:$AY$1,),))))</f>
        <v>3.9165578261744126E-2</v>
      </c>
      <c r="P370" s="13">
        <f>((((VLOOKUP(B370,Database!$F:$AY,MATCH($P$1,Database!$F$1:$AY$1,),))))-(((VLOOKUP(EDATE(B370,-12),Database!$F:$AY,MATCH($P$1,Database!$F$1:$AY$1,),)))))/(((VLOOKUP(EDATE(B370,-12),Database!$F:$AY,MATCH($P$1,Database!$F$1:$AY$1,),))))</f>
        <v>2.841145853063486E-3</v>
      </c>
      <c r="Q370" s="13">
        <f>((((VLOOKUP(B370,Database!$F:$AY,MATCH($Q$1,Database!$F$1:$AY$1,),))))-(((VLOOKUP(EDATE(B370,-12),Database!$F:$AY,MATCH($Q$1,Database!$F$1:$AY$1,),)))))/(((VLOOKUP(EDATE(B370,-12),Database!$F:$AY,MATCH($Q$1,Database!$F$1:$AY$1,),))))</f>
        <v>-1.0169424035045926E-2</v>
      </c>
      <c r="R370" s="13">
        <f>((((VLOOKUP(B370,Database!$F:$AY,MATCH($R$1,Database!$F$1:$AY$1,),))))-(((VLOOKUP(EDATE(B370,-12),Database!$F:$AY,MATCH($R$1,Database!$F$1:$AY$1,),)))))/(((VLOOKUP(EDATE(B370,-12),Database!$F:$AY,MATCH($R$1,Database!$F$1:$AY$1,),))))</f>
        <v>5.7998377903524509E-2</v>
      </c>
      <c r="S370" s="13">
        <f>((((VLOOKUP(B370,Database!$F:$AY,MATCH($S$1,Database!$F$1:$AY$1,),))))-(((VLOOKUP(EDATE(B370,-12),Database!$F:$AY,MATCH($S$1,Database!$F$1:$AY$1,),)))))/(((VLOOKUP(EDATE(B370,-12),Database!$F:$AY,MATCH($S$1,Database!$F$1:$AY$1,),))))</f>
        <v>-0.1220659494183115</v>
      </c>
      <c r="T370" s="13">
        <f>((((VLOOKUP(B370,Database!$F:$AY,MATCH($T$1,Database!$F$1:$AY$1,),))))-(((VLOOKUP(EDATE(B370,-12),Database!$F:$AY,MATCH($T$1,Database!$F$1:$AY$1,),)))))/(((VLOOKUP(EDATE(B370,-12),Database!$F:$AY,MATCH($T$1,Database!$F$1:$AY$1,),))))</f>
        <v>-5.8974170486074902E-2</v>
      </c>
      <c r="U370" s="13">
        <f>((((VLOOKUP(B370,Database!$F:$AY,MATCH($U$1,Database!$F$1:$AY$1,),))))-(((VLOOKUP(EDATE(B370,-12),Database!$F:$AY,MATCH($U$1,Database!$F$1:$AY$1,),)))))/(((VLOOKUP(EDATE(B370,-12),Database!$F:$AY,MATCH($U$1,Database!$F$1:$AY$1,),))))</f>
        <v>2.1238931786881288E-2</v>
      </c>
      <c r="V370" s="13">
        <f>((((VLOOKUP(B370,Database!$F:$AY,MATCH($V$1,Database!$F$1:$AY$1,),))))-(((VLOOKUP(EDATE(B370,-12),Database!$F:$AY,MATCH($V$1,Database!$F$1:$AY$1,),)))))/(((VLOOKUP(EDATE(B370,-12),Database!$F:$AY,MATCH($V$1,Database!$F$1:$AY$1,),))))</f>
        <v>5.2820053715308783E-2</v>
      </c>
    </row>
    <row r="371" spans="2:22" s="85" customFormat="1" x14ac:dyDescent="0.2">
      <c r="B371" s="91">
        <v>43435</v>
      </c>
      <c r="C371" s="13">
        <f>((((VLOOKUP(B371,Database!$F:$AY,MATCH($C$1,Database!$F$1:$AY$1,),))))-(((VLOOKUP(EDATE(B371,-12),Database!$F:$AY,MATCH($C$1,Database!$F$1:$AY$1,),)))))/(((VLOOKUP(EDATE(B371,-12),Database!$F:$AY,MATCH($C$1,Database!$F$1:$AY$1,),))))</f>
        <v>3.7693200741140347E-2</v>
      </c>
      <c r="D371" s="13">
        <f>((((VLOOKUP(B371,Database!$F:$AY,MATCH($D$1,Database!$F$1:$AY$1,),))))-(((VLOOKUP(EDATE(B371,-12),Database!$F:$AY,MATCH($D$1,Database!$F$1:$AY$1,),)))))/(((VLOOKUP(EDATE(B371,-12),Database!$F:$AY,MATCH($D$1,Database!$F$1:$AY$1,),))))</f>
        <v>-3.5218108674292335E-2</v>
      </c>
      <c r="E371" s="13">
        <f>((((VLOOKUP(B371,Database!$F:$AY,MATCH($E$1,Database!$F$1:$AY$1,),))))-(((VLOOKUP(EDATE(B371,-12),Database!$F:$AY,MATCH($E$1,Database!$F$1:$AY$1,),)))))/(((VLOOKUP(EDATE(B371,-12),Database!$F:$AY,MATCH($E$1,Database!$F$1:$AY$1,),))))</f>
        <v>-1.0426462112479573E-2</v>
      </c>
      <c r="F371" s="13">
        <f>((((VLOOKUP(B371,Database!$F:$AY,MATCH($F$1,Database!$F$1:$AY$1,),))))-(((VLOOKUP(EDATE(B371,-12),Database!$F:$AY,MATCH($F$1,Database!$F$1:$AY$1,),)))))/(((VLOOKUP(EDATE(B371,-12),Database!$F:$AY,MATCH($F$1,Database!$F$1:$AY$1,),))))</f>
        <v>-3.0498840014418955E-2</v>
      </c>
      <c r="G371" s="13">
        <f>((((VLOOKUP(B371,Database!$F:$AY,MATCH($G$1,Database!$F$1:$AY$1,),))))-(((VLOOKUP(EDATE(B371,-12),Database!$F:$AY,MATCH($G$1,Database!$F$1:$AY$1,),)))))/(((VLOOKUP(EDATE(B371,-12),Database!$F:$AY,MATCH($G$1,Database!$F$1:$AY$1,),))))</f>
        <v>-1.8921314766477862E-2</v>
      </c>
      <c r="H371" s="13">
        <f>((((VLOOKUP(B371,Database!$F:$AY,MATCH($H$1,Database!$F$1:$AY$1,),))))-(((VLOOKUP(EDATE(B371,-12),Database!$F:$AY,MATCH($H$1,Database!$F$1:$AY$1,),)))))/(((VLOOKUP(EDATE(B371,-12),Database!$F:$AY,MATCH($H$1,Database!$F$1:$AY$1,),))))</f>
        <v>-1.0010566870162402E-2</v>
      </c>
      <c r="I371" s="13">
        <f>((((VLOOKUP(B371,Database!$F:$AY,MATCH($I$1,Database!$F$1:$AY$1,),))))-(((VLOOKUP(EDATE(B371,-12),Database!$F:$AY,MATCH($I$1,Database!$F$1:$AY$1,),)))))/(((VLOOKUP(EDATE(B371,-12),Database!$F:$AY,MATCH($I$1,Database!$F$1:$AY$1,),))))</f>
        <v>-4.8051152045320171E-2</v>
      </c>
      <c r="J371" s="13">
        <f>((((VLOOKUP(B371,Database!$F:$AY,MATCH($J$1,Database!$F$1:$AY$1,),))))-(((VLOOKUP(EDATE(B371,-12),Database!$F:$AY,MATCH($J$1,Database!$F$1:$AY$1,),)))))/(((VLOOKUP(EDATE(B371,-12),Database!$F:$AY,MATCH($J$1,Database!$F$1:$AY$1,),))))</f>
        <v>-5.6730428412231387E-2</v>
      </c>
      <c r="K371" s="13">
        <f>((((VLOOKUP(B371,Database!$F:$AY,MATCH($K$1,Database!$F$1:$AY$1,),))))-(((VLOOKUP(EDATE(B371,-12),Database!$F:$AY,MATCH($K$1,Database!$F$1:$AY$1,),)))))/(((VLOOKUP(EDATE(B371,-12),Database!$F:$AY,MATCH($K$1,Database!$F$1:$AY$1,),))))</f>
        <v>1.6363636363636337E-2</v>
      </c>
      <c r="L371" s="13"/>
      <c r="M371" s="13">
        <f>((((VLOOKUP(B371,Database!$F:$AY,MATCH($M$1,Database!$F$1:$AY$1,),))))-(((VLOOKUP(EDATE(B371,-12),Database!$F:$AY,MATCH($M$1,Database!$F$1:$AY$1,),)))))/(((VLOOKUP(EDATE(B371,-12),Database!$F:$AY,MATCH($M$1,Database!$F$1:$AY$1,),))))</f>
        <v>6.4577397910731221E-2</v>
      </c>
      <c r="N371" s="13">
        <f>((((VLOOKUP(B371,Database!$F:$AY,MATCH($N$1,Database!$F$1:$AY$1,),))))-(((VLOOKUP(EDATE(B371,-12),Database!$F:$AY,MATCH($N$1,Database!$F$1:$AY$1,),)))))/(((VLOOKUP(EDATE(B371,-12),Database!$F:$AY,MATCH($N$1,Database!$F$1:$AY$1,),))))</f>
        <v>2.5913767539977997E-2</v>
      </c>
      <c r="O371" s="13">
        <f>((((VLOOKUP(B371,Database!$F:$AY,MATCH($O$1,Database!$F$1:$AY$1,),))))-(((VLOOKUP(EDATE(B371,-12),Database!$F:$AY,MATCH($O$1,Database!$F$1:$AY$1,),)))))/(((VLOOKUP(EDATE(B371,-12),Database!$F:$AY,MATCH($O$1,Database!$F$1:$AY$1,),))))</f>
        <v>2.3027125705057674E-2</v>
      </c>
      <c r="P371" s="13">
        <f>((((VLOOKUP(B371,Database!$F:$AY,MATCH($P$1,Database!$F$1:$AY$1,),))))-(((VLOOKUP(EDATE(B371,-12),Database!$F:$AY,MATCH($P$1,Database!$F$1:$AY$1,),)))))/(((VLOOKUP(EDATE(B371,-12),Database!$F:$AY,MATCH($P$1,Database!$F$1:$AY$1,),))))</f>
        <v>7.7142366676502955E-3</v>
      </c>
      <c r="Q371" s="13">
        <f>((((VLOOKUP(B371,Database!$F:$AY,MATCH($Q$1,Database!$F$1:$AY$1,),))))-(((VLOOKUP(EDATE(B371,-12),Database!$F:$AY,MATCH($Q$1,Database!$F$1:$AY$1,),)))))/(((VLOOKUP(EDATE(B371,-12),Database!$F:$AY,MATCH($Q$1,Database!$F$1:$AY$1,),))))</f>
        <v>-3.4972881544362296E-2</v>
      </c>
      <c r="R371" s="13">
        <f>((((VLOOKUP(B371,Database!$F:$AY,MATCH($R$1,Database!$F$1:$AY$1,),))))-(((VLOOKUP(EDATE(B371,-12),Database!$F:$AY,MATCH($R$1,Database!$F$1:$AY$1,),)))))/(((VLOOKUP(EDATE(B371,-12),Database!$F:$AY,MATCH($R$1,Database!$F$1:$AY$1,),))))</f>
        <v>2.2140187321574842E-2</v>
      </c>
      <c r="S371" s="13">
        <f>((((VLOOKUP(B371,Database!$F:$AY,MATCH($S$1,Database!$F$1:$AY$1,),))))-(((VLOOKUP(EDATE(B371,-12),Database!$F:$AY,MATCH($S$1,Database!$F$1:$AY$1,),)))))/(((VLOOKUP(EDATE(B371,-12),Database!$F:$AY,MATCH($S$1,Database!$F$1:$AY$1,),))))</f>
        <v>-0.19333370155644095</v>
      </c>
      <c r="T371" s="13">
        <f>((((VLOOKUP(B371,Database!$F:$AY,MATCH($T$1,Database!$F$1:$AY$1,),))))-(((VLOOKUP(EDATE(B371,-12),Database!$F:$AY,MATCH($T$1,Database!$F$1:$AY$1,),)))))/(((VLOOKUP(EDATE(B371,-12),Database!$F:$AY,MATCH($T$1,Database!$F$1:$AY$1,),))))</f>
        <v>-9.6585893912898693E-2</v>
      </c>
      <c r="U371" s="13">
        <f>((((VLOOKUP(B371,Database!$F:$AY,MATCH($U$1,Database!$F$1:$AY$1,),))))-(((VLOOKUP(EDATE(B371,-12),Database!$F:$AY,MATCH($U$1,Database!$F$1:$AY$1,),)))))/(((VLOOKUP(EDATE(B371,-12),Database!$F:$AY,MATCH($U$1,Database!$F$1:$AY$1,),))))</f>
        <v>8.8345138896865003E-3</v>
      </c>
      <c r="V371" s="13">
        <f>((((VLOOKUP(B371,Database!$F:$AY,MATCH($V$1,Database!$F$1:$AY$1,),))))-(((VLOOKUP(EDATE(B371,-12),Database!$F:$AY,MATCH($V$1,Database!$F$1:$AY$1,),)))))/(((VLOOKUP(EDATE(B371,-12),Database!$F:$AY,MATCH($V$1,Database!$F$1:$AY$1,),))))</f>
        <v>3.0408340573414423E-2</v>
      </c>
    </row>
    <row r="372" spans="2:22" s="85" customFormat="1" x14ac:dyDescent="0.2">
      <c r="B372" s="91">
        <v>43466</v>
      </c>
      <c r="C372" s="13">
        <f>((((VLOOKUP(B372,Database!$F:$AY,MATCH($C$1,Database!$F$1:$AY$1,),))))-(((VLOOKUP(EDATE(B372,-12),Database!$F:$AY,MATCH($C$1,Database!$F$1:$AY$1,),)))))/(((VLOOKUP(EDATE(B372,-12),Database!$F:$AY,MATCH($C$1,Database!$F$1:$AY$1,),))))</f>
        <v>3.6258805317971217E-2</v>
      </c>
      <c r="D372" s="13">
        <f>((((VLOOKUP(B372,Database!$F:$AY,MATCH($D$1,Database!$F$1:$AY$1,),))))-(((VLOOKUP(EDATE(B372,-12),Database!$F:$AY,MATCH($D$1,Database!$F$1:$AY$1,),)))))/(((VLOOKUP(EDATE(B372,-12),Database!$F:$AY,MATCH($D$1,Database!$F$1:$AY$1,),))))</f>
        <v>-5.6657197041246245E-3</v>
      </c>
      <c r="E372" s="13">
        <f>((((VLOOKUP(B372,Database!$F:$AY,MATCH($E$1,Database!$F$1:$AY$1,),))))-(((VLOOKUP(EDATE(B372,-12),Database!$F:$AY,MATCH($E$1,Database!$F$1:$AY$1,),)))))/(((VLOOKUP(EDATE(B372,-12),Database!$F:$AY,MATCH($E$1,Database!$F$1:$AY$1,),))))</f>
        <v>1.0858748405593267E-2</v>
      </c>
      <c r="F372" s="13">
        <f>((((VLOOKUP(B372,Database!$F:$AY,MATCH($F$1,Database!$F$1:$AY$1,),))))-(((VLOOKUP(EDATE(B372,-12),Database!$F:$AY,MATCH($F$1,Database!$F$1:$AY$1,),)))))/(((VLOOKUP(EDATE(B372,-12),Database!$F:$AY,MATCH($F$1,Database!$F$1:$AY$1,),))))</f>
        <v>-3.2618735384388864E-2</v>
      </c>
      <c r="G372" s="13">
        <f>((((VLOOKUP(B372,Database!$F:$AY,MATCH($G$1,Database!$F$1:$AY$1,),))))-(((VLOOKUP(EDATE(B372,-12),Database!$F:$AY,MATCH($G$1,Database!$F$1:$AY$1,),)))))/(((VLOOKUP(EDATE(B372,-12),Database!$F:$AY,MATCH($G$1,Database!$F$1:$AY$1,),))))</f>
        <v>2.6955261127866937E-2</v>
      </c>
      <c r="H372" s="13">
        <f>((((VLOOKUP(B372,Database!$F:$AY,MATCH($H$1,Database!$F$1:$AY$1,),))))-(((VLOOKUP(EDATE(B372,-12),Database!$F:$AY,MATCH($H$1,Database!$F$1:$AY$1,),)))))/(((VLOOKUP(EDATE(B372,-12),Database!$F:$AY,MATCH($H$1,Database!$F$1:$AY$1,),))))</f>
        <v>-1.0945599765389816E-2</v>
      </c>
      <c r="I372" s="13">
        <f>((((VLOOKUP(B372,Database!$F:$AY,MATCH($I$1,Database!$F$1:$AY$1,),))))-(((VLOOKUP(EDATE(B372,-12),Database!$F:$AY,MATCH($I$1,Database!$F$1:$AY$1,),)))))/(((VLOOKUP(EDATE(B372,-12),Database!$F:$AY,MATCH($I$1,Database!$F$1:$AY$1,),))))</f>
        <v>-4.7084880856417483E-3</v>
      </c>
      <c r="J372" s="13">
        <f>((((VLOOKUP(B372,Database!$F:$AY,MATCH($J$1,Database!$F$1:$AY$1,),))))-(((VLOOKUP(EDATE(B372,-12),Database!$F:$AY,MATCH($J$1,Database!$F$1:$AY$1,),)))))/(((VLOOKUP(EDATE(B372,-12),Database!$F:$AY,MATCH($J$1,Database!$F$1:$AY$1,),))))</f>
        <v>2.765946631807811E-2</v>
      </c>
      <c r="K372" s="13">
        <f>((((VLOOKUP(B372,Database!$F:$AY,MATCH($K$1,Database!$F$1:$AY$1,),))))-(((VLOOKUP(EDATE(B372,-12),Database!$F:$AY,MATCH($K$1,Database!$F$1:$AY$1,),)))))/(((VLOOKUP(EDATE(B372,-12),Database!$F:$AY,MATCH($K$1,Database!$F$1:$AY$1,),))))</f>
        <v>3.2139577594123045E-2</v>
      </c>
      <c r="L372" s="13"/>
      <c r="M372" s="13">
        <f>((((VLOOKUP(B372,Database!$F:$AY,MATCH($M$1,Database!$F$1:$AY$1,),))))-(((VLOOKUP(EDATE(B372,-12),Database!$F:$AY,MATCH($M$1,Database!$F$1:$AY$1,),)))))/(((VLOOKUP(EDATE(B372,-12),Database!$F:$AY,MATCH($M$1,Database!$F$1:$AY$1,),))))</f>
        <v>2.7700831024930747E-2</v>
      </c>
      <c r="N372" s="13">
        <f>((((VLOOKUP(B372,Database!$F:$AY,MATCH($N$1,Database!$F$1:$AY$1,),))))-(((VLOOKUP(EDATE(B372,-12),Database!$F:$AY,MATCH($N$1,Database!$F$1:$AY$1,),)))))/(((VLOOKUP(EDATE(B372,-12),Database!$F:$AY,MATCH($N$1,Database!$F$1:$AY$1,),))))</f>
        <v>-1</v>
      </c>
      <c r="O372" s="13">
        <f>((((VLOOKUP(B372,Database!$F:$AY,MATCH($O$1,Database!$F$1:$AY$1,),))))-(((VLOOKUP(EDATE(B372,-12),Database!$F:$AY,MATCH($O$1,Database!$F$1:$AY$1,),)))))/(((VLOOKUP(EDATE(B372,-12),Database!$F:$AY,MATCH($O$1,Database!$F$1:$AY$1,),))))</f>
        <v>2.1162049115832231E-2</v>
      </c>
      <c r="P372" s="13">
        <f>((((VLOOKUP(B372,Database!$F:$AY,MATCH($P$1,Database!$F$1:$AY$1,),))))-(((VLOOKUP(EDATE(B372,-12),Database!$F:$AY,MATCH($P$1,Database!$F$1:$AY$1,),)))))/(((VLOOKUP(EDATE(B372,-12),Database!$F:$AY,MATCH($P$1,Database!$F$1:$AY$1,),))))</f>
        <v>-9.5155445936476429E-4</v>
      </c>
      <c r="Q372" s="13">
        <f>((((VLOOKUP(B372,Database!$F:$AY,MATCH($Q$1,Database!$F$1:$AY$1,),))))-(((VLOOKUP(EDATE(B372,-12),Database!$F:$AY,MATCH($Q$1,Database!$F$1:$AY$1,),)))))/(((VLOOKUP(EDATE(B372,-12),Database!$F:$AY,MATCH($Q$1,Database!$F$1:$AY$1,),))))</f>
        <v>-2.0179440458971604E-2</v>
      </c>
      <c r="R372" s="13">
        <f>((((VLOOKUP(B372,Database!$F:$AY,MATCH($R$1,Database!$F$1:$AY$1,),))))-(((VLOOKUP(EDATE(B372,-12),Database!$F:$AY,MATCH($R$1,Database!$F$1:$AY$1,),)))))/(((VLOOKUP(EDATE(B372,-12),Database!$F:$AY,MATCH($R$1,Database!$F$1:$AY$1,),))))</f>
        <v>3.2527685611297985E-2</v>
      </c>
      <c r="S372" s="13">
        <f>((((VLOOKUP(B372,Database!$F:$AY,MATCH($S$1,Database!$F$1:$AY$1,),))))-(((VLOOKUP(EDATE(B372,-12),Database!$F:$AY,MATCH($S$1,Database!$F$1:$AY$1,),)))))/(((VLOOKUP(EDATE(B372,-12),Database!$F:$AY,MATCH($S$1,Database!$F$1:$AY$1,),))))</f>
        <v>-7.3049914913274727E-2</v>
      </c>
      <c r="T372" s="13">
        <f>((((VLOOKUP(B372,Database!$F:$AY,MATCH($T$1,Database!$F$1:$AY$1,),))))-(((VLOOKUP(EDATE(B372,-12),Database!$F:$AY,MATCH($T$1,Database!$F$1:$AY$1,),)))))/(((VLOOKUP(EDATE(B372,-12),Database!$F:$AY,MATCH($T$1,Database!$F$1:$AY$1,),))))</f>
        <v>-6.8586555023194162E-2</v>
      </c>
      <c r="U372" s="13">
        <f>((((VLOOKUP(B372,Database!$F:$AY,MATCH($U$1,Database!$F$1:$AY$1,),))))-(((VLOOKUP(EDATE(B372,-12),Database!$F:$AY,MATCH($U$1,Database!$F$1:$AY$1,),)))))/(((VLOOKUP(EDATE(B372,-12),Database!$F:$AY,MATCH($U$1,Database!$F$1:$AY$1,),))))</f>
        <v>-8.8042816982762553E-4</v>
      </c>
      <c r="V372" s="13">
        <f>((((VLOOKUP(B372,Database!$F:$AY,MATCH($V$1,Database!$F$1:$AY$1,),))))-(((VLOOKUP(EDATE(B372,-12),Database!$F:$AY,MATCH($V$1,Database!$F$1:$AY$1,),)))))/(((VLOOKUP(EDATE(B372,-12),Database!$F:$AY,MATCH($V$1,Database!$F$1:$AY$1,),))))</f>
        <v>5.9344552701505654E-2</v>
      </c>
    </row>
    <row r="373" spans="2:22" s="85" customFormat="1" x14ac:dyDescent="0.2">
      <c r="B373" s="91">
        <v>43497</v>
      </c>
      <c r="C373" s="13">
        <f>((((VLOOKUP(B373,Database!$F:$AY,MATCH($C$1,Database!$F$1:$AY$1,),))))-(((VLOOKUP(EDATE(B373,-12),Database!$F:$AY,MATCH($C$1,Database!$F$1:$AY$1,),)))))/(((VLOOKUP(EDATE(B373,-12),Database!$F:$AY,MATCH($C$1,Database!$F$1:$AY$1,),))))</f>
        <v>2.7392205063721243E-2</v>
      </c>
      <c r="D373" s="13">
        <f>((((VLOOKUP(B373,Database!$F:$AY,MATCH($D$1,Database!$F$1:$AY$1,),))))-(((VLOOKUP(EDATE(B373,-12),Database!$F:$AY,MATCH($D$1,Database!$F$1:$AY$1,),)))))/(((VLOOKUP(EDATE(B373,-12),Database!$F:$AY,MATCH($D$1,Database!$F$1:$AY$1,),))))</f>
        <v>9.5163324054917359E-4</v>
      </c>
      <c r="E373" s="13">
        <f>((((VLOOKUP(B373,Database!$F:$AY,MATCH($E$1,Database!$F$1:$AY$1,),))))-(((VLOOKUP(EDATE(B373,-12),Database!$F:$AY,MATCH($E$1,Database!$F$1:$AY$1,),)))))/(((VLOOKUP(EDATE(B373,-12),Database!$F:$AY,MATCH($E$1,Database!$F$1:$AY$1,),))))</f>
        <v>-8.6712386575380183E-3</v>
      </c>
      <c r="F373" s="13">
        <f>((((VLOOKUP(B373,Database!$F:$AY,MATCH($F$1,Database!$F$1:$AY$1,),))))-(((VLOOKUP(EDATE(B373,-12),Database!$F:$AY,MATCH($F$1,Database!$F$1:$AY$1,),)))))/(((VLOOKUP(EDATE(B373,-12),Database!$F:$AY,MATCH($F$1,Database!$F$1:$AY$1,),))))</f>
        <v>-1.5194052304466108E-2</v>
      </c>
      <c r="G373" s="13">
        <f>((((VLOOKUP(B373,Database!$F:$AY,MATCH($G$1,Database!$F$1:$AY$1,),))))-(((VLOOKUP(EDATE(B373,-12),Database!$F:$AY,MATCH($G$1,Database!$F$1:$AY$1,),)))))/(((VLOOKUP(EDATE(B373,-12),Database!$F:$AY,MATCH($G$1,Database!$F$1:$AY$1,),))))</f>
        <v>1.0954824436820327E-2</v>
      </c>
      <c r="H373" s="13">
        <f>((((VLOOKUP(B373,Database!$F:$AY,MATCH($H$1,Database!$F$1:$AY$1,),))))-(((VLOOKUP(EDATE(B373,-12),Database!$F:$AY,MATCH($H$1,Database!$F$1:$AY$1,),)))))/(((VLOOKUP(EDATE(B373,-12),Database!$F:$AY,MATCH($H$1,Database!$F$1:$AY$1,),))))</f>
        <v>-6.9654687938755745E-3</v>
      </c>
      <c r="I373" s="13">
        <f>((((VLOOKUP(B373,Database!$F:$AY,MATCH($I$1,Database!$F$1:$AY$1,),))))-(((VLOOKUP(EDATE(B373,-12),Database!$F:$AY,MATCH($I$1,Database!$F$1:$AY$1,),)))))/(((VLOOKUP(EDATE(B373,-12),Database!$F:$AY,MATCH($I$1,Database!$F$1:$AY$1,),))))</f>
        <v>6.6158621889155196E-3</v>
      </c>
      <c r="J373" s="13">
        <f>((((VLOOKUP(B373,Database!$F:$AY,MATCH($J$1,Database!$F$1:$AY$1,),))))-(((VLOOKUP(EDATE(B373,-12),Database!$F:$AY,MATCH($J$1,Database!$F$1:$AY$1,),)))))/(((VLOOKUP(EDATE(B373,-12),Database!$F:$AY,MATCH($J$1,Database!$F$1:$AY$1,),))))</f>
        <v>-1.1488180827732835E-3</v>
      </c>
      <c r="K373" s="13">
        <f>((((VLOOKUP(B373,Database!$F:$AY,MATCH($K$1,Database!$F$1:$AY$1,),))))-(((VLOOKUP(EDATE(B373,-12),Database!$F:$AY,MATCH($K$1,Database!$F$1:$AY$1,),)))))/(((VLOOKUP(EDATE(B373,-12),Database!$F:$AY,MATCH($K$1,Database!$F$1:$AY$1,),))))</f>
        <v>2.5711662075298413E-2</v>
      </c>
      <c r="L373" s="13"/>
      <c r="M373" s="13">
        <f>((((VLOOKUP(B373,Database!$F:$AY,MATCH($M$1,Database!$F$1:$AY$1,),))))-(((VLOOKUP(EDATE(B373,-12),Database!$F:$AY,MATCH($M$1,Database!$F$1:$AY$1,),)))))/(((VLOOKUP(EDATE(B373,-12),Database!$F:$AY,MATCH($M$1,Database!$F$1:$AY$1,),))))</f>
        <v>3.6245353159851355E-2</v>
      </c>
      <c r="N373" s="13">
        <f>((((VLOOKUP(B373,Database!$F:$AY,MATCH($N$1,Database!$F$1:$AY$1,),))))-(((VLOOKUP(EDATE(B373,-12),Database!$F:$AY,MATCH($N$1,Database!$F$1:$AY$1,),)))))/(((VLOOKUP(EDATE(B373,-12),Database!$F:$AY,MATCH($N$1,Database!$F$1:$AY$1,),))))</f>
        <v>-1</v>
      </c>
      <c r="O373" s="13">
        <f>((((VLOOKUP(B373,Database!$F:$AY,MATCH($O$1,Database!$F$1:$AY$1,),))))-(((VLOOKUP(EDATE(B373,-12),Database!$F:$AY,MATCH($O$1,Database!$F$1:$AY$1,),)))))/(((VLOOKUP(EDATE(B373,-12),Database!$F:$AY,MATCH($O$1,Database!$F$1:$AY$1,),))))</f>
        <v>2.0925147995246398E-3</v>
      </c>
      <c r="P373" s="13">
        <f>((((VLOOKUP(B373,Database!$F:$AY,MATCH($P$1,Database!$F$1:$AY$1,),))))-(((VLOOKUP(EDATE(B373,-12),Database!$F:$AY,MATCH($P$1,Database!$F$1:$AY$1,),)))))/(((VLOOKUP(EDATE(B373,-12),Database!$F:$AY,MATCH($P$1,Database!$F$1:$AY$1,),))))</f>
        <v>-3.9399161843718694E-2</v>
      </c>
      <c r="Q373" s="13">
        <f>((((VLOOKUP(B373,Database!$F:$AY,MATCH($Q$1,Database!$F$1:$AY$1,),))))-(((VLOOKUP(EDATE(B373,-12),Database!$F:$AY,MATCH($Q$1,Database!$F$1:$AY$1,),)))))/(((VLOOKUP(EDATE(B373,-12),Database!$F:$AY,MATCH($Q$1,Database!$F$1:$AY$1,),))))</f>
        <v>-1.2359547809872392E-2</v>
      </c>
      <c r="R373" s="13">
        <f>((((VLOOKUP(B373,Database!$F:$AY,MATCH($R$1,Database!$F$1:$AY$1,),))))-(((VLOOKUP(EDATE(B373,-12),Database!$F:$AY,MATCH($R$1,Database!$F$1:$AY$1,),)))))/(((VLOOKUP(EDATE(B373,-12),Database!$F:$AY,MATCH($R$1,Database!$F$1:$AY$1,),))))</f>
        <v>1.8518810353921791E-2</v>
      </c>
      <c r="S373" s="13">
        <f>((((VLOOKUP(B373,Database!$F:$AY,MATCH($S$1,Database!$F$1:$AY$1,),))))-(((VLOOKUP(EDATE(B373,-12),Database!$F:$AY,MATCH($S$1,Database!$F$1:$AY$1,),)))))/(((VLOOKUP(EDATE(B373,-12),Database!$F:$AY,MATCH($S$1,Database!$F$1:$AY$1,),))))</f>
        <v>2.298846971798996E-2</v>
      </c>
      <c r="T373" s="13">
        <f>((((VLOOKUP(B373,Database!$F:$AY,MATCH($T$1,Database!$F$1:$AY$1,),))))-(((VLOOKUP(EDATE(B373,-12),Database!$F:$AY,MATCH($T$1,Database!$F$1:$AY$1,),)))))/(((VLOOKUP(EDATE(B373,-12),Database!$F:$AY,MATCH($T$1,Database!$F$1:$AY$1,),))))</f>
        <v>-4.7822106376109973E-2</v>
      </c>
      <c r="U373" s="13">
        <f>((((VLOOKUP(B373,Database!$F:$AY,MATCH($U$1,Database!$F$1:$AY$1,),))))-(((VLOOKUP(EDATE(B373,-12),Database!$F:$AY,MATCH($U$1,Database!$F$1:$AY$1,),)))))/(((VLOOKUP(EDATE(B373,-12),Database!$F:$AY,MATCH($U$1,Database!$F$1:$AY$1,),))))</f>
        <v>1.8018318368376751E-2</v>
      </c>
      <c r="V373" s="13">
        <f>((((VLOOKUP(B373,Database!$F:$AY,MATCH($V$1,Database!$F$1:$AY$1,),))))-(((VLOOKUP(EDATE(B373,-12),Database!$F:$AY,MATCH($V$1,Database!$F$1:$AY$1,),)))))/(((VLOOKUP(EDATE(B373,-12),Database!$F:$AY,MATCH($V$1,Database!$F$1:$AY$1,),))))</f>
        <v>6.6608238387379573E-2</v>
      </c>
    </row>
    <row r="374" spans="2:22" s="85" customFormat="1" x14ac:dyDescent="0.2">
      <c r="B374" s="91">
        <v>43525</v>
      </c>
      <c r="C374" s="13">
        <f>((((VLOOKUP(B374,Database!$F:$AY,MATCH($C$1,Database!$F$1:$AY$1,),))))-(((VLOOKUP(EDATE(B374,-12),Database!$F:$AY,MATCH($C$1,Database!$F$1:$AY$1,),)))))/(((VLOOKUP(EDATE(B374,-12),Database!$F:$AY,MATCH($C$1,Database!$F$1:$AY$1,),))))</f>
        <v>2.2648798978804417E-2</v>
      </c>
      <c r="D374" s="13">
        <f>((((VLOOKUP(B374,Database!$F:$AY,MATCH($D$1,Database!$F$1:$AY$1,),))))-(((VLOOKUP(EDATE(B374,-12),Database!$F:$AY,MATCH($D$1,Database!$F$1:$AY$1,),)))))/(((VLOOKUP(EDATE(B374,-12),Database!$F:$AY,MATCH($D$1,Database!$F$1:$AY$1,),))))</f>
        <v>-2.8521854871296211E-3</v>
      </c>
      <c r="E374" s="13">
        <f>((((VLOOKUP(B374,Database!$F:$AY,MATCH($E$1,Database!$F$1:$AY$1,),))))-(((VLOOKUP(EDATE(B374,-12),Database!$F:$AY,MATCH($E$1,Database!$F$1:$AY$1,),)))))/(((VLOOKUP(EDATE(B374,-12),Database!$F:$AY,MATCH($E$1,Database!$F$1:$AY$1,),))))</f>
        <v>-2.2878923228141886E-2</v>
      </c>
      <c r="F374" s="13">
        <f>((((VLOOKUP(B374,Database!$F:$AY,MATCH($F$1,Database!$F$1:$AY$1,),))))-(((VLOOKUP(EDATE(B374,-12),Database!$F:$AY,MATCH($F$1,Database!$F$1:$AY$1,),)))))/(((VLOOKUP(EDATE(B374,-12),Database!$F:$AY,MATCH($F$1,Database!$F$1:$AY$1,),))))</f>
        <v>-1.9699580921859347E-2</v>
      </c>
      <c r="G374" s="13">
        <f>((((VLOOKUP(B374,Database!$F:$AY,MATCH($G$1,Database!$F$1:$AY$1,),))))-(((VLOOKUP(EDATE(B374,-12),Database!$F:$AY,MATCH($G$1,Database!$F$1:$AY$1,),)))))/(((VLOOKUP(EDATE(B374,-12),Database!$F:$AY,MATCH($G$1,Database!$F$1:$AY$1,),))))</f>
        <v>-2.5986300407407062E-3</v>
      </c>
      <c r="H374" s="13">
        <f>((((VLOOKUP(B374,Database!$F:$AY,MATCH($H$1,Database!$F$1:$AY$1,),))))-(((VLOOKUP(EDATE(B374,-12),Database!$F:$AY,MATCH($H$1,Database!$F$1:$AY$1,),)))))/(((VLOOKUP(EDATE(B374,-12),Database!$F:$AY,MATCH($H$1,Database!$F$1:$AY$1,),))))</f>
        <v>1.097837392028206E-2</v>
      </c>
      <c r="I374" s="13">
        <f>((((VLOOKUP(B374,Database!$F:$AY,MATCH($I$1,Database!$F$1:$AY$1,),))))-(((VLOOKUP(EDATE(B374,-12),Database!$F:$AY,MATCH($I$1,Database!$F$1:$AY$1,),)))))/(((VLOOKUP(EDATE(B374,-12),Database!$F:$AY,MATCH($I$1,Database!$F$1:$AY$1,),))))</f>
        <v>-1.491176807768776E-2</v>
      </c>
      <c r="J374" s="13">
        <f>((((VLOOKUP(B374,Database!$F:$AY,MATCH($J$1,Database!$F$1:$AY$1,),))))-(((VLOOKUP(EDATE(B374,-12),Database!$F:$AY,MATCH($J$1,Database!$F$1:$AY$1,),)))))/(((VLOOKUP(EDATE(B374,-12),Database!$F:$AY,MATCH($J$1,Database!$F$1:$AY$1,),))))</f>
        <v>-2.7055530504138395E-2</v>
      </c>
      <c r="K374" s="13">
        <f>((((VLOOKUP(B374,Database!$F:$AY,MATCH($K$1,Database!$F$1:$AY$1,),))))-(((VLOOKUP(EDATE(B374,-12),Database!$F:$AY,MATCH($K$1,Database!$F$1:$AY$1,),)))))/(((VLOOKUP(EDATE(B374,-12),Database!$F:$AY,MATCH($K$1,Database!$F$1:$AY$1,),))))</f>
        <v>8.1892629663329521E-3</v>
      </c>
      <c r="L374" s="13"/>
      <c r="M374" s="13">
        <f>((((VLOOKUP(B374,Database!$F:$AY,MATCH($M$1,Database!$F$1:$AY$1,),))))-(((VLOOKUP(EDATE(B374,-12),Database!$F:$AY,MATCH($M$1,Database!$F$1:$AY$1,),)))))/(((VLOOKUP(EDATE(B374,-12),Database!$F:$AY,MATCH($M$1,Database!$F$1:$AY$1,),))))</f>
        <v>3.2317636195752543E-2</v>
      </c>
      <c r="N374" s="13"/>
      <c r="O374" s="13">
        <f>((((VLOOKUP(B374,Database!$F:$AY,MATCH($O$1,Database!$F$1:$AY$1,),))))-(((VLOOKUP(EDATE(B374,-12),Database!$F:$AY,MATCH($O$1,Database!$F$1:$AY$1,),)))))/(((VLOOKUP(EDATE(B374,-12),Database!$F:$AY,MATCH($O$1,Database!$F$1:$AY$1,),))))</f>
        <v>1.037732463940657E-2</v>
      </c>
      <c r="P374" s="13">
        <f>((((VLOOKUP(B374,Database!$F:$AY,MATCH($P$1,Database!$F$1:$AY$1,),))))-(((VLOOKUP(EDATE(B374,-12),Database!$F:$AY,MATCH($P$1,Database!$F$1:$AY$1,),)))))/(((VLOOKUP(EDATE(B374,-12),Database!$F:$AY,MATCH($P$1,Database!$F$1:$AY$1,),))))</f>
        <v>-9.5336791516550945E-3</v>
      </c>
      <c r="Q374" s="13">
        <f>((((VLOOKUP(B374,Database!$F:$AY,MATCH($Q$1,Database!$F$1:$AY$1,),))))-(((VLOOKUP(EDATE(B374,-12),Database!$F:$AY,MATCH($Q$1,Database!$F$1:$AY$1,),)))))/(((VLOOKUP(EDATE(B374,-12),Database!$F:$AY,MATCH($Q$1,Database!$F$1:$AY$1,),))))</f>
        <v>-2.9082794504376435E-2</v>
      </c>
      <c r="R374" s="13">
        <f>((((VLOOKUP(B374,Database!$F:$AY,MATCH($R$1,Database!$F$1:$AY$1,),))))-(((VLOOKUP(EDATE(B374,-12),Database!$F:$AY,MATCH($R$1,Database!$F$1:$AY$1,),)))))/(((VLOOKUP(EDATE(B374,-12),Database!$F:$AY,MATCH($R$1,Database!$F$1:$AY$1,),))))</f>
        <v>-7.3532388850240512E-3</v>
      </c>
      <c r="S374" s="13">
        <f>((((VLOOKUP(B374,Database!$F:$AY,MATCH($S$1,Database!$F$1:$AY$1,),))))-(((VLOOKUP(EDATE(B374,-12),Database!$F:$AY,MATCH($S$1,Database!$F$1:$AY$1,),)))))/(((VLOOKUP(EDATE(B374,-12),Database!$F:$AY,MATCH($S$1,Database!$F$1:$AY$1,),))))</f>
        <v>0.18147220231412198</v>
      </c>
      <c r="T374" s="13">
        <f>((((VLOOKUP(B374,Database!$F:$AY,MATCH($T$1,Database!$F$1:$AY$1,),))))-(((VLOOKUP(EDATE(B374,-12),Database!$F:$AY,MATCH($T$1,Database!$F$1:$AY$1,),)))))/(((VLOOKUP(EDATE(B374,-12),Database!$F:$AY,MATCH($T$1,Database!$F$1:$AY$1,),))))</f>
        <v>-2.1404174833012737E-2</v>
      </c>
      <c r="U374" s="13">
        <f>((((VLOOKUP(B374,Database!$F:$AY,MATCH($U$1,Database!$F$1:$AY$1,),))))-(((VLOOKUP(EDATE(B374,-12),Database!$F:$AY,MATCH($U$1,Database!$F$1:$AY$1,),)))))/(((VLOOKUP(EDATE(B374,-12),Database!$F:$AY,MATCH($U$1,Database!$F$1:$AY$1,),))))</f>
        <v>6.2113289528332987E-3</v>
      </c>
      <c r="V374" s="13">
        <f>((((VLOOKUP(B374,Database!$F:$AY,MATCH($V$1,Database!$F$1:$AY$1,),))))-(((VLOOKUP(EDATE(B374,-12),Database!$F:$AY,MATCH($V$1,Database!$F$1:$AY$1,),)))))/(((VLOOKUP(EDATE(B374,-12),Database!$F:$AY,MATCH($V$1,Database!$F$1:$AY$1,),))))</f>
        <v>7.9505300353356886E-2</v>
      </c>
    </row>
    <row r="375" spans="2:22" s="85" customFormat="1" x14ac:dyDescent="0.2">
      <c r="B375" s="91">
        <v>43556</v>
      </c>
      <c r="C375" s="13">
        <f>((((VLOOKUP(B375,Database!$F:$AY,MATCH($C$1,Database!$F$1:$AY$1,),))))-(((VLOOKUP(EDATE(B375,-12),Database!$F:$AY,MATCH($C$1,Database!$F$1:$AY$1,),)))))/(((VLOOKUP(EDATE(B375,-12),Database!$F:$AY,MATCH($C$1,Database!$F$1:$AY$1,),))))</f>
        <v>7.0833152955550099E-3</v>
      </c>
      <c r="D375" s="13">
        <f>((((VLOOKUP(B375,Database!$F:$AY,MATCH($D$1,Database!$F$1:$AY$1,),))))-(((VLOOKUP(EDATE(B375,-12),Database!$F:$AY,MATCH($D$1,Database!$F$1:$AY$1,),)))))/(((VLOOKUP(EDATE(B375,-12),Database!$F:$AY,MATCH($D$1,Database!$F$1:$AY$1,),))))</f>
        <v>-8.5556057328928514E-3</v>
      </c>
      <c r="E375" s="13">
        <f>((((VLOOKUP(B375,Database!$F:$AY,MATCH($E$1,Database!$F$1:$AY$1,),))))-(((VLOOKUP(EDATE(B375,-12),Database!$F:$AY,MATCH($E$1,Database!$F$1:$AY$1,),)))))/(((VLOOKUP(EDATE(B375,-12),Database!$F:$AY,MATCH($E$1,Database!$F$1:$AY$1,),))))</f>
        <v>-1.5340685176999472E-2</v>
      </c>
      <c r="F375" s="13">
        <f>((((VLOOKUP(B375,Database!$F:$AY,MATCH($F$1,Database!$F$1:$AY$1,),))))-(((VLOOKUP(EDATE(B375,-12),Database!$F:$AY,MATCH($F$1,Database!$F$1:$AY$1,),)))))/(((VLOOKUP(EDATE(B375,-12),Database!$F:$AY,MATCH($F$1,Database!$F$1:$AY$1,),))))</f>
        <v>-4.0528337882878143E-2</v>
      </c>
      <c r="G375" s="13">
        <f>((((VLOOKUP(B375,Database!$F:$AY,MATCH($G$1,Database!$F$1:$AY$1,),))))-(((VLOOKUP(EDATE(B375,-12),Database!$F:$AY,MATCH($G$1,Database!$F$1:$AY$1,),)))))/(((VLOOKUP(EDATE(B375,-12),Database!$F:$AY,MATCH($G$1,Database!$F$1:$AY$1,),))))</f>
        <v>1.4029495064832807E-2</v>
      </c>
      <c r="H375" s="13">
        <f>((((VLOOKUP(B375,Database!$F:$AY,MATCH($H$1,Database!$F$1:$AY$1,),))))-(((VLOOKUP(EDATE(B375,-12),Database!$F:$AY,MATCH($H$1,Database!$F$1:$AY$1,),)))))/(((VLOOKUP(EDATE(B375,-12),Database!$F:$AY,MATCH($H$1,Database!$F$1:$AY$1,),))))</f>
        <v>-2.3880785829085316E-2</v>
      </c>
      <c r="I375" s="13">
        <f>((((VLOOKUP(B375,Database!$F:$AY,MATCH($I$1,Database!$F$1:$AY$1,),))))-(((VLOOKUP(EDATE(B375,-12),Database!$F:$AY,MATCH($I$1,Database!$F$1:$AY$1,),)))))/(((VLOOKUP(EDATE(B375,-12),Database!$F:$AY,MATCH($I$1,Database!$F$1:$AY$1,),))))</f>
        <v>-1.0347997151219672E-2</v>
      </c>
      <c r="J375" s="13">
        <f>((((VLOOKUP(B375,Database!$F:$AY,MATCH($J$1,Database!$F$1:$AY$1,),))))-(((VLOOKUP(EDATE(B375,-12),Database!$F:$AY,MATCH($J$1,Database!$F$1:$AY$1,),)))))/(((VLOOKUP(EDATE(B375,-12),Database!$F:$AY,MATCH($J$1,Database!$F$1:$AY$1,),))))</f>
        <v>1.7584241170531922E-2</v>
      </c>
      <c r="K375" s="13">
        <f>((((VLOOKUP(B375,Database!$F:$AY,MATCH($K$1,Database!$F$1:$AY$1,),))))-(((VLOOKUP(EDATE(B375,-12),Database!$F:$AY,MATCH($K$1,Database!$F$1:$AY$1,),)))))/(((VLOOKUP(EDATE(B375,-12),Database!$F:$AY,MATCH($K$1,Database!$F$1:$AY$1,),))))</f>
        <v>5.3181386514719931E-2</v>
      </c>
      <c r="L375" s="13"/>
      <c r="M375" s="13"/>
      <c r="N375" s="13"/>
      <c r="O375" s="13">
        <f>((((VLOOKUP(B375,Database!$F:$AY,MATCH($O$1,Database!$F$1:$AY$1,),))))-(((VLOOKUP(EDATE(B375,-12),Database!$F:$AY,MATCH($O$1,Database!$F$1:$AY$1,),)))))/(((VLOOKUP(EDATE(B375,-12),Database!$F:$AY,MATCH($O$1,Database!$F$1:$AY$1,),))))</f>
        <v>2.7888592532743353E-2</v>
      </c>
      <c r="P375" s="13">
        <f>((((VLOOKUP(B375,Database!$F:$AY,MATCH($P$1,Database!$F$1:$AY$1,),))))-(((VLOOKUP(EDATE(B375,-12),Database!$F:$AY,MATCH($P$1,Database!$F$1:$AY$1,),)))))/(((VLOOKUP(EDATE(B375,-12),Database!$F:$AY,MATCH($P$1,Database!$F$1:$AY$1,),))))</f>
        <v>-1.3072048003989149E-2</v>
      </c>
      <c r="Q375" s="13">
        <f>((((VLOOKUP(B375,Database!$F:$AY,MATCH($Q$1,Database!$F$1:$AY$1,),))))-(((VLOOKUP(EDATE(B375,-12),Database!$F:$AY,MATCH($Q$1,Database!$F$1:$AY$1,),)))))/(((VLOOKUP(EDATE(B375,-12),Database!$F:$AY,MATCH($Q$1,Database!$F$1:$AY$1,),))))</f>
        <v>-3.1180386249013172E-2</v>
      </c>
      <c r="R375" s="13">
        <f>((((VLOOKUP(B375,Database!$F:$AY,MATCH($R$1,Database!$F$1:$AY$1,),))))-(((VLOOKUP(EDATE(B375,-12),Database!$F:$AY,MATCH($R$1,Database!$F$1:$AY$1,),)))))/(((VLOOKUP(EDATE(B375,-12),Database!$F:$AY,MATCH($R$1,Database!$F$1:$AY$1,),))))</f>
        <v>2.8090798730730119E-2</v>
      </c>
      <c r="S375" s="13">
        <f>((((VLOOKUP(B375,Database!$F:$AY,MATCH($S$1,Database!$F$1:$AY$1,),))))-(((VLOOKUP(EDATE(B375,-12),Database!$F:$AY,MATCH($S$1,Database!$F$1:$AY$1,),)))))/(((VLOOKUP(EDATE(B375,-12),Database!$F:$AY,MATCH($S$1,Database!$F$1:$AY$1,),))))</f>
        <v>3.1149283368002802E-2</v>
      </c>
      <c r="T375" s="13">
        <f>((((VLOOKUP(B375,Database!$F:$AY,MATCH($T$1,Database!$F$1:$AY$1,),))))-(((VLOOKUP(EDATE(B375,-12),Database!$F:$AY,MATCH($T$1,Database!$F$1:$AY$1,),)))))/(((VLOOKUP(EDATE(B375,-12),Database!$F:$AY,MATCH($T$1,Database!$F$1:$AY$1,),))))</f>
        <v>-3.725711363008951E-2</v>
      </c>
      <c r="U375" s="13">
        <f>((((VLOOKUP(B375,Database!$F:$AY,MATCH($U$1,Database!$F$1:$AY$1,),))))-(((VLOOKUP(EDATE(B375,-12),Database!$F:$AY,MATCH($U$1,Database!$F$1:$AY$1,),)))))/(((VLOOKUP(EDATE(B375,-12),Database!$F:$AY,MATCH($U$1,Database!$F$1:$AY$1,),))))</f>
        <v>3.5326539930568134E-2</v>
      </c>
      <c r="V375" s="13">
        <f>((((VLOOKUP(B375,Database!$F:$AY,MATCH($V$1,Database!$F$1:$AY$1,),))))-(((VLOOKUP(EDATE(B375,-12),Database!$F:$AY,MATCH($V$1,Database!$F$1:$AY$1,),)))))/(((VLOOKUP(EDATE(B375,-12),Database!$F:$AY,MATCH($V$1,Database!$F$1:$AY$1,),))))</f>
        <v>6.3588850174216005E-2</v>
      </c>
    </row>
    <row r="376" spans="2:22" s="85" customFormat="1" x14ac:dyDescent="0.2">
      <c r="B376" s="91">
        <v>43586</v>
      </c>
      <c r="C376" s="13">
        <f>((((VLOOKUP(B376,Database!$F:$AY,MATCH($C$1,Database!$F$1:$AY$1,),))))-(((VLOOKUP(EDATE(B376,-12),Database!$F:$AY,MATCH($C$1,Database!$F$1:$AY$1,),)))))/(((VLOOKUP(EDATE(B376,-12),Database!$F:$AY,MATCH($C$1,Database!$F$1:$AY$1,),))))</f>
        <v>1.7348047011364973E-2</v>
      </c>
      <c r="D376" s="13">
        <f>((((VLOOKUP(B376,Database!$F:$AY,MATCH($D$1,Database!$F$1:$AY$1,),))))-(((VLOOKUP(EDATE(B376,-12),Database!$F:$AY,MATCH($D$1,Database!$F$1:$AY$1,),)))))/(((VLOOKUP(EDATE(B376,-12),Database!$F:$AY,MATCH($D$1,Database!$F$1:$AY$1,),))))</f>
        <v>-1.0357658479803149E-2</v>
      </c>
      <c r="E376" s="13">
        <f>((((VLOOKUP(B376,Database!$F:$AY,MATCH($E$1,Database!$F$1:$AY$1,),))))-(((VLOOKUP(EDATE(B376,-12),Database!$F:$AY,MATCH($E$1,Database!$F$1:$AY$1,),)))))/(((VLOOKUP(EDATE(B376,-12),Database!$F:$AY,MATCH($E$1,Database!$F$1:$AY$1,),))))</f>
        <v>-6.6927172718954904E-3</v>
      </c>
      <c r="F376" s="13">
        <f>((((VLOOKUP(B376,Database!$F:$AY,MATCH($F$1,Database!$F$1:$AY$1,),))))-(((VLOOKUP(EDATE(B376,-12),Database!$F:$AY,MATCH($F$1,Database!$F$1:$AY$1,),)))))/(((VLOOKUP(EDATE(B376,-12),Database!$F:$AY,MATCH($F$1,Database!$F$1:$AY$1,),))))</f>
        <v>-4.7310072269484423E-2</v>
      </c>
      <c r="G376" s="13">
        <f>((((VLOOKUP(B376,Database!$F:$AY,MATCH($G$1,Database!$F$1:$AY$1,),))))-(((VLOOKUP(EDATE(B376,-12),Database!$F:$AY,MATCH($G$1,Database!$F$1:$AY$1,),)))))/(((VLOOKUP(EDATE(B376,-12),Database!$F:$AY,MATCH($G$1,Database!$F$1:$AY$1,),))))</f>
        <v>4.0413644730424962E-2</v>
      </c>
      <c r="H376" s="13">
        <f>((((VLOOKUP(B376,Database!$F:$AY,MATCH($H$1,Database!$F$1:$AY$1,),))))-(((VLOOKUP(EDATE(B376,-12),Database!$F:$AY,MATCH($H$1,Database!$F$1:$AY$1,),)))))/(((VLOOKUP(EDATE(B376,-12),Database!$F:$AY,MATCH($H$1,Database!$F$1:$AY$1,),))))</f>
        <v>-2.0105493339632086E-3</v>
      </c>
      <c r="I376" s="13">
        <f>((((VLOOKUP(B376,Database!$F:$AY,MATCH($I$1,Database!$F$1:$AY$1,),))))-(((VLOOKUP(EDATE(B376,-12),Database!$F:$AY,MATCH($I$1,Database!$F$1:$AY$1,),)))))/(((VLOOKUP(EDATE(B376,-12),Database!$F:$AY,MATCH($I$1,Database!$F$1:$AY$1,),))))</f>
        <v>-3.7552433959270057E-3</v>
      </c>
      <c r="J376" s="13">
        <f>((((VLOOKUP(B376,Database!$F:$AY,MATCH($J$1,Database!$F$1:$AY$1,),))))-(((VLOOKUP(EDATE(B376,-12),Database!$F:$AY,MATCH($J$1,Database!$F$1:$AY$1,),)))))/(((VLOOKUP(EDATE(B376,-12),Database!$F:$AY,MATCH($J$1,Database!$F$1:$AY$1,),))))</f>
        <v>1.2561114836776474E-2</v>
      </c>
      <c r="K376" s="13">
        <f>((((VLOOKUP(B376,Database!$F:$AY,MATCH($K$1,Database!$F$1:$AY$1,),))))-(((VLOOKUP(EDATE(B376,-12),Database!$F:$AY,MATCH($K$1,Database!$F$1:$AY$1,),)))))/(((VLOOKUP(EDATE(B376,-12),Database!$F:$AY,MATCH($K$1,Database!$F$1:$AY$1,),))))</f>
        <v>2.1838034576888002E-2</v>
      </c>
      <c r="L376" s="13"/>
      <c r="M376" s="13"/>
      <c r="N376" s="13"/>
      <c r="O376" s="13">
        <f>((((VLOOKUP(B376,Database!$F:$AY,MATCH($O$1,Database!$F$1:$AY$1,),))))-(((VLOOKUP(EDATE(B376,-12),Database!$F:$AY,MATCH($O$1,Database!$F$1:$AY$1,),)))))/(((VLOOKUP(EDATE(B376,-12),Database!$F:$AY,MATCH($O$1,Database!$F$1:$AY$1,),))))</f>
        <v>2.6463338337765225E-2</v>
      </c>
      <c r="P376" s="13">
        <f>((((VLOOKUP(B376,Database!$F:$AY,MATCH($P$1,Database!$F$1:$AY$1,),))))-(((VLOOKUP(EDATE(B376,-12),Database!$F:$AY,MATCH($P$1,Database!$F$1:$AY$1,),)))))/(((VLOOKUP(EDATE(B376,-12),Database!$F:$AY,MATCH($P$1,Database!$F$1:$AY$1,),))))</f>
        <v>-2.4185280628145598E-2</v>
      </c>
      <c r="Q376" s="13">
        <f>((((VLOOKUP(B376,Database!$F:$AY,MATCH($Q$1,Database!$F$1:$AY$1,),))))-(((VLOOKUP(EDATE(B376,-12),Database!$F:$AY,MATCH($Q$1,Database!$F$1:$AY$1,),)))))/(((VLOOKUP(EDATE(B376,-12),Database!$F:$AY,MATCH($Q$1,Database!$F$1:$AY$1,),))))</f>
        <v>8.9775528619614006E-2</v>
      </c>
      <c r="R376" s="13">
        <f>((((VLOOKUP(B376,Database!$F:$AY,MATCH($R$1,Database!$F$1:$AY$1,),))))-(((VLOOKUP(EDATE(B376,-12),Database!$F:$AY,MATCH($R$1,Database!$F$1:$AY$1,),)))))/(((VLOOKUP(EDATE(B376,-12),Database!$F:$AY,MATCH($R$1,Database!$F$1:$AY$1,),))))</f>
        <v>-2.7654336480471388E-3</v>
      </c>
      <c r="S376" s="13">
        <f>((((VLOOKUP(B376,Database!$F:$AY,MATCH($S$1,Database!$F$1:$AY$1,),))))-(((VLOOKUP(EDATE(B376,-12),Database!$F:$AY,MATCH($S$1,Database!$F$1:$AY$1,),)))))/(((VLOOKUP(EDATE(B376,-12),Database!$F:$AY,MATCH($S$1,Database!$F$1:$AY$1,),))))</f>
        <v>-1.0121625483866274E-3</v>
      </c>
      <c r="T376" s="13">
        <f>((((VLOOKUP(B376,Database!$F:$AY,MATCH($T$1,Database!$F$1:$AY$1,),))))-(((VLOOKUP(EDATE(B376,-12),Database!$F:$AY,MATCH($T$1,Database!$F$1:$AY$1,),)))))/(((VLOOKUP(EDATE(B376,-12),Database!$F:$AY,MATCH($T$1,Database!$F$1:$AY$1,),))))</f>
        <v>-1.2017309595734601E-2</v>
      </c>
      <c r="U376" s="13">
        <f>((((VLOOKUP(B376,Database!$F:$AY,MATCH($U$1,Database!$F$1:$AY$1,),))))-(((VLOOKUP(EDATE(B376,-12),Database!$F:$AY,MATCH($U$1,Database!$F$1:$AY$1,),)))))/(((VLOOKUP(EDATE(B376,-12),Database!$F:$AY,MATCH($U$1,Database!$F$1:$AY$1,),))))</f>
        <v>2.82688540754596E-2</v>
      </c>
      <c r="V376" s="13">
        <f>((((VLOOKUP(B376,Database!$F:$AY,MATCH($V$1,Database!$F$1:$AY$1,),))))-(((VLOOKUP(EDATE(B376,-12),Database!$F:$AY,MATCH($V$1,Database!$F$1:$AY$1,),)))))/(((VLOOKUP(EDATE(B376,-12),Database!$F:$AY,MATCH($V$1,Database!$F$1:$AY$1,),))))</f>
        <v>4.9785407725321862E-2</v>
      </c>
    </row>
    <row r="377" spans="2:22" s="85" customFormat="1" x14ac:dyDescent="0.2">
      <c r="B377" s="91">
        <v>43617</v>
      </c>
      <c r="C377" s="13">
        <f>((((VLOOKUP(B377,Database!$F:$AY,MATCH($C$1,Database!$F$1:$AY$1,),))))-(((VLOOKUP(EDATE(B377,-12),Database!$F:$AY,MATCH($C$1,Database!$F$1:$AY$1,),)))))/(((VLOOKUP(EDATE(B377,-12),Database!$F:$AY,MATCH($C$1,Database!$F$1:$AY$1,),))))</f>
        <v>1.0231089808371615E-2</v>
      </c>
      <c r="D377" s="13">
        <f>((((VLOOKUP(B377,Database!$F:$AY,MATCH($D$1,Database!$F$1:$AY$1,),))))-(((VLOOKUP(EDATE(B377,-12),Database!$F:$AY,MATCH($D$1,Database!$F$1:$AY$1,),)))))/(((VLOOKUP(EDATE(B377,-12),Database!$F:$AY,MATCH($D$1,Database!$F$1:$AY$1,),))))</f>
        <v>-2.16570935080517E-2</v>
      </c>
      <c r="E377" s="13">
        <f>((((VLOOKUP(B377,Database!$F:$AY,MATCH($E$1,Database!$F$1:$AY$1,),))))-(((VLOOKUP(EDATE(B377,-12),Database!$F:$AY,MATCH($E$1,Database!$F$1:$AY$1,),)))))/(((VLOOKUP(EDATE(B377,-12),Database!$F:$AY,MATCH($E$1,Database!$F$1:$AY$1,),))))</f>
        <v>-2.1236318845000643E-2</v>
      </c>
      <c r="F377" s="13">
        <f>((((VLOOKUP(B377,Database!$F:$AY,MATCH($F$1,Database!$F$1:$AY$1,),))))-(((VLOOKUP(EDATE(B377,-12),Database!$F:$AY,MATCH($F$1,Database!$F$1:$AY$1,),)))))/(((VLOOKUP(EDATE(B377,-12),Database!$F:$AY,MATCH($F$1,Database!$F$1:$AY$1,),))))</f>
        <v>-5.5813975123498692E-2</v>
      </c>
      <c r="G377" s="13">
        <f>((((VLOOKUP(B377,Database!$F:$AY,MATCH($G$1,Database!$F$1:$AY$1,),))))-(((VLOOKUP(EDATE(B377,-12),Database!$F:$AY,MATCH($G$1,Database!$F$1:$AY$1,),)))))/(((VLOOKUP(EDATE(B377,-12),Database!$F:$AY,MATCH($G$1,Database!$F$1:$AY$1,),))))</f>
        <v>-1.256270480832788E-3</v>
      </c>
      <c r="H377" s="13">
        <f>((((VLOOKUP(B377,Database!$F:$AY,MATCH($H$1,Database!$F$1:$AY$1,),))))-(((VLOOKUP(EDATE(B377,-12),Database!$F:$AY,MATCH($H$1,Database!$F$1:$AY$1,),)))))/(((VLOOKUP(EDATE(B377,-12),Database!$F:$AY,MATCH($H$1,Database!$F$1:$AY$1,),))))</f>
        <v>-1.2973917590582865E-2</v>
      </c>
      <c r="I377" s="13">
        <f>((((VLOOKUP(B377,Database!$F:$AY,MATCH($I$1,Database!$F$1:$AY$1,),))))-(((VLOOKUP(EDATE(B377,-12),Database!$F:$AY,MATCH($I$1,Database!$F$1:$AY$1,),)))))/(((VLOOKUP(EDATE(B377,-12),Database!$F:$AY,MATCH($I$1,Database!$F$1:$AY$1,),))))</f>
        <v>-1.0289911882280105E-2</v>
      </c>
      <c r="J377" s="13">
        <f>((((VLOOKUP(B377,Database!$F:$AY,MATCH($J$1,Database!$F$1:$AY$1,),))))-(((VLOOKUP(EDATE(B377,-12),Database!$F:$AY,MATCH($J$1,Database!$F$1:$AY$1,),)))))/(((VLOOKUP(EDATE(B377,-12),Database!$F:$AY,MATCH($J$1,Database!$F$1:$AY$1,),))))</f>
        <v>1.6552088691053977E-2</v>
      </c>
      <c r="K377" s="13">
        <f>((((VLOOKUP(B377,Database!$F:$AY,MATCH($K$1,Database!$F$1:$AY$1,),))))-(((VLOOKUP(EDATE(B377,-12),Database!$F:$AY,MATCH($K$1,Database!$F$1:$AY$1,),)))))/(((VLOOKUP(EDATE(B377,-12),Database!$F:$AY,MATCH($K$1,Database!$F$1:$AY$1,),))))</f>
        <v>2.5524156791248833E-2</v>
      </c>
      <c r="L377" s="13"/>
      <c r="M377" s="13"/>
      <c r="N377" s="13"/>
      <c r="O377" s="13">
        <f>((((VLOOKUP(B377,Database!$F:$AY,MATCH($O$1,Database!$F$1:$AY$1,),))))-(((VLOOKUP(EDATE(B377,-12),Database!$F:$AY,MATCH($O$1,Database!$F$1:$AY$1,),)))))/(((VLOOKUP(EDATE(B377,-12),Database!$F:$AY,MATCH($O$1,Database!$F$1:$AY$1,),))))</f>
        <v>1.0285635490432017E-2</v>
      </c>
      <c r="P377" s="13">
        <f>((((VLOOKUP(B377,Database!$F:$AY,MATCH($P$1,Database!$F$1:$AY$1,),))))-(((VLOOKUP(EDATE(B377,-12),Database!$F:$AY,MATCH($P$1,Database!$F$1:$AY$1,),)))))/(((VLOOKUP(EDATE(B377,-12),Database!$F:$AY,MATCH($P$1,Database!$F$1:$AY$1,),))))</f>
        <v>-2.3212710440055413E-2</v>
      </c>
      <c r="Q377" s="13">
        <f>((((VLOOKUP(B377,Database!$F:$AY,MATCH($Q$1,Database!$F$1:$AY$1,),))))-(((VLOOKUP(EDATE(B377,-12),Database!$F:$AY,MATCH($Q$1,Database!$F$1:$AY$1,),)))))/(((VLOOKUP(EDATE(B377,-12),Database!$F:$AY,MATCH($Q$1,Database!$F$1:$AY$1,),))))</f>
        <v>-4.097454516340801E-2</v>
      </c>
      <c r="R377" s="13">
        <f>((((VLOOKUP(B377,Database!$F:$AY,MATCH($R$1,Database!$F$1:$AY$1,),))))-(((VLOOKUP(EDATE(B377,-12),Database!$F:$AY,MATCH($R$1,Database!$F$1:$AY$1,),)))))/(((VLOOKUP(EDATE(B377,-12),Database!$F:$AY,MATCH($R$1,Database!$F$1:$AY$1,),))))</f>
        <v>-4.6090560800785213E-3</v>
      </c>
      <c r="S377" s="13">
        <f>((((VLOOKUP(B377,Database!$F:$AY,MATCH($S$1,Database!$F$1:$AY$1,),))))-(((VLOOKUP(EDATE(B377,-12),Database!$F:$AY,MATCH($S$1,Database!$F$1:$AY$1,),)))))/(((VLOOKUP(EDATE(B377,-12),Database!$F:$AY,MATCH($S$1,Database!$F$1:$AY$1,),))))</f>
        <v>-3.2057927746663571E-2</v>
      </c>
      <c r="T377" s="13">
        <f>((((VLOOKUP(B377,Database!$F:$AY,MATCH($T$1,Database!$F$1:$AY$1,),))))-(((VLOOKUP(EDATE(B377,-12),Database!$F:$AY,MATCH($T$1,Database!$F$1:$AY$1,),)))))/(((VLOOKUP(EDATE(B377,-12),Database!$F:$AY,MATCH($T$1,Database!$F$1:$AY$1,),))))</f>
        <v>-3.9542844086281378E-2</v>
      </c>
      <c r="U377" s="13">
        <f>((((VLOOKUP(B377,Database!$F:$AY,MATCH($U$1,Database!$F$1:$AY$1,),))))-(((VLOOKUP(EDATE(B377,-12),Database!$F:$AY,MATCH($U$1,Database!$F$1:$AY$1,),)))))/(((VLOOKUP(EDATE(B377,-12),Database!$F:$AY,MATCH($U$1,Database!$F$1:$AY$1,),))))</f>
        <v>-2.4264002329677018E-2</v>
      </c>
      <c r="V377" s="13">
        <f>((((VLOOKUP(B377,Database!$F:$AY,MATCH($V$1,Database!$F$1:$AY$1,),))))-(((VLOOKUP(EDATE(B377,-12),Database!$F:$AY,MATCH($V$1,Database!$F$1:$AY$1,),)))))/(((VLOOKUP(EDATE(B377,-12),Database!$F:$AY,MATCH($V$1,Database!$F$1:$AY$1,),))))</f>
        <v>2.1312872975277068E-2</v>
      </c>
    </row>
    <row r="378" spans="2:22" s="85" customFormat="1" x14ac:dyDescent="0.2">
      <c r="B378" s="91">
        <v>43647</v>
      </c>
      <c r="C378" s="13">
        <f>((((VLOOKUP(B378,Database!$F:$AY,MATCH($C$1,Database!$F$1:$AY$1,),))))-(((VLOOKUP(EDATE(B378,-12),Database!$F:$AY,MATCH($C$1,Database!$F$1:$AY$1,),)))))/(((VLOOKUP(EDATE(B378,-12),Database!$F:$AY,MATCH($C$1,Database!$F$1:$AY$1,),))))</f>
        <v>3.9871101644000234E-3</v>
      </c>
      <c r="D378" s="13">
        <f>((((VLOOKUP(B378,Database!$F:$AY,MATCH($D$1,Database!$F$1:$AY$1,),))))-(((VLOOKUP(EDATE(B378,-12),Database!$F:$AY,MATCH($D$1,Database!$F$1:$AY$1,),)))))/(((VLOOKUP(EDATE(B378,-12),Database!$F:$AY,MATCH($D$1,Database!$F$1:$AY$1,),))))</f>
        <v>-1.2369328860657013E-2</v>
      </c>
      <c r="E378" s="13">
        <f>((((VLOOKUP(B378,Database!$F:$AY,MATCH($E$1,Database!$F$1:$AY$1,),))))-(((VLOOKUP(EDATE(B378,-12),Database!$F:$AY,MATCH($E$1,Database!$F$1:$AY$1,),)))))/(((VLOOKUP(EDATE(B378,-12),Database!$F:$AY,MATCH($E$1,Database!$F$1:$AY$1,),))))</f>
        <v>-1.9268455768011578E-2</v>
      </c>
      <c r="F378" s="13">
        <f>((((VLOOKUP(B378,Database!$F:$AY,MATCH($F$1,Database!$F$1:$AY$1,),))))-(((VLOOKUP(EDATE(B378,-12),Database!$F:$AY,MATCH($F$1,Database!$F$1:$AY$1,),)))))/(((VLOOKUP(EDATE(B378,-12),Database!$F:$AY,MATCH($F$1,Database!$F$1:$AY$1,),))))</f>
        <v>-3.9809955711945677E-2</v>
      </c>
      <c r="G378" s="13">
        <f>((((VLOOKUP(B378,Database!$F:$AY,MATCH($G$1,Database!$F$1:$AY$1,),))))-(((VLOOKUP(EDATE(B378,-12),Database!$F:$AY,MATCH($G$1,Database!$F$1:$AY$1,),)))))/(((VLOOKUP(EDATE(B378,-12),Database!$F:$AY,MATCH($G$1,Database!$F$1:$AY$1,),))))</f>
        <v>2.3203897481314491E-3</v>
      </c>
      <c r="H378" s="13">
        <f>((((VLOOKUP(B378,Database!$F:$AY,MATCH($H$1,Database!$F$1:$AY$1,),))))-(((VLOOKUP(EDATE(B378,-12),Database!$F:$AY,MATCH($H$1,Database!$F$1:$AY$1,),)))))/(((VLOOKUP(EDATE(B378,-12),Database!$F:$AY,MATCH($H$1,Database!$F$1:$AY$1,),))))</f>
        <v>-1.8886115555147052E-2</v>
      </c>
      <c r="I378" s="13">
        <f>((((VLOOKUP(B378,Database!$F:$AY,MATCH($I$1,Database!$F$1:$AY$1,),))))-(((VLOOKUP(EDATE(B378,-12),Database!$F:$AY,MATCH($I$1,Database!$F$1:$AY$1,),)))))/(((VLOOKUP(EDATE(B378,-12),Database!$F:$AY,MATCH($I$1,Database!$F$1:$AY$1,),))))</f>
        <v>1.8869491052086269E-3</v>
      </c>
      <c r="J378" s="13">
        <f>((((VLOOKUP(B378,Database!$F:$AY,MATCH($J$1,Database!$F$1:$AY$1,),))))-(((VLOOKUP(EDATE(B378,-12),Database!$F:$AY,MATCH($J$1,Database!$F$1:$AY$1,),)))))/(((VLOOKUP(EDATE(B378,-12),Database!$F:$AY,MATCH($J$1,Database!$F$1:$AY$1,),))))</f>
        <v>1.5219085699457619E-2</v>
      </c>
      <c r="K378" s="13">
        <f>((((VLOOKUP(B378,Database!$F:$AY,MATCH($K$1,Database!$F$1:$AY$1,),))))-(((VLOOKUP(EDATE(B378,-12),Database!$F:$AY,MATCH($K$1,Database!$F$1:$AY$1,),)))))/(((VLOOKUP(EDATE(B378,-12),Database!$F:$AY,MATCH($K$1,Database!$F$1:$AY$1,),))))</f>
        <v>6.1147695202257761E-2</v>
      </c>
      <c r="L378" s="13"/>
      <c r="M378" s="13"/>
      <c r="N378" s="13"/>
      <c r="O378" s="13">
        <f>((((VLOOKUP(B378,Database!$F:$AY,MATCH($O$1,Database!$F$1:$AY$1,),))))-(((VLOOKUP(EDATE(B378,-12),Database!$F:$AY,MATCH($O$1,Database!$F$1:$AY$1,),)))))/(((VLOOKUP(EDATE(B378,-12),Database!$F:$AY,MATCH($O$1,Database!$F$1:$AY$1,),))))</f>
        <v>-1.7502669433702135E-2</v>
      </c>
      <c r="P378" s="13">
        <f>((((VLOOKUP(B378,Database!$F:$AY,MATCH($P$1,Database!$F$1:$AY$1,),))))-(((VLOOKUP(EDATE(B378,-12),Database!$F:$AY,MATCH($P$1,Database!$F$1:$AY$1,),)))))/(((VLOOKUP(EDATE(B378,-12),Database!$F:$AY,MATCH($P$1,Database!$F$1:$AY$1,),))))</f>
        <v>-1.8554424766446442E-3</v>
      </c>
      <c r="Q378" s="13">
        <f>((((VLOOKUP(B378,Database!$F:$AY,MATCH($Q$1,Database!$F$1:$AY$1,),))))-(((VLOOKUP(EDATE(B378,-12),Database!$F:$AY,MATCH($Q$1,Database!$F$1:$AY$1,),)))))/(((VLOOKUP(EDATE(B378,-12),Database!$F:$AY,MATCH($Q$1,Database!$F$1:$AY$1,),))))</f>
        <v>-4.6874925558469963E-2</v>
      </c>
      <c r="R378" s="13">
        <f>((((VLOOKUP(B378,Database!$F:$AY,MATCH($R$1,Database!$F$1:$AY$1,),))))-(((VLOOKUP(EDATE(B378,-12),Database!$F:$AY,MATCH($R$1,Database!$F$1:$AY$1,),)))))/(((VLOOKUP(EDATE(B378,-12),Database!$F:$AY,MATCH($R$1,Database!$F$1:$AY$1,),))))</f>
        <v>-2.5593813631059847E-2</v>
      </c>
      <c r="S378" s="13">
        <f>((((VLOOKUP(B378,Database!$F:$AY,MATCH($S$1,Database!$F$1:$AY$1,),))))-(((VLOOKUP(EDATE(B378,-12),Database!$F:$AY,MATCH($S$1,Database!$F$1:$AY$1,),)))))/(((VLOOKUP(EDATE(B378,-12),Database!$F:$AY,MATCH($S$1,Database!$F$1:$AY$1,),))))</f>
        <v>5.5555501093863091E-2</v>
      </c>
      <c r="T378" s="13">
        <f>((((VLOOKUP(B378,Database!$F:$AY,MATCH($T$1,Database!$F$1:$AY$1,),))))-(((VLOOKUP(EDATE(B378,-12),Database!$F:$AY,MATCH($T$1,Database!$F$1:$AY$1,),)))))/(((VLOOKUP(EDATE(B378,-12),Database!$F:$AY,MATCH($T$1,Database!$F$1:$AY$1,),))))</f>
        <v>-1.3841114833065767E-2</v>
      </c>
      <c r="U378" s="13">
        <f>((((VLOOKUP(B378,Database!$F:$AY,MATCH($U$1,Database!$F$1:$AY$1,),))))-(((VLOOKUP(EDATE(B378,-12),Database!$F:$AY,MATCH($U$1,Database!$F$1:$AY$1,),)))))/(((VLOOKUP(EDATE(B378,-12),Database!$F:$AY,MATCH($U$1,Database!$F$1:$AY$1,),))))</f>
        <v>-2.5129830959743641E-2</v>
      </c>
      <c r="V378" s="13">
        <f>((((VLOOKUP(B378,Database!$F:$AY,MATCH($V$1,Database!$F$1:$AY$1,),))))-(((VLOOKUP(EDATE(B378,-12),Database!$F:$AY,MATCH($V$1,Database!$F$1:$AY$1,),)))))/(((VLOOKUP(EDATE(B378,-12),Database!$F:$AY,MATCH($V$1,Database!$F$1:$AY$1,),))))</f>
        <v>3.2478632478632453E-2</v>
      </c>
    </row>
    <row r="379" spans="2:22" s="85" customFormat="1" x14ac:dyDescent="0.2">
      <c r="B379" s="91">
        <v>43678</v>
      </c>
      <c r="C379" s="13">
        <f>((((VLOOKUP(B379,Database!$F:$AY,MATCH($C$1,Database!$F$1:$AY$1,),))))-(((VLOOKUP(EDATE(B379,-12),Database!$F:$AY,MATCH($C$1,Database!$F$1:$AY$1,),)))))/(((VLOOKUP(EDATE(B379,-12),Database!$F:$AY,MATCH($C$1,Database!$F$1:$AY$1,),))))</f>
        <v>3.010473443764863E-3</v>
      </c>
      <c r="D379" s="13">
        <f>((((VLOOKUP(B379,Database!$F:$AY,MATCH($D$1,Database!$F$1:$AY$1,),))))-(((VLOOKUP(EDATE(B379,-12),Database!$F:$AY,MATCH($D$1,Database!$F$1:$AY$1,),)))))/(((VLOOKUP(EDATE(B379,-12),Database!$F:$AY,MATCH($D$1,Database!$F$1:$AY$1,),))))</f>
        <v>-2.0734844549939093E-2</v>
      </c>
      <c r="E379" s="13">
        <f>((((VLOOKUP(B379,Database!$F:$AY,MATCH($E$1,Database!$F$1:$AY$1,),))))-(((VLOOKUP(EDATE(B379,-12),Database!$F:$AY,MATCH($E$1,Database!$F$1:$AY$1,),)))))/(((VLOOKUP(EDATE(B379,-12),Database!$F:$AY,MATCH($E$1,Database!$F$1:$AY$1,),))))</f>
        <v>-2.9923333404124165E-2</v>
      </c>
      <c r="F379" s="13">
        <f>((((VLOOKUP(B379,Database!$F:$AY,MATCH($F$1,Database!$F$1:$AY$1,),))))-(((VLOOKUP(EDATE(B379,-12),Database!$F:$AY,MATCH($F$1,Database!$F$1:$AY$1,),)))))/(((VLOOKUP(EDATE(B379,-12),Database!$F:$AY,MATCH($F$1,Database!$F$1:$AY$1,),))))</f>
        <v>-3.8826152179348268E-2</v>
      </c>
      <c r="G379" s="13">
        <f>((((VLOOKUP(B379,Database!$F:$AY,MATCH($G$1,Database!$F$1:$AY$1,),))))-(((VLOOKUP(EDATE(B379,-12),Database!$F:$AY,MATCH($G$1,Database!$F$1:$AY$1,),)))))/(((VLOOKUP(EDATE(B379,-12),Database!$F:$AY,MATCH($G$1,Database!$F$1:$AY$1,),))))</f>
        <v>-1.4690223512230687E-2</v>
      </c>
      <c r="H379" s="13">
        <f>((((VLOOKUP(B379,Database!$F:$AY,MATCH($H$1,Database!$F$1:$AY$1,),))))-(((VLOOKUP(EDATE(B379,-12),Database!$F:$AY,MATCH($H$1,Database!$F$1:$AY$1,),)))))/(((VLOOKUP(EDATE(B379,-12),Database!$F:$AY,MATCH($H$1,Database!$F$1:$AY$1,),))))</f>
        <v>-2.2953558431172024E-2</v>
      </c>
      <c r="I379" s="13">
        <f>((((VLOOKUP(B379,Database!$F:$AY,MATCH($I$1,Database!$F$1:$AY$1,),))))-(((VLOOKUP(EDATE(B379,-12),Database!$F:$AY,MATCH($I$1,Database!$F$1:$AY$1,),)))))/(((VLOOKUP(EDATE(B379,-12),Database!$F:$AY,MATCH($I$1,Database!$F$1:$AY$1,),))))</f>
        <v>-1.4045177922130184E-2</v>
      </c>
      <c r="J379" s="13">
        <f>((((VLOOKUP(B379,Database!$F:$AY,MATCH($J$1,Database!$F$1:$AY$1,),))))-(((VLOOKUP(EDATE(B379,-12),Database!$F:$AY,MATCH($J$1,Database!$F$1:$AY$1,),)))))/(((VLOOKUP(EDATE(B379,-12),Database!$F:$AY,MATCH($J$1,Database!$F$1:$AY$1,),))))</f>
        <v>1.3259353136361587E-2</v>
      </c>
      <c r="K379" s="13">
        <f>((((VLOOKUP(B379,Database!$F:$AY,MATCH($K$1,Database!$F$1:$AY$1,),))))-(((VLOOKUP(EDATE(B379,-12),Database!$F:$AY,MATCH($K$1,Database!$F$1:$AY$1,),)))))/(((VLOOKUP(EDATE(B379,-12),Database!$F:$AY,MATCH($K$1,Database!$F$1:$AY$1,),))))</f>
        <v>4.8507462686567186E-2</v>
      </c>
      <c r="L379" s="13"/>
      <c r="M379" s="13"/>
      <c r="N379" s="13"/>
      <c r="O379" s="13">
        <f>((((VLOOKUP(B379,Database!$F:$AY,MATCH($O$1,Database!$F$1:$AY$1,),))))-(((VLOOKUP(EDATE(B379,-12),Database!$F:$AY,MATCH($O$1,Database!$F$1:$AY$1,),)))))/(((VLOOKUP(EDATE(B379,-12),Database!$F:$AY,MATCH($O$1,Database!$F$1:$AY$1,),))))</f>
        <v>-2.0074602414497159E-2</v>
      </c>
      <c r="P379" s="13">
        <f>((((VLOOKUP(B379,Database!$F:$AY,MATCH($P$1,Database!$F$1:$AY$1,),))))-(((VLOOKUP(EDATE(B379,-12),Database!$F:$AY,MATCH($P$1,Database!$F$1:$AY$1,),)))))/(((VLOOKUP(EDATE(B379,-12),Database!$F:$AY,MATCH($P$1,Database!$F$1:$AY$1,),))))</f>
        <v>-2.6580585548382218E-2</v>
      </c>
      <c r="Q379" s="13">
        <f>((((VLOOKUP(B379,Database!$F:$AY,MATCH($Q$1,Database!$F$1:$AY$1,),))))-(((VLOOKUP(EDATE(B379,-12),Database!$F:$AY,MATCH($Q$1,Database!$F$1:$AY$1,),)))))/(((VLOOKUP(EDATE(B379,-12),Database!$F:$AY,MATCH($Q$1,Database!$F$1:$AY$1,),))))</f>
        <v>-2.2522553851654924E-2</v>
      </c>
      <c r="R379" s="13">
        <f>((((VLOOKUP(B379,Database!$F:$AY,MATCH($R$1,Database!$F$1:$AY$1,),))))-(((VLOOKUP(EDATE(B379,-12),Database!$F:$AY,MATCH($R$1,Database!$F$1:$AY$1,),)))))/(((VLOOKUP(EDATE(B379,-12),Database!$F:$AY,MATCH($R$1,Database!$F$1:$AY$1,),))))</f>
        <v>-2.7467918186677154E-3</v>
      </c>
      <c r="S379" s="13">
        <f>((((VLOOKUP(B379,Database!$F:$AY,MATCH($S$1,Database!$F$1:$AY$1,),))))-(((VLOOKUP(EDATE(B379,-12),Database!$F:$AY,MATCH($S$1,Database!$F$1:$AY$1,),)))))/(((VLOOKUP(EDATE(B379,-12),Database!$F:$AY,MATCH($S$1,Database!$F$1:$AY$1,),))))</f>
        <v>-5.9763924133837956E-3</v>
      </c>
      <c r="T379" s="13">
        <f>((((VLOOKUP(B379,Database!$F:$AY,MATCH($T$1,Database!$F$1:$AY$1,),))))-(((VLOOKUP(EDATE(B379,-12),Database!$F:$AY,MATCH($T$1,Database!$F$1:$AY$1,),)))))/(((VLOOKUP(EDATE(B379,-12),Database!$F:$AY,MATCH($T$1,Database!$F$1:$AY$1,),))))</f>
        <v>-4.1343678153988733E-2</v>
      </c>
      <c r="U379" s="13">
        <f>((((VLOOKUP(B379,Database!$F:$AY,MATCH($U$1,Database!$F$1:$AY$1,),))))-(((VLOOKUP(EDATE(B379,-12),Database!$F:$AY,MATCH($U$1,Database!$F$1:$AY$1,),)))))/(((VLOOKUP(EDATE(B379,-12),Database!$F:$AY,MATCH($U$1,Database!$F$1:$AY$1,),))))</f>
        <v>-7.94307258668921E-3</v>
      </c>
      <c r="V379" s="13">
        <f>((((VLOOKUP(B379,Database!$F:$AY,MATCH($V$1,Database!$F$1:$AY$1,),))))-(((VLOOKUP(EDATE(B379,-12),Database!$F:$AY,MATCH($V$1,Database!$F$1:$AY$1,),)))))/(((VLOOKUP(EDATE(B379,-12),Database!$F:$AY,MATCH($V$1,Database!$F$1:$AY$1,),))))</f>
        <v>9.3141405588485059E-3</v>
      </c>
    </row>
    <row r="380" spans="2:22" s="85" customFormat="1" x14ac:dyDescent="0.2">
      <c r="B380" s="91">
        <v>43709</v>
      </c>
      <c r="C380" s="13">
        <f>((((VLOOKUP(B380,Database!$F:$AY,MATCH($C$1,Database!$F$1:$AY$1,),))))-(((VLOOKUP(EDATE(B380,-12),Database!$F:$AY,MATCH($C$1,Database!$F$1:$AY$1,),)))))/(((VLOOKUP(EDATE(B380,-12),Database!$F:$AY,MATCH($C$1,Database!$F$1:$AY$1,),))))</f>
        <v>-1.8453862495942019E-3</v>
      </c>
      <c r="D380" s="13">
        <f>((((VLOOKUP(B380,Database!$F:$AY,MATCH($D$1,Database!$F$1:$AY$1,),))))-(((VLOOKUP(EDATE(B380,-12),Database!$F:$AY,MATCH($D$1,Database!$F$1:$AY$1,),)))))/(((VLOOKUP(EDATE(B380,-12),Database!$F:$AY,MATCH($D$1,Database!$F$1:$AY$1,),))))</f>
        <v>-1.5165563165039841E-2</v>
      </c>
      <c r="E380" s="13">
        <f>((((VLOOKUP(B380,Database!$F:$AY,MATCH($E$1,Database!$F$1:$AY$1,),))))-(((VLOOKUP(EDATE(B380,-12),Database!$F:$AY,MATCH($E$1,Database!$F$1:$AY$1,),)))))/(((VLOOKUP(EDATE(B380,-12),Database!$F:$AY,MATCH($E$1,Database!$F$1:$AY$1,),))))</f>
        <v>-7.7441103518782186E-3</v>
      </c>
      <c r="F380" s="13">
        <f>((((VLOOKUP(B380,Database!$F:$AY,MATCH($F$1,Database!$F$1:$AY$1,),))))-(((VLOOKUP(EDATE(B380,-12),Database!$F:$AY,MATCH($F$1,Database!$F$1:$AY$1,),)))))/(((VLOOKUP(EDATE(B380,-12),Database!$F:$AY,MATCH($F$1,Database!$F$1:$AY$1,),))))</f>
        <v>-4.7303843650180914E-2</v>
      </c>
      <c r="G380" s="13">
        <f>((((VLOOKUP(B380,Database!$F:$AY,MATCH($G$1,Database!$F$1:$AY$1,),))))-(((VLOOKUP(EDATE(B380,-12),Database!$F:$AY,MATCH($G$1,Database!$F$1:$AY$1,),)))))/(((VLOOKUP(EDATE(B380,-12),Database!$F:$AY,MATCH($G$1,Database!$F$1:$AY$1,),))))</f>
        <v>7.6780356669053536E-3</v>
      </c>
      <c r="H380" s="13">
        <f>((((VLOOKUP(B380,Database!$F:$AY,MATCH($H$1,Database!$F$1:$AY$1,),))))-(((VLOOKUP(EDATE(B380,-12),Database!$F:$AY,MATCH($H$1,Database!$F$1:$AY$1,),)))))/(((VLOOKUP(EDATE(B380,-12),Database!$F:$AY,MATCH($H$1,Database!$F$1:$AY$1,),))))</f>
        <v>-2.0916255354256327E-2</v>
      </c>
      <c r="I380" s="13">
        <f>((((VLOOKUP(B380,Database!$F:$AY,MATCH($I$1,Database!$F$1:$AY$1,),))))-(((VLOOKUP(EDATE(B380,-12),Database!$F:$AY,MATCH($I$1,Database!$F$1:$AY$1,),)))))/(((VLOOKUP(EDATE(B380,-12),Database!$F:$AY,MATCH($I$1,Database!$F$1:$AY$1,),))))</f>
        <v>-1.8726279624425569E-2</v>
      </c>
      <c r="J380" s="13">
        <f>((((VLOOKUP(B380,Database!$F:$AY,MATCH($J$1,Database!$F$1:$AY$1,),))))-(((VLOOKUP(EDATE(B380,-12),Database!$F:$AY,MATCH($J$1,Database!$F$1:$AY$1,),)))))/(((VLOOKUP(EDATE(B380,-12),Database!$F:$AY,MATCH($J$1,Database!$F$1:$AY$1,),))))</f>
        <v>3.5162713078914112E-3</v>
      </c>
      <c r="K380" s="13">
        <f>((((VLOOKUP(B380,Database!$F:$AY,MATCH($K$1,Database!$F$1:$AY$1,),))))-(((VLOOKUP(EDATE(B380,-12),Database!$F:$AY,MATCH($K$1,Database!$F$1:$AY$1,),)))))/(((VLOOKUP(EDATE(B380,-12),Database!$F:$AY,MATCH($K$1,Database!$F$1:$AY$1,),))))</f>
        <v>2.5688073394495387E-2</v>
      </c>
      <c r="L380" s="13"/>
      <c r="M380" s="13"/>
      <c r="N380" s="13"/>
      <c r="O380" s="13">
        <f>((((VLOOKUP(B380,Database!$F:$AY,MATCH($O$1,Database!$F$1:$AY$1,),))))-(((VLOOKUP(EDATE(B380,-12),Database!$F:$AY,MATCH($O$1,Database!$F$1:$AY$1,),)))))/(((VLOOKUP(EDATE(B380,-12),Database!$F:$AY,MATCH($O$1,Database!$F$1:$AY$1,),))))</f>
        <v>-2.0164336772135551E-2</v>
      </c>
      <c r="P380" s="13">
        <f>((((VLOOKUP(B380,Database!$F:$AY,MATCH($P$1,Database!$F$1:$AY$1,),))))-(((VLOOKUP(EDATE(B380,-12),Database!$F:$AY,MATCH($P$1,Database!$F$1:$AY$1,),)))))/(((VLOOKUP(EDATE(B380,-12),Database!$F:$AY,MATCH($P$1,Database!$F$1:$AY$1,),))))</f>
        <v>1.4084745110154714E-2</v>
      </c>
      <c r="Q380" s="13">
        <f>((((VLOOKUP(B380,Database!$F:$AY,MATCH($Q$1,Database!$F$1:$AY$1,),))))-(((VLOOKUP(EDATE(B380,-12),Database!$F:$AY,MATCH($Q$1,Database!$F$1:$AY$1,),)))))/(((VLOOKUP(EDATE(B380,-12),Database!$F:$AY,MATCH($Q$1,Database!$F$1:$AY$1,),))))</f>
        <v>4.6241997687899777E-3</v>
      </c>
      <c r="R380" s="13">
        <f>((((VLOOKUP(B380,Database!$F:$AY,MATCH($R$1,Database!$F$1:$AY$1,),))))-(((VLOOKUP(EDATE(B380,-12),Database!$F:$AY,MATCH($R$1,Database!$F$1:$AY$1,),)))))/(((VLOOKUP(EDATE(B380,-12),Database!$F:$AY,MATCH($R$1,Database!$F$1:$AY$1,),))))</f>
        <v>1.3889339517085198E-2</v>
      </c>
      <c r="S380" s="13">
        <f>((((VLOOKUP(B380,Database!$F:$AY,MATCH($S$1,Database!$F$1:$AY$1,),))))-(((VLOOKUP(EDATE(B380,-12),Database!$F:$AY,MATCH($S$1,Database!$F$1:$AY$1,),)))))/(((VLOOKUP(EDATE(B380,-12),Database!$F:$AY,MATCH($S$1,Database!$F$1:$AY$1,),))))</f>
        <v>4.5226483140248942E-2</v>
      </c>
      <c r="T380" s="13">
        <f>((((VLOOKUP(B380,Database!$F:$AY,MATCH($T$1,Database!$F$1:$AY$1,),))))-(((VLOOKUP(EDATE(B380,-12),Database!$F:$AY,MATCH($T$1,Database!$F$1:$AY$1,),)))))/(((VLOOKUP(EDATE(B380,-12),Database!$F:$AY,MATCH($T$1,Database!$F$1:$AY$1,),))))</f>
        <v>3.0384115927418544E-2</v>
      </c>
      <c r="U380" s="13">
        <f>((((VLOOKUP(B380,Database!$F:$AY,MATCH($U$1,Database!$F$1:$AY$1,),))))-(((VLOOKUP(EDATE(B380,-12),Database!$F:$AY,MATCH($U$1,Database!$F$1:$AY$1,),)))))/(((VLOOKUP(EDATE(B380,-12),Database!$F:$AY,MATCH($U$1,Database!$F$1:$AY$1,),))))</f>
        <v>-9.6320753890752567E-3</v>
      </c>
      <c r="V380" s="13">
        <f>((((VLOOKUP(B380,Database!$F:$AY,MATCH($V$1,Database!$F$1:$AY$1,),))))-(((VLOOKUP(EDATE(B380,-12),Database!$F:$AY,MATCH($V$1,Database!$F$1:$AY$1,),)))))/(((VLOOKUP(EDATE(B380,-12),Database!$F:$AY,MATCH($V$1,Database!$F$1:$AY$1,),))))</f>
        <v>3.162393162393165E-2</v>
      </c>
    </row>
    <row r="381" spans="2:22" s="85" customFormat="1" x14ac:dyDescent="0.2">
      <c r="B381" s="91">
        <v>43739</v>
      </c>
      <c r="C381" s="13">
        <f>((((VLOOKUP(B381,Database!$F:$AY,MATCH($C$1,Database!$F$1:$AY$1,),))))-(((VLOOKUP(EDATE(B381,-12),Database!$F:$AY,MATCH($C$1,Database!$F$1:$AY$1,),)))))/(((VLOOKUP(EDATE(B381,-12),Database!$F:$AY,MATCH($C$1,Database!$F$1:$AY$1,),))))</f>
        <v>-8.0918164958256999E-3</v>
      </c>
      <c r="D381" s="13">
        <f>((((VLOOKUP(B381,Database!$F:$AY,MATCH($D$1,Database!$F$1:$AY$1,),))))-(((VLOOKUP(EDATE(B381,-12),Database!$F:$AY,MATCH($D$1,Database!$F$1:$AY$1,),)))))/(((VLOOKUP(EDATE(B381,-12),Database!$F:$AY,MATCH($D$1,Database!$F$1:$AY$1,),))))</f>
        <v>-2.0872555569051415E-2</v>
      </c>
      <c r="E381" s="13">
        <f>((((VLOOKUP(B381,Database!$F:$AY,MATCH($E$1,Database!$F$1:$AY$1,),))))-(((VLOOKUP(EDATE(B381,-12),Database!$F:$AY,MATCH($E$1,Database!$F$1:$AY$1,),)))))/(((VLOOKUP(EDATE(B381,-12),Database!$F:$AY,MATCH($E$1,Database!$F$1:$AY$1,),))))</f>
        <v>-6.6476495661555807E-2</v>
      </c>
      <c r="F381" s="13">
        <f>((((VLOOKUP(B381,Database!$F:$AY,MATCH($F$1,Database!$F$1:$AY$1,),))))-(((VLOOKUP(EDATE(B381,-12),Database!$F:$AY,MATCH($F$1,Database!$F$1:$AY$1,),)))))/(((VLOOKUP(EDATE(B381,-12),Database!$F:$AY,MATCH($F$1,Database!$F$1:$AY$1,),))))</f>
        <v>-5.6871947612691945E-2</v>
      </c>
      <c r="G381" s="13">
        <f>((((VLOOKUP(B381,Database!$F:$AY,MATCH($G$1,Database!$F$1:$AY$1,),))))-(((VLOOKUP(EDATE(B381,-12),Database!$F:$AY,MATCH($G$1,Database!$F$1:$AY$1,),)))))/(((VLOOKUP(EDATE(B381,-12),Database!$F:$AY,MATCH($G$1,Database!$F$1:$AY$1,),))))</f>
        <v>-8.6829926223495608E-4</v>
      </c>
      <c r="H381" s="13">
        <f>((((VLOOKUP(B381,Database!$F:$AY,MATCH($H$1,Database!$F$1:$AY$1,),))))-(((VLOOKUP(EDATE(B381,-12),Database!$F:$AY,MATCH($H$1,Database!$F$1:$AY$1,),)))))/(((VLOOKUP(EDATE(B381,-12),Database!$F:$AY,MATCH($H$1,Database!$F$1:$AY$1,),))))</f>
        <v>-7.0354706592413857E-3</v>
      </c>
      <c r="I381" s="13">
        <f>((((VLOOKUP(B381,Database!$F:$AY,MATCH($I$1,Database!$F$1:$AY$1,),))))-(((VLOOKUP(EDATE(B381,-12),Database!$F:$AY,MATCH($I$1,Database!$F$1:$AY$1,),)))))/(((VLOOKUP(EDATE(B381,-12),Database!$F:$AY,MATCH($I$1,Database!$F$1:$AY$1,),))))</f>
        <v>-2.6290459953930433E-2</v>
      </c>
      <c r="J381" s="13">
        <f>((((VLOOKUP(B381,Database!$F:$AY,MATCH($J$1,Database!$F$1:$AY$1,),))))-(((VLOOKUP(EDATE(B381,-12),Database!$F:$AY,MATCH($J$1,Database!$F$1:$AY$1,),)))))/(((VLOOKUP(EDATE(B381,-12),Database!$F:$AY,MATCH($J$1,Database!$F$1:$AY$1,),))))</f>
        <v>-1.8532938940870373E-2</v>
      </c>
      <c r="K381" s="13">
        <f>((((VLOOKUP(B381,Database!$F:$AY,MATCH($K$1,Database!$F$1:$AY$1,),))))-(((VLOOKUP(EDATE(B381,-12),Database!$F:$AY,MATCH($K$1,Database!$F$1:$AY$1,),)))))/(((VLOOKUP(EDATE(B381,-12),Database!$F:$AY,MATCH($K$1,Database!$F$1:$AY$1,),))))</f>
        <v>1.7985611510791622E-3</v>
      </c>
      <c r="L381" s="13"/>
      <c r="M381" s="13"/>
      <c r="N381" s="13"/>
      <c r="O381" s="13">
        <f>((((VLOOKUP(B381,Database!$F:$AY,MATCH($O$1,Database!$F$1:$AY$1,),))))-(((VLOOKUP(EDATE(B381,-12),Database!$F:$AY,MATCH($O$1,Database!$F$1:$AY$1,),)))))/(((VLOOKUP(EDATE(B381,-12),Database!$F:$AY,MATCH($O$1,Database!$F$1:$AY$1,),))))</f>
        <v>-1.8802183874602856E-2</v>
      </c>
      <c r="P381" s="13">
        <f>((((VLOOKUP(B381,Database!$F:$AY,MATCH($P$1,Database!$F$1:$AY$1,),))))-(((VLOOKUP(EDATE(B381,-12),Database!$F:$AY,MATCH($P$1,Database!$F$1:$AY$1,),)))))/(((VLOOKUP(EDATE(B381,-12),Database!$F:$AY,MATCH($P$1,Database!$F$1:$AY$1,),))))</f>
        <v>-1.0185108018260829E-2</v>
      </c>
      <c r="Q381" s="13">
        <f>((((VLOOKUP(B381,Database!$F:$AY,MATCH($Q$1,Database!$F$1:$AY$1,),))))-(((VLOOKUP(EDATE(B381,-12),Database!$F:$AY,MATCH($Q$1,Database!$F$1:$AY$1,),)))))/(((VLOOKUP(EDATE(B381,-12),Database!$F:$AY,MATCH($Q$1,Database!$F$1:$AY$1,),))))</f>
        <v>1.2585809622274966E-2</v>
      </c>
      <c r="R381" s="13">
        <f>((((VLOOKUP(B381,Database!$F:$AY,MATCH($R$1,Database!$F$1:$AY$1,),))))-(((VLOOKUP(EDATE(B381,-12),Database!$F:$AY,MATCH($R$1,Database!$F$1:$AY$1,),)))))/(((VLOOKUP(EDATE(B381,-12),Database!$F:$AY,MATCH($R$1,Database!$F$1:$AY$1,),))))</f>
        <v>-6.4636723494968717E-3</v>
      </c>
      <c r="S381" s="13">
        <f>((((VLOOKUP(B381,Database!$F:$AY,MATCH($S$1,Database!$F$1:$AY$1,),))))-(((VLOOKUP(EDATE(B381,-12),Database!$F:$AY,MATCH($S$1,Database!$F$1:$AY$1,),)))))/(((VLOOKUP(EDATE(B381,-12),Database!$F:$AY,MATCH($S$1,Database!$F$1:$AY$1,),))))</f>
        <v>9.6472866785799166E-2</v>
      </c>
      <c r="T381" s="13">
        <f>((((VLOOKUP(B381,Database!$F:$AY,MATCH($T$1,Database!$F$1:$AY$1,),))))-(((VLOOKUP(EDATE(B381,-12),Database!$F:$AY,MATCH($T$1,Database!$F$1:$AY$1,),)))))/(((VLOOKUP(EDATE(B381,-12),Database!$F:$AY,MATCH($T$1,Database!$F$1:$AY$1,),))))</f>
        <v>4.1780057915829436E-2</v>
      </c>
      <c r="U381" s="13">
        <f>((((VLOOKUP(B381,Database!$F:$AY,MATCH($U$1,Database!$F$1:$AY$1,),))))-(((VLOOKUP(EDATE(B381,-12),Database!$F:$AY,MATCH($U$1,Database!$F$1:$AY$1,),)))))/(((VLOOKUP(EDATE(B381,-12),Database!$F:$AY,MATCH($U$1,Database!$F$1:$AY$1,),))))</f>
        <v>-2.6450616548966983E-3</v>
      </c>
      <c r="V381" s="13">
        <f>((((VLOOKUP(B381,Database!$F:$AY,MATCH($V$1,Database!$F$1:$AY$1,),))))-(((VLOOKUP(EDATE(B381,-12),Database!$F:$AY,MATCH($V$1,Database!$F$1:$AY$1,),)))))/(((VLOOKUP(EDATE(B381,-12),Database!$F:$AY,MATCH($V$1,Database!$F$1:$AY$1,),))))</f>
        <v>3.6471586089906673E-2</v>
      </c>
    </row>
    <row r="382" spans="2:22" s="85" customFormat="1" x14ac:dyDescent="0.2">
      <c r="B382" s="91">
        <v>43770</v>
      </c>
      <c r="C382" s="13">
        <f>((((VLOOKUP(B382,Database!$F:$AY,MATCH($C$1,Database!$F$1:$AY$1,),))))-(((VLOOKUP(EDATE(B382,-12),Database!$F:$AY,MATCH($C$1,Database!$F$1:$AY$1,),)))))/(((VLOOKUP(EDATE(B382,-12),Database!$F:$AY,MATCH($C$1,Database!$F$1:$AY$1,),))))</f>
        <v>-4.2339228227660621E-3</v>
      </c>
      <c r="D382" s="13">
        <f>((((VLOOKUP(B382,Database!$F:$AY,MATCH($D$1,Database!$F$1:$AY$1,),))))-(((VLOOKUP(EDATE(B382,-12),Database!$F:$AY,MATCH($D$1,Database!$F$1:$AY$1,),)))))/(((VLOOKUP(EDATE(B382,-12),Database!$F:$AY,MATCH($D$1,Database!$F$1:$AY$1,),))))</f>
        <v>-1.2464207835247728E-2</v>
      </c>
      <c r="E382" s="13">
        <f>((((VLOOKUP(B382,Database!$F:$AY,MATCH($E$1,Database!$F$1:$AY$1,),))))-(((VLOOKUP(EDATE(B382,-12),Database!$F:$AY,MATCH($E$1,Database!$F$1:$AY$1,),)))))/(((VLOOKUP(EDATE(B382,-12),Database!$F:$AY,MATCH($E$1,Database!$F$1:$AY$1,),))))</f>
        <v>-6.1479105362311721E-2</v>
      </c>
      <c r="F382" s="13">
        <f>((((VLOOKUP(B382,Database!$F:$AY,MATCH($F$1,Database!$F$1:$AY$1,),))))-(((VLOOKUP(EDATE(B382,-12),Database!$F:$AY,MATCH($F$1,Database!$F$1:$AY$1,),)))))/(((VLOOKUP(EDATE(B382,-12),Database!$F:$AY,MATCH($F$1,Database!$F$1:$AY$1,),))))</f>
        <v>-3.4682064217266544E-2</v>
      </c>
      <c r="G382" s="13">
        <f>((((VLOOKUP(B382,Database!$F:$AY,MATCH($G$1,Database!$F$1:$AY$1,),))))-(((VLOOKUP(EDATE(B382,-12),Database!$F:$AY,MATCH($G$1,Database!$F$1:$AY$1,),)))))/(((VLOOKUP(EDATE(B382,-12),Database!$F:$AY,MATCH($G$1,Database!$F$1:$AY$1,),))))</f>
        <v>4.6696740664786867E-3</v>
      </c>
      <c r="H382" s="13">
        <f>((((VLOOKUP(B382,Database!$F:$AY,MATCH($H$1,Database!$F$1:$AY$1,),))))-(((VLOOKUP(EDATE(B382,-12),Database!$F:$AY,MATCH($H$1,Database!$F$1:$AY$1,),)))))/(((VLOOKUP(EDATE(B382,-12),Database!$F:$AY,MATCH($H$1,Database!$F$1:$AY$1,),))))</f>
        <v>-1.112170475672011E-2</v>
      </c>
      <c r="I382" s="13">
        <f>((((VLOOKUP(B382,Database!$F:$AY,MATCH($I$1,Database!$F$1:$AY$1,),))))-(((VLOOKUP(EDATE(B382,-12),Database!$F:$AY,MATCH($I$1,Database!$F$1:$AY$1,),)))))/(((VLOOKUP(EDATE(B382,-12),Database!$F:$AY,MATCH($I$1,Database!$F$1:$AY$1,),))))</f>
        <v>-4.7805123370681882E-3</v>
      </c>
      <c r="J382" s="13">
        <f>((((VLOOKUP(B382,Database!$F:$AY,MATCH($J$1,Database!$F$1:$AY$1,),))))-(((VLOOKUP(EDATE(B382,-12),Database!$F:$AY,MATCH($J$1,Database!$F$1:$AY$1,),)))))/(((VLOOKUP(EDATE(B382,-12),Database!$F:$AY,MATCH($J$1,Database!$F$1:$AY$1,),))))</f>
        <v>1.5361705763807958E-2</v>
      </c>
      <c r="K382" s="13">
        <f>((((VLOOKUP(B382,Database!$F:$AY,MATCH($K$1,Database!$F$1:$AY$1,),))))-(((VLOOKUP(EDATE(B382,-12),Database!$F:$AY,MATCH($K$1,Database!$F$1:$AY$1,),)))))/(((VLOOKUP(EDATE(B382,-12),Database!$F:$AY,MATCH($K$1,Database!$F$1:$AY$1,),))))</f>
        <v>2.5454545454545428E-2</v>
      </c>
      <c r="L382" s="13"/>
      <c r="M382" s="13"/>
      <c r="N382" s="13"/>
      <c r="O382" s="13">
        <f>((((VLOOKUP(B382,Database!$F:$AY,MATCH($O$1,Database!$F$1:$AY$1,),))))-(((VLOOKUP(EDATE(B382,-12),Database!$F:$AY,MATCH($O$1,Database!$F$1:$AY$1,),)))))/(((VLOOKUP(EDATE(B382,-12),Database!$F:$AY,MATCH($O$1,Database!$F$1:$AY$1,),))))</f>
        <v>-1.4348927306583969E-2</v>
      </c>
      <c r="P382" s="13">
        <f>((((VLOOKUP(B382,Database!$F:$AY,MATCH($P$1,Database!$F$1:$AY$1,),))))-(((VLOOKUP(EDATE(B382,-12),Database!$F:$AY,MATCH($P$1,Database!$F$1:$AY$1,),)))))/(((VLOOKUP(EDATE(B382,-12),Database!$F:$AY,MATCH($P$1,Database!$F$1:$AY$1,),))))</f>
        <v>1.4164538696322232E-2</v>
      </c>
      <c r="Q382" s="13">
        <f>((((VLOOKUP(B382,Database!$F:$AY,MATCH($Q$1,Database!$F$1:$AY$1,),))))-(((VLOOKUP(EDATE(B382,-12),Database!$F:$AY,MATCH($Q$1,Database!$F$1:$AY$1,),)))))/(((VLOOKUP(EDATE(B382,-12),Database!$F:$AY,MATCH($Q$1,Database!$F$1:$AY$1,),))))</f>
        <v>-6.8494073876387432E-3</v>
      </c>
      <c r="R382" s="13">
        <f>((((VLOOKUP(B382,Database!$F:$AY,MATCH($R$1,Database!$F$1:$AY$1,),))))-(((VLOOKUP(EDATE(B382,-12),Database!$F:$AY,MATCH($R$1,Database!$F$1:$AY$1,),)))))/(((VLOOKUP(EDATE(B382,-12),Database!$F:$AY,MATCH($R$1,Database!$F$1:$AY$1,),))))</f>
        <v>-9.5490589387101782E-2</v>
      </c>
      <c r="S382" s="13">
        <f>((((VLOOKUP(B382,Database!$F:$AY,MATCH($S$1,Database!$F$1:$AY$1,),))))-(((VLOOKUP(EDATE(B382,-12),Database!$F:$AY,MATCH($S$1,Database!$F$1:$AY$1,),)))))/(((VLOOKUP(EDATE(B382,-12),Database!$F:$AY,MATCH($S$1,Database!$F$1:$AY$1,),))))</f>
        <v>3.8502674483056484E-2</v>
      </c>
      <c r="T382" s="13">
        <f>((((VLOOKUP(B382,Database!$F:$AY,MATCH($T$1,Database!$F$1:$AY$1,),))))-(((VLOOKUP(EDATE(B382,-12),Database!$F:$AY,MATCH($T$1,Database!$F$1:$AY$1,),)))))/(((VLOOKUP(EDATE(B382,-12),Database!$F:$AY,MATCH($T$1,Database!$F$1:$AY$1,),))))</f>
        <v>5.1771810178507231E-2</v>
      </c>
      <c r="U382" s="13">
        <f>((((VLOOKUP(B382,Database!$F:$AY,MATCH($U$1,Database!$F$1:$AY$1,),))))-(((VLOOKUP(EDATE(B382,-12),Database!$F:$AY,MATCH($U$1,Database!$F$1:$AY$1,),)))))/(((VLOOKUP(EDATE(B382,-12),Database!$F:$AY,MATCH($U$1,Database!$F$1:$AY$1,),))))</f>
        <v>-3.0329136216770854E-2</v>
      </c>
      <c r="V382" s="13">
        <f>((((VLOOKUP(B382,Database!$F:$AY,MATCH($V$1,Database!$F$1:$AY$1,),))))-(((VLOOKUP(EDATE(B382,-12),Database!$F:$AY,MATCH($V$1,Database!$F$1:$AY$1,),)))))/(((VLOOKUP(EDATE(B382,-12),Database!$F:$AY,MATCH($V$1,Database!$F$1:$AY$1,),))))</f>
        <v>5.4421768707483047E-2</v>
      </c>
    </row>
    <row r="383" spans="2:22" s="85" customFormat="1" x14ac:dyDescent="0.2">
      <c r="B383" s="91">
        <v>43800</v>
      </c>
      <c r="C383" s="13">
        <f>((((VLOOKUP(B383,Database!$F:$AY,MATCH($C$1,Database!$F$1:$AY$1,),))))-(((VLOOKUP(EDATE(B383,-12),Database!$F:$AY,MATCH($C$1,Database!$F$1:$AY$1,),)))))/(((VLOOKUP(EDATE(B383,-12),Database!$F:$AY,MATCH($C$1,Database!$F$1:$AY$1,),))))</f>
        <v>-8.131023045432572E-3</v>
      </c>
      <c r="D383" s="13">
        <f>((((VLOOKUP(B383,Database!$F:$AY,MATCH($D$1,Database!$F$1:$AY$1,),))))-(((VLOOKUP(EDATE(B383,-12),Database!$F:$AY,MATCH($D$1,Database!$F$1:$AY$1,),)))))/(((VLOOKUP(EDATE(B383,-12),Database!$F:$AY,MATCH($D$1,Database!$F$1:$AY$1,),))))</f>
        <v>-3.0739047641008172E-2</v>
      </c>
      <c r="E383" s="13">
        <f>((((VLOOKUP(B383,Database!$F:$AY,MATCH($E$1,Database!$F$1:$AY$1,),))))-(((VLOOKUP(EDATE(B383,-12),Database!$F:$AY,MATCH($E$1,Database!$F$1:$AY$1,),)))))/(((VLOOKUP(EDATE(B383,-12),Database!$F:$AY,MATCH($E$1,Database!$F$1:$AY$1,),))))</f>
        <v>-6.3218390804597749E-2</v>
      </c>
      <c r="F383" s="13">
        <f>((((VLOOKUP(B383,Database!$F:$AY,MATCH($F$1,Database!$F$1:$AY$1,),))))-(((VLOOKUP(EDATE(B383,-12),Database!$F:$AY,MATCH($F$1,Database!$F$1:$AY$1,),)))))/(((VLOOKUP(EDATE(B383,-12),Database!$F:$AY,MATCH($F$1,Database!$F$1:$AY$1,),))))</f>
        <v>-6.0057602489434307E-2</v>
      </c>
      <c r="G383" s="13">
        <f>((((VLOOKUP(B383,Database!$F:$AY,MATCH($G$1,Database!$F$1:$AY$1,),))))-(((VLOOKUP(EDATE(B383,-12),Database!$F:$AY,MATCH($G$1,Database!$F$1:$AY$1,),)))))/(((VLOOKUP(EDATE(B383,-12),Database!$F:$AY,MATCH($G$1,Database!$F$1:$AY$1,),))))</f>
        <v>-2.8351730795007572E-2</v>
      </c>
      <c r="H383" s="13">
        <f>((((VLOOKUP(B383,Database!$F:$AY,MATCH($H$1,Database!$F$1:$AY$1,),))))-(((VLOOKUP(EDATE(B383,-12),Database!$F:$AY,MATCH($H$1,Database!$F$1:$AY$1,),)))))/(((VLOOKUP(EDATE(B383,-12),Database!$F:$AY,MATCH($H$1,Database!$F$1:$AY$1,),))))</f>
        <v>-1.6178087514766525E-2</v>
      </c>
      <c r="I383" s="13">
        <f>((((VLOOKUP(B383,Database!$F:$AY,MATCH($I$1,Database!$F$1:$AY$1,),))))-(((VLOOKUP(EDATE(B383,-12),Database!$F:$AY,MATCH($I$1,Database!$F$1:$AY$1,),)))))/(((VLOOKUP(EDATE(B383,-12),Database!$F:$AY,MATCH($I$1,Database!$F$1:$AY$1,),))))</f>
        <v>-3.4285730613613452E-2</v>
      </c>
      <c r="J383" s="13">
        <f>((((VLOOKUP(B383,Database!$F:$AY,MATCH($J$1,Database!$F$1:$AY$1,),))))-(((VLOOKUP(EDATE(B383,-12),Database!$F:$AY,MATCH($J$1,Database!$F$1:$AY$1,),)))))/(((VLOOKUP(EDATE(B383,-12),Database!$F:$AY,MATCH($J$1,Database!$F$1:$AY$1,),))))</f>
        <v>8.1819068769554623E-3</v>
      </c>
      <c r="K383" s="13">
        <f>((((VLOOKUP(B383,Database!$F:$AY,MATCH($K$1,Database!$F$1:$AY$1,),))))-(((VLOOKUP(EDATE(B383,-12),Database!$F:$AY,MATCH($K$1,Database!$F$1:$AY$1,),)))))/(((VLOOKUP(EDATE(B383,-12),Database!$F:$AY,MATCH($K$1,Database!$F$1:$AY$1,),))))</f>
        <v>-5.3667262969588044E-3</v>
      </c>
      <c r="L383" s="13"/>
      <c r="M383" s="13"/>
      <c r="N383" s="13"/>
      <c r="O383" s="13">
        <f>((((VLOOKUP(B383,Database!$F:$AY,MATCH($O$1,Database!$F$1:$AY$1,),))))-(((VLOOKUP(EDATE(B383,-12),Database!$F:$AY,MATCH($O$1,Database!$F$1:$AY$1,),)))))/(((VLOOKUP(EDATE(B383,-12),Database!$F:$AY,MATCH($O$1,Database!$F$1:$AY$1,),))))</f>
        <v>-1.1354610110800726E-2</v>
      </c>
      <c r="P383" s="13">
        <f>((((VLOOKUP(B383,Database!$F:$AY,MATCH($P$1,Database!$F$1:$AY$1,),))))-(((VLOOKUP(EDATE(B383,-12),Database!$F:$AY,MATCH($P$1,Database!$F$1:$AY$1,),)))))/(((VLOOKUP(EDATE(B383,-12),Database!$F:$AY,MATCH($P$1,Database!$F$1:$AY$1,),))))</f>
        <v>6.5071446139535125E-2</v>
      </c>
      <c r="Q383" s="13">
        <f>((((VLOOKUP(B383,Database!$F:$AY,MATCH($Q$1,Database!$F$1:$AY$1,),))))-(((VLOOKUP(EDATE(B383,-12),Database!$F:$AY,MATCH($Q$1,Database!$F$1:$AY$1,),)))))/(((VLOOKUP(EDATE(B383,-12),Database!$F:$AY,MATCH($Q$1,Database!$F$1:$AY$1,),))))</f>
        <v>-2.0384917000548848E-2</v>
      </c>
      <c r="R383" s="13">
        <f>((((VLOOKUP(B383,Database!$F:$AY,MATCH($R$1,Database!$F$1:$AY$1,),))))-(((VLOOKUP(EDATE(B383,-12),Database!$F:$AY,MATCH($R$1,Database!$F$1:$AY$1,),)))))/(((VLOOKUP(EDATE(B383,-12),Database!$F:$AY,MATCH($R$1,Database!$F$1:$AY$1,),))))</f>
        <v>-4.151678535188566E-2</v>
      </c>
      <c r="S383" s="13">
        <f>((((VLOOKUP(B383,Database!$F:$AY,MATCH($S$1,Database!$F$1:$AY$1,),))))-(((VLOOKUP(EDATE(B383,-12),Database!$F:$AY,MATCH($S$1,Database!$F$1:$AY$1,),)))))/(((VLOOKUP(EDATE(B383,-12),Database!$F:$AY,MATCH($S$1,Database!$F$1:$AY$1,),))))</f>
        <v>7.0838251262645164E-3</v>
      </c>
      <c r="T383" s="13">
        <f>((((VLOOKUP(B383,Database!$F:$AY,MATCH($T$1,Database!$F$1:$AY$1,),))))-(((VLOOKUP(EDATE(B383,-12),Database!$F:$AY,MATCH($T$1,Database!$F$1:$AY$1,),)))))/(((VLOOKUP(EDATE(B383,-12),Database!$F:$AY,MATCH($T$1,Database!$F$1:$AY$1,),))))</f>
        <v>9.0321777843323375E-2</v>
      </c>
      <c r="U383" s="13">
        <f>((((VLOOKUP(B383,Database!$F:$AY,MATCH($U$1,Database!$F$1:$AY$1,),))))-(((VLOOKUP(EDATE(B383,-12),Database!$F:$AY,MATCH($U$1,Database!$F$1:$AY$1,),)))))/(((VLOOKUP(EDATE(B383,-12),Database!$F:$AY,MATCH($U$1,Database!$F$1:$AY$1,),))))</f>
        <v>-2.8897101969679675E-2</v>
      </c>
      <c r="V383" s="13">
        <f>((((VLOOKUP(B383,Database!$F:$AY,MATCH($V$1,Database!$F$1:$AY$1,),))))-(((VLOOKUP(EDATE(B383,-12),Database!$F:$AY,MATCH($V$1,Database!$F$1:$AY$1,),)))))/(((VLOOKUP(EDATE(B383,-12),Database!$F:$AY,MATCH($V$1,Database!$F$1:$AY$1,),))))</f>
        <v>1.4333895446880294E-2</v>
      </c>
    </row>
    <row r="384" spans="2:22" s="85" customFormat="1" x14ac:dyDescent="0.2">
      <c r="B384" s="91">
        <v>43831</v>
      </c>
      <c r="C384" s="13">
        <f>((((VLOOKUP(B384,Database!$F:$AY,MATCH($C$1,Database!$F$1:$AY$1,),))))-(((VLOOKUP(EDATE(B384,-12),Database!$F:$AY,MATCH($C$1,Database!$F$1:$AY$1,),)))))/(((VLOOKUP(EDATE(B384,-12),Database!$F:$AY,MATCH($C$1,Database!$F$1:$AY$1,),))))</f>
        <v>-8.4825645103192137E-3</v>
      </c>
      <c r="D384" s="13">
        <f>((((VLOOKUP(B384,Database!$F:$AY,MATCH($D$1,Database!$F$1:$AY$1,),))))-(((VLOOKUP(EDATE(B384,-12),Database!$F:$AY,MATCH($D$1,Database!$F$1:$AY$1,),)))))/(((VLOOKUP(EDATE(B384,-12),Database!$F:$AY,MATCH($D$1,Database!$F$1:$AY$1,),))))</f>
        <v>-2.0893310854130487E-2</v>
      </c>
      <c r="E384" s="13">
        <f>((((VLOOKUP(B384,Database!$F:$AY,MATCH($E$1,Database!$F$1:$AY$1,),))))-(((VLOOKUP(EDATE(B384,-12),Database!$F:$AY,MATCH($E$1,Database!$F$1:$AY$1,),)))))/(((VLOOKUP(EDATE(B384,-12),Database!$F:$AY,MATCH($E$1,Database!$F$1:$AY$1,),))))</f>
        <v>-2.5390877172421451E-2</v>
      </c>
      <c r="F384" s="13">
        <f>((((VLOOKUP(B384,Database!$F:$AY,MATCH($F$1,Database!$F$1:$AY$1,),))))-(((VLOOKUP(EDATE(B384,-12),Database!$F:$AY,MATCH($F$1,Database!$F$1:$AY$1,),)))))/(((VLOOKUP(EDATE(B384,-12),Database!$F:$AY,MATCH($F$1,Database!$F$1:$AY$1,),))))</f>
        <v>-2.7938730954587751E-2</v>
      </c>
      <c r="G384" s="13">
        <f>((((VLOOKUP(B384,Database!$F:$AY,MATCH($G$1,Database!$F$1:$AY$1,),))))-(((VLOOKUP(EDATE(B384,-12),Database!$F:$AY,MATCH($G$1,Database!$F$1:$AY$1,),)))))/(((VLOOKUP(EDATE(B384,-12),Database!$F:$AY,MATCH($G$1,Database!$F$1:$AY$1,),))))</f>
        <v>-2.9493876639410301E-2</v>
      </c>
      <c r="H384" s="13">
        <f>((((VLOOKUP(B384,Database!$F:$AY,MATCH($H$1,Database!$F$1:$AY$1,),))))-(((VLOOKUP(EDATE(B384,-12),Database!$F:$AY,MATCH($H$1,Database!$F$1:$AY$1,),)))))/(((VLOOKUP(EDATE(B384,-12),Database!$F:$AY,MATCH($H$1,Database!$F$1:$AY$1,),))))</f>
        <v>-2.2132494583396271E-2</v>
      </c>
      <c r="I384" s="13">
        <f>((((VLOOKUP(B384,Database!$F:$AY,MATCH($I$1,Database!$F$1:$AY$1,),))))-(((VLOOKUP(EDATE(B384,-12),Database!$F:$AY,MATCH($I$1,Database!$F$1:$AY$1,),)))))/(((VLOOKUP(EDATE(B384,-12),Database!$F:$AY,MATCH($I$1,Database!$F$1:$AY$1,),))))</f>
        <v>-9.4605794995231089E-3</v>
      </c>
      <c r="J384" s="13">
        <f>((((VLOOKUP(B384,Database!$F:$AY,MATCH($J$1,Database!$F$1:$AY$1,),))))-(((VLOOKUP(EDATE(B384,-12),Database!$F:$AY,MATCH($J$1,Database!$F$1:$AY$1,),)))))/(((VLOOKUP(EDATE(B384,-12),Database!$F:$AY,MATCH($J$1,Database!$F$1:$AY$1,),))))</f>
        <v>-2.9920085560618998E-2</v>
      </c>
      <c r="K384" s="13">
        <f>((((VLOOKUP(B384,Database!$F:$AY,MATCH($K$1,Database!$F$1:$AY$1,),))))-(((VLOOKUP(EDATE(B384,-12),Database!$F:$AY,MATCH($K$1,Database!$F$1:$AY$1,),)))))/(((VLOOKUP(EDATE(B384,-12),Database!$F:$AY,MATCH($K$1,Database!$F$1:$AY$1,),))))</f>
        <v>-3.558718861210015E-3</v>
      </c>
      <c r="L384" s="13"/>
      <c r="M384" s="13"/>
      <c r="N384" s="13"/>
      <c r="O384" s="13">
        <f>((((VLOOKUP(B384,Database!$F:$AY,MATCH($O$1,Database!$F$1:$AY$1,),))))-(((VLOOKUP(EDATE(B384,-12),Database!$F:$AY,MATCH($O$1,Database!$F$1:$AY$1,),)))))/(((VLOOKUP(EDATE(B384,-12),Database!$F:$AY,MATCH($O$1,Database!$F$1:$AY$1,),))))</f>
        <v>-9.0990200488132323E-3</v>
      </c>
      <c r="P384" s="13">
        <f>((((VLOOKUP(B384,Database!$F:$AY,MATCH($P$1,Database!$F$1:$AY$1,),))))-(((VLOOKUP(EDATE(B384,-12),Database!$F:$AY,MATCH($P$1,Database!$F$1:$AY$1,),)))))/(((VLOOKUP(EDATE(B384,-12),Database!$F:$AY,MATCH($P$1,Database!$F$1:$AY$1,),))))</f>
        <v>4.3810338390265074E-2</v>
      </c>
      <c r="Q384" s="13">
        <f>((((VLOOKUP(B384,Database!$F:$AY,MATCH($Q$1,Database!$F$1:$AY$1,),))))-(((VLOOKUP(EDATE(B384,-12),Database!$F:$AY,MATCH($Q$1,Database!$F$1:$AY$1,),)))))/(((VLOOKUP(EDATE(B384,-12),Database!$F:$AY,MATCH($Q$1,Database!$F$1:$AY$1,),))))</f>
        <v>0</v>
      </c>
      <c r="R384" s="13">
        <f>((((VLOOKUP(B384,Database!$F:$AY,MATCH($R$1,Database!$F$1:$AY$1,),))))-(((VLOOKUP(EDATE(B384,-12),Database!$F:$AY,MATCH($R$1,Database!$F$1:$AY$1,),)))))/(((VLOOKUP(EDATE(B384,-12),Database!$F:$AY,MATCH($R$1,Database!$F$1:$AY$1,),))))</f>
        <v>-1.7995773651556684E-3</v>
      </c>
      <c r="S384" s="13">
        <f>((((VLOOKUP(B384,Database!$F:$AY,MATCH($S$1,Database!$F$1:$AY$1,),))))-(((VLOOKUP(EDATE(B384,-12),Database!$F:$AY,MATCH($S$1,Database!$F$1:$AY$1,),)))))/(((VLOOKUP(EDATE(B384,-12),Database!$F:$AY,MATCH($S$1,Database!$F$1:$AY$1,),))))</f>
        <v>1.1714571617723404E-2</v>
      </c>
      <c r="T384" s="13">
        <f>((((VLOOKUP(B384,Database!$F:$AY,MATCH($T$1,Database!$F$1:$AY$1,),))))-(((VLOOKUP(EDATE(B384,-12),Database!$F:$AY,MATCH($T$1,Database!$F$1:$AY$1,),)))))/(((VLOOKUP(EDATE(B384,-12),Database!$F:$AY,MATCH($T$1,Database!$F$1:$AY$1,),))))</f>
        <v>7.3637067827491062E-2</v>
      </c>
      <c r="U384" s="13">
        <f>((((VLOOKUP(B384,Database!$F:$AY,MATCH($U$1,Database!$F$1:$AY$1,),))))-(((VLOOKUP(EDATE(B384,-12),Database!$F:$AY,MATCH($U$1,Database!$F$1:$AY$1,),)))))/(((VLOOKUP(EDATE(B384,-12),Database!$F:$AY,MATCH($U$1,Database!$F$1:$AY$1,),))))</f>
        <v>-1.5859028507830834E-2</v>
      </c>
      <c r="V384" s="13">
        <f>((((VLOOKUP(B384,Database!$F:$AY,MATCH($V$1,Database!$F$1:$AY$1,),))))-(((VLOOKUP(EDATE(B384,-12),Database!$F:$AY,MATCH($V$1,Database!$F$1:$AY$1,),)))))/(((VLOOKUP(EDATE(B384,-12),Database!$F:$AY,MATCH($V$1,Database!$F$1:$AY$1,),))))</f>
        <v>3.5953177257525178E-2</v>
      </c>
    </row>
    <row r="385" spans="2:22" s="85" customFormat="1" x14ac:dyDescent="0.2">
      <c r="B385" s="91">
        <v>43862</v>
      </c>
      <c r="C385" s="13">
        <f>((((VLOOKUP(B385,Database!$F:$AY,MATCH($C$1,Database!$F$1:$AY$1,),))))-(((VLOOKUP(EDATE(B385,-12),Database!$F:$AY,MATCH($C$1,Database!$F$1:$AY$1,),)))))/(((VLOOKUP(EDATE(B385,-12),Database!$F:$AY,MATCH($C$1,Database!$F$1:$AY$1,),))))</f>
        <v>-2.4326183715900605E-3</v>
      </c>
      <c r="D385" s="13">
        <f>((((VLOOKUP(B385,Database!$F:$AY,MATCH($D$1,Database!$F$1:$AY$1,),))))-(((VLOOKUP(EDATE(B385,-12),Database!$F:$AY,MATCH($D$1,Database!$F$1:$AY$1,),)))))/(((VLOOKUP(EDATE(B385,-12),Database!$F:$AY,MATCH($D$1,Database!$F$1:$AY$1,),))))</f>
        <v>-1.9962446224419447E-2</v>
      </c>
      <c r="E385" s="13">
        <f>((((VLOOKUP(B385,Database!$F:$AY,MATCH($E$1,Database!$F$1:$AY$1,),))))-(((VLOOKUP(EDATE(B385,-12),Database!$F:$AY,MATCH($E$1,Database!$F$1:$AY$1,),)))))/(((VLOOKUP(EDATE(B385,-12),Database!$F:$AY,MATCH($E$1,Database!$F$1:$AY$1,),))))</f>
        <v>-3.4013338335371061E-2</v>
      </c>
      <c r="F385" s="13">
        <f>((((VLOOKUP(B385,Database!$F:$AY,MATCH($F$1,Database!$F$1:$AY$1,),))))-(((VLOOKUP(EDATE(B385,-12),Database!$F:$AY,MATCH($F$1,Database!$F$1:$AY$1,),)))))/(((VLOOKUP(EDATE(B385,-12),Database!$F:$AY,MATCH($F$1,Database!$F$1:$AY$1,),))))</f>
        <v>-2.3143674403084527E-2</v>
      </c>
      <c r="G385" s="13">
        <f>((((VLOOKUP(B385,Database!$F:$AY,MATCH($G$1,Database!$F$1:$AY$1,),))))-(((VLOOKUP(EDATE(B385,-12),Database!$F:$AY,MATCH($G$1,Database!$F$1:$AY$1,),)))))/(((VLOOKUP(EDATE(B385,-12),Database!$F:$AY,MATCH($G$1,Database!$F$1:$AY$1,),))))</f>
        <v>-1.3808856655437358E-2</v>
      </c>
      <c r="H385" s="13">
        <f>((((VLOOKUP(B385,Database!$F:$AY,MATCH($H$1,Database!$F$1:$AY$1,),))))-(((VLOOKUP(EDATE(B385,-12),Database!$F:$AY,MATCH($H$1,Database!$F$1:$AY$1,),)))))/(((VLOOKUP(EDATE(B385,-12),Database!$F:$AY,MATCH($H$1,Database!$F$1:$AY$1,),))))</f>
        <v>-2.2043786462580719E-2</v>
      </c>
      <c r="I385" s="13">
        <f>((((VLOOKUP(B385,Database!$F:$AY,MATCH($I$1,Database!$F$1:$AY$1,),))))-(((VLOOKUP(EDATE(B385,-12),Database!$F:$AY,MATCH($I$1,Database!$F$1:$AY$1,),)))))/(((VLOOKUP(EDATE(B385,-12),Database!$F:$AY,MATCH($I$1,Database!$F$1:$AY$1,),))))</f>
        <v>-2.9107596785083435E-2</v>
      </c>
      <c r="J385" s="13">
        <f>((((VLOOKUP(B385,Database!$F:$AY,MATCH($J$1,Database!$F$1:$AY$1,),))))-(((VLOOKUP(EDATE(B385,-12),Database!$F:$AY,MATCH($J$1,Database!$F$1:$AY$1,),)))))/(((VLOOKUP(EDATE(B385,-12),Database!$F:$AY,MATCH($J$1,Database!$F$1:$AY$1,),))))</f>
        <v>-2.0928765834449681E-2</v>
      </c>
      <c r="K385" s="13">
        <f>((((VLOOKUP(B385,Database!$F:$AY,MATCH($K$1,Database!$F$1:$AY$1,),))))-(((VLOOKUP(EDATE(B385,-12),Database!$F:$AY,MATCH($K$1,Database!$F$1:$AY$1,),)))))/(((VLOOKUP(EDATE(B385,-12),Database!$F:$AY,MATCH($K$1,Database!$F$1:$AY$1,),))))</f>
        <v>5.3715308863025455E-3</v>
      </c>
      <c r="L385" s="13"/>
      <c r="M385" s="13"/>
      <c r="N385" s="13"/>
      <c r="O385" s="13">
        <f>((((VLOOKUP(B385,Database!$F:$AY,MATCH($O$1,Database!$F$1:$AY$1,),))))-(((VLOOKUP(EDATE(B385,-12),Database!$F:$AY,MATCH($O$1,Database!$F$1:$AY$1,),)))))/(((VLOOKUP(EDATE(B385,-12),Database!$F:$AY,MATCH($O$1,Database!$F$1:$AY$1,),))))</f>
        <v>3.3046846965466194E-3</v>
      </c>
      <c r="P385" s="13">
        <f>((((VLOOKUP(B385,Database!$F:$AY,MATCH($P$1,Database!$F$1:$AY$1,),))))-(((VLOOKUP(EDATE(B385,-12),Database!$F:$AY,MATCH($P$1,Database!$F$1:$AY$1,),)))))/(((VLOOKUP(EDATE(B385,-12),Database!$F:$AY,MATCH($P$1,Database!$F$1:$AY$1,),))))</f>
        <v>3.0273020709727008E-2</v>
      </c>
      <c r="Q385" s="13">
        <f>((((VLOOKUP(B385,Database!$F:$AY,MATCH($Q$1,Database!$F$1:$AY$1,),))))-(((VLOOKUP(EDATE(B385,-12),Database!$F:$AY,MATCH($Q$1,Database!$F$1:$AY$1,),)))))/(((VLOOKUP(EDATE(B385,-12),Database!$F:$AY,MATCH($Q$1,Database!$F$1:$AY$1,),))))</f>
        <v>3.4130154809612324E-3</v>
      </c>
      <c r="R385" s="13">
        <f>((((VLOOKUP(B385,Database!$F:$AY,MATCH($R$1,Database!$F$1:$AY$1,),))))-(((VLOOKUP(EDATE(B385,-12),Database!$F:$AY,MATCH($R$1,Database!$F$1:$AY$1,),)))))/(((VLOOKUP(EDATE(B385,-12),Database!$F:$AY,MATCH($R$1,Database!$F$1:$AY$1,),))))</f>
        <v>-3.0908750015927532E-2</v>
      </c>
      <c r="S385" s="13">
        <f>((((VLOOKUP(B385,Database!$F:$AY,MATCH($S$1,Database!$F$1:$AY$1,),))))-(((VLOOKUP(EDATE(B385,-12),Database!$F:$AY,MATCH($S$1,Database!$F$1:$AY$1,),)))))/(((VLOOKUP(EDATE(B385,-12),Database!$F:$AY,MATCH($S$1,Database!$F$1:$AY$1,),))))</f>
        <v>-1.0214572513669955E-2</v>
      </c>
      <c r="T385" s="13">
        <f>((((VLOOKUP(B385,Database!$F:$AY,MATCH($T$1,Database!$F$1:$AY$1,),))))-(((VLOOKUP(EDATE(B385,-12),Database!$F:$AY,MATCH($T$1,Database!$F$1:$AY$1,),)))))/(((VLOOKUP(EDATE(B385,-12),Database!$F:$AY,MATCH($T$1,Database!$F$1:$AY$1,),))))</f>
        <v>8.1614879088569708E-2</v>
      </c>
      <c r="U385" s="13">
        <f>((((VLOOKUP(B385,Database!$F:$AY,MATCH($U$1,Database!$F$1:$AY$1,),))))-(((VLOOKUP(EDATE(B385,-12),Database!$F:$AY,MATCH($U$1,Database!$F$1:$AY$1,),)))))/(((VLOOKUP(EDATE(B385,-12),Database!$F:$AY,MATCH($U$1,Database!$F$1:$AY$1,),))))</f>
        <v>-7.9650419715846747E-3</v>
      </c>
      <c r="V385" s="13">
        <f>((((VLOOKUP(B385,Database!$F:$AY,MATCH($V$1,Database!$F$1:$AY$1,),))))-(((VLOOKUP(EDATE(B385,-12),Database!$F:$AY,MATCH($V$1,Database!$F$1:$AY$1,),)))))/(((VLOOKUP(EDATE(B385,-12),Database!$F:$AY,MATCH($V$1,Database!$F$1:$AY$1,),))))</f>
        <v>2.9580936729663058E-2</v>
      </c>
    </row>
    <row r="386" spans="2:22" s="85" customFormat="1" x14ac:dyDescent="0.2">
      <c r="B386" s="91">
        <v>43891</v>
      </c>
      <c r="C386" s="13">
        <f>((((VLOOKUP(B386,Database!$F:$AY,MATCH($C$1,Database!$F$1:$AY$1,),))))-(((VLOOKUP(EDATE(B386,-12),Database!$F:$AY,MATCH($C$1,Database!$F$1:$AY$1,),)))))/(((VLOOKUP(EDATE(B386,-12),Database!$F:$AY,MATCH($C$1,Database!$F$1:$AY$1,),))))</f>
        <v>-4.7035729574930019E-2</v>
      </c>
      <c r="D386" s="13">
        <f>((((VLOOKUP(B386,Database!$F:$AY,MATCH($D$1,Database!$F$1:$AY$1,),))))-(((VLOOKUP(EDATE(B386,-12),Database!$F:$AY,MATCH($D$1,Database!$F$1:$AY$1,),)))))/(((VLOOKUP(EDATE(B386,-12),Database!$F:$AY,MATCH($D$1,Database!$F$1:$AY$1,),))))</f>
        <v>-0.13250704359640542</v>
      </c>
      <c r="E386" s="13">
        <f>((((VLOOKUP(B386,Database!$F:$AY,MATCH($E$1,Database!$F$1:$AY$1,),))))-(((VLOOKUP(EDATE(B386,-12),Database!$F:$AY,MATCH($E$1,Database!$F$1:$AY$1,),)))))/(((VLOOKUP(EDATE(B386,-12),Database!$F:$AY,MATCH($E$1,Database!$F$1:$AY$1,),))))</f>
        <v>-6.5366201099603463E-2</v>
      </c>
      <c r="F386" s="13">
        <f>((((VLOOKUP(B386,Database!$F:$AY,MATCH($F$1,Database!$F$1:$AY$1,),))))-(((VLOOKUP(EDATE(B386,-12),Database!$F:$AY,MATCH($F$1,Database!$F$1:$AY$1,),)))))/(((VLOOKUP(EDATE(B386,-12),Database!$F:$AY,MATCH($F$1,Database!$F$1:$AY$1,),))))</f>
        <v>-0.13684220600183933</v>
      </c>
      <c r="G386" s="13">
        <f>((((VLOOKUP(B386,Database!$F:$AY,MATCH($G$1,Database!$F$1:$AY$1,),))))-(((VLOOKUP(EDATE(B386,-12),Database!$F:$AY,MATCH($G$1,Database!$F$1:$AY$1,),)))))/(((VLOOKUP(EDATE(B386,-12),Database!$F:$AY,MATCH($G$1,Database!$F$1:$AY$1,),))))</f>
        <v>-0.17581811988509222</v>
      </c>
      <c r="H386" s="13">
        <f>((((VLOOKUP(B386,Database!$F:$AY,MATCH($H$1,Database!$F$1:$AY$1,),))))-(((VLOOKUP(EDATE(B386,-12),Database!$F:$AY,MATCH($H$1,Database!$F$1:$AY$1,),)))))/(((VLOOKUP(EDATE(B386,-12),Database!$F:$AY,MATCH($H$1,Database!$F$1:$AY$1,),))))</f>
        <v>-8.0947649559443974E-2</v>
      </c>
      <c r="I386" s="13">
        <f>((((VLOOKUP(B386,Database!$F:$AY,MATCH($I$1,Database!$F$1:$AY$1,),))))-(((VLOOKUP(EDATE(B386,-12),Database!$F:$AY,MATCH($I$1,Database!$F$1:$AY$1,),)))))/(((VLOOKUP(EDATE(B386,-12),Database!$F:$AY,MATCH($I$1,Database!$F$1:$AY$1,),))))</f>
        <v>-0.29517509499371747</v>
      </c>
      <c r="J386" s="13">
        <f>((((VLOOKUP(B386,Database!$F:$AY,MATCH($J$1,Database!$F$1:$AY$1,),))))-(((VLOOKUP(EDATE(B386,-12),Database!$F:$AY,MATCH($J$1,Database!$F$1:$AY$1,),)))))/(((VLOOKUP(EDATE(B386,-12),Database!$F:$AY,MATCH($J$1,Database!$F$1:$AY$1,),))))</f>
        <v>-0.14105727073481544</v>
      </c>
      <c r="K386" s="13">
        <f>((((VLOOKUP(B386,Database!$F:$AY,MATCH($K$1,Database!$F$1:$AY$1,),))))-(((VLOOKUP(EDATE(B386,-12),Database!$F:$AY,MATCH($K$1,Database!$F$1:$AY$1,),)))))/(((VLOOKUP(EDATE(B386,-12),Database!$F:$AY,MATCH($K$1,Database!$F$1:$AY$1,),))))</f>
        <v>9.0252707581227436E-3</v>
      </c>
      <c r="L386" s="13"/>
      <c r="M386" s="13"/>
      <c r="N386" s="13"/>
      <c r="O386" s="13">
        <f>((((VLOOKUP(B386,Database!$F:$AY,MATCH($O$1,Database!$F$1:$AY$1,),))))-(((VLOOKUP(EDATE(B386,-12),Database!$F:$AY,MATCH($O$1,Database!$F$1:$AY$1,),)))))/(((VLOOKUP(EDATE(B386,-12),Database!$F:$AY,MATCH($O$1,Database!$F$1:$AY$1,),))))</f>
        <v>-6.5306036963379027E-2</v>
      </c>
      <c r="P386" s="13">
        <f>((((VLOOKUP(B386,Database!$F:$AY,MATCH($P$1,Database!$F$1:$AY$1,),))))-(((VLOOKUP(EDATE(B386,-12),Database!$F:$AY,MATCH($P$1,Database!$F$1:$AY$1,),)))))/(((VLOOKUP(EDATE(B386,-12),Database!$F:$AY,MATCH($P$1,Database!$F$1:$AY$1,),))))</f>
        <v>6.5448213661779137E-2</v>
      </c>
      <c r="Q386" s="13">
        <f>((((VLOOKUP(B386,Database!$F:$AY,MATCH($Q$1,Database!$F$1:$AY$1,),))))-(((VLOOKUP(EDATE(B386,-12),Database!$F:$AY,MATCH($Q$1,Database!$F$1:$AY$1,),)))))/(((VLOOKUP(EDATE(B386,-12),Database!$F:$AY,MATCH($Q$1,Database!$F$1:$AY$1,),))))</f>
        <v>-7.9493116971718722E-2</v>
      </c>
      <c r="R386" s="13">
        <f>((((VLOOKUP(B386,Database!$F:$AY,MATCH($R$1,Database!$F$1:$AY$1,),))))-(((VLOOKUP(EDATE(B386,-12),Database!$F:$AY,MATCH($R$1,Database!$F$1:$AY$1,),)))))/(((VLOOKUP(EDATE(B386,-12),Database!$F:$AY,MATCH($R$1,Database!$F$1:$AY$1,),))))</f>
        <v>9.2607956868242896E-4</v>
      </c>
      <c r="S386" s="13">
        <f>((((VLOOKUP(B386,Database!$F:$AY,MATCH($S$1,Database!$F$1:$AY$1,),))))-(((VLOOKUP(EDATE(B386,-12),Database!$F:$AY,MATCH($S$1,Database!$F$1:$AY$1,),)))))/(((VLOOKUP(EDATE(B386,-12),Database!$F:$AY,MATCH($S$1,Database!$F$1:$AY$1,),))))</f>
        <v>0.22985989567357226</v>
      </c>
      <c r="T386" s="13">
        <f>((((VLOOKUP(B386,Database!$F:$AY,MATCH($T$1,Database!$F$1:$AY$1,),))))-(((VLOOKUP(EDATE(B386,-12),Database!$F:$AY,MATCH($T$1,Database!$F$1:$AY$1,),)))))/(((VLOOKUP(EDATE(B386,-12),Database!$F:$AY,MATCH($T$1,Database!$F$1:$AY$1,),))))</f>
        <v>-1.3998538811187204E-2</v>
      </c>
      <c r="U386" s="13">
        <f>((((VLOOKUP(B386,Database!$F:$AY,MATCH($U$1,Database!$F$1:$AY$1,),))))-(((VLOOKUP(EDATE(B386,-12),Database!$F:$AY,MATCH($U$1,Database!$F$1:$AY$1,),)))))/(((VLOOKUP(EDATE(B386,-12),Database!$F:$AY,MATCH($U$1,Database!$F$1:$AY$1,),))))</f>
        <v>-0.11904761904761914</v>
      </c>
      <c r="V386" s="13">
        <f>((((VLOOKUP(B386,Database!$F:$AY,MATCH($V$1,Database!$F$1:$AY$1,),))))-(((VLOOKUP(EDATE(B386,-12),Database!$F:$AY,MATCH($V$1,Database!$F$1:$AY$1,),)))))/(((VLOOKUP(EDATE(B386,-12),Database!$F:$AY,MATCH($V$1,Database!$F$1:$AY$1,),))))</f>
        <v>-5.0736497545008204E-2</v>
      </c>
    </row>
    <row r="387" spans="2:22" s="85" customFormat="1" x14ac:dyDescent="0.2">
      <c r="B387" s="91">
        <v>43922</v>
      </c>
      <c r="C387" s="13">
        <f>((((VLOOKUP(B387,Database!$F:$AY,MATCH($C$1,Database!$F$1:$AY$1,),))))-(((VLOOKUP(EDATE(B387,-12),Database!$F:$AY,MATCH($C$1,Database!$F$1:$AY$1,),)))))/(((VLOOKUP(EDATE(B387,-12),Database!$F:$AY,MATCH($C$1,Database!$F$1:$AY$1,),))))</f>
        <v>-0.16261319694931828</v>
      </c>
      <c r="D387" s="13">
        <f>((((VLOOKUP(B387,Database!$F:$AY,MATCH($D$1,Database!$F$1:$AY$1,),))))-(((VLOOKUP(EDATE(B387,-12),Database!$F:$AY,MATCH($D$1,Database!$F$1:$AY$1,),)))))/(((VLOOKUP(EDATE(B387,-12),Database!$F:$AY,MATCH($D$1,Database!$F$1:$AY$1,),))))</f>
        <v>-0.28475536666711421</v>
      </c>
      <c r="E387" s="13">
        <f>((((VLOOKUP(B387,Database!$F:$AY,MATCH($E$1,Database!$F$1:$AY$1,),))))-(((VLOOKUP(EDATE(B387,-12),Database!$F:$AY,MATCH($E$1,Database!$F$1:$AY$1,),)))))/(((VLOOKUP(EDATE(B387,-12),Database!$F:$AY,MATCH($E$1,Database!$F$1:$AY$1,),))))</f>
        <v>-0.15092471229333718</v>
      </c>
      <c r="F387" s="13">
        <f>((((VLOOKUP(B387,Database!$F:$AY,MATCH($F$1,Database!$F$1:$AY$1,),))))-(((VLOOKUP(EDATE(B387,-12),Database!$F:$AY,MATCH($F$1,Database!$F$1:$AY$1,),)))))/(((VLOOKUP(EDATE(B387,-12),Database!$F:$AY,MATCH($F$1,Database!$F$1:$AY$1,),))))</f>
        <v>-0.29764233752327063</v>
      </c>
      <c r="G387" s="13">
        <f>((((VLOOKUP(B387,Database!$F:$AY,MATCH($G$1,Database!$F$1:$AY$1,),))))-(((VLOOKUP(EDATE(B387,-12),Database!$F:$AY,MATCH($G$1,Database!$F$1:$AY$1,),)))))/(((VLOOKUP(EDATE(B387,-12),Database!$F:$AY,MATCH($G$1,Database!$F$1:$AY$1,),))))</f>
        <v>-0.34953906048083755</v>
      </c>
      <c r="H387" s="13">
        <f>((((VLOOKUP(B387,Database!$F:$AY,MATCH($H$1,Database!$F$1:$AY$1,),))))-(((VLOOKUP(EDATE(B387,-12),Database!$F:$AY,MATCH($H$1,Database!$F$1:$AY$1,),)))))/(((VLOOKUP(EDATE(B387,-12),Database!$F:$AY,MATCH($H$1,Database!$F$1:$AY$1,),))))</f>
        <v>-0.236493129703539</v>
      </c>
      <c r="I387" s="13">
        <f>((((VLOOKUP(B387,Database!$F:$AY,MATCH($I$1,Database!$F$1:$AY$1,),))))-(((VLOOKUP(EDATE(B387,-12),Database!$F:$AY,MATCH($I$1,Database!$F$1:$AY$1,),)))))/(((VLOOKUP(EDATE(B387,-12),Database!$F:$AY,MATCH($I$1,Database!$F$1:$AY$1,),))))</f>
        <v>-0.43345983314193581</v>
      </c>
      <c r="J387" s="13">
        <f>((((VLOOKUP(B387,Database!$F:$AY,MATCH($J$1,Database!$F$1:$AY$1,),))))-(((VLOOKUP(EDATE(B387,-12),Database!$F:$AY,MATCH($J$1,Database!$F$1:$AY$1,),)))))/(((VLOOKUP(EDATE(B387,-12),Database!$F:$AY,MATCH($J$1,Database!$F$1:$AY$1,),))))</f>
        <v>-0.34000678872025147</v>
      </c>
      <c r="K387" s="13">
        <f>((((VLOOKUP(B387,Database!$F:$AY,MATCH($K$1,Database!$F$1:$AY$1,),))))-(((VLOOKUP(EDATE(B387,-12),Database!$F:$AY,MATCH($K$1,Database!$F$1:$AY$1,),)))))/(((VLOOKUP(EDATE(B387,-12),Database!$F:$AY,MATCH($K$1,Database!$F$1:$AY$1,),))))</f>
        <v>-0.15509467989179443</v>
      </c>
      <c r="L387" s="13"/>
      <c r="M387" s="13"/>
      <c r="N387" s="13"/>
      <c r="O387" s="13">
        <f>((((VLOOKUP(B387,Database!$F:$AY,MATCH($O$1,Database!$F$1:$AY$1,),))))-(((VLOOKUP(EDATE(B387,-12),Database!$F:$AY,MATCH($O$1,Database!$F$1:$AY$1,),)))))/(((VLOOKUP(EDATE(B387,-12),Database!$F:$AY,MATCH($O$1,Database!$F$1:$AY$1,),))))</f>
        <v>-0.21336158923834112</v>
      </c>
      <c r="P387" s="13">
        <f>((((VLOOKUP(B387,Database!$F:$AY,MATCH($P$1,Database!$F$1:$AY$1,),))))-(((VLOOKUP(EDATE(B387,-12),Database!$F:$AY,MATCH($P$1,Database!$F$1:$AY$1,),)))))/(((VLOOKUP(EDATE(B387,-12),Database!$F:$AY,MATCH($P$1,Database!$F$1:$AY$1,),))))</f>
        <v>-2.1759616694672693E-2</v>
      </c>
      <c r="Q387" s="13">
        <f>((((VLOOKUP(B387,Database!$F:$AY,MATCH($Q$1,Database!$F$1:$AY$1,),))))-(((VLOOKUP(EDATE(B387,-12),Database!$F:$AY,MATCH($Q$1,Database!$F$1:$AY$1,),)))))/(((VLOOKUP(EDATE(B387,-12),Database!$F:$AY,MATCH($Q$1,Database!$F$1:$AY$1,),))))</f>
        <v>-0.26091946223245771</v>
      </c>
      <c r="R387" s="13">
        <f>((((VLOOKUP(B387,Database!$F:$AY,MATCH($R$1,Database!$F$1:$AY$1,),))))-(((VLOOKUP(EDATE(B387,-12),Database!$F:$AY,MATCH($R$1,Database!$F$1:$AY$1,),)))))/(((VLOOKUP(EDATE(B387,-12),Database!$F:$AY,MATCH($R$1,Database!$F$1:$AY$1,),))))</f>
        <v>-0.10382558554089871</v>
      </c>
      <c r="S387" s="13">
        <f>((((VLOOKUP(B387,Database!$F:$AY,MATCH($S$1,Database!$F$1:$AY$1,),))))-(((VLOOKUP(EDATE(B387,-12),Database!$F:$AY,MATCH($S$1,Database!$F$1:$AY$1,),)))))/(((VLOOKUP(EDATE(B387,-12),Database!$F:$AY,MATCH($S$1,Database!$F$1:$AY$1,),))))</f>
        <v>2.1875052078993509E-2</v>
      </c>
      <c r="T387" s="13">
        <f>((((VLOOKUP(B387,Database!$F:$AY,MATCH($T$1,Database!$F$1:$AY$1,),))))-(((VLOOKUP(EDATE(B387,-12),Database!$F:$AY,MATCH($T$1,Database!$F$1:$AY$1,),)))))/(((VLOOKUP(EDATE(B387,-12),Database!$F:$AY,MATCH($T$1,Database!$F$1:$AY$1,),))))</f>
        <v>-0.3078274789890097</v>
      </c>
      <c r="U387" s="13">
        <f>((((VLOOKUP(B387,Database!$F:$AY,MATCH($U$1,Database!$F$1:$AY$1,),))))-(((VLOOKUP(EDATE(B387,-12),Database!$F:$AY,MATCH($U$1,Database!$F$1:$AY$1,),)))))/(((VLOOKUP(EDATE(B387,-12),Database!$F:$AY,MATCH($U$1,Database!$F$1:$AY$1,),))))</f>
        <v>-0.34033268872340988</v>
      </c>
      <c r="V387" s="13">
        <f>((((VLOOKUP(B387,Database!$F:$AY,MATCH($V$1,Database!$F$1:$AY$1,),))))-(((VLOOKUP(EDATE(B387,-12),Database!$F:$AY,MATCH($V$1,Database!$F$1:$AY$1,),)))))/(((VLOOKUP(EDATE(B387,-12),Database!$F:$AY,MATCH($V$1,Database!$F$1:$AY$1,),))))</f>
        <v>-0.25061425061425058</v>
      </c>
    </row>
    <row r="388" spans="2:22" s="85" customFormat="1" x14ac:dyDescent="0.2">
      <c r="B388" s="91">
        <v>43952</v>
      </c>
      <c r="C388" s="13">
        <f>((((VLOOKUP(B388,Database!$F:$AY,MATCH($C$1,Database!$F$1:$AY$1,),))))-(((VLOOKUP(EDATE(B388,-12),Database!$F:$AY,MATCH($C$1,Database!$F$1:$AY$1,),)))))/(((VLOOKUP(EDATE(B388,-12),Database!$F:$AY,MATCH($C$1,Database!$F$1:$AY$1,),))))</f>
        <v>-0.15715154461315567</v>
      </c>
      <c r="D388" s="13">
        <f>((((VLOOKUP(B388,Database!$F:$AY,MATCH($D$1,Database!$F$1:$AY$1,),))))-(((VLOOKUP(EDATE(B388,-12),Database!$F:$AY,MATCH($D$1,Database!$F$1:$AY$1,),)))))/(((VLOOKUP(EDATE(B388,-12),Database!$F:$AY,MATCH($D$1,Database!$F$1:$AY$1,),))))</f>
        <v>-0.20171274950634022</v>
      </c>
      <c r="E388" s="13">
        <f>((((VLOOKUP(B388,Database!$F:$AY,MATCH($E$1,Database!$F$1:$AY$1,),))))-(((VLOOKUP(EDATE(B388,-12),Database!$F:$AY,MATCH($E$1,Database!$F$1:$AY$1,),)))))/(((VLOOKUP(EDATE(B388,-12),Database!$F:$AY,MATCH($E$1,Database!$F$1:$AY$1,),))))</f>
        <v>-0.23387839020206705</v>
      </c>
      <c r="F388" s="13">
        <f>((((VLOOKUP(B388,Database!$F:$AY,MATCH($F$1,Database!$F$1:$AY$1,),))))-(((VLOOKUP(EDATE(B388,-12),Database!$F:$AY,MATCH($F$1,Database!$F$1:$AY$1,),)))))/(((VLOOKUP(EDATE(B388,-12),Database!$F:$AY,MATCH($F$1,Database!$F$1:$AY$1,),))))</f>
        <v>-0.2346637595748037</v>
      </c>
      <c r="G388" s="13">
        <f>((((VLOOKUP(B388,Database!$F:$AY,MATCH($G$1,Database!$F$1:$AY$1,),))))-(((VLOOKUP(EDATE(B388,-12),Database!$F:$AY,MATCH($G$1,Database!$F$1:$AY$1,),)))))/(((VLOOKUP(EDATE(B388,-12),Database!$F:$AY,MATCH($G$1,Database!$F$1:$AY$1,),))))</f>
        <v>-0.23287033755501557</v>
      </c>
      <c r="H388" s="13">
        <f>((((VLOOKUP(B388,Database!$F:$AY,MATCH($H$1,Database!$F$1:$AY$1,),))))-(((VLOOKUP(EDATE(B388,-12),Database!$F:$AY,MATCH($H$1,Database!$F$1:$AY$1,),)))))/(((VLOOKUP(EDATE(B388,-12),Database!$F:$AY,MATCH($H$1,Database!$F$1:$AY$1,),))))</f>
        <v>-0.2034238496800112</v>
      </c>
      <c r="I388" s="13">
        <f>((((VLOOKUP(B388,Database!$F:$AY,MATCH($I$1,Database!$F$1:$AY$1,),))))-(((VLOOKUP(EDATE(B388,-12),Database!$F:$AY,MATCH($I$1,Database!$F$1:$AY$1,),)))))/(((VLOOKUP(EDATE(B388,-12),Database!$F:$AY,MATCH($I$1,Database!$F$1:$AY$1,),))))</f>
        <v>-0.20546680591792721</v>
      </c>
      <c r="J388" s="13">
        <f>((((VLOOKUP(B388,Database!$F:$AY,MATCH($J$1,Database!$F$1:$AY$1,),))))-(((VLOOKUP(EDATE(B388,-12),Database!$F:$AY,MATCH($J$1,Database!$F$1:$AY$1,),)))))/(((VLOOKUP(EDATE(B388,-12),Database!$F:$AY,MATCH($J$1,Database!$F$1:$AY$1,),))))</f>
        <v>-0.24583614740997525</v>
      </c>
      <c r="K388" s="13">
        <f>((((VLOOKUP(B388,Database!$F:$AY,MATCH($K$1,Database!$F$1:$AY$1,),))))-(((VLOOKUP(EDATE(B388,-12),Database!$F:$AY,MATCH($K$1,Database!$F$1:$AY$1,),)))))/(((VLOOKUP(EDATE(B388,-12),Database!$F:$AY,MATCH($K$1,Database!$F$1:$AY$1,),))))</f>
        <v>-0.15494211932324126</v>
      </c>
      <c r="L388" s="13"/>
      <c r="M388" s="13"/>
      <c r="N388" s="13"/>
      <c r="O388" s="13">
        <f>((((VLOOKUP(B388,Database!$F:$AY,MATCH($O$1,Database!$F$1:$AY$1,),))))-(((VLOOKUP(EDATE(B388,-12),Database!$F:$AY,MATCH($O$1,Database!$F$1:$AY$1,),)))))/(((VLOOKUP(EDATE(B388,-12),Database!$F:$AY,MATCH($O$1,Database!$F$1:$AY$1,),))))</f>
        <v>-0.18179377095438196</v>
      </c>
      <c r="P388" s="13">
        <f>((((VLOOKUP(B388,Database!$F:$AY,MATCH($P$1,Database!$F$1:$AY$1,),))))-(((VLOOKUP(EDATE(B388,-12),Database!$F:$AY,MATCH($P$1,Database!$F$1:$AY$1,),)))))/(((VLOOKUP(EDATE(B388,-12),Database!$F:$AY,MATCH($P$1,Database!$F$1:$AY$1,),))))</f>
        <v>-8.2936430380784645E-2</v>
      </c>
      <c r="Q388" s="13">
        <f>((((VLOOKUP(B388,Database!$F:$AY,MATCH($Q$1,Database!$F$1:$AY$1,),))))-(((VLOOKUP(EDATE(B388,-12),Database!$F:$AY,MATCH($Q$1,Database!$F$1:$AY$1,),)))))/(((VLOOKUP(EDATE(B388,-12),Database!$F:$AY,MATCH($Q$1,Database!$F$1:$AY$1,),))))</f>
        <v>-0.20022880833960569</v>
      </c>
      <c r="R388" s="13">
        <f>((((VLOOKUP(B388,Database!$F:$AY,MATCH($R$1,Database!$F$1:$AY$1,),))))-(((VLOOKUP(EDATE(B388,-12),Database!$F:$AY,MATCH($R$1,Database!$F$1:$AY$1,),)))))/(((VLOOKUP(EDATE(B388,-12),Database!$F:$AY,MATCH($R$1,Database!$F$1:$AY$1,),))))</f>
        <v>-7.8558097746079233E-2</v>
      </c>
      <c r="S388" s="13">
        <f>((((VLOOKUP(B388,Database!$F:$AY,MATCH($S$1,Database!$F$1:$AY$1,),))))-(((VLOOKUP(EDATE(B388,-12),Database!$F:$AY,MATCH($S$1,Database!$F$1:$AY$1,),)))))/(((VLOOKUP(EDATE(B388,-12),Database!$F:$AY,MATCH($S$1,Database!$F$1:$AY$1,),))))</f>
        <v>-0.13981772340563695</v>
      </c>
      <c r="T388" s="13">
        <f>((((VLOOKUP(B388,Database!$F:$AY,MATCH($T$1,Database!$F$1:$AY$1,),))))-(((VLOOKUP(EDATE(B388,-12),Database!$F:$AY,MATCH($T$1,Database!$F$1:$AY$1,),)))))/(((VLOOKUP(EDATE(B388,-12),Database!$F:$AY,MATCH($T$1,Database!$F$1:$AY$1,),))))</f>
        <v>-0.19200689197361381</v>
      </c>
      <c r="U388" s="13">
        <f>((((VLOOKUP(B388,Database!$F:$AY,MATCH($U$1,Database!$F$1:$AY$1,),))))-(((VLOOKUP(EDATE(B388,-12),Database!$F:$AY,MATCH($U$1,Database!$F$1:$AY$1,),)))))/(((VLOOKUP(EDATE(B388,-12),Database!$F:$AY,MATCH($U$1,Database!$F$1:$AY$1,),))))</f>
        <v>-0.24570443871229397</v>
      </c>
      <c r="V388" s="13">
        <f>((((VLOOKUP(B388,Database!$F:$AY,MATCH($V$1,Database!$F$1:$AY$1,),))))-(((VLOOKUP(EDATE(B388,-12),Database!$F:$AY,MATCH($V$1,Database!$F$1:$AY$1,),)))))/(((VLOOKUP(EDATE(B388,-12),Database!$F:$AY,MATCH($V$1,Database!$F$1:$AY$1,),))))</f>
        <v>-0.15453802125919863</v>
      </c>
    </row>
    <row r="389" spans="2:22" s="85" customFormat="1" x14ac:dyDescent="0.2">
      <c r="B389" s="91">
        <v>43983</v>
      </c>
      <c r="C389" s="13">
        <f>((((VLOOKUP(B389,Database!$F:$AY,MATCH($C$1,Database!$F$1:$AY$1,),))))-(((VLOOKUP(EDATE(B389,-12),Database!$F:$AY,MATCH($C$1,Database!$F$1:$AY$1,),)))))/(((VLOOKUP(EDATE(B389,-12),Database!$F:$AY,MATCH($C$1,Database!$F$1:$AY$1,),))))</f>
        <v>-0.10501267125245327</v>
      </c>
      <c r="D389" s="13">
        <f>((((VLOOKUP(B389,Database!$F:$AY,MATCH($D$1,Database!$F$1:$AY$1,),))))-(((VLOOKUP(EDATE(B389,-12),Database!$F:$AY,MATCH($D$1,Database!$F$1:$AY$1,),)))))/(((VLOOKUP(EDATE(B389,-12),Database!$F:$AY,MATCH($D$1,Database!$F$1:$AY$1,),))))</f>
        <v>-0.11549574664501398</v>
      </c>
      <c r="E389" s="13">
        <f>((((VLOOKUP(B389,Database!$F:$AY,MATCH($E$1,Database!$F$1:$AY$1,),))))-(((VLOOKUP(EDATE(B389,-12),Database!$F:$AY,MATCH($E$1,Database!$F$1:$AY$1,),)))))/(((VLOOKUP(EDATE(B389,-12),Database!$F:$AY,MATCH($E$1,Database!$F$1:$AY$1,),))))</f>
        <v>-0.1982244073714266</v>
      </c>
      <c r="F389" s="13">
        <f>((((VLOOKUP(B389,Database!$F:$AY,MATCH($F$1,Database!$F$1:$AY$1,),))))-(((VLOOKUP(EDATE(B389,-12),Database!$F:$AY,MATCH($F$1,Database!$F$1:$AY$1,),)))))/(((VLOOKUP(EDATE(B389,-12),Database!$F:$AY,MATCH($F$1,Database!$F$1:$AY$1,),))))</f>
        <v>-0.13891586980190465</v>
      </c>
      <c r="G389" s="13">
        <f>((((VLOOKUP(B389,Database!$F:$AY,MATCH($G$1,Database!$F$1:$AY$1,),))))-(((VLOOKUP(EDATE(B389,-12),Database!$F:$AY,MATCH($G$1,Database!$F$1:$AY$1,),)))))/(((VLOOKUP(EDATE(B389,-12),Database!$F:$AY,MATCH($G$1,Database!$F$1:$AY$1,),))))</f>
        <v>-0.11359494692353909</v>
      </c>
      <c r="H389" s="13">
        <f>((((VLOOKUP(B389,Database!$F:$AY,MATCH($H$1,Database!$F$1:$AY$1,),))))-(((VLOOKUP(EDATE(B389,-12),Database!$F:$AY,MATCH($H$1,Database!$F$1:$AY$1,),)))))/(((VLOOKUP(EDATE(B389,-12),Database!$F:$AY,MATCH($H$1,Database!$F$1:$AY$1,),))))</f>
        <v>-0.12133448770525736</v>
      </c>
      <c r="I389" s="13">
        <f>((((VLOOKUP(B389,Database!$F:$AY,MATCH($I$1,Database!$F$1:$AY$1,),))))-(((VLOOKUP(EDATE(B389,-12),Database!$F:$AY,MATCH($I$1,Database!$F$1:$AY$1,),)))))/(((VLOOKUP(EDATE(B389,-12),Database!$F:$AY,MATCH($I$1,Database!$F$1:$AY$1,),))))</f>
        <v>-0.13705119140344382</v>
      </c>
      <c r="J389" s="13">
        <f>((((VLOOKUP(B389,Database!$F:$AY,MATCH($J$1,Database!$F$1:$AY$1,),))))-(((VLOOKUP(EDATE(B389,-12),Database!$F:$AY,MATCH($J$1,Database!$F$1:$AY$1,),)))))/(((VLOOKUP(EDATE(B389,-12),Database!$F:$AY,MATCH($J$1,Database!$F$1:$AY$1,),))))</f>
        <v>-0.14258731193435345</v>
      </c>
      <c r="K389" s="13">
        <f>((((VLOOKUP(B389,Database!$F:$AY,MATCH($K$1,Database!$F$1:$AY$1,),))))-(((VLOOKUP(EDATE(B389,-12),Database!$F:$AY,MATCH($K$1,Database!$F$1:$AY$1,),)))))/(((VLOOKUP(EDATE(B389,-12),Database!$F:$AY,MATCH($K$1,Database!$F$1:$AY$1,),))))</f>
        <v>-0.10133333333333339</v>
      </c>
      <c r="L389" s="13"/>
      <c r="M389" s="13"/>
      <c r="N389" s="13"/>
      <c r="O389" s="13">
        <f>((((VLOOKUP(B389,Database!$F:$AY,MATCH($O$1,Database!$F$1:$AY$1,),))))-(((VLOOKUP(EDATE(B389,-12),Database!$F:$AY,MATCH($O$1,Database!$F$1:$AY$1,),)))))/(((VLOOKUP(EDATE(B389,-12),Database!$F:$AY,MATCH($O$1,Database!$F$1:$AY$1,),))))</f>
        <v>-0.1358054401195346</v>
      </c>
      <c r="P389" s="13">
        <f>((((VLOOKUP(B389,Database!$F:$AY,MATCH($P$1,Database!$F$1:$AY$1,),))))-(((VLOOKUP(EDATE(B389,-12),Database!$F:$AY,MATCH($P$1,Database!$F$1:$AY$1,),)))))/(((VLOOKUP(EDATE(B389,-12),Database!$F:$AY,MATCH($P$1,Database!$F$1:$AY$1,),))))</f>
        <v>-2.0912395713709855E-2</v>
      </c>
      <c r="Q389" s="13">
        <f>((((VLOOKUP(B389,Database!$F:$AY,MATCH($Q$1,Database!$F$1:$AY$1,),))))-(((VLOOKUP(EDATE(B389,-12),Database!$F:$AY,MATCH($Q$1,Database!$F$1:$AY$1,),)))))/(((VLOOKUP(EDATE(B389,-12),Database!$F:$AY,MATCH($Q$1,Database!$F$1:$AY$1,),))))</f>
        <v>-0.11547349609116908</v>
      </c>
      <c r="R389" s="13">
        <f>((((VLOOKUP(B389,Database!$F:$AY,MATCH($R$1,Database!$F$1:$AY$1,),))))-(((VLOOKUP(EDATE(B389,-12),Database!$F:$AY,MATCH($R$1,Database!$F$1:$AY$1,),)))))/(((VLOOKUP(EDATE(B389,-12),Database!$F:$AY,MATCH($R$1,Database!$F$1:$AY$1,),))))</f>
        <v>-4.8147794512306469E-2</v>
      </c>
      <c r="S389" s="13">
        <f>((((VLOOKUP(B389,Database!$F:$AY,MATCH($S$1,Database!$F$1:$AY$1,),))))-(((VLOOKUP(EDATE(B389,-12),Database!$F:$AY,MATCH($S$1,Database!$F$1:$AY$1,),)))))/(((VLOOKUP(EDATE(B389,-12),Database!$F:$AY,MATCH($S$1,Database!$F$1:$AY$1,),))))</f>
        <v>3.8461538461538505E-2</v>
      </c>
      <c r="T389" s="13">
        <f>((((VLOOKUP(B389,Database!$F:$AY,MATCH($T$1,Database!$F$1:$AY$1,),))))-(((VLOOKUP(EDATE(B389,-12),Database!$F:$AY,MATCH($T$1,Database!$F$1:$AY$1,),)))))/(((VLOOKUP(EDATE(B389,-12),Database!$F:$AY,MATCH($T$1,Database!$F$1:$AY$1,),))))</f>
        <v>2.7449677878031145E-3</v>
      </c>
      <c r="U389" s="13">
        <f>((((VLOOKUP(B389,Database!$F:$AY,MATCH($U$1,Database!$F$1:$AY$1,),))))-(((VLOOKUP(EDATE(B389,-12),Database!$F:$AY,MATCH($U$1,Database!$F$1:$AY$1,),)))))/(((VLOOKUP(EDATE(B389,-12),Database!$F:$AY,MATCH($U$1,Database!$F$1:$AY$1,),))))</f>
        <v>-9.8578625916227597E-2</v>
      </c>
      <c r="V389" s="13">
        <f>((((VLOOKUP(B389,Database!$F:$AY,MATCH($V$1,Database!$F$1:$AY$1,),))))-(((VLOOKUP(EDATE(B389,-12),Database!$F:$AY,MATCH($V$1,Database!$F$1:$AY$1,),)))))/(((VLOOKUP(EDATE(B389,-12),Database!$F:$AY,MATCH($V$1,Database!$F$1:$AY$1,),))))</f>
        <v>-5.0083472454090151E-2</v>
      </c>
    </row>
    <row r="390" spans="2:22" s="85" customFormat="1" x14ac:dyDescent="0.2">
      <c r="B390" s="91">
        <v>44013</v>
      </c>
      <c r="C390" s="13">
        <f>((((VLOOKUP(B390,Database!$F:$AY,MATCH($C$1,Database!$F$1:$AY$1,),))))-(((VLOOKUP(EDATE(B390,-12),Database!$F:$AY,MATCH($C$1,Database!$F$1:$AY$1,),)))))/(((VLOOKUP(EDATE(B390,-12),Database!$F:$AY,MATCH($C$1,Database!$F$1:$AY$1,),))))</f>
        <v>-6.5937692670365866E-2</v>
      </c>
      <c r="D390" s="13">
        <f>((((VLOOKUP(B390,Database!$F:$AY,MATCH($D$1,Database!$F$1:$AY$1,),))))-(((VLOOKUP(EDATE(B390,-12),Database!$F:$AY,MATCH($D$1,Database!$F$1:$AY$1,),)))))/(((VLOOKUP(EDATE(B390,-12),Database!$F:$AY,MATCH($D$1,Database!$F$1:$AY$1,),))))</f>
        <v>-6.647398843930645E-2</v>
      </c>
      <c r="E390" s="13">
        <f>((((VLOOKUP(B390,Database!$F:$AY,MATCH($E$1,Database!$F$1:$AY$1,),))))-(((VLOOKUP(EDATE(B390,-12),Database!$F:$AY,MATCH($E$1,Database!$F$1:$AY$1,),)))))/(((VLOOKUP(EDATE(B390,-12),Database!$F:$AY,MATCH($E$1,Database!$F$1:$AY$1,),))))</f>
        <v>-0.14243605802056161</v>
      </c>
      <c r="F390" s="13">
        <f>((((VLOOKUP(B390,Database!$F:$AY,MATCH($F$1,Database!$F$1:$AY$1,),))))-(((VLOOKUP(EDATE(B390,-12),Database!$F:$AY,MATCH($F$1,Database!$F$1:$AY$1,),)))))/(((VLOOKUP(EDATE(B390,-12),Database!$F:$AY,MATCH($F$1,Database!$F$1:$AY$1,),))))</f>
        <v>-0.11056306742118797</v>
      </c>
      <c r="G390" s="13">
        <f>((((VLOOKUP(B390,Database!$F:$AY,MATCH($G$1,Database!$F$1:$AY$1,),))))-(((VLOOKUP(EDATE(B390,-12),Database!$F:$AY,MATCH($G$1,Database!$F$1:$AY$1,),)))))/(((VLOOKUP(EDATE(B390,-12),Database!$F:$AY,MATCH($G$1,Database!$F$1:$AY$1,),))))</f>
        <v>-8.2955872863069588E-2</v>
      </c>
      <c r="H390" s="13">
        <f>((((VLOOKUP(B390,Database!$F:$AY,MATCH($H$1,Database!$F$1:$AY$1,),))))-(((VLOOKUP(EDATE(B390,-12),Database!$F:$AY,MATCH($H$1,Database!$F$1:$AY$1,),)))))/(((VLOOKUP(EDATE(B390,-12),Database!$F:$AY,MATCH($H$1,Database!$F$1:$AY$1,),))))</f>
        <v>-7.2948489624248061E-2</v>
      </c>
      <c r="I390" s="13">
        <f>((((VLOOKUP(B390,Database!$F:$AY,MATCH($I$1,Database!$F$1:$AY$1,),))))-(((VLOOKUP(EDATE(B390,-12),Database!$F:$AY,MATCH($I$1,Database!$F$1:$AY$1,),)))))/(((VLOOKUP(EDATE(B390,-12),Database!$F:$AY,MATCH($I$1,Database!$F$1:$AY$1,),))))</f>
        <v>-7.5329970845041658E-2</v>
      </c>
      <c r="J390" s="13">
        <f>((((VLOOKUP(B390,Database!$F:$AY,MATCH($J$1,Database!$F$1:$AY$1,),))))-(((VLOOKUP(EDATE(B390,-12),Database!$F:$AY,MATCH($J$1,Database!$F$1:$AY$1,),)))))/(((VLOOKUP(EDATE(B390,-12),Database!$F:$AY,MATCH($J$1,Database!$F$1:$AY$1,),))))</f>
        <v>-5.9301424185689851E-2</v>
      </c>
      <c r="K390" s="13">
        <f>((((VLOOKUP(B390,Database!$F:$AY,MATCH($K$1,Database!$F$1:$AY$1,),))))-(((VLOOKUP(EDATE(B390,-12),Database!$F:$AY,MATCH($K$1,Database!$F$1:$AY$1,),)))))/(((VLOOKUP(EDATE(B390,-12),Database!$F:$AY,MATCH($K$1,Database!$F$1:$AY$1,),))))</f>
        <v>-7.0921985815602842E-2</v>
      </c>
      <c r="L390" s="13"/>
      <c r="M390" s="13"/>
      <c r="N390" s="13"/>
      <c r="O390" s="13">
        <f>((((VLOOKUP(B390,Database!$F:$AY,MATCH($O$1,Database!$F$1:$AY$1,),))))-(((VLOOKUP(EDATE(B390,-12),Database!$F:$AY,MATCH($O$1,Database!$F$1:$AY$1,),)))))/(((VLOOKUP(EDATE(B390,-12),Database!$F:$AY,MATCH($O$1,Database!$F$1:$AY$1,),))))</f>
        <v>-9.3368717508299739E-2</v>
      </c>
      <c r="P390" s="13">
        <f>((((VLOOKUP(B390,Database!$F:$AY,MATCH($P$1,Database!$F$1:$AY$1,),))))-(((VLOOKUP(EDATE(B390,-12),Database!$F:$AY,MATCH($P$1,Database!$F$1:$AY$1,),)))))/(((VLOOKUP(EDATE(B390,-12),Database!$F:$AY,MATCH($P$1,Database!$F$1:$AY$1,),))))</f>
        <v>-2.4163731167104942E-2</v>
      </c>
      <c r="Q390" s="13">
        <f>((((VLOOKUP(B390,Database!$F:$AY,MATCH($Q$1,Database!$F$1:$AY$1,),))))-(((VLOOKUP(EDATE(B390,-12),Database!$F:$AY,MATCH($Q$1,Database!$F$1:$AY$1,),)))))/(((VLOOKUP(EDATE(B390,-12),Database!$F:$AY,MATCH($Q$1,Database!$F$1:$AY$1,),))))</f>
        <v>-2.5761116649710415E-2</v>
      </c>
      <c r="R390" s="13">
        <f>((((VLOOKUP(B390,Database!$F:$AY,MATCH($R$1,Database!$F$1:$AY$1,),))))-(((VLOOKUP(EDATE(B390,-12),Database!$F:$AY,MATCH($R$1,Database!$F$1:$AY$1,),)))))/(((VLOOKUP(EDATE(B390,-12),Database!$F:$AY,MATCH($R$1,Database!$F$1:$AY$1,),))))</f>
        <v>-1.8764827312873949E-3</v>
      </c>
      <c r="S390" s="13">
        <f>((((VLOOKUP(B390,Database!$F:$AY,MATCH($S$1,Database!$F$1:$AY$1,),))))-(((VLOOKUP(EDATE(B390,-12),Database!$F:$AY,MATCH($S$1,Database!$F$1:$AY$1,),)))))/(((VLOOKUP(EDATE(B390,-12),Database!$F:$AY,MATCH($S$1,Database!$F$1:$AY$1,),))))</f>
        <v>0.1444784732582127</v>
      </c>
      <c r="T390" s="13">
        <f>((((VLOOKUP(B390,Database!$F:$AY,MATCH($T$1,Database!$F$1:$AY$1,),))))-(((VLOOKUP(EDATE(B390,-12),Database!$F:$AY,MATCH($T$1,Database!$F$1:$AY$1,),)))))/(((VLOOKUP(EDATE(B390,-12),Database!$F:$AY,MATCH($T$1,Database!$F$1:$AY$1,),))))</f>
        <v>4.2105263157894722E-2</v>
      </c>
      <c r="U390" s="13">
        <f>((((VLOOKUP(B390,Database!$F:$AY,MATCH($U$1,Database!$F$1:$AY$1,),))))-(((VLOOKUP(EDATE(B390,-12),Database!$F:$AY,MATCH($U$1,Database!$F$1:$AY$1,),)))))/(((VLOOKUP(EDATE(B390,-12),Database!$F:$AY,MATCH($U$1,Database!$F$1:$AY$1,),))))</f>
        <v>-4.1778500070678487E-2</v>
      </c>
      <c r="V390" s="13">
        <f>((((VLOOKUP(B390,Database!$F:$AY,MATCH($V$1,Database!$F$1:$AY$1,),))))-(((VLOOKUP(EDATE(B390,-12),Database!$F:$AY,MATCH($V$1,Database!$F$1:$AY$1,),)))))/(((VLOOKUP(EDATE(B390,-12),Database!$F:$AY,MATCH($V$1,Database!$F$1:$AY$1,),))))</f>
        <v>-2.4834437086092482E-3</v>
      </c>
    </row>
    <row r="391" spans="2:22" s="85" customFormat="1" x14ac:dyDescent="0.2">
      <c r="B391" s="91">
        <v>44044</v>
      </c>
      <c r="C391" s="13">
        <f>((((VLOOKUP(B391,Database!$F:$AY,MATCH($C$1,Database!$F$1:$AY$1,),))))-(((VLOOKUP(EDATE(B391,-12),Database!$F:$AY,MATCH($C$1,Database!$F$1:$AY$1,),)))))/(((VLOOKUP(EDATE(B391,-12),Database!$F:$AY,MATCH($C$1,Database!$F$1:$AY$1,),))))</f>
        <v>-6.5472188604392995E-2</v>
      </c>
      <c r="D391" s="13">
        <f>((((VLOOKUP(B391,Database!$F:$AY,MATCH($D$1,Database!$F$1:$AY$1,),))))-(((VLOOKUP(EDATE(B391,-12),Database!$F:$AY,MATCH($D$1,Database!$F$1:$AY$1,),)))))/(((VLOOKUP(EDATE(B391,-12),Database!$F:$AY,MATCH($D$1,Database!$F$1:$AY$1,),))))</f>
        <v>-6.2560272307131043E-2</v>
      </c>
      <c r="E391" s="13">
        <f>((((VLOOKUP(B391,Database!$F:$AY,MATCH($E$1,Database!$F$1:$AY$1,),))))-(((VLOOKUP(EDATE(B391,-12),Database!$F:$AY,MATCH($E$1,Database!$F$1:$AY$1,),)))))/(((VLOOKUP(EDATE(B391,-12),Database!$F:$AY,MATCH($E$1,Database!$F$1:$AY$1,),))))</f>
        <v>-0.11144254843190884</v>
      </c>
      <c r="F391" s="13">
        <f>((((VLOOKUP(B391,Database!$F:$AY,MATCH($F$1,Database!$F$1:$AY$1,),))))-(((VLOOKUP(EDATE(B391,-12),Database!$F:$AY,MATCH($F$1,Database!$F$1:$AY$1,),)))))/(((VLOOKUP(EDATE(B391,-12),Database!$F:$AY,MATCH($F$1,Database!$F$1:$AY$1,),))))</f>
        <v>-0.11132971726696322</v>
      </c>
      <c r="G391" s="13">
        <f>((((VLOOKUP(B391,Database!$F:$AY,MATCH($G$1,Database!$F$1:$AY$1,),))))-(((VLOOKUP(EDATE(B391,-12),Database!$F:$AY,MATCH($G$1,Database!$F$1:$AY$1,),)))))/(((VLOOKUP(EDATE(B391,-12),Database!$F:$AY,MATCH($G$1,Database!$F$1:$AY$1,),))))</f>
        <v>-6.3633236504454779E-2</v>
      </c>
      <c r="H391" s="13">
        <f>((((VLOOKUP(B391,Database!$F:$AY,MATCH($H$1,Database!$F$1:$AY$1,),))))-(((VLOOKUP(EDATE(B391,-12),Database!$F:$AY,MATCH($H$1,Database!$F$1:$AY$1,),)))))/(((VLOOKUP(EDATE(B391,-12),Database!$F:$AY,MATCH($H$1,Database!$F$1:$AY$1,),))))</f>
        <v>-6.3330116219468227E-2</v>
      </c>
      <c r="I391" s="13">
        <f>((((VLOOKUP(B391,Database!$F:$AY,MATCH($I$1,Database!$F$1:$AY$1,),))))-(((VLOOKUP(EDATE(B391,-12),Database!$F:$AY,MATCH($I$1,Database!$F$1:$AY$1,),)))))/(((VLOOKUP(EDATE(B391,-12),Database!$F:$AY,MATCH($I$1,Database!$F$1:$AY$1,),))))</f>
        <v>-9.4974698740263688E-4</v>
      </c>
      <c r="J391" s="13">
        <f>((((VLOOKUP(B391,Database!$F:$AY,MATCH($J$1,Database!$F$1:$AY$1,),))))-(((VLOOKUP(EDATE(B391,-12),Database!$F:$AY,MATCH($J$1,Database!$F$1:$AY$1,),)))))/(((VLOOKUP(EDATE(B391,-12),Database!$F:$AY,MATCH($J$1,Database!$F$1:$AY$1,),))))</f>
        <v>-5.4740423690319735E-2</v>
      </c>
      <c r="K391" s="13">
        <f>((((VLOOKUP(B391,Database!$F:$AY,MATCH($K$1,Database!$F$1:$AY$1,),))))-(((VLOOKUP(EDATE(B391,-12),Database!$F:$AY,MATCH($K$1,Database!$F$1:$AY$1,),)))))/(((VLOOKUP(EDATE(B391,-12),Database!$F:$AY,MATCH($K$1,Database!$F$1:$AY$1,),))))</f>
        <v>-1.0676156583629918E-2</v>
      </c>
      <c r="L391" s="13"/>
      <c r="M391" s="13"/>
      <c r="N391" s="13"/>
      <c r="O391" s="13">
        <f>((((VLOOKUP(B391,Database!$F:$AY,MATCH($O$1,Database!$F$1:$AY$1,),))))-(((VLOOKUP(EDATE(B391,-12),Database!$F:$AY,MATCH($O$1,Database!$F$1:$AY$1,),)))))/(((VLOOKUP(EDATE(B391,-12),Database!$F:$AY,MATCH($O$1,Database!$F$1:$AY$1,),))))</f>
        <v>-9.7361145047003009E-2</v>
      </c>
      <c r="P391" s="13">
        <f>((((VLOOKUP(B391,Database!$F:$AY,MATCH($P$1,Database!$F$1:$AY$1,),))))-(((VLOOKUP(EDATE(B391,-12),Database!$F:$AY,MATCH($P$1,Database!$F$1:$AY$1,),)))))/(((VLOOKUP(EDATE(B391,-12),Database!$F:$AY,MATCH($P$1,Database!$F$1:$AY$1,),))))</f>
        <v>-1.5066220176436381E-2</v>
      </c>
      <c r="Q391" s="13">
        <f>((((VLOOKUP(B391,Database!$F:$AY,MATCH($Q$1,Database!$F$1:$AY$1,),))))-(((VLOOKUP(EDATE(B391,-12),Database!$F:$AY,MATCH($Q$1,Database!$F$1:$AY$1,),)))))/(((VLOOKUP(EDATE(B391,-12),Database!$F:$AY,MATCH($Q$1,Database!$F$1:$AY$1,),))))</f>
        <v>-9.216644832392297E-3</v>
      </c>
      <c r="R391" s="13">
        <f>((((VLOOKUP(B391,Database!$F:$AY,MATCH($R$1,Database!$F$1:$AY$1,),))))-(((VLOOKUP(EDATE(B391,-12),Database!$F:$AY,MATCH($R$1,Database!$F$1:$AY$1,),)))))/(((VLOOKUP(EDATE(B391,-12),Database!$F:$AY,MATCH($R$1,Database!$F$1:$AY$1,),))))</f>
        <v>-3.6730588720924572E-2</v>
      </c>
      <c r="S391" s="13">
        <f>((((VLOOKUP(B391,Database!$F:$AY,MATCH($S$1,Database!$F$1:$AY$1,),))))-(((VLOOKUP(EDATE(B391,-12),Database!$F:$AY,MATCH($S$1,Database!$F$1:$AY$1,),)))))/(((VLOOKUP(EDATE(B391,-12),Database!$F:$AY,MATCH($S$1,Database!$F$1:$AY$1,),))))</f>
        <v>-5.2104173279341817E-2</v>
      </c>
      <c r="T391" s="13">
        <f>((((VLOOKUP(B391,Database!$F:$AY,MATCH($T$1,Database!$F$1:$AY$1,),))))-(((VLOOKUP(EDATE(B391,-12),Database!$F:$AY,MATCH($T$1,Database!$F$1:$AY$1,),)))))/(((VLOOKUP(EDATE(B391,-12),Database!$F:$AY,MATCH($T$1,Database!$F$1:$AY$1,),))))</f>
        <v>0.10422344364803163</v>
      </c>
      <c r="U391" s="13">
        <f>((((VLOOKUP(B391,Database!$F:$AY,MATCH($U$1,Database!$F$1:$AY$1,),))))-(((VLOOKUP(EDATE(B391,-12),Database!$F:$AY,MATCH($U$1,Database!$F$1:$AY$1,),)))))/(((VLOOKUP(EDATE(B391,-12),Database!$F:$AY,MATCH($U$1,Database!$F$1:$AY$1,),))))</f>
        <v>-4.8042690376423745E-2</v>
      </c>
      <c r="V391" s="13">
        <f>((((VLOOKUP(B391,Database!$F:$AY,MATCH($V$1,Database!$F$1:$AY$1,),))))-(((VLOOKUP(EDATE(B391,-12),Database!$F:$AY,MATCH($V$1,Database!$F$1:$AY$1,),)))))/(((VLOOKUP(EDATE(B391,-12),Database!$F:$AY,MATCH($V$1,Database!$F$1:$AY$1,),))))</f>
        <v>1.593959731543617E-2</v>
      </c>
    </row>
    <row r="392" spans="2:22" s="85" customFormat="1" x14ac:dyDescent="0.2">
      <c r="B392" s="91">
        <v>44075</v>
      </c>
      <c r="C392" s="13">
        <f>((((VLOOKUP(B392,Database!$F:$AY,MATCH($C$1,Database!$F$1:$AY$1,),))))-(((VLOOKUP(EDATE(B392,-12),Database!$F:$AY,MATCH($C$1,Database!$F$1:$AY$1,),)))))/(((VLOOKUP(EDATE(B392,-12),Database!$F:$AY,MATCH($C$1,Database!$F$1:$AY$1,),))))</f>
        <v>-6.2771161794551431E-2</v>
      </c>
      <c r="D392" s="13">
        <f>((((VLOOKUP(B392,Database!$F:$AY,MATCH($D$1,Database!$F$1:$AY$1,),))))-(((VLOOKUP(EDATE(B392,-12),Database!$F:$AY,MATCH($D$1,Database!$F$1:$AY$1,),)))))/(((VLOOKUP(EDATE(B392,-12),Database!$F:$AY,MATCH($D$1,Database!$F$1:$AY$1,),))))</f>
        <v>-6.1597840641415741E-2</v>
      </c>
      <c r="E392" s="13">
        <f>((((VLOOKUP(B392,Database!$F:$AY,MATCH($E$1,Database!$F$1:$AY$1,),))))-(((VLOOKUP(EDATE(B392,-12),Database!$F:$AY,MATCH($E$1,Database!$F$1:$AY$1,),)))))/(((VLOOKUP(EDATE(B392,-12),Database!$F:$AY,MATCH($E$1,Database!$F$1:$AY$1,),))))</f>
        <v>-0.10146382870774651</v>
      </c>
      <c r="F392" s="13">
        <f>((((VLOOKUP(B392,Database!$F:$AY,MATCH($F$1,Database!$F$1:$AY$1,),))))-(((VLOOKUP(EDATE(B392,-12),Database!$F:$AY,MATCH($F$1,Database!$F$1:$AY$1,),)))))/(((VLOOKUP(EDATE(B392,-12),Database!$F:$AY,MATCH($F$1,Database!$F$1:$AY$1,),))))</f>
        <v>-8.3415994978727065E-2</v>
      </c>
      <c r="G392" s="13">
        <f>((((VLOOKUP(B392,Database!$F:$AY,MATCH($G$1,Database!$F$1:$AY$1,),))))-(((VLOOKUP(EDATE(B392,-12),Database!$F:$AY,MATCH($G$1,Database!$F$1:$AY$1,),)))))/(((VLOOKUP(EDATE(B392,-12),Database!$F:$AY,MATCH($G$1,Database!$F$1:$AY$1,),))))</f>
        <v>-5.873878409620277E-2</v>
      </c>
      <c r="H392" s="13">
        <f>((((VLOOKUP(B392,Database!$F:$AY,MATCH($H$1,Database!$F$1:$AY$1,),))))-(((VLOOKUP(EDATE(B392,-12),Database!$F:$AY,MATCH($H$1,Database!$F$1:$AY$1,),)))))/(((VLOOKUP(EDATE(B392,-12),Database!$F:$AY,MATCH($H$1,Database!$F$1:$AY$1,),))))</f>
        <v>-6.3072412874096678E-2</v>
      </c>
      <c r="I392" s="13">
        <f>((((VLOOKUP(B392,Database!$F:$AY,MATCH($I$1,Database!$F$1:$AY$1,),))))-(((VLOOKUP(EDATE(B392,-12),Database!$F:$AY,MATCH($I$1,Database!$F$1:$AY$1,),)))))/(((VLOOKUP(EDATE(B392,-12),Database!$F:$AY,MATCH($I$1,Database!$F$1:$AY$1,),))))</f>
        <v>-4.7710162962001652E-2</v>
      </c>
      <c r="J392" s="13">
        <f>((((VLOOKUP(B392,Database!$F:$AY,MATCH($J$1,Database!$F$1:$AY$1,),))))-(((VLOOKUP(EDATE(B392,-12),Database!$F:$AY,MATCH($J$1,Database!$F$1:$AY$1,),)))))/(((VLOOKUP(EDATE(B392,-12),Database!$F:$AY,MATCH($J$1,Database!$F$1:$AY$1,),))))</f>
        <v>-3.1402972297010015E-2</v>
      </c>
      <c r="K392" s="13">
        <f>((((VLOOKUP(B392,Database!$F:$AY,MATCH($K$1,Database!$F$1:$AY$1,),))))-(((VLOOKUP(EDATE(B392,-12),Database!$F:$AY,MATCH($K$1,Database!$F$1:$AY$1,),)))))/(((VLOOKUP(EDATE(B392,-12),Database!$F:$AY,MATCH($K$1,Database!$F$1:$AY$1,),))))</f>
        <v>-1.8783542039355942E-2</v>
      </c>
      <c r="L392" s="13"/>
      <c r="M392" s="13"/>
      <c r="N392" s="13"/>
      <c r="O392" s="13">
        <f>((((VLOOKUP(B392,Database!$F:$AY,MATCH($O$1,Database!$F$1:$AY$1,),))))-(((VLOOKUP(EDATE(B392,-12),Database!$F:$AY,MATCH($O$1,Database!$F$1:$AY$1,),)))))/(((VLOOKUP(EDATE(B392,-12),Database!$F:$AY,MATCH($O$1,Database!$F$1:$AY$1,),))))</f>
        <v>-7.8616647689376665E-2</v>
      </c>
      <c r="P392" s="13">
        <f>((((VLOOKUP(B392,Database!$F:$AY,MATCH($P$1,Database!$F$1:$AY$1,),))))-(((VLOOKUP(EDATE(B392,-12),Database!$F:$AY,MATCH($P$1,Database!$F$1:$AY$1,),)))))/(((VLOOKUP(EDATE(B392,-12),Database!$F:$AY,MATCH($P$1,Database!$F$1:$AY$1,),))))</f>
        <v>2.2222222222222213E-2</v>
      </c>
      <c r="Q392" s="13">
        <f>((((VLOOKUP(B392,Database!$F:$AY,MATCH($Q$1,Database!$F$1:$AY$1,),))))-(((VLOOKUP(EDATE(B392,-12),Database!$F:$AY,MATCH($Q$1,Database!$F$1:$AY$1,),)))))/(((VLOOKUP(EDATE(B392,-12),Database!$F:$AY,MATCH($Q$1,Database!$F$1:$AY$1,),))))</f>
        <v>1.7261244689245694E-2</v>
      </c>
      <c r="R392" s="13">
        <f>((((VLOOKUP(B392,Database!$F:$AY,MATCH($R$1,Database!$F$1:$AY$1,),))))-(((VLOOKUP(EDATE(B392,-12),Database!$F:$AY,MATCH($R$1,Database!$F$1:$AY$1,),)))))/(((VLOOKUP(EDATE(B392,-12),Database!$F:$AY,MATCH($R$1,Database!$F$1:$AY$1,),))))</f>
        <v>-2.4657957583448836E-2</v>
      </c>
      <c r="S392" s="13">
        <f>((((VLOOKUP(B392,Database!$F:$AY,MATCH($S$1,Database!$F$1:$AY$1,),))))-(((VLOOKUP(EDATE(B392,-12),Database!$F:$AY,MATCH($S$1,Database!$F$1:$AY$1,),)))))/(((VLOOKUP(EDATE(B392,-12),Database!$F:$AY,MATCH($S$1,Database!$F$1:$AY$1,),))))</f>
        <v>-0.1355772161367271</v>
      </c>
      <c r="T392" s="13">
        <f>((((VLOOKUP(B392,Database!$F:$AY,MATCH($T$1,Database!$F$1:$AY$1,),))))-(((VLOOKUP(EDATE(B392,-12),Database!$F:$AY,MATCH($T$1,Database!$F$1:$AY$1,),)))))/(((VLOOKUP(EDATE(B392,-12),Database!$F:$AY,MATCH($T$1,Database!$F$1:$AY$1,),))))</f>
        <v>8.4995801905449184E-2</v>
      </c>
      <c r="U392" s="13">
        <f>((((VLOOKUP(B392,Database!$F:$AY,MATCH($U$1,Database!$F$1:$AY$1,),))))-(((VLOOKUP(EDATE(B392,-12),Database!$F:$AY,MATCH($U$1,Database!$F$1:$AY$1,),)))))/(((VLOOKUP(EDATE(B392,-12),Database!$F:$AY,MATCH($U$1,Database!$F$1:$AY$1,),))))</f>
        <v>-1.9452393501306963E-2</v>
      </c>
      <c r="V392" s="13">
        <f>((((VLOOKUP(B392,Database!$F:$AY,MATCH($V$1,Database!$F$1:$AY$1,),))))-(((VLOOKUP(EDATE(B392,-12),Database!$F:$AY,MATCH($V$1,Database!$F$1:$AY$1,),)))))/(((VLOOKUP(EDATE(B392,-12),Database!$F:$AY,MATCH($V$1,Database!$F$1:$AY$1,),))))</f>
        <v>3.3140016570008285E-2</v>
      </c>
    </row>
    <row r="393" spans="2:22" s="85" customFormat="1" x14ac:dyDescent="0.2">
      <c r="B393" s="91">
        <v>44105</v>
      </c>
      <c r="C393" s="13">
        <f>((((VLOOKUP(B393,Database!$F:$AY,MATCH($C$1,Database!$F$1:$AY$1,),))))-(((VLOOKUP(EDATE(B393,-12),Database!$F:$AY,MATCH($C$1,Database!$F$1:$AY$1,),)))))/(((VLOOKUP(EDATE(B393,-12),Database!$F:$AY,MATCH($C$1,Database!$F$1:$AY$1,),))))</f>
        <v>-5.0023634115248572E-2</v>
      </c>
      <c r="D393" s="13">
        <f>((((VLOOKUP(B393,Database!$F:$AY,MATCH($D$1,Database!$F$1:$AY$1,),))))-(((VLOOKUP(EDATE(B393,-12),Database!$F:$AY,MATCH($D$1,Database!$F$1:$AY$1,),)))))/(((VLOOKUP(EDATE(B393,-12),Database!$F:$AY,MATCH($D$1,Database!$F$1:$AY$1,),))))</f>
        <v>-3.5852680873168834E-2</v>
      </c>
      <c r="E393" s="13">
        <f>((((VLOOKUP(B393,Database!$F:$AY,MATCH($E$1,Database!$F$1:$AY$1,),))))-(((VLOOKUP(EDATE(B393,-12),Database!$F:$AY,MATCH($E$1,Database!$F$1:$AY$1,),)))))/(((VLOOKUP(EDATE(B393,-12),Database!$F:$AY,MATCH($E$1,Database!$F$1:$AY$1,),))))</f>
        <v>-3.2553373470282032E-2</v>
      </c>
      <c r="F393" s="13">
        <f>((((VLOOKUP(B393,Database!$F:$AY,MATCH($F$1,Database!$F$1:$AY$1,),))))-(((VLOOKUP(EDATE(B393,-12),Database!$F:$AY,MATCH($F$1,Database!$F$1:$AY$1,),)))))/(((VLOOKUP(EDATE(B393,-12),Database!$F:$AY,MATCH($F$1,Database!$F$1:$AY$1,),))))</f>
        <v>-4.2211054569270053E-2</v>
      </c>
      <c r="G393" s="13">
        <f>((((VLOOKUP(B393,Database!$F:$AY,MATCH($G$1,Database!$F$1:$AY$1,),))))-(((VLOOKUP(EDATE(B393,-12),Database!$F:$AY,MATCH($G$1,Database!$F$1:$AY$1,),)))))/(((VLOOKUP(EDATE(B393,-12),Database!$F:$AY,MATCH($G$1,Database!$F$1:$AY$1,),))))</f>
        <v>-4.229472706397884E-2</v>
      </c>
      <c r="H393" s="13">
        <f>((((VLOOKUP(B393,Database!$F:$AY,MATCH($H$1,Database!$F$1:$AY$1,),))))-(((VLOOKUP(EDATE(B393,-12),Database!$F:$AY,MATCH($H$1,Database!$F$1:$AY$1,),)))))/(((VLOOKUP(EDATE(B393,-12),Database!$F:$AY,MATCH($H$1,Database!$F$1:$AY$1,),))))</f>
        <v>-5.5668011655486578E-2</v>
      </c>
      <c r="I393" s="13">
        <f>((((VLOOKUP(B393,Database!$F:$AY,MATCH($I$1,Database!$F$1:$AY$1,),))))-(((VLOOKUP(EDATE(B393,-12),Database!$F:$AY,MATCH($I$1,Database!$F$1:$AY$1,),)))))/(((VLOOKUP(EDATE(B393,-12),Database!$F:$AY,MATCH($I$1,Database!$F$1:$AY$1,),))))</f>
        <v>-2.5072474670030511E-2</v>
      </c>
      <c r="J393" s="13">
        <f>((((VLOOKUP(B393,Database!$F:$AY,MATCH($J$1,Database!$F$1:$AY$1,),))))-(((VLOOKUP(EDATE(B393,-12),Database!$F:$AY,MATCH($J$1,Database!$F$1:$AY$1,),)))))/(((VLOOKUP(EDATE(B393,-12),Database!$F:$AY,MATCH($J$1,Database!$F$1:$AY$1,),))))</f>
        <v>-1.5542737263616838E-2</v>
      </c>
      <c r="K393" s="13">
        <f>((((VLOOKUP(B393,Database!$F:$AY,MATCH($K$1,Database!$F$1:$AY$1,),))))-(((VLOOKUP(EDATE(B393,-12),Database!$F:$AY,MATCH($K$1,Database!$F$1:$AY$1,),)))))/(((VLOOKUP(EDATE(B393,-12),Database!$F:$AY,MATCH($K$1,Database!$F$1:$AY$1,),))))</f>
        <v>-7.1813285457810712E-3</v>
      </c>
      <c r="L393" s="13"/>
      <c r="M393" s="13"/>
      <c r="N393" s="13"/>
      <c r="O393" s="13">
        <f>((((VLOOKUP(B393,Database!$F:$AY,MATCH($O$1,Database!$F$1:$AY$1,),))))-(((VLOOKUP(EDATE(B393,-12),Database!$F:$AY,MATCH($O$1,Database!$F$1:$AY$1,),)))))/(((VLOOKUP(EDATE(B393,-12),Database!$F:$AY,MATCH($O$1,Database!$F$1:$AY$1,),))))</f>
        <v>-1</v>
      </c>
      <c r="P393" s="13">
        <f>((((VLOOKUP(B393,Database!$F:$AY,MATCH($P$1,Database!$F$1:$AY$1,),))))-(((VLOOKUP(EDATE(B393,-12),Database!$F:$AY,MATCH($P$1,Database!$F$1:$AY$1,),)))))/(((VLOOKUP(EDATE(B393,-12),Database!$F:$AY,MATCH($P$1,Database!$F$1:$AY$1,),))))</f>
        <v>2.0579823764560478E-2</v>
      </c>
      <c r="Q393" s="13">
        <f>((((VLOOKUP(B393,Database!$F:$AY,MATCH($Q$1,Database!$F$1:$AY$1,),))))-(((VLOOKUP(EDATE(B393,-12),Database!$F:$AY,MATCH($Q$1,Database!$F$1:$AY$1,),)))))/(((VLOOKUP(EDATE(B393,-12),Database!$F:$AY,MATCH($Q$1,Database!$F$1:$AY$1,),))))</f>
        <v>1.0169526662166837E-2</v>
      </c>
      <c r="R393" s="13">
        <f>((((VLOOKUP(B393,Database!$F:$AY,MATCH($R$1,Database!$F$1:$AY$1,),))))-(((VLOOKUP(EDATE(B393,-12),Database!$F:$AY,MATCH($R$1,Database!$F$1:$AY$1,),)))))/(((VLOOKUP(EDATE(B393,-12),Database!$F:$AY,MATCH($R$1,Database!$F$1:$AY$1,),))))</f>
        <v>-3.7174364919711267E-2</v>
      </c>
      <c r="S393" s="13">
        <f>((((VLOOKUP(B393,Database!$F:$AY,MATCH($S$1,Database!$F$1:$AY$1,),))))-(((VLOOKUP(EDATE(B393,-12),Database!$F:$AY,MATCH($S$1,Database!$F$1:$AY$1,),)))))/(((VLOOKUP(EDATE(B393,-12),Database!$F:$AY,MATCH($S$1,Database!$F$1:$AY$1,),))))</f>
        <v>-0.14947960813101654</v>
      </c>
      <c r="T393" s="13">
        <f>((((VLOOKUP(B393,Database!$F:$AY,MATCH($T$1,Database!$F$1:$AY$1,),))))-(((VLOOKUP(EDATE(B393,-12),Database!$F:$AY,MATCH($T$1,Database!$F$1:$AY$1,),)))))/(((VLOOKUP(EDATE(B393,-12),Database!$F:$AY,MATCH($T$1,Database!$F$1:$AY$1,),))))</f>
        <v>0.10200592203009146</v>
      </c>
      <c r="U393" s="13">
        <f>((((VLOOKUP(B393,Database!$F:$AY,MATCH($U$1,Database!$F$1:$AY$1,),))))-(((VLOOKUP(EDATE(B393,-12),Database!$F:$AY,MATCH($U$1,Database!$F$1:$AY$1,),)))))/(((VLOOKUP(EDATE(B393,-12),Database!$F:$AY,MATCH($U$1,Database!$F$1:$AY$1,),))))</f>
        <v>9.7257545905066623E-3</v>
      </c>
      <c r="V393" s="13">
        <f>((((VLOOKUP(B393,Database!$F:$AY,MATCH($V$1,Database!$F$1:$AY$1,),))))-(((VLOOKUP(EDATE(B393,-12),Database!$F:$AY,MATCH($V$1,Database!$F$1:$AY$1,),)))))/(((VLOOKUP(EDATE(B393,-12),Database!$F:$AY,MATCH($V$1,Database!$F$1:$AY$1,),))))</f>
        <v>3.6824877250409165E-2</v>
      </c>
    </row>
    <row r="394" spans="2:22" s="85" customFormat="1" x14ac:dyDescent="0.2"/>
    <row r="395" spans="2:22" s="85" customFormat="1" x14ac:dyDescent="0.2"/>
    <row r="396" spans="2:22" s="85" customFormat="1" x14ac:dyDescent="0.2"/>
    <row r="397" spans="2:22" s="85" customFormat="1" x14ac:dyDescent="0.2"/>
    <row r="398" spans="2:22" s="85" customFormat="1" x14ac:dyDescent="0.2"/>
    <row r="399" spans="2:22" s="85" customFormat="1" x14ac:dyDescent="0.2"/>
    <row r="400" spans="2:22" s="85" customFormat="1" x14ac:dyDescent="0.2"/>
    <row r="401" s="85" customFormat="1" x14ac:dyDescent="0.2"/>
    <row r="402" s="85" customFormat="1" x14ac:dyDescent="0.2"/>
    <row r="403" s="85" customFormat="1" x14ac:dyDescent="0.2"/>
    <row r="404" s="85" customFormat="1" x14ac:dyDescent="0.2"/>
    <row r="405" s="85" customFormat="1" x14ac:dyDescent="0.2"/>
    <row r="406" s="85" customFormat="1" x14ac:dyDescent="0.2"/>
    <row r="407" s="85" customFormat="1" x14ac:dyDescent="0.2"/>
    <row r="408" s="85" customFormat="1" x14ac:dyDescent="0.2"/>
    <row r="409" s="85" customFormat="1" x14ac:dyDescent="0.2"/>
    <row r="410" s="85" customFormat="1" x14ac:dyDescent="0.2"/>
    <row r="411" s="85" customFormat="1" x14ac:dyDescent="0.2"/>
    <row r="412" s="85" customFormat="1" x14ac:dyDescent="0.2"/>
    <row r="413" s="85" customFormat="1" x14ac:dyDescent="0.2"/>
    <row r="414" s="85" customFormat="1" x14ac:dyDescent="0.2"/>
    <row r="415" s="85" customFormat="1" x14ac:dyDescent="0.2"/>
    <row r="416" s="85" customFormat="1" x14ac:dyDescent="0.2"/>
    <row r="417" s="85" customFormat="1" x14ac:dyDescent="0.2"/>
    <row r="418" s="85" customFormat="1" x14ac:dyDescent="0.2"/>
    <row r="419" s="85" customFormat="1" x14ac:dyDescent="0.2"/>
    <row r="420" s="85" customFormat="1" x14ac:dyDescent="0.2"/>
    <row r="421" s="85" customFormat="1" x14ac:dyDescent="0.2"/>
    <row r="422" s="85" customFormat="1" x14ac:dyDescent="0.2"/>
    <row r="423" s="85" customFormat="1" x14ac:dyDescent="0.2"/>
    <row r="424" s="85" customFormat="1" x14ac:dyDescent="0.2"/>
    <row r="425" s="85" customFormat="1" x14ac:dyDescent="0.2"/>
    <row r="426" s="85" customFormat="1" x14ac:dyDescent="0.2"/>
    <row r="427" s="85" customFormat="1" x14ac:dyDescent="0.2"/>
    <row r="428" s="85" customFormat="1" x14ac:dyDescent="0.2"/>
    <row r="429" s="85" customFormat="1" x14ac:dyDescent="0.2"/>
    <row r="430" s="85" customFormat="1" x14ac:dyDescent="0.2"/>
    <row r="431" s="85" customFormat="1" x14ac:dyDescent="0.2"/>
    <row r="432" s="85" customFormat="1" x14ac:dyDescent="0.2"/>
    <row r="433" s="85" customFormat="1" x14ac:dyDescent="0.2"/>
    <row r="434" s="85" customFormat="1" x14ac:dyDescent="0.2"/>
    <row r="435" s="85" customFormat="1" x14ac:dyDescent="0.2"/>
    <row r="436" s="85" customFormat="1" x14ac:dyDescent="0.2"/>
    <row r="437" s="85" customFormat="1" x14ac:dyDescent="0.2"/>
    <row r="438" s="85" customFormat="1" x14ac:dyDescent="0.2"/>
    <row r="439" s="85" customFormat="1" x14ac:dyDescent="0.2"/>
    <row r="440" s="85" customFormat="1" x14ac:dyDescent="0.2"/>
    <row r="441" s="85" customFormat="1" x14ac:dyDescent="0.2"/>
    <row r="442" s="85" customFormat="1" x14ac:dyDescent="0.2"/>
    <row r="443" s="85" customFormat="1" x14ac:dyDescent="0.2"/>
    <row r="444" s="85" customFormat="1" x14ac:dyDescent="0.2"/>
    <row r="445" s="85" customFormat="1" x14ac:dyDescent="0.2"/>
    <row r="446" s="85" customFormat="1" x14ac:dyDescent="0.2"/>
    <row r="447" s="85" customFormat="1" x14ac:dyDescent="0.2"/>
    <row r="448" s="85" customFormat="1" x14ac:dyDescent="0.2"/>
    <row r="449" s="85" customFormat="1" x14ac:dyDescent="0.2"/>
    <row r="450" s="85" customFormat="1" x14ac:dyDescent="0.2"/>
    <row r="451" s="85" customFormat="1" x14ac:dyDescent="0.2"/>
    <row r="452" s="85" customFormat="1" x14ac:dyDescent="0.2"/>
    <row r="453" s="85" customFormat="1" x14ac:dyDescent="0.2"/>
    <row r="454" s="85" customFormat="1" x14ac:dyDescent="0.2"/>
    <row r="455" s="85" customFormat="1" x14ac:dyDescent="0.2"/>
    <row r="456" s="85" customFormat="1" x14ac:dyDescent="0.2"/>
    <row r="457" s="85" customFormat="1" x14ac:dyDescent="0.2"/>
    <row r="458" s="85" customFormat="1" x14ac:dyDescent="0.2"/>
    <row r="459" s="85" customFormat="1" x14ac:dyDescent="0.2"/>
    <row r="460" s="85" customFormat="1" x14ac:dyDescent="0.2"/>
    <row r="461" s="85" customFormat="1" x14ac:dyDescent="0.2"/>
    <row r="462" s="85" customFormat="1" x14ac:dyDescent="0.2"/>
    <row r="463" s="85" customFormat="1" x14ac:dyDescent="0.2"/>
    <row r="464" s="85" customFormat="1" x14ac:dyDescent="0.2"/>
    <row r="465" s="85" customFormat="1" x14ac:dyDescent="0.2"/>
    <row r="466" s="85" customFormat="1" x14ac:dyDescent="0.2"/>
    <row r="467" s="85" customFormat="1" x14ac:dyDescent="0.2"/>
    <row r="468" s="85" customFormat="1" x14ac:dyDescent="0.2"/>
    <row r="469" s="85" customFormat="1" x14ac:dyDescent="0.2"/>
    <row r="470" s="85" customFormat="1" x14ac:dyDescent="0.2"/>
    <row r="471" s="85" customFormat="1" x14ac:dyDescent="0.2"/>
    <row r="472" s="85" customFormat="1" x14ac:dyDescent="0.2"/>
    <row r="473" s="85" customFormat="1" x14ac:dyDescent="0.2"/>
    <row r="474" s="85" customFormat="1" x14ac:dyDescent="0.2"/>
    <row r="475" s="85" customFormat="1" x14ac:dyDescent="0.2"/>
    <row r="476" s="85" customFormat="1" x14ac:dyDescent="0.2"/>
    <row r="477" s="85" customFormat="1" x14ac:dyDescent="0.2"/>
    <row r="478" s="85" customFormat="1" x14ac:dyDescent="0.2"/>
    <row r="479" s="85" customFormat="1" x14ac:dyDescent="0.2"/>
    <row r="480" s="85" customFormat="1" x14ac:dyDescent="0.2"/>
    <row r="481" s="85" customFormat="1" x14ac:dyDescent="0.2"/>
    <row r="482" s="85" customFormat="1" x14ac:dyDescent="0.2"/>
    <row r="483" s="85" customFormat="1" x14ac:dyDescent="0.2"/>
    <row r="484" s="85" customFormat="1" x14ac:dyDescent="0.2"/>
    <row r="485" s="85" customFormat="1" x14ac:dyDescent="0.2"/>
    <row r="486" s="85" customFormat="1" x14ac:dyDescent="0.2"/>
    <row r="487" s="85" customFormat="1" x14ac:dyDescent="0.2"/>
    <row r="488" s="85" customFormat="1" x14ac:dyDescent="0.2"/>
    <row r="489" s="85" customFormat="1" x14ac:dyDescent="0.2"/>
    <row r="490" s="85" customFormat="1" x14ac:dyDescent="0.2"/>
    <row r="491" s="85" customFormat="1" x14ac:dyDescent="0.2"/>
    <row r="492" s="85" customFormat="1" x14ac:dyDescent="0.2"/>
    <row r="493" s="85" customFormat="1" x14ac:dyDescent="0.2"/>
    <row r="494" s="85" customFormat="1" x14ac:dyDescent="0.2"/>
    <row r="495" s="85" customFormat="1" x14ac:dyDescent="0.2"/>
    <row r="496" s="85" customFormat="1" x14ac:dyDescent="0.2"/>
    <row r="497" s="85" customFormat="1" x14ac:dyDescent="0.2"/>
    <row r="498" s="85" customFormat="1" x14ac:dyDescent="0.2"/>
    <row r="499" s="85" customFormat="1" x14ac:dyDescent="0.2"/>
    <row r="500" s="85" customFormat="1" x14ac:dyDescent="0.2"/>
    <row r="501" s="85" customFormat="1" x14ac:dyDescent="0.2"/>
    <row r="502" s="85" customFormat="1" x14ac:dyDescent="0.2"/>
    <row r="503" s="85" customFormat="1" x14ac:dyDescent="0.2"/>
    <row r="504" s="85" customFormat="1" x14ac:dyDescent="0.2"/>
    <row r="505" s="85" customFormat="1" x14ac:dyDescent="0.2"/>
    <row r="506" s="85" customFormat="1" x14ac:dyDescent="0.2"/>
    <row r="507" s="85" customFormat="1" x14ac:dyDescent="0.2"/>
    <row r="508" s="85" customFormat="1" x14ac:dyDescent="0.2"/>
    <row r="509" s="85" customFormat="1" x14ac:dyDescent="0.2"/>
    <row r="510" s="85" customFormat="1" x14ac:dyDescent="0.2"/>
    <row r="511" s="85" customFormat="1" x14ac:dyDescent="0.2"/>
    <row r="512" s="85" customFormat="1" x14ac:dyDescent="0.2"/>
    <row r="513" s="85" customFormat="1" x14ac:dyDescent="0.2"/>
    <row r="514" s="85" customFormat="1" x14ac:dyDescent="0.2"/>
    <row r="515" s="85" customFormat="1" x14ac:dyDescent="0.2"/>
    <row r="516" s="85" customFormat="1" x14ac:dyDescent="0.2"/>
    <row r="517" s="85" customFormat="1" x14ac:dyDescent="0.2"/>
    <row r="518" s="85" customFormat="1" x14ac:dyDescent="0.2"/>
    <row r="519" s="85" customFormat="1" x14ac:dyDescent="0.2"/>
    <row r="520" s="85" customFormat="1" x14ac:dyDescent="0.2"/>
    <row r="521" s="85" customFormat="1" x14ac:dyDescent="0.2"/>
    <row r="522" s="85" customFormat="1" x14ac:dyDescent="0.2"/>
    <row r="523" s="85" customFormat="1" x14ac:dyDescent="0.2"/>
    <row r="524" s="85" customFormat="1" x14ac:dyDescent="0.2"/>
    <row r="525" s="85" customFormat="1" x14ac:dyDescent="0.2"/>
    <row r="526" s="85" customFormat="1" x14ac:dyDescent="0.2"/>
    <row r="527" s="85" customFormat="1" x14ac:dyDescent="0.2"/>
    <row r="528" s="85" customFormat="1" x14ac:dyDescent="0.2"/>
    <row r="529" s="85" customFormat="1" x14ac:dyDescent="0.2"/>
    <row r="530" s="85" customFormat="1" x14ac:dyDescent="0.2"/>
    <row r="531" s="85" customFormat="1" x14ac:dyDescent="0.2"/>
    <row r="532" s="85" customFormat="1" x14ac:dyDescent="0.2"/>
    <row r="533" s="85" customFormat="1" x14ac:dyDescent="0.2"/>
    <row r="534" s="85" customFormat="1" x14ac:dyDescent="0.2"/>
    <row r="535" s="85" customFormat="1" x14ac:dyDescent="0.2"/>
    <row r="536" s="85" customFormat="1" x14ac:dyDescent="0.2"/>
    <row r="537" s="85" customFormat="1" x14ac:dyDescent="0.2"/>
    <row r="538" s="85" customFormat="1" x14ac:dyDescent="0.2"/>
    <row r="539" s="85" customFormat="1" x14ac:dyDescent="0.2"/>
    <row r="540" s="85" customFormat="1" x14ac:dyDescent="0.2"/>
    <row r="541" s="85" customFormat="1" x14ac:dyDescent="0.2"/>
    <row r="542" s="85" customFormat="1" x14ac:dyDescent="0.2"/>
    <row r="543" s="85" customFormat="1" x14ac:dyDescent="0.2"/>
    <row r="544" s="85" customFormat="1" x14ac:dyDescent="0.2"/>
    <row r="545" s="85" customFormat="1" x14ac:dyDescent="0.2"/>
    <row r="546" s="85" customFormat="1" x14ac:dyDescent="0.2"/>
    <row r="547" s="85" customFormat="1" x14ac:dyDescent="0.2"/>
    <row r="548" s="85" customFormat="1" x14ac:dyDescent="0.2"/>
    <row r="549" s="85" customFormat="1" x14ac:dyDescent="0.2"/>
    <row r="550" s="85" customFormat="1" x14ac:dyDescent="0.2"/>
    <row r="551" s="85" customFormat="1" x14ac:dyDescent="0.2"/>
    <row r="552" s="85" customFormat="1" x14ac:dyDescent="0.2"/>
    <row r="553" s="85" customFormat="1" x14ac:dyDescent="0.2"/>
    <row r="554" s="85" customFormat="1" x14ac:dyDescent="0.2"/>
    <row r="555" s="85" customFormat="1" x14ac:dyDescent="0.2"/>
    <row r="556" s="85" customFormat="1" x14ac:dyDescent="0.2"/>
    <row r="557" s="85" customFormat="1" x14ac:dyDescent="0.2"/>
    <row r="558" s="85" customFormat="1" x14ac:dyDescent="0.2"/>
    <row r="559" s="85" customFormat="1" x14ac:dyDescent="0.2"/>
    <row r="560" s="85" customFormat="1" x14ac:dyDescent="0.2"/>
    <row r="561" s="85" customFormat="1" x14ac:dyDescent="0.2"/>
    <row r="562" s="85" customFormat="1" x14ac:dyDescent="0.2"/>
    <row r="563" s="85" customFormat="1" x14ac:dyDescent="0.2"/>
    <row r="564" s="85" customFormat="1" x14ac:dyDescent="0.2"/>
    <row r="565" s="85" customFormat="1" x14ac:dyDescent="0.2"/>
    <row r="566" s="85" customFormat="1" x14ac:dyDescent="0.2"/>
    <row r="567" s="85" customFormat="1" x14ac:dyDescent="0.2"/>
    <row r="568" s="85" customFormat="1" x14ac:dyDescent="0.2"/>
    <row r="569" s="85" customFormat="1" x14ac:dyDescent="0.2"/>
    <row r="570" s="85" customFormat="1" x14ac:dyDescent="0.2"/>
    <row r="571" s="85" customFormat="1" x14ac:dyDescent="0.2"/>
    <row r="572" s="85" customFormat="1" x14ac:dyDescent="0.2"/>
    <row r="573" s="85" customFormat="1" x14ac:dyDescent="0.2"/>
    <row r="574" s="85" customFormat="1" x14ac:dyDescent="0.2"/>
    <row r="575" s="85" customFormat="1" x14ac:dyDescent="0.2"/>
    <row r="576" s="85" customFormat="1" x14ac:dyDescent="0.2"/>
    <row r="577" s="85" customFormat="1" x14ac:dyDescent="0.2"/>
    <row r="578" s="85" customFormat="1" x14ac:dyDescent="0.2"/>
    <row r="579" s="85" customFormat="1" x14ac:dyDescent="0.2"/>
    <row r="580" s="85" customFormat="1" x14ac:dyDescent="0.2"/>
    <row r="581" s="85" customFormat="1" x14ac:dyDescent="0.2"/>
    <row r="582" s="85" customFormat="1" x14ac:dyDescent="0.2"/>
    <row r="583" s="85" customFormat="1" x14ac:dyDescent="0.2"/>
    <row r="584" s="85" customFormat="1" x14ac:dyDescent="0.2"/>
    <row r="585" s="85" customFormat="1" x14ac:dyDescent="0.2"/>
    <row r="586" s="85" customFormat="1" x14ac:dyDescent="0.2"/>
    <row r="587" s="85" customFormat="1" x14ac:dyDescent="0.2"/>
    <row r="588" s="85" customFormat="1" x14ac:dyDescent="0.2"/>
    <row r="589" s="85" customFormat="1" x14ac:dyDescent="0.2"/>
    <row r="590" s="85" customFormat="1" x14ac:dyDescent="0.2"/>
    <row r="591" s="85" customFormat="1" x14ac:dyDescent="0.2"/>
    <row r="592" s="85" customFormat="1" x14ac:dyDescent="0.2"/>
    <row r="593" s="85" customFormat="1" x14ac:dyDescent="0.2"/>
    <row r="594" s="85" customFormat="1" x14ac:dyDescent="0.2"/>
    <row r="595" s="85" customFormat="1" x14ac:dyDescent="0.2"/>
    <row r="596" s="85" customFormat="1" x14ac:dyDescent="0.2"/>
    <row r="597" s="85" customFormat="1" x14ac:dyDescent="0.2"/>
    <row r="598" s="85" customFormat="1" x14ac:dyDescent="0.2"/>
    <row r="599" s="85" customFormat="1" x14ac:dyDescent="0.2"/>
    <row r="600" s="85" customFormat="1" x14ac:dyDescent="0.2"/>
    <row r="601" s="85" customFormat="1" x14ac:dyDescent="0.2"/>
    <row r="602" s="85" customFormat="1" x14ac:dyDescent="0.2"/>
    <row r="603" s="85" customFormat="1" x14ac:dyDescent="0.2"/>
    <row r="604" s="85" customFormat="1" x14ac:dyDescent="0.2"/>
    <row r="605" s="85" customFormat="1" x14ac:dyDescent="0.2"/>
    <row r="606" s="85" customFormat="1" x14ac:dyDescent="0.2"/>
    <row r="607" s="85" customFormat="1" x14ac:dyDescent="0.2"/>
    <row r="608" s="85" customFormat="1" x14ac:dyDescent="0.2"/>
    <row r="609" s="85" customFormat="1" x14ac:dyDescent="0.2"/>
    <row r="610" s="85" customFormat="1" x14ac:dyDescent="0.2"/>
    <row r="611" s="85" customFormat="1" x14ac:dyDescent="0.2"/>
    <row r="612" s="85" customFormat="1" x14ac:dyDescent="0.2"/>
    <row r="613" s="85" customFormat="1" x14ac:dyDescent="0.2"/>
    <row r="614" s="85" customFormat="1" x14ac:dyDescent="0.2"/>
    <row r="615" s="85" customFormat="1" x14ac:dyDescent="0.2"/>
    <row r="616" s="85" customFormat="1" x14ac:dyDescent="0.2"/>
    <row r="617" s="85" customFormat="1" x14ac:dyDescent="0.2"/>
    <row r="618" s="85" customFormat="1" x14ac:dyDescent="0.2"/>
    <row r="619" s="85" customFormat="1" x14ac:dyDescent="0.2"/>
    <row r="620" s="85" customFormat="1" x14ac:dyDescent="0.2"/>
    <row r="621" s="85" customFormat="1" x14ac:dyDescent="0.2"/>
    <row r="622" s="85" customFormat="1" x14ac:dyDescent="0.2"/>
    <row r="623" s="85" customFormat="1" x14ac:dyDescent="0.2"/>
    <row r="624" s="85" customFormat="1" x14ac:dyDescent="0.2"/>
    <row r="625" s="85" customFormat="1" x14ac:dyDescent="0.2"/>
    <row r="626" s="85" customFormat="1" x14ac:dyDescent="0.2"/>
    <row r="627" s="85" customFormat="1" x14ac:dyDescent="0.2"/>
    <row r="628" s="85" customFormat="1" x14ac:dyDescent="0.2"/>
    <row r="629" s="85" customFormat="1" x14ac:dyDescent="0.2"/>
    <row r="630" s="85" customFormat="1" x14ac:dyDescent="0.2"/>
    <row r="631" s="85" customFormat="1" x14ac:dyDescent="0.2"/>
    <row r="632" s="85" customFormat="1" x14ac:dyDescent="0.2"/>
    <row r="633" s="85" customFormat="1" x14ac:dyDescent="0.2"/>
    <row r="634" s="85" customFormat="1" x14ac:dyDescent="0.2"/>
    <row r="635" s="85" customFormat="1" x14ac:dyDescent="0.2"/>
    <row r="636" s="85" customFormat="1" x14ac:dyDescent="0.2"/>
    <row r="637" s="85" customFormat="1" x14ac:dyDescent="0.2"/>
    <row r="638" s="85" customFormat="1" x14ac:dyDescent="0.2"/>
    <row r="639" s="85" customFormat="1" x14ac:dyDescent="0.2"/>
    <row r="640" s="85" customFormat="1" x14ac:dyDescent="0.2"/>
    <row r="641" s="85" customFormat="1" x14ac:dyDescent="0.2"/>
    <row r="642" s="85" customFormat="1" x14ac:dyDescent="0.2"/>
    <row r="643" s="85" customFormat="1" x14ac:dyDescent="0.2"/>
    <row r="644" s="85" customFormat="1" x14ac:dyDescent="0.2"/>
    <row r="645" s="85" customFormat="1" x14ac:dyDescent="0.2"/>
    <row r="646" s="85" customFormat="1" x14ac:dyDescent="0.2"/>
    <row r="647" s="85" customFormat="1" x14ac:dyDescent="0.2"/>
    <row r="648" s="85" customFormat="1" x14ac:dyDescent="0.2"/>
    <row r="649" s="85" customFormat="1" x14ac:dyDescent="0.2"/>
    <row r="650" s="85" customFormat="1" x14ac:dyDescent="0.2"/>
    <row r="651" s="85" customFormat="1" x14ac:dyDescent="0.2"/>
    <row r="652" s="85" customFormat="1" x14ac:dyDescent="0.2"/>
    <row r="653" s="85" customFormat="1" x14ac:dyDescent="0.2"/>
    <row r="654" s="85" customFormat="1" x14ac:dyDescent="0.2"/>
    <row r="655" s="85" customFormat="1" x14ac:dyDescent="0.2"/>
    <row r="656" s="85" customFormat="1" x14ac:dyDescent="0.2"/>
    <row r="657" s="85" customFormat="1" x14ac:dyDescent="0.2"/>
    <row r="658" s="85" customFormat="1" x14ac:dyDescent="0.2"/>
    <row r="659" s="85" customFormat="1" x14ac:dyDescent="0.2"/>
    <row r="660" s="85" customFormat="1" x14ac:dyDescent="0.2"/>
    <row r="661" s="85" customFormat="1" x14ac:dyDescent="0.2"/>
    <row r="662" s="85" customFormat="1" x14ac:dyDescent="0.2"/>
    <row r="663" s="85" customFormat="1" x14ac:dyDescent="0.2"/>
    <row r="664" s="85" customFormat="1" x14ac:dyDescent="0.2"/>
    <row r="665" s="85" customFormat="1" x14ac:dyDescent="0.2"/>
    <row r="666" s="85" customFormat="1" x14ac:dyDescent="0.2"/>
    <row r="667" s="85" customFormat="1" x14ac:dyDescent="0.2"/>
    <row r="668" s="85" customFormat="1" x14ac:dyDescent="0.2"/>
    <row r="669" s="85" customFormat="1" x14ac:dyDescent="0.2"/>
    <row r="670" s="85" customFormat="1" x14ac:dyDescent="0.2"/>
    <row r="671" s="85" customFormat="1" x14ac:dyDescent="0.2"/>
    <row r="672" s="85" customFormat="1" x14ac:dyDescent="0.2"/>
    <row r="673" s="85" customFormat="1" x14ac:dyDescent="0.2"/>
    <row r="674" s="85" customFormat="1" x14ac:dyDescent="0.2"/>
    <row r="675" s="85" customFormat="1" x14ac:dyDescent="0.2"/>
    <row r="676" s="85" customFormat="1" x14ac:dyDescent="0.2"/>
    <row r="677" s="85" customFormat="1" x14ac:dyDescent="0.2"/>
    <row r="678" s="85" customFormat="1" x14ac:dyDescent="0.2"/>
    <row r="679" s="85" customFormat="1" x14ac:dyDescent="0.2"/>
    <row r="680" s="85" customFormat="1" x14ac:dyDescent="0.2"/>
    <row r="681" s="85" customFormat="1" x14ac:dyDescent="0.2"/>
    <row r="682" s="85" customFormat="1" x14ac:dyDescent="0.2"/>
    <row r="683" s="85" customFormat="1" x14ac:dyDescent="0.2"/>
    <row r="684" s="85" customFormat="1" x14ac:dyDescent="0.2"/>
    <row r="685" s="85" customFormat="1" x14ac:dyDescent="0.2"/>
    <row r="686" s="85" customFormat="1" x14ac:dyDescent="0.2"/>
    <row r="687" s="85" customFormat="1" x14ac:dyDescent="0.2"/>
    <row r="688" s="85" customFormat="1" x14ac:dyDescent="0.2"/>
    <row r="689" s="85" customFormat="1" x14ac:dyDescent="0.2"/>
    <row r="690" s="85" customFormat="1" x14ac:dyDescent="0.2"/>
    <row r="691" s="85" customFormat="1" x14ac:dyDescent="0.2"/>
    <row r="692" s="85" customFormat="1" x14ac:dyDescent="0.2"/>
    <row r="693" s="85" customFormat="1" x14ac:dyDescent="0.2"/>
    <row r="694" s="85" customFormat="1" x14ac:dyDescent="0.2"/>
    <row r="695" s="85" customFormat="1" x14ac:dyDescent="0.2"/>
    <row r="696" s="85" customFormat="1" x14ac:dyDescent="0.2"/>
    <row r="697" s="85" customFormat="1" x14ac:dyDescent="0.2"/>
    <row r="698" s="85" customFormat="1" x14ac:dyDescent="0.2"/>
    <row r="699" s="85" customFormat="1" x14ac:dyDescent="0.2"/>
    <row r="700" s="85" customFormat="1" x14ac:dyDescent="0.2"/>
    <row r="701" s="85" customFormat="1" x14ac:dyDescent="0.2"/>
    <row r="702" s="85" customFormat="1" x14ac:dyDescent="0.2"/>
    <row r="703" s="85" customFormat="1" x14ac:dyDescent="0.2"/>
    <row r="704" s="85" customFormat="1" x14ac:dyDescent="0.2"/>
    <row r="705" s="85" customFormat="1" x14ac:dyDescent="0.2"/>
    <row r="706" s="85" customFormat="1" x14ac:dyDescent="0.2"/>
    <row r="707" s="85" customFormat="1" x14ac:dyDescent="0.2"/>
    <row r="708" s="85" customFormat="1" x14ac:dyDescent="0.2"/>
    <row r="709" s="85" customFormat="1" x14ac:dyDescent="0.2"/>
    <row r="710" s="85" customFormat="1" x14ac:dyDescent="0.2"/>
    <row r="711" s="85" customFormat="1" x14ac:dyDescent="0.2"/>
    <row r="712" s="85" customFormat="1" x14ac:dyDescent="0.2"/>
    <row r="713" s="85" customFormat="1" x14ac:dyDescent="0.2"/>
    <row r="714" s="85" customFormat="1" x14ac:dyDescent="0.2"/>
    <row r="715" s="85" customFormat="1" x14ac:dyDescent="0.2"/>
    <row r="716" s="85" customFormat="1" x14ac:dyDescent="0.2"/>
    <row r="717" s="85" customFormat="1" x14ac:dyDescent="0.2"/>
    <row r="718" s="85" customFormat="1" x14ac:dyDescent="0.2"/>
    <row r="719" s="85" customFormat="1" x14ac:dyDescent="0.2"/>
    <row r="720" s="85" customFormat="1" x14ac:dyDescent="0.2"/>
    <row r="721" s="85" customFormat="1" x14ac:dyDescent="0.2"/>
    <row r="722" s="85" customFormat="1" x14ac:dyDescent="0.2"/>
    <row r="723" s="85" customFormat="1" x14ac:dyDescent="0.2"/>
    <row r="724" s="85" customFormat="1" x14ac:dyDescent="0.2"/>
    <row r="725" s="85" customFormat="1" x14ac:dyDescent="0.2"/>
    <row r="726" s="85" customFormat="1" x14ac:dyDescent="0.2"/>
    <row r="727" s="85" customFormat="1" x14ac:dyDescent="0.2"/>
    <row r="728" s="85" customFormat="1" x14ac:dyDescent="0.2"/>
    <row r="729" s="85" customFormat="1" x14ac:dyDescent="0.2"/>
    <row r="730" s="85" customFormat="1" x14ac:dyDescent="0.2"/>
    <row r="731" s="85" customFormat="1" x14ac:dyDescent="0.2"/>
    <row r="732" s="85" customFormat="1" x14ac:dyDescent="0.2"/>
    <row r="733" s="85" customFormat="1" x14ac:dyDescent="0.2"/>
    <row r="734" s="85" customFormat="1" x14ac:dyDescent="0.2"/>
    <row r="735" s="85" customFormat="1" x14ac:dyDescent="0.2"/>
    <row r="736" s="85" customFormat="1" x14ac:dyDescent="0.2"/>
    <row r="737" s="85" customFormat="1" x14ac:dyDescent="0.2"/>
    <row r="738" s="85" customFormat="1" x14ac:dyDescent="0.2"/>
    <row r="739" s="85" customFormat="1" x14ac:dyDescent="0.2"/>
    <row r="740" s="85" customFormat="1" x14ac:dyDescent="0.2"/>
    <row r="741" s="85" customFormat="1" x14ac:dyDescent="0.2"/>
    <row r="742" s="85" customFormat="1" x14ac:dyDescent="0.2"/>
    <row r="743" s="85" customFormat="1" x14ac:dyDescent="0.2"/>
    <row r="744" s="85" customFormat="1" x14ac:dyDescent="0.2"/>
    <row r="745" s="85" customFormat="1" x14ac:dyDescent="0.2"/>
    <row r="746" s="85" customFormat="1" x14ac:dyDescent="0.2"/>
    <row r="747" s="85" customFormat="1" x14ac:dyDescent="0.2"/>
    <row r="748" s="85" customFormat="1" x14ac:dyDescent="0.2"/>
    <row r="749" s="85" customFormat="1" x14ac:dyDescent="0.2"/>
    <row r="750" s="85" customFormat="1" x14ac:dyDescent="0.2"/>
    <row r="751" s="85" customFormat="1" x14ac:dyDescent="0.2"/>
    <row r="752" s="85" customFormat="1" x14ac:dyDescent="0.2"/>
    <row r="753" s="85" customFormat="1" x14ac:dyDescent="0.2"/>
    <row r="754" s="85" customFormat="1" x14ac:dyDescent="0.2"/>
    <row r="755" s="85" customFormat="1" x14ac:dyDescent="0.2"/>
    <row r="756" s="85" customFormat="1" x14ac:dyDescent="0.2"/>
    <row r="757" s="85" customFormat="1" x14ac:dyDescent="0.2"/>
    <row r="758" s="85" customFormat="1" x14ac:dyDescent="0.2"/>
    <row r="759" s="85" customFormat="1" x14ac:dyDescent="0.2"/>
    <row r="760" s="85" customFormat="1" x14ac:dyDescent="0.2"/>
    <row r="761" s="85" customFormat="1" x14ac:dyDescent="0.2"/>
    <row r="762" s="85" customFormat="1" x14ac:dyDescent="0.2"/>
    <row r="763" s="85" customFormat="1" x14ac:dyDescent="0.2"/>
    <row r="764" s="85" customFormat="1" x14ac:dyDescent="0.2"/>
    <row r="765" s="85" customFormat="1" x14ac:dyDescent="0.2"/>
    <row r="766" s="85" customFormat="1" x14ac:dyDescent="0.2"/>
    <row r="767" s="85" customFormat="1" x14ac:dyDescent="0.2"/>
    <row r="768" s="85" customFormat="1" x14ac:dyDescent="0.2"/>
    <row r="769" s="85" customFormat="1" x14ac:dyDescent="0.2"/>
    <row r="770" s="85" customFormat="1" x14ac:dyDescent="0.2"/>
    <row r="771" s="85" customFormat="1" x14ac:dyDescent="0.2"/>
    <row r="772" s="85" customFormat="1" x14ac:dyDescent="0.2"/>
    <row r="773" s="85" customFormat="1" x14ac:dyDescent="0.2"/>
    <row r="774" s="85" customFormat="1" x14ac:dyDescent="0.2"/>
    <row r="775" s="85" customFormat="1" x14ac:dyDescent="0.2"/>
    <row r="776" s="85" customFormat="1" x14ac:dyDescent="0.2"/>
    <row r="777" s="85" customFormat="1" x14ac:dyDescent="0.2"/>
    <row r="778" s="85" customFormat="1" x14ac:dyDescent="0.2"/>
    <row r="779" s="85" customFormat="1" x14ac:dyDescent="0.2"/>
    <row r="780" s="85" customFormat="1" x14ac:dyDescent="0.2"/>
    <row r="781" s="85" customFormat="1" x14ac:dyDescent="0.2"/>
    <row r="782" s="85" customFormat="1" x14ac:dyDescent="0.2"/>
    <row r="783" s="85" customFormat="1" x14ac:dyDescent="0.2"/>
    <row r="784" s="85" customFormat="1" x14ac:dyDescent="0.2"/>
    <row r="785" s="85" customFormat="1" x14ac:dyDescent="0.2"/>
    <row r="786" s="85" customFormat="1" x14ac:dyDescent="0.2"/>
    <row r="787" s="85" customFormat="1" x14ac:dyDescent="0.2"/>
    <row r="788" s="85" customFormat="1" x14ac:dyDescent="0.2"/>
    <row r="789" s="85" customFormat="1" x14ac:dyDescent="0.2"/>
    <row r="790" s="85" customFormat="1" x14ac:dyDescent="0.2"/>
    <row r="791" s="85" customFormat="1" x14ac:dyDescent="0.2"/>
    <row r="792" s="85" customFormat="1" x14ac:dyDescent="0.2"/>
    <row r="793" s="85" customFormat="1" x14ac:dyDescent="0.2"/>
    <row r="794" s="85" customFormat="1" x14ac:dyDescent="0.2"/>
    <row r="795" s="85" customFormat="1" x14ac:dyDescent="0.2"/>
    <row r="796" s="85" customFormat="1" x14ac:dyDescent="0.2"/>
    <row r="797" s="85" customFormat="1" x14ac:dyDescent="0.2"/>
    <row r="798" s="85" customFormat="1" x14ac:dyDescent="0.2"/>
    <row r="799" s="85" customFormat="1" x14ac:dyDescent="0.2"/>
    <row r="800" s="85" customFormat="1" x14ac:dyDescent="0.2"/>
    <row r="801" s="85" customFormat="1" x14ac:dyDescent="0.2"/>
    <row r="802" s="85" customFormat="1" x14ac:dyDescent="0.2"/>
    <row r="803" s="85" customFormat="1" x14ac:dyDescent="0.2"/>
    <row r="804" s="85" customFormat="1" x14ac:dyDescent="0.2"/>
    <row r="805" s="85" customFormat="1" x14ac:dyDescent="0.2"/>
    <row r="806" s="85" customFormat="1" x14ac:dyDescent="0.2"/>
    <row r="807" s="85" customFormat="1" x14ac:dyDescent="0.2"/>
    <row r="808" s="85" customFormat="1" x14ac:dyDescent="0.2"/>
    <row r="809" s="85" customFormat="1" x14ac:dyDescent="0.2"/>
    <row r="810" s="85" customFormat="1" x14ac:dyDescent="0.2"/>
    <row r="811" s="85" customFormat="1" x14ac:dyDescent="0.2"/>
    <row r="812" s="85" customFormat="1" x14ac:dyDescent="0.2"/>
    <row r="813" s="85" customFormat="1" x14ac:dyDescent="0.2"/>
    <row r="814" s="85" customFormat="1" x14ac:dyDescent="0.2"/>
    <row r="815" s="85" customFormat="1" x14ac:dyDescent="0.2"/>
    <row r="816" s="85" customFormat="1" x14ac:dyDescent="0.2"/>
    <row r="817" s="85" customFormat="1" x14ac:dyDescent="0.2"/>
    <row r="818" s="85" customFormat="1" x14ac:dyDescent="0.2"/>
    <row r="819" s="85" customFormat="1" x14ac:dyDescent="0.2"/>
    <row r="820" s="85" customFormat="1" x14ac:dyDescent="0.2"/>
    <row r="821" s="85" customFormat="1" x14ac:dyDescent="0.2"/>
    <row r="822" s="85" customFormat="1" x14ac:dyDescent="0.2"/>
    <row r="823" s="85" customFormat="1" x14ac:dyDescent="0.2"/>
    <row r="824" s="85" customFormat="1" x14ac:dyDescent="0.2"/>
    <row r="825" s="85" customFormat="1" x14ac:dyDescent="0.2"/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W834"/>
  <sheetViews>
    <sheetView zoomScale="120" zoomScaleNormal="120" workbookViewId="0">
      <pane ySplit="1" topLeftCell="A292" activePane="bottomLeft" state="frozen"/>
      <selection pane="bottomLeft" activeCell="C357" sqref="C357"/>
    </sheetView>
  </sheetViews>
  <sheetFormatPr baseColWidth="10" defaultColWidth="8.83203125" defaultRowHeight="15" x14ac:dyDescent="0.2"/>
  <cols>
    <col min="1" max="1" width="9.1640625" style="1" customWidth="1"/>
    <col min="2" max="2" width="12.6640625" style="84" bestFit="1" customWidth="1"/>
    <col min="3" max="3" width="11.6640625" style="7" customWidth="1"/>
    <col min="4" max="4" width="11.6640625" style="6" customWidth="1"/>
    <col min="18" max="18" width="12.83203125" style="84" customWidth="1"/>
    <col min="19" max="19" width="10.6640625" style="84" bestFit="1" customWidth="1"/>
    <col min="20" max="20" width="14.6640625" style="84" customWidth="1"/>
    <col min="21" max="21" width="31.33203125" style="84" customWidth="1"/>
  </cols>
  <sheetData>
    <row r="1" spans="1:23" x14ac:dyDescent="0.2">
      <c r="A1" s="38" t="s">
        <v>1789</v>
      </c>
      <c r="B1" s="39" t="s">
        <v>224</v>
      </c>
      <c r="C1" s="40" t="s">
        <v>158</v>
      </c>
      <c r="D1" s="41" t="s">
        <v>126</v>
      </c>
      <c r="E1" s="39" t="s">
        <v>146</v>
      </c>
      <c r="F1" s="39" t="s">
        <v>542</v>
      </c>
      <c r="G1" s="39" t="s">
        <v>176</v>
      </c>
      <c r="H1" s="39" t="s">
        <v>225</v>
      </c>
      <c r="I1" s="39" t="s">
        <v>159</v>
      </c>
      <c r="J1" s="39" t="s">
        <v>127</v>
      </c>
      <c r="K1" s="39" t="s">
        <v>147</v>
      </c>
      <c r="L1" s="39" t="s">
        <v>1777</v>
      </c>
      <c r="M1" s="39" t="s">
        <v>177</v>
      </c>
      <c r="N1" s="39" t="s">
        <v>431</v>
      </c>
      <c r="O1" s="39" t="s">
        <v>1790</v>
      </c>
      <c r="P1" s="39" t="s">
        <v>230</v>
      </c>
      <c r="Q1" s="42" t="s">
        <v>1791</v>
      </c>
      <c r="T1" s="8" t="s">
        <v>1792</v>
      </c>
      <c r="U1" s="2">
        <v>36161</v>
      </c>
      <c r="W1" t="s">
        <v>48</v>
      </c>
    </row>
    <row r="2" spans="1:23" s="85" customFormat="1" x14ac:dyDescent="0.2">
      <c r="A2" s="22">
        <v>32874</v>
      </c>
      <c r="B2" s="92">
        <f>VLOOKUP(A2,Database!$E:$AY,MATCH($B$1,Database!$E$1:$AY$1,0),FALSE)</f>
        <v>110.1908</v>
      </c>
      <c r="C2" s="92">
        <f>VLOOKUP(A2,Database!$E:$AY,MATCH($C$1,Database!$E$1:$AY$1,0),FALSE)</f>
        <v>91.330759999999998</v>
      </c>
      <c r="D2" s="92">
        <f>VLOOKUP(A2,Database!$E:$AY,MATCH($D$1,Database!$E$1:$AY$1,0),FALSE)</f>
        <v>70.975170000000006</v>
      </c>
      <c r="E2" s="92">
        <f>VLOOKUP(A2,Database!$E:$AY,MATCH($E$1,Database!$E$1:$AY$1,0),FALSE)</f>
        <v>100.92230000000001</v>
      </c>
      <c r="F2" s="92">
        <f>VLOOKUP(A2,Database!$E:$AY,MATCH($F$1,Database!$E$1:$AY$1,0),FALSE)</f>
        <v>78.862530000000007</v>
      </c>
      <c r="G2" s="92">
        <f>VLOOKUP(A2,Database!$E:$AY,MATCH($G$1,Database!$E$1:$AY$1,0),FALSE)</f>
        <v>97.560010000000005</v>
      </c>
      <c r="H2" s="92">
        <f>(((Table134567891011121314151617343[[#This Row],[ITA]]-VLOOKUP($U$1,A:B,2,))/VLOOKUP($U$1,A:B,2,))*100)+100</f>
        <v>90.624961448278185</v>
      </c>
      <c r="I2" s="92">
        <f>(((Table134567891011121314151617343[[#This Row],[FRA]]-VLOOKUP($U$1,A:C,3,))/VLOOKUP($U$1,A:C,3,))*100)+100</f>
        <v>88.894257301619902</v>
      </c>
      <c r="J2" s="92">
        <f>(((Table134567891011121314151617343[[#This Row],[DEU]]-VLOOKUP($U$1,A:D,4,))/VLOOKUP($U$1,A:D,4,))*100)+100</f>
        <v>94.389744996025598</v>
      </c>
      <c r="K2" s="92">
        <f>(((Table134567891011121314151617343[[#This Row],[ESP]]-VLOOKUP($U$1,A:E,5,))/VLOOKUP($U$1,A:E,5,))*100)+100</f>
        <v>84.991422731739931</v>
      </c>
      <c r="L2" s="92">
        <f>(((Table134567891011121314151617343[[#This Row],[EA19]]-VLOOKUP($U$1,A:F,6,))/VLOOKUP($U$1,A:F,6,))*100)+100</f>
        <v>88.227825442942958</v>
      </c>
      <c r="M2" s="92">
        <f>(((Table134567891011121314151617343[[#This Row],[GBR]]-VLOOKUP($U$1,A:G,7,))/VLOOKUP($U$1,A:G,7,))*100)+100</f>
        <v>91.31831205287402</v>
      </c>
      <c r="N2" s="92">
        <f>VLOOKUP(A2,Database!$E:$AY,MATCH($N$1,Database!$E$1:$AY$1,0),FALSE)</f>
        <v>60.918210000000002</v>
      </c>
      <c r="O2" s="92">
        <f>(((Table134567891011121314151617343[[#This Row],[USA]]-VLOOKUP($U$1,A:N,14,))/VLOOKUP($U$1,A:N,14,))*100)+100</f>
        <v>70.58004669403519</v>
      </c>
      <c r="P2" s="92">
        <f>VLOOKUP(A2,Database!$E:$AY,MATCH($P$1,Database!$E$1:$AY$1,0),FALSE)</f>
        <v>100.9032</v>
      </c>
      <c r="Q2" s="92">
        <f>(((Table134567891011121314151617343[[#This Row],[JPN]]-VLOOKUP($U$1,A:Q,16,))/VLOOKUP($U$1,A:Q,16,))*100)+100</f>
        <v>101.30474160429695</v>
      </c>
      <c r="W2" s="85" t="s">
        <v>50</v>
      </c>
    </row>
    <row r="3" spans="1:23" s="85" customFormat="1" x14ac:dyDescent="0.2">
      <c r="A3" s="22">
        <v>32905</v>
      </c>
      <c r="B3" s="92">
        <f>VLOOKUP(A3,Database!$E:$AY,MATCH($B$1,Database!$E$1:$AY$1,0),FALSE)</f>
        <v>110.7908</v>
      </c>
      <c r="C3" s="92">
        <f>VLOOKUP(A3,Database!$E:$AY,MATCH($C$1,Database!$E$1:$AY$1,0),FALSE)</f>
        <v>92.840770000000006</v>
      </c>
      <c r="D3" s="92">
        <f>VLOOKUP(A3,Database!$E:$AY,MATCH($D$1,Database!$E$1:$AY$1,0),FALSE)</f>
        <v>70.666589999999999</v>
      </c>
      <c r="E3" s="92">
        <f>VLOOKUP(A3,Database!$E:$AY,MATCH($E$1,Database!$E$1:$AY$1,0),FALSE)</f>
        <v>98.397850000000005</v>
      </c>
      <c r="F3" s="92">
        <f>VLOOKUP(A3,Database!$E:$AY,MATCH($F$1,Database!$E$1:$AY$1,0),FALSE)</f>
        <v>79.786289999999994</v>
      </c>
      <c r="G3" s="92">
        <f>VLOOKUP(A3,Database!$E:$AY,MATCH($G$1,Database!$E$1:$AY$1,0),FALSE)</f>
        <v>96.974069999999998</v>
      </c>
      <c r="H3" s="92">
        <f>(((Table134567891011121314151617343[[#This Row],[ITA]]-VLOOKUP($U$1,A:B,2,))/VLOOKUP($U$1,A:B,2,))*100)+100</f>
        <v>91.118423487477173</v>
      </c>
      <c r="I3" s="92">
        <f>(((Table134567891011121314151617343[[#This Row],[FRA]]-VLOOKUP($U$1,A:C,3,))/VLOOKUP($U$1,A:C,3,))*100)+100</f>
        <v>90.363983574214373</v>
      </c>
      <c r="J3" s="92">
        <f>(((Table134567891011121314151617343[[#This Row],[DEU]]-VLOOKUP($U$1,A:D,4,))/VLOOKUP($U$1,A:D,4,))*100)+100</f>
        <v>93.979365034824042</v>
      </c>
      <c r="K3" s="92">
        <f>(((Table134567891011121314151617343[[#This Row],[ESP]]-VLOOKUP($U$1,A:E,5,))/VLOOKUP($U$1,A:E,5,))*100)+100</f>
        <v>82.865464473603325</v>
      </c>
      <c r="L3" s="92">
        <f>(((Table134567891011121314151617343[[#This Row],[EA19]]-VLOOKUP($U$1,A:F,6,))/VLOOKUP($U$1,A:F,6,))*100)+100</f>
        <v>89.261286277019323</v>
      </c>
      <c r="M3" s="92">
        <f>(((Table134567891011121314151617343[[#This Row],[GBR]]-VLOOKUP($U$1,A:G,7,))/VLOOKUP($U$1,A:G,7,))*100)+100</f>
        <v>90.769859343979647</v>
      </c>
      <c r="N3" s="92">
        <f>VLOOKUP(A3,Database!$E:$AY,MATCH($N$1,Database!$E$1:$AY$1,0),FALSE)</f>
        <v>61.515450000000001</v>
      </c>
      <c r="O3" s="92">
        <f>(((Table134567891011121314151617343[[#This Row],[USA]]-VLOOKUP($U$1,A:N,14,))/VLOOKUP($U$1,A:N,14,))*100)+100</f>
        <v>71.272011003025</v>
      </c>
      <c r="P3" s="92">
        <f>VLOOKUP(A3,Database!$E:$AY,MATCH($P$1,Database!$E$1:$AY$1,0),FALSE)</f>
        <v>101.4102</v>
      </c>
      <c r="Q3" s="92">
        <f>(((Table134567891011121314151617343[[#This Row],[JPN]]-VLOOKUP($U$1,A:Q,16,))/VLOOKUP($U$1,A:Q,16,))*100)+100</f>
        <v>101.81375919733047</v>
      </c>
      <c r="W3" s="85" t="s">
        <v>54</v>
      </c>
    </row>
    <row r="4" spans="1:23" s="85" customFormat="1" x14ac:dyDescent="0.2">
      <c r="A4" s="22">
        <v>32933</v>
      </c>
      <c r="B4" s="92">
        <f>VLOOKUP(A4,Database!$E:$AY,MATCH($B$1,Database!$E$1:$AY$1,0),FALSE)</f>
        <v>111.19070000000001</v>
      </c>
      <c r="C4" s="92">
        <f>VLOOKUP(A4,Database!$E:$AY,MATCH($C$1,Database!$E$1:$AY$1,0),FALSE)</f>
        <v>92.410769999999999</v>
      </c>
      <c r="D4" s="92">
        <f>VLOOKUP(A4,Database!$E:$AY,MATCH($D$1,Database!$E$1:$AY$1,0),FALSE)</f>
        <v>71.345479999999995</v>
      </c>
      <c r="E4" s="92">
        <f>VLOOKUP(A4,Database!$E:$AY,MATCH($E$1,Database!$E$1:$AY$1,0),FALSE)</f>
        <v>99.423500000000004</v>
      </c>
      <c r="F4" s="92">
        <f>VLOOKUP(A4,Database!$E:$AY,MATCH($F$1,Database!$E$1:$AY$1,0),FALSE)</f>
        <v>79.557720000000003</v>
      </c>
      <c r="G4" s="92">
        <f>VLOOKUP(A4,Database!$E:$AY,MATCH($G$1,Database!$E$1:$AY$1,0),FALSE)</f>
        <v>98.243620000000007</v>
      </c>
      <c r="H4" s="92">
        <f>(((Table134567891011121314151617343[[#This Row],[ITA]]-VLOOKUP($U$1,A:B,2,))/VLOOKUP($U$1,A:B,2,))*100)+100</f>
        <v>91.447315936603289</v>
      </c>
      <c r="I4" s="92">
        <f>(((Table134567891011121314151617343[[#This Row],[FRA]]-VLOOKUP($U$1,A:C,3,))/VLOOKUP($U$1,A:C,3,))*100)+100</f>
        <v>89.945455023267272</v>
      </c>
      <c r="J4" s="92">
        <f>(((Table134567891011121314151617343[[#This Row],[DEU]]-VLOOKUP($U$1,A:D,4,))/VLOOKUP($U$1,A:D,4,))*100)+100</f>
        <v>94.882219568041108</v>
      </c>
      <c r="K4" s="92">
        <f>(((Table134567891011121314151617343[[#This Row],[ESP]]-VLOOKUP($U$1,A:E,5,))/VLOOKUP($U$1,A:E,5,))*100)+100</f>
        <v>83.729212651407522</v>
      </c>
      <c r="L4" s="92">
        <f>(((Table134567891011121314151617343[[#This Row],[EA19]]-VLOOKUP($U$1,A:F,6,))/VLOOKUP($U$1,A:F,6,))*100)+100</f>
        <v>89.005572517119759</v>
      </c>
      <c r="M4" s="92">
        <f>(((Table134567891011121314151617343[[#This Row],[GBR]]-VLOOKUP($U$1,A:G,7,))/VLOOKUP($U$1,A:G,7,))*100)+100</f>
        <v>91.958186026876945</v>
      </c>
      <c r="N4" s="92">
        <f>VLOOKUP(A4,Database!$E:$AY,MATCH($N$1,Database!$E$1:$AY$1,0),FALSE)</f>
        <v>61.816470000000002</v>
      </c>
      <c r="O4" s="92">
        <f>(((Table134567891011121314151617343[[#This Row],[USA]]-VLOOKUP($U$1,A:N,14,))/VLOOKUP($U$1,A:N,14,))*100)+100</f>
        <v>71.620773805737656</v>
      </c>
      <c r="P4" s="92">
        <f>VLOOKUP(A4,Database!$E:$AY,MATCH($P$1,Database!$E$1:$AY$1,0),FALSE)</f>
        <v>103.23560000000001</v>
      </c>
      <c r="Q4" s="92">
        <f>(((Table134567891011121314151617343[[#This Row],[JPN]]-VLOOKUP($U$1,A:Q,16,))/VLOOKUP($U$1,A:Q,16,))*100)+100</f>
        <v>103.64642332814579</v>
      </c>
      <c r="W4" s="85" t="s">
        <v>86</v>
      </c>
    </row>
    <row r="5" spans="1:23" s="85" customFormat="1" x14ac:dyDescent="0.2">
      <c r="A5" s="22">
        <v>32964</v>
      </c>
      <c r="B5" s="92">
        <f>VLOOKUP(A5,Database!$E:$AY,MATCH($B$1,Database!$E$1:$AY$1,0),FALSE)</f>
        <v>112.0907</v>
      </c>
      <c r="C5" s="92">
        <f>VLOOKUP(A5,Database!$E:$AY,MATCH($C$1,Database!$E$1:$AY$1,0),FALSE)</f>
        <v>92.860770000000002</v>
      </c>
      <c r="D5" s="92">
        <f>VLOOKUP(A5,Database!$E:$AY,MATCH($D$1,Database!$E$1:$AY$1,0),FALSE)</f>
        <v>70.111130000000003</v>
      </c>
      <c r="E5" s="92">
        <f>VLOOKUP(A5,Database!$E:$AY,MATCH($E$1,Database!$E$1:$AY$1,0),FALSE)</f>
        <v>100.7756</v>
      </c>
      <c r="F5" s="92">
        <f>VLOOKUP(A5,Database!$E:$AY,MATCH($F$1,Database!$E$1:$AY$1,0),FALSE)</f>
        <v>79.881519999999995</v>
      </c>
      <c r="G5" s="92">
        <f>VLOOKUP(A5,Database!$E:$AY,MATCH($G$1,Database!$E$1:$AY$1,0),FALSE)</f>
        <v>98.927220000000005</v>
      </c>
      <c r="H5" s="92">
        <f>(((Table134567891011121314151617343[[#This Row],[ITA]]-VLOOKUP($U$1,A:B,2,))/VLOOKUP($U$1,A:B,2,))*100)+100</f>
        <v>92.187508995401757</v>
      </c>
      <c r="I5" s="92">
        <f>(((Table134567891011121314151617343[[#This Row],[FRA]]-VLOOKUP($U$1,A:C,3,))/VLOOKUP($U$1,A:C,3,))*100)+100</f>
        <v>90.383450018444464</v>
      </c>
      <c r="J5" s="92">
        <f>(((Table134567891011121314151617343[[#This Row],[DEU]]-VLOOKUP($U$1,A:D,4,))/VLOOKUP($U$1,A:D,4,))*100)+100</f>
        <v>93.240659826291363</v>
      </c>
      <c r="K5" s="92">
        <f>(((Table134567891011121314151617343[[#This Row],[ESP]]-VLOOKUP($U$1,A:E,5,))/VLOOKUP($U$1,A:E,5,))*100)+100</f>
        <v>84.867879751499231</v>
      </c>
      <c r="L5" s="92">
        <f>(((Table134567891011121314151617343[[#This Row],[EA19]]-VLOOKUP($U$1,A:F,6,))/VLOOKUP($U$1,A:F,6,))*100)+100</f>
        <v>89.367825286317299</v>
      </c>
      <c r="M5" s="92">
        <f>(((Table134567891011121314151617343[[#This Row],[GBR]]-VLOOKUP($U$1,A:G,7,))/VLOOKUP($U$1,A:G,7,))*100)+100</f>
        <v>92.598050640660233</v>
      </c>
      <c r="N5" s="92">
        <f>VLOOKUP(A5,Database!$E:$AY,MATCH($N$1,Database!$E$1:$AY$1,0),FALSE)</f>
        <v>61.722529999999999</v>
      </c>
      <c r="O5" s="92">
        <f>(((Table134567891011121314151617343[[#This Row],[USA]]-VLOOKUP($U$1,A:N,14,))/VLOOKUP($U$1,A:N,14,))*100)+100</f>
        <v>71.511934600080792</v>
      </c>
      <c r="P5" s="92">
        <f>VLOOKUP(A5,Database!$E:$AY,MATCH($P$1,Database!$E$1:$AY$1,0),FALSE)</f>
        <v>103.4384</v>
      </c>
      <c r="Q5" s="92">
        <f>(((Table134567891011121314151617343[[#This Row],[JPN]]-VLOOKUP($U$1,A:Q,16,))/VLOOKUP($U$1,A:Q,16,))*100)+100</f>
        <v>103.85003036535917</v>
      </c>
      <c r="W5" s="85" t="s">
        <v>92</v>
      </c>
    </row>
    <row r="6" spans="1:23" s="85" customFormat="1" x14ac:dyDescent="0.2">
      <c r="A6" s="22">
        <v>32994</v>
      </c>
      <c r="B6" s="92">
        <f>VLOOKUP(A6,Database!$E:$AY,MATCH($B$1,Database!$E$1:$AY$1,0),FALSE)</f>
        <v>110.7908</v>
      </c>
      <c r="C6" s="92">
        <f>VLOOKUP(A6,Database!$E:$AY,MATCH($C$1,Database!$E$1:$AY$1,0),FALSE)</f>
        <v>93.110780000000005</v>
      </c>
      <c r="D6" s="92">
        <f>VLOOKUP(A6,Database!$E:$AY,MATCH($D$1,Database!$E$1:$AY$1,0),FALSE)</f>
        <v>71.900940000000006</v>
      </c>
      <c r="E6" s="92">
        <f>VLOOKUP(A6,Database!$E:$AY,MATCH($E$1,Database!$E$1:$AY$1,0),FALSE)</f>
        <v>99.712549999999993</v>
      </c>
      <c r="F6" s="92">
        <f>VLOOKUP(A6,Database!$E:$AY,MATCH($F$1,Database!$E$1:$AY$1,0),FALSE)</f>
        <v>79.862470000000002</v>
      </c>
      <c r="G6" s="92">
        <f>VLOOKUP(A6,Database!$E:$AY,MATCH($G$1,Database!$E$1:$AY$1,0),FALSE)</f>
        <v>98.341279999999998</v>
      </c>
      <c r="H6" s="92">
        <f>(((Table134567891011121314151617343[[#This Row],[ITA]]-VLOOKUP($U$1,A:B,2,))/VLOOKUP($U$1,A:B,2,))*100)+100</f>
        <v>91.118423487477173</v>
      </c>
      <c r="I6" s="92">
        <f>(((Table134567891011121314151617343[[#This Row],[FRA]]-VLOOKUP($U$1,A:C,3,))/VLOOKUP($U$1,A:C,3,))*100)+100</f>
        <v>90.626790304542794</v>
      </c>
      <c r="J6" s="92">
        <f>(((Table134567891011121314151617343[[#This Row],[DEU]]-VLOOKUP($U$1,A:D,4,))/VLOOKUP($U$1,A:D,4,))*100)+100</f>
        <v>95.620924776573801</v>
      </c>
      <c r="K6" s="92">
        <f>(((Table134567891011121314151617343[[#This Row],[ESP]]-VLOOKUP($U$1,A:E,5,))/VLOOKUP($U$1,A:E,5,))*100)+100</f>
        <v>83.972635271984032</v>
      </c>
      <c r="L6" s="92">
        <f>(((Table134567891011121314151617343[[#This Row],[EA19]]-VLOOKUP($U$1,A:F,6,))/VLOOKUP($U$1,A:F,6,))*100)+100</f>
        <v>89.346513009438937</v>
      </c>
      <c r="M6" s="92">
        <f>(((Table134567891011121314151617343[[#This Row],[GBR]]-VLOOKUP($U$1,A:G,7,))/VLOOKUP($U$1,A:G,7,))*100)+100</f>
        <v>92.049597931765874</v>
      </c>
      <c r="N6" s="92">
        <f>VLOOKUP(A6,Database!$E:$AY,MATCH($N$1,Database!$E$1:$AY$1,0),FALSE)</f>
        <v>61.854219999999998</v>
      </c>
      <c r="O6" s="92">
        <f>(((Table134567891011121314151617343[[#This Row],[USA]]-VLOOKUP($U$1,A:N,14,))/VLOOKUP($U$1,A:N,14,))*100)+100</f>
        <v>71.664511084996178</v>
      </c>
      <c r="P6" s="92">
        <f>VLOOKUP(A6,Database!$E:$AY,MATCH($P$1,Database!$E$1:$AY$1,0),FALSE)</f>
        <v>104.14830000000001</v>
      </c>
      <c r="Q6" s="92">
        <f>(((Table134567891011121314151617343[[#This Row],[JPN]]-VLOOKUP($U$1,A:Q,16,))/VLOOKUP($U$1,A:Q,16,))*100)+100</f>
        <v>104.56275539355345</v>
      </c>
      <c r="W6" s="85" t="s">
        <v>535</v>
      </c>
    </row>
    <row r="7" spans="1:23" s="85" customFormat="1" x14ac:dyDescent="0.2">
      <c r="A7" s="22">
        <v>33025</v>
      </c>
      <c r="B7" s="92">
        <f>VLOOKUP(A7,Database!$E:$AY,MATCH($B$1,Database!$E$1:$AY$1,0),FALSE)</f>
        <v>109.6909</v>
      </c>
      <c r="C7" s="92">
        <f>VLOOKUP(A7,Database!$E:$AY,MATCH($C$1,Database!$E$1:$AY$1,0),FALSE)</f>
        <v>91.720759999999999</v>
      </c>
      <c r="D7" s="92">
        <f>VLOOKUP(A7,Database!$E:$AY,MATCH($D$1,Database!$E$1:$AY$1,0),FALSE)</f>
        <v>71.900940000000006</v>
      </c>
      <c r="E7" s="92">
        <f>VLOOKUP(A7,Database!$E:$AY,MATCH($E$1,Database!$E$1:$AY$1,0),FALSE)</f>
        <v>102.31829999999999</v>
      </c>
      <c r="F7" s="92">
        <f>VLOOKUP(A7,Database!$E:$AY,MATCH($F$1,Database!$E$1:$AY$1,0),FALSE)</f>
        <v>79.348209999999995</v>
      </c>
      <c r="G7" s="92">
        <f>VLOOKUP(A7,Database!$E:$AY,MATCH($G$1,Database!$E$1:$AY$1,0),FALSE)</f>
        <v>99.806139999999999</v>
      </c>
      <c r="H7" s="92">
        <f>(((Table134567891011121314151617343[[#This Row],[ITA]]-VLOOKUP($U$1,A:B,2,))/VLOOKUP($U$1,A:B,2,))*100)+100</f>
        <v>90.213825325952243</v>
      </c>
      <c r="I7" s="92">
        <f>(((Table134567891011121314151617343[[#This Row],[FRA]]-VLOOKUP($U$1,A:C,3,))/VLOOKUP($U$1,A:C,3,))*100)+100</f>
        <v>89.273852964106794</v>
      </c>
      <c r="J7" s="92">
        <f>(((Table134567891011121314151617343[[#This Row],[DEU]]-VLOOKUP($U$1,A:D,4,))/VLOOKUP($U$1,A:D,4,))*100)+100</f>
        <v>95.620924776573801</v>
      </c>
      <c r="K7" s="92">
        <f>(((Table134567891011121314151617343[[#This Row],[ESP]]-VLOOKUP($U$1,A:E,5,))/VLOOKUP($U$1,A:E,5,))*100)+100</f>
        <v>86.167060089722341</v>
      </c>
      <c r="L7" s="92">
        <f>(((Table134567891011121314151617343[[#This Row],[EA19]]-VLOOKUP($U$1,A:F,6,))/VLOOKUP($U$1,A:F,6,))*100)+100</f>
        <v>88.771182221645446</v>
      </c>
      <c r="M7" s="92">
        <f>(((Table134567891011121314151617343[[#This Row],[GBR]]-VLOOKUP($U$1,A:G,7,))/VLOOKUP($U$1,A:G,7,))*100)+100</f>
        <v>93.420739064221408</v>
      </c>
      <c r="N7" s="92">
        <f>VLOOKUP(A7,Database!$E:$AY,MATCH($N$1,Database!$E$1:$AY$1,0),FALSE)</f>
        <v>62.052849999999999</v>
      </c>
      <c r="O7" s="92">
        <f>(((Table134567891011121314151617343[[#This Row],[USA]]-VLOOKUP($U$1,A:N,14,))/VLOOKUP($U$1,A:N,14,))*100)+100</f>
        <v>71.894644483118626</v>
      </c>
      <c r="P7" s="92">
        <f>VLOOKUP(A7,Database!$E:$AY,MATCH($P$1,Database!$E$1:$AY$1,0),FALSE)</f>
        <v>104.4525</v>
      </c>
      <c r="Q7" s="92">
        <f>(((Table134567891011121314151617343[[#This Row],[JPN]]-VLOOKUP($U$1,A:Q,16,))/VLOOKUP($U$1,A:Q,16,))*100)+100</f>
        <v>104.86816594937353</v>
      </c>
      <c r="W7" s="85" t="s">
        <v>126</v>
      </c>
    </row>
    <row r="8" spans="1:23" s="85" customFormat="1" x14ac:dyDescent="0.2">
      <c r="A8" s="22">
        <v>33055</v>
      </c>
      <c r="B8" s="92">
        <f>VLOOKUP(A8,Database!$E:$AY,MATCH($B$1,Database!$E$1:$AY$1,0),FALSE)</f>
        <v>109.99079999999999</v>
      </c>
      <c r="C8" s="92">
        <f>VLOOKUP(A8,Database!$E:$AY,MATCH($C$1,Database!$E$1:$AY$1,0),FALSE)</f>
        <v>91.790760000000006</v>
      </c>
      <c r="D8" s="92">
        <f>VLOOKUP(A8,Database!$E:$AY,MATCH($D$1,Database!$E$1:$AY$1,0),FALSE)</f>
        <v>72.579830000000001</v>
      </c>
      <c r="E8" s="92">
        <f>VLOOKUP(A8,Database!$E:$AY,MATCH($E$1,Database!$E$1:$AY$1,0),FALSE)</f>
        <v>99.268990000000002</v>
      </c>
      <c r="F8" s="92">
        <f>VLOOKUP(A8,Database!$E:$AY,MATCH($F$1,Database!$E$1:$AY$1,0),FALSE)</f>
        <v>79.652959999999993</v>
      </c>
      <c r="G8" s="92">
        <f>VLOOKUP(A8,Database!$E:$AY,MATCH($G$1,Database!$E$1:$AY$1,0),FALSE)</f>
        <v>97.462360000000004</v>
      </c>
      <c r="H8" s="92">
        <f>(((Table134567891011121314151617343[[#This Row],[ITA]]-VLOOKUP($U$1,A:B,2,))/VLOOKUP($U$1,A:B,2,))*100)+100</f>
        <v>90.460474101878518</v>
      </c>
      <c r="I8" s="92">
        <f>(((Table134567891011121314151617343[[#This Row],[FRA]]-VLOOKUP($U$1,A:C,3,))/VLOOKUP($U$1,A:C,3,))*100)+100</f>
        <v>89.341985518912139</v>
      </c>
      <c r="J8" s="92">
        <f>(((Table134567891011121314151617343[[#This Row],[DEU]]-VLOOKUP($U$1,A:D,4,))/VLOOKUP($U$1,A:D,4,))*100)+100</f>
        <v>96.523779309790854</v>
      </c>
      <c r="K8" s="92">
        <f>(((Table134567891011121314151617343[[#This Row],[ESP]]-VLOOKUP($U$1,A:E,5,))/VLOOKUP($U$1,A:E,5,))*100)+100</f>
        <v>83.599092502280115</v>
      </c>
      <c r="L8" s="92">
        <f>(((Table134567891011121314151617343[[#This Row],[EA19]]-VLOOKUP($U$1,A:F,6,))/VLOOKUP($U$1,A:F,6,))*100)+100</f>
        <v>89.112122713964624</v>
      </c>
      <c r="M8" s="92">
        <f>(((Table134567891011121314151617343[[#This Row],[GBR]]-VLOOKUP($U$1,A:G,7,))/VLOOKUP($U$1,A:G,7,))*100)+100</f>
        <v>91.226909508204699</v>
      </c>
      <c r="N8" s="92">
        <f>VLOOKUP(A8,Database!$E:$AY,MATCH($N$1,Database!$E$1:$AY$1,0),FALSE)</f>
        <v>61.972560000000001</v>
      </c>
      <c r="O8" s="92">
        <f>(((Table134567891011121314151617343[[#This Row],[USA]]-VLOOKUP($U$1,A:N,14,))/VLOOKUP($U$1,A:N,14,))*100)+100</f>
        <v>71.801620214200284</v>
      </c>
      <c r="P8" s="92">
        <f>VLOOKUP(A8,Database!$E:$AY,MATCH($P$1,Database!$E$1:$AY$1,0),FALSE)</f>
        <v>105.3652</v>
      </c>
      <c r="Q8" s="92">
        <f>(((Table134567891011121314151617343[[#This Row],[JPN]]-VLOOKUP($U$1,A:Q,16,))/VLOOKUP($U$1,A:Q,16,))*100)+100</f>
        <v>105.78449801478119</v>
      </c>
      <c r="W8" s="85" t="s">
        <v>132</v>
      </c>
    </row>
    <row r="9" spans="1:23" s="85" customFormat="1" x14ac:dyDescent="0.2">
      <c r="A9" s="22">
        <v>33086</v>
      </c>
      <c r="B9" s="92">
        <f>VLOOKUP(A9,Database!$E:$AY,MATCH($B$1,Database!$E$1:$AY$1,0),FALSE)</f>
        <v>111.19070000000001</v>
      </c>
      <c r="C9" s="92">
        <f>VLOOKUP(A9,Database!$E:$AY,MATCH($C$1,Database!$E$1:$AY$1,0),FALSE)</f>
        <v>91.230760000000004</v>
      </c>
      <c r="D9" s="92">
        <f>VLOOKUP(A9,Database!$E:$AY,MATCH($D$1,Database!$E$1:$AY$1,0),FALSE)</f>
        <v>73.011859999999999</v>
      </c>
      <c r="E9" s="92">
        <f>VLOOKUP(A9,Database!$E:$AY,MATCH($E$1,Database!$E$1:$AY$1,0),FALSE)</f>
        <v>97.977429999999998</v>
      </c>
      <c r="F9" s="92">
        <f>VLOOKUP(A9,Database!$E:$AY,MATCH($F$1,Database!$E$1:$AY$1,0),FALSE)</f>
        <v>80.186260000000004</v>
      </c>
      <c r="G9" s="92">
        <f>VLOOKUP(A9,Database!$E:$AY,MATCH($G$1,Database!$E$1:$AY$1,0),FALSE)</f>
        <v>97.560010000000005</v>
      </c>
      <c r="H9" s="92">
        <f>(((Table134567891011121314151617343[[#This Row],[ITA]]-VLOOKUP($U$1,A:B,2,))/VLOOKUP($U$1,A:B,2,))*100)+100</f>
        <v>91.447315936603289</v>
      </c>
      <c r="I9" s="92">
        <f>(((Table134567891011121314151617343[[#This Row],[FRA]]-VLOOKUP($U$1,A:C,3,))/VLOOKUP($U$1,A:C,3,))*100)+100</f>
        <v>88.796925080469421</v>
      </c>
      <c r="J9" s="92">
        <f>(((Table134567891011121314151617343[[#This Row],[DEU]]-VLOOKUP($U$1,A:D,4,))/VLOOKUP($U$1,A:D,4,))*100)+100</f>
        <v>97.098335193639144</v>
      </c>
      <c r="K9" s="92">
        <f>(((Table134567891011121314151617343[[#This Row],[ESP]]-VLOOKUP($U$1,A:E,5,))/VLOOKUP($U$1,A:E,5,))*100)+100</f>
        <v>82.511408987899188</v>
      </c>
      <c r="L9" s="92">
        <f>(((Table134567891011121314151617343[[#This Row],[EA19]]-VLOOKUP($U$1,A:F,6,))/VLOOKUP($U$1,A:F,6,))*100)+100</f>
        <v>89.708754591089573</v>
      </c>
      <c r="M9" s="92">
        <f>(((Table134567891011121314151617343[[#This Row],[GBR]]-VLOOKUP($U$1,A:G,7,))/VLOOKUP($U$1,A:G,7,))*100)+100</f>
        <v>91.31831205287402</v>
      </c>
      <c r="N9" s="92">
        <f>VLOOKUP(A9,Database!$E:$AY,MATCH($N$1,Database!$E$1:$AY$1,0),FALSE)</f>
        <v>62.176279999999998</v>
      </c>
      <c r="O9" s="92">
        <f>(((Table134567891011121314151617343[[#This Row],[USA]]-VLOOKUP($U$1,A:N,14,))/VLOOKUP($U$1,A:N,14,))*100)+100</f>
        <v>72.037650903751214</v>
      </c>
      <c r="P9" s="92">
        <f>VLOOKUP(A9,Database!$E:$AY,MATCH($P$1,Database!$E$1:$AY$1,0),FALSE)</f>
        <v>106.2779</v>
      </c>
      <c r="Q9" s="92">
        <f>(((Table134567891011121314151617343[[#This Row],[JPN]]-VLOOKUP($U$1,A:Q,16,))/VLOOKUP($U$1,A:Q,16,))*100)+100</f>
        <v>106.70083008018885</v>
      </c>
      <c r="W9" s="85" t="s">
        <v>146</v>
      </c>
    </row>
    <row r="10" spans="1:23" s="85" customFormat="1" x14ac:dyDescent="0.2">
      <c r="A10" s="22">
        <v>33117</v>
      </c>
      <c r="B10" s="92">
        <f>VLOOKUP(A10,Database!$E:$AY,MATCH($B$1,Database!$E$1:$AY$1,0),FALSE)</f>
        <v>110.8908</v>
      </c>
      <c r="C10" s="92">
        <f>VLOOKUP(A10,Database!$E:$AY,MATCH($C$1,Database!$E$1:$AY$1,0),FALSE)</f>
        <v>92.040760000000006</v>
      </c>
      <c r="D10" s="92">
        <f>VLOOKUP(A10,Database!$E:$AY,MATCH($D$1,Database!$E$1:$AY$1,0),FALSE)</f>
        <v>73.690749999999994</v>
      </c>
      <c r="E10" s="92">
        <f>VLOOKUP(A10,Database!$E:$AY,MATCH($E$1,Database!$E$1:$AY$1,0),FALSE)</f>
        <v>101.3836</v>
      </c>
      <c r="F10" s="92">
        <f>VLOOKUP(A10,Database!$E:$AY,MATCH($F$1,Database!$E$1:$AY$1,0),FALSE)</f>
        <v>80.586240000000004</v>
      </c>
      <c r="G10" s="92">
        <f>VLOOKUP(A10,Database!$E:$AY,MATCH($G$1,Database!$E$1:$AY$1,0),FALSE)</f>
        <v>97.071719999999999</v>
      </c>
      <c r="H10" s="92">
        <f>(((Table134567891011121314151617343[[#This Row],[ITA]]-VLOOKUP($U$1,A:B,2,))/VLOOKUP($U$1,A:B,2,))*100)+100</f>
        <v>91.200667160677</v>
      </c>
      <c r="I10" s="92">
        <f>(((Table134567891011121314151617343[[#This Row],[FRA]]-VLOOKUP($U$1,A:C,3,))/VLOOKUP($U$1,A:C,3,))*100)+100</f>
        <v>89.585316071788355</v>
      </c>
      <c r="J10" s="92">
        <f>(((Table134567891011121314151617343[[#This Row],[DEU]]-VLOOKUP($U$1,A:D,4,))/VLOOKUP($U$1,A:D,4,))*100)+100</f>
        <v>98.001189726856211</v>
      </c>
      <c r="K10" s="92">
        <f>(((Table134567891011121314151617343[[#This Row],[ESP]]-VLOOKUP($U$1,A:E,5,))/VLOOKUP($U$1,A:E,5,))*100)+100</f>
        <v>85.379905191078961</v>
      </c>
      <c r="L10" s="92">
        <f>(((Table134567891011121314151617343[[#This Row],[EA19]]-VLOOKUP($U$1,A:F,6,))/VLOOKUP($U$1,A:F,6,))*100)+100</f>
        <v>90.15623409270674</v>
      </c>
      <c r="M10" s="92">
        <f>(((Table134567891011121314151617343[[#This Row],[GBR]]-VLOOKUP($U$1,A:G,7,))/VLOOKUP($U$1,A:G,7,))*100)+100</f>
        <v>90.861261888648954</v>
      </c>
      <c r="N10" s="92">
        <f>VLOOKUP(A10,Database!$E:$AY,MATCH($N$1,Database!$E$1:$AY$1,0),FALSE)</f>
        <v>62.254939999999998</v>
      </c>
      <c r="O10" s="92">
        <f>(((Table134567891011121314151617343[[#This Row],[USA]]-VLOOKUP($U$1,A:N,14,))/VLOOKUP($U$1,A:N,14,))*100)+100</f>
        <v>72.128786649088326</v>
      </c>
      <c r="P10" s="92">
        <f>VLOOKUP(A10,Database!$E:$AY,MATCH($P$1,Database!$E$1:$AY$1,0),FALSE)</f>
        <v>105.3652</v>
      </c>
      <c r="Q10" s="92">
        <f>(((Table134567891011121314151617343[[#This Row],[JPN]]-VLOOKUP($U$1,A:Q,16,))/VLOOKUP($U$1,A:Q,16,))*100)+100</f>
        <v>105.78449801478119</v>
      </c>
      <c r="W10" s="85" t="s">
        <v>536</v>
      </c>
    </row>
    <row r="11" spans="1:23" s="85" customFormat="1" x14ac:dyDescent="0.2">
      <c r="A11" s="22">
        <v>33147</v>
      </c>
      <c r="B11" s="92">
        <f>VLOOKUP(A11,Database!$E:$AY,MATCH($B$1,Database!$E$1:$AY$1,0),FALSE)</f>
        <v>110.2908</v>
      </c>
      <c r="C11" s="92">
        <f>VLOOKUP(A11,Database!$E:$AY,MATCH($C$1,Database!$E$1:$AY$1,0),FALSE)</f>
        <v>91.740759999999995</v>
      </c>
      <c r="D11" s="92">
        <f>VLOOKUP(A11,Database!$E:$AY,MATCH($D$1,Database!$E$1:$AY$1,0),FALSE)</f>
        <v>73.814179999999993</v>
      </c>
      <c r="E11" s="92">
        <f>VLOOKUP(A11,Database!$E:$AY,MATCH($E$1,Database!$E$1:$AY$1,0),FALSE)</f>
        <v>97.329319999999996</v>
      </c>
      <c r="F11" s="92">
        <f>VLOOKUP(A11,Database!$E:$AY,MATCH($F$1,Database!$E$1:$AY$1,0),FALSE)</f>
        <v>80.748140000000006</v>
      </c>
      <c r="G11" s="92">
        <f>VLOOKUP(A11,Database!$E:$AY,MATCH($G$1,Database!$E$1:$AY$1,0),FALSE)</f>
        <v>96.974069999999998</v>
      </c>
      <c r="H11" s="92">
        <f>(((Table134567891011121314151617343[[#This Row],[ITA]]-VLOOKUP($U$1,A:B,2,))/VLOOKUP($U$1,A:B,2,))*100)+100</f>
        <v>90.707205121478026</v>
      </c>
      <c r="I11" s="92">
        <f>(((Table134567891011121314151617343[[#This Row],[FRA]]-VLOOKUP($U$1,A:C,3,))/VLOOKUP($U$1,A:C,3,))*100)+100</f>
        <v>89.293319408336885</v>
      </c>
      <c r="J11" s="92">
        <f>(((Table134567891011121314151617343[[#This Row],[DEU]]-VLOOKUP($U$1,A:D,4,))/VLOOKUP($U$1,A:D,4,))*100)+100</f>
        <v>98.165339051540585</v>
      </c>
      <c r="K11" s="92">
        <f>(((Table134567891011121314151617343[[#This Row],[ESP]]-VLOOKUP($U$1,A:E,5,))/VLOOKUP($U$1,A:E,5,))*100)+100</f>
        <v>81.965605027955064</v>
      </c>
      <c r="L11" s="92">
        <f>(((Table134567891011121314151617343[[#This Row],[EA19]]-VLOOKUP($U$1,A:F,6,))/VLOOKUP($U$1,A:F,6,))*100)+100</f>
        <v>90.337360477305509</v>
      </c>
      <c r="M11" s="92">
        <f>(((Table134567891011121314151617343[[#This Row],[GBR]]-VLOOKUP($U$1,A:G,7,))/VLOOKUP($U$1,A:G,7,))*100)+100</f>
        <v>90.769859343979647</v>
      </c>
      <c r="N11" s="92">
        <f>VLOOKUP(A11,Database!$E:$AY,MATCH($N$1,Database!$E$1:$AY$1,0),FALSE)</f>
        <v>61.787080000000003</v>
      </c>
      <c r="O11" s="92">
        <f>(((Table134567891011121314151617343[[#This Row],[USA]]-VLOOKUP($U$1,A:N,14,))/VLOOKUP($U$1,A:N,14,))*100)+100</f>
        <v>71.586722451104322</v>
      </c>
      <c r="P11" s="92">
        <f>VLOOKUP(A11,Database!$E:$AY,MATCH($P$1,Database!$E$1:$AY$1,0),FALSE)</f>
        <v>107.4948</v>
      </c>
      <c r="Q11" s="92">
        <f>(((Table134567891011121314151617343[[#This Row],[JPN]]-VLOOKUP($U$1,A:Q,16,))/VLOOKUP($U$1,A:Q,16,))*100)+100</f>
        <v>107.92257270141661</v>
      </c>
      <c r="W11" s="85" t="s">
        <v>152</v>
      </c>
    </row>
    <row r="12" spans="1:23" s="85" customFormat="1" x14ac:dyDescent="0.2">
      <c r="A12" s="22">
        <v>33178</v>
      </c>
      <c r="B12" s="92">
        <f>VLOOKUP(A12,Database!$E:$AY,MATCH($B$1,Database!$E$1:$AY$1,0),FALSE)</f>
        <v>108.6909</v>
      </c>
      <c r="C12" s="92">
        <f>VLOOKUP(A12,Database!$E:$AY,MATCH($C$1,Database!$E$1:$AY$1,0),FALSE)</f>
        <v>90.720759999999999</v>
      </c>
      <c r="D12" s="92">
        <f>VLOOKUP(A12,Database!$E:$AY,MATCH($D$1,Database!$E$1:$AY$1,0),FALSE)</f>
        <v>73.814179999999993</v>
      </c>
      <c r="E12" s="92">
        <f>VLOOKUP(A12,Database!$E:$AY,MATCH($E$1,Database!$E$1:$AY$1,0),FALSE)</f>
        <v>100.4843</v>
      </c>
      <c r="F12" s="92">
        <f>VLOOKUP(A12,Database!$E:$AY,MATCH($F$1,Database!$E$1:$AY$1,0),FALSE)</f>
        <v>79.986270000000005</v>
      </c>
      <c r="G12" s="92">
        <f>VLOOKUP(A12,Database!$E:$AY,MATCH($G$1,Database!$E$1:$AY$1,0),FALSE)</f>
        <v>96.485780000000005</v>
      </c>
      <c r="H12" s="92">
        <f>(((Table134567891011121314151617343[[#This Row],[ITA]]-VLOOKUP($U$1,A:B,2,))/VLOOKUP($U$1,A:B,2,))*100)+100</f>
        <v>89.391388593953934</v>
      </c>
      <c r="I12" s="92">
        <f>(((Table134567891011121314151617343[[#This Row],[FRA]]-VLOOKUP($U$1,A:C,3,))/VLOOKUP($U$1,A:C,3,))*100)+100</f>
        <v>88.300530752601929</v>
      </c>
      <c r="J12" s="92">
        <f>(((Table134567891011121314151617343[[#This Row],[DEU]]-VLOOKUP($U$1,A:D,4,))/VLOOKUP($U$1,A:D,4,))*100)+100</f>
        <v>98.165339051540585</v>
      </c>
      <c r="K12" s="92">
        <f>(((Table134567891011121314151617343[[#This Row],[ESP]]-VLOOKUP($U$1,A:E,5,))/VLOOKUP($U$1,A:E,5,))*100)+100</f>
        <v>84.622562299937428</v>
      </c>
      <c r="L12" s="92">
        <f>(((Table134567891011121314151617343[[#This Row],[EA19]]-VLOOKUP($U$1,A:F,6,))/VLOOKUP($U$1,A:F,6,))*100)+100</f>
        <v>89.485014840280996</v>
      </c>
      <c r="M12" s="92">
        <f>(((Table134567891011121314151617343[[#This Row],[GBR]]-VLOOKUP($U$1,A:G,7,))/VLOOKUP($U$1,A:G,7,))*100)+100</f>
        <v>90.312809179754595</v>
      </c>
      <c r="N12" s="92">
        <f>VLOOKUP(A12,Database!$E:$AY,MATCH($N$1,Database!$E$1:$AY$1,0),FALSE)</f>
        <v>61.064680000000003</v>
      </c>
      <c r="O12" s="92">
        <f>(((Table134567891011121314151617343[[#This Row],[USA]]-VLOOKUP($U$1,A:N,14,))/VLOOKUP($U$1,A:N,14,))*100)+100</f>
        <v>70.74974733755829</v>
      </c>
      <c r="P12" s="92">
        <f>VLOOKUP(A12,Database!$E:$AY,MATCH($P$1,Database!$E$1:$AY$1,0),FALSE)</f>
        <v>106.78489999999999</v>
      </c>
      <c r="Q12" s="92">
        <f>(((Table134567891011121314151617343[[#This Row],[JPN]]-VLOOKUP($U$1,A:Q,16,))/VLOOKUP($U$1,A:Q,16,))*100)+100</f>
        <v>107.20984767322236</v>
      </c>
      <c r="W12" s="85" t="s">
        <v>158</v>
      </c>
    </row>
    <row r="13" spans="1:23" s="85" customFormat="1" x14ac:dyDescent="0.2">
      <c r="A13" s="22">
        <v>33208</v>
      </c>
      <c r="B13" s="92">
        <f>VLOOKUP(A13,Database!$E:$AY,MATCH($B$1,Database!$E$1:$AY$1,0),FALSE)</f>
        <v>110.49079999999999</v>
      </c>
      <c r="C13" s="92">
        <f>VLOOKUP(A13,Database!$E:$AY,MATCH($C$1,Database!$E$1:$AY$1,0),FALSE)</f>
        <v>91.870769999999993</v>
      </c>
      <c r="D13" s="92">
        <f>VLOOKUP(A13,Database!$E:$AY,MATCH($D$1,Database!$E$1:$AY$1,0),FALSE)</f>
        <v>74.122770000000003</v>
      </c>
      <c r="E13" s="92">
        <f>VLOOKUP(A13,Database!$E:$AY,MATCH($E$1,Database!$E$1:$AY$1,0),FALSE)</f>
        <v>99.994</v>
      </c>
      <c r="F13" s="92">
        <f>VLOOKUP(A13,Database!$E:$AY,MATCH($F$1,Database!$E$1:$AY$1,0),FALSE)</f>
        <v>80.824330000000003</v>
      </c>
      <c r="G13" s="92">
        <f>VLOOKUP(A13,Database!$E:$AY,MATCH($G$1,Database!$E$1:$AY$1,0),FALSE)</f>
        <v>95.899829999999994</v>
      </c>
      <c r="H13" s="92">
        <f>(((Table134567891011121314151617343[[#This Row],[ITA]]-VLOOKUP($U$1,A:B,2,))/VLOOKUP($U$1,A:B,2,))*100)+100</f>
        <v>90.871692467877665</v>
      </c>
      <c r="I13" s="92">
        <f>(((Table134567891011121314151617343[[#This Row],[FRA]]-VLOOKUP($U$1,A:C,3,))/VLOOKUP($U$1,A:C,3,))*100)+100</f>
        <v>89.419861029054644</v>
      </c>
      <c r="J13" s="92">
        <f>(((Table134567891011121314151617343[[#This Row],[DEU]]-VLOOKUP($U$1,A:D,4,))/VLOOKUP($U$1,A:D,4,))*100)+100</f>
        <v>98.575732311723328</v>
      </c>
      <c r="K13" s="92">
        <f>(((Table134567891011121314151617343[[#This Row],[ESP]]-VLOOKUP($U$1,A:E,5,))/VLOOKUP($U$1,A:E,5,))*100)+100</f>
        <v>84.20965757456581</v>
      </c>
      <c r="L13" s="92">
        <f>(((Table134567891011121314151617343[[#This Row],[EA19]]-VLOOKUP($U$1,A:F,6,))/VLOOKUP($U$1,A:F,6,))*100)+100</f>
        <v>90.42259839727204</v>
      </c>
      <c r="M13" s="92">
        <f>(((Table134567891011121314151617343[[#This Row],[GBR]]-VLOOKUP($U$1,A:G,7,))/VLOOKUP($U$1,A:G,7,))*100)+100</f>
        <v>89.7643471106406</v>
      </c>
      <c r="N13" s="92">
        <f>VLOOKUP(A13,Database!$E:$AY,MATCH($N$1,Database!$E$1:$AY$1,0),FALSE)</f>
        <v>60.665210000000002</v>
      </c>
      <c r="O13" s="92">
        <f>(((Table134567891011121314151617343[[#This Row],[USA]]-VLOOKUP($U$1,A:N,14,))/VLOOKUP($U$1,A:N,14,))*100)+100</f>
        <v>70.286920027746234</v>
      </c>
      <c r="P13" s="92">
        <f>VLOOKUP(A13,Database!$E:$AY,MATCH($P$1,Database!$E$1:$AY$1,0),FALSE)</f>
        <v>106.88639999999999</v>
      </c>
      <c r="Q13" s="92">
        <f>(((Table134567891011121314151617343[[#This Row],[JPN]]-VLOOKUP($U$1,A:Q,16,))/VLOOKUP($U$1,A:Q,16,))*100)+100</f>
        <v>107.31175158977639</v>
      </c>
      <c r="W13" s="85" t="s">
        <v>176</v>
      </c>
    </row>
    <row r="14" spans="1:23" s="85" customFormat="1" x14ac:dyDescent="0.2">
      <c r="A14" s="22">
        <v>33239</v>
      </c>
      <c r="B14" s="92">
        <f>VLOOKUP(A14,Database!$E:$AY,MATCH($B$1,Database!$E$1:$AY$1,0),FALSE)</f>
        <v>111.0907</v>
      </c>
      <c r="C14" s="92">
        <f>VLOOKUP(A14,Database!$E:$AY,MATCH($C$1,Database!$E$1:$AY$1,0),FALSE)</f>
        <v>93.070779999999999</v>
      </c>
      <c r="D14" s="92">
        <f>VLOOKUP(A14,Database!$E:$AY,MATCH($D$1,Database!$E$1:$AY$1,0),FALSE)</f>
        <v>76.393630000000002</v>
      </c>
      <c r="E14" s="92">
        <f>VLOOKUP(A14,Database!$E:$AY,MATCH($E$1,Database!$E$1:$AY$1,0),FALSE)</f>
        <v>100.09690000000001</v>
      </c>
      <c r="F14" s="92">
        <f>VLOOKUP(A14,Database!$E:$AY,MATCH($F$1,Database!$E$1:$AY$1,0),FALSE)</f>
        <v>82.386269999999996</v>
      </c>
      <c r="G14" s="92">
        <f>VLOOKUP(A14,Database!$E:$AY,MATCH($G$1,Database!$E$1:$AY$1,0),FALSE)</f>
        <v>95.704520000000002</v>
      </c>
      <c r="H14" s="92">
        <f>(((Table134567891011121314151617343[[#This Row],[ITA]]-VLOOKUP($U$1,A:B,2,))/VLOOKUP($U$1,A:B,2,))*100)+100</f>
        <v>91.365072263403448</v>
      </c>
      <c r="I14" s="92">
        <f>(((Table134567891011121314151617343[[#This Row],[FRA]]-VLOOKUP($U$1,A:C,3,))/VLOOKUP($U$1,A:C,3,))*100)+100</f>
        <v>90.587857416082599</v>
      </c>
      <c r="J14" s="92">
        <f>(((Table134567891011121314151617343[[#This Row],[DEU]]-VLOOKUP($U$1,A:D,4,))/VLOOKUP($U$1,A:D,4,))*100)+100</f>
        <v>101.59574475159033</v>
      </c>
      <c r="K14" s="92">
        <f>(((Table134567891011121314151617343[[#This Row],[ESP]]-VLOOKUP($U$1,A:E,5,))/VLOOKUP($U$1,A:E,5,))*100)+100</f>
        <v>84.296314511626264</v>
      </c>
      <c r="L14" s="92">
        <f>(((Table134567891011121314151617343[[#This Row],[EA19]]-VLOOKUP($U$1,A:F,6,))/VLOOKUP($U$1,A:F,6,))*100)+100</f>
        <v>92.170026100546963</v>
      </c>
      <c r="M14" s="92">
        <f>(((Table134567891011121314151617343[[#This Row],[GBR]]-VLOOKUP($U$1,A:G,7,))/VLOOKUP($U$1,A:G,7,))*100)+100</f>
        <v>89.581532661082363</v>
      </c>
      <c r="N14" s="92">
        <f>VLOOKUP(A14,Database!$E:$AY,MATCH($N$1,Database!$E$1:$AY$1,0),FALSE)</f>
        <v>60.401829999999997</v>
      </c>
      <c r="O14" s="92">
        <f>(((Table134567891011121314151617343[[#This Row],[USA]]-VLOOKUP($U$1,A:N,14,))/VLOOKUP($U$1,A:N,14,))*100)+100</f>
        <v>69.981767057915448</v>
      </c>
      <c r="P14" s="92">
        <f>VLOOKUP(A14,Database!$E:$AY,MATCH($P$1,Database!$E$1:$AY$1,0),FALSE)</f>
        <v>107.5962</v>
      </c>
      <c r="Q14" s="92">
        <f>(((Table134567891011121314151617343[[#This Row],[JPN]]-VLOOKUP($U$1,A:Q,16,))/VLOOKUP($U$1,A:Q,16,))*100)+100</f>
        <v>108.02437622002331</v>
      </c>
      <c r="W14" s="85" t="s">
        <v>190</v>
      </c>
    </row>
    <row r="15" spans="1:23" s="85" customFormat="1" x14ac:dyDescent="0.2">
      <c r="A15" s="22">
        <v>33270</v>
      </c>
      <c r="B15" s="92">
        <f>VLOOKUP(A15,Database!$E:$AY,MATCH($B$1,Database!$E$1:$AY$1,0),FALSE)</f>
        <v>108.9909</v>
      </c>
      <c r="C15" s="92">
        <f>VLOOKUP(A15,Database!$E:$AY,MATCH($C$1,Database!$E$1:$AY$1,0),FALSE)</f>
        <v>92.660769999999999</v>
      </c>
      <c r="D15" s="92">
        <f>VLOOKUP(A15,Database!$E:$AY,MATCH($D$1,Database!$E$1:$AY$1,0),FALSE)</f>
        <v>75.493709999999993</v>
      </c>
      <c r="E15" s="92">
        <f>VLOOKUP(A15,Database!$E:$AY,MATCH($E$1,Database!$E$1:$AY$1,0),FALSE)</f>
        <v>98.506900000000002</v>
      </c>
      <c r="F15" s="92">
        <f>VLOOKUP(A15,Database!$E:$AY,MATCH($F$1,Database!$E$1:$AY$1,0),FALSE)</f>
        <v>81.486419999999995</v>
      </c>
      <c r="G15" s="92">
        <f>VLOOKUP(A15,Database!$E:$AY,MATCH($G$1,Database!$E$1:$AY$1,0),FALSE)</f>
        <v>95.606859999999998</v>
      </c>
      <c r="H15" s="92">
        <f>(((Table134567891011121314151617343[[#This Row],[ITA]]-VLOOKUP($U$1,A:B,2,))/VLOOKUP($U$1,A:B,2,))*100)+100</f>
        <v>89.638119613553428</v>
      </c>
      <c r="I15" s="92">
        <f>(((Table134567891011121314151617343[[#This Row],[FRA]]-VLOOKUP($U$1,A:C,3,))/VLOOKUP($U$1,A:C,3,))*100)+100</f>
        <v>90.188785576143488</v>
      </c>
      <c r="J15" s="92">
        <f>(((Table134567891011121314151617343[[#This Row],[DEU]]-VLOOKUP($U$1,A:D,4,))/VLOOKUP($U$1,A:D,4,))*100)+100</f>
        <v>100.39894283738816</v>
      </c>
      <c r="K15" s="92">
        <f>(((Table134567891011121314151617343[[#This Row],[ESP]]-VLOOKUP($U$1,A:E,5,))/VLOOKUP($U$1,A:E,5,))*100)+100</f>
        <v>82.957300615356885</v>
      </c>
      <c r="L15" s="92">
        <f>(((Table134567891011121314151617343[[#This Row],[EA19]]-VLOOKUP($U$1,A:F,6,))/VLOOKUP($U$1,A:F,6,))*100)+100</f>
        <v>91.163314691150987</v>
      </c>
      <c r="M15" s="92">
        <f>(((Table134567891011121314151617343[[#This Row],[GBR]]-VLOOKUP($U$1,A:G,7,))/VLOOKUP($U$1,A:G,7,))*100)+100</f>
        <v>89.49012075619342</v>
      </c>
      <c r="N15" s="92">
        <f>VLOOKUP(A15,Database!$E:$AY,MATCH($N$1,Database!$E$1:$AY$1,0),FALSE)</f>
        <v>59.980170000000001</v>
      </c>
      <c r="O15" s="92">
        <f>(((Table134567891011121314151617343[[#This Row],[USA]]-VLOOKUP($U$1,A:N,14,))/VLOOKUP($U$1,A:N,14,))*100)+100</f>
        <v>69.49323033812334</v>
      </c>
      <c r="P15" s="92">
        <f>VLOOKUP(A15,Database!$E:$AY,MATCH($P$1,Database!$E$1:$AY$1,0),FALSE)</f>
        <v>108.00190000000001</v>
      </c>
      <c r="Q15" s="92">
        <f>(((Table134567891011121314151617343[[#This Row],[JPN]]-VLOOKUP($U$1,A:Q,16,))/VLOOKUP($U$1,A:Q,16,))*100)+100</f>
        <v>108.43169069239747</v>
      </c>
      <c r="W15" s="85" t="s">
        <v>206</v>
      </c>
    </row>
    <row r="16" spans="1:23" s="85" customFormat="1" x14ac:dyDescent="0.2">
      <c r="A16" s="22">
        <v>33298</v>
      </c>
      <c r="B16" s="92">
        <f>VLOOKUP(A16,Database!$E:$AY,MATCH($B$1,Database!$E$1:$AY$1,0),FALSE)</f>
        <v>108.39100000000001</v>
      </c>
      <c r="C16" s="92">
        <f>VLOOKUP(A16,Database!$E:$AY,MATCH($C$1,Database!$E$1:$AY$1,0),FALSE)</f>
        <v>91.520759999999996</v>
      </c>
      <c r="D16" s="92">
        <f>VLOOKUP(A16,Database!$E:$AY,MATCH($D$1,Database!$E$1:$AY$1,0),FALSE)</f>
        <v>74.993750000000006</v>
      </c>
      <c r="E16" s="92">
        <f>VLOOKUP(A16,Database!$E:$AY,MATCH($E$1,Database!$E$1:$AY$1,0),FALSE)</f>
        <v>95.078100000000006</v>
      </c>
      <c r="F16" s="92">
        <f>VLOOKUP(A16,Database!$E:$AY,MATCH($F$1,Database!$E$1:$AY$1,0),FALSE)</f>
        <v>80.686549999999997</v>
      </c>
      <c r="G16" s="92">
        <f>VLOOKUP(A16,Database!$E:$AY,MATCH($G$1,Database!$E$1:$AY$1,0),FALSE)</f>
        <v>94.630290000000002</v>
      </c>
      <c r="H16" s="92">
        <f>(((Table134567891011121314151617343[[#This Row],[ITA]]-VLOOKUP($U$1,A:B,2,))/VLOOKUP($U$1,A:B,2,))*100)+100</f>
        <v>89.144739818027659</v>
      </c>
      <c r="I16" s="92">
        <f>(((Table134567891011121314151617343[[#This Row],[FRA]]-VLOOKUP($U$1,A:C,3,))/VLOOKUP($U$1,A:C,3,))*100)+100</f>
        <v>89.079188521805818</v>
      </c>
      <c r="J16" s="92">
        <f>(((Table134567891011121314151617343[[#This Row],[DEU]]-VLOOKUP($U$1,A:D,4,))/VLOOKUP($U$1,A:D,4,))*100)+100</f>
        <v>99.734046974395341</v>
      </c>
      <c r="K16" s="92">
        <f>(((Table134567891011121314151617343[[#This Row],[ESP]]-VLOOKUP($U$1,A:E,5,))/VLOOKUP($U$1,A:E,5,))*100)+100</f>
        <v>80.069746623200643</v>
      </c>
      <c r="L16" s="92">
        <f>(((Table134567891011121314151617343[[#This Row],[EA19]]-VLOOKUP($U$1,A:F,6,))/VLOOKUP($U$1,A:F,6,))*100)+100</f>
        <v>90.268456375838923</v>
      </c>
      <c r="M16" s="92">
        <f>(((Table134567891011121314151617343[[#This Row],[GBR]]-VLOOKUP($U$1,A:G,7,))/VLOOKUP($U$1,A:G,7,))*100)+100</f>
        <v>88.576029787962952</v>
      </c>
      <c r="N16" s="92">
        <f>VLOOKUP(A16,Database!$E:$AY,MATCH($N$1,Database!$E$1:$AY$1,0),FALSE)</f>
        <v>59.665889999999997</v>
      </c>
      <c r="O16" s="92">
        <f>(((Table134567891011121314151617343[[#This Row],[USA]]-VLOOKUP($U$1,A:N,14,))/VLOOKUP($U$1,A:N,14,))*100)+100</f>
        <v>69.129104454007546</v>
      </c>
      <c r="P16" s="92">
        <f>VLOOKUP(A16,Database!$E:$AY,MATCH($P$1,Database!$E$1:$AY$1,0),FALSE)</f>
        <v>106.98779999999999</v>
      </c>
      <c r="Q16" s="92">
        <f>(((Table134567891011121314151617343[[#This Row],[JPN]]-VLOOKUP($U$1,A:Q,16,))/VLOOKUP($U$1,A:Q,16,))*100)+100</f>
        <v>107.41355510838309</v>
      </c>
      <c r="W16" s="85" t="s">
        <v>214</v>
      </c>
    </row>
    <row r="17" spans="1:23" s="85" customFormat="1" x14ac:dyDescent="0.2">
      <c r="A17" s="22">
        <v>33329</v>
      </c>
      <c r="B17" s="92">
        <f>VLOOKUP(A17,Database!$E:$AY,MATCH($B$1,Database!$E$1:$AY$1,0),FALSE)</f>
        <v>107.39109999999999</v>
      </c>
      <c r="C17" s="92">
        <f>VLOOKUP(A17,Database!$E:$AY,MATCH($C$1,Database!$E$1:$AY$1,0),FALSE)</f>
        <v>91.50076</v>
      </c>
      <c r="D17" s="92">
        <f>VLOOKUP(A17,Database!$E:$AY,MATCH($D$1,Database!$E$1:$AY$1,0),FALSE)</f>
        <v>74.393799999999999</v>
      </c>
      <c r="E17" s="92">
        <f>VLOOKUP(A17,Database!$E:$AY,MATCH($E$1,Database!$E$1:$AY$1,0),FALSE)</f>
        <v>102.17100000000001</v>
      </c>
      <c r="F17" s="92">
        <f>VLOOKUP(A17,Database!$E:$AY,MATCH($F$1,Database!$E$1:$AY$1,0),FALSE)</f>
        <v>80.186639999999997</v>
      </c>
      <c r="G17" s="92">
        <f>VLOOKUP(A17,Database!$E:$AY,MATCH($G$1,Database!$E$1:$AY$1,0),FALSE)</f>
        <v>93.360730000000004</v>
      </c>
      <c r="H17" s="92">
        <f>(((Table134567891011121314151617343[[#This Row],[ITA]]-VLOOKUP($U$1,A:B,2,))/VLOOKUP($U$1,A:B,2,))*100)+100</f>
        <v>88.322385329702541</v>
      </c>
      <c r="I17" s="92">
        <f>(((Table134567891011121314151617343[[#This Row],[FRA]]-VLOOKUP($U$1,A:C,3,))/VLOOKUP($U$1,A:C,3,))*100)+100</f>
        <v>89.059722077575728</v>
      </c>
      <c r="J17" s="92">
        <f>(((Table134567891011121314151617343[[#This Row],[DEU]]-VLOOKUP($U$1,A:D,4,))/VLOOKUP($U$1,A:D,4,))*100)+100</f>
        <v>98.936174598600175</v>
      </c>
      <c r="K17" s="92">
        <f>(((Table134567891011121314151617343[[#This Row],[ESP]]-VLOOKUP($U$1,A:E,5,))/VLOOKUP($U$1,A:E,5,))*100)+100</f>
        <v>86.043011821218911</v>
      </c>
      <c r="L17" s="92">
        <f>(((Table134567891011121314151617343[[#This Row],[EA19]]-VLOOKUP($U$1,A:F,6,))/VLOOKUP($U$1,A:F,6,))*100)+100</f>
        <v>89.709179717872445</v>
      </c>
      <c r="M17" s="92">
        <f>(((Table134567891011121314151617343[[#This Row],[GBR]]-VLOOKUP($U$1,A:G,7,))/VLOOKUP($U$1,A:G,7,))*100)+100</f>
        <v>87.387693744846032</v>
      </c>
      <c r="N17" s="92">
        <f>VLOOKUP(A17,Database!$E:$AY,MATCH($N$1,Database!$E$1:$AY$1,0),FALSE)</f>
        <v>59.783549999999998</v>
      </c>
      <c r="O17" s="92">
        <f>(((Table134567891011121314151617343[[#This Row],[USA]]-VLOOKUP($U$1,A:N,14,))/VLOOKUP($U$1,A:N,14,))*100)+100</f>
        <v>69.265425732883273</v>
      </c>
      <c r="P17" s="92">
        <f>VLOOKUP(A17,Database!$E:$AY,MATCH($P$1,Database!$E$1:$AY$1,0),FALSE)</f>
        <v>107.3934</v>
      </c>
      <c r="Q17" s="92">
        <f>(((Table134567891011121314151617343[[#This Row],[JPN]]-VLOOKUP($U$1,A:Q,16,))/VLOOKUP($U$1,A:Q,16,))*100)+100</f>
        <v>107.82076918280991</v>
      </c>
      <c r="W17" s="85" t="s">
        <v>220</v>
      </c>
    </row>
    <row r="18" spans="1:23" s="85" customFormat="1" x14ac:dyDescent="0.2">
      <c r="A18" s="22">
        <v>33359</v>
      </c>
      <c r="B18" s="92">
        <f>VLOOKUP(A18,Database!$E:$AY,MATCH($B$1,Database!$E$1:$AY$1,0),FALSE)</f>
        <v>108.6909</v>
      </c>
      <c r="C18" s="92">
        <f>VLOOKUP(A18,Database!$E:$AY,MATCH($C$1,Database!$E$1:$AY$1,0),FALSE)</f>
        <v>91.610759999999999</v>
      </c>
      <c r="D18" s="92">
        <f>VLOOKUP(A18,Database!$E:$AY,MATCH($D$1,Database!$E$1:$AY$1,0),FALSE)</f>
        <v>73.193899999999999</v>
      </c>
      <c r="E18" s="92">
        <f>VLOOKUP(A18,Database!$E:$AY,MATCH($E$1,Database!$E$1:$AY$1,0),FALSE)</f>
        <v>97.14085</v>
      </c>
      <c r="F18" s="92">
        <f>VLOOKUP(A18,Database!$E:$AY,MATCH($F$1,Database!$E$1:$AY$1,0),FALSE)</f>
        <v>80.086650000000006</v>
      </c>
      <c r="G18" s="92">
        <f>VLOOKUP(A18,Database!$E:$AY,MATCH($G$1,Database!$E$1:$AY$1,0),FALSE)</f>
        <v>94.434970000000007</v>
      </c>
      <c r="H18" s="92">
        <f>(((Table134567891011121314151617343[[#This Row],[ITA]]-VLOOKUP($U$1,A:B,2,))/VLOOKUP($U$1,A:B,2,))*100)+100</f>
        <v>89.391388593953934</v>
      </c>
      <c r="I18" s="92">
        <f>(((Table134567891011121314151617343[[#This Row],[FRA]]-VLOOKUP($U$1,A:C,3,))/VLOOKUP($U$1,A:C,3,))*100)+100</f>
        <v>89.166787520841268</v>
      </c>
      <c r="J18" s="92">
        <f>(((Table134567891011121314151617343[[#This Row],[DEU]]-VLOOKUP($U$1,A:D,4,))/VLOOKUP($U$1,A:D,4,))*100)+100</f>
        <v>97.340429847009844</v>
      </c>
      <c r="K18" s="92">
        <f>(((Table134567891011121314151617343[[#This Row],[ESP]]-VLOOKUP($U$1,A:E,5,))/VLOOKUP($U$1,A:E,5,))*100)+100</f>
        <v>81.806885563156399</v>
      </c>
      <c r="L18" s="92">
        <f>(((Table134567891011121314151617343[[#This Row],[EA19]]-VLOOKUP($U$1,A:F,6,))/VLOOKUP($U$1,A:F,6,))*100)+100</f>
        <v>89.597315436241615</v>
      </c>
      <c r="M18" s="92">
        <f>(((Table134567891011121314151617343[[#This Row],[GBR]]-VLOOKUP($U$1,A:G,7,))/VLOOKUP($U$1,A:G,7,))*100)+100</f>
        <v>88.39320597818508</v>
      </c>
      <c r="N18" s="92">
        <f>VLOOKUP(A18,Database!$E:$AY,MATCH($N$1,Database!$E$1:$AY$1,0),FALSE)</f>
        <v>60.38205</v>
      </c>
      <c r="O18" s="92">
        <f>(((Table134567891011121314151617343[[#This Row],[USA]]-VLOOKUP($U$1,A:N,14,))/VLOOKUP($U$1,A:N,14,))*100)+100</f>
        <v>69.958849882187408</v>
      </c>
      <c r="P18" s="92">
        <f>VLOOKUP(A18,Database!$E:$AY,MATCH($P$1,Database!$E$1:$AY$1,0),FALSE)</f>
        <v>108.5089</v>
      </c>
      <c r="Q18" s="92">
        <f>(((Table134567891011121314151617343[[#This Row],[JPN]]-VLOOKUP($U$1,A:Q,16,))/VLOOKUP($U$1,A:Q,16,))*100)+100</f>
        <v>108.94070828543096</v>
      </c>
      <c r="W18" s="85" t="s">
        <v>222</v>
      </c>
    </row>
    <row r="19" spans="1:23" s="85" customFormat="1" x14ac:dyDescent="0.2">
      <c r="A19" s="22">
        <v>33390</v>
      </c>
      <c r="B19" s="92">
        <f>VLOOKUP(A19,Database!$E:$AY,MATCH($B$1,Database!$E$1:$AY$1,0),FALSE)</f>
        <v>109.0909</v>
      </c>
      <c r="C19" s="92">
        <f>VLOOKUP(A19,Database!$E:$AY,MATCH($C$1,Database!$E$1:$AY$1,0),FALSE)</f>
        <v>91.970759999999999</v>
      </c>
      <c r="D19" s="92">
        <f>VLOOKUP(A19,Database!$E:$AY,MATCH($D$1,Database!$E$1:$AY$1,0),FALSE)</f>
        <v>76.393630000000002</v>
      </c>
      <c r="E19" s="92">
        <f>VLOOKUP(A19,Database!$E:$AY,MATCH($E$1,Database!$E$1:$AY$1,0),FALSE)</f>
        <v>100.1859</v>
      </c>
      <c r="F19" s="92">
        <f>VLOOKUP(A19,Database!$E:$AY,MATCH($F$1,Database!$E$1:$AY$1,0),FALSE)</f>
        <v>81.686390000000003</v>
      </c>
      <c r="G19" s="92">
        <f>VLOOKUP(A19,Database!$E:$AY,MATCH($G$1,Database!$E$1:$AY$1,0),FALSE)</f>
        <v>94.825599999999994</v>
      </c>
      <c r="H19" s="92">
        <f>(((Table134567891011121314151617343[[#This Row],[ITA]]-VLOOKUP($U$1,A:B,2,))/VLOOKUP($U$1,A:B,2,))*100)+100</f>
        <v>89.720363286753269</v>
      </c>
      <c r="I19" s="92">
        <f>(((Table134567891011121314151617343[[#This Row],[FRA]]-VLOOKUP($U$1,A:C,3,))/VLOOKUP($U$1,A:C,3,))*100)+100</f>
        <v>89.51718351698301</v>
      </c>
      <c r="J19" s="92">
        <f>(((Table134567891011121314151617343[[#This Row],[DEU]]-VLOOKUP($U$1,A:D,4,))/VLOOKUP($U$1,A:D,4,))*100)+100</f>
        <v>101.59574475159033</v>
      </c>
      <c r="K19" s="92">
        <f>(((Table134567891011121314151617343[[#This Row],[ESP]]-VLOOKUP($U$1,A:E,5,))/VLOOKUP($U$1,A:E,5,))*100)+100</f>
        <v>84.371265603933168</v>
      </c>
      <c r="L19" s="92">
        <f>(((Table134567891011121314151617343[[#This Row],[EA19]]-VLOOKUP($U$1,A:F,6,))/VLOOKUP($U$1,A:F,6,))*100)+100</f>
        <v>91.387032066865743</v>
      </c>
      <c r="M19" s="92">
        <f>(((Table134567891011121314151617343[[#This Row],[GBR]]-VLOOKUP($U$1,A:G,7,))/VLOOKUP($U$1,A:G,7,))*100)+100</f>
        <v>88.758844237521188</v>
      </c>
      <c r="N19" s="92">
        <f>VLOOKUP(A19,Database!$E:$AY,MATCH($N$1,Database!$E$1:$AY$1,0),FALSE)</f>
        <v>60.932029999999997</v>
      </c>
      <c r="O19" s="92">
        <f>(((Table134567891011121314151617343[[#This Row],[USA]]-VLOOKUP($U$1,A:N,14,))/VLOOKUP($U$1,A:N,14,))*100)+100</f>
        <v>70.596058593355792</v>
      </c>
      <c r="P19" s="92">
        <f>VLOOKUP(A19,Database!$E:$AY,MATCH($P$1,Database!$E$1:$AY$1,0),FALSE)</f>
        <v>105.3652</v>
      </c>
      <c r="Q19" s="92">
        <f>(((Table134567891011121314151617343[[#This Row],[JPN]]-VLOOKUP($U$1,A:Q,16,))/VLOOKUP($U$1,A:Q,16,))*100)+100</f>
        <v>105.78449801478119</v>
      </c>
      <c r="W19" s="85" t="s">
        <v>224</v>
      </c>
    </row>
    <row r="20" spans="1:23" s="85" customFormat="1" x14ac:dyDescent="0.2">
      <c r="A20" s="22">
        <v>33420</v>
      </c>
      <c r="B20" s="92">
        <f>VLOOKUP(A20,Database!$E:$AY,MATCH($B$1,Database!$E$1:$AY$1,0),FALSE)</f>
        <v>109.0909</v>
      </c>
      <c r="C20" s="92">
        <f>VLOOKUP(A20,Database!$E:$AY,MATCH($C$1,Database!$E$1:$AY$1,0),FALSE)</f>
        <v>90.430760000000006</v>
      </c>
      <c r="D20" s="92">
        <f>VLOOKUP(A20,Database!$E:$AY,MATCH($D$1,Database!$E$1:$AY$1,0),FALSE)</f>
        <v>74.193820000000002</v>
      </c>
      <c r="E20" s="92">
        <f>VLOOKUP(A20,Database!$E:$AY,MATCH($E$1,Database!$E$1:$AY$1,0),FALSE)</f>
        <v>97.733320000000006</v>
      </c>
      <c r="F20" s="92">
        <f>VLOOKUP(A20,Database!$E:$AY,MATCH($F$1,Database!$E$1:$AY$1,0),FALSE)</f>
        <v>80.086650000000006</v>
      </c>
      <c r="G20" s="92">
        <f>VLOOKUP(A20,Database!$E:$AY,MATCH($G$1,Database!$E$1:$AY$1,0),FALSE)</f>
        <v>93.946680000000001</v>
      </c>
      <c r="H20" s="92">
        <f>(((Table134567891011121314151617343[[#This Row],[ITA]]-VLOOKUP($U$1,A:B,2,))/VLOOKUP($U$1,A:B,2,))*100)+100</f>
        <v>89.720363286753269</v>
      </c>
      <c r="I20" s="92">
        <f>(((Table134567891011121314151617343[[#This Row],[FRA]]-VLOOKUP($U$1,A:C,3,))/VLOOKUP($U$1,A:C,3,))*100)+100</f>
        <v>88.018267311265532</v>
      </c>
      <c r="J20" s="92">
        <f>(((Table134567891011121314151617343[[#This Row],[DEU]]-VLOOKUP($U$1,A:D,4,))/VLOOKUP($U$1,A:D,4,))*100)+100</f>
        <v>98.670221572995516</v>
      </c>
      <c r="K20" s="92">
        <f>(((Table134567891011121314151617343[[#This Row],[ESP]]-VLOOKUP($U$1,A:E,5,))/VLOOKUP($U$1,A:E,5,))*100)+100</f>
        <v>82.305832458202133</v>
      </c>
      <c r="L20" s="92">
        <f>(((Table134567891011121314151617343[[#This Row],[EA19]]-VLOOKUP($U$1,A:F,6,))/VLOOKUP($U$1,A:F,6,))*100)+100</f>
        <v>89.597315436241615</v>
      </c>
      <c r="M20" s="92">
        <f>(((Table134567891011121314151617343[[#This Row],[GBR]]-VLOOKUP($U$1,A:G,7,))/VLOOKUP($U$1,A:G,7,))*100)+100</f>
        <v>87.936155813960028</v>
      </c>
      <c r="N20" s="92">
        <f>VLOOKUP(A20,Database!$E:$AY,MATCH($N$1,Database!$E$1:$AY$1,0),FALSE)</f>
        <v>61.004649999999998</v>
      </c>
      <c r="O20" s="92">
        <f>(((Table134567891011121314151617343[[#This Row],[USA]]-VLOOKUP($U$1,A:N,14,))/VLOOKUP($U$1,A:N,14,))*100)+100</f>
        <v>70.680196374011544</v>
      </c>
      <c r="P20" s="92">
        <f>VLOOKUP(A20,Database!$E:$AY,MATCH($P$1,Database!$E$1:$AY$1,0),FALSE)</f>
        <v>107.69759999999999</v>
      </c>
      <c r="Q20" s="92">
        <f>(((Table134567891011121314151617343[[#This Row],[JPN]]-VLOOKUP($U$1,A:Q,16,))/VLOOKUP($U$1,A:Q,16,))*100)+100</f>
        <v>108.12617973863001</v>
      </c>
      <c r="W20" s="85" t="s">
        <v>230</v>
      </c>
    </row>
    <row r="21" spans="1:23" s="85" customFormat="1" x14ac:dyDescent="0.2">
      <c r="A21" s="22">
        <v>33451</v>
      </c>
      <c r="B21" s="92">
        <f>VLOOKUP(A21,Database!$E:$AY,MATCH($B$1,Database!$E$1:$AY$1,0),FALSE)</f>
        <v>109.6909</v>
      </c>
      <c r="C21" s="92">
        <f>VLOOKUP(A21,Database!$E:$AY,MATCH($C$1,Database!$E$1:$AY$1,0),FALSE)</f>
        <v>91.380759999999995</v>
      </c>
      <c r="D21" s="92">
        <f>VLOOKUP(A21,Database!$E:$AY,MATCH($D$1,Database!$E$1:$AY$1,0),FALSE)</f>
        <v>72.993920000000003</v>
      </c>
      <c r="E21" s="92">
        <f>VLOOKUP(A21,Database!$E:$AY,MATCH($E$1,Database!$E$1:$AY$1,0),FALSE)</f>
        <v>97.506550000000004</v>
      </c>
      <c r="F21" s="92">
        <f>VLOOKUP(A21,Database!$E:$AY,MATCH($F$1,Database!$E$1:$AY$1,0),FALSE)</f>
        <v>80.086650000000006</v>
      </c>
      <c r="G21" s="92">
        <f>VLOOKUP(A21,Database!$E:$AY,MATCH($G$1,Database!$E$1:$AY$1,0),FALSE)</f>
        <v>93.067760000000007</v>
      </c>
      <c r="H21" s="92">
        <f>(((Table134567891011121314151617343[[#This Row],[ITA]]-VLOOKUP($U$1,A:B,2,))/VLOOKUP($U$1,A:B,2,))*100)+100</f>
        <v>90.213825325952243</v>
      </c>
      <c r="I21" s="92">
        <f>(((Table134567891011121314151617343[[#This Row],[FRA]]-VLOOKUP($U$1,A:C,3,))/VLOOKUP($U$1,A:C,3,))*100)+100</f>
        <v>88.942923412195142</v>
      </c>
      <c r="J21" s="92">
        <f>(((Table134567891011121314151617343[[#This Row],[DEU]]-VLOOKUP($U$1,A:D,4,))/VLOOKUP($U$1,A:D,4,))*100)+100</f>
        <v>97.074476821405185</v>
      </c>
      <c r="K21" s="92">
        <f>(((Table134567891011121314151617343[[#This Row],[ESP]]-VLOOKUP($U$1,A:E,5,))/VLOOKUP($U$1,A:E,5,))*100)+100</f>
        <v>82.114858759298357</v>
      </c>
      <c r="L21" s="92">
        <f>(((Table134567891011121314151617343[[#This Row],[EA19]]-VLOOKUP($U$1,A:F,6,))/VLOOKUP($U$1,A:F,6,))*100)+100</f>
        <v>89.597315436241615</v>
      </c>
      <c r="M21" s="92">
        <f>(((Table134567891011121314151617343[[#This Row],[GBR]]-VLOOKUP($U$1,A:G,7,))/VLOOKUP($U$1,A:G,7,))*100)+100</f>
        <v>87.113467390398853</v>
      </c>
      <c r="N21" s="92">
        <f>VLOOKUP(A21,Database!$E:$AY,MATCH($N$1,Database!$E$1:$AY$1,0),FALSE)</f>
        <v>61.056800000000003</v>
      </c>
      <c r="O21" s="92">
        <f>(((Table134567891011121314151617343[[#This Row],[USA]]-VLOOKUP($U$1,A:N,14,))/VLOOKUP($U$1,A:N,14,))*100)+100</f>
        <v>70.740617542576643</v>
      </c>
      <c r="P21" s="92">
        <f>VLOOKUP(A21,Database!$E:$AY,MATCH($P$1,Database!$E$1:$AY$1,0),FALSE)</f>
        <v>105.97369999999999</v>
      </c>
      <c r="Q21" s="92">
        <f>(((Table134567891011121314151617343[[#This Row],[JPN]]-VLOOKUP($U$1,A:Q,16,))/VLOOKUP($U$1,A:Q,16,))*100)+100</f>
        <v>106.39541952436873</v>
      </c>
      <c r="W21" s="85" t="s">
        <v>537</v>
      </c>
    </row>
    <row r="22" spans="1:23" s="85" customFormat="1" x14ac:dyDescent="0.2">
      <c r="A22" s="22">
        <v>33482</v>
      </c>
      <c r="B22" s="92">
        <f>VLOOKUP(A22,Database!$E:$AY,MATCH($B$1,Database!$E$1:$AY$1,0),FALSE)</f>
        <v>110.8908</v>
      </c>
      <c r="C22" s="92">
        <f>VLOOKUP(A22,Database!$E:$AY,MATCH($C$1,Database!$E$1:$AY$1,0),FALSE)</f>
        <v>91.690770000000001</v>
      </c>
      <c r="D22" s="92">
        <f>VLOOKUP(A22,Database!$E:$AY,MATCH($D$1,Database!$E$1:$AY$1,0),FALSE)</f>
        <v>72.793930000000003</v>
      </c>
      <c r="E22" s="92">
        <f>VLOOKUP(A22,Database!$E:$AY,MATCH($E$1,Database!$E$1:$AY$1,0),FALSE)</f>
        <v>99.945480000000003</v>
      </c>
      <c r="F22" s="92">
        <f>VLOOKUP(A22,Database!$E:$AY,MATCH($F$1,Database!$E$1:$AY$1,0),FALSE)</f>
        <v>80.286619999999999</v>
      </c>
      <c r="G22" s="92">
        <f>VLOOKUP(A22,Database!$E:$AY,MATCH($G$1,Database!$E$1:$AY$1,0),FALSE)</f>
        <v>93.165419999999997</v>
      </c>
      <c r="H22" s="92">
        <f>(((Table134567891011121314151617343[[#This Row],[ITA]]-VLOOKUP($U$1,A:B,2,))/VLOOKUP($U$1,A:B,2,))*100)+100</f>
        <v>91.200667160677</v>
      </c>
      <c r="I22" s="92">
        <f>(((Table134567891011121314151617343[[#This Row],[FRA]]-VLOOKUP($U$1,A:C,3,))/VLOOKUP($U$1,A:C,3,))*100)+100</f>
        <v>89.244663030983773</v>
      </c>
      <c r="J22" s="92">
        <f>(((Table134567891011121314151617343[[#This Row],[DEU]]-VLOOKUP($U$1,A:D,4,))/VLOOKUP($U$1,A:D,4,))*100)+100</f>
        <v>96.808510496819352</v>
      </c>
      <c r="K22" s="92">
        <f>(((Table134567891011121314151617343[[#This Row],[ESP]]-VLOOKUP($U$1,A:E,5,))/VLOOKUP($U$1,A:E,5,))*100)+100</f>
        <v>84.16879659705198</v>
      </c>
      <c r="L22" s="92">
        <f>(((Table134567891011121314151617343[[#This Row],[EA19]]-VLOOKUP($U$1,A:F,6,))/VLOOKUP($U$1,A:F,6,))*100)+100</f>
        <v>89.821032811956357</v>
      </c>
      <c r="M22" s="92">
        <f>(((Table134567891011121314151617343[[#This Row],[GBR]]-VLOOKUP($U$1,A:G,7,))/VLOOKUP($U$1,A:G,7,))*100)+100</f>
        <v>87.204879295287782</v>
      </c>
      <c r="N22" s="92">
        <f>VLOOKUP(A22,Database!$E:$AY,MATCH($N$1,Database!$E$1:$AY$1,0),FALSE)</f>
        <v>61.600360000000002</v>
      </c>
      <c r="O22" s="92">
        <f>(((Table134567891011121314151617343[[#This Row],[USA]]-VLOOKUP($U$1,A:N,14,))/VLOOKUP($U$1,A:N,14,))*100)+100</f>
        <v>71.37038801976253</v>
      </c>
      <c r="P22" s="92">
        <f>VLOOKUP(A22,Database!$E:$AY,MATCH($P$1,Database!$E$1:$AY$1,0),FALSE)</f>
        <v>106.07510000000001</v>
      </c>
      <c r="Q22" s="92">
        <f>(((Table134567891011121314151617343[[#This Row],[JPN]]-VLOOKUP($U$1,A:Q,16,))/VLOOKUP($U$1,A:Q,16,))*100)+100</f>
        <v>106.49722304297545</v>
      </c>
      <c r="W22" s="85" t="s">
        <v>264</v>
      </c>
    </row>
    <row r="23" spans="1:23" s="85" customFormat="1" x14ac:dyDescent="0.2">
      <c r="A23" s="22">
        <v>33512</v>
      </c>
      <c r="B23" s="92">
        <f>VLOOKUP(A23,Database!$E:$AY,MATCH($B$1,Database!$E$1:$AY$1,0),FALSE)</f>
        <v>110.1908</v>
      </c>
      <c r="C23" s="92">
        <f>VLOOKUP(A23,Database!$E:$AY,MATCH($C$1,Database!$E$1:$AY$1,0),FALSE)</f>
        <v>91.260760000000005</v>
      </c>
      <c r="D23" s="92">
        <f>VLOOKUP(A23,Database!$E:$AY,MATCH($D$1,Database!$E$1:$AY$1,0),FALSE)</f>
        <v>73.893839999999997</v>
      </c>
      <c r="E23" s="92">
        <f>VLOOKUP(A23,Database!$E:$AY,MATCH($E$1,Database!$E$1:$AY$1,0),FALSE)</f>
        <v>100.5453</v>
      </c>
      <c r="F23" s="92">
        <f>VLOOKUP(A23,Database!$E:$AY,MATCH($F$1,Database!$E$1:$AY$1,0),FALSE)</f>
        <v>80.586569999999995</v>
      </c>
      <c r="G23" s="92">
        <f>VLOOKUP(A23,Database!$E:$AY,MATCH($G$1,Database!$E$1:$AY$1,0),FALSE)</f>
        <v>94.337310000000002</v>
      </c>
      <c r="H23" s="92">
        <f>(((Table134567891011121314151617343[[#This Row],[ITA]]-VLOOKUP($U$1,A:B,2,))/VLOOKUP($U$1,A:B,2,))*100)+100</f>
        <v>90.624961448278185</v>
      </c>
      <c r="I23" s="92">
        <f>(((Table134567891011121314151617343[[#This Row],[FRA]]-VLOOKUP($U$1,A:C,3,))/VLOOKUP($U$1,A:C,3,))*100)+100</f>
        <v>88.826124746814571</v>
      </c>
      <c r="J23" s="92">
        <f>(((Table134567891011121314151617343[[#This Row],[DEU]]-VLOOKUP($U$1,A:D,4,))/VLOOKUP($U$1,A:D,4,))*100)+100</f>
        <v>98.271278735607339</v>
      </c>
      <c r="K23" s="92">
        <f>(((Table134567891011121314151617343[[#This Row],[ESP]]-VLOOKUP($U$1,A:E,5,))/VLOOKUP($U$1,A:E,5,))*100)+100</f>
        <v>84.673933273316308</v>
      </c>
      <c r="L23" s="92">
        <f>(((Table134567891011121314151617343[[#This Row],[EA19]]-VLOOKUP($U$1,A:F,6,))/VLOOKUP($U$1,A:F,6,))*100)+100</f>
        <v>90.156603281755011</v>
      </c>
      <c r="M23" s="92">
        <f>(((Table134567891011121314151617343[[#This Row],[GBR]]-VLOOKUP($U$1,A:G,7,))/VLOOKUP($U$1,A:G,7,))*100)+100</f>
        <v>88.301794073296136</v>
      </c>
      <c r="N23" s="92">
        <f>VLOOKUP(A23,Database!$E:$AY,MATCH($N$1,Database!$E$1:$AY$1,0),FALSE)</f>
        <v>61.493070000000003</v>
      </c>
      <c r="O23" s="92">
        <f>(((Table134567891011121314151617343[[#This Row],[USA]]-VLOOKUP($U$1,A:N,14,))/VLOOKUP($U$1,A:N,14,))*100)+100</f>
        <v>71.246081458394372</v>
      </c>
      <c r="P23" s="92">
        <f>VLOOKUP(A23,Database!$E:$AY,MATCH($P$1,Database!$E$1:$AY$1,0),FALSE)</f>
        <v>105.3652</v>
      </c>
      <c r="Q23" s="92">
        <f>(((Table134567891011121314151617343[[#This Row],[JPN]]-VLOOKUP($U$1,A:Q,16,))/VLOOKUP($U$1,A:Q,16,))*100)+100</f>
        <v>105.78449801478119</v>
      </c>
      <c r="W23" s="85" t="s">
        <v>538</v>
      </c>
    </row>
    <row r="24" spans="1:23" s="85" customFormat="1" x14ac:dyDescent="0.2">
      <c r="A24" s="22">
        <v>33543</v>
      </c>
      <c r="B24" s="92">
        <f>VLOOKUP(A24,Database!$E:$AY,MATCH($B$1,Database!$E$1:$AY$1,0),FALSE)</f>
        <v>110.7908</v>
      </c>
      <c r="C24" s="92">
        <f>VLOOKUP(A24,Database!$E:$AY,MATCH($C$1,Database!$E$1:$AY$1,0),FALSE)</f>
        <v>92.720770000000002</v>
      </c>
      <c r="D24" s="92">
        <f>VLOOKUP(A24,Database!$E:$AY,MATCH($D$1,Database!$E$1:$AY$1,0),FALSE)</f>
        <v>74.693780000000004</v>
      </c>
      <c r="E24" s="92">
        <f>VLOOKUP(A24,Database!$E:$AY,MATCH($E$1,Database!$E$1:$AY$1,0),FALSE)</f>
        <v>100.2518</v>
      </c>
      <c r="F24" s="92">
        <f>VLOOKUP(A24,Database!$E:$AY,MATCH($F$1,Database!$E$1:$AY$1,0),FALSE)</f>
        <v>81.486419999999995</v>
      </c>
      <c r="G24" s="92">
        <f>VLOOKUP(A24,Database!$E:$AY,MATCH($G$1,Database!$E$1:$AY$1,0),FALSE)</f>
        <v>94.630290000000002</v>
      </c>
      <c r="H24" s="92">
        <f>(((Table134567891011121314151617343[[#This Row],[ITA]]-VLOOKUP($U$1,A:B,2,))/VLOOKUP($U$1,A:B,2,))*100)+100</f>
        <v>91.118423487477173</v>
      </c>
      <c r="I24" s="92">
        <f>(((Table134567891011121314151617343[[#This Row],[FRA]]-VLOOKUP($U$1,A:C,3,))/VLOOKUP($U$1,A:C,3,))*100)+100</f>
        <v>90.247184908833788</v>
      </c>
      <c r="J24" s="92">
        <f>(((Table134567891011121314151617343[[#This Row],[DEU]]-VLOOKUP($U$1,A:D,4,))/VLOOKUP($U$1,A:D,4,))*100)+100</f>
        <v>99.335117435988352</v>
      </c>
      <c r="K24" s="92">
        <f>(((Table134567891011121314151617343[[#This Row],[ESP]]-VLOOKUP($U$1,A:E,5,))/VLOOKUP($U$1,A:E,5,))*100)+100</f>
        <v>84.426763098124454</v>
      </c>
      <c r="L24" s="92">
        <f>(((Table134567891011121314151617343[[#This Row],[EA19]]-VLOOKUP($U$1,A:F,6,))/VLOOKUP($U$1,A:F,6,))*100)+100</f>
        <v>91.163314691150987</v>
      </c>
      <c r="M24" s="92">
        <f>(((Table134567891011121314151617343[[#This Row],[GBR]]-VLOOKUP($U$1,A:G,7,))/VLOOKUP($U$1,A:G,7,))*100)+100</f>
        <v>88.576029787962952</v>
      </c>
      <c r="N24" s="92">
        <f>VLOOKUP(A24,Database!$E:$AY,MATCH($N$1,Database!$E$1:$AY$1,0),FALSE)</f>
        <v>61.42266</v>
      </c>
      <c r="O24" s="92">
        <f>(((Table134567891011121314151617343[[#This Row],[USA]]-VLOOKUP($U$1,A:N,14,))/VLOOKUP($U$1,A:N,14,))*100)+100</f>
        <v>71.164504191305809</v>
      </c>
      <c r="P24" s="92">
        <f>VLOOKUP(A24,Database!$E:$AY,MATCH($P$1,Database!$E$1:$AY$1,0),FALSE)</f>
        <v>106.07510000000001</v>
      </c>
      <c r="Q24" s="92">
        <f>(((Table134567891011121314151617343[[#This Row],[JPN]]-VLOOKUP($U$1,A:Q,16,))/VLOOKUP($U$1,A:Q,16,))*100)+100</f>
        <v>106.49722304297545</v>
      </c>
      <c r="W24" s="85" t="s">
        <v>276</v>
      </c>
    </row>
    <row r="25" spans="1:23" s="85" customFormat="1" x14ac:dyDescent="0.2">
      <c r="A25" s="22">
        <v>33573</v>
      </c>
      <c r="B25" s="92">
        <f>VLOOKUP(A25,Database!$E:$AY,MATCH($B$1,Database!$E$1:$AY$1,0),FALSE)</f>
        <v>109.29089999999999</v>
      </c>
      <c r="C25" s="92">
        <f>VLOOKUP(A25,Database!$E:$AY,MATCH($C$1,Database!$E$1:$AY$1,0),FALSE)</f>
        <v>91.89076</v>
      </c>
      <c r="D25" s="92">
        <f>VLOOKUP(A25,Database!$E:$AY,MATCH($D$1,Database!$E$1:$AY$1,0),FALSE)</f>
        <v>74.793769999999995</v>
      </c>
      <c r="E25" s="92">
        <f>VLOOKUP(A25,Database!$E:$AY,MATCH($E$1,Database!$E$1:$AY$1,0),FALSE)</f>
        <v>101.2586</v>
      </c>
      <c r="F25" s="92">
        <f>VLOOKUP(A25,Database!$E:$AY,MATCH($F$1,Database!$E$1:$AY$1,0),FALSE)</f>
        <v>80.886520000000004</v>
      </c>
      <c r="G25" s="92">
        <f>VLOOKUP(A25,Database!$E:$AY,MATCH($G$1,Database!$E$1:$AY$1,0),FALSE)</f>
        <v>94.239649999999997</v>
      </c>
      <c r="H25" s="92">
        <f>(((Table134567891011121314151617343[[#This Row],[ITA]]-VLOOKUP($U$1,A:B,2,))/VLOOKUP($U$1,A:B,2,))*100)+100</f>
        <v>89.884850633152908</v>
      </c>
      <c r="I25" s="92">
        <f>(((Table134567891011121314151617343[[#This Row],[FRA]]-VLOOKUP($U$1,A:C,3,))/VLOOKUP($U$1,A:C,3,))*100)+100</f>
        <v>89.43931774006262</v>
      </c>
      <c r="J25" s="92">
        <f>(((Table134567891011121314151617343[[#This Row],[DEU]]-VLOOKUP($U$1,A:D,4,))/VLOOKUP($U$1,A:D,4,))*100)+100</f>
        <v>99.468093948790667</v>
      </c>
      <c r="K25" s="92">
        <f>(((Table134567891011121314151617343[[#This Row],[ESP]]-VLOOKUP($U$1,A:E,5,))/VLOOKUP($U$1,A:E,5,))*100)+100</f>
        <v>85.274636803007468</v>
      </c>
      <c r="L25" s="92">
        <f>(((Table134567891011121314151617343[[#This Row],[EA19]]-VLOOKUP($U$1,A:F,6,))/VLOOKUP($U$1,A:F,6,))*100)+100</f>
        <v>90.492173751553679</v>
      </c>
      <c r="M25" s="92">
        <f>(((Table134567891011121314151617343[[#This Row],[GBR]]-VLOOKUP($U$1,A:G,7,))/VLOOKUP($U$1,A:G,7,))*100)+100</f>
        <v>88.210382168407193</v>
      </c>
      <c r="N25" s="92">
        <f>VLOOKUP(A25,Database!$E:$AY,MATCH($N$1,Database!$E$1:$AY$1,0),FALSE)</f>
        <v>61.17841</v>
      </c>
      <c r="O25" s="92">
        <f>(((Table134567891011121314151617343[[#This Row],[USA]]-VLOOKUP($U$1,A:N,14,))/VLOOKUP($U$1,A:N,14,))*100)+100</f>
        <v>70.881515304977441</v>
      </c>
      <c r="P25" s="92">
        <f>VLOOKUP(A25,Database!$E:$AY,MATCH($P$1,Database!$E$1:$AY$1,0),FALSE)</f>
        <v>104.6553</v>
      </c>
      <c r="Q25" s="92">
        <f>(((Table134567891011121314151617343[[#This Row],[JPN]]-VLOOKUP($U$1,A:Q,16,))/VLOOKUP($U$1,A:Q,16,))*100)+100</f>
        <v>105.07177298658694</v>
      </c>
      <c r="W25" s="85" t="s">
        <v>314</v>
      </c>
    </row>
    <row r="26" spans="1:23" s="85" customFormat="1" x14ac:dyDescent="0.2">
      <c r="A26" s="22">
        <v>33604</v>
      </c>
      <c r="B26" s="92">
        <f>VLOOKUP(A26,Database!$E:$AY,MATCH($B$1,Database!$E$1:$AY$1,0),FALSE)</f>
        <v>110.1908</v>
      </c>
      <c r="C26" s="92">
        <f>VLOOKUP(A26,Database!$E:$AY,MATCH($C$1,Database!$E$1:$AY$1,0),FALSE)</f>
        <v>92.140770000000003</v>
      </c>
      <c r="D26" s="92">
        <f>VLOOKUP(A26,Database!$E:$AY,MATCH($D$1,Database!$E$1:$AY$1,0),FALSE)</f>
        <v>75.693700000000007</v>
      </c>
      <c r="E26" s="92">
        <f>VLOOKUP(A26,Database!$E:$AY,MATCH($E$1,Database!$E$1:$AY$1,0),FALSE)</f>
        <v>99.691090000000003</v>
      </c>
      <c r="F26" s="92">
        <f>VLOOKUP(A26,Database!$E:$AY,MATCH($F$1,Database!$E$1:$AY$1,0),FALSE)</f>
        <v>81.886349999999993</v>
      </c>
      <c r="G26" s="92">
        <f>VLOOKUP(A26,Database!$E:$AY,MATCH($G$1,Database!$E$1:$AY$1,0),FALSE)</f>
        <v>94.141999999999996</v>
      </c>
      <c r="H26" s="92">
        <f>(((Table134567891011121314151617343[[#This Row],[ITA]]-VLOOKUP($U$1,A:B,2,))/VLOOKUP($U$1,A:B,2,))*100)+100</f>
        <v>90.624961448278185</v>
      </c>
      <c r="I26" s="92">
        <f>(((Table134567891011121314151617343[[#This Row],[FRA]]-VLOOKUP($U$1,A:C,3,))/VLOOKUP($U$1,A:C,3,))*100)+100</f>
        <v>89.682658026160965</v>
      </c>
      <c r="J26" s="92">
        <f>(((Table134567891011121314151617343[[#This Row],[DEU]]-VLOOKUP($U$1,A:D,4,))/VLOOKUP($U$1,A:D,4,))*100)+100</f>
        <v>100.66490916197402</v>
      </c>
      <c r="K26" s="92">
        <f>(((Table134567891011121314151617343[[#This Row],[ESP]]-VLOOKUP($U$1,A:E,5,))/VLOOKUP($U$1,A:E,5,))*100)+100</f>
        <v>83.954562795119926</v>
      </c>
      <c r="L26" s="92">
        <f>(((Table134567891011121314151617343[[#This Row],[EA19]]-VLOOKUP($U$1,A:F,6,))/VLOOKUP($U$1,A:F,6,))*100)+100</f>
        <v>91.610738255033553</v>
      </c>
      <c r="M26" s="92">
        <f>(((Table134567891011121314151617343[[#This Row],[GBR]]-VLOOKUP($U$1,A:G,7,))/VLOOKUP($U$1,A:G,7,))*100)+100</f>
        <v>88.118979623737886</v>
      </c>
      <c r="N26" s="92">
        <f>VLOOKUP(A26,Database!$E:$AY,MATCH($N$1,Database!$E$1:$AY$1,0),FALSE)</f>
        <v>60.836179999999999</v>
      </c>
      <c r="O26" s="92">
        <f>(((Table134567891011121314151617343[[#This Row],[USA]]-VLOOKUP($U$1,A:N,14,))/VLOOKUP($U$1,A:N,14,))*100)+100</f>
        <v>70.485006455158967</v>
      </c>
      <c r="P26" s="92">
        <f>VLOOKUP(A26,Database!$E:$AY,MATCH($P$1,Database!$E$1:$AY$1,0),FALSE)</f>
        <v>103.9455</v>
      </c>
      <c r="Q26" s="92">
        <f>(((Table134567891011121314151617343[[#This Row],[JPN]]-VLOOKUP($U$1,A:Q,16,))/VLOOKUP($U$1,A:Q,16,))*100)+100</f>
        <v>104.35914835634003</v>
      </c>
      <c r="W26" s="85" t="s">
        <v>318</v>
      </c>
    </row>
    <row r="27" spans="1:23" s="85" customFormat="1" x14ac:dyDescent="0.2">
      <c r="A27" s="22">
        <v>33635</v>
      </c>
      <c r="B27" s="92">
        <f>VLOOKUP(A27,Database!$E:$AY,MATCH($B$1,Database!$E$1:$AY$1,0),FALSE)</f>
        <v>110.1908</v>
      </c>
      <c r="C27" s="92">
        <f>VLOOKUP(A27,Database!$E:$AY,MATCH($C$1,Database!$E$1:$AY$1,0),FALSE)</f>
        <v>91.450760000000002</v>
      </c>
      <c r="D27" s="92">
        <f>VLOOKUP(A27,Database!$E:$AY,MATCH($D$1,Database!$E$1:$AY$1,0),FALSE)</f>
        <v>76.993579999999994</v>
      </c>
      <c r="E27" s="92">
        <f>VLOOKUP(A27,Database!$E:$AY,MATCH($E$1,Database!$E$1:$AY$1,0),FALSE)</f>
        <v>99.895079999999993</v>
      </c>
      <c r="F27" s="92">
        <f>VLOOKUP(A27,Database!$E:$AY,MATCH($F$1,Database!$E$1:$AY$1,0),FALSE)</f>
        <v>82.086320000000001</v>
      </c>
      <c r="G27" s="92">
        <f>VLOOKUP(A27,Database!$E:$AY,MATCH($G$1,Database!$E$1:$AY$1,0),FALSE)</f>
        <v>94.727940000000004</v>
      </c>
      <c r="H27" s="92">
        <f>(((Table134567891011121314151617343[[#This Row],[ITA]]-VLOOKUP($U$1,A:B,2,))/VLOOKUP($U$1,A:B,2,))*100)+100</f>
        <v>90.624961448278185</v>
      </c>
      <c r="I27" s="92">
        <f>(((Table134567891011121314151617343[[#This Row],[FRA]]-VLOOKUP($U$1,A:C,3,))/VLOOKUP($U$1,A:C,3,))*100)+100</f>
        <v>89.011055967000487</v>
      </c>
      <c r="J27" s="92">
        <f>(((Table134567891011121314151617343[[#This Row],[DEU]]-VLOOKUP($U$1,A:D,4,))/VLOOKUP($U$1,A:D,4,))*100)+100</f>
        <v>102.39361712738548</v>
      </c>
      <c r="K27" s="92">
        <f>(((Table134567891011121314151617343[[#This Row],[ESP]]-VLOOKUP($U$1,A:E,5,))/VLOOKUP($U$1,A:E,5,))*100)+100</f>
        <v>84.126352382981551</v>
      </c>
      <c r="L27" s="92">
        <f>(((Table134567891011121314151617343[[#This Row],[EA19]]-VLOOKUP($U$1,A:F,6,))/VLOOKUP($U$1,A:F,6,))*100)+100</f>
        <v>91.834455630748309</v>
      </c>
      <c r="M27" s="92">
        <f>(((Table134567891011121314151617343[[#This Row],[GBR]]-VLOOKUP($U$1,A:G,7,))/VLOOKUP($U$1,A:G,7,))*100)+100</f>
        <v>88.667432332632259</v>
      </c>
      <c r="N27" s="92">
        <f>VLOOKUP(A27,Database!$E:$AY,MATCH($N$1,Database!$E$1:$AY$1,0),FALSE)</f>
        <v>61.27196</v>
      </c>
      <c r="O27" s="92">
        <f>(((Table134567891011121314151617343[[#This Row],[USA]]-VLOOKUP($U$1,A:N,14,))/VLOOKUP($U$1,A:N,14,))*100)+100</f>
        <v>70.989902655298906</v>
      </c>
      <c r="P27" s="92">
        <f>VLOOKUP(A27,Database!$E:$AY,MATCH($P$1,Database!$E$1:$AY$1,0),FALSE)</f>
        <v>103.6412</v>
      </c>
      <c r="Q27" s="92">
        <f>(((Table134567891011121314151617343[[#This Row],[JPN]]-VLOOKUP($U$1,A:Q,16,))/VLOOKUP($U$1,A:Q,16,))*100)+100</f>
        <v>104.05363740257258</v>
      </c>
      <c r="W27" s="85" t="s">
        <v>539</v>
      </c>
    </row>
    <row r="28" spans="1:23" s="85" customFormat="1" x14ac:dyDescent="0.2">
      <c r="A28" s="22">
        <v>33664</v>
      </c>
      <c r="B28" s="92">
        <f>VLOOKUP(A28,Database!$E:$AY,MATCH($B$1,Database!$E$1:$AY$1,0),FALSE)</f>
        <v>109.99079999999999</v>
      </c>
      <c r="C28" s="92">
        <f>VLOOKUP(A28,Database!$E:$AY,MATCH($C$1,Database!$E$1:$AY$1,0),FALSE)</f>
        <v>92.340770000000006</v>
      </c>
      <c r="D28" s="92">
        <f>VLOOKUP(A28,Database!$E:$AY,MATCH($D$1,Database!$E$1:$AY$1,0),FALSE)</f>
        <v>74.793769999999995</v>
      </c>
      <c r="E28" s="92">
        <f>VLOOKUP(A28,Database!$E:$AY,MATCH($E$1,Database!$E$1:$AY$1,0),FALSE)</f>
        <v>98.561080000000004</v>
      </c>
      <c r="F28" s="92">
        <f>VLOOKUP(A28,Database!$E:$AY,MATCH($F$1,Database!$E$1:$AY$1,0),FALSE)</f>
        <v>81.386439999999993</v>
      </c>
      <c r="G28" s="92">
        <f>VLOOKUP(A28,Database!$E:$AY,MATCH($G$1,Database!$E$1:$AY$1,0),FALSE)</f>
        <v>94.337310000000002</v>
      </c>
      <c r="H28" s="92">
        <f>(((Table134567891011121314151617343[[#This Row],[ITA]]-VLOOKUP($U$1,A:B,2,))/VLOOKUP($U$1,A:B,2,))*100)+100</f>
        <v>90.460474101878518</v>
      </c>
      <c r="I28" s="92">
        <f>(((Table134567891011121314151617343[[#This Row],[FRA]]-VLOOKUP($U$1,A:C,3,))/VLOOKUP($U$1,A:C,3,))*100)+100</f>
        <v>89.877322468461941</v>
      </c>
      <c r="J28" s="92">
        <f>(((Table134567891011121314151617343[[#This Row],[DEU]]-VLOOKUP($U$1,A:D,4,))/VLOOKUP($U$1,A:D,4,))*100)+100</f>
        <v>99.468093948790667</v>
      </c>
      <c r="K28" s="92">
        <f>(((Table134567891011121314151617343[[#This Row],[ESP]]-VLOOKUP($U$1,A:E,5,))/VLOOKUP($U$1,A:E,5,))*100)+100</f>
        <v>83.002928145482599</v>
      </c>
      <c r="L28" s="92">
        <f>(((Table134567891011121314151617343[[#This Row],[EA19]]-VLOOKUP($U$1,A:F,6,))/VLOOKUP($U$1,A:F,6,))*100)+100</f>
        <v>91.051461597067075</v>
      </c>
      <c r="M28" s="92">
        <f>(((Table134567891011121314151617343[[#This Row],[GBR]]-VLOOKUP($U$1,A:G,7,))/VLOOKUP($U$1,A:G,7,))*100)+100</f>
        <v>88.301794073296136</v>
      </c>
      <c r="N28" s="92">
        <f>VLOOKUP(A28,Database!$E:$AY,MATCH($N$1,Database!$E$1:$AY$1,0),FALSE)</f>
        <v>61.781120000000001</v>
      </c>
      <c r="O28" s="92">
        <f>(((Table134567891011121314151617343[[#This Row],[USA]]-VLOOKUP($U$1,A:N,14,))/VLOOKUP($U$1,A:N,14,))*100)+100</f>
        <v>71.579817174696885</v>
      </c>
      <c r="P28" s="92">
        <f>VLOOKUP(A28,Database!$E:$AY,MATCH($P$1,Database!$E$1:$AY$1,0),FALSE)</f>
        <v>102.12009999999999</v>
      </c>
      <c r="Q28" s="92">
        <f>(((Table134567891011121314151617343[[#This Row],[JPN]]-VLOOKUP($U$1,A:Q,16,))/VLOOKUP($U$1,A:Q,16,))*100)+100</f>
        <v>102.52648422552471</v>
      </c>
      <c r="W28" s="85" t="s">
        <v>346</v>
      </c>
    </row>
    <row r="29" spans="1:23" s="85" customFormat="1" x14ac:dyDescent="0.2">
      <c r="A29" s="22">
        <v>33695</v>
      </c>
      <c r="B29" s="92">
        <f>VLOOKUP(A29,Database!$E:$AY,MATCH($B$1,Database!$E$1:$AY$1,0),FALSE)</f>
        <v>110.2908</v>
      </c>
      <c r="C29" s="92">
        <f>VLOOKUP(A29,Database!$E:$AY,MATCH($C$1,Database!$E$1:$AY$1,0),FALSE)</f>
        <v>91.690770000000001</v>
      </c>
      <c r="D29" s="92">
        <f>VLOOKUP(A29,Database!$E:$AY,MATCH($D$1,Database!$E$1:$AY$1,0),FALSE)</f>
        <v>74.693780000000004</v>
      </c>
      <c r="E29" s="92">
        <f>VLOOKUP(A29,Database!$E:$AY,MATCH($E$1,Database!$E$1:$AY$1,0),FALSE)</f>
        <v>98.626080000000002</v>
      </c>
      <c r="F29" s="92">
        <f>VLOOKUP(A29,Database!$E:$AY,MATCH($F$1,Database!$E$1:$AY$1,0),FALSE)</f>
        <v>81.18647</v>
      </c>
      <c r="G29" s="92">
        <f>VLOOKUP(A29,Database!$E:$AY,MATCH($G$1,Database!$E$1:$AY$1,0),FALSE)</f>
        <v>94.923259999999999</v>
      </c>
      <c r="H29" s="92">
        <f>(((Table134567891011121314151617343[[#This Row],[ITA]]-VLOOKUP($U$1,A:B,2,))/VLOOKUP($U$1,A:B,2,))*100)+100</f>
        <v>90.707205121478026</v>
      </c>
      <c r="I29" s="92">
        <f>(((Table134567891011121314151617343[[#This Row],[FRA]]-VLOOKUP($U$1,A:C,3,))/VLOOKUP($U$1,A:C,3,))*100)+100</f>
        <v>89.244663030983773</v>
      </c>
      <c r="J29" s="92">
        <f>(((Table134567891011121314151617343[[#This Row],[DEU]]-VLOOKUP($U$1,A:D,4,))/VLOOKUP($U$1,A:D,4,))*100)+100</f>
        <v>99.335117435988352</v>
      </c>
      <c r="K29" s="92">
        <f>(((Table134567891011121314151617343[[#This Row],[ESP]]-VLOOKUP($U$1,A:E,5,))/VLOOKUP($U$1,A:E,5,))*100)+100</f>
        <v>83.057667707279776</v>
      </c>
      <c r="L29" s="92">
        <f>(((Table134567891011121314151617343[[#This Row],[EA19]]-VLOOKUP($U$1,A:F,6,))/VLOOKUP($U$1,A:F,6,))*100)+100</f>
        <v>90.827744221352333</v>
      </c>
      <c r="M29" s="92">
        <f>(((Table134567891011121314151617343[[#This Row],[GBR]]-VLOOKUP($U$1,A:G,7,))/VLOOKUP($U$1,A:G,7,))*100)+100</f>
        <v>88.850256142410132</v>
      </c>
      <c r="N29" s="92">
        <f>VLOOKUP(A29,Database!$E:$AY,MATCH($N$1,Database!$E$1:$AY$1,0),FALSE)</f>
        <v>62.249470000000002</v>
      </c>
      <c r="O29" s="92">
        <f>(((Table134567891011121314151617343[[#This Row],[USA]]-VLOOKUP($U$1,A:N,14,))/VLOOKUP($U$1,A:N,14,))*100)+100</f>
        <v>72.122449088358678</v>
      </c>
      <c r="P29" s="92">
        <f>VLOOKUP(A29,Database!$E:$AY,MATCH($P$1,Database!$E$1:$AY$1,0),FALSE)</f>
        <v>101.613</v>
      </c>
      <c r="Q29" s="92">
        <f>(((Table134567891011121314151617343[[#This Row],[JPN]]-VLOOKUP($U$1,A:Q,16,))/VLOOKUP($U$1,A:Q,16,))*100)+100</f>
        <v>102.01736623454387</v>
      </c>
      <c r="W29" s="85" t="s">
        <v>350</v>
      </c>
    </row>
    <row r="30" spans="1:23" s="85" customFormat="1" x14ac:dyDescent="0.2">
      <c r="A30" s="22">
        <v>33725</v>
      </c>
      <c r="B30" s="92">
        <f>VLOOKUP(A30,Database!$E:$AY,MATCH($B$1,Database!$E$1:$AY$1,0),FALSE)</f>
        <v>109.99079999999999</v>
      </c>
      <c r="C30" s="92">
        <f>VLOOKUP(A30,Database!$E:$AY,MATCH($C$1,Database!$E$1:$AY$1,0),FALSE)</f>
        <v>91.720759999999999</v>
      </c>
      <c r="D30" s="92">
        <f>VLOOKUP(A30,Database!$E:$AY,MATCH($D$1,Database!$E$1:$AY$1,0),FALSE)</f>
        <v>74.193820000000002</v>
      </c>
      <c r="E30" s="92">
        <f>VLOOKUP(A30,Database!$E:$AY,MATCH($E$1,Database!$E$1:$AY$1,0),FALSE)</f>
        <v>97.766080000000002</v>
      </c>
      <c r="F30" s="92">
        <f>VLOOKUP(A30,Database!$E:$AY,MATCH($F$1,Database!$E$1:$AY$1,0),FALSE)</f>
        <v>80.686549999999997</v>
      </c>
      <c r="G30" s="92">
        <f>VLOOKUP(A30,Database!$E:$AY,MATCH($G$1,Database!$E$1:$AY$1,0),FALSE)</f>
        <v>92.970110000000005</v>
      </c>
      <c r="H30" s="92">
        <f>(((Table134567891011121314151617343[[#This Row],[ITA]]-VLOOKUP($U$1,A:B,2,))/VLOOKUP($U$1,A:B,2,))*100)+100</f>
        <v>90.460474101878518</v>
      </c>
      <c r="I30" s="92">
        <f>(((Table134567891011121314151617343[[#This Row],[FRA]]-VLOOKUP($U$1,A:C,3,))/VLOOKUP($U$1,A:C,3,))*100)+100</f>
        <v>89.273852964106794</v>
      </c>
      <c r="J30" s="92">
        <f>(((Table134567891011121314151617343[[#This Row],[DEU]]-VLOOKUP($U$1,A:D,4,))/VLOOKUP($U$1,A:D,4,))*100)+100</f>
        <v>98.670221572995516</v>
      </c>
      <c r="K30" s="92">
        <f>(((Table134567891011121314151617343[[#This Row],[ESP]]-VLOOKUP($U$1,A:E,5,))/VLOOKUP($U$1,A:E,5,))*100)+100</f>
        <v>82.333421197347917</v>
      </c>
      <c r="L30" s="92">
        <f>(((Table134567891011121314151617343[[#This Row],[EA19]]-VLOOKUP($U$1,A:F,6,))/VLOOKUP($U$1,A:F,6,))*100)+100</f>
        <v>90.268456375838923</v>
      </c>
      <c r="M30" s="92">
        <f>(((Table134567891011121314151617343[[#This Row],[GBR]]-VLOOKUP($U$1,A:G,7,))/VLOOKUP($U$1,A:G,7,))*100)+100</f>
        <v>87.022064845729545</v>
      </c>
      <c r="N30" s="92">
        <f>VLOOKUP(A30,Database!$E:$AY,MATCH($N$1,Database!$E$1:$AY$1,0),FALSE)</f>
        <v>62.45252</v>
      </c>
      <c r="O30" s="92">
        <f>(((Table134567891011121314151617343[[#This Row],[USA]]-VLOOKUP($U$1,A:N,14,))/VLOOKUP($U$1,A:N,14,))*100)+100</f>
        <v>72.357703513615505</v>
      </c>
      <c r="P30" s="92">
        <f>VLOOKUP(A30,Database!$E:$AY,MATCH($P$1,Database!$E$1:$AY$1,0),FALSE)</f>
        <v>99.280590000000004</v>
      </c>
      <c r="Q30" s="92">
        <f>(((Table134567891011121314151617343[[#This Row],[JPN]]-VLOOKUP($U$1,A:Q,16,))/VLOOKUP($U$1,A:Q,16,))*100)+100</f>
        <v>99.675674470900319</v>
      </c>
      <c r="W30" s="85" t="s">
        <v>540</v>
      </c>
    </row>
    <row r="31" spans="1:23" s="85" customFormat="1" x14ac:dyDescent="0.2">
      <c r="A31" s="22">
        <v>33756</v>
      </c>
      <c r="B31" s="92">
        <f>VLOOKUP(A31,Database!$E:$AY,MATCH($B$1,Database!$E$1:$AY$1,0),FALSE)</f>
        <v>109.7908</v>
      </c>
      <c r="C31" s="92">
        <f>VLOOKUP(A31,Database!$E:$AY,MATCH($C$1,Database!$E$1:$AY$1,0),FALSE)</f>
        <v>90.630750000000006</v>
      </c>
      <c r="D31" s="92">
        <f>VLOOKUP(A31,Database!$E:$AY,MATCH($D$1,Database!$E$1:$AY$1,0),FALSE)</f>
        <v>72.993920000000003</v>
      </c>
      <c r="E31" s="92">
        <f>VLOOKUP(A31,Database!$E:$AY,MATCH($E$1,Database!$E$1:$AY$1,0),FALSE)</f>
        <v>96.533079999999998</v>
      </c>
      <c r="F31" s="92">
        <f>VLOOKUP(A31,Database!$E:$AY,MATCH($F$1,Database!$E$1:$AY$1,0),FALSE)</f>
        <v>79.986670000000004</v>
      </c>
      <c r="G31" s="92">
        <f>VLOOKUP(A31,Database!$E:$AY,MATCH($G$1,Database!$E$1:$AY$1,0),FALSE)</f>
        <v>93.946680000000001</v>
      </c>
      <c r="H31" s="92">
        <f>(((Table134567891011121314151617343[[#This Row],[ITA]]-VLOOKUP($U$1,A:B,2,))/VLOOKUP($U$1,A:B,2,))*100)+100</f>
        <v>90.295986755478879</v>
      </c>
      <c r="I31" s="92">
        <f>(((Table134567891011121314151617343[[#This Row],[FRA]]-VLOOKUP($U$1,A:C,3,))/VLOOKUP($U$1,A:C,3,))*100)+100</f>
        <v>88.212922020344394</v>
      </c>
      <c r="J31" s="92">
        <f>(((Table134567891011121314151617343[[#This Row],[DEU]]-VLOOKUP($U$1,A:D,4,))/VLOOKUP($U$1,A:D,4,))*100)+100</f>
        <v>97.074476821405185</v>
      </c>
      <c r="K31" s="92">
        <f>(((Table134567891011121314151617343[[#This Row],[ESP]]-VLOOKUP($U$1,A:E,5,))/VLOOKUP($U$1,A:E,5,))*100)+100</f>
        <v>81.295053817410718</v>
      </c>
      <c r="L31" s="92">
        <f>(((Table134567891011121314151617343[[#This Row],[EA19]]-VLOOKUP($U$1,A:F,6,))/VLOOKUP($U$1,A:F,6,))*100)+100</f>
        <v>89.485462342157703</v>
      </c>
      <c r="M31" s="92">
        <f>(((Table134567891011121314151617343[[#This Row],[GBR]]-VLOOKUP($U$1,A:G,7,))/VLOOKUP($U$1,A:G,7,))*100)+100</f>
        <v>87.936155813960028</v>
      </c>
      <c r="N31" s="92">
        <f>VLOOKUP(A31,Database!$E:$AY,MATCH($N$1,Database!$E$1:$AY$1,0),FALSE)</f>
        <v>62.461460000000002</v>
      </c>
      <c r="O31" s="92">
        <f>(((Table134567891011121314151617343[[#This Row],[USA]]-VLOOKUP($U$1,A:N,14,))/VLOOKUP($U$1,A:N,14,))*100)+100</f>
        <v>72.368061428226667</v>
      </c>
      <c r="P31" s="92">
        <f>VLOOKUP(A31,Database!$E:$AY,MATCH($P$1,Database!$E$1:$AY$1,0),FALSE)</f>
        <v>101.30880000000001</v>
      </c>
      <c r="Q31" s="92">
        <f>(((Table134567891011121314151617343[[#This Row],[JPN]]-VLOOKUP($U$1,A:Q,16,))/VLOOKUP($U$1,A:Q,16,))*100)+100</f>
        <v>101.71195567872377</v>
      </c>
      <c r="W31" s="85" t="s">
        <v>541</v>
      </c>
    </row>
    <row r="32" spans="1:23" s="85" customFormat="1" x14ac:dyDescent="0.2">
      <c r="A32" s="22">
        <v>33786</v>
      </c>
      <c r="B32" s="92">
        <f>VLOOKUP(A32,Database!$E:$AY,MATCH($B$1,Database!$E$1:$AY$1,0),FALSE)</f>
        <v>108.39100000000001</v>
      </c>
      <c r="C32" s="92">
        <f>VLOOKUP(A32,Database!$E:$AY,MATCH($C$1,Database!$E$1:$AY$1,0),FALSE)</f>
        <v>90.280749999999998</v>
      </c>
      <c r="D32" s="92">
        <f>VLOOKUP(A32,Database!$E:$AY,MATCH($D$1,Database!$E$1:$AY$1,0),FALSE)</f>
        <v>71.694019999999995</v>
      </c>
      <c r="E32" s="92">
        <f>VLOOKUP(A32,Database!$E:$AY,MATCH($E$1,Database!$E$1:$AY$1,0),FALSE)</f>
        <v>95.589079999999996</v>
      </c>
      <c r="F32" s="92">
        <f>VLOOKUP(A32,Database!$E:$AY,MATCH($F$1,Database!$E$1:$AY$1,0),FALSE)</f>
        <v>78.986840000000001</v>
      </c>
      <c r="G32" s="92">
        <f>VLOOKUP(A32,Database!$E:$AY,MATCH($G$1,Database!$E$1:$AY$1,0),FALSE)</f>
        <v>94.825599999999994</v>
      </c>
      <c r="H32" s="92">
        <f>(((Table134567891011121314151617343[[#This Row],[ITA]]-VLOOKUP($U$1,A:B,2,))/VLOOKUP($U$1,A:B,2,))*100)+100</f>
        <v>89.144739818027659</v>
      </c>
      <c r="I32" s="92">
        <f>(((Table134567891011121314151617343[[#This Row],[FRA]]-VLOOKUP($U$1,A:C,3,))/VLOOKUP($U$1,A:C,3,))*100)+100</f>
        <v>87.872259246317682</v>
      </c>
      <c r="J32" s="92">
        <f>(((Table134567891011121314151617343[[#This Row],[DEU]]-VLOOKUP($U$1,A:D,4,))/VLOOKUP($U$1,A:D,4,))*100)+100</f>
        <v>95.345742258031351</v>
      </c>
      <c r="K32" s="92">
        <f>(((Table134567891011121314151617343[[#This Row],[ESP]]-VLOOKUP($U$1,A:E,5,))/VLOOKUP($U$1,A:E,5,))*100)+100</f>
        <v>80.500066950694816</v>
      </c>
      <c r="L32" s="92">
        <f>(((Table134567891011121314151617343[[#This Row],[EA19]]-VLOOKUP($U$1,A:F,6,))/VLOOKUP($U$1,A:F,6,))*100)+100</f>
        <v>88.366897838677815</v>
      </c>
      <c r="M32" s="92">
        <f>(((Table134567891011121314151617343[[#This Row],[GBR]]-VLOOKUP($U$1,A:G,7,))/VLOOKUP($U$1,A:G,7,))*100)+100</f>
        <v>88.758844237521188</v>
      </c>
      <c r="N32" s="92">
        <f>VLOOKUP(A32,Database!$E:$AY,MATCH($N$1,Database!$E$1:$AY$1,0),FALSE)</f>
        <v>63.025950000000002</v>
      </c>
      <c r="O32" s="92">
        <f>(((Table134567891011121314151617343[[#This Row],[USA]]-VLOOKUP($U$1,A:N,14,))/VLOOKUP($U$1,A:N,14,))*100)+100</f>
        <v>73.022081475078267</v>
      </c>
      <c r="P32" s="92">
        <f>VLOOKUP(A32,Database!$E:$AY,MATCH($P$1,Database!$E$1:$AY$1,0),FALSE)</f>
        <v>101.10599999999999</v>
      </c>
      <c r="Q32" s="92">
        <f>(((Table134567891011121314151617343[[#This Row],[JPN]]-VLOOKUP($U$1,A:Q,16,))/VLOOKUP($U$1,A:Q,16,))*100)+100</f>
        <v>101.50834864151035</v>
      </c>
      <c r="W32" s="85" t="s">
        <v>390</v>
      </c>
    </row>
    <row r="33" spans="1:23" s="85" customFormat="1" x14ac:dyDescent="0.2">
      <c r="A33" s="22">
        <v>33817</v>
      </c>
      <c r="B33" s="92">
        <f>VLOOKUP(A33,Database!$E:$AY,MATCH($B$1,Database!$E$1:$AY$1,0),FALSE)</f>
        <v>106.4911</v>
      </c>
      <c r="C33" s="92">
        <f>VLOOKUP(A33,Database!$E:$AY,MATCH($C$1,Database!$E$1:$AY$1,0),FALSE)</f>
        <v>90.560749999999999</v>
      </c>
      <c r="D33" s="92">
        <f>VLOOKUP(A33,Database!$E:$AY,MATCH($D$1,Database!$E$1:$AY$1,0),FALSE)</f>
        <v>71.894009999999994</v>
      </c>
      <c r="E33" s="92">
        <f>VLOOKUP(A33,Database!$E:$AY,MATCH($E$1,Database!$E$1:$AY$1,0),FALSE)</f>
        <v>95.195080000000004</v>
      </c>
      <c r="F33" s="92">
        <f>VLOOKUP(A33,Database!$E:$AY,MATCH($F$1,Database!$E$1:$AY$1,0),FALSE)</f>
        <v>78.886849999999995</v>
      </c>
      <c r="G33" s="92">
        <f>VLOOKUP(A33,Database!$E:$AY,MATCH($G$1,Database!$E$1:$AY$1,0),FALSE)</f>
        <v>94.630290000000002</v>
      </c>
      <c r="H33" s="92">
        <f>(((Table134567891011121314151617343[[#This Row],[ITA]]-VLOOKUP($U$1,A:B,2,))/VLOOKUP($U$1,A:B,2,))*100)+100</f>
        <v>87.582192270904088</v>
      </c>
      <c r="I33" s="92">
        <f>(((Table134567891011121314151617343[[#This Row],[FRA]]-VLOOKUP($U$1,A:C,3,))/VLOOKUP($U$1,A:C,3,))*100)+100</f>
        <v>88.144789465539048</v>
      </c>
      <c r="J33" s="92">
        <f>(((Table134567891011121314151617343[[#This Row],[DEU]]-VLOOKUP($U$1,A:D,4,))/VLOOKUP($U$1,A:D,4,))*100)+100</f>
        <v>95.611708582617183</v>
      </c>
      <c r="K33" s="92">
        <f>(((Table134567891011121314151617343[[#This Row],[ESP]]-VLOOKUP($U$1,A:E,5,))/VLOOKUP($U$1,A:E,5,))*100)+100</f>
        <v>80.168260991493469</v>
      </c>
      <c r="L33" s="92">
        <f>(((Table134567891011121314151617343[[#This Row],[EA19]]-VLOOKUP($U$1,A:F,6,))/VLOOKUP($U$1,A:F,6,))*100)+100</f>
        <v>88.255033557046985</v>
      </c>
      <c r="M33" s="92">
        <f>(((Table134567891011121314151617343[[#This Row],[GBR]]-VLOOKUP($U$1,A:G,7,))/VLOOKUP($U$1,A:G,7,))*100)+100</f>
        <v>88.576029787962952</v>
      </c>
      <c r="N33" s="92">
        <f>VLOOKUP(A33,Database!$E:$AY,MATCH($N$1,Database!$E$1:$AY$1,0),FALSE)</f>
        <v>62.715800000000002</v>
      </c>
      <c r="O33" s="92">
        <f>(((Table134567891011121314151617343[[#This Row],[USA]]-VLOOKUP($U$1,A:N,14,))/VLOOKUP($U$1,A:N,14,))*100)+100</f>
        <v>72.662740623103872</v>
      </c>
      <c r="P33" s="92">
        <f>VLOOKUP(A33,Database!$E:$AY,MATCH($P$1,Database!$E$1:$AY$1,0),FALSE)</f>
        <v>98.165080000000003</v>
      </c>
      <c r="Q33" s="92">
        <f>(((Table134567891011121314151617343[[#This Row],[JPN]]-VLOOKUP($U$1,A:Q,16,))/VLOOKUP($U$1,A:Q,16,))*100)+100</f>
        <v>98.555725328484527</v>
      </c>
      <c r="W33" s="85" t="s">
        <v>418</v>
      </c>
    </row>
    <row r="34" spans="1:23" s="85" customFormat="1" x14ac:dyDescent="0.2">
      <c r="A34" s="22">
        <v>33848</v>
      </c>
      <c r="B34" s="92">
        <f>VLOOKUP(A34,Database!$E:$AY,MATCH($B$1,Database!$E$1:$AY$1,0),FALSE)</f>
        <v>105.69119999999999</v>
      </c>
      <c r="C34" s="92">
        <f>VLOOKUP(A34,Database!$E:$AY,MATCH($C$1,Database!$E$1:$AY$1,0),FALSE)</f>
        <v>89.29074</v>
      </c>
      <c r="D34" s="92">
        <f>VLOOKUP(A34,Database!$E:$AY,MATCH($D$1,Database!$E$1:$AY$1,0),FALSE)</f>
        <v>71.294060000000002</v>
      </c>
      <c r="E34" s="92">
        <f>VLOOKUP(A34,Database!$E:$AY,MATCH($E$1,Database!$E$1:$AY$1,0),FALSE)</f>
        <v>94.509079999999997</v>
      </c>
      <c r="F34" s="92">
        <f>VLOOKUP(A34,Database!$E:$AY,MATCH($F$1,Database!$E$1:$AY$1,0),FALSE)</f>
        <v>78.186970000000002</v>
      </c>
      <c r="G34" s="92">
        <f>VLOOKUP(A34,Database!$E:$AY,MATCH($G$1,Database!$E$1:$AY$1,0),FALSE)</f>
        <v>95.313890000000001</v>
      </c>
      <c r="H34" s="92">
        <f>(((Table134567891011121314151617343[[#This Row],[ITA]]-VLOOKUP($U$1,A:B,2,))/VLOOKUP($U$1,A:B,2,))*100)+100</f>
        <v>86.924325128978637</v>
      </c>
      <c r="I34" s="92">
        <f>(((Table134567891011121314151617343[[#This Row],[FRA]]-VLOOKUP($U$1,A:C,3,))/VLOOKUP($U$1,A:C,3,))*100)+100</f>
        <v>86.908660523705748</v>
      </c>
      <c r="J34" s="92">
        <f>(((Table134567891011121314151617343[[#This Row],[DEU]]-VLOOKUP($U$1,A:D,4,))/VLOOKUP($U$1,A:D,4,))*100)+100</f>
        <v>94.813836206822032</v>
      </c>
      <c r="K34" s="92">
        <f>(((Table134567891011121314151617343[[#This Row],[ESP]]-VLOOKUP($U$1,A:E,5,))/VLOOKUP($U$1,A:E,5,))*100)+100</f>
        <v>79.59054807775712</v>
      </c>
      <c r="L34" s="92">
        <f>(((Table134567891011121314151617343[[#This Row],[EA19]]-VLOOKUP($U$1,A:F,6,))/VLOOKUP($U$1,A:F,6,))*100)+100</f>
        <v>87.472039523365765</v>
      </c>
      <c r="M34" s="92">
        <f>(((Table134567891011121314151617343[[#This Row],[GBR]]-VLOOKUP($U$1,A:G,7,))/VLOOKUP($U$1,A:G,7,))*100)+100</f>
        <v>89.21589440174624</v>
      </c>
      <c r="N34" s="92">
        <f>VLOOKUP(A34,Database!$E:$AY,MATCH($N$1,Database!$E$1:$AY$1,0),FALSE)</f>
        <v>62.861510000000003</v>
      </c>
      <c r="O34" s="92">
        <f>(((Table134567891011121314151617343[[#This Row],[USA]]-VLOOKUP($U$1,A:N,14,))/VLOOKUP($U$1,A:N,14,))*100)+100</f>
        <v>72.831560728024684</v>
      </c>
      <c r="P34" s="92">
        <f>VLOOKUP(A34,Database!$E:$AY,MATCH($P$1,Database!$E$1:$AY$1,0),FALSE)</f>
        <v>101.9173</v>
      </c>
      <c r="Q34" s="92">
        <f>(((Table134567891011121314151617343[[#This Row],[JPN]]-VLOOKUP($U$1,A:Q,16,))/VLOOKUP($U$1,A:Q,16,))*100)+100</f>
        <v>102.32287718831131</v>
      </c>
      <c r="W34" s="85" t="s">
        <v>431</v>
      </c>
    </row>
    <row r="35" spans="1:23" s="85" customFormat="1" x14ac:dyDescent="0.2">
      <c r="A35" s="22">
        <v>33878</v>
      </c>
      <c r="B35" s="92">
        <f>VLOOKUP(A35,Database!$E:$AY,MATCH($B$1,Database!$E$1:$AY$1,0),FALSE)</f>
        <v>106.39109999999999</v>
      </c>
      <c r="C35" s="92">
        <f>VLOOKUP(A35,Database!$E:$AY,MATCH($C$1,Database!$E$1:$AY$1,0),FALSE)</f>
        <v>90.240750000000006</v>
      </c>
      <c r="D35" s="92">
        <f>VLOOKUP(A35,Database!$E:$AY,MATCH($D$1,Database!$E$1:$AY$1,0),FALSE)</f>
        <v>71.194069999999996</v>
      </c>
      <c r="E35" s="92">
        <f>VLOOKUP(A35,Database!$E:$AY,MATCH($E$1,Database!$E$1:$AY$1,0),FALSE)</f>
        <v>94.108080000000001</v>
      </c>
      <c r="F35" s="92">
        <f>VLOOKUP(A35,Database!$E:$AY,MATCH($F$1,Database!$E$1:$AY$1,0),FALSE)</f>
        <v>78.286950000000004</v>
      </c>
      <c r="G35" s="92">
        <f>VLOOKUP(A35,Database!$E:$AY,MATCH($G$1,Database!$E$1:$AY$1,0),FALSE)</f>
        <v>96.290469999999999</v>
      </c>
      <c r="H35" s="92">
        <f>(((Table134567891011121314151617343[[#This Row],[ITA]]-VLOOKUP($U$1,A:B,2,))/VLOOKUP($U$1,A:B,2,))*100)+100</f>
        <v>87.499948597704247</v>
      </c>
      <c r="I35" s="92">
        <f>(((Table134567891011121314151617343[[#This Row],[FRA]]-VLOOKUP($U$1,A:C,3,))/VLOOKUP($U$1,A:C,3,))*100)+100</f>
        <v>87.833326357857487</v>
      </c>
      <c r="J35" s="92">
        <f>(((Table134567891011121314151617343[[#This Row],[DEU]]-VLOOKUP($U$1,A:D,4,))/VLOOKUP($U$1,A:D,4,))*100)+100</f>
        <v>94.680859694019688</v>
      </c>
      <c r="K35" s="92">
        <f>(((Table134567891011121314151617343[[#This Row],[ESP]]-VLOOKUP($U$1,A:E,5,))/VLOOKUP($U$1,A:E,5,))*100)+100</f>
        <v>79.252847088823785</v>
      </c>
      <c r="L35" s="92">
        <f>(((Table134567891011121314151617343[[#This Row],[EA19]]-VLOOKUP($U$1,A:F,6,))/VLOOKUP($U$1,A:F,6,))*100)+100</f>
        <v>87.583892617449678</v>
      </c>
      <c r="M35" s="92">
        <f>(((Table134567891011121314151617343[[#This Row],[GBR]]-VLOOKUP($U$1,A:G,7,))/VLOOKUP($U$1,A:G,7,))*100)+100</f>
        <v>90.129994730196358</v>
      </c>
      <c r="N35" s="92">
        <f>VLOOKUP(A35,Database!$E:$AY,MATCH($N$1,Database!$E$1:$AY$1,0),FALSE)</f>
        <v>63.333019999999998</v>
      </c>
      <c r="O35" s="92">
        <f>(((Table134567891011121314151617343[[#This Row],[USA]]-VLOOKUP($U$1,A:N,14,))/VLOOKUP($U$1,A:N,14,))*100)+100</f>
        <v>73.377853828506531</v>
      </c>
      <c r="P35" s="92">
        <f>VLOOKUP(A35,Database!$E:$AY,MATCH($P$1,Database!$E$1:$AY$1,0),FALSE)</f>
        <v>98.773539999999997</v>
      </c>
      <c r="Q35" s="92">
        <f>(((Table134567891011121314151617343[[#This Row],[JPN]]-VLOOKUP($U$1,A:Q,16,))/VLOOKUP($U$1,A:Q,16,))*100)+100</f>
        <v>99.166606678893132</v>
      </c>
      <c r="W35" s="85" t="s">
        <v>542</v>
      </c>
    </row>
    <row r="36" spans="1:23" s="85" customFormat="1" x14ac:dyDescent="0.2">
      <c r="A36" s="22">
        <v>33909</v>
      </c>
      <c r="B36" s="92">
        <f>VLOOKUP(A36,Database!$E:$AY,MATCH($B$1,Database!$E$1:$AY$1,0),FALSE)</f>
        <v>107.0911</v>
      </c>
      <c r="C36" s="92">
        <f>VLOOKUP(A36,Database!$E:$AY,MATCH($C$1,Database!$E$1:$AY$1,0),FALSE)</f>
        <v>89.070740000000001</v>
      </c>
      <c r="D36" s="92">
        <f>VLOOKUP(A36,Database!$E:$AY,MATCH($D$1,Database!$E$1:$AY$1,0),FALSE)</f>
        <v>70.094160000000002</v>
      </c>
      <c r="E36" s="92">
        <f>VLOOKUP(A36,Database!$E:$AY,MATCH($E$1,Database!$E$1:$AY$1,0),FALSE)</f>
        <v>92.213070000000002</v>
      </c>
      <c r="F36" s="92">
        <f>VLOOKUP(A36,Database!$E:$AY,MATCH($F$1,Database!$E$1:$AY$1,0),FALSE)</f>
        <v>77.587069999999997</v>
      </c>
      <c r="G36" s="92">
        <f>VLOOKUP(A36,Database!$E:$AY,MATCH($G$1,Database!$E$1:$AY$1,0),FALSE)</f>
        <v>95.020910000000001</v>
      </c>
      <c r="H36" s="92">
        <f>(((Table134567891011121314151617343[[#This Row],[ITA]]-VLOOKUP($U$1,A:B,2,))/VLOOKUP($U$1,A:B,2,))*100)+100</f>
        <v>88.075654310103062</v>
      </c>
      <c r="I36" s="92">
        <f>(((Table134567891011121314151617343[[#This Row],[FRA]]-VLOOKUP($U$1,A:C,3,))/VLOOKUP($U$1,A:C,3,))*100)+100</f>
        <v>86.694529637174682</v>
      </c>
      <c r="J36" s="92">
        <f>(((Table134567891011121314151617343[[#This Row],[DEU]]-VLOOKUP($U$1,A:D,4,))/VLOOKUP($U$1,A:D,4,))*100)+100</f>
        <v>93.218091455231701</v>
      </c>
      <c r="K36" s="92">
        <f>(((Table134567891011121314151617343[[#This Row],[ESP]]-VLOOKUP($U$1,A:E,5,))/VLOOKUP($U$1,A:E,5,))*100)+100</f>
        <v>77.656969904188927</v>
      </c>
      <c r="L36" s="92">
        <f>(((Table134567891011121314151617343[[#This Row],[EA19]]-VLOOKUP($U$1,A:F,6,))/VLOOKUP($U$1,A:F,6,))*100)+100</f>
        <v>86.800898583768443</v>
      </c>
      <c r="M36" s="92">
        <f>(((Table134567891011121314151617343[[#This Row],[GBR]]-VLOOKUP($U$1,A:G,7,))/VLOOKUP($U$1,A:G,7,))*100)+100</f>
        <v>88.941658687079439</v>
      </c>
      <c r="N36" s="92">
        <f>VLOOKUP(A36,Database!$E:$AY,MATCH($N$1,Database!$E$1:$AY$1,0),FALSE)</f>
        <v>63.602440000000001</v>
      </c>
      <c r="O36" s="92">
        <f>(((Table134567891011121314151617343[[#This Row],[USA]]-VLOOKUP($U$1,A:N,14,))/VLOOKUP($U$1,A:N,14,))*100)+100</f>
        <v>73.690004763018678</v>
      </c>
      <c r="P36" s="92">
        <f>VLOOKUP(A36,Database!$E:$AY,MATCH($P$1,Database!$E$1:$AY$1,0),FALSE)</f>
        <v>97.556619999999995</v>
      </c>
      <c r="Q36" s="92">
        <f>(((Table134567891011121314151617343[[#This Row],[JPN]]-VLOOKUP($U$1,A:Q,16,))/VLOOKUP($U$1,A:Q,16,))*100)+100</f>
        <v>97.944843978075895</v>
      </c>
      <c r="W36" s="85" t="s">
        <v>543</v>
      </c>
    </row>
    <row r="37" spans="1:23" s="85" customFormat="1" x14ac:dyDescent="0.2">
      <c r="A37" s="22">
        <v>33939</v>
      </c>
      <c r="B37" s="92">
        <f>VLOOKUP(A37,Database!$E:$AY,MATCH($B$1,Database!$E$1:$AY$1,0),FALSE)</f>
        <v>105.2912</v>
      </c>
      <c r="C37" s="92">
        <f>VLOOKUP(A37,Database!$E:$AY,MATCH($C$1,Database!$E$1:$AY$1,0),FALSE)</f>
        <v>87.88073</v>
      </c>
      <c r="D37" s="92">
        <f>VLOOKUP(A37,Database!$E:$AY,MATCH($D$1,Database!$E$1:$AY$1,0),FALSE)</f>
        <v>68.894260000000003</v>
      </c>
      <c r="E37" s="92">
        <f>VLOOKUP(A37,Database!$E:$AY,MATCH($E$1,Database!$E$1:$AY$1,0),FALSE)</f>
        <v>90.677080000000004</v>
      </c>
      <c r="F37" s="92">
        <f>VLOOKUP(A37,Database!$E:$AY,MATCH($F$1,Database!$E$1:$AY$1,0),FALSE)</f>
        <v>76.287279999999996</v>
      </c>
      <c r="G37" s="92">
        <f>VLOOKUP(A37,Database!$E:$AY,MATCH($G$1,Database!$E$1:$AY$1,0),FALSE)</f>
        <v>94.923259999999999</v>
      </c>
      <c r="H37" s="92">
        <f>(((Table134567891011121314151617343[[#This Row],[ITA]]-VLOOKUP($U$1,A:B,2,))/VLOOKUP($U$1,A:B,2,))*100)+100</f>
        <v>86.595350436179331</v>
      </c>
      <c r="I37" s="92">
        <f>(((Table134567891011121314151617343[[#This Row],[FRA]]-VLOOKUP($U$1,A:C,3,))/VLOOKUP($U$1,A:C,3,))*100)+100</f>
        <v>85.536266472261786</v>
      </c>
      <c r="J37" s="92">
        <f>(((Table134567891011121314151617343[[#This Row],[DEU]]-VLOOKUP($U$1,A:D,4,))/VLOOKUP($U$1,A:D,4,))*100)+100</f>
        <v>91.622346703641384</v>
      </c>
      <c r="K37" s="92">
        <f>(((Table134567891011121314151617343[[#This Row],[ESP]]-VLOOKUP($U$1,A:E,5,))/VLOOKUP($U$1,A:E,5,))*100)+100</f>
        <v>76.363440373037491</v>
      </c>
      <c r="L37" s="92">
        <f>(((Table134567891011121314151617343[[#This Row],[EA19]]-VLOOKUP($U$1,A:F,6,))/VLOOKUP($U$1,A:F,6,))*100)+100</f>
        <v>85.34675242294297</v>
      </c>
      <c r="M37" s="92">
        <f>(((Table134567891011121314151617343[[#This Row],[GBR]]-VLOOKUP($U$1,A:G,7,))/VLOOKUP($U$1,A:G,7,))*100)+100</f>
        <v>88.850256142410132</v>
      </c>
      <c r="N37" s="92">
        <f>VLOOKUP(A37,Database!$E:$AY,MATCH($N$1,Database!$E$1:$AY$1,0),FALSE)</f>
        <v>63.659880000000001</v>
      </c>
      <c r="O37" s="92">
        <f>(((Table134567891011121314151617343[[#This Row],[USA]]-VLOOKUP($U$1,A:N,14,))/VLOOKUP($U$1,A:N,14,))*100)+100</f>
        <v>73.756554943697083</v>
      </c>
      <c r="P37" s="92">
        <f>VLOOKUP(A37,Database!$E:$AY,MATCH($P$1,Database!$E$1:$AY$1,0),FALSE)</f>
        <v>97.150970000000001</v>
      </c>
      <c r="Q37" s="92">
        <f>(((Table134567891011121314151617343[[#This Row],[JPN]]-VLOOKUP($U$1,A:Q,16,))/VLOOKUP($U$1,A:Q,16,))*100)+100</f>
        <v>97.537579704675423</v>
      </c>
      <c r="W37" s="85" t="s">
        <v>544</v>
      </c>
    </row>
    <row r="38" spans="1:23" s="85" customFormat="1" x14ac:dyDescent="0.2">
      <c r="A38" s="22">
        <v>33970</v>
      </c>
      <c r="B38" s="92">
        <f>VLOOKUP(A38,Database!$E:$AY,MATCH($B$1,Database!$E$1:$AY$1,0),FALSE)</f>
        <v>107.0911</v>
      </c>
      <c r="C38" s="92">
        <f>VLOOKUP(A38,Database!$E:$AY,MATCH($C$1,Database!$E$1:$AY$1,0),FALSE)</f>
        <v>87.790729999999996</v>
      </c>
      <c r="D38" s="92">
        <f>VLOOKUP(A38,Database!$E:$AY,MATCH($D$1,Database!$E$1:$AY$1,0),FALSE)</f>
        <v>68.094319999999996</v>
      </c>
      <c r="E38" s="92">
        <f>VLOOKUP(A38,Database!$E:$AY,MATCH($E$1,Database!$E$1:$AY$1,0),FALSE)</f>
        <v>92.402079999999998</v>
      </c>
      <c r="F38" s="92">
        <f>VLOOKUP(A38,Database!$E:$AY,MATCH($F$1,Database!$E$1:$AY$1,0),FALSE)</f>
        <v>76.687219999999996</v>
      </c>
      <c r="G38" s="92">
        <f>VLOOKUP(A38,Database!$E:$AY,MATCH($G$1,Database!$E$1:$AY$1,0),FALSE)</f>
        <v>95.020910000000001</v>
      </c>
      <c r="H38" s="92">
        <f>(((Table134567891011121314151617343[[#This Row],[ITA]]-VLOOKUP($U$1,A:B,2,))/VLOOKUP($U$1,A:B,2,))*100)+100</f>
        <v>88.075654310103062</v>
      </c>
      <c r="I38" s="92">
        <f>(((Table134567891011121314151617343[[#This Row],[FRA]]-VLOOKUP($U$1,A:C,3,))/VLOOKUP($U$1,A:C,3,))*100)+100</f>
        <v>85.448667473226337</v>
      </c>
      <c r="J38" s="92">
        <f>(((Table134567891011121314151617343[[#This Row],[DEU]]-VLOOKUP($U$1,A:D,4,))/VLOOKUP($U$1,A:D,4,))*100)+100</f>
        <v>90.558508003260371</v>
      </c>
      <c r="K38" s="92">
        <f>(((Table134567891011121314151617343[[#This Row],[ESP]]-VLOOKUP($U$1,A:E,5,))/VLOOKUP($U$1,A:E,5,))*100)+100</f>
        <v>77.816144128424057</v>
      </c>
      <c r="L38" s="92">
        <f>(((Table134567891011121314151617343[[#This Row],[EA19]]-VLOOKUP($U$1,A:F,6,))/VLOOKUP($U$1,A:F,6,))*100)+100</f>
        <v>85.794187174372468</v>
      </c>
      <c r="M38" s="92">
        <f>(((Table134567891011121314151617343[[#This Row],[GBR]]-VLOOKUP($U$1,A:G,7,))/VLOOKUP($U$1,A:G,7,))*100)+100</f>
        <v>88.941658687079439</v>
      </c>
      <c r="N38" s="92">
        <f>VLOOKUP(A38,Database!$E:$AY,MATCH($N$1,Database!$E$1:$AY$1,0),FALSE)</f>
        <v>63.935650000000003</v>
      </c>
      <c r="O38" s="92">
        <f>(((Table134567891011121314151617343[[#This Row],[USA]]-VLOOKUP($U$1,A:N,14,))/VLOOKUP($U$1,A:N,14,))*100)+100</f>
        <v>74.076063009952051</v>
      </c>
      <c r="P38" s="92">
        <f>VLOOKUP(A38,Database!$E:$AY,MATCH($P$1,Database!$E$1:$AY$1,0),FALSE)</f>
        <v>99.179180000000002</v>
      </c>
      <c r="Q38" s="92">
        <f>(((Table134567891011121314151617343[[#This Row],[JPN]]-VLOOKUP($U$1,A:Q,16,))/VLOOKUP($U$1,A:Q,16,))*100)+100</f>
        <v>99.573860912498873</v>
      </c>
      <c r="W38" s="85" t="s">
        <v>90</v>
      </c>
    </row>
    <row r="39" spans="1:23" s="85" customFormat="1" x14ac:dyDescent="0.2">
      <c r="A39" s="22">
        <v>34001</v>
      </c>
      <c r="B39" s="92">
        <f>VLOOKUP(A39,Database!$E:$AY,MATCH($B$1,Database!$E$1:$AY$1,0),FALSE)</f>
        <v>106.7911</v>
      </c>
      <c r="C39" s="92">
        <f>VLOOKUP(A39,Database!$E:$AY,MATCH($C$1,Database!$E$1:$AY$1,0),FALSE)</f>
        <v>87.930729999999997</v>
      </c>
      <c r="D39" s="92">
        <f>VLOOKUP(A39,Database!$E:$AY,MATCH($D$1,Database!$E$1:$AY$1,0),FALSE)</f>
        <v>67.094409999999996</v>
      </c>
      <c r="E39" s="92">
        <f>VLOOKUP(A39,Database!$E:$AY,MATCH($E$1,Database!$E$1:$AY$1,0),FALSE)</f>
        <v>90.817080000000004</v>
      </c>
      <c r="F39" s="92">
        <f>VLOOKUP(A39,Database!$E:$AY,MATCH($F$1,Database!$E$1:$AY$1,0),FALSE)</f>
        <v>76.087320000000005</v>
      </c>
      <c r="G39" s="92">
        <f>VLOOKUP(A39,Database!$E:$AY,MATCH($G$1,Database!$E$1:$AY$1,0),FALSE)</f>
        <v>96.388120000000001</v>
      </c>
      <c r="H39" s="92">
        <f>(((Table134567891011121314151617343[[#This Row],[ITA]]-VLOOKUP($U$1,A:B,2,))/VLOOKUP($U$1,A:B,2,))*100)+100</f>
        <v>87.828923290503568</v>
      </c>
      <c r="I39" s="92">
        <f>(((Table134567891011121314151617343[[#This Row],[FRA]]-VLOOKUP($U$1,A:C,3,))/VLOOKUP($U$1,A:C,3,))*100)+100</f>
        <v>85.584932582837013</v>
      </c>
      <c r="J39" s="92">
        <f>(((Table134567891011121314151617343[[#This Row],[DEU]]-VLOOKUP($U$1,A:D,4,))/VLOOKUP($U$1,A:D,4,))*100)+100</f>
        <v>89.228729576255887</v>
      </c>
      <c r="K39" s="92">
        <f>(((Table134567891011121314151617343[[#This Row],[ESP]]-VLOOKUP($U$1,A:E,5,))/VLOOKUP($U$1,A:E,5,))*100)+100</f>
        <v>76.481340967677554</v>
      </c>
      <c r="L39" s="92">
        <f>(((Table134567891011121314151617343[[#This Row],[EA19]]-VLOOKUP($U$1,A:F,6,))/VLOOKUP($U$1,A:F,6,))*100)+100</f>
        <v>85.12304623477516</v>
      </c>
      <c r="M39" s="92">
        <f>(((Table134567891011121314151617343[[#This Row],[GBR]]-VLOOKUP($U$1,A:G,7,))/VLOOKUP($U$1,A:G,7,))*100)+100</f>
        <v>90.221397274865666</v>
      </c>
      <c r="N39" s="92">
        <f>VLOOKUP(A39,Database!$E:$AY,MATCH($N$1,Database!$E$1:$AY$1,0),FALSE)</f>
        <v>64.219089999999994</v>
      </c>
      <c r="O39" s="92">
        <f>(((Table134567891011121314151617343[[#This Row],[USA]]-VLOOKUP($U$1,A:N,14,))/VLOOKUP($U$1,A:N,14,))*100)+100</f>
        <v>74.40445756446961</v>
      </c>
      <c r="P39" s="92">
        <f>VLOOKUP(A39,Database!$E:$AY,MATCH($P$1,Database!$E$1:$AY$1,0),FALSE)</f>
        <v>99.382000000000005</v>
      </c>
      <c r="Q39" s="92">
        <f>(((Table134567891011121314151617343[[#This Row],[JPN]]-VLOOKUP($U$1,A:Q,16,))/VLOOKUP($U$1,A:Q,16,))*100)+100</f>
        <v>99.77748802930175</v>
      </c>
      <c r="W39" s="85" t="s">
        <v>210</v>
      </c>
    </row>
    <row r="40" spans="1:23" s="85" customFormat="1" x14ac:dyDescent="0.2">
      <c r="A40" s="22">
        <v>34029</v>
      </c>
      <c r="B40" s="92">
        <f>VLOOKUP(A40,Database!$E:$AY,MATCH($B$1,Database!$E$1:$AY$1,0),FALSE)</f>
        <v>106.2911</v>
      </c>
      <c r="C40" s="92">
        <f>VLOOKUP(A40,Database!$E:$AY,MATCH($C$1,Database!$E$1:$AY$1,0),FALSE)</f>
        <v>87.490729999999999</v>
      </c>
      <c r="D40" s="92">
        <f>VLOOKUP(A40,Database!$E:$AY,MATCH($D$1,Database!$E$1:$AY$1,0),FALSE)</f>
        <v>67.194400000000002</v>
      </c>
      <c r="E40" s="92">
        <f>VLOOKUP(A40,Database!$E:$AY,MATCH($E$1,Database!$E$1:$AY$1,0),FALSE)</f>
        <v>90.821079999999995</v>
      </c>
      <c r="F40" s="92">
        <f>VLOOKUP(A40,Database!$E:$AY,MATCH($F$1,Database!$E$1:$AY$1,0),FALSE)</f>
        <v>75.887349999999998</v>
      </c>
      <c r="G40" s="92">
        <f>VLOOKUP(A40,Database!$E:$AY,MATCH($G$1,Database!$E$1:$AY$1,0),FALSE)</f>
        <v>95.606859999999998</v>
      </c>
      <c r="H40" s="92">
        <f>(((Table134567891011121314151617343[[#This Row],[ITA]]-VLOOKUP($U$1,A:B,2,))/VLOOKUP($U$1,A:B,2,))*100)+100</f>
        <v>87.41770492450442</v>
      </c>
      <c r="I40" s="92">
        <f>(((Table134567891011121314151617343[[#This Row],[FRA]]-VLOOKUP($U$1,A:C,3,))/VLOOKUP($U$1,A:C,3,))*100)+100</f>
        <v>85.15667080977488</v>
      </c>
      <c r="J40" s="92">
        <f>(((Table134567891011121314151617343[[#This Row],[DEU]]-VLOOKUP($U$1,A:D,4,))/VLOOKUP($U$1,A:D,4,))*100)+100</f>
        <v>89.361706089058217</v>
      </c>
      <c r="K40" s="92">
        <f>(((Table134567891011121314151617343[[#This Row],[ESP]]-VLOOKUP($U$1,A:E,5,))/VLOOKUP($U$1,A:E,5,))*100)+100</f>
        <v>76.484709556095837</v>
      </c>
      <c r="L40" s="92">
        <f>(((Table134567891011121314151617343[[#This Row],[EA19]]-VLOOKUP($U$1,A:F,6,))/VLOOKUP($U$1,A:F,6,))*100)+100</f>
        <v>84.899328859060404</v>
      </c>
      <c r="M40" s="92">
        <f>(((Table134567891011121314151617343[[#This Row],[GBR]]-VLOOKUP($U$1,A:G,7,))/VLOOKUP($U$1,A:G,7,))*100)+100</f>
        <v>89.49012075619342</v>
      </c>
      <c r="N40" s="92">
        <f>VLOOKUP(A40,Database!$E:$AY,MATCH($N$1,Database!$E$1:$AY$1,0),FALSE)</f>
        <v>64.129189999999994</v>
      </c>
      <c r="O40" s="92">
        <f>(((Table134567891011121314151617343[[#This Row],[USA]]-VLOOKUP($U$1,A:N,14,))/VLOOKUP($U$1,A:N,14,))*100)+100</f>
        <v>74.300299116645988</v>
      </c>
      <c r="P40" s="92">
        <f>VLOOKUP(A40,Database!$E:$AY,MATCH($P$1,Database!$E$1:$AY$1,0),FALSE)</f>
        <v>96.03546</v>
      </c>
      <c r="Q40" s="92">
        <f>(((Table134567891011121314151617343[[#This Row],[JPN]]-VLOOKUP($U$1,A:Q,16,))/VLOOKUP($U$1,A:Q,16,))*100)+100</f>
        <v>96.417630562259632</v>
      </c>
      <c r="W40" s="85" t="s">
        <v>483</v>
      </c>
    </row>
    <row r="41" spans="1:23" s="85" customFormat="1" x14ac:dyDescent="0.2">
      <c r="A41" s="22">
        <v>34060</v>
      </c>
      <c r="B41" s="92">
        <f>VLOOKUP(A41,Database!$E:$AY,MATCH($B$1,Database!$E$1:$AY$1,0),FALSE)</f>
        <v>106.0912</v>
      </c>
      <c r="C41" s="92">
        <f>VLOOKUP(A41,Database!$E:$AY,MATCH($C$1,Database!$E$1:$AY$1,0),FALSE)</f>
        <v>86.900729999999996</v>
      </c>
      <c r="D41" s="92">
        <f>VLOOKUP(A41,Database!$E:$AY,MATCH($D$1,Database!$E$1:$AY$1,0),FALSE)</f>
        <v>66.69444</v>
      </c>
      <c r="E41" s="92">
        <f>VLOOKUP(A41,Database!$E:$AY,MATCH($E$1,Database!$E$1:$AY$1,0),FALSE)</f>
        <v>90.574070000000006</v>
      </c>
      <c r="F41" s="92">
        <f>VLOOKUP(A41,Database!$E:$AY,MATCH($F$1,Database!$E$1:$AY$1,0),FALSE)</f>
        <v>75.387439999999998</v>
      </c>
      <c r="G41" s="92">
        <f>VLOOKUP(A41,Database!$E:$AY,MATCH($G$1,Database!$E$1:$AY$1,0),FALSE)</f>
        <v>95.704520000000002</v>
      </c>
      <c r="H41" s="92">
        <f>(((Table134567891011121314151617343[[#This Row],[ITA]]-VLOOKUP($U$1,A:B,2,))/VLOOKUP($U$1,A:B,2,))*100)+100</f>
        <v>87.253299821777958</v>
      </c>
      <c r="I41" s="92">
        <f>(((Table134567891011121314151617343[[#This Row],[FRA]]-VLOOKUP($U$1,A:C,3,))/VLOOKUP($U$1,A:C,3,))*100)+100</f>
        <v>84.582410704987012</v>
      </c>
      <c r="J41" s="92">
        <f>(((Table134567891011121314151617343[[#This Row],[DEU]]-VLOOKUP($U$1,A:D,4,))/VLOOKUP($U$1,A:D,4,))*100)+100</f>
        <v>88.696810226065395</v>
      </c>
      <c r="K41" s="92">
        <f>(((Table134567891011121314151617343[[#This Row],[ESP]]-VLOOKUP($U$1,A:E,5,))/VLOOKUP($U$1,A:E,5,))*100)+100</f>
        <v>76.276690799795531</v>
      </c>
      <c r="L41" s="92">
        <f>(((Table134567891011121314151617343[[#This Row],[EA19]]-VLOOKUP($U$1,A:F,6,))/VLOOKUP($U$1,A:F,6,))*100)+100</f>
        <v>84.340052201093926</v>
      </c>
      <c r="M41" s="92">
        <f>(((Table134567891011121314151617343[[#This Row],[GBR]]-VLOOKUP($U$1,A:G,7,))/VLOOKUP($U$1,A:G,7,))*100)+100</f>
        <v>89.581532661082363</v>
      </c>
      <c r="N41" s="92">
        <f>VLOOKUP(A41,Database!$E:$AY,MATCH($N$1,Database!$E$1:$AY$1,0),FALSE)</f>
        <v>64.354140000000001</v>
      </c>
      <c r="O41" s="92">
        <f>(((Table134567891011121314151617343[[#This Row],[USA]]-VLOOKUP($U$1,A:N,14,))/VLOOKUP($U$1,A:N,14,))*100)+100</f>
        <v>74.560926956889872</v>
      </c>
      <c r="P41" s="92">
        <f>VLOOKUP(A41,Database!$E:$AY,MATCH($P$1,Database!$E$1:$AY$1,0),FALSE)</f>
        <v>97.860849999999999</v>
      </c>
      <c r="Q41" s="92">
        <f>(((Table134567891011121314151617343[[#This Row],[JPN]]-VLOOKUP($U$1,A:Q,16,))/VLOOKUP($U$1,A:Q,16,))*100)+100</f>
        <v>98.250284653280204</v>
      </c>
      <c r="W41" s="85" t="s">
        <v>545</v>
      </c>
    </row>
    <row r="42" spans="1:23" s="85" customFormat="1" x14ac:dyDescent="0.2">
      <c r="A42" s="22">
        <v>34090</v>
      </c>
      <c r="B42" s="92">
        <f>VLOOKUP(A42,Database!$E:$AY,MATCH($B$1,Database!$E$1:$AY$1,0),FALSE)</f>
        <v>105.49120000000001</v>
      </c>
      <c r="C42" s="92">
        <f>VLOOKUP(A42,Database!$E:$AY,MATCH($C$1,Database!$E$1:$AY$1,0),FALSE)</f>
        <v>86.830730000000003</v>
      </c>
      <c r="D42" s="92">
        <f>VLOOKUP(A42,Database!$E:$AY,MATCH($D$1,Database!$E$1:$AY$1,0),FALSE)</f>
        <v>66.69444</v>
      </c>
      <c r="E42" s="92">
        <f>VLOOKUP(A42,Database!$E:$AY,MATCH($E$1,Database!$E$1:$AY$1,0),FALSE)</f>
        <v>91.131069999999994</v>
      </c>
      <c r="F42" s="92">
        <f>VLOOKUP(A42,Database!$E:$AY,MATCH($F$1,Database!$E$1:$AY$1,0),FALSE)</f>
        <v>75.287450000000007</v>
      </c>
      <c r="G42" s="92">
        <f>VLOOKUP(A42,Database!$E:$AY,MATCH($G$1,Database!$E$1:$AY$1,0),FALSE)</f>
        <v>96.388120000000001</v>
      </c>
      <c r="H42" s="92">
        <f>(((Table134567891011121314151617343[[#This Row],[ITA]]-VLOOKUP($U$1,A:B,2,))/VLOOKUP($U$1,A:B,2,))*100)+100</f>
        <v>86.759837782578984</v>
      </c>
      <c r="I42" s="92">
        <f>(((Table134567891011121314151617343[[#This Row],[FRA]]-VLOOKUP($U$1,A:C,3,))/VLOOKUP($U$1,A:C,3,))*100)+100</f>
        <v>84.514278150181681</v>
      </c>
      <c r="J42" s="92">
        <f>(((Table134567891011121314151617343[[#This Row],[DEU]]-VLOOKUP($U$1,A:D,4,))/VLOOKUP($U$1,A:D,4,))*100)+100</f>
        <v>88.696810226065395</v>
      </c>
      <c r="K42" s="92">
        <f>(((Table134567891011121314151617343[[#This Row],[ESP]]-VLOOKUP($U$1,A:E,5,))/VLOOKUP($U$1,A:E,5,))*100)+100</f>
        <v>76.745766737042089</v>
      </c>
      <c r="L42" s="92">
        <f>(((Table134567891011121314151617343[[#This Row],[EA19]]-VLOOKUP($U$1,A:F,6,))/VLOOKUP($U$1,A:F,6,))*100)+100</f>
        <v>84.228187919463096</v>
      </c>
      <c r="M42" s="92">
        <f>(((Table134567891011121314151617343[[#This Row],[GBR]]-VLOOKUP($U$1,A:G,7,))/VLOOKUP($U$1,A:G,7,))*100)+100</f>
        <v>90.221397274865666</v>
      </c>
      <c r="N42" s="92">
        <f>VLOOKUP(A42,Database!$E:$AY,MATCH($N$1,Database!$E$1:$AY$1,0),FALSE)</f>
        <v>64.130719999999997</v>
      </c>
      <c r="O42" s="92">
        <f>(((Table134567891011121314151617343[[#This Row],[USA]]-VLOOKUP($U$1,A:N,14,))/VLOOKUP($U$1,A:N,14,))*100)+100</f>
        <v>74.302071779884812</v>
      </c>
      <c r="P42" s="92">
        <f>VLOOKUP(A42,Database!$E:$AY,MATCH($P$1,Database!$E$1:$AY$1,0),FALSE)</f>
        <v>99.179180000000002</v>
      </c>
      <c r="Q42" s="92">
        <f>(((Table134567891011121314151617343[[#This Row],[JPN]]-VLOOKUP($U$1,A:Q,16,))/VLOOKUP($U$1,A:Q,16,))*100)+100</f>
        <v>99.573860912498873</v>
      </c>
    </row>
    <row r="43" spans="1:23" s="85" customFormat="1" x14ac:dyDescent="0.2">
      <c r="A43" s="22">
        <v>34121</v>
      </c>
      <c r="B43" s="92">
        <f>VLOOKUP(A43,Database!$E:$AY,MATCH($B$1,Database!$E$1:$AY$1,0),FALSE)</f>
        <v>105.0912</v>
      </c>
      <c r="C43" s="92">
        <f>VLOOKUP(A43,Database!$E:$AY,MATCH($C$1,Database!$E$1:$AY$1,0),FALSE)</f>
        <v>86.160719999999998</v>
      </c>
      <c r="D43" s="92">
        <f>VLOOKUP(A43,Database!$E:$AY,MATCH($D$1,Database!$E$1:$AY$1,0),FALSE)</f>
        <v>66.194479999999999</v>
      </c>
      <c r="E43" s="92">
        <f>VLOOKUP(A43,Database!$E:$AY,MATCH($E$1,Database!$E$1:$AY$1,0),FALSE)</f>
        <v>90.633070000000004</v>
      </c>
      <c r="F43" s="92">
        <f>VLOOKUP(A43,Database!$E:$AY,MATCH($F$1,Database!$E$1:$AY$1,0),FALSE)</f>
        <v>74.887519999999995</v>
      </c>
      <c r="G43" s="92">
        <f>VLOOKUP(A43,Database!$E:$AY,MATCH($G$1,Database!$E$1:$AY$1,0),FALSE)</f>
        <v>95.802180000000007</v>
      </c>
      <c r="H43" s="92">
        <f>(((Table134567891011121314151617343[[#This Row],[ITA]]-VLOOKUP($U$1,A:B,2,))/VLOOKUP($U$1,A:B,2,))*100)+100</f>
        <v>86.430863089779663</v>
      </c>
      <c r="I43" s="92">
        <f>(((Table134567891011121314151617343[[#This Row],[FRA]]-VLOOKUP($U$1,A:C,3,))/VLOOKUP($U$1,A:C,3,))*100)+100</f>
        <v>83.862142535251294</v>
      </c>
      <c r="J43" s="92">
        <f>(((Table134567891011121314151617343[[#This Row],[DEU]]-VLOOKUP($U$1,A:D,4,))/VLOOKUP($U$1,A:D,4,))*100)+100</f>
        <v>88.031914363072559</v>
      </c>
      <c r="K43" s="92">
        <f>(((Table134567891011121314151617343[[#This Row],[ESP]]-VLOOKUP($U$1,A:E,5,))/VLOOKUP($U$1,A:E,5,))*100)+100</f>
        <v>76.32637747896527</v>
      </c>
      <c r="L43" s="92">
        <f>(((Table134567891011121314151617343[[#This Row],[EA19]]-VLOOKUP($U$1,A:F,6,))/VLOOKUP($U$1,A:F,6,))*100)+100</f>
        <v>83.780764355580516</v>
      </c>
      <c r="M43" s="92">
        <f>(((Table134567891011121314151617343[[#This Row],[GBR]]-VLOOKUP($U$1,A:G,7,))/VLOOKUP($U$1,A:G,7,))*100)+100</f>
        <v>89.672944565971306</v>
      </c>
      <c r="N43" s="92">
        <f>VLOOKUP(A43,Database!$E:$AY,MATCH($N$1,Database!$E$1:$AY$1,0),FALSE)</f>
        <v>64.237049999999996</v>
      </c>
      <c r="O43" s="92">
        <f>(((Table134567891011121314151617343[[#This Row],[USA]]-VLOOKUP($U$1,A:N,14,))/VLOOKUP($U$1,A:N,14,))*100)+100</f>
        <v>74.425266081965859</v>
      </c>
      <c r="P43" s="92">
        <f>VLOOKUP(A43,Database!$E:$AY,MATCH($P$1,Database!$E$1:$AY$1,0),FALSE)</f>
        <v>97.353800000000007</v>
      </c>
      <c r="Q43" s="92">
        <f>(((Table134567891011121314151617343[[#This Row],[JPN]]-VLOOKUP($U$1,A:Q,16,))/VLOOKUP($U$1,A:Q,16,))*100)+100</f>
        <v>97.741216861273045</v>
      </c>
    </row>
    <row r="44" spans="1:23" s="85" customFormat="1" x14ac:dyDescent="0.2">
      <c r="A44" s="22">
        <v>34151</v>
      </c>
      <c r="B44" s="92">
        <f>VLOOKUP(A44,Database!$E:$AY,MATCH($B$1,Database!$E$1:$AY$1,0),FALSE)</f>
        <v>104.4913</v>
      </c>
      <c r="C44" s="92">
        <f>VLOOKUP(A44,Database!$E:$AY,MATCH($C$1,Database!$E$1:$AY$1,0),FALSE)</f>
        <v>87.330730000000003</v>
      </c>
      <c r="D44" s="92">
        <f>VLOOKUP(A44,Database!$E:$AY,MATCH($D$1,Database!$E$1:$AY$1,0),FALSE)</f>
        <v>64.694609999999997</v>
      </c>
      <c r="E44" s="92">
        <f>VLOOKUP(A44,Database!$E:$AY,MATCH($E$1,Database!$E$1:$AY$1,0),FALSE)</f>
        <v>91.545069999999996</v>
      </c>
      <c r="F44" s="92">
        <f>VLOOKUP(A44,Database!$E:$AY,MATCH($F$1,Database!$E$1:$AY$1,0),FALSE)</f>
        <v>74.387600000000006</v>
      </c>
      <c r="G44" s="92">
        <f>VLOOKUP(A44,Database!$E:$AY,MATCH($G$1,Database!$E$1:$AY$1,0),FALSE)</f>
        <v>96.681100000000001</v>
      </c>
      <c r="H44" s="92">
        <f>(((Table134567891011121314151617343[[#This Row],[ITA]]-VLOOKUP($U$1,A:B,2,))/VLOOKUP($U$1,A:B,2,))*100)+100</f>
        <v>85.93748329425388</v>
      </c>
      <c r="I44" s="92">
        <f>(((Table134567891011121314151617343[[#This Row],[FRA]]-VLOOKUP($U$1,A:C,3,))/VLOOKUP($U$1,A:C,3,))*100)+100</f>
        <v>85.000939255934114</v>
      </c>
      <c r="J44" s="92">
        <f>(((Table134567891011121314151617343[[#This Row],[DEU]]-VLOOKUP($U$1,A:D,4,))/VLOOKUP($U$1,A:D,4,))*100)+100</f>
        <v>86.037240073075239</v>
      </c>
      <c r="K44" s="92">
        <f>(((Table134567891011121314151617343[[#This Row],[ESP]]-VLOOKUP($U$1,A:E,5,))/VLOOKUP($U$1,A:E,5,))*100)+100</f>
        <v>77.094415638334866</v>
      </c>
      <c r="L44" s="92">
        <f>(((Table134567891011121314151617343[[#This Row],[EA19]]-VLOOKUP($U$1,A:F,6,))/VLOOKUP($U$1,A:F,6,))*100)+100</f>
        <v>83.221476510067134</v>
      </c>
      <c r="M44" s="92">
        <f>(((Table134567891011121314151617343[[#This Row],[GBR]]-VLOOKUP($U$1,A:G,7,))/VLOOKUP($U$1,A:G,7,))*100)+100</f>
        <v>90.495632989532467</v>
      </c>
      <c r="N44" s="92">
        <f>VLOOKUP(A44,Database!$E:$AY,MATCH($N$1,Database!$E$1:$AY$1,0),FALSE)</f>
        <v>64.435299999999998</v>
      </c>
      <c r="O44" s="92">
        <f>(((Table134567891011121314151617343[[#This Row],[USA]]-VLOOKUP($U$1,A:N,14,))/VLOOKUP($U$1,A:N,14,))*100)+100</f>
        <v>74.654959210787155</v>
      </c>
      <c r="P44" s="92">
        <f>VLOOKUP(A44,Database!$E:$AY,MATCH($P$1,Database!$E$1:$AY$1,0),FALSE)</f>
        <v>97.252380000000002</v>
      </c>
      <c r="Q44" s="92">
        <f>(((Table134567891011121314151617343[[#This Row],[JPN]]-VLOOKUP($U$1,A:Q,16,))/VLOOKUP($U$1,A:Q,16,))*100)+100</f>
        <v>97.639393263076869</v>
      </c>
    </row>
    <row r="45" spans="1:23" s="85" customFormat="1" x14ac:dyDescent="0.2">
      <c r="A45" s="22">
        <v>34182</v>
      </c>
      <c r="B45" s="92">
        <f>VLOOKUP(A45,Database!$E:$AY,MATCH($B$1,Database!$E$1:$AY$1,0),FALSE)</f>
        <v>104.5913</v>
      </c>
      <c r="C45" s="92">
        <f>VLOOKUP(A45,Database!$E:$AY,MATCH($C$1,Database!$E$1:$AY$1,0),FALSE)</f>
        <v>86.700720000000004</v>
      </c>
      <c r="D45" s="92">
        <f>VLOOKUP(A45,Database!$E:$AY,MATCH($D$1,Database!$E$1:$AY$1,0),FALSE)</f>
        <v>67.494380000000007</v>
      </c>
      <c r="E45" s="92">
        <f>VLOOKUP(A45,Database!$E:$AY,MATCH($E$1,Database!$E$1:$AY$1,0),FALSE)</f>
        <v>89.840069999999997</v>
      </c>
      <c r="F45" s="92">
        <f>VLOOKUP(A45,Database!$E:$AY,MATCH($F$1,Database!$E$1:$AY$1,0),FALSE)</f>
        <v>75.48742</v>
      </c>
      <c r="G45" s="92">
        <f>VLOOKUP(A45,Database!$E:$AY,MATCH($G$1,Database!$E$1:$AY$1,0),FALSE)</f>
        <v>96.974069999999998</v>
      </c>
      <c r="H45" s="92">
        <f>(((Table134567891011121314151617343[[#This Row],[ITA]]-VLOOKUP($U$1,A:B,2,))/VLOOKUP($U$1,A:B,2,))*100)+100</f>
        <v>86.019726967453721</v>
      </c>
      <c r="I45" s="92">
        <f>(((Table134567891011121314151617343[[#This Row],[FRA]]-VLOOKUP($U$1,A:C,3,))/VLOOKUP($U$1,A:C,3,))*100)+100</f>
        <v>84.387736529463936</v>
      </c>
      <c r="J45" s="92">
        <f>(((Table134567891011121314151617343[[#This Row],[DEU]]-VLOOKUP($U$1,A:D,4,))/VLOOKUP($U$1,A:D,4,))*100)+100</f>
        <v>89.760648926446407</v>
      </c>
      <c r="K45" s="92">
        <f>(((Table134567891011121314151617343[[#This Row],[ESP]]-VLOOKUP($U$1,A:E,5,))/VLOOKUP($U$1,A:E,5,))*100)+100</f>
        <v>75.658554825039715</v>
      </c>
      <c r="L45" s="92">
        <f>(((Table134567891011121314151617343[[#This Row],[EA19]]-VLOOKUP($U$1,A:F,6,))/VLOOKUP($U$1,A:F,6,))*100)+100</f>
        <v>84.451905295177838</v>
      </c>
      <c r="M45" s="92">
        <f>(((Table134567891011121314151617343[[#This Row],[GBR]]-VLOOKUP($U$1,A:G,7,))/VLOOKUP($U$1,A:G,7,))*100)+100</f>
        <v>90.769859343979647</v>
      </c>
      <c r="N45" s="92">
        <f>VLOOKUP(A45,Database!$E:$AY,MATCH($N$1,Database!$E$1:$AY$1,0),FALSE)</f>
        <v>64.367580000000004</v>
      </c>
      <c r="O45" s="92">
        <f>(((Table134567891011121314151617343[[#This Row],[USA]]-VLOOKUP($U$1,A:N,14,))/VLOOKUP($U$1,A:N,14,))*100)+100</f>
        <v>74.576498586909338</v>
      </c>
      <c r="P45" s="92">
        <f>VLOOKUP(A45,Database!$E:$AY,MATCH($P$1,Database!$E$1:$AY$1,0),FALSE)</f>
        <v>96.339690000000004</v>
      </c>
      <c r="Q45" s="92">
        <f>(((Table134567891011121314151617343[[#This Row],[JPN]]-VLOOKUP($U$1,A:Q,16,))/VLOOKUP($U$1,A:Q,16,))*100)+100</f>
        <v>96.723071237463941</v>
      </c>
    </row>
    <row r="46" spans="1:23" s="85" customFormat="1" x14ac:dyDescent="0.2">
      <c r="A46" s="22">
        <v>34213</v>
      </c>
      <c r="B46" s="92">
        <f>VLOOKUP(A46,Database!$E:$AY,MATCH($B$1,Database!$E$1:$AY$1,0),FALSE)</f>
        <v>105.19119999999999</v>
      </c>
      <c r="C46" s="92">
        <f>VLOOKUP(A46,Database!$E:$AY,MATCH($C$1,Database!$E$1:$AY$1,0),FALSE)</f>
        <v>87.280720000000002</v>
      </c>
      <c r="D46" s="92">
        <f>VLOOKUP(A46,Database!$E:$AY,MATCH($D$1,Database!$E$1:$AY$1,0),FALSE)</f>
        <v>67.194400000000002</v>
      </c>
      <c r="E46" s="92">
        <f>VLOOKUP(A46,Database!$E:$AY,MATCH($E$1,Database!$E$1:$AY$1,0),FALSE)</f>
        <v>92.618080000000006</v>
      </c>
      <c r="F46" s="92">
        <f>VLOOKUP(A46,Database!$E:$AY,MATCH($F$1,Database!$E$1:$AY$1,0),FALSE)</f>
        <v>75.787369999999996</v>
      </c>
      <c r="G46" s="92">
        <f>VLOOKUP(A46,Database!$E:$AY,MATCH($G$1,Database!$E$1:$AY$1,0),FALSE)</f>
        <v>97.364699999999999</v>
      </c>
      <c r="H46" s="92">
        <f>(((Table134567891011121314151617343[[#This Row],[ITA]]-VLOOKUP($U$1,A:B,2,))/VLOOKUP($U$1,A:B,2,))*100)+100</f>
        <v>86.51310676297949</v>
      </c>
      <c r="I46" s="92">
        <f>(((Table134567891011121314151617343[[#This Row],[FRA]]-VLOOKUP($U$1,A:C,3,))/VLOOKUP($U$1,A:C,3,))*100)+100</f>
        <v>84.952263412136745</v>
      </c>
      <c r="J46" s="92">
        <f>(((Table134567891011121314151617343[[#This Row],[DEU]]-VLOOKUP($U$1,A:D,4,))/VLOOKUP($U$1,A:D,4,))*100)+100</f>
        <v>89.361706089058217</v>
      </c>
      <c r="K46" s="92">
        <f>(((Table134567891011121314151617343[[#This Row],[ESP]]-VLOOKUP($U$1,A:E,5,))/VLOOKUP($U$1,A:E,5,))*100)+100</f>
        <v>77.99804790301161</v>
      </c>
      <c r="L46" s="92">
        <f>(((Table134567891011121314151617343[[#This Row],[EA19]]-VLOOKUP($U$1,A:F,6,))/VLOOKUP($U$1,A:F,6,))*100)+100</f>
        <v>84.787475764976492</v>
      </c>
      <c r="M46" s="92">
        <f>(((Table134567891011121314151617343[[#This Row],[GBR]]-VLOOKUP($U$1,A:G,7,))/VLOOKUP($U$1,A:G,7,))*100)+100</f>
        <v>91.13549760331577</v>
      </c>
      <c r="N46" s="92">
        <f>VLOOKUP(A46,Database!$E:$AY,MATCH($N$1,Database!$E$1:$AY$1,0),FALSE)</f>
        <v>64.675430000000006</v>
      </c>
      <c r="O46" s="92">
        <f>(((Table134567891011121314151617343[[#This Row],[USA]]-VLOOKUP($U$1,A:N,14,))/VLOOKUP($U$1,A:N,14,))*100)+100</f>
        <v>74.933174651008386</v>
      </c>
      <c r="P46" s="92">
        <f>VLOOKUP(A46,Database!$E:$AY,MATCH($P$1,Database!$E$1:$AY$1,0),FALSE)</f>
        <v>96.643919999999994</v>
      </c>
      <c r="Q46" s="92">
        <f>(((Table134567891011121314151617343[[#This Row],[JPN]]-VLOOKUP($U$1,A:Q,16,))/VLOOKUP($U$1,A:Q,16,))*100)+100</f>
        <v>97.028511912668236</v>
      </c>
    </row>
    <row r="47" spans="1:23" s="85" customFormat="1" x14ac:dyDescent="0.2">
      <c r="A47" s="22">
        <v>34243</v>
      </c>
      <c r="B47" s="92">
        <f>VLOOKUP(A47,Database!$E:$AY,MATCH($B$1,Database!$E$1:$AY$1,0),FALSE)</f>
        <v>105.0912</v>
      </c>
      <c r="C47" s="92">
        <f>VLOOKUP(A47,Database!$E:$AY,MATCH($C$1,Database!$E$1:$AY$1,0),FALSE)</f>
        <v>87.670730000000006</v>
      </c>
      <c r="D47" s="92">
        <f>VLOOKUP(A47,Database!$E:$AY,MATCH($D$1,Database!$E$1:$AY$1,0),FALSE)</f>
        <v>67.194400000000002</v>
      </c>
      <c r="E47" s="92">
        <f>VLOOKUP(A47,Database!$E:$AY,MATCH($E$1,Database!$E$1:$AY$1,0),FALSE)</f>
        <v>93.289079999999998</v>
      </c>
      <c r="F47" s="92">
        <f>VLOOKUP(A47,Database!$E:$AY,MATCH($F$1,Database!$E$1:$AY$1,0),FALSE)</f>
        <v>75.887349999999998</v>
      </c>
      <c r="G47" s="92">
        <f>VLOOKUP(A47,Database!$E:$AY,MATCH($G$1,Database!$E$1:$AY$1,0),FALSE)</f>
        <v>97.560010000000005</v>
      </c>
      <c r="H47" s="92">
        <f>(((Table134567891011121314151617343[[#This Row],[ITA]]-VLOOKUP($U$1,A:B,2,))/VLOOKUP($U$1,A:B,2,))*100)+100</f>
        <v>86.430863089779663</v>
      </c>
      <c r="I47" s="92">
        <f>(((Table134567891011121314151617343[[#This Row],[FRA]]-VLOOKUP($U$1,A:C,3,))/VLOOKUP($U$1,A:C,3,))*100)+100</f>
        <v>85.331868807845765</v>
      </c>
      <c r="J47" s="92">
        <f>(((Table134567891011121314151617343[[#This Row],[DEU]]-VLOOKUP($U$1,A:D,4,))/VLOOKUP($U$1,A:D,4,))*100)+100</f>
        <v>89.361706089058217</v>
      </c>
      <c r="K47" s="92">
        <f>(((Table134567891011121314151617343[[#This Row],[ESP]]-VLOOKUP($U$1,A:E,5,))/VLOOKUP($U$1,A:E,5,))*100)+100</f>
        <v>78.563128610179362</v>
      </c>
      <c r="L47" s="92">
        <f>(((Table134567891011121314151617343[[#This Row],[EA19]]-VLOOKUP($U$1,A:F,6,))/VLOOKUP($U$1,A:F,6,))*100)+100</f>
        <v>84.899328859060404</v>
      </c>
      <c r="M47" s="92">
        <f>(((Table134567891011121314151617343[[#This Row],[GBR]]-VLOOKUP($U$1,A:G,7,))/VLOOKUP($U$1,A:G,7,))*100)+100</f>
        <v>91.31831205287402</v>
      </c>
      <c r="N47" s="92">
        <f>VLOOKUP(A47,Database!$E:$AY,MATCH($N$1,Database!$E$1:$AY$1,0),FALSE)</f>
        <v>65.17201</v>
      </c>
      <c r="O47" s="92">
        <f>(((Table134567891011121314151617343[[#This Row],[USA]]-VLOOKUP($U$1,A:N,14,))/VLOOKUP($U$1,A:N,14,))*100)+100</f>
        <v>75.508513939331579</v>
      </c>
      <c r="P47" s="92">
        <f>VLOOKUP(A47,Database!$E:$AY,MATCH($P$1,Database!$E$1:$AY$1,0),FALSE)</f>
        <v>95.832639999999998</v>
      </c>
      <c r="Q47" s="92">
        <f>(((Table134567891011121314151617343[[#This Row],[JPN]]-VLOOKUP($U$1,A:Q,16,))/VLOOKUP($U$1,A:Q,16,))*100)+100</f>
        <v>96.214003445456754</v>
      </c>
    </row>
    <row r="48" spans="1:23" s="85" customFormat="1" x14ac:dyDescent="0.2">
      <c r="A48" s="22">
        <v>34274</v>
      </c>
      <c r="B48" s="92">
        <f>VLOOKUP(A48,Database!$E:$AY,MATCH($B$1,Database!$E$1:$AY$1,0),FALSE)</f>
        <v>105.8912</v>
      </c>
      <c r="C48" s="92">
        <f>VLOOKUP(A48,Database!$E:$AY,MATCH($C$1,Database!$E$1:$AY$1,0),FALSE)</f>
        <v>87.050730000000001</v>
      </c>
      <c r="D48" s="92">
        <f>VLOOKUP(A48,Database!$E:$AY,MATCH($D$1,Database!$E$1:$AY$1,0),FALSE)</f>
        <v>66.594449999999995</v>
      </c>
      <c r="E48" s="92">
        <f>VLOOKUP(A48,Database!$E:$AY,MATCH($E$1,Database!$E$1:$AY$1,0),FALSE)</f>
        <v>93.637079999999997</v>
      </c>
      <c r="F48" s="92">
        <f>VLOOKUP(A48,Database!$E:$AY,MATCH($F$1,Database!$E$1:$AY$1,0),FALSE)</f>
        <v>75.887349999999998</v>
      </c>
      <c r="G48" s="92">
        <f>VLOOKUP(A48,Database!$E:$AY,MATCH($G$1,Database!$E$1:$AY$1,0),FALSE)</f>
        <v>98.438929999999999</v>
      </c>
      <c r="H48" s="92">
        <f>(((Table134567891011121314151617343[[#This Row],[ITA]]-VLOOKUP($U$1,A:B,2,))/VLOOKUP($U$1,A:B,2,))*100)+100</f>
        <v>87.088812475378305</v>
      </c>
      <c r="I48" s="92">
        <f>(((Table134567891011121314151617343[[#This Row],[FRA]]-VLOOKUP($U$1,A:C,3,))/VLOOKUP($U$1,A:C,3,))*100)+100</f>
        <v>84.728409036712748</v>
      </c>
      <c r="J48" s="92">
        <f>(((Table134567891011121314151617343[[#This Row],[DEU]]-VLOOKUP($U$1,A:D,4,))/VLOOKUP($U$1,A:D,4,))*100)+100</f>
        <v>88.563833713263051</v>
      </c>
      <c r="K48" s="92">
        <f>(((Table134567891011121314151617343[[#This Row],[ESP]]-VLOOKUP($U$1,A:E,5,))/VLOOKUP($U$1,A:E,5,))*100)+100</f>
        <v>78.856195802570397</v>
      </c>
      <c r="L48" s="92">
        <f>(((Table134567891011121314151617343[[#This Row],[EA19]]-VLOOKUP($U$1,A:F,6,))/VLOOKUP($U$1,A:F,6,))*100)+100</f>
        <v>84.899328859060404</v>
      </c>
      <c r="M48" s="92">
        <f>(((Table134567891011121314151617343[[#This Row],[GBR]]-VLOOKUP($U$1,A:G,7,))/VLOOKUP($U$1,A:G,7,))*100)+100</f>
        <v>92.141000476435181</v>
      </c>
      <c r="N48" s="92">
        <f>VLOOKUP(A48,Database!$E:$AY,MATCH($N$1,Database!$E$1:$AY$1,0),FALSE)</f>
        <v>65.442009999999996</v>
      </c>
      <c r="O48" s="92">
        <f>(((Table134567891011121314151617343[[#This Row],[USA]]-VLOOKUP($U$1,A:N,14,))/VLOOKUP($U$1,A:N,14,))*100)+100</f>
        <v>75.821336863829686</v>
      </c>
      <c r="P48" s="92">
        <f>VLOOKUP(A48,Database!$E:$AY,MATCH($P$1,Database!$E$1:$AY$1,0),FALSE)</f>
        <v>95.629819999999995</v>
      </c>
      <c r="Q48" s="92">
        <f>(((Table134567891011121314151617343[[#This Row],[JPN]]-VLOOKUP($U$1,A:Q,16,))/VLOOKUP($U$1,A:Q,16,))*100)+100</f>
        <v>96.010376328653891</v>
      </c>
    </row>
    <row r="49" spans="1:17" s="85" customFormat="1" x14ac:dyDescent="0.2">
      <c r="A49" s="22">
        <v>34304</v>
      </c>
      <c r="B49" s="92">
        <f>VLOOKUP(A49,Database!$E:$AY,MATCH($B$1,Database!$E$1:$AY$1,0),FALSE)</f>
        <v>105.7912</v>
      </c>
      <c r="C49" s="92">
        <f>VLOOKUP(A49,Database!$E:$AY,MATCH($C$1,Database!$E$1:$AY$1,0),FALSE)</f>
        <v>86.270719999999997</v>
      </c>
      <c r="D49" s="92">
        <f>VLOOKUP(A49,Database!$E:$AY,MATCH($D$1,Database!$E$1:$AY$1,0),FALSE)</f>
        <v>67.394390000000001</v>
      </c>
      <c r="E49" s="92">
        <f>VLOOKUP(A49,Database!$E:$AY,MATCH($E$1,Database!$E$1:$AY$1,0),FALSE)</f>
        <v>93.893079999999998</v>
      </c>
      <c r="F49" s="92">
        <f>VLOOKUP(A49,Database!$E:$AY,MATCH($F$1,Database!$E$1:$AY$1,0),FALSE)</f>
        <v>75.987340000000003</v>
      </c>
      <c r="G49" s="92">
        <f>VLOOKUP(A49,Database!$E:$AY,MATCH($G$1,Database!$E$1:$AY$1,0),FALSE)</f>
        <v>98.731909999999999</v>
      </c>
      <c r="H49" s="92">
        <f>(((Table134567891011121314151617343[[#This Row],[ITA]]-VLOOKUP($U$1,A:B,2,))/VLOOKUP($U$1,A:B,2,))*100)+100</f>
        <v>87.006568802178478</v>
      </c>
      <c r="I49" s="92">
        <f>(((Table134567891011121314151617343[[#This Row],[FRA]]-VLOOKUP($U$1,A:C,3,))/VLOOKUP($U$1,A:C,3,))*100)+100</f>
        <v>83.969207978516835</v>
      </c>
      <c r="J49" s="92">
        <f>(((Table134567891011121314151617343[[#This Row],[DEU]]-VLOOKUP($U$1,A:D,4,))/VLOOKUP($U$1,A:D,4,))*100)+100</f>
        <v>89.627672413644063</v>
      </c>
      <c r="K49" s="92">
        <f>(((Table134567891011121314151617343[[#This Row],[ESP]]-VLOOKUP($U$1,A:E,5,))/VLOOKUP($U$1,A:E,5,))*100)+100</f>
        <v>79.071785461340809</v>
      </c>
      <c r="L49" s="92">
        <f>(((Table134567891011121314151617343[[#This Row],[EA19]]-VLOOKUP($U$1,A:F,6,))/VLOOKUP($U$1,A:F,6,))*100)+100</f>
        <v>85.011193140691248</v>
      </c>
      <c r="M49" s="92">
        <f>(((Table134567891011121314151617343[[#This Row],[GBR]]-VLOOKUP($U$1,A:G,7,))/VLOOKUP($U$1,A:G,7,))*100)+100</f>
        <v>92.415236191101997</v>
      </c>
      <c r="N49" s="92">
        <f>VLOOKUP(A49,Database!$E:$AY,MATCH($N$1,Database!$E$1:$AY$1,0),FALSE)</f>
        <v>65.800089999999997</v>
      </c>
      <c r="O49" s="92">
        <f>(((Table134567891011121314151617343[[#This Row],[USA]]-VLOOKUP($U$1,A:N,14,))/VLOOKUP($U$1,A:N,14,))*100)+100</f>
        <v>76.23620957791961</v>
      </c>
      <c r="P49" s="92">
        <f>VLOOKUP(A49,Database!$E:$AY,MATCH($P$1,Database!$E$1:$AY$1,0),FALSE)</f>
        <v>94.91995</v>
      </c>
      <c r="Q49" s="92">
        <f>(((Table134567891011121314151617343[[#This Row],[JPN]]-VLOOKUP($U$1,A:Q,16,))/VLOOKUP($U$1,A:Q,16,))*100)+100</f>
        <v>95.29768141984384</v>
      </c>
    </row>
    <row r="50" spans="1:17" s="85" customFormat="1" x14ac:dyDescent="0.2">
      <c r="A50" s="22">
        <v>34335</v>
      </c>
      <c r="B50" s="92">
        <f>VLOOKUP(A50,Database!$E:$AY,MATCH($B$1,Database!$E$1:$AY$1,0),FALSE)</f>
        <v>106.0912</v>
      </c>
      <c r="C50" s="92">
        <f>VLOOKUP(A50,Database!$E:$AY,MATCH($C$1,Database!$E$1:$AY$1,0),FALSE)</f>
        <v>87.88073</v>
      </c>
      <c r="D50" s="92">
        <f>VLOOKUP(A50,Database!$E:$AY,MATCH($D$1,Database!$E$1:$AY$1,0),FALSE)</f>
        <v>67.094409999999996</v>
      </c>
      <c r="E50" s="92">
        <f>VLOOKUP(A50,Database!$E:$AY,MATCH($E$1,Database!$E$1:$AY$1,0),FALSE)</f>
        <v>93.469080000000005</v>
      </c>
      <c r="F50" s="92">
        <f>VLOOKUP(A50,Database!$E:$AY,MATCH($F$1,Database!$E$1:$AY$1,0),FALSE)</f>
        <v>76.087320000000005</v>
      </c>
      <c r="G50" s="92">
        <f>VLOOKUP(A50,Database!$E:$AY,MATCH($G$1,Database!$E$1:$AY$1,0),FALSE)</f>
        <v>99.317859999999996</v>
      </c>
      <c r="H50" s="92">
        <f>(((Table134567891011121314151617343[[#This Row],[ITA]]-VLOOKUP($U$1,A:B,2,))/VLOOKUP($U$1,A:B,2,))*100)+100</f>
        <v>87.253299821777958</v>
      </c>
      <c r="I50" s="92">
        <f>(((Table134567891011121314151617343[[#This Row],[FRA]]-VLOOKUP($U$1,A:C,3,))/VLOOKUP($U$1,A:C,3,))*100)+100</f>
        <v>85.536266472261786</v>
      </c>
      <c r="J50" s="92">
        <f>(((Table134567891011121314151617343[[#This Row],[DEU]]-VLOOKUP($U$1,A:D,4,))/VLOOKUP($U$1,A:D,4,))*100)+100</f>
        <v>89.228729576255887</v>
      </c>
      <c r="K50" s="92">
        <f>(((Table134567891011121314151617343[[#This Row],[ESP]]-VLOOKUP($U$1,A:E,5,))/VLOOKUP($U$1,A:E,5,))*100)+100</f>
        <v>78.714715089002311</v>
      </c>
      <c r="L50" s="92">
        <f>(((Table134567891011121314151617343[[#This Row],[EA19]]-VLOOKUP($U$1,A:F,6,))/VLOOKUP($U$1,A:F,6,))*100)+100</f>
        <v>85.12304623477516</v>
      </c>
      <c r="M50" s="92">
        <f>(((Table134567891011121314151617343[[#This Row],[GBR]]-VLOOKUP($U$1,A:G,7,))/VLOOKUP($U$1,A:G,7,))*100)+100</f>
        <v>92.963698260215978</v>
      </c>
      <c r="N50" s="92">
        <f>VLOOKUP(A50,Database!$E:$AY,MATCH($N$1,Database!$E$1:$AY$1,0),FALSE)</f>
        <v>66.049250000000001</v>
      </c>
      <c r="O50" s="92">
        <f>(((Table134567891011121314151617343[[#This Row],[USA]]-VLOOKUP($U$1,A:N,14,))/VLOOKUP($U$1,A:N,14,))*100)+100</f>
        <v>76.524887207060146</v>
      </c>
      <c r="P50" s="92">
        <f>VLOOKUP(A50,Database!$E:$AY,MATCH($P$1,Database!$E$1:$AY$1,0),FALSE)</f>
        <v>94.514309999999995</v>
      </c>
      <c r="Q50" s="92">
        <f>(((Table134567891011121314151617343[[#This Row],[JPN]]-VLOOKUP($U$1,A:Q,16,))/VLOOKUP($U$1,A:Q,16,))*100)+100</f>
        <v>94.890427186238085</v>
      </c>
    </row>
    <row r="51" spans="1:17" s="85" customFormat="1" x14ac:dyDescent="0.2">
      <c r="A51" s="22">
        <v>34366</v>
      </c>
      <c r="B51" s="92">
        <f>VLOOKUP(A51,Database!$E:$AY,MATCH($B$1,Database!$E$1:$AY$1,0),FALSE)</f>
        <v>107.791</v>
      </c>
      <c r="C51" s="92">
        <f>VLOOKUP(A51,Database!$E:$AY,MATCH($C$1,Database!$E$1:$AY$1,0),FALSE)</f>
        <v>87.610730000000004</v>
      </c>
      <c r="D51" s="92">
        <f>VLOOKUP(A51,Database!$E:$AY,MATCH($D$1,Database!$E$1:$AY$1,0),FALSE)</f>
        <v>68.094319999999996</v>
      </c>
      <c r="E51" s="92">
        <f>VLOOKUP(A51,Database!$E:$AY,MATCH($E$1,Database!$E$1:$AY$1,0),FALSE)</f>
        <v>96.383080000000007</v>
      </c>
      <c r="F51" s="92">
        <f>VLOOKUP(A51,Database!$E:$AY,MATCH($F$1,Database!$E$1:$AY$1,0),FALSE)</f>
        <v>77.187129999999996</v>
      </c>
      <c r="G51" s="92">
        <f>VLOOKUP(A51,Database!$E:$AY,MATCH($G$1,Database!$E$1:$AY$1,0),FALSE)</f>
        <v>99.610820000000004</v>
      </c>
      <c r="H51" s="92">
        <f>(((Table134567891011121314151617343[[#This Row],[ITA]]-VLOOKUP($U$1,A:B,2,))/VLOOKUP($U$1,A:B,2,))*100)+100</f>
        <v>88.651277778828671</v>
      </c>
      <c r="I51" s="92">
        <f>(((Table134567891011121314151617343[[#This Row],[FRA]]-VLOOKUP($U$1,A:C,3,))/VLOOKUP($U$1,A:C,3,))*100)+100</f>
        <v>85.273469475155466</v>
      </c>
      <c r="J51" s="92">
        <f>(((Table134567891011121314151617343[[#This Row],[DEU]]-VLOOKUP($U$1,A:D,4,))/VLOOKUP($U$1,A:D,4,))*100)+100</f>
        <v>90.558508003260371</v>
      </c>
      <c r="K51" s="92">
        <f>(((Table134567891011121314151617343[[#This Row],[ESP]]-VLOOKUP($U$1,A:E,5,))/VLOOKUP($U$1,A:E,5,))*100)+100</f>
        <v>81.168731751724934</v>
      </c>
      <c r="L51" s="92">
        <f>(((Table134567891011121314151617343[[#This Row],[EA19]]-VLOOKUP($U$1,A:F,6,))/VLOOKUP($U$1,A:F,6,))*100)+100</f>
        <v>86.353463832338946</v>
      </c>
      <c r="M51" s="92">
        <f>(((Table134567891011121314151617343[[#This Row],[GBR]]-VLOOKUP($U$1,A:G,7,))/VLOOKUP($U$1,A:G,7,))*100)+100</f>
        <v>93.237915254443536</v>
      </c>
      <c r="N51" s="92">
        <f>VLOOKUP(A51,Database!$E:$AY,MATCH($N$1,Database!$E$1:$AY$1,0),FALSE)</f>
        <v>66.067310000000006</v>
      </c>
      <c r="O51" s="92">
        <f>(((Table134567891011121314151617343[[#This Row],[USA]]-VLOOKUP($U$1,A:N,14,))/VLOOKUP($U$1,A:N,14,))*100)+100</f>
        <v>76.545811584898814</v>
      </c>
      <c r="P51" s="92">
        <f>VLOOKUP(A51,Database!$E:$AY,MATCH($P$1,Database!$E$1:$AY$1,0),FALSE)</f>
        <v>95.325590000000005</v>
      </c>
      <c r="Q51" s="92">
        <f>(((Table134567891011121314151617343[[#This Row],[JPN]]-VLOOKUP($U$1,A:Q,16,))/VLOOKUP($U$1,A:Q,16,))*100)+100</f>
        <v>95.704935653449581</v>
      </c>
    </row>
    <row r="52" spans="1:17" s="85" customFormat="1" x14ac:dyDescent="0.2">
      <c r="A52" s="22">
        <v>34394</v>
      </c>
      <c r="B52" s="92">
        <f>VLOOKUP(A52,Database!$E:$AY,MATCH($B$1,Database!$E$1:$AY$1,0),FALSE)</f>
        <v>109.29089999999999</v>
      </c>
      <c r="C52" s="92">
        <f>VLOOKUP(A52,Database!$E:$AY,MATCH($C$1,Database!$E$1:$AY$1,0),FALSE)</f>
        <v>87.550730000000001</v>
      </c>
      <c r="D52" s="92">
        <f>VLOOKUP(A52,Database!$E:$AY,MATCH($D$1,Database!$E$1:$AY$1,0),FALSE)</f>
        <v>67.794349999999994</v>
      </c>
      <c r="E52" s="92">
        <f>VLOOKUP(A52,Database!$E:$AY,MATCH($E$1,Database!$E$1:$AY$1,0),FALSE)</f>
        <v>96.287080000000003</v>
      </c>
      <c r="F52" s="92">
        <f>VLOOKUP(A52,Database!$E:$AY,MATCH($F$1,Database!$E$1:$AY$1,0),FALSE)</f>
        <v>77.287120000000002</v>
      </c>
      <c r="G52" s="92">
        <f>VLOOKUP(A52,Database!$E:$AY,MATCH($G$1,Database!$E$1:$AY$1,0),FALSE)</f>
        <v>100.00149999999999</v>
      </c>
      <c r="H52" s="92">
        <f>(((Table134567891011121314151617343[[#This Row],[ITA]]-VLOOKUP($U$1,A:B,2,))/VLOOKUP($U$1,A:B,2,))*100)+100</f>
        <v>89.884850633152908</v>
      </c>
      <c r="I52" s="92">
        <f>(((Table134567891011121314151617343[[#This Row],[FRA]]-VLOOKUP($U$1,A:C,3,))/VLOOKUP($U$1,A:C,3,))*100)+100</f>
        <v>85.21507014246518</v>
      </c>
      <c r="J52" s="92">
        <f>(((Table134567891011121314151617343[[#This Row],[DEU]]-VLOOKUP($U$1,A:D,4,))/VLOOKUP($U$1,A:D,4,))*100)+100</f>
        <v>90.159578464853382</v>
      </c>
      <c r="K52" s="92">
        <f>(((Table134567891011121314151617343[[#This Row],[ESP]]-VLOOKUP($U$1,A:E,5,))/VLOOKUP($U$1,A:E,5,))*100)+100</f>
        <v>81.087885629686028</v>
      </c>
      <c r="L52" s="92">
        <f>(((Table134567891011121314151617343[[#This Row],[EA19]]-VLOOKUP($U$1,A:F,6,))/VLOOKUP($U$1,A:F,6,))*100)+100</f>
        <v>86.46532811396979</v>
      </c>
      <c r="M52" s="92">
        <f>(((Table134567891011121314151617343[[#This Row],[GBR]]-VLOOKUP($U$1,A:G,7,))/VLOOKUP($U$1,A:G,7,))*100)+100</f>
        <v>93.603600314877781</v>
      </c>
      <c r="N52" s="92">
        <f>VLOOKUP(A52,Database!$E:$AY,MATCH($N$1,Database!$E$1:$AY$1,0),FALSE)</f>
        <v>66.732929999999996</v>
      </c>
      <c r="O52" s="92">
        <f>(((Table134567891011121314151617343[[#This Row],[USA]]-VLOOKUP($U$1,A:N,14,))/VLOOKUP($U$1,A:N,14,))*100)+100</f>
        <v>77.317001196026311</v>
      </c>
      <c r="P52" s="92">
        <f>VLOOKUP(A52,Database!$E:$AY,MATCH($P$1,Database!$E$1:$AY$1,0),FALSE)</f>
        <v>96.339690000000004</v>
      </c>
      <c r="Q52" s="92">
        <f>(((Table134567891011121314151617343[[#This Row],[JPN]]-VLOOKUP($U$1,A:Q,16,))/VLOOKUP($U$1,A:Q,16,))*100)+100</f>
        <v>96.723071237463941</v>
      </c>
    </row>
    <row r="53" spans="1:17" s="85" customFormat="1" x14ac:dyDescent="0.2">
      <c r="A53" s="22">
        <v>34425</v>
      </c>
      <c r="B53" s="92">
        <f>VLOOKUP(A53,Database!$E:$AY,MATCH($B$1,Database!$E$1:$AY$1,0),FALSE)</f>
        <v>111.0907</v>
      </c>
      <c r="C53" s="92">
        <f>VLOOKUP(A53,Database!$E:$AY,MATCH($C$1,Database!$E$1:$AY$1,0),FALSE)</f>
        <v>90.010750000000002</v>
      </c>
      <c r="D53" s="92">
        <f>VLOOKUP(A53,Database!$E:$AY,MATCH($D$1,Database!$E$1:$AY$1,0),FALSE)</f>
        <v>68.594279999999998</v>
      </c>
      <c r="E53" s="92">
        <f>VLOOKUP(A53,Database!$E:$AY,MATCH($E$1,Database!$E$1:$AY$1,0),FALSE)</f>
        <v>97.752080000000007</v>
      </c>
      <c r="F53" s="92">
        <f>VLOOKUP(A53,Database!$E:$AY,MATCH($F$1,Database!$E$1:$AY$1,0),FALSE)</f>
        <v>78.686880000000002</v>
      </c>
      <c r="G53" s="92">
        <f>VLOOKUP(A53,Database!$E:$AY,MATCH($G$1,Database!$E$1:$AY$1,0),FALSE)</f>
        <v>101.271</v>
      </c>
      <c r="H53" s="92">
        <f>(((Table134567891011121314151617343[[#This Row],[ITA]]-VLOOKUP($U$1,A:B,2,))/VLOOKUP($U$1,A:B,2,))*100)+100</f>
        <v>91.365072263403448</v>
      </c>
      <c r="I53" s="92">
        <f>(((Table134567891011121314151617343[[#This Row],[FRA]]-VLOOKUP($U$1,A:C,3,))/VLOOKUP($U$1,A:C,3,))*100)+100</f>
        <v>87.609462249211376</v>
      </c>
      <c r="J53" s="92">
        <f>(((Table134567891011121314151617343[[#This Row],[DEU]]-VLOOKUP($U$1,A:D,4,))/VLOOKUP($U$1,A:D,4,))*100)+100</f>
        <v>91.223403866253207</v>
      </c>
      <c r="K53" s="92">
        <f>(((Table134567891011121314151617343[[#This Row],[ESP]]-VLOOKUP($U$1,A:E,5,))/VLOOKUP($U$1,A:E,5,))*100)+100</f>
        <v>82.321631137883912</v>
      </c>
      <c r="L53" s="92">
        <f>(((Table134567891011121314151617343[[#This Row],[EA19]]-VLOOKUP($U$1,A:F,6,))/VLOOKUP($U$1,A:F,6,))*100)+100</f>
        <v>88.031316181332244</v>
      </c>
      <c r="M53" s="92">
        <f>(((Table134567891011121314151617343[[#This Row],[GBR]]-VLOOKUP($U$1,A:G,7,))/VLOOKUP($U$1,A:G,7,))*100)+100</f>
        <v>94.791880196676942</v>
      </c>
      <c r="N53" s="92">
        <f>VLOOKUP(A53,Database!$E:$AY,MATCH($N$1,Database!$E$1:$AY$1,0),FALSE)</f>
        <v>67.111090000000004</v>
      </c>
      <c r="O53" s="92">
        <f>(((Table134567891011121314151617343[[#This Row],[USA]]-VLOOKUP($U$1,A:N,14,))/VLOOKUP($U$1,A:N,14,))*100)+100</f>
        <v>77.755138666871517</v>
      </c>
      <c r="P53" s="92">
        <f>VLOOKUP(A53,Database!$E:$AY,MATCH($P$1,Database!$E$1:$AY$1,0),FALSE)</f>
        <v>97.252380000000002</v>
      </c>
      <c r="Q53" s="92">
        <f>(((Table134567891011121314151617343[[#This Row],[JPN]]-VLOOKUP($U$1,A:Q,16,))/VLOOKUP($U$1,A:Q,16,))*100)+100</f>
        <v>97.639393263076869</v>
      </c>
    </row>
    <row r="54" spans="1:17" s="85" customFormat="1" x14ac:dyDescent="0.2">
      <c r="A54" s="22">
        <v>34455</v>
      </c>
      <c r="B54" s="92">
        <f>VLOOKUP(A54,Database!$E:$AY,MATCH($B$1,Database!$E$1:$AY$1,0),FALSE)</f>
        <v>111.4907</v>
      </c>
      <c r="C54" s="92">
        <f>VLOOKUP(A54,Database!$E:$AY,MATCH($C$1,Database!$E$1:$AY$1,0),FALSE)</f>
        <v>89.910749999999993</v>
      </c>
      <c r="D54" s="92">
        <f>VLOOKUP(A54,Database!$E:$AY,MATCH($D$1,Database!$E$1:$AY$1,0),FALSE)</f>
        <v>68.294309999999996</v>
      </c>
      <c r="E54" s="92">
        <f>VLOOKUP(A54,Database!$E:$AY,MATCH($E$1,Database!$E$1:$AY$1,0),FALSE)</f>
        <v>96.868080000000006</v>
      </c>
      <c r="F54" s="92">
        <f>VLOOKUP(A54,Database!$E:$AY,MATCH($F$1,Database!$E$1:$AY$1,0),FALSE)</f>
        <v>78.486919999999998</v>
      </c>
      <c r="G54" s="92">
        <f>VLOOKUP(A54,Database!$E:$AY,MATCH($G$1,Database!$E$1:$AY$1,0),FALSE)</f>
        <v>102.6382</v>
      </c>
      <c r="H54" s="92">
        <f>(((Table134567891011121314151617343[[#This Row],[ITA]]-VLOOKUP($U$1,A:B,2,))/VLOOKUP($U$1,A:B,2,))*100)+100</f>
        <v>91.694046956202783</v>
      </c>
      <c r="I54" s="92">
        <f>(((Table134567891011121314151617343[[#This Row],[FRA]]-VLOOKUP($U$1,A:C,3,))/VLOOKUP($U$1,A:C,3,))*100)+100</f>
        <v>87.512130028060881</v>
      </c>
      <c r="J54" s="92">
        <f>(((Table134567891011121314151617343[[#This Row],[DEU]]-VLOOKUP($U$1,A:D,4,))/VLOOKUP($U$1,A:D,4,))*100)+100</f>
        <v>90.824474327846204</v>
      </c>
      <c r="K54" s="92">
        <f>(((Table134567891011121314151617343[[#This Row],[ESP]]-VLOOKUP($U$1,A:E,5,))/VLOOKUP($U$1,A:E,5,))*100)+100</f>
        <v>81.577173097442312</v>
      </c>
      <c r="L54" s="92">
        <f>(((Table134567891011121314151617343[[#This Row],[EA19]]-VLOOKUP($U$1,A:F,6,))/VLOOKUP($U$1,A:F,6,))*100)+100</f>
        <v>87.807609993164419</v>
      </c>
      <c r="M54" s="92">
        <f>(((Table134567891011121314151617343[[#This Row],[GBR]]-VLOOKUP($U$1,A:G,7,))/VLOOKUP($U$1,A:G,7,))*100)+100</f>
        <v>96.071609424243533</v>
      </c>
      <c r="N54" s="92">
        <f>VLOOKUP(A54,Database!$E:$AY,MATCH($N$1,Database!$E$1:$AY$1,0),FALSE)</f>
        <v>67.454759999999993</v>
      </c>
      <c r="O54" s="92">
        <f>(((Table134567891011121314151617343[[#This Row],[USA]]-VLOOKUP($U$1,A:N,14,))/VLOOKUP($U$1,A:N,14,))*100)+100</f>
        <v>78.153315905620616</v>
      </c>
      <c r="P54" s="92">
        <f>VLOOKUP(A54,Database!$E:$AY,MATCH($P$1,Database!$E$1:$AY$1,0),FALSE)</f>
        <v>97.150970000000001</v>
      </c>
      <c r="Q54" s="92">
        <f>(((Table134567891011121314151617343[[#This Row],[JPN]]-VLOOKUP($U$1,A:Q,16,))/VLOOKUP($U$1,A:Q,16,))*100)+100</f>
        <v>97.537579704675423</v>
      </c>
    </row>
    <row r="55" spans="1:17" s="85" customFormat="1" x14ac:dyDescent="0.2">
      <c r="A55" s="22">
        <v>34486</v>
      </c>
      <c r="B55" s="92">
        <f>VLOOKUP(A55,Database!$E:$AY,MATCH($B$1,Database!$E$1:$AY$1,0),FALSE)</f>
        <v>112.59059999999999</v>
      </c>
      <c r="C55" s="92">
        <f>VLOOKUP(A55,Database!$E:$AY,MATCH($C$1,Database!$E$1:$AY$1,0),FALSE)</f>
        <v>90.420749999999998</v>
      </c>
      <c r="D55" s="92">
        <f>VLOOKUP(A55,Database!$E:$AY,MATCH($D$1,Database!$E$1:$AY$1,0),FALSE)</f>
        <v>68.794269999999997</v>
      </c>
      <c r="E55" s="92">
        <f>VLOOKUP(A55,Database!$E:$AY,MATCH($E$1,Database!$E$1:$AY$1,0),FALSE)</f>
        <v>98.515079999999998</v>
      </c>
      <c r="F55" s="92">
        <f>VLOOKUP(A55,Database!$E:$AY,MATCH($F$1,Database!$E$1:$AY$1,0),FALSE)</f>
        <v>79.086820000000003</v>
      </c>
      <c r="G55" s="92">
        <f>VLOOKUP(A55,Database!$E:$AY,MATCH($G$1,Database!$E$1:$AY$1,0),FALSE)</f>
        <v>101.3687</v>
      </c>
      <c r="H55" s="92">
        <f>(((Table134567891011121314151617343[[#This Row],[ITA]]-VLOOKUP($U$1,A:B,2,))/VLOOKUP($U$1,A:B,2,))*100)+100</f>
        <v>92.598645117727699</v>
      </c>
      <c r="I55" s="92">
        <f>(((Table134567891011121314151617343[[#This Row],[FRA]]-VLOOKUP($U$1,A:C,3,))/VLOOKUP($U$1,A:C,3,))*100)+100</f>
        <v>88.008524355928358</v>
      </c>
      <c r="J55" s="92">
        <f>(((Table134567891011121314151617343[[#This Row],[DEU]]-VLOOKUP($U$1,A:D,4,))/VLOOKUP($U$1,A:D,4,))*100)+100</f>
        <v>91.48937019083904</v>
      </c>
      <c r="K55" s="92">
        <f>(((Table134567891011121314151617343[[#This Row],[ESP]]-VLOOKUP($U$1,A:E,5,))/VLOOKUP($U$1,A:E,5,))*100)+100</f>
        <v>82.964189378672287</v>
      </c>
      <c r="L55" s="92">
        <f>(((Table134567891011121314151617343[[#This Row],[EA19]]-VLOOKUP($U$1,A:F,6,))/VLOOKUP($U$1,A:F,6,))*100)+100</f>
        <v>88.478750932761727</v>
      </c>
      <c r="M55" s="92">
        <f>(((Table134567891011121314151617343[[#This Row],[GBR]]-VLOOKUP($U$1,A:G,7,))/VLOOKUP($U$1,A:G,7,))*100)+100</f>
        <v>94.883329542444386</v>
      </c>
      <c r="N55" s="92">
        <f>VLOOKUP(A55,Database!$E:$AY,MATCH($N$1,Database!$E$1:$AY$1,0),FALSE)</f>
        <v>67.885260000000002</v>
      </c>
      <c r="O55" s="92">
        <f>(((Table134567891011121314151617343[[#This Row],[USA]]-VLOOKUP($U$1,A:N,14,))/VLOOKUP($U$1,A:N,14,))*100)+100</f>
        <v>78.652094679681483</v>
      </c>
      <c r="P55" s="92">
        <f>VLOOKUP(A55,Database!$E:$AY,MATCH($P$1,Database!$E$1:$AY$1,0),FALSE)</f>
        <v>98.367900000000006</v>
      </c>
      <c r="Q55" s="92">
        <f>(((Table134567891011121314151617343[[#This Row],[JPN]]-VLOOKUP($U$1,A:Q,16,))/VLOOKUP($U$1,A:Q,16,))*100)+100</f>
        <v>98.759352445287391</v>
      </c>
    </row>
    <row r="56" spans="1:17" s="85" customFormat="1" x14ac:dyDescent="0.2">
      <c r="A56" s="22">
        <v>34516</v>
      </c>
      <c r="B56" s="92">
        <f>VLOOKUP(A56,Database!$E:$AY,MATCH($B$1,Database!$E$1:$AY$1,0),FALSE)</f>
        <v>112.7906</v>
      </c>
      <c r="C56" s="92">
        <f>VLOOKUP(A56,Database!$E:$AY,MATCH($C$1,Database!$E$1:$AY$1,0),FALSE)</f>
        <v>91.210759999999993</v>
      </c>
      <c r="D56" s="92">
        <f>VLOOKUP(A56,Database!$E:$AY,MATCH($D$1,Database!$E$1:$AY$1,0),FALSE)</f>
        <v>68.494290000000007</v>
      </c>
      <c r="E56" s="92">
        <f>VLOOKUP(A56,Database!$E:$AY,MATCH($E$1,Database!$E$1:$AY$1,0),FALSE)</f>
        <v>100.0461</v>
      </c>
      <c r="F56" s="92">
        <f>VLOOKUP(A56,Database!$E:$AY,MATCH($F$1,Database!$E$1:$AY$1,0),FALSE)</f>
        <v>79.286789999999996</v>
      </c>
      <c r="G56" s="92">
        <f>VLOOKUP(A56,Database!$E:$AY,MATCH($G$1,Database!$E$1:$AY$1,0),FALSE)</f>
        <v>101.9546</v>
      </c>
      <c r="H56" s="92">
        <f>(((Table134567891011121314151617343[[#This Row],[ITA]]-VLOOKUP($U$1,A:B,2,))/VLOOKUP($U$1,A:B,2,))*100)+100</f>
        <v>92.763132464127366</v>
      </c>
      <c r="I56" s="92">
        <f>(((Table134567891011121314151617343[[#This Row],[FRA]]-VLOOKUP($U$1,A:C,3,))/VLOOKUP($U$1,A:C,3,))*100)+100</f>
        <v>88.777458636239317</v>
      </c>
      <c r="J56" s="92">
        <f>(((Table134567891011121314151617343[[#This Row],[DEU]]-VLOOKUP($U$1,A:D,4,))/VLOOKUP($U$1,A:D,4,))*100)+100</f>
        <v>91.090427353450877</v>
      </c>
      <c r="K56" s="92">
        <f>(((Table134567891011121314151617343[[#This Row],[ESP]]-VLOOKUP($U$1,A:E,5,))/VLOOKUP($U$1,A:E,5,))*100)+100</f>
        <v>84.253533438714001</v>
      </c>
      <c r="L56" s="92">
        <f>(((Table134567891011121314151617343[[#This Row],[EA19]]-VLOOKUP($U$1,A:F,6,))/VLOOKUP($U$1,A:F,6,))*100)+100</f>
        <v>88.702468308476469</v>
      </c>
      <c r="M56" s="92">
        <f>(((Table134567891011121314151617343[[#This Row],[GBR]]-VLOOKUP($U$1,A:G,7,))/VLOOKUP($U$1,A:G,7,))*100)+100</f>
        <v>95.431744810460231</v>
      </c>
      <c r="N56" s="92">
        <f>VLOOKUP(A56,Database!$E:$AY,MATCH($N$1,Database!$E$1:$AY$1,0),FALSE)</f>
        <v>67.989279999999994</v>
      </c>
      <c r="O56" s="92">
        <f>(((Table134567891011121314151617343[[#This Row],[USA]]-VLOOKUP($U$1,A:N,14,))/VLOOKUP($U$1,A:N,14,))*100)+100</f>
        <v>78.772612607852935</v>
      </c>
      <c r="P56" s="92">
        <f>VLOOKUP(A56,Database!$E:$AY,MATCH($P$1,Database!$E$1:$AY$1,0),FALSE)</f>
        <v>99.382000000000005</v>
      </c>
      <c r="Q56" s="92">
        <f>(((Table134567891011121314151617343[[#This Row],[JPN]]-VLOOKUP($U$1,A:Q,16,))/VLOOKUP($U$1,A:Q,16,))*100)+100</f>
        <v>99.77748802930175</v>
      </c>
    </row>
    <row r="57" spans="1:17" s="85" customFormat="1" x14ac:dyDescent="0.2">
      <c r="A57" s="22">
        <v>34547</v>
      </c>
      <c r="B57" s="92">
        <f>VLOOKUP(A57,Database!$E:$AY,MATCH($B$1,Database!$E$1:$AY$1,0),FALSE)</f>
        <v>113.1906</v>
      </c>
      <c r="C57" s="92">
        <f>VLOOKUP(A57,Database!$E:$AY,MATCH($C$1,Database!$E$1:$AY$1,0),FALSE)</f>
        <v>91.710759999999993</v>
      </c>
      <c r="D57" s="92">
        <f>VLOOKUP(A57,Database!$E:$AY,MATCH($D$1,Database!$E$1:$AY$1,0),FALSE)</f>
        <v>68.494290000000007</v>
      </c>
      <c r="E57" s="92">
        <f>VLOOKUP(A57,Database!$E:$AY,MATCH($E$1,Database!$E$1:$AY$1,0),FALSE)</f>
        <v>100.05110000000001</v>
      </c>
      <c r="F57" s="92">
        <f>VLOOKUP(A57,Database!$E:$AY,MATCH($F$1,Database!$E$1:$AY$1,0),FALSE)</f>
        <v>79.486760000000004</v>
      </c>
      <c r="G57" s="92">
        <f>VLOOKUP(A57,Database!$E:$AY,MATCH($G$1,Database!$E$1:$AY$1,0),FALSE)</f>
        <v>102.34520000000001</v>
      </c>
      <c r="H57" s="92">
        <f>(((Table134567891011121314151617343[[#This Row],[ITA]]-VLOOKUP($U$1,A:B,2,))/VLOOKUP($U$1,A:B,2,))*100)+100</f>
        <v>93.092107156926687</v>
      </c>
      <c r="I57" s="92">
        <f>(((Table134567891011121314151617343[[#This Row],[FRA]]-VLOOKUP($U$1,A:C,3,))/VLOOKUP($U$1,A:C,3,))*100)+100</f>
        <v>89.264119741991749</v>
      </c>
      <c r="J57" s="92">
        <f>(((Table134567891011121314151617343[[#This Row],[DEU]]-VLOOKUP($U$1,A:D,4,))/VLOOKUP($U$1,A:D,4,))*100)+100</f>
        <v>91.090427353450877</v>
      </c>
      <c r="K57" s="92">
        <f>(((Table134567891011121314151617343[[#This Row],[ESP]]-VLOOKUP($U$1,A:E,5,))/VLOOKUP($U$1,A:E,5,))*100)+100</f>
        <v>84.257744174236876</v>
      </c>
      <c r="L57" s="92">
        <f>(((Table134567891011121314151617343[[#This Row],[EA19]]-VLOOKUP($U$1,A:F,6,))/VLOOKUP($U$1,A:F,6,))*100)+100</f>
        <v>88.926185684191225</v>
      </c>
      <c r="M57" s="92">
        <f>(((Table134567891011121314151617343[[#This Row],[GBR]]-VLOOKUP($U$1,A:G,7,))/VLOOKUP($U$1,A:G,7,))*100)+100</f>
        <v>95.797354989137474</v>
      </c>
      <c r="N57" s="92">
        <f>VLOOKUP(A57,Database!$E:$AY,MATCH($N$1,Database!$E$1:$AY$1,0),FALSE)</f>
        <v>68.393370000000004</v>
      </c>
      <c r="O57" s="92">
        <f>(((Table134567891011121314151617343[[#This Row],[USA]]-VLOOKUP($U$1,A:N,14,))/VLOOKUP($U$1,A:N,14,))*100)+100</f>
        <v>79.240792665484193</v>
      </c>
      <c r="P57" s="92">
        <f>VLOOKUP(A57,Database!$E:$AY,MATCH($P$1,Database!$E$1:$AY$1,0),FALSE)</f>
        <v>100.19329999999999</v>
      </c>
      <c r="Q57" s="92">
        <f>(((Table134567891011121314151617343[[#This Row],[JPN]]-VLOOKUP($U$1,A:Q,16,))/VLOOKUP($U$1,A:Q,16,))*100)+100</f>
        <v>100.59201657610269</v>
      </c>
    </row>
    <row r="58" spans="1:17" s="85" customFormat="1" x14ac:dyDescent="0.2">
      <c r="A58" s="22">
        <v>34578</v>
      </c>
      <c r="B58" s="92">
        <f>VLOOKUP(A58,Database!$E:$AY,MATCH($B$1,Database!$E$1:$AY$1,0),FALSE)</f>
        <v>113.79049999999999</v>
      </c>
      <c r="C58" s="92">
        <f>VLOOKUP(A58,Database!$E:$AY,MATCH($C$1,Database!$E$1:$AY$1,0),FALSE)</f>
        <v>91.400760000000005</v>
      </c>
      <c r="D58" s="92">
        <f>VLOOKUP(A58,Database!$E:$AY,MATCH($D$1,Database!$E$1:$AY$1,0),FALSE)</f>
        <v>69.494209999999995</v>
      </c>
      <c r="E58" s="92">
        <f>VLOOKUP(A58,Database!$E:$AY,MATCH($E$1,Database!$E$1:$AY$1,0),FALSE)</f>
        <v>100.08710000000001</v>
      </c>
      <c r="F58" s="92">
        <f>VLOOKUP(A58,Database!$E:$AY,MATCH($F$1,Database!$E$1:$AY$1,0),FALSE)</f>
        <v>79.886690000000002</v>
      </c>
      <c r="G58" s="92">
        <f>VLOOKUP(A58,Database!$E:$AY,MATCH($G$1,Database!$E$1:$AY$1,0),FALSE)</f>
        <v>103.3218</v>
      </c>
      <c r="H58" s="92">
        <f>(((Table134567891011121314151617343[[#This Row],[ITA]]-VLOOKUP($U$1,A:B,2,))/VLOOKUP($U$1,A:B,2,))*100)+100</f>
        <v>93.585486952452456</v>
      </c>
      <c r="I58" s="92">
        <f>(((Table134567891011121314151617343[[#This Row],[FRA]]-VLOOKUP($U$1,A:C,3,))/VLOOKUP($U$1,A:C,3,))*100)+100</f>
        <v>88.962389856425247</v>
      </c>
      <c r="J58" s="92">
        <f>(((Table134567891011121314151617343[[#This Row],[DEU]]-VLOOKUP($U$1,A:D,4,))/VLOOKUP($U$1,A:D,4,))*100)+100</f>
        <v>92.420219079436535</v>
      </c>
      <c r="K58" s="92">
        <f>(((Table134567891011121314151617343[[#This Row],[ESP]]-VLOOKUP($U$1,A:E,5,))/VLOOKUP($U$1,A:E,5,))*100)+100</f>
        <v>84.288061470001466</v>
      </c>
      <c r="L58" s="92">
        <f>(((Table134567891011121314151617343[[#This Row],[EA19]]-VLOOKUP($U$1,A:F,6,))/VLOOKUP($U$1,A:F,6,))*100)+100</f>
        <v>89.373609248073791</v>
      </c>
      <c r="M58" s="92">
        <f>(((Table134567891011121314151617343[[#This Row],[GBR]]-VLOOKUP($U$1,A:G,7,))/VLOOKUP($U$1,A:G,7,))*100)+100</f>
        <v>96.711474038026822</v>
      </c>
      <c r="N58" s="92">
        <f>VLOOKUP(A58,Database!$E:$AY,MATCH($N$1,Database!$E$1:$AY$1,0),FALSE)</f>
        <v>68.654049999999998</v>
      </c>
      <c r="O58" s="92">
        <f>(((Table134567891011121314151617343[[#This Row],[USA]]-VLOOKUP($U$1,A:N,14,))/VLOOKUP($U$1,A:N,14,))*100)+100</f>
        <v>79.542817406069986</v>
      </c>
      <c r="P58" s="92">
        <f>VLOOKUP(A58,Database!$E:$AY,MATCH($P$1,Database!$E$1:$AY$1,0),FALSE)</f>
        <v>99.179180000000002</v>
      </c>
      <c r="Q58" s="92">
        <f>(((Table134567891011121314151617343[[#This Row],[JPN]]-VLOOKUP($U$1,A:Q,16,))/VLOOKUP($U$1,A:Q,16,))*100)+100</f>
        <v>99.573860912498873</v>
      </c>
    </row>
    <row r="59" spans="1:17" s="85" customFormat="1" x14ac:dyDescent="0.2">
      <c r="A59" s="22">
        <v>34608</v>
      </c>
      <c r="B59" s="92">
        <f>VLOOKUP(A59,Database!$E:$AY,MATCH($B$1,Database!$E$1:$AY$1,0),FALSE)</f>
        <v>113.4905</v>
      </c>
      <c r="C59" s="92">
        <f>VLOOKUP(A59,Database!$E:$AY,MATCH($C$1,Database!$E$1:$AY$1,0),FALSE)</f>
        <v>92.290769999999995</v>
      </c>
      <c r="D59" s="92">
        <f>VLOOKUP(A59,Database!$E:$AY,MATCH($D$1,Database!$E$1:$AY$1,0),FALSE)</f>
        <v>70.7941</v>
      </c>
      <c r="E59" s="92">
        <f>VLOOKUP(A59,Database!$E:$AY,MATCH($E$1,Database!$E$1:$AY$1,0),FALSE)</f>
        <v>100.9371</v>
      </c>
      <c r="F59" s="92">
        <f>VLOOKUP(A59,Database!$E:$AY,MATCH($F$1,Database!$E$1:$AY$1,0),FALSE)</f>
        <v>80.786540000000002</v>
      </c>
      <c r="G59" s="92">
        <f>VLOOKUP(A59,Database!$E:$AY,MATCH($G$1,Database!$E$1:$AY$1,0),FALSE)</f>
        <v>103.5171</v>
      </c>
      <c r="H59" s="92">
        <f>(((Table134567891011121314151617343[[#This Row],[ITA]]-VLOOKUP($U$1,A:B,2,))/VLOOKUP($U$1,A:B,2,))*100)+100</f>
        <v>93.338755932852976</v>
      </c>
      <c r="I59" s="92">
        <f>(((Table134567891011121314151617343[[#This Row],[FRA]]-VLOOKUP($U$1,A:C,3,))/VLOOKUP($U$1,A:C,3,))*100)+100</f>
        <v>89.828656357886686</v>
      </c>
      <c r="J59" s="92">
        <f>(((Table134567891011121314151617343[[#This Row],[DEU]]-VLOOKUP($U$1,A:D,4,))/VLOOKUP($U$1,A:D,4,))*100)+100</f>
        <v>94.148940343829196</v>
      </c>
      <c r="K59" s="92">
        <f>(((Table134567891011121314151617343[[#This Row],[ESP]]-VLOOKUP($U$1,A:E,5,))/VLOOKUP($U$1,A:E,5,))*100)+100</f>
        <v>85.003886508887604</v>
      </c>
      <c r="L59" s="92">
        <f>(((Table134567891011121314151617343[[#This Row],[EA19]]-VLOOKUP($U$1,A:F,6,))/VLOOKUP($U$1,A:F,6,))*100)+100</f>
        <v>90.380320657469767</v>
      </c>
      <c r="M59" s="92">
        <f>(((Table134567891011121314151617343[[#This Row],[GBR]]-VLOOKUP($U$1,A:G,7,))/VLOOKUP($U$1,A:G,7,))*100)+100</f>
        <v>96.894279127365451</v>
      </c>
      <c r="N59" s="92">
        <f>VLOOKUP(A59,Database!$E:$AY,MATCH($N$1,Database!$E$1:$AY$1,0),FALSE)</f>
        <v>69.23545</v>
      </c>
      <c r="O59" s="92">
        <f>(((Table134567891011121314151617343[[#This Row],[USA]]-VLOOKUP($U$1,A:N,14,))/VLOOKUP($U$1,A:N,14,))*100)+100</f>
        <v>80.216429436822565</v>
      </c>
      <c r="P59" s="92">
        <f>VLOOKUP(A59,Database!$E:$AY,MATCH($P$1,Database!$E$1:$AY$1,0),FALSE)</f>
        <v>100.19329999999999</v>
      </c>
      <c r="Q59" s="92">
        <f>(((Table134567891011121314151617343[[#This Row],[JPN]]-VLOOKUP($U$1,A:Q,16,))/VLOOKUP($U$1,A:Q,16,))*100)+100</f>
        <v>100.59201657610269</v>
      </c>
    </row>
    <row r="60" spans="1:17" s="85" customFormat="1" x14ac:dyDescent="0.2">
      <c r="A60" s="22">
        <v>34639</v>
      </c>
      <c r="B60" s="92">
        <f>VLOOKUP(A60,Database!$E:$AY,MATCH($B$1,Database!$E$1:$AY$1,0),FALSE)</f>
        <v>115.3904</v>
      </c>
      <c r="C60" s="92">
        <f>VLOOKUP(A60,Database!$E:$AY,MATCH($C$1,Database!$E$1:$AY$1,0),FALSE)</f>
        <v>93.10078</v>
      </c>
      <c r="D60" s="92">
        <f>VLOOKUP(A60,Database!$E:$AY,MATCH($D$1,Database!$E$1:$AY$1,0),FALSE)</f>
        <v>71.194069999999996</v>
      </c>
      <c r="E60" s="92">
        <f>VLOOKUP(A60,Database!$E:$AY,MATCH($E$1,Database!$E$1:$AY$1,0),FALSE)</f>
        <v>102.4081</v>
      </c>
      <c r="F60" s="92">
        <f>VLOOKUP(A60,Database!$E:$AY,MATCH($F$1,Database!$E$1:$AY$1,0),FALSE)</f>
        <v>81.386439999999993</v>
      </c>
      <c r="G60" s="92">
        <f>VLOOKUP(A60,Database!$E:$AY,MATCH($G$1,Database!$E$1:$AY$1,0),FALSE)</f>
        <v>103.4195</v>
      </c>
      <c r="H60" s="92">
        <f>(((Table134567891011121314151617343[[#This Row],[ITA]]-VLOOKUP($U$1,A:B,2,))/VLOOKUP($U$1,A:B,2,))*100)+100</f>
        <v>94.901303479976548</v>
      </c>
      <c r="I60" s="92">
        <f>(((Table134567891011121314151617343[[#This Row],[FRA]]-VLOOKUP($U$1,A:C,3,))/VLOOKUP($U$1,A:C,3,))*100)+100</f>
        <v>90.617057082427749</v>
      </c>
      <c r="J60" s="92">
        <f>(((Table134567891011121314151617343[[#This Row],[DEU]]-VLOOKUP($U$1,A:D,4,))/VLOOKUP($U$1,A:D,4,))*100)+100</f>
        <v>94.680859694019688</v>
      </c>
      <c r="K60" s="92">
        <f>(((Table134567891011121314151617343[[#This Row],[ESP]]-VLOOKUP($U$1,A:E,5,))/VLOOKUP($U$1,A:E,5,))*100)+100</f>
        <v>86.242684899712913</v>
      </c>
      <c r="L60" s="92">
        <f>(((Table134567891011121314151617343[[#This Row],[EA19]]-VLOOKUP($U$1,A:F,6,))/VLOOKUP($U$1,A:F,6,))*100)+100</f>
        <v>91.051461597067075</v>
      </c>
      <c r="M60" s="92">
        <f>(((Table134567891011121314151617343[[#This Row],[GBR]]-VLOOKUP($U$1,A:G,7,))/VLOOKUP($U$1,A:G,7,))*100)+100</f>
        <v>96.80292338379428</v>
      </c>
      <c r="N60" s="92">
        <f>VLOOKUP(A60,Database!$E:$AY,MATCH($N$1,Database!$E$1:$AY$1,0),FALSE)</f>
        <v>69.662199999999999</v>
      </c>
      <c r="O60" s="92">
        <f>(((Table134567891011121314151617343[[#This Row],[USA]]-VLOOKUP($U$1,A:N,14,))/VLOOKUP($U$1,A:N,14,))*100)+100</f>
        <v>80.71086344804317</v>
      </c>
      <c r="P60" s="92">
        <f>VLOOKUP(A60,Database!$E:$AY,MATCH($P$1,Database!$E$1:$AY$1,0),FALSE)</f>
        <v>100.8017</v>
      </c>
      <c r="Q60" s="92">
        <f>(((Table134567891011121314151617343[[#This Row],[JPN]]-VLOOKUP($U$1,A:Q,16,))/VLOOKUP($U$1,A:Q,16,))*100)+100</f>
        <v>101.20283768774291</v>
      </c>
    </row>
    <row r="61" spans="1:17" s="85" customFormat="1" x14ac:dyDescent="0.2">
      <c r="A61" s="22">
        <v>34669</v>
      </c>
      <c r="B61" s="92">
        <f>VLOOKUP(A61,Database!$E:$AY,MATCH($B$1,Database!$E$1:$AY$1,0),FALSE)</f>
        <v>118.1901</v>
      </c>
      <c r="C61" s="92">
        <f>VLOOKUP(A61,Database!$E:$AY,MATCH($C$1,Database!$E$1:$AY$1,0),FALSE)</f>
        <v>92.96078</v>
      </c>
      <c r="D61" s="92">
        <f>VLOOKUP(A61,Database!$E:$AY,MATCH($D$1,Database!$E$1:$AY$1,0),FALSE)</f>
        <v>71.194069999999996</v>
      </c>
      <c r="E61" s="92">
        <f>VLOOKUP(A61,Database!$E:$AY,MATCH($E$1,Database!$E$1:$AY$1,0),FALSE)</f>
        <v>105.3771</v>
      </c>
      <c r="F61" s="92">
        <f>VLOOKUP(A61,Database!$E:$AY,MATCH($F$1,Database!$E$1:$AY$1,0),FALSE)</f>
        <v>82.286289999999994</v>
      </c>
      <c r="G61" s="92">
        <f>VLOOKUP(A61,Database!$E:$AY,MATCH($G$1,Database!$E$1:$AY$1,0),FALSE)</f>
        <v>104.4937</v>
      </c>
      <c r="H61" s="92">
        <f>(((Table134567891011121314151617343[[#This Row],[ITA]]-VLOOKUP($U$1,A:B,2,))/VLOOKUP($U$1,A:B,2,))*100)+100</f>
        <v>97.203879598552177</v>
      </c>
      <c r="I61" s="92">
        <f>(((Table134567891011121314151617343[[#This Row],[FRA]]-VLOOKUP($U$1,A:C,3,))/VLOOKUP($U$1,A:C,3,))*100)+100</f>
        <v>90.480791972817059</v>
      </c>
      <c r="J61" s="92">
        <f>(((Table134567891011121314151617343[[#This Row],[DEU]]-VLOOKUP($U$1,A:D,4,))/VLOOKUP($U$1,A:D,4,))*100)+100</f>
        <v>94.680859694019688</v>
      </c>
      <c r="K61" s="92">
        <f>(((Table134567891011121314151617343[[#This Row],[ESP]]-VLOOKUP($U$1,A:E,5,))/VLOOKUP($U$1,A:E,5,))*100)+100</f>
        <v>88.743019653186977</v>
      </c>
      <c r="L61" s="92">
        <f>(((Table134567891011121314151617343[[#This Row],[EA19]]-VLOOKUP($U$1,A:F,6,))/VLOOKUP($U$1,A:F,6,))*100)+100</f>
        <v>92.058173006463051</v>
      </c>
      <c r="M61" s="92">
        <f>(((Table134567891011121314151617343[[#This Row],[GBR]]-VLOOKUP($U$1,A:G,7,))/VLOOKUP($U$1,A:G,7,))*100)+100</f>
        <v>97.808398176254812</v>
      </c>
      <c r="N61" s="92">
        <f>VLOOKUP(A61,Database!$E:$AY,MATCH($N$1,Database!$E$1:$AY$1,0),FALSE)</f>
        <v>70.393730000000005</v>
      </c>
      <c r="O61" s="92">
        <f>(((Table134567891011121314151617343[[#This Row],[USA]]-VLOOKUP($U$1,A:N,14,))/VLOOKUP($U$1,A:N,14,))*100)+100</f>
        <v>81.558416610850941</v>
      </c>
      <c r="P61" s="92">
        <f>VLOOKUP(A61,Database!$E:$AY,MATCH($P$1,Database!$E$1:$AY$1,0),FALSE)</f>
        <v>101.5116</v>
      </c>
      <c r="Q61" s="92">
        <f>(((Table134567891011121314151617343[[#This Row],[JPN]]-VLOOKUP($U$1,A:Q,16,))/VLOOKUP($U$1,A:Q,16,))*100)+100</f>
        <v>101.91556271593717</v>
      </c>
    </row>
    <row r="62" spans="1:17" s="85" customFormat="1" x14ac:dyDescent="0.2">
      <c r="A62" s="22">
        <v>34700</v>
      </c>
      <c r="B62" s="92">
        <f>VLOOKUP(A62,Database!$E:$AY,MATCH($B$1,Database!$E$1:$AY$1,0),FALSE)</f>
        <v>117.7902</v>
      </c>
      <c r="C62" s="92">
        <f>VLOOKUP(A62,Database!$E:$AY,MATCH($C$1,Database!$E$1:$AY$1,0),FALSE)</f>
        <v>93.630780000000001</v>
      </c>
      <c r="D62" s="92">
        <f>VLOOKUP(A62,Database!$E:$AY,MATCH($D$1,Database!$E$1:$AY$1,0),FALSE)</f>
        <v>69.794179999999997</v>
      </c>
      <c r="E62" s="92">
        <f>VLOOKUP(A62,Database!$E:$AY,MATCH($E$1,Database!$E$1:$AY$1,0),FALSE)</f>
        <v>104.8301</v>
      </c>
      <c r="F62" s="92">
        <f>VLOOKUP(A62,Database!$E:$AY,MATCH($F$1,Database!$E$1:$AY$1,0),FALSE)</f>
        <v>81.686390000000003</v>
      </c>
      <c r="G62" s="92">
        <f>VLOOKUP(A62,Database!$E:$AY,MATCH($G$1,Database!$E$1:$AY$1,0),FALSE)</f>
        <v>102.6382</v>
      </c>
      <c r="H62" s="92">
        <f>(((Table134567891011121314151617343[[#This Row],[ITA]]-VLOOKUP($U$1,A:B,2,))/VLOOKUP($U$1,A:B,2,))*100)+100</f>
        <v>96.874987149426062</v>
      </c>
      <c r="I62" s="92">
        <f>(((Table134567891011121314151617343[[#This Row],[FRA]]-VLOOKUP($U$1,A:C,3,))/VLOOKUP($U$1,A:C,3,))*100)+100</f>
        <v>91.132917854525317</v>
      </c>
      <c r="J62" s="92">
        <f>(((Table134567891011121314151617343[[#This Row],[DEU]]-VLOOKUP($U$1,A:D,4,))/VLOOKUP($U$1,A:D,4,))*100)+100</f>
        <v>92.819148617843524</v>
      </c>
      <c r="K62" s="92">
        <f>(((Table134567891011121314151617343[[#This Row],[ESP]]-VLOOKUP($U$1,A:E,5,))/VLOOKUP($U$1,A:E,5,))*100)+100</f>
        <v>88.282365186986127</v>
      </c>
      <c r="L62" s="92">
        <f>(((Table134567891011121314151617343[[#This Row],[EA19]]-VLOOKUP($U$1,A:F,6,))/VLOOKUP($U$1,A:F,6,))*100)+100</f>
        <v>91.387032066865743</v>
      </c>
      <c r="M62" s="92">
        <f>(((Table134567891011121314151617343[[#This Row],[GBR]]-VLOOKUP($U$1,A:G,7,))/VLOOKUP($U$1,A:G,7,))*100)+100</f>
        <v>96.071609424243533</v>
      </c>
      <c r="N62" s="92">
        <f>VLOOKUP(A62,Database!$E:$AY,MATCH($N$1,Database!$E$1:$AY$1,0),FALSE)</f>
        <v>70.522440000000003</v>
      </c>
      <c r="O62" s="92">
        <f>(((Table134567891011121314151617343[[#This Row],[USA]]-VLOOKUP($U$1,A:N,14,))/VLOOKUP($U$1,A:N,14,))*100)+100</f>
        <v>81.707540457562615</v>
      </c>
      <c r="P62" s="92">
        <f>VLOOKUP(A62,Database!$E:$AY,MATCH($P$1,Database!$E$1:$AY$1,0),FALSE)</f>
        <v>99.483410000000006</v>
      </c>
      <c r="Q62" s="92">
        <f>(((Table134567891011121314151617343[[#This Row],[JPN]]-VLOOKUP($U$1,A:Q,16,))/VLOOKUP($U$1,A:Q,16,))*100)+100</f>
        <v>99.879301587703196</v>
      </c>
    </row>
    <row r="63" spans="1:17" s="85" customFormat="1" x14ac:dyDescent="0.2">
      <c r="A63" s="22">
        <v>34731</v>
      </c>
      <c r="B63" s="92">
        <f>VLOOKUP(A63,Database!$E:$AY,MATCH($B$1,Database!$E$1:$AY$1,0),FALSE)</f>
        <v>117.0902</v>
      </c>
      <c r="C63" s="92">
        <f>VLOOKUP(A63,Database!$E:$AY,MATCH($C$1,Database!$E$1:$AY$1,0),FALSE)</f>
        <v>93.000780000000006</v>
      </c>
      <c r="D63" s="92">
        <f>VLOOKUP(A63,Database!$E:$AY,MATCH($D$1,Database!$E$1:$AY$1,0),FALSE)</f>
        <v>70.7941</v>
      </c>
      <c r="E63" s="92">
        <f>VLOOKUP(A63,Database!$E:$AY,MATCH($E$1,Database!$E$1:$AY$1,0),FALSE)</f>
        <v>103.6361</v>
      </c>
      <c r="F63" s="92">
        <f>VLOOKUP(A63,Database!$E:$AY,MATCH($F$1,Database!$E$1:$AY$1,0),FALSE)</f>
        <v>81.886349999999993</v>
      </c>
      <c r="G63" s="92">
        <f>VLOOKUP(A63,Database!$E:$AY,MATCH($G$1,Database!$E$1:$AY$1,0),FALSE)</f>
        <v>102.6382</v>
      </c>
      <c r="H63" s="92">
        <f>(((Table134567891011121314151617343[[#This Row],[ITA]]-VLOOKUP($U$1,A:B,2,))/VLOOKUP($U$1,A:B,2,))*100)+100</f>
        <v>96.299281437027247</v>
      </c>
      <c r="I63" s="92">
        <f>(((Table134567891011121314151617343[[#This Row],[FRA]]-VLOOKUP($U$1,A:C,3,))/VLOOKUP($U$1,A:C,3,))*100)+100</f>
        <v>90.519724861277268</v>
      </c>
      <c r="J63" s="92">
        <f>(((Table134567891011121314151617343[[#This Row],[DEU]]-VLOOKUP($U$1,A:D,4,))/VLOOKUP($U$1,A:D,4,))*100)+100</f>
        <v>94.148940343829196</v>
      </c>
      <c r="K63" s="92">
        <f>(((Table134567891011121314151617343[[#This Row],[ESP]]-VLOOKUP($U$1,A:E,5,))/VLOOKUP($U$1,A:E,5,))*100)+100</f>
        <v>87.276841544127237</v>
      </c>
      <c r="L63" s="92">
        <f>(((Table134567891011121314151617343[[#This Row],[EA19]]-VLOOKUP($U$1,A:F,6,))/VLOOKUP($U$1,A:F,6,))*100)+100</f>
        <v>91.610738255033553</v>
      </c>
      <c r="M63" s="92">
        <f>(((Table134567891011121314151617343[[#This Row],[GBR]]-VLOOKUP($U$1,A:G,7,))/VLOOKUP($U$1,A:G,7,))*100)+100</f>
        <v>96.071609424243533</v>
      </c>
      <c r="N63" s="92">
        <f>VLOOKUP(A63,Database!$E:$AY,MATCH($N$1,Database!$E$1:$AY$1,0),FALSE)</f>
        <v>70.407749999999993</v>
      </c>
      <c r="O63" s="92">
        <f>(((Table134567891011121314151617343[[#This Row],[USA]]-VLOOKUP($U$1,A:N,14,))/VLOOKUP($U$1,A:N,14,))*100)+100</f>
        <v>81.574660230856352</v>
      </c>
      <c r="P63" s="92">
        <f>VLOOKUP(A63,Database!$E:$AY,MATCH($P$1,Database!$E$1:$AY$1,0),FALSE)</f>
        <v>100.9032</v>
      </c>
      <c r="Q63" s="92">
        <f>(((Table134567891011121314151617343[[#This Row],[JPN]]-VLOOKUP($U$1,A:Q,16,))/VLOOKUP($U$1,A:Q,16,))*100)+100</f>
        <v>101.30474160429695</v>
      </c>
    </row>
    <row r="64" spans="1:17" s="85" customFormat="1" x14ac:dyDescent="0.2">
      <c r="A64" s="22">
        <v>34759</v>
      </c>
      <c r="B64" s="92">
        <f>VLOOKUP(A64,Database!$E:$AY,MATCH($B$1,Database!$E$1:$AY$1,0),FALSE)</f>
        <v>117.39019999999999</v>
      </c>
      <c r="C64" s="92">
        <f>VLOOKUP(A64,Database!$E:$AY,MATCH($C$1,Database!$E$1:$AY$1,0),FALSE)</f>
        <v>93.780779999999993</v>
      </c>
      <c r="D64" s="92">
        <f>VLOOKUP(A64,Database!$E:$AY,MATCH($D$1,Database!$E$1:$AY$1,0),FALSE)</f>
        <v>69.994159999999994</v>
      </c>
      <c r="E64" s="92">
        <f>VLOOKUP(A64,Database!$E:$AY,MATCH($E$1,Database!$E$1:$AY$1,0),FALSE)</f>
        <v>103.5821</v>
      </c>
      <c r="F64" s="92">
        <f>VLOOKUP(A64,Database!$E:$AY,MATCH($F$1,Database!$E$1:$AY$1,0),FALSE)</f>
        <v>81.786370000000005</v>
      </c>
      <c r="G64" s="92">
        <f>VLOOKUP(A64,Database!$E:$AY,MATCH($G$1,Database!$E$1:$AY$1,0),FALSE)</f>
        <v>103.0288</v>
      </c>
      <c r="H64" s="92">
        <f>(((Table134567891011121314151617343[[#This Row],[ITA]]-VLOOKUP($U$1,A:B,2,))/VLOOKUP($U$1,A:B,2,))*100)+100</f>
        <v>96.546012456626741</v>
      </c>
      <c r="I64" s="92">
        <f>(((Table134567891011121314151617343[[#This Row],[FRA]]-VLOOKUP($U$1,A:C,3,))/VLOOKUP($U$1,A:C,3,))*100)+100</f>
        <v>91.278916186251038</v>
      </c>
      <c r="J64" s="92">
        <f>(((Table134567891011121314151617343[[#This Row],[DEU]]-VLOOKUP($U$1,A:D,4,))/VLOOKUP($U$1,A:D,4,))*100)+100</f>
        <v>93.085101643448183</v>
      </c>
      <c r="K64" s="92">
        <f>(((Table134567891011121314151617343[[#This Row],[ESP]]-VLOOKUP($U$1,A:E,5,))/VLOOKUP($U$1,A:E,5,))*100)+100</f>
        <v>87.231365600480359</v>
      </c>
      <c r="L64" s="92">
        <f>(((Table134567891011121314151617343[[#This Row],[EA19]]-VLOOKUP($U$1,A:F,6,))/VLOOKUP($U$1,A:F,6,))*100)+100</f>
        <v>91.498885160949655</v>
      </c>
      <c r="M64" s="92">
        <f>(((Table134567891011121314151617343[[#This Row],[GBR]]-VLOOKUP($U$1,A:G,7,))/VLOOKUP($U$1,A:G,7,))*100)+100</f>
        <v>96.437219602920763</v>
      </c>
      <c r="N64" s="92">
        <f>VLOOKUP(A64,Database!$E:$AY,MATCH($N$1,Database!$E$1:$AY$1,0),FALSE)</f>
        <v>70.509180000000001</v>
      </c>
      <c r="O64" s="92">
        <f>(((Table134567891011121314151617343[[#This Row],[USA]]-VLOOKUP($U$1,A:N,14,))/VLOOKUP($U$1,A:N,14,))*100)+100</f>
        <v>81.692177376159492</v>
      </c>
      <c r="P64" s="92">
        <f>VLOOKUP(A64,Database!$E:$AY,MATCH($P$1,Database!$E$1:$AY$1,0),FALSE)</f>
        <v>101.9173</v>
      </c>
      <c r="Q64" s="92">
        <f>(((Table134567891011121314151617343[[#This Row],[JPN]]-VLOOKUP($U$1,A:Q,16,))/VLOOKUP($U$1,A:Q,16,))*100)+100</f>
        <v>102.32287718831131</v>
      </c>
    </row>
    <row r="65" spans="1:17" s="85" customFormat="1" x14ac:dyDescent="0.2">
      <c r="A65" s="22">
        <v>34790</v>
      </c>
      <c r="B65" s="92">
        <f>VLOOKUP(A65,Database!$E:$AY,MATCH($B$1,Database!$E$1:$AY$1,0),FALSE)</f>
        <v>117.4902</v>
      </c>
      <c r="C65" s="92">
        <f>VLOOKUP(A65,Database!$E:$AY,MATCH($C$1,Database!$E$1:$AY$1,0),FALSE)</f>
        <v>93.820790000000002</v>
      </c>
      <c r="D65" s="92">
        <f>VLOOKUP(A65,Database!$E:$AY,MATCH($D$1,Database!$E$1:$AY$1,0),FALSE)</f>
        <v>70.394130000000004</v>
      </c>
      <c r="E65" s="92">
        <f>VLOOKUP(A65,Database!$E:$AY,MATCH($E$1,Database!$E$1:$AY$1,0),FALSE)</f>
        <v>104.0581</v>
      </c>
      <c r="F65" s="92">
        <f>VLOOKUP(A65,Database!$E:$AY,MATCH($F$1,Database!$E$1:$AY$1,0),FALSE)</f>
        <v>82.086320000000001</v>
      </c>
      <c r="G65" s="92">
        <f>VLOOKUP(A65,Database!$E:$AY,MATCH($G$1,Database!$E$1:$AY$1,0),FALSE)</f>
        <v>103.90779999999999</v>
      </c>
      <c r="H65" s="92">
        <f>(((Table134567891011121314151617343[[#This Row],[ITA]]-VLOOKUP($U$1,A:B,2,))/VLOOKUP($U$1,A:B,2,))*100)+100</f>
        <v>96.628256129826568</v>
      </c>
      <c r="I65" s="92">
        <f>(((Table134567891011121314151617343[[#This Row],[FRA]]-VLOOKUP($U$1,A:C,3,))/VLOOKUP($U$1,A:C,3,))*100)+100</f>
        <v>91.317858807933362</v>
      </c>
      <c r="J65" s="92">
        <f>(((Table134567891011121314151617343[[#This Row],[DEU]]-VLOOKUP($U$1,A:D,4,))/VLOOKUP($U$1,A:D,4,))*100)+100</f>
        <v>93.617020993638704</v>
      </c>
      <c r="K65" s="92">
        <f>(((Table134567891011121314151617343[[#This Row],[ESP]]-VLOOKUP($U$1,A:E,5,))/VLOOKUP($U$1,A:E,5,))*100)+100</f>
        <v>87.632227622256593</v>
      </c>
      <c r="L65" s="92">
        <f>(((Table134567891011121314151617343[[#This Row],[EA19]]-VLOOKUP($U$1,A:F,6,))/VLOOKUP($U$1,A:F,6,))*100)+100</f>
        <v>91.834455630748309</v>
      </c>
      <c r="M65" s="92">
        <f>(((Table134567891011121314151617343[[#This Row],[GBR]]-VLOOKUP($U$1,A:G,7,))/VLOOKUP($U$1,A:G,7,))*100)+100</f>
        <v>97.259982908238953</v>
      </c>
      <c r="N65" s="92">
        <f>VLOOKUP(A65,Database!$E:$AY,MATCH($N$1,Database!$E$1:$AY$1,0),FALSE)</f>
        <v>70.464129999999997</v>
      </c>
      <c r="O65" s="92">
        <f>(((Table134567891011121314151617343[[#This Row],[USA]]-VLOOKUP($U$1,A:N,14,))/VLOOKUP($U$1,A:N,14,))*100)+100</f>
        <v>81.639982291905255</v>
      </c>
      <c r="P65" s="92">
        <f>VLOOKUP(A65,Database!$E:$AY,MATCH($P$1,Database!$E$1:$AY$1,0),FALSE)</f>
        <v>103.13420000000001</v>
      </c>
      <c r="Q65" s="92">
        <f>(((Table134567891011121314151617343[[#This Row],[JPN]]-VLOOKUP($U$1,A:Q,16,))/VLOOKUP($U$1,A:Q,16,))*100)+100</f>
        <v>103.54461980953909</v>
      </c>
    </row>
    <row r="66" spans="1:17" s="85" customFormat="1" x14ac:dyDescent="0.2">
      <c r="A66" s="22">
        <v>34820</v>
      </c>
      <c r="B66" s="92">
        <f>VLOOKUP(A66,Database!$E:$AY,MATCH($B$1,Database!$E$1:$AY$1,0),FALSE)</f>
        <v>118.1901</v>
      </c>
      <c r="C66" s="92">
        <f>VLOOKUP(A66,Database!$E:$AY,MATCH($C$1,Database!$E$1:$AY$1,0),FALSE)</f>
        <v>93.360780000000005</v>
      </c>
      <c r="D66" s="92">
        <f>VLOOKUP(A66,Database!$E:$AY,MATCH($D$1,Database!$E$1:$AY$1,0),FALSE)</f>
        <v>70.7941</v>
      </c>
      <c r="E66" s="92">
        <f>VLOOKUP(A66,Database!$E:$AY,MATCH($E$1,Database!$E$1:$AY$1,0),FALSE)</f>
        <v>105.02209999999999</v>
      </c>
      <c r="F66" s="92">
        <f>VLOOKUP(A66,Database!$E:$AY,MATCH($F$1,Database!$E$1:$AY$1,0),FALSE)</f>
        <v>82.386269999999996</v>
      </c>
      <c r="G66" s="92">
        <f>VLOOKUP(A66,Database!$E:$AY,MATCH($G$1,Database!$E$1:$AY$1,0),FALSE)</f>
        <v>103.81010000000001</v>
      </c>
      <c r="H66" s="92">
        <f>(((Table134567891011121314151617343[[#This Row],[ITA]]-VLOOKUP($U$1,A:B,2,))/VLOOKUP($U$1,A:B,2,))*100)+100</f>
        <v>97.203879598552177</v>
      </c>
      <c r="I66" s="92">
        <f>(((Table134567891011121314151617343[[#This Row],[FRA]]-VLOOKUP($U$1,A:C,3,))/VLOOKUP($U$1,A:C,3,))*100)+100</f>
        <v>90.87012085741901</v>
      </c>
      <c r="J66" s="92">
        <f>(((Table134567891011121314151617343[[#This Row],[DEU]]-VLOOKUP($U$1,A:D,4,))/VLOOKUP($U$1,A:D,4,))*100)+100</f>
        <v>94.148940343829196</v>
      </c>
      <c r="K66" s="92">
        <f>(((Table134567891011121314151617343[[#This Row],[ESP]]-VLOOKUP($U$1,A:E,5,))/VLOOKUP($U$1,A:E,5,))*100)+100</f>
        <v>88.444057431063939</v>
      </c>
      <c r="L66" s="92">
        <f>(((Table134567891011121314151617343[[#This Row],[EA19]]-VLOOKUP($U$1,A:F,6,))/VLOOKUP($U$1,A:F,6,))*100)+100</f>
        <v>92.170026100546963</v>
      </c>
      <c r="M66" s="92">
        <f>(((Table134567891011121314151617343[[#This Row],[GBR]]-VLOOKUP($U$1,A:G,7,))/VLOOKUP($U$1,A:G,7,))*100)+100</f>
        <v>97.168533562471524</v>
      </c>
      <c r="N66" s="92">
        <f>VLOOKUP(A66,Database!$E:$AY,MATCH($N$1,Database!$E$1:$AY$1,0),FALSE)</f>
        <v>70.703490000000002</v>
      </c>
      <c r="O66" s="92">
        <f>(((Table134567891011121314151617343[[#This Row],[USA]]-VLOOKUP($U$1,A:N,14,))/VLOOKUP($U$1,A:N,14,))*100)+100</f>
        <v>81.917305607489951</v>
      </c>
      <c r="P66" s="92">
        <f>VLOOKUP(A66,Database!$E:$AY,MATCH($P$1,Database!$E$1:$AY$1,0),FALSE)</f>
        <v>101.4102</v>
      </c>
      <c r="Q66" s="92">
        <f>(((Table134567891011121314151617343[[#This Row],[JPN]]-VLOOKUP($U$1,A:Q,16,))/VLOOKUP($U$1,A:Q,16,))*100)+100</f>
        <v>101.81375919733047</v>
      </c>
    </row>
    <row r="67" spans="1:17" s="85" customFormat="1" x14ac:dyDescent="0.2">
      <c r="A67" s="22">
        <v>34851</v>
      </c>
      <c r="B67" s="92">
        <f>VLOOKUP(A67,Database!$E:$AY,MATCH($B$1,Database!$E$1:$AY$1,0),FALSE)</f>
        <v>117.9902</v>
      </c>
      <c r="C67" s="92">
        <f>VLOOKUP(A67,Database!$E:$AY,MATCH($C$1,Database!$E$1:$AY$1,0),FALSE)</f>
        <v>93.970780000000005</v>
      </c>
      <c r="D67" s="92">
        <f>VLOOKUP(A67,Database!$E:$AY,MATCH($D$1,Database!$E$1:$AY$1,0),FALSE)</f>
        <v>69.994159999999994</v>
      </c>
      <c r="E67" s="92">
        <f>VLOOKUP(A67,Database!$E:$AY,MATCH($E$1,Database!$E$1:$AY$1,0),FALSE)</f>
        <v>104.1801</v>
      </c>
      <c r="F67" s="92">
        <f>VLOOKUP(A67,Database!$E:$AY,MATCH($F$1,Database!$E$1:$AY$1,0),FALSE)</f>
        <v>81.986339999999998</v>
      </c>
      <c r="G67" s="92">
        <f>VLOOKUP(A67,Database!$E:$AY,MATCH($G$1,Database!$E$1:$AY$1,0),FALSE)</f>
        <v>103.2242</v>
      </c>
      <c r="H67" s="92">
        <f>(((Table134567891011121314151617343[[#This Row],[ITA]]-VLOOKUP($U$1,A:B,2,))/VLOOKUP($U$1,A:B,2,))*100)+100</f>
        <v>97.039474495825729</v>
      </c>
      <c r="I67" s="92">
        <f>(((Table134567891011121314151617343[[#This Row],[FRA]]-VLOOKUP($U$1,A:C,3,))/VLOOKUP($U$1,A:C,3,))*100)+100</f>
        <v>91.463847406436969</v>
      </c>
      <c r="J67" s="92">
        <f>(((Table134567891011121314151617343[[#This Row],[DEU]]-VLOOKUP($U$1,A:D,4,))/VLOOKUP($U$1,A:D,4,))*100)+100</f>
        <v>93.085101643448183</v>
      </c>
      <c r="K67" s="92">
        <f>(((Table134567891011121314151617343[[#This Row],[ESP]]-VLOOKUP($U$1,A:E,5,))/VLOOKUP($U$1,A:E,5,))*100)+100</f>
        <v>87.734969569014368</v>
      </c>
      <c r="L67" s="92">
        <f>(((Table134567891011121314151617343[[#This Row],[EA19]]-VLOOKUP($U$1,A:F,6,))/VLOOKUP($U$1,A:F,6,))*100)+100</f>
        <v>91.722602536664397</v>
      </c>
      <c r="M67" s="92">
        <f>(((Table134567891011121314151617343[[#This Row],[GBR]]-VLOOKUP($U$1,A:G,7,))/VLOOKUP($U$1,A:G,7,))*100)+100</f>
        <v>96.620118294455665</v>
      </c>
      <c r="N67" s="92">
        <f>VLOOKUP(A67,Database!$E:$AY,MATCH($N$1,Database!$E$1:$AY$1,0),FALSE)</f>
        <v>70.943430000000006</v>
      </c>
      <c r="O67" s="92">
        <f>(((Table134567891011121314151617343[[#This Row],[USA]]-VLOOKUP($U$1,A:N,14,))/VLOOKUP($U$1,A:N,14,))*100)+100</f>
        <v>82.195300913060606</v>
      </c>
      <c r="P67" s="92">
        <f>VLOOKUP(A67,Database!$E:$AY,MATCH($P$1,Database!$E$1:$AY$1,0),FALSE)</f>
        <v>101.30880000000001</v>
      </c>
      <c r="Q67" s="92">
        <f>(((Table134567891011121314151617343[[#This Row],[JPN]]-VLOOKUP($U$1,A:Q,16,))/VLOOKUP($U$1,A:Q,16,))*100)+100</f>
        <v>101.71195567872377</v>
      </c>
    </row>
    <row r="68" spans="1:17" s="85" customFormat="1" x14ac:dyDescent="0.2">
      <c r="A68" s="22">
        <v>34881</v>
      </c>
      <c r="B68" s="92">
        <f>VLOOKUP(A68,Database!$E:$AY,MATCH($B$1,Database!$E$1:$AY$1,0),FALSE)</f>
        <v>117.89019999999999</v>
      </c>
      <c r="C68" s="92">
        <f>VLOOKUP(A68,Database!$E:$AY,MATCH($C$1,Database!$E$1:$AY$1,0),FALSE)</f>
        <v>94.410790000000006</v>
      </c>
      <c r="D68" s="92">
        <f>VLOOKUP(A68,Database!$E:$AY,MATCH($D$1,Database!$E$1:$AY$1,0),FALSE)</f>
        <v>69.794179999999997</v>
      </c>
      <c r="E68" s="92">
        <f>VLOOKUP(A68,Database!$E:$AY,MATCH($E$1,Database!$E$1:$AY$1,0),FALSE)</f>
        <v>103.48909999999999</v>
      </c>
      <c r="F68" s="92">
        <f>VLOOKUP(A68,Database!$E:$AY,MATCH($F$1,Database!$E$1:$AY$1,0),FALSE)</f>
        <v>81.986339999999998</v>
      </c>
      <c r="G68" s="92">
        <f>VLOOKUP(A68,Database!$E:$AY,MATCH($G$1,Database!$E$1:$AY$1,0),FALSE)</f>
        <v>103.81010000000001</v>
      </c>
      <c r="H68" s="92">
        <f>(((Table134567891011121314151617343[[#This Row],[ITA]]-VLOOKUP($U$1,A:B,2,))/VLOOKUP($U$1,A:B,2,))*100)+100</f>
        <v>96.957230822625888</v>
      </c>
      <c r="I68" s="92">
        <f>(((Table134567891011121314151617343[[#This Row],[FRA]]-VLOOKUP($U$1,A:C,3,))/VLOOKUP($U$1,A:C,3,))*100)+100</f>
        <v>91.89211891272123</v>
      </c>
      <c r="J68" s="92">
        <f>(((Table134567891011121314151617343[[#This Row],[DEU]]-VLOOKUP($U$1,A:D,4,))/VLOOKUP($U$1,A:D,4,))*100)+100</f>
        <v>92.819148617843524</v>
      </c>
      <c r="K68" s="92">
        <f>(((Table134567891011121314151617343[[#This Row],[ESP]]-VLOOKUP($U$1,A:E,5,))/VLOOKUP($U$1,A:E,5,))*100)+100</f>
        <v>87.153045919755158</v>
      </c>
      <c r="L68" s="92">
        <f>(((Table134567891011121314151617343[[#This Row],[EA19]]-VLOOKUP($U$1,A:F,6,))/VLOOKUP($U$1,A:F,6,))*100)+100</f>
        <v>91.722602536664397</v>
      </c>
      <c r="M68" s="92">
        <f>(((Table134567891011121314151617343[[#This Row],[GBR]]-VLOOKUP($U$1,A:G,7,))/VLOOKUP($U$1,A:G,7,))*100)+100</f>
        <v>97.168533562471524</v>
      </c>
      <c r="N68" s="92">
        <f>VLOOKUP(A68,Database!$E:$AY,MATCH($N$1,Database!$E$1:$AY$1,0),FALSE)</f>
        <v>70.661230000000003</v>
      </c>
      <c r="O68" s="92">
        <f>(((Table134567891011121314151617343[[#This Row],[USA]]-VLOOKUP($U$1,A:N,14,))/VLOOKUP($U$1,A:N,14,))*100)+100</f>
        <v>81.868343026788878</v>
      </c>
      <c r="P68" s="92">
        <f>VLOOKUP(A68,Database!$E:$AY,MATCH($P$1,Database!$E$1:$AY$1,0),FALSE)</f>
        <v>99.889049999999997</v>
      </c>
      <c r="Q68" s="92">
        <f>(((Table134567891011121314151617343[[#This Row],[JPN]]-VLOOKUP($U$1,A:Q,16,))/VLOOKUP($U$1,A:Q,16,))*100)+100</f>
        <v>100.28655582130892</v>
      </c>
    </row>
    <row r="69" spans="1:17" s="85" customFormat="1" x14ac:dyDescent="0.2">
      <c r="A69" s="22">
        <v>34912</v>
      </c>
      <c r="B69" s="92">
        <f>VLOOKUP(A69,Database!$E:$AY,MATCH($B$1,Database!$E$1:$AY$1,0),FALSE)</f>
        <v>119.99</v>
      </c>
      <c r="C69" s="92">
        <f>VLOOKUP(A69,Database!$E:$AY,MATCH($C$1,Database!$E$1:$AY$1,0),FALSE)</f>
        <v>93.840779999999995</v>
      </c>
      <c r="D69" s="92">
        <f>VLOOKUP(A69,Database!$E:$AY,MATCH($D$1,Database!$E$1:$AY$1,0),FALSE)</f>
        <v>68.994249999999994</v>
      </c>
      <c r="E69" s="92">
        <f>VLOOKUP(A69,Database!$E:$AY,MATCH($E$1,Database!$E$1:$AY$1,0),FALSE)</f>
        <v>103.3561</v>
      </c>
      <c r="F69" s="92">
        <f>VLOOKUP(A69,Database!$E:$AY,MATCH($F$1,Database!$E$1:$AY$1,0),FALSE)</f>
        <v>81.986339999999998</v>
      </c>
      <c r="G69" s="92">
        <f>VLOOKUP(A69,Database!$E:$AY,MATCH($G$1,Database!$E$1:$AY$1,0),FALSE)</f>
        <v>104.00539999999999</v>
      </c>
      <c r="H69" s="92">
        <f>(((Table134567891011121314151617343[[#This Row],[ITA]]-VLOOKUP($U$1,A:B,2,))/VLOOKUP($U$1,A:B,2,))*100)+100</f>
        <v>98.684183472475922</v>
      </c>
      <c r="I69" s="92">
        <f>(((Table134567891011121314151617343[[#This Row],[FRA]]-VLOOKUP($U$1,A:C,3,))/VLOOKUP($U$1,A:C,3,))*100)+100</f>
        <v>91.337315518941338</v>
      </c>
      <c r="J69" s="92">
        <f>(((Table134567891011121314151617343[[#This Row],[DEU]]-VLOOKUP($U$1,A:D,4,))/VLOOKUP($U$1,A:D,4,))*100)+100</f>
        <v>91.755323216443699</v>
      </c>
      <c r="K69" s="92">
        <f>(((Table134567891011121314151617343[[#This Row],[ESP]]-VLOOKUP($U$1,A:E,5,))/VLOOKUP($U$1,A:E,5,))*100)+100</f>
        <v>87.041040354847098</v>
      </c>
      <c r="L69" s="92">
        <f>(((Table134567891011121314151617343[[#This Row],[EA19]]-VLOOKUP($U$1,A:F,6,))/VLOOKUP($U$1,A:F,6,))*100)+100</f>
        <v>91.722602536664397</v>
      </c>
      <c r="M69" s="92">
        <f>(((Table134567891011121314151617343[[#This Row],[GBR]]-VLOOKUP($U$1,A:G,7,))/VLOOKUP($U$1,A:G,7,))*100)+100</f>
        <v>97.351338651810124</v>
      </c>
      <c r="N69" s="92">
        <f>VLOOKUP(A69,Database!$E:$AY,MATCH($N$1,Database!$E$1:$AY$1,0),FALSE)</f>
        <v>71.553150000000002</v>
      </c>
      <c r="O69" s="92">
        <f>(((Table134567891011121314151617343[[#This Row],[USA]]-VLOOKUP($U$1,A:N,14,))/VLOOKUP($U$1,A:N,14,))*100)+100</f>
        <v>82.901724592782756</v>
      </c>
      <c r="P69" s="92">
        <f>VLOOKUP(A69,Database!$E:$AY,MATCH($P$1,Database!$E$1:$AY$1,0),FALSE)</f>
        <v>101.4102</v>
      </c>
      <c r="Q69" s="92">
        <f>(((Table134567891011121314151617343[[#This Row],[JPN]]-VLOOKUP($U$1,A:Q,16,))/VLOOKUP($U$1,A:Q,16,))*100)+100</f>
        <v>101.81375919733047</v>
      </c>
    </row>
    <row r="70" spans="1:17" s="85" customFormat="1" x14ac:dyDescent="0.2">
      <c r="A70" s="22">
        <v>34943</v>
      </c>
      <c r="B70" s="92">
        <f>VLOOKUP(A70,Database!$E:$AY,MATCH($B$1,Database!$E$1:$AY$1,0),FALSE)</f>
        <v>119.1901</v>
      </c>
      <c r="C70" s="92">
        <f>VLOOKUP(A70,Database!$E:$AY,MATCH($C$1,Database!$E$1:$AY$1,0),FALSE)</f>
        <v>93.980779999999996</v>
      </c>
      <c r="D70" s="92">
        <f>VLOOKUP(A70,Database!$E:$AY,MATCH($D$1,Database!$E$1:$AY$1,0),FALSE)</f>
        <v>70.394130000000004</v>
      </c>
      <c r="E70" s="92">
        <f>VLOOKUP(A70,Database!$E:$AY,MATCH($E$1,Database!$E$1:$AY$1,0),FALSE)</f>
        <v>104.01009999999999</v>
      </c>
      <c r="F70" s="92">
        <f>VLOOKUP(A70,Database!$E:$AY,MATCH($F$1,Database!$E$1:$AY$1,0),FALSE)</f>
        <v>82.386269999999996</v>
      </c>
      <c r="G70" s="92">
        <f>VLOOKUP(A70,Database!$E:$AY,MATCH($G$1,Database!$E$1:$AY$1,0),FALSE)</f>
        <v>104.2984</v>
      </c>
      <c r="H70" s="92">
        <f>(((Table134567891011121314151617343[[#This Row],[ITA]]-VLOOKUP($U$1,A:B,2,))/VLOOKUP($U$1,A:B,2,))*100)+100</f>
        <v>98.026316330550486</v>
      </c>
      <c r="I70" s="92">
        <f>(((Table134567891011121314151617343[[#This Row],[FRA]]-VLOOKUP($U$1,A:C,3,))/VLOOKUP($U$1,A:C,3,))*100)+100</f>
        <v>91.473580628552014</v>
      </c>
      <c r="J70" s="92">
        <f>(((Table134567891011121314151617343[[#This Row],[DEU]]-VLOOKUP($U$1,A:D,4,))/VLOOKUP($U$1,A:D,4,))*100)+100</f>
        <v>93.617020993638704</v>
      </c>
      <c r="K70" s="92">
        <f>(((Table134567891011121314151617343[[#This Row],[ESP]]-VLOOKUP($U$1,A:E,5,))/VLOOKUP($U$1,A:E,5,))*100)+100</f>
        <v>87.59180456123714</v>
      </c>
      <c r="L70" s="92">
        <f>(((Table134567891011121314151617343[[#This Row],[EA19]]-VLOOKUP($U$1,A:F,6,))/VLOOKUP($U$1,A:F,6,))*100)+100</f>
        <v>92.170026100546963</v>
      </c>
      <c r="M70" s="92">
        <f>(((Table134567891011121314151617343[[#This Row],[GBR]]-VLOOKUP($U$1,A:G,7,))/VLOOKUP($U$1,A:G,7,))*100)+100</f>
        <v>97.625593086916197</v>
      </c>
      <c r="N70" s="92">
        <f>VLOOKUP(A70,Database!$E:$AY,MATCH($N$1,Database!$E$1:$AY$1,0),FALSE)</f>
        <v>71.840069999999997</v>
      </c>
      <c r="O70" s="92">
        <f>(((Table134567891011121314151617343[[#This Row],[USA]]-VLOOKUP($U$1,A:N,14,))/VLOOKUP($U$1,A:N,14,))*100)+100</f>
        <v>83.234151087216077</v>
      </c>
      <c r="P70" s="92">
        <f>VLOOKUP(A70,Database!$E:$AY,MATCH($P$1,Database!$E$1:$AY$1,0),FALSE)</f>
        <v>99.787639999999996</v>
      </c>
      <c r="Q70" s="92">
        <f>(((Table134567891011121314151617343[[#This Row],[JPN]]-VLOOKUP($U$1,A:Q,16,))/VLOOKUP($U$1,A:Q,16,))*100)+100</f>
        <v>100.18474226290749</v>
      </c>
    </row>
    <row r="71" spans="1:17" s="85" customFormat="1" x14ac:dyDescent="0.2">
      <c r="A71" s="22">
        <v>34973</v>
      </c>
      <c r="B71" s="92">
        <f>VLOOKUP(A71,Database!$E:$AY,MATCH($B$1,Database!$E$1:$AY$1,0),FALSE)</f>
        <v>119.99</v>
      </c>
      <c r="C71" s="92">
        <f>VLOOKUP(A71,Database!$E:$AY,MATCH($C$1,Database!$E$1:$AY$1,0),FALSE)</f>
        <v>92.170770000000005</v>
      </c>
      <c r="D71" s="92">
        <f>VLOOKUP(A71,Database!$E:$AY,MATCH($D$1,Database!$E$1:$AY$1,0),FALSE)</f>
        <v>68.594279999999998</v>
      </c>
      <c r="E71" s="92">
        <f>VLOOKUP(A71,Database!$E:$AY,MATCH($E$1,Database!$E$1:$AY$1,0),FALSE)</f>
        <v>102.5911</v>
      </c>
      <c r="F71" s="92">
        <f>VLOOKUP(A71,Database!$E:$AY,MATCH($F$1,Database!$E$1:$AY$1,0),FALSE)</f>
        <v>81.386439999999993</v>
      </c>
      <c r="G71" s="92">
        <f>VLOOKUP(A71,Database!$E:$AY,MATCH($G$1,Database!$E$1:$AY$1,0),FALSE)</f>
        <v>103.90779999999999</v>
      </c>
      <c r="H71" s="92">
        <f>(((Table134567891011121314151617343[[#This Row],[ITA]]-VLOOKUP($U$1,A:B,2,))/VLOOKUP($U$1,A:B,2,))*100)+100</f>
        <v>98.684183472475922</v>
      </c>
      <c r="I71" s="92">
        <f>(((Table134567891011121314151617343[[#This Row],[FRA]]-VLOOKUP($U$1,A:C,3,))/VLOOKUP($U$1,A:C,3,))*100)+100</f>
        <v>89.711857692506101</v>
      </c>
      <c r="J71" s="92">
        <f>(((Table134567891011121314151617343[[#This Row],[DEU]]-VLOOKUP($U$1,A:D,4,))/VLOOKUP($U$1,A:D,4,))*100)+100</f>
        <v>91.223403866253207</v>
      </c>
      <c r="K71" s="92">
        <f>(((Table134567891011121314151617343[[#This Row],[ESP]]-VLOOKUP($U$1,A:E,5,))/VLOOKUP($U$1,A:E,5,))*100)+100</f>
        <v>86.396797819849567</v>
      </c>
      <c r="L71" s="92">
        <f>(((Table134567891011121314151617343[[#This Row],[EA19]]-VLOOKUP($U$1,A:F,6,))/VLOOKUP($U$1,A:F,6,))*100)+100</f>
        <v>91.051461597067075</v>
      </c>
      <c r="M71" s="92">
        <f>(((Table134567891011121314151617343[[#This Row],[GBR]]-VLOOKUP($U$1,A:G,7,))/VLOOKUP($U$1,A:G,7,))*100)+100</f>
        <v>97.259982908238953</v>
      </c>
      <c r="N71" s="92">
        <f>VLOOKUP(A71,Database!$E:$AY,MATCH($N$1,Database!$E$1:$AY$1,0),FALSE)</f>
        <v>71.751689999999996</v>
      </c>
      <c r="O71" s="92">
        <f>(((Table134567891011121314151617343[[#This Row],[USA]]-VLOOKUP($U$1,A:N,14,))/VLOOKUP($U$1,A:N,14,))*100)+100</f>
        <v>83.131753716597018</v>
      </c>
      <c r="P71" s="92">
        <f>VLOOKUP(A71,Database!$E:$AY,MATCH($P$1,Database!$E$1:$AY$1,0),FALSE)</f>
        <v>101.30880000000001</v>
      </c>
      <c r="Q71" s="92">
        <f>(((Table134567891011121314151617343[[#This Row],[JPN]]-VLOOKUP($U$1,A:Q,16,))/VLOOKUP($U$1,A:Q,16,))*100)+100</f>
        <v>101.71195567872377</v>
      </c>
    </row>
    <row r="72" spans="1:17" s="85" customFormat="1" x14ac:dyDescent="0.2">
      <c r="A72" s="22">
        <v>35004</v>
      </c>
      <c r="B72" s="92">
        <f>VLOOKUP(A72,Database!$E:$AY,MATCH($B$1,Database!$E$1:$AY$1,0),FALSE)</f>
        <v>119.99</v>
      </c>
      <c r="C72" s="92">
        <f>VLOOKUP(A72,Database!$E:$AY,MATCH($C$1,Database!$E$1:$AY$1,0),FALSE)</f>
        <v>92.130769999999998</v>
      </c>
      <c r="D72" s="92">
        <f>VLOOKUP(A72,Database!$E:$AY,MATCH($D$1,Database!$E$1:$AY$1,0),FALSE)</f>
        <v>68.994249999999994</v>
      </c>
      <c r="E72" s="92">
        <f>VLOOKUP(A72,Database!$E:$AY,MATCH($E$1,Database!$E$1:$AY$1,0),FALSE)</f>
        <v>103.48309999999999</v>
      </c>
      <c r="F72" s="92">
        <f>VLOOKUP(A72,Database!$E:$AY,MATCH($F$1,Database!$E$1:$AY$1,0),FALSE)</f>
        <v>81.686390000000003</v>
      </c>
      <c r="G72" s="92">
        <f>VLOOKUP(A72,Database!$E:$AY,MATCH($G$1,Database!$E$1:$AY$1,0),FALSE)</f>
        <v>104.4937</v>
      </c>
      <c r="H72" s="92">
        <f>(((Table134567891011121314151617343[[#This Row],[ITA]]-VLOOKUP($U$1,A:B,2,))/VLOOKUP($U$1,A:B,2,))*100)+100</f>
        <v>98.684183472475922</v>
      </c>
      <c r="I72" s="92">
        <f>(((Table134567891011121314151617343[[#This Row],[FRA]]-VLOOKUP($U$1,A:C,3,))/VLOOKUP($U$1,A:C,3,))*100)+100</f>
        <v>89.672924804045905</v>
      </c>
      <c r="J72" s="92">
        <f>(((Table134567891011121314151617343[[#This Row],[DEU]]-VLOOKUP($U$1,A:D,4,))/VLOOKUP($U$1,A:D,4,))*100)+100</f>
        <v>91.755323216443699</v>
      </c>
      <c r="K72" s="92">
        <f>(((Table134567891011121314151617343[[#This Row],[ESP]]-VLOOKUP($U$1,A:E,5,))/VLOOKUP($U$1,A:E,5,))*100)+100</f>
        <v>87.147993037127733</v>
      </c>
      <c r="L72" s="92">
        <f>(((Table134567891011121314151617343[[#This Row],[EA19]]-VLOOKUP($U$1,A:F,6,))/VLOOKUP($U$1,A:F,6,))*100)+100</f>
        <v>91.387032066865743</v>
      </c>
      <c r="M72" s="92">
        <f>(((Table134567891011121314151617343[[#This Row],[GBR]]-VLOOKUP($U$1,A:G,7,))/VLOOKUP($U$1,A:G,7,))*100)+100</f>
        <v>97.808398176254812</v>
      </c>
      <c r="N72" s="92">
        <f>VLOOKUP(A72,Database!$E:$AY,MATCH($N$1,Database!$E$1:$AY$1,0),FALSE)</f>
        <v>71.932270000000003</v>
      </c>
      <c r="O72" s="92">
        <f>(((Table134567891011121314151617343[[#This Row],[USA]]-VLOOKUP($U$1,A:N,14,))/VLOOKUP($U$1,A:N,14,))*100)+100</f>
        <v>83.340974322915059</v>
      </c>
      <c r="P72" s="92">
        <f>VLOOKUP(A72,Database!$E:$AY,MATCH($P$1,Database!$E$1:$AY$1,0),FALSE)</f>
        <v>102.12009999999999</v>
      </c>
      <c r="Q72" s="92">
        <f>(((Table134567891011121314151617343[[#This Row],[JPN]]-VLOOKUP($U$1,A:Q,16,))/VLOOKUP($U$1,A:Q,16,))*100)+100</f>
        <v>102.52648422552471</v>
      </c>
    </row>
    <row r="73" spans="1:17" s="85" customFormat="1" x14ac:dyDescent="0.2">
      <c r="A73" s="22">
        <v>35034</v>
      </c>
      <c r="B73" s="92">
        <f>VLOOKUP(A73,Database!$E:$AY,MATCH($B$1,Database!$E$1:$AY$1,0),FALSE)</f>
        <v>121.9898</v>
      </c>
      <c r="C73" s="92">
        <f>VLOOKUP(A73,Database!$E:$AY,MATCH($C$1,Database!$E$1:$AY$1,0),FALSE)</f>
        <v>94.090779999999995</v>
      </c>
      <c r="D73" s="92">
        <f>VLOOKUP(A73,Database!$E:$AY,MATCH($D$1,Database!$E$1:$AY$1,0),FALSE)</f>
        <v>68.994249999999994</v>
      </c>
      <c r="E73" s="92">
        <f>VLOOKUP(A73,Database!$E:$AY,MATCH($E$1,Database!$E$1:$AY$1,0),FALSE)</f>
        <v>104.80410000000001</v>
      </c>
      <c r="F73" s="92">
        <f>VLOOKUP(A73,Database!$E:$AY,MATCH($F$1,Database!$E$1:$AY$1,0),FALSE)</f>
        <v>82.686220000000006</v>
      </c>
      <c r="G73" s="92">
        <f>VLOOKUP(A73,Database!$E:$AY,MATCH($G$1,Database!$E$1:$AY$1,0),FALSE)</f>
        <v>105.0797</v>
      </c>
      <c r="H73" s="92">
        <f>(((Table134567891011121314151617343[[#This Row],[ITA]]-VLOOKUP($U$1,A:B,2,))/VLOOKUP($U$1,A:B,2,))*100)+100</f>
        <v>100.32889244912612</v>
      </c>
      <c r="I73" s="92">
        <f>(((Table134567891011121314151617343[[#This Row],[FRA]]-VLOOKUP($U$1,A:C,3,))/VLOOKUP($U$1,A:C,3,))*100)+100</f>
        <v>91.580646071817554</v>
      </c>
      <c r="J73" s="92">
        <f>(((Table134567891011121314151617343[[#This Row],[DEU]]-VLOOKUP($U$1,A:D,4,))/VLOOKUP($U$1,A:D,4,))*100)+100</f>
        <v>91.755323216443699</v>
      </c>
      <c r="K73" s="92">
        <f>(((Table134567891011121314151617343[[#This Row],[ESP]]-VLOOKUP($U$1,A:E,5,))/VLOOKUP($U$1,A:E,5,))*100)+100</f>
        <v>88.260469362267258</v>
      </c>
      <c r="L73" s="92">
        <f>(((Table134567891011121314151617343[[#This Row],[EA19]]-VLOOKUP($U$1,A:F,6,))/VLOOKUP($U$1,A:F,6,))*100)+100</f>
        <v>92.505596570345631</v>
      </c>
      <c r="M73" s="92">
        <f>(((Table134567891011121314151617343[[#This Row],[GBR]]-VLOOKUP($U$1,A:G,7,))/VLOOKUP($U$1,A:G,7,))*100)+100</f>
        <v>98.356907046466944</v>
      </c>
      <c r="N73" s="92">
        <f>VLOOKUP(A73,Database!$E:$AY,MATCH($N$1,Database!$E$1:$AY$1,0),FALSE)</f>
        <v>72.206789999999998</v>
      </c>
      <c r="O73" s="92">
        <f>(((Table134567891011121314151617343[[#This Row],[USA]]-VLOOKUP($U$1,A:N,14,))/VLOOKUP($U$1,A:N,14,))*100)+100</f>
        <v>83.659034134889936</v>
      </c>
      <c r="P73" s="92">
        <f>VLOOKUP(A73,Database!$E:$AY,MATCH($P$1,Database!$E$1:$AY$1,0),FALSE)</f>
        <v>103.4384</v>
      </c>
      <c r="Q73" s="92">
        <f>(((Table134567891011121314151617343[[#This Row],[JPN]]-VLOOKUP($U$1,A:Q,16,))/VLOOKUP($U$1,A:Q,16,))*100)+100</f>
        <v>103.85003036535917</v>
      </c>
    </row>
    <row r="74" spans="1:17" s="85" customFormat="1" x14ac:dyDescent="0.2">
      <c r="A74" s="22">
        <v>35065</v>
      </c>
      <c r="B74" s="92">
        <f>VLOOKUP(A74,Database!$E:$AY,MATCH($B$1,Database!$E$1:$AY$1,0),FALSE)</f>
        <v>120.19</v>
      </c>
      <c r="C74" s="92">
        <f>VLOOKUP(A74,Database!$E:$AY,MATCH($C$1,Database!$E$1:$AY$1,0),FALSE)</f>
        <v>93.260779999999997</v>
      </c>
      <c r="D74" s="92">
        <f>VLOOKUP(A74,Database!$E:$AY,MATCH($D$1,Database!$E$1:$AY$1,0),FALSE)</f>
        <v>69.294229999999999</v>
      </c>
      <c r="E74" s="92">
        <f>VLOOKUP(A74,Database!$E:$AY,MATCH($E$1,Database!$E$1:$AY$1,0),FALSE)</f>
        <v>100.6371</v>
      </c>
      <c r="F74" s="92">
        <f>VLOOKUP(A74,Database!$E:$AY,MATCH($F$1,Database!$E$1:$AY$1,0),FALSE)</f>
        <v>81.886349999999993</v>
      </c>
      <c r="G74" s="92">
        <f>VLOOKUP(A74,Database!$E:$AY,MATCH($G$1,Database!$E$1:$AY$1,0),FALSE)</f>
        <v>104.59139999999999</v>
      </c>
      <c r="H74" s="92">
        <f>(((Table134567891011121314151617343[[#This Row],[ITA]]-VLOOKUP($U$1,A:B,2,))/VLOOKUP($U$1,A:B,2,))*100)+100</f>
        <v>98.848670818875576</v>
      </c>
      <c r="I74" s="92">
        <f>(((Table134567891011121314151617343[[#This Row],[FRA]]-VLOOKUP($U$1,A:C,3,))/VLOOKUP($U$1,A:C,3,))*100)+100</f>
        <v>90.772788636268515</v>
      </c>
      <c r="J74" s="92">
        <f>(((Table134567891011121314151617343[[#This Row],[DEU]]-VLOOKUP($U$1,A:D,4,))/VLOOKUP($U$1,A:D,4,))*100)+100</f>
        <v>92.154266053831876</v>
      </c>
      <c r="K74" s="92">
        <f>(((Table134567891011121314151617343[[#This Row],[ESP]]-VLOOKUP($U$1,A:E,5,))/VLOOKUP($U$1,A:E,5,))*100)+100</f>
        <v>84.751242377516022</v>
      </c>
      <c r="L74" s="92">
        <f>(((Table134567891011121314151617343[[#This Row],[EA19]]-VLOOKUP($U$1,A:F,6,))/VLOOKUP($U$1,A:F,6,))*100)+100</f>
        <v>91.610738255033553</v>
      </c>
      <c r="M74" s="92">
        <f>(((Table134567891011121314151617343[[#This Row],[GBR]]-VLOOKUP($U$1,A:G,7,))/VLOOKUP($U$1,A:G,7,))*100)+100</f>
        <v>97.899847522022256</v>
      </c>
      <c r="N74" s="92">
        <f>VLOOKUP(A74,Database!$E:$AY,MATCH($N$1,Database!$E$1:$AY$1,0),FALSE)</f>
        <v>71.734790000000004</v>
      </c>
      <c r="O74" s="92">
        <f>(((Table134567891011121314151617343[[#This Row],[USA]]-VLOOKUP($U$1,A:N,14,))/VLOOKUP($U$1,A:N,14,))*100)+100</f>
        <v>83.112173318730299</v>
      </c>
      <c r="P74" s="92">
        <f>VLOOKUP(A74,Database!$E:$AY,MATCH($P$1,Database!$E$1:$AY$1,0),FALSE)</f>
        <v>101.9173</v>
      </c>
      <c r="Q74" s="92">
        <f>(((Table134567891011121314151617343[[#This Row],[JPN]]-VLOOKUP($U$1,A:Q,16,))/VLOOKUP($U$1,A:Q,16,))*100)+100</f>
        <v>102.32287718831131</v>
      </c>
    </row>
    <row r="75" spans="1:17" s="85" customFormat="1" x14ac:dyDescent="0.2">
      <c r="A75" s="22">
        <v>35096</v>
      </c>
      <c r="B75" s="92">
        <f>VLOOKUP(A75,Database!$E:$AY,MATCH($B$1,Database!$E$1:$AY$1,0),FALSE)</f>
        <v>118.8901</v>
      </c>
      <c r="C75" s="92">
        <f>VLOOKUP(A75,Database!$E:$AY,MATCH($C$1,Database!$E$1:$AY$1,0),FALSE)</f>
        <v>93.530779999999993</v>
      </c>
      <c r="D75" s="92">
        <f>VLOOKUP(A75,Database!$E:$AY,MATCH($D$1,Database!$E$1:$AY$1,0),FALSE)</f>
        <v>68.694270000000003</v>
      </c>
      <c r="E75" s="92">
        <f>VLOOKUP(A75,Database!$E:$AY,MATCH($E$1,Database!$E$1:$AY$1,0),FALSE)</f>
        <v>101.0111</v>
      </c>
      <c r="F75" s="92">
        <f>VLOOKUP(A75,Database!$E:$AY,MATCH($F$1,Database!$E$1:$AY$1,0),FALSE)</f>
        <v>81.586399999999998</v>
      </c>
      <c r="G75" s="92">
        <f>VLOOKUP(A75,Database!$E:$AY,MATCH($G$1,Database!$E$1:$AY$1,0),FALSE)</f>
        <v>105.37260000000001</v>
      </c>
      <c r="H75" s="92">
        <f>(((Table134567891011121314151617343[[#This Row],[ITA]]-VLOOKUP($U$1,A:B,2,))/VLOOKUP($U$1,A:B,2,))*100)+100</f>
        <v>97.779585310950992</v>
      </c>
      <c r="I75" s="92">
        <f>(((Table134567891011121314151617343[[#This Row],[FRA]]-VLOOKUP($U$1,A:C,3,))/VLOOKUP($U$1,A:C,3,))*100)+100</f>
        <v>91.035585633374822</v>
      </c>
      <c r="J75" s="92">
        <f>(((Table134567891011121314151617343[[#This Row],[DEU]]-VLOOKUP($U$1,A:D,4,))/VLOOKUP($U$1,A:D,4,))*100)+100</f>
        <v>91.356380379055537</v>
      </c>
      <c r="K75" s="92">
        <f>(((Table134567891011121314151617343[[#This Row],[ESP]]-VLOOKUP($U$1,A:E,5,))/VLOOKUP($U$1,A:E,5,))*100)+100</f>
        <v>85.066205394625911</v>
      </c>
      <c r="L75" s="92">
        <f>(((Table134567891011121314151617343[[#This Row],[EA19]]-VLOOKUP($U$1,A:F,6,))/VLOOKUP($U$1,A:F,6,))*100)+100</f>
        <v>91.275167785234899</v>
      </c>
      <c r="M75" s="92">
        <f>(((Table134567891011121314151617343[[#This Row],[GBR]]-VLOOKUP($U$1,A:G,7,))/VLOOKUP($U$1,A:G,7,))*100)+100</f>
        <v>98.631067879376729</v>
      </c>
      <c r="N75" s="92">
        <f>VLOOKUP(A75,Database!$E:$AY,MATCH($N$1,Database!$E$1:$AY$1,0),FALSE)</f>
        <v>72.839659999999995</v>
      </c>
      <c r="O75" s="92">
        <f>(((Table134567891011121314151617343[[#This Row],[USA]]-VLOOKUP($U$1,A:N,14,))/VLOOKUP($U$1,A:N,14,))*100)+100</f>
        <v>84.392279483879236</v>
      </c>
      <c r="P75" s="92">
        <f>VLOOKUP(A75,Database!$E:$AY,MATCH($P$1,Database!$E$1:$AY$1,0),FALSE)</f>
        <v>101.8158</v>
      </c>
      <c r="Q75" s="92">
        <f>(((Table134567891011121314151617343[[#This Row],[JPN]]-VLOOKUP($U$1,A:Q,16,))/VLOOKUP($U$1,A:Q,16,))*100)+100</f>
        <v>102.22097327175726</v>
      </c>
    </row>
    <row r="76" spans="1:17" s="85" customFormat="1" x14ac:dyDescent="0.2">
      <c r="A76" s="22">
        <v>35125</v>
      </c>
      <c r="B76" s="92">
        <f>VLOOKUP(A76,Database!$E:$AY,MATCH($B$1,Database!$E$1:$AY$1,0),FALSE)</f>
        <v>117.6902</v>
      </c>
      <c r="C76" s="92">
        <f>VLOOKUP(A76,Database!$E:$AY,MATCH($C$1,Database!$E$1:$AY$1,0),FALSE)</f>
        <v>94.180790000000002</v>
      </c>
      <c r="D76" s="92">
        <f>VLOOKUP(A76,Database!$E:$AY,MATCH($D$1,Database!$E$1:$AY$1,0),FALSE)</f>
        <v>68.794269999999997</v>
      </c>
      <c r="E76" s="92">
        <f>VLOOKUP(A76,Database!$E:$AY,MATCH($E$1,Database!$E$1:$AY$1,0),FALSE)</f>
        <v>101.8891</v>
      </c>
      <c r="F76" s="92">
        <f>VLOOKUP(A76,Database!$E:$AY,MATCH($F$1,Database!$E$1:$AY$1,0),FALSE)</f>
        <v>81.586399999999998</v>
      </c>
      <c r="G76" s="92">
        <f>VLOOKUP(A76,Database!$E:$AY,MATCH($G$1,Database!$E$1:$AY$1,0),FALSE)</f>
        <v>105.47029999999999</v>
      </c>
      <c r="H76" s="92">
        <f>(((Table134567891011121314151617343[[#This Row],[ITA]]-VLOOKUP($U$1,A:B,2,))/VLOOKUP($U$1,A:B,2,))*100)+100</f>
        <v>96.792743476226235</v>
      </c>
      <c r="I76" s="92">
        <f>(((Table134567891011121314151617343[[#This Row],[FRA]]-VLOOKUP($U$1,A:C,3,))/VLOOKUP($U$1,A:C,3,))*100)+100</f>
        <v>91.668254804075104</v>
      </c>
      <c r="J76" s="92">
        <f>(((Table134567891011121314151617343[[#This Row],[DEU]]-VLOOKUP($U$1,A:D,4,))/VLOOKUP($U$1,A:D,4,))*100)+100</f>
        <v>91.48937019083904</v>
      </c>
      <c r="K76" s="92">
        <f>(((Table134567891011121314151617343[[#This Row],[ESP]]-VLOOKUP($U$1,A:E,5,))/VLOOKUP($U$1,A:E,5,))*100)+100</f>
        <v>85.805610552440072</v>
      </c>
      <c r="L76" s="92">
        <f>(((Table134567891011121314151617343[[#This Row],[EA19]]-VLOOKUP($U$1,A:F,6,))/VLOOKUP($U$1,A:F,6,))*100)+100</f>
        <v>91.275167785234899</v>
      </c>
      <c r="M76" s="92">
        <f>(((Table134567891011121314151617343[[#This Row],[GBR]]-VLOOKUP($U$1,A:G,7,))/VLOOKUP($U$1,A:G,7,))*100)+100</f>
        <v>98.722517225144173</v>
      </c>
      <c r="N76" s="92">
        <f>VLOOKUP(A76,Database!$E:$AY,MATCH($N$1,Database!$E$1:$AY$1,0),FALSE)</f>
        <v>72.771180000000001</v>
      </c>
      <c r="O76" s="92">
        <f>(((Table134567891011121314151617343[[#This Row],[USA]]-VLOOKUP($U$1,A:N,14,))/VLOOKUP($U$1,A:N,14,))*100)+100</f>
        <v>84.31293832139913</v>
      </c>
      <c r="P76" s="92">
        <f>VLOOKUP(A76,Database!$E:$AY,MATCH($P$1,Database!$E$1:$AY$1,0),FALSE)</f>
        <v>101.7144</v>
      </c>
      <c r="Q76" s="92">
        <f>(((Table134567891011121314151617343[[#This Row],[JPN]]-VLOOKUP($U$1,A:Q,16,))/VLOOKUP($U$1,A:Q,16,))*100)+100</f>
        <v>102.11916975315056</v>
      </c>
    </row>
    <row r="77" spans="1:17" s="85" customFormat="1" x14ac:dyDescent="0.2">
      <c r="A77" s="22">
        <v>35156</v>
      </c>
      <c r="B77" s="92">
        <f>VLOOKUP(A77,Database!$E:$AY,MATCH($B$1,Database!$E$1:$AY$1,0),FALSE)</f>
        <v>116.3903</v>
      </c>
      <c r="C77" s="92">
        <f>VLOOKUP(A77,Database!$E:$AY,MATCH($C$1,Database!$E$1:$AY$1,0),FALSE)</f>
        <v>93.260779999999997</v>
      </c>
      <c r="D77" s="92">
        <f>VLOOKUP(A77,Database!$E:$AY,MATCH($D$1,Database!$E$1:$AY$1,0),FALSE)</f>
        <v>68.794269999999997</v>
      </c>
      <c r="E77" s="92">
        <f>VLOOKUP(A77,Database!$E:$AY,MATCH($E$1,Database!$E$1:$AY$1,0),FALSE)</f>
        <v>100.3831</v>
      </c>
      <c r="F77" s="92">
        <f>VLOOKUP(A77,Database!$E:$AY,MATCH($F$1,Database!$E$1:$AY$1,0),FALSE)</f>
        <v>80.986500000000007</v>
      </c>
      <c r="G77" s="92">
        <f>VLOOKUP(A77,Database!$E:$AY,MATCH($G$1,Database!$E$1:$AY$1,0),FALSE)</f>
        <v>104.2007</v>
      </c>
      <c r="H77" s="92">
        <f>(((Table134567891011121314151617343[[#This Row],[ITA]]-VLOOKUP($U$1,A:B,2,))/VLOOKUP($U$1,A:B,2,))*100)+100</f>
        <v>95.723657968301637</v>
      </c>
      <c r="I77" s="92">
        <f>(((Table134567891011121314151617343[[#This Row],[FRA]]-VLOOKUP($U$1,A:C,3,))/VLOOKUP($U$1,A:C,3,))*100)+100</f>
        <v>90.772788636268515</v>
      </c>
      <c r="J77" s="92">
        <f>(((Table134567891011121314151617343[[#This Row],[DEU]]-VLOOKUP($U$1,A:D,4,))/VLOOKUP($U$1,A:D,4,))*100)+100</f>
        <v>91.48937019083904</v>
      </c>
      <c r="K77" s="92">
        <f>(((Table134567891011121314151617343[[#This Row],[ESP]]-VLOOKUP($U$1,A:E,5,))/VLOOKUP($U$1,A:E,5,))*100)+100</f>
        <v>84.537337012954751</v>
      </c>
      <c r="L77" s="92">
        <f>(((Table134567891011121314151617343[[#This Row],[EA19]]-VLOOKUP($U$1,A:F,6,))/VLOOKUP($U$1,A:F,6,))*100)+100</f>
        <v>90.604026845637605</v>
      </c>
      <c r="M77" s="92">
        <f>(((Table134567891011121314151617343[[#This Row],[GBR]]-VLOOKUP($U$1,A:G,7,))/VLOOKUP($U$1,A:G,7,))*100)+100</f>
        <v>97.534143741148739</v>
      </c>
      <c r="N77" s="92">
        <f>VLOOKUP(A77,Database!$E:$AY,MATCH($N$1,Database!$E$1:$AY$1,0),FALSE)</f>
        <v>73.436909999999997</v>
      </c>
      <c r="O77" s="92">
        <f>(((Table134567891011121314151617343[[#This Row],[USA]]-VLOOKUP($U$1,A:N,14,))/VLOOKUP($U$1,A:N,14,))*100)+100</f>
        <v>85.084255378903279</v>
      </c>
      <c r="P77" s="92">
        <f>VLOOKUP(A77,Database!$E:$AY,MATCH($P$1,Database!$E$1:$AY$1,0),FALSE)</f>
        <v>102.0187</v>
      </c>
      <c r="Q77" s="92">
        <f>(((Table134567891011121314151617343[[#This Row],[JPN]]-VLOOKUP($U$1,A:Q,16,))/VLOOKUP($U$1,A:Q,16,))*100)+100</f>
        <v>102.42468070691801</v>
      </c>
    </row>
    <row r="78" spans="1:17" s="85" customFormat="1" x14ac:dyDescent="0.2">
      <c r="A78" s="22">
        <v>35186</v>
      </c>
      <c r="B78" s="92">
        <f>VLOOKUP(A78,Database!$E:$AY,MATCH($B$1,Database!$E$1:$AY$1,0),FALSE)</f>
        <v>116.2903</v>
      </c>
      <c r="C78" s="92">
        <f>VLOOKUP(A78,Database!$E:$AY,MATCH($C$1,Database!$E$1:$AY$1,0),FALSE)</f>
        <v>95.110789999999994</v>
      </c>
      <c r="D78" s="92">
        <f>VLOOKUP(A78,Database!$E:$AY,MATCH($D$1,Database!$E$1:$AY$1,0),FALSE)</f>
        <v>69.394220000000004</v>
      </c>
      <c r="E78" s="92">
        <f>VLOOKUP(A78,Database!$E:$AY,MATCH($E$1,Database!$E$1:$AY$1,0),FALSE)</f>
        <v>102.01609999999999</v>
      </c>
      <c r="F78" s="92">
        <f>VLOOKUP(A78,Database!$E:$AY,MATCH($F$1,Database!$E$1:$AY$1,0),FALSE)</f>
        <v>81.886349999999993</v>
      </c>
      <c r="G78" s="92">
        <f>VLOOKUP(A78,Database!$E:$AY,MATCH($G$1,Database!$E$1:$AY$1,0),FALSE)</f>
        <v>104.982</v>
      </c>
      <c r="H78" s="92">
        <f>(((Table134567891011121314151617343[[#This Row],[ITA]]-VLOOKUP($U$1,A:B,2,))/VLOOKUP($U$1,A:B,2,))*100)+100</f>
        <v>95.641414295101811</v>
      </c>
      <c r="I78" s="92">
        <f>(((Table134567891011121314151617343[[#This Row],[FRA]]-VLOOKUP($U$1,A:C,3,))/VLOOKUP($U$1,A:C,3,))*100)+100</f>
        <v>92.573444460774624</v>
      </c>
      <c r="J78" s="92">
        <f>(((Table134567891011121314151617343[[#This Row],[DEU]]-VLOOKUP($U$1,A:D,4,))/VLOOKUP($U$1,A:D,4,))*100)+100</f>
        <v>92.28724256663422</v>
      </c>
      <c r="K78" s="92">
        <f>(((Table134567891011121314151617343[[#This Row],[ESP]]-VLOOKUP($U$1,A:E,5,))/VLOOKUP($U$1,A:E,5,))*100)+100</f>
        <v>85.912563234720707</v>
      </c>
      <c r="L78" s="92">
        <f>(((Table134567891011121314151617343[[#This Row],[EA19]]-VLOOKUP($U$1,A:F,6,))/VLOOKUP($U$1,A:F,6,))*100)+100</f>
        <v>91.610738255033553</v>
      </c>
      <c r="M78" s="92">
        <f>(((Table134567891011121314151617343[[#This Row],[GBR]]-VLOOKUP($U$1,A:G,7,))/VLOOKUP($U$1,A:G,7,))*100)+100</f>
        <v>98.265457700699486</v>
      </c>
      <c r="N78" s="92">
        <f>VLOOKUP(A78,Database!$E:$AY,MATCH($N$1,Database!$E$1:$AY$1,0),FALSE)</f>
        <v>73.974699999999999</v>
      </c>
      <c r="O78" s="92">
        <f>(((Table134567891011121314151617343[[#This Row],[USA]]-VLOOKUP($U$1,A:N,14,))/VLOOKUP($U$1,A:N,14,))*100)+100</f>
        <v>85.707340714332304</v>
      </c>
      <c r="P78" s="92">
        <f>VLOOKUP(A78,Database!$E:$AY,MATCH($P$1,Database!$E$1:$AY$1,0),FALSE)</f>
        <v>102.6271</v>
      </c>
      <c r="Q78" s="92">
        <f>(((Table134567891011121314151617343[[#This Row],[JPN]]-VLOOKUP($U$1,A:Q,16,))/VLOOKUP($U$1,A:Q,16,))*100)+100</f>
        <v>103.03550181855822</v>
      </c>
    </row>
    <row r="79" spans="1:17" s="85" customFormat="1" x14ac:dyDescent="0.2">
      <c r="A79" s="22">
        <v>35217</v>
      </c>
      <c r="B79" s="92">
        <f>VLOOKUP(A79,Database!$E:$AY,MATCH($B$1,Database!$E$1:$AY$1,0),FALSE)</f>
        <v>116.4903</v>
      </c>
      <c r="C79" s="92">
        <f>VLOOKUP(A79,Database!$E:$AY,MATCH($C$1,Database!$E$1:$AY$1,0),FALSE)</f>
        <v>94.35078</v>
      </c>
      <c r="D79" s="92">
        <f>VLOOKUP(A79,Database!$E:$AY,MATCH($D$1,Database!$E$1:$AY$1,0),FALSE)</f>
        <v>69.794179999999997</v>
      </c>
      <c r="E79" s="92">
        <f>VLOOKUP(A79,Database!$E:$AY,MATCH($E$1,Database!$E$1:$AY$1,0),FALSE)</f>
        <v>103.55710000000001</v>
      </c>
      <c r="F79" s="92">
        <f>VLOOKUP(A79,Database!$E:$AY,MATCH($F$1,Database!$E$1:$AY$1,0),FALSE)</f>
        <v>81.886349999999993</v>
      </c>
      <c r="G79" s="92">
        <f>VLOOKUP(A79,Database!$E:$AY,MATCH($G$1,Database!$E$1:$AY$1,0),FALSE)</f>
        <v>104.2984</v>
      </c>
      <c r="H79" s="92">
        <f>(((Table134567891011121314151617343[[#This Row],[ITA]]-VLOOKUP($U$1,A:B,2,))/VLOOKUP($U$1,A:B,2,))*100)+100</f>
        <v>95.805901641501478</v>
      </c>
      <c r="I79" s="92">
        <f>(((Table134567891011121314151617343[[#This Row],[FRA]]-VLOOKUP($U$1,A:C,3,))/VLOOKUP($U$1,A:C,3,))*100)+100</f>
        <v>91.833709846808816</v>
      </c>
      <c r="J79" s="92">
        <f>(((Table134567891011121314151617343[[#This Row],[DEU]]-VLOOKUP($U$1,A:D,4,))/VLOOKUP($U$1,A:D,4,))*100)+100</f>
        <v>92.819148617843524</v>
      </c>
      <c r="K79" s="92">
        <f>(((Table134567891011121314151617343[[#This Row],[ESP]]-VLOOKUP($U$1,A:E,5,))/VLOOKUP($U$1,A:E,5,))*100)+100</f>
        <v>87.210311922866069</v>
      </c>
      <c r="L79" s="92">
        <f>(((Table134567891011121314151617343[[#This Row],[EA19]]-VLOOKUP($U$1,A:F,6,))/VLOOKUP($U$1,A:F,6,))*100)+100</f>
        <v>91.610738255033553</v>
      </c>
      <c r="M79" s="92">
        <f>(((Table134567891011121314151617343[[#This Row],[GBR]]-VLOOKUP($U$1,A:G,7,))/VLOOKUP($U$1,A:G,7,))*100)+100</f>
        <v>97.625593086916197</v>
      </c>
      <c r="N79" s="92">
        <f>VLOOKUP(A79,Database!$E:$AY,MATCH($N$1,Database!$E$1:$AY$1,0),FALSE)</f>
        <v>74.599800000000002</v>
      </c>
      <c r="O79" s="92">
        <f>(((Table134567891011121314151617343[[#This Row],[USA]]-VLOOKUP($U$1,A:N,14,))/VLOOKUP($U$1,A:N,14,))*100)+100</f>
        <v>86.431583714716609</v>
      </c>
      <c r="P79" s="92">
        <f>VLOOKUP(A79,Database!$E:$AY,MATCH($P$1,Database!$E$1:$AY$1,0),FALSE)</f>
        <v>102.82989999999999</v>
      </c>
      <c r="Q79" s="92">
        <f>(((Table134567891011121314151617343[[#This Row],[JPN]]-VLOOKUP($U$1,A:Q,16,))/VLOOKUP($U$1,A:Q,16,))*100)+100</f>
        <v>103.23910885577162</v>
      </c>
    </row>
    <row r="80" spans="1:17" s="85" customFormat="1" x14ac:dyDescent="0.2">
      <c r="A80" s="22">
        <v>35247</v>
      </c>
      <c r="B80" s="92">
        <f>VLOOKUP(A80,Database!$E:$AY,MATCH($B$1,Database!$E$1:$AY$1,0),FALSE)</f>
        <v>116.3903</v>
      </c>
      <c r="C80" s="92">
        <f>VLOOKUP(A80,Database!$E:$AY,MATCH($C$1,Database!$E$1:$AY$1,0),FALSE)</f>
        <v>92.700779999999995</v>
      </c>
      <c r="D80" s="92">
        <f>VLOOKUP(A80,Database!$E:$AY,MATCH($D$1,Database!$E$1:$AY$1,0),FALSE)</f>
        <v>68.994249999999994</v>
      </c>
      <c r="E80" s="92">
        <f>VLOOKUP(A80,Database!$E:$AY,MATCH($E$1,Database!$E$1:$AY$1,0),FALSE)</f>
        <v>101.8621</v>
      </c>
      <c r="F80" s="92">
        <f>VLOOKUP(A80,Database!$E:$AY,MATCH($F$1,Database!$E$1:$AY$1,0),FALSE)</f>
        <v>81.18647</v>
      </c>
      <c r="G80" s="92">
        <f>VLOOKUP(A80,Database!$E:$AY,MATCH($G$1,Database!$E$1:$AY$1,0),FALSE)</f>
        <v>104.2984</v>
      </c>
      <c r="H80" s="92">
        <f>(((Table134567891011121314151617343[[#This Row],[ITA]]-VLOOKUP($U$1,A:B,2,))/VLOOKUP($U$1,A:B,2,))*100)+100</f>
        <v>95.723657968301637</v>
      </c>
      <c r="I80" s="92">
        <f>(((Table134567891011121314151617343[[#This Row],[FRA]]-VLOOKUP($U$1,A:C,3,))/VLOOKUP($U$1,A:C,3,))*100)+100</f>
        <v>90.227728197825797</v>
      </c>
      <c r="J80" s="92">
        <f>(((Table134567891011121314151617343[[#This Row],[DEU]]-VLOOKUP($U$1,A:D,4,))/VLOOKUP($U$1,A:D,4,))*100)+100</f>
        <v>91.755323216443699</v>
      </c>
      <c r="K80" s="92">
        <f>(((Table134567891011121314151617343[[#This Row],[ESP]]-VLOOKUP($U$1,A:E,5,))/VLOOKUP($U$1,A:E,5,))*100)+100</f>
        <v>85.78287258061664</v>
      </c>
      <c r="L80" s="92">
        <f>(((Table134567891011121314151617343[[#This Row],[EA19]]-VLOOKUP($U$1,A:F,6,))/VLOOKUP($U$1,A:F,6,))*100)+100</f>
        <v>90.827744221352333</v>
      </c>
      <c r="M80" s="92">
        <f>(((Table134567891011121314151617343[[#This Row],[GBR]]-VLOOKUP($U$1,A:G,7,))/VLOOKUP($U$1,A:G,7,))*100)+100</f>
        <v>97.625593086916197</v>
      </c>
      <c r="N80" s="92">
        <f>VLOOKUP(A80,Database!$E:$AY,MATCH($N$1,Database!$E$1:$AY$1,0),FALSE)</f>
        <v>74.503069999999994</v>
      </c>
      <c r="O80" s="92">
        <f>(((Table134567891011121314151617343[[#This Row],[USA]]-VLOOKUP($U$1,A:N,14,))/VLOOKUP($U$1,A:N,14,))*100)+100</f>
        <v>86.319512005506596</v>
      </c>
      <c r="P80" s="92">
        <f>VLOOKUP(A80,Database!$E:$AY,MATCH($P$1,Database!$E$1:$AY$1,0),FALSE)</f>
        <v>103.4384</v>
      </c>
      <c r="Q80" s="92">
        <f>(((Table134567891011121314151617343[[#This Row],[JPN]]-VLOOKUP($U$1,A:Q,16,))/VLOOKUP($U$1,A:Q,16,))*100)+100</f>
        <v>103.85003036535917</v>
      </c>
    </row>
    <row r="81" spans="1:17" s="85" customFormat="1" x14ac:dyDescent="0.2">
      <c r="A81" s="22">
        <v>35278</v>
      </c>
      <c r="B81" s="92">
        <f>VLOOKUP(A81,Database!$E:$AY,MATCH($B$1,Database!$E$1:$AY$1,0),FALSE)</f>
        <v>116.9902</v>
      </c>
      <c r="C81" s="92">
        <f>VLOOKUP(A81,Database!$E:$AY,MATCH($C$1,Database!$E$1:$AY$1,0),FALSE)</f>
        <v>94.750789999999995</v>
      </c>
      <c r="D81" s="92">
        <f>VLOOKUP(A81,Database!$E:$AY,MATCH($D$1,Database!$E$1:$AY$1,0),FALSE)</f>
        <v>69.894170000000003</v>
      </c>
      <c r="E81" s="92">
        <f>VLOOKUP(A81,Database!$E:$AY,MATCH($E$1,Database!$E$1:$AY$1,0),FALSE)</f>
        <v>102.7841</v>
      </c>
      <c r="F81" s="92">
        <f>VLOOKUP(A81,Database!$E:$AY,MATCH($F$1,Database!$E$1:$AY$1,0),FALSE)</f>
        <v>82.186300000000003</v>
      </c>
      <c r="G81" s="92">
        <f>VLOOKUP(A81,Database!$E:$AY,MATCH($G$1,Database!$E$1:$AY$1,0),FALSE)</f>
        <v>104.982</v>
      </c>
      <c r="H81" s="92">
        <f>(((Table134567891011121314151617343[[#This Row],[ITA]]-VLOOKUP($U$1,A:B,2,))/VLOOKUP($U$1,A:B,2,))*100)+100</f>
        <v>96.21703776382742</v>
      </c>
      <c r="I81" s="92">
        <f>(((Table134567891011121314151617343[[#This Row],[FRA]]-VLOOKUP($U$1,A:C,3,))/VLOOKUP($U$1,A:C,3,))*100)+100</f>
        <v>92.223048464632882</v>
      </c>
      <c r="J81" s="92">
        <f>(((Table134567891011121314151617343[[#This Row],[DEU]]-VLOOKUP($U$1,A:D,4,))/VLOOKUP($U$1,A:D,4,))*100)+100</f>
        <v>92.952125130645868</v>
      </c>
      <c r="K81" s="92">
        <f>(((Table134567891011121314151617343[[#This Row],[ESP]]-VLOOKUP($U$1,A:E,5,))/VLOOKUP($U$1,A:E,5,))*100)+100</f>
        <v>86.559332211031958</v>
      </c>
      <c r="L81" s="92">
        <f>(((Table134567891011121314151617343[[#This Row],[EA19]]-VLOOKUP($U$1,A:F,6,))/VLOOKUP($U$1,A:F,6,))*100)+100</f>
        <v>91.946308724832221</v>
      </c>
      <c r="M81" s="92">
        <f>(((Table134567891011121314151617343[[#This Row],[GBR]]-VLOOKUP($U$1,A:G,7,))/VLOOKUP($U$1,A:G,7,))*100)+100</f>
        <v>98.265457700699486</v>
      </c>
      <c r="N81" s="92">
        <f>VLOOKUP(A81,Database!$E:$AY,MATCH($N$1,Database!$E$1:$AY$1,0),FALSE)</f>
        <v>74.935109999999995</v>
      </c>
      <c r="O81" s="92">
        <f>(((Table134567891011121314151617343[[#This Row],[USA]]-VLOOKUP($U$1,A:N,14,))/VLOOKUP($U$1,A:N,14,))*100)+100</f>
        <v>86.820075028840535</v>
      </c>
      <c r="P81" s="92">
        <f>VLOOKUP(A81,Database!$E:$AY,MATCH($P$1,Database!$E$1:$AY$1,0),FALSE)</f>
        <v>103.5398</v>
      </c>
      <c r="Q81" s="92">
        <f>(((Table134567891011121314151617343[[#This Row],[JPN]]-VLOOKUP($U$1,A:Q,16,))/VLOOKUP($U$1,A:Q,16,))*100)+100</f>
        <v>103.95183388396588</v>
      </c>
    </row>
    <row r="82" spans="1:17" s="85" customFormat="1" x14ac:dyDescent="0.2">
      <c r="A82" s="22">
        <v>35309</v>
      </c>
      <c r="B82" s="92">
        <f>VLOOKUP(A82,Database!$E:$AY,MATCH($B$1,Database!$E$1:$AY$1,0),FALSE)</f>
        <v>115.3904</v>
      </c>
      <c r="C82" s="92">
        <f>VLOOKUP(A82,Database!$E:$AY,MATCH($C$1,Database!$E$1:$AY$1,0),FALSE)</f>
        <v>94.840789999999998</v>
      </c>
      <c r="D82" s="92">
        <f>VLOOKUP(A82,Database!$E:$AY,MATCH($D$1,Database!$E$1:$AY$1,0),FALSE)</f>
        <v>70.494129999999998</v>
      </c>
      <c r="E82" s="92">
        <f>VLOOKUP(A82,Database!$E:$AY,MATCH($E$1,Database!$E$1:$AY$1,0),FALSE)</f>
        <v>103.1991</v>
      </c>
      <c r="F82" s="92">
        <f>VLOOKUP(A82,Database!$E:$AY,MATCH($F$1,Database!$E$1:$AY$1,0),FALSE)</f>
        <v>82.186300000000003</v>
      </c>
      <c r="G82" s="92">
        <f>VLOOKUP(A82,Database!$E:$AY,MATCH($G$1,Database!$E$1:$AY$1,0),FALSE)</f>
        <v>105.56789999999999</v>
      </c>
      <c r="H82" s="92">
        <f>(((Table134567891011121314151617343[[#This Row],[ITA]]-VLOOKUP($U$1,A:B,2,))/VLOOKUP($U$1,A:B,2,))*100)+100</f>
        <v>94.901303479976548</v>
      </c>
      <c r="I82" s="92">
        <f>(((Table134567891011121314151617343[[#This Row],[FRA]]-VLOOKUP($U$1,A:C,3,))/VLOOKUP($U$1,A:C,3,))*100)+100</f>
        <v>92.310647463668317</v>
      </c>
      <c r="J82" s="92">
        <f>(((Table134567891011121314151617343[[#This Row],[DEU]]-VLOOKUP($U$1,A:D,4,))/VLOOKUP($U$1,A:D,4,))*100)+100</f>
        <v>93.750010805422207</v>
      </c>
      <c r="K82" s="92">
        <f>(((Table134567891011121314151617343[[#This Row],[ESP]]-VLOOKUP($U$1,A:E,5,))/VLOOKUP($U$1,A:E,5,))*100)+100</f>
        <v>86.908823259429312</v>
      </c>
      <c r="L82" s="92">
        <f>(((Table134567891011121314151617343[[#This Row],[EA19]]-VLOOKUP($U$1,A:F,6,))/VLOOKUP($U$1,A:F,6,))*100)+100</f>
        <v>91.946308724832221</v>
      </c>
      <c r="M82" s="92">
        <f>(((Table134567891011121314151617343[[#This Row],[GBR]]-VLOOKUP($U$1,A:G,7,))/VLOOKUP($U$1,A:G,7,))*100)+100</f>
        <v>98.81387296871533</v>
      </c>
      <c r="N82" s="92">
        <f>VLOOKUP(A82,Database!$E:$AY,MATCH($N$1,Database!$E$1:$AY$1,0),FALSE)</f>
        <v>75.451099999999997</v>
      </c>
      <c r="O82" s="92">
        <f>(((Table134567891011121314151617343[[#This Row],[USA]]-VLOOKUP($U$1,A:N,14,))/VLOOKUP($U$1,A:N,14,))*100)+100</f>
        <v>87.417902809624877</v>
      </c>
      <c r="P82" s="92">
        <f>VLOOKUP(A82,Database!$E:$AY,MATCH($P$1,Database!$E$1:$AY$1,0),FALSE)</f>
        <v>104.6553</v>
      </c>
      <c r="Q82" s="92">
        <f>(((Table134567891011121314151617343[[#This Row],[JPN]]-VLOOKUP($U$1,A:Q,16,))/VLOOKUP($U$1,A:Q,16,))*100)+100</f>
        <v>105.07177298658694</v>
      </c>
    </row>
    <row r="83" spans="1:17" s="85" customFormat="1" x14ac:dyDescent="0.2">
      <c r="A83" s="22">
        <v>35339</v>
      </c>
      <c r="B83" s="92">
        <f>VLOOKUP(A83,Database!$E:$AY,MATCH($B$1,Database!$E$1:$AY$1,0),FALSE)</f>
        <v>115.8903</v>
      </c>
      <c r="C83" s="92">
        <f>VLOOKUP(A83,Database!$E:$AY,MATCH($C$1,Database!$E$1:$AY$1,0),FALSE)</f>
        <v>93.870779999999996</v>
      </c>
      <c r="D83" s="92">
        <f>VLOOKUP(A83,Database!$E:$AY,MATCH($D$1,Database!$E$1:$AY$1,0),FALSE)</f>
        <v>69.494209999999995</v>
      </c>
      <c r="E83" s="92">
        <f>VLOOKUP(A83,Database!$E:$AY,MATCH($E$1,Database!$E$1:$AY$1,0),FALSE)</f>
        <v>103.37009999999999</v>
      </c>
      <c r="F83" s="92">
        <f>VLOOKUP(A83,Database!$E:$AY,MATCH($F$1,Database!$E$1:$AY$1,0),FALSE)</f>
        <v>81.786370000000005</v>
      </c>
      <c r="G83" s="92">
        <f>VLOOKUP(A83,Database!$E:$AY,MATCH($G$1,Database!$E$1:$AY$1,0),FALSE)</f>
        <v>105.47029999999999</v>
      </c>
      <c r="H83" s="92">
        <f>(((Table134567891011121314151617343[[#This Row],[ITA]]-VLOOKUP($U$1,A:B,2,))/VLOOKUP($U$1,A:B,2,))*100)+100</f>
        <v>95.31243960230249</v>
      </c>
      <c r="I83" s="92">
        <f>(((Table134567891011121314151617343[[#This Row],[FRA]]-VLOOKUP($U$1,A:C,3,))/VLOOKUP($U$1,A:C,3,))*100)+100</f>
        <v>91.366515185286488</v>
      </c>
      <c r="J83" s="92">
        <f>(((Table134567891011121314151617343[[#This Row],[DEU]]-VLOOKUP($U$1,A:D,4,))/VLOOKUP($U$1,A:D,4,))*100)+100</f>
        <v>92.420219079436535</v>
      </c>
      <c r="K83" s="92">
        <f>(((Table134567891011121314151617343[[#This Row],[ESP]]-VLOOKUP($U$1,A:E,5,))/VLOOKUP($U$1,A:E,5,))*100)+100</f>
        <v>87.052830414311103</v>
      </c>
      <c r="L83" s="92">
        <f>(((Table134567891011121314151617343[[#This Row],[EA19]]-VLOOKUP($U$1,A:F,6,))/VLOOKUP($U$1,A:F,6,))*100)+100</f>
        <v>91.498885160949655</v>
      </c>
      <c r="M83" s="92">
        <f>(((Table134567891011121314151617343[[#This Row],[GBR]]-VLOOKUP($U$1,A:G,7,))/VLOOKUP($U$1,A:G,7,))*100)+100</f>
        <v>98.722517225144173</v>
      </c>
      <c r="N83" s="92">
        <f>VLOOKUP(A83,Database!$E:$AY,MATCH($N$1,Database!$E$1:$AY$1,0),FALSE)</f>
        <v>75.406239999999997</v>
      </c>
      <c r="O83" s="92">
        <f>(((Table134567891011121314151617343[[#This Row],[USA]]-VLOOKUP($U$1,A:N,14,))/VLOOKUP($U$1,A:N,14,))*100)+100</f>
        <v>87.36592786002123</v>
      </c>
      <c r="P83" s="92">
        <f>VLOOKUP(A83,Database!$E:$AY,MATCH($P$1,Database!$E$1:$AY$1,0),FALSE)</f>
        <v>105.2638</v>
      </c>
      <c r="Q83" s="92">
        <f>(((Table134567891011121314151617343[[#This Row],[JPN]]-VLOOKUP($U$1,A:Q,16,))/VLOOKUP($U$1,A:Q,16,))*100)+100</f>
        <v>105.68269449617449</v>
      </c>
    </row>
    <row r="84" spans="1:17" s="85" customFormat="1" x14ac:dyDescent="0.2">
      <c r="A84" s="22">
        <v>35370</v>
      </c>
      <c r="B84" s="92">
        <f>VLOOKUP(A84,Database!$E:$AY,MATCH($B$1,Database!$E$1:$AY$1,0),FALSE)</f>
        <v>115.3904</v>
      </c>
      <c r="C84" s="92">
        <f>VLOOKUP(A84,Database!$E:$AY,MATCH($C$1,Database!$E$1:$AY$1,0),FALSE)</f>
        <v>95.040790000000001</v>
      </c>
      <c r="D84" s="92">
        <f>VLOOKUP(A84,Database!$E:$AY,MATCH($D$1,Database!$E$1:$AY$1,0),FALSE)</f>
        <v>70.494129999999998</v>
      </c>
      <c r="E84" s="92">
        <f>VLOOKUP(A84,Database!$E:$AY,MATCH($E$1,Database!$E$1:$AY$1,0),FALSE)</f>
        <v>104.7671</v>
      </c>
      <c r="F84" s="92">
        <f>VLOOKUP(A84,Database!$E:$AY,MATCH($F$1,Database!$E$1:$AY$1,0),FALSE)</f>
        <v>82.486249999999998</v>
      </c>
      <c r="G84" s="92">
        <f>VLOOKUP(A84,Database!$E:$AY,MATCH($G$1,Database!$E$1:$AY$1,0),FALSE)</f>
        <v>106.0562</v>
      </c>
      <c r="H84" s="92">
        <f>(((Table134567891011121314151617343[[#This Row],[ITA]]-VLOOKUP($U$1,A:B,2,))/VLOOKUP($U$1,A:B,2,))*100)+100</f>
        <v>94.901303479976548</v>
      </c>
      <c r="I84" s="92">
        <f>(((Table134567891011121314151617343[[#This Row],[FRA]]-VLOOKUP($U$1,A:C,3,))/VLOOKUP($U$1,A:C,3,))*100)+100</f>
        <v>92.505311905969293</v>
      </c>
      <c r="J84" s="92">
        <f>(((Table134567891011121314151617343[[#This Row],[DEU]]-VLOOKUP($U$1,A:D,4,))/VLOOKUP($U$1,A:D,4,))*100)+100</f>
        <v>93.750010805422207</v>
      </c>
      <c r="K84" s="92">
        <f>(((Table134567891011121314151617343[[#This Row],[ESP]]-VLOOKUP($U$1,A:E,5,))/VLOOKUP($U$1,A:E,5,))*100)+100</f>
        <v>88.229309919398105</v>
      </c>
      <c r="L84" s="92">
        <f>(((Table134567891011121314151617343[[#This Row],[EA19]]-VLOOKUP($U$1,A:F,6,))/VLOOKUP($U$1,A:F,6,))*100)+100</f>
        <v>92.281879194630875</v>
      </c>
      <c r="M84" s="92">
        <f>(((Table134567891011121314151617343[[#This Row],[GBR]]-VLOOKUP($U$1,A:G,7,))/VLOOKUP($U$1,A:G,7,))*100)+100</f>
        <v>99.270932493160032</v>
      </c>
      <c r="N84" s="92">
        <f>VLOOKUP(A84,Database!$E:$AY,MATCH($N$1,Database!$E$1:$AY$1,0),FALSE)</f>
        <v>76.071969999999993</v>
      </c>
      <c r="O84" s="92">
        <f>(((Table134567891011121314151617343[[#This Row],[USA]]-VLOOKUP($U$1,A:N,14,))/VLOOKUP($U$1,A:N,14,))*100)+100</f>
        <v>88.137244917525379</v>
      </c>
      <c r="P84" s="92">
        <f>VLOOKUP(A84,Database!$E:$AY,MATCH($P$1,Database!$E$1:$AY$1,0),FALSE)</f>
        <v>105.77079999999999</v>
      </c>
      <c r="Q84" s="92">
        <f>(((Table134567891011121314151617343[[#This Row],[JPN]]-VLOOKUP($U$1,A:Q,16,))/VLOOKUP($U$1,A:Q,16,))*100)+100</f>
        <v>106.191712089208</v>
      </c>
    </row>
    <row r="85" spans="1:17" s="85" customFormat="1" x14ac:dyDescent="0.2">
      <c r="A85" s="22">
        <v>35400</v>
      </c>
      <c r="B85" s="92">
        <f>VLOOKUP(A85,Database!$E:$AY,MATCH($B$1,Database!$E$1:$AY$1,0),FALSE)</f>
        <v>115.0904</v>
      </c>
      <c r="C85" s="92">
        <f>VLOOKUP(A85,Database!$E:$AY,MATCH($C$1,Database!$E$1:$AY$1,0),FALSE)</f>
        <v>95.190799999999996</v>
      </c>
      <c r="D85" s="92">
        <f>VLOOKUP(A85,Database!$E:$AY,MATCH($D$1,Database!$E$1:$AY$1,0),FALSE)</f>
        <v>70.494129999999998</v>
      </c>
      <c r="E85" s="92">
        <f>VLOOKUP(A85,Database!$E:$AY,MATCH($E$1,Database!$E$1:$AY$1,0),FALSE)</f>
        <v>103.21810000000001</v>
      </c>
      <c r="F85" s="92">
        <f>VLOOKUP(A85,Database!$E:$AY,MATCH($F$1,Database!$E$1:$AY$1,0),FALSE)</f>
        <v>82.286289999999994</v>
      </c>
      <c r="G85" s="92">
        <f>VLOOKUP(A85,Database!$E:$AY,MATCH($G$1,Database!$E$1:$AY$1,0),FALSE)</f>
        <v>106.5445</v>
      </c>
      <c r="H85" s="92">
        <f>(((Table134567891011121314151617343[[#This Row],[ITA]]-VLOOKUP($U$1,A:B,2,))/VLOOKUP($U$1,A:B,2,))*100)+100</f>
        <v>94.654572460377054</v>
      </c>
      <c r="I85" s="92">
        <f>(((Table134567891011121314151617343[[#This Row],[FRA]]-VLOOKUP($U$1,A:C,3,))/VLOOKUP($U$1,A:C,3,))*100)+100</f>
        <v>92.651319970917129</v>
      </c>
      <c r="J85" s="92">
        <f>(((Table134567891011121314151617343[[#This Row],[DEU]]-VLOOKUP($U$1,A:D,4,))/VLOOKUP($U$1,A:D,4,))*100)+100</f>
        <v>93.750010805422207</v>
      </c>
      <c r="K85" s="92">
        <f>(((Table134567891011121314151617343[[#This Row],[ESP]]-VLOOKUP($U$1,A:E,5,))/VLOOKUP($U$1,A:E,5,))*100)+100</f>
        <v>86.924824054416177</v>
      </c>
      <c r="L85" s="92">
        <f>(((Table134567891011121314151617343[[#This Row],[EA19]]-VLOOKUP($U$1,A:F,6,))/VLOOKUP($U$1,A:F,6,))*100)+100</f>
        <v>92.058173006463051</v>
      </c>
      <c r="M85" s="92">
        <f>(((Table134567891011121314151617343[[#This Row],[GBR]]-VLOOKUP($U$1,A:G,7,))/VLOOKUP($U$1,A:G,7,))*100)+100</f>
        <v>99.727992017604706</v>
      </c>
      <c r="N85" s="92">
        <f>VLOOKUP(A85,Database!$E:$AY,MATCH($N$1,Database!$E$1:$AY$1,0),FALSE)</f>
        <v>76.56635</v>
      </c>
      <c r="O85" s="92">
        <f>(((Table134567891011121314151617343[[#This Row],[USA]]-VLOOKUP($U$1,A:N,14,))/VLOOKUP($U$1,A:N,14,))*100)+100</f>
        <v>88.710035278315658</v>
      </c>
      <c r="P85" s="92">
        <f>VLOOKUP(A85,Database!$E:$AY,MATCH($P$1,Database!$E$1:$AY$1,0),FALSE)</f>
        <v>106.78489999999999</v>
      </c>
      <c r="Q85" s="92">
        <f>(((Table134567891011121314151617343[[#This Row],[JPN]]-VLOOKUP($U$1,A:Q,16,))/VLOOKUP($U$1,A:Q,16,))*100)+100</f>
        <v>107.20984767322236</v>
      </c>
    </row>
    <row r="86" spans="1:17" s="85" customFormat="1" x14ac:dyDescent="0.2">
      <c r="A86" s="22">
        <v>35431</v>
      </c>
      <c r="B86" s="92">
        <f>VLOOKUP(A86,Database!$E:$AY,MATCH($B$1,Database!$E$1:$AY$1,0),FALSE)</f>
        <v>115.9903</v>
      </c>
      <c r="C86" s="92">
        <f>VLOOKUP(A86,Database!$E:$AY,MATCH($C$1,Database!$E$1:$AY$1,0),FALSE)</f>
        <v>94.330789999999993</v>
      </c>
      <c r="D86" s="92">
        <f>VLOOKUP(A86,Database!$E:$AY,MATCH($D$1,Database!$E$1:$AY$1,0),FALSE)</f>
        <v>69.594200000000001</v>
      </c>
      <c r="E86" s="92">
        <f>VLOOKUP(A86,Database!$E:$AY,MATCH($E$1,Database!$E$1:$AY$1,0),FALSE)</f>
        <v>106.0951</v>
      </c>
      <c r="F86" s="92">
        <f>VLOOKUP(A86,Database!$E:$AY,MATCH($F$1,Database!$E$1:$AY$1,0),FALSE)</f>
        <v>82.586240000000004</v>
      </c>
      <c r="G86" s="92">
        <f>VLOOKUP(A86,Database!$E:$AY,MATCH($G$1,Database!$E$1:$AY$1,0),FALSE)</f>
        <v>106.7313</v>
      </c>
      <c r="H86" s="92">
        <f>(((Table134567891011121314151617343[[#This Row],[ITA]]-VLOOKUP($U$1,A:B,2,))/VLOOKUP($U$1,A:B,2,))*100)+100</f>
        <v>95.394683275502331</v>
      </c>
      <c r="I86" s="92">
        <f>(((Table134567891011121314151617343[[#This Row],[FRA]]-VLOOKUP($U$1,A:C,3,))/VLOOKUP($U$1,A:C,3,))*100)+100</f>
        <v>91.814253135800826</v>
      </c>
      <c r="J86" s="92">
        <f>(((Table134567891011121314151617343[[#This Row],[DEU]]-VLOOKUP($U$1,A:D,4,))/VLOOKUP($U$1,A:D,4,))*100)+100</f>
        <v>92.553195592238879</v>
      </c>
      <c r="K86" s="92">
        <f>(((Table134567891011121314151617343[[#This Row],[ESP]]-VLOOKUP($U$1,A:E,5,))/VLOOKUP($U$1,A:E,5,))*100)+100</f>
        <v>89.347681274269632</v>
      </c>
      <c r="L86" s="92">
        <f>(((Table134567891011121314151617343[[#This Row],[EA19]]-VLOOKUP($U$1,A:F,6,))/VLOOKUP($U$1,A:F,6,))*100)+100</f>
        <v>92.393743476261719</v>
      </c>
      <c r="M86" s="92">
        <f>(((Table134567891011121314151617343[[#This Row],[GBR]]-VLOOKUP($U$1,A:G,7,))/VLOOKUP($U$1,A:G,7,))*100)+100</f>
        <v>99.902840920259365</v>
      </c>
      <c r="N86" s="92">
        <f>VLOOKUP(A86,Database!$E:$AY,MATCH($N$1,Database!$E$1:$AY$1,0),FALSE)</f>
        <v>76.674880000000002</v>
      </c>
      <c r="O86" s="92">
        <f>(((Table134567891011121314151617343[[#This Row],[USA]]-VLOOKUP($U$1,A:N,14,))/VLOOKUP($U$1,A:N,14,))*100)+100</f>
        <v>88.83577850792966</v>
      </c>
      <c r="P86" s="92">
        <f>VLOOKUP(A86,Database!$E:$AY,MATCH($P$1,Database!$E$1:$AY$1,0),FALSE)</f>
        <v>108.4075</v>
      </c>
      <c r="Q86" s="92">
        <f>(((Table134567891011121314151617343[[#This Row],[JPN]]-VLOOKUP($U$1,A:Q,16,))/VLOOKUP($U$1,A:Q,16,))*100)+100</f>
        <v>108.83890476682427</v>
      </c>
    </row>
    <row r="87" spans="1:17" s="85" customFormat="1" x14ac:dyDescent="0.2">
      <c r="A87" s="22">
        <v>35462</v>
      </c>
      <c r="B87" s="92">
        <f>VLOOKUP(A87,Database!$E:$AY,MATCH($B$1,Database!$E$1:$AY$1,0),FALSE)</f>
        <v>117.9902</v>
      </c>
      <c r="C87" s="92">
        <f>VLOOKUP(A87,Database!$E:$AY,MATCH($C$1,Database!$E$1:$AY$1,0),FALSE)</f>
        <v>95.090789999999998</v>
      </c>
      <c r="D87" s="92">
        <f>VLOOKUP(A87,Database!$E:$AY,MATCH($D$1,Database!$E$1:$AY$1,0),FALSE)</f>
        <v>70.594120000000004</v>
      </c>
      <c r="E87" s="92">
        <f>VLOOKUP(A87,Database!$E:$AY,MATCH($E$1,Database!$E$1:$AY$1,0),FALSE)</f>
        <v>104.8601</v>
      </c>
      <c r="F87" s="92">
        <f>VLOOKUP(A87,Database!$E:$AY,MATCH($F$1,Database!$E$1:$AY$1,0),FALSE)</f>
        <v>83.086150000000004</v>
      </c>
      <c r="G87" s="92">
        <f>VLOOKUP(A87,Database!$E:$AY,MATCH($G$1,Database!$E$1:$AY$1,0),FALSE)</f>
        <v>106.9389</v>
      </c>
      <c r="H87" s="92">
        <f>(((Table134567891011121314151617343[[#This Row],[ITA]]-VLOOKUP($U$1,A:B,2,))/VLOOKUP($U$1,A:B,2,))*100)+100</f>
        <v>97.039474495825729</v>
      </c>
      <c r="I87" s="92">
        <f>(((Table134567891011121314151617343[[#This Row],[FRA]]-VLOOKUP($U$1,A:C,3,))/VLOOKUP($U$1,A:C,3,))*100)+100</f>
        <v>92.553978016544534</v>
      </c>
      <c r="J87" s="92">
        <f>(((Table134567891011121314151617343[[#This Row],[DEU]]-VLOOKUP($U$1,A:D,4,))/VLOOKUP($U$1,A:D,4,))*100)+100</f>
        <v>93.882987318224536</v>
      </c>
      <c r="K87" s="92">
        <f>(((Table134567891011121314151617343[[#This Row],[ESP]]-VLOOKUP($U$1,A:E,5,))/VLOOKUP($U$1,A:E,5,))*100)+100</f>
        <v>88.307629600123292</v>
      </c>
      <c r="L87" s="92">
        <f>(((Table134567891011121314151617343[[#This Row],[EA19]]-VLOOKUP($U$1,A:F,6,))/VLOOKUP($U$1,A:F,6,))*100)+100</f>
        <v>92.953020134228197</v>
      </c>
      <c r="M87" s="92">
        <f>(((Table134567891011121314151617343[[#This Row],[GBR]]-VLOOKUP($U$1,A:G,7,))/VLOOKUP($U$1,A:G,7,))*100)+100</f>
        <v>100.09715907974065</v>
      </c>
      <c r="N87" s="92">
        <f>VLOOKUP(A87,Database!$E:$AY,MATCH($N$1,Database!$E$1:$AY$1,0),FALSE)</f>
        <v>77.602450000000005</v>
      </c>
      <c r="O87" s="92">
        <f>(((Table134567891011121314151617343[[#This Row],[USA]]-VLOOKUP($U$1,A:N,14,))/VLOOKUP($U$1,A:N,14,))*100)+100</f>
        <v>89.910464285991523</v>
      </c>
      <c r="P87" s="92">
        <f>VLOOKUP(A87,Database!$E:$AY,MATCH($P$1,Database!$E$1:$AY$1,0),FALSE)</f>
        <v>108.4075</v>
      </c>
      <c r="Q87" s="92">
        <f>(((Table134567891011121314151617343[[#This Row],[JPN]]-VLOOKUP($U$1,A:Q,16,))/VLOOKUP($U$1,A:Q,16,))*100)+100</f>
        <v>108.83890476682427</v>
      </c>
    </row>
    <row r="88" spans="1:17" s="85" customFormat="1" x14ac:dyDescent="0.2">
      <c r="A88" s="22">
        <v>35490</v>
      </c>
      <c r="B88" s="92">
        <f>VLOOKUP(A88,Database!$E:$AY,MATCH($B$1,Database!$E$1:$AY$1,0),FALSE)</f>
        <v>118.59010000000001</v>
      </c>
      <c r="C88" s="92">
        <f>VLOOKUP(A88,Database!$E:$AY,MATCH($C$1,Database!$E$1:$AY$1,0),FALSE)</f>
        <v>95.420789999999997</v>
      </c>
      <c r="D88" s="92">
        <f>VLOOKUP(A88,Database!$E:$AY,MATCH($D$1,Database!$E$1:$AY$1,0),FALSE)</f>
        <v>71.394049999999993</v>
      </c>
      <c r="E88" s="92">
        <f>VLOOKUP(A88,Database!$E:$AY,MATCH($E$1,Database!$E$1:$AY$1,0),FALSE)</f>
        <v>109.51309999999999</v>
      </c>
      <c r="F88" s="92">
        <f>VLOOKUP(A88,Database!$E:$AY,MATCH($F$1,Database!$E$1:$AY$1,0),FALSE)</f>
        <v>83.986000000000004</v>
      </c>
      <c r="G88" s="92">
        <f>VLOOKUP(A88,Database!$E:$AY,MATCH($G$1,Database!$E$1:$AY$1,0),FALSE)</f>
        <v>106.1083</v>
      </c>
      <c r="H88" s="92">
        <f>(((Table134567891011121314151617343[[#This Row],[ITA]]-VLOOKUP($U$1,A:B,2,))/VLOOKUP($U$1,A:B,2,))*100)+100</f>
        <v>97.532854291351512</v>
      </c>
      <c r="I88" s="92">
        <f>(((Table134567891011121314151617343[[#This Row],[FRA]]-VLOOKUP($U$1,A:C,3,))/VLOOKUP($U$1,A:C,3,))*100)+100</f>
        <v>92.87517434634114</v>
      </c>
      <c r="J88" s="92">
        <f>(((Table134567891011121314151617343[[#This Row],[DEU]]-VLOOKUP($U$1,A:D,4,))/VLOOKUP($U$1,A:D,4,))*100)+100</f>
        <v>94.946812719624347</v>
      </c>
      <c r="K88" s="92">
        <f>(((Table134567891011121314151617343[[#This Row],[ESP]]-VLOOKUP($U$1,A:E,5,))/VLOOKUP($U$1,A:E,5,))*100)+100</f>
        <v>92.226140077696485</v>
      </c>
      <c r="L88" s="92">
        <f>(((Table134567891011121314151617343[[#This Row],[EA19]]-VLOOKUP($U$1,A:F,6,))/VLOOKUP($U$1,A:F,6,))*100)+100</f>
        <v>93.959731543624173</v>
      </c>
      <c r="M88" s="92">
        <f>(((Table134567891011121314151617343[[#This Row],[GBR]]-VLOOKUP($U$1,A:G,7,))/VLOOKUP($U$1,A:G,7,))*100)+100</f>
        <v>99.31969923742291</v>
      </c>
      <c r="N88" s="92">
        <f>VLOOKUP(A88,Database!$E:$AY,MATCH($N$1,Database!$E$1:$AY$1,0),FALSE)</f>
        <v>78.12209</v>
      </c>
      <c r="O88" s="92">
        <f>(((Table134567891011121314151617343[[#This Row],[USA]]-VLOOKUP($U$1,A:N,14,))/VLOOKUP($U$1,A:N,14,))*100)+100</f>
        <v>90.512520969273723</v>
      </c>
      <c r="P88" s="92">
        <f>VLOOKUP(A88,Database!$E:$AY,MATCH($P$1,Database!$E$1:$AY$1,0),FALSE)</f>
        <v>108.81310000000001</v>
      </c>
      <c r="Q88" s="92">
        <f>(((Table134567891011121314151617343[[#This Row],[JPN]]-VLOOKUP($U$1,A:Q,16,))/VLOOKUP($U$1,A:Q,16,))*100)+100</f>
        <v>109.24611884125108</v>
      </c>
    </row>
    <row r="89" spans="1:17" s="85" customFormat="1" x14ac:dyDescent="0.2">
      <c r="A89" s="22">
        <v>35521</v>
      </c>
      <c r="B89" s="92">
        <f>VLOOKUP(A89,Database!$E:$AY,MATCH($B$1,Database!$E$1:$AY$1,0),FALSE)</f>
        <v>120.68989999999999</v>
      </c>
      <c r="C89" s="92">
        <f>VLOOKUP(A89,Database!$E:$AY,MATCH($C$1,Database!$E$1:$AY$1,0),FALSE)</f>
        <v>98.770820000000001</v>
      </c>
      <c r="D89" s="92">
        <f>VLOOKUP(A89,Database!$E:$AY,MATCH($D$1,Database!$E$1:$AY$1,0),FALSE)</f>
        <v>71.094080000000005</v>
      </c>
      <c r="E89" s="92">
        <f>VLOOKUP(A89,Database!$E:$AY,MATCH($E$1,Database!$E$1:$AY$1,0),FALSE)</f>
        <v>108.9221</v>
      </c>
      <c r="F89" s="92">
        <f>VLOOKUP(A89,Database!$E:$AY,MATCH($F$1,Database!$E$1:$AY$1,0),FALSE)</f>
        <v>84.885850000000005</v>
      </c>
      <c r="G89" s="92">
        <f>VLOOKUP(A89,Database!$E:$AY,MATCH($G$1,Database!$E$1:$AY$1,0),FALSE)</f>
        <v>106.316</v>
      </c>
      <c r="H89" s="92">
        <f>(((Table134567891011121314151617343[[#This Row],[ITA]]-VLOOKUP($U$1,A:B,2,))/VLOOKUP($U$1,A:B,2,))*100)+100</f>
        <v>99.259806941201532</v>
      </c>
      <c r="I89" s="92">
        <f>(((Table134567891011121314151617343[[#This Row],[FRA]]-VLOOKUP($U$1,A:C,3,))/VLOOKUP($U$1,A:C,3,))*100)+100</f>
        <v>96.135832954548775</v>
      </c>
      <c r="J89" s="92">
        <f>(((Table134567891011121314151617343[[#This Row],[DEU]]-VLOOKUP($U$1,A:D,4,))/VLOOKUP($U$1,A:D,4,))*100)+100</f>
        <v>94.547883181217372</v>
      </c>
      <c r="K89" s="92">
        <f>(((Table134567891011121314151617343[[#This Row],[ESP]]-VLOOKUP($U$1,A:E,5,))/VLOOKUP($U$1,A:E,5,))*100)+100</f>
        <v>91.728431138894479</v>
      </c>
      <c r="L89" s="92">
        <f>(((Table134567891011121314151617343[[#This Row],[EA19]]-VLOOKUP($U$1,A:F,6,))/VLOOKUP($U$1,A:F,6,))*100)+100</f>
        <v>94.966442953020149</v>
      </c>
      <c r="M89" s="92">
        <f>(((Table134567891011121314151617343[[#This Row],[GBR]]-VLOOKUP($U$1,A:G,7,))/VLOOKUP($U$1,A:G,7,))*100)+100</f>
        <v>99.514110999100481</v>
      </c>
      <c r="N89" s="92">
        <f>VLOOKUP(A89,Database!$E:$AY,MATCH($N$1,Database!$E$1:$AY$1,0),FALSE)</f>
        <v>78.140429999999995</v>
      </c>
      <c r="O89" s="92">
        <f>(((Table134567891011121314151617343[[#This Row],[USA]]-VLOOKUP($U$1,A:N,14,))/VLOOKUP($U$1,A:N,14,))*100)+100</f>
        <v>90.533769756071109</v>
      </c>
      <c r="P89" s="92">
        <f>VLOOKUP(A89,Database!$E:$AY,MATCH($P$1,Database!$E$1:$AY$1,0),FALSE)</f>
        <v>106.07510000000001</v>
      </c>
      <c r="Q89" s="92">
        <f>(((Table134567891011121314151617343[[#This Row],[JPN]]-VLOOKUP($U$1,A:Q,16,))/VLOOKUP($U$1,A:Q,16,))*100)+100</f>
        <v>106.49722304297545</v>
      </c>
    </row>
    <row r="90" spans="1:17" s="85" customFormat="1" x14ac:dyDescent="0.2">
      <c r="A90" s="22">
        <v>35551</v>
      </c>
      <c r="B90" s="92">
        <f>VLOOKUP(A90,Database!$E:$AY,MATCH($B$1,Database!$E$1:$AY$1,0),FALSE)</f>
        <v>120.39</v>
      </c>
      <c r="C90" s="92">
        <f>VLOOKUP(A90,Database!$E:$AY,MATCH($C$1,Database!$E$1:$AY$1,0),FALSE)</f>
        <v>96.930809999999994</v>
      </c>
      <c r="D90" s="92">
        <f>VLOOKUP(A90,Database!$E:$AY,MATCH($D$1,Database!$E$1:$AY$1,0),FALSE)</f>
        <v>70.194149999999993</v>
      </c>
      <c r="E90" s="92">
        <f>VLOOKUP(A90,Database!$E:$AY,MATCH($E$1,Database!$E$1:$AY$1,0),FALSE)</f>
        <v>107.6661</v>
      </c>
      <c r="F90" s="92">
        <f>VLOOKUP(A90,Database!$E:$AY,MATCH($F$1,Database!$E$1:$AY$1,0),FALSE)</f>
        <v>84.185969999999998</v>
      </c>
      <c r="G90" s="92">
        <f>VLOOKUP(A90,Database!$E:$AY,MATCH($G$1,Database!$E$1:$AY$1,0),FALSE)</f>
        <v>105.9007</v>
      </c>
      <c r="H90" s="92">
        <f>(((Table134567891011121314151617343[[#This Row],[ITA]]-VLOOKUP($U$1,A:B,2,))/VLOOKUP($U$1,A:B,2,))*100)+100</f>
        <v>99.013158165275243</v>
      </c>
      <c r="I90" s="92">
        <f>(((Table134567891011121314151617343[[#This Row],[FRA]]-VLOOKUP($U$1,A:C,3,))/VLOOKUP($U$1,A:C,3,))*100)+100</f>
        <v>94.344910352157711</v>
      </c>
      <c r="J90" s="92">
        <f>(((Table134567891011121314151617343[[#This Row],[DEU]]-VLOOKUP($U$1,A:D,4,))/VLOOKUP($U$1,A:D,4,))*100)+100</f>
        <v>93.35106796803403</v>
      </c>
      <c r="K90" s="92">
        <f>(((Table134567891011121314151617343[[#This Row],[ESP]]-VLOOKUP($U$1,A:E,5,))/VLOOKUP($U$1,A:E,5,))*100)+100</f>
        <v>90.670694375552131</v>
      </c>
      <c r="L90" s="92">
        <f>(((Table134567891011121314151617343[[#This Row],[EA19]]-VLOOKUP($U$1,A:F,6,))/VLOOKUP($U$1,A:F,6,))*100)+100</f>
        <v>94.183448919338915</v>
      </c>
      <c r="M90" s="92">
        <f>(((Table134567891011121314151617343[[#This Row],[GBR]]-VLOOKUP($U$1,A:G,7,))/VLOOKUP($U$1,A:G,7,))*100)+100</f>
        <v>99.125381077941611</v>
      </c>
      <c r="N90" s="92">
        <f>VLOOKUP(A90,Database!$E:$AY,MATCH($N$1,Database!$E$1:$AY$1,0),FALSE)</f>
        <v>78.597819999999999</v>
      </c>
      <c r="O90" s="92">
        <f>(((Table134567891011121314151617343[[#This Row],[USA]]-VLOOKUP($U$1,A:N,14,))/VLOOKUP($U$1,A:N,14,))*100)+100</f>
        <v>91.063703376205126</v>
      </c>
      <c r="P90" s="92">
        <f>VLOOKUP(A90,Database!$E:$AY,MATCH($P$1,Database!$E$1:$AY$1,0),FALSE)</f>
        <v>109.2188</v>
      </c>
      <c r="Q90" s="92">
        <f>(((Table134567891011121314151617343[[#This Row],[JPN]]-VLOOKUP($U$1,A:Q,16,))/VLOOKUP($U$1,A:Q,16,))*100)+100</f>
        <v>109.65343331362523</v>
      </c>
    </row>
    <row r="91" spans="1:17" s="85" customFormat="1" x14ac:dyDescent="0.2">
      <c r="A91" s="22">
        <v>35582</v>
      </c>
      <c r="B91" s="92">
        <f>VLOOKUP(A91,Database!$E:$AY,MATCH($B$1,Database!$E$1:$AY$1,0),FALSE)</f>
        <v>121.3899</v>
      </c>
      <c r="C91" s="92">
        <f>VLOOKUP(A91,Database!$E:$AY,MATCH($C$1,Database!$E$1:$AY$1,0),FALSE)</f>
        <v>97.650810000000007</v>
      </c>
      <c r="D91" s="92">
        <f>VLOOKUP(A91,Database!$E:$AY,MATCH($D$1,Database!$E$1:$AY$1,0),FALSE)</f>
        <v>72.993920000000003</v>
      </c>
      <c r="E91" s="92">
        <f>VLOOKUP(A91,Database!$E:$AY,MATCH($E$1,Database!$E$1:$AY$1,0),FALSE)</f>
        <v>109.0521</v>
      </c>
      <c r="F91" s="92">
        <f>VLOOKUP(A91,Database!$E:$AY,MATCH($F$1,Database!$E$1:$AY$1,0),FALSE)</f>
        <v>85.585740000000001</v>
      </c>
      <c r="G91" s="92">
        <f>VLOOKUP(A91,Database!$E:$AY,MATCH($G$1,Database!$E$1:$AY$1,0),FALSE)</f>
        <v>106.00449999999999</v>
      </c>
      <c r="H91" s="92">
        <f>(((Table134567891011121314151617343[[#This Row],[ITA]]-VLOOKUP($U$1,A:B,2,))/VLOOKUP($U$1,A:B,2,))*100)+100</f>
        <v>99.835512653600333</v>
      </c>
      <c r="I91" s="92">
        <f>(((Table134567891011121314151617343[[#This Row],[FRA]]-VLOOKUP($U$1,A:C,3,))/VLOOKUP($U$1,A:C,3,))*100)+100</f>
        <v>95.045702344441224</v>
      </c>
      <c r="J91" s="92">
        <f>(((Table134567891011121314151617343[[#This Row],[DEU]]-VLOOKUP($U$1,A:D,4,))/VLOOKUP($U$1,A:D,4,))*100)+100</f>
        <v>97.074476821405185</v>
      </c>
      <c r="K91" s="92">
        <f>(((Table134567891011121314151617343[[#This Row],[ESP]]-VLOOKUP($U$1,A:E,5,))/VLOOKUP($U$1,A:E,5,))*100)+100</f>
        <v>91.837910262488833</v>
      </c>
      <c r="L91" s="92">
        <f>(((Table134567891011121314151617343[[#This Row],[EA19]]-VLOOKUP($U$1,A:F,6,))/VLOOKUP($U$1,A:F,6,))*100)+100</f>
        <v>95.749448174248286</v>
      </c>
      <c r="M91" s="92">
        <f>(((Table134567891011121314151617343[[#This Row],[GBR]]-VLOOKUP($U$1,A:G,7,))/VLOOKUP($U$1,A:G,7,))*100)+100</f>
        <v>99.222540157682261</v>
      </c>
      <c r="N91" s="92">
        <f>VLOOKUP(A91,Database!$E:$AY,MATCH($N$1,Database!$E$1:$AY$1,0),FALSE)</f>
        <v>78.981250000000003</v>
      </c>
      <c r="O91" s="92">
        <f>(((Table134567891011121314151617343[[#This Row],[USA]]-VLOOKUP($U$1,A:N,14,))/VLOOKUP($U$1,A:N,14,))*100)+100</f>
        <v>91.507946687095156</v>
      </c>
      <c r="P91" s="92">
        <f>VLOOKUP(A91,Database!$E:$AY,MATCH($P$1,Database!$E$1:$AY$1,0),FALSE)</f>
        <v>108.6103</v>
      </c>
      <c r="Q91" s="92">
        <f>(((Table134567891011121314151617343[[#This Row],[JPN]]-VLOOKUP($U$1,A:Q,16,))/VLOOKUP($U$1,A:Q,16,))*100)+100</f>
        <v>109.04251180403766</v>
      </c>
    </row>
    <row r="92" spans="1:17" s="85" customFormat="1" x14ac:dyDescent="0.2">
      <c r="A92" s="22">
        <v>35612</v>
      </c>
      <c r="B92" s="92">
        <f>VLOOKUP(A92,Database!$E:$AY,MATCH($B$1,Database!$E$1:$AY$1,0),FALSE)</f>
        <v>122.18980000000001</v>
      </c>
      <c r="C92" s="92">
        <f>VLOOKUP(A92,Database!$E:$AY,MATCH($C$1,Database!$E$1:$AY$1,0),FALSE)</f>
        <v>97.820819999999998</v>
      </c>
      <c r="D92" s="92">
        <f>VLOOKUP(A92,Database!$E:$AY,MATCH($D$1,Database!$E$1:$AY$1,0),FALSE)</f>
        <v>73.793850000000006</v>
      </c>
      <c r="E92" s="92">
        <f>VLOOKUP(A92,Database!$E:$AY,MATCH($E$1,Database!$E$1:$AY$1,0),FALSE)</f>
        <v>110.3841</v>
      </c>
      <c r="F92" s="92">
        <f>VLOOKUP(A92,Database!$E:$AY,MATCH($F$1,Database!$E$1:$AY$1,0),FALSE)</f>
        <v>86.285619999999994</v>
      </c>
      <c r="G92" s="92">
        <f>VLOOKUP(A92,Database!$E:$AY,MATCH($G$1,Database!$E$1:$AY$1,0),FALSE)</f>
        <v>107.56189999999999</v>
      </c>
      <c r="H92" s="92">
        <f>(((Table134567891011121314151617343[[#This Row],[ITA]]-VLOOKUP($U$1,A:B,2,))/VLOOKUP($U$1,A:B,2,))*100)+100</f>
        <v>100.49337979552578</v>
      </c>
      <c r="I92" s="92">
        <f>(((Table134567891011121314151617343[[#This Row],[FRA]]-VLOOKUP($U$1,A:C,3,))/VLOOKUP($U$1,A:C,3,))*100)+100</f>
        <v>95.211176853619151</v>
      </c>
      <c r="J92" s="92">
        <f>(((Table134567891011121314151617343[[#This Row],[DEU]]-VLOOKUP($U$1,A:D,4,))/VLOOKUP($U$1,A:D,4,))*100)+100</f>
        <v>98.138302222805024</v>
      </c>
      <c r="K92" s="92">
        <f>(((Table134567891011121314151617343[[#This Row],[ESP]]-VLOOKUP($U$1,A:E,5,))/VLOOKUP($U$1,A:E,5,))*100)+100</f>
        <v>92.959650205778644</v>
      </c>
      <c r="L92" s="92">
        <f>(((Table134567891011121314151617343[[#This Row],[EA19]]-VLOOKUP($U$1,A:F,6,))/VLOOKUP($U$1,A:F,6,))*100)+100</f>
        <v>96.532442207929506</v>
      </c>
      <c r="M92" s="92">
        <f>(((Table134567891011121314151617343[[#This Row],[GBR]]-VLOOKUP($U$1,A:G,7,))/VLOOKUP($U$1,A:G,7,))*100)+100</f>
        <v>100.68030076257709</v>
      </c>
      <c r="N92" s="92">
        <f>VLOOKUP(A92,Database!$E:$AY,MATCH($N$1,Database!$E$1:$AY$1,0),FALSE)</f>
        <v>79.583690000000004</v>
      </c>
      <c r="O92" s="92">
        <f>(((Table134567891011121314151617343[[#This Row],[USA]]-VLOOKUP($U$1,A:N,14,))/VLOOKUP($U$1,A:N,14,))*100)+100</f>
        <v>92.205935733890115</v>
      </c>
      <c r="P92" s="92">
        <f>VLOOKUP(A92,Database!$E:$AY,MATCH($P$1,Database!$E$1:$AY$1,0),FALSE)</f>
        <v>108.91459999999999</v>
      </c>
      <c r="Q92" s="92">
        <f>(((Table134567891011121314151617343[[#This Row],[JPN]]-VLOOKUP($U$1,A:Q,16,))/VLOOKUP($U$1,A:Q,16,))*100)+100</f>
        <v>109.34802275780511</v>
      </c>
    </row>
    <row r="93" spans="1:17" s="85" customFormat="1" x14ac:dyDescent="0.2">
      <c r="A93" s="22">
        <v>35643</v>
      </c>
      <c r="B93" s="92">
        <f>VLOOKUP(A93,Database!$E:$AY,MATCH($B$1,Database!$E$1:$AY$1,0),FALSE)</f>
        <v>122.88979999999999</v>
      </c>
      <c r="C93" s="92">
        <f>VLOOKUP(A93,Database!$E:$AY,MATCH($C$1,Database!$E$1:$AY$1,0),FALSE)</f>
        <v>101.6108</v>
      </c>
      <c r="D93" s="92">
        <f>VLOOKUP(A93,Database!$E:$AY,MATCH($D$1,Database!$E$1:$AY$1,0),FALSE)</f>
        <v>71.394049999999993</v>
      </c>
      <c r="E93" s="92">
        <f>VLOOKUP(A93,Database!$E:$AY,MATCH($E$1,Database!$E$1:$AY$1,0),FALSE)</f>
        <v>112.08410000000001</v>
      </c>
      <c r="F93" s="92">
        <f>VLOOKUP(A93,Database!$E:$AY,MATCH($F$1,Database!$E$1:$AY$1,0),FALSE)</f>
        <v>86.385599999999997</v>
      </c>
      <c r="G93" s="92">
        <f>VLOOKUP(A93,Database!$E:$AY,MATCH($G$1,Database!$E$1:$AY$1,0),FALSE)</f>
        <v>105.79689999999999</v>
      </c>
      <c r="H93" s="92">
        <f>(((Table134567891011121314151617343[[#This Row],[ITA]]-VLOOKUP($U$1,A:B,2,))/VLOOKUP($U$1,A:B,2,))*100)+100</f>
        <v>101.06908550792458</v>
      </c>
      <c r="I93" s="92">
        <f>(((Table134567891011121314151617343[[#This Row],[FRA]]-VLOOKUP($U$1,A:C,3,))/VLOOKUP($U$1,A:C,3,))*100)+100</f>
        <v>98.900048568778359</v>
      </c>
      <c r="J93" s="92">
        <f>(((Table134567891011121314151617343[[#This Row],[DEU]]-VLOOKUP($U$1,A:D,4,))/VLOOKUP($U$1,A:D,4,))*100)+100</f>
        <v>94.946812719624347</v>
      </c>
      <c r="K93" s="92">
        <f>(((Table134567891011121314151617343[[#This Row],[ESP]]-VLOOKUP($U$1,A:E,5,))/VLOOKUP($U$1,A:E,5,))*100)+100</f>
        <v>94.391300283550933</v>
      </c>
      <c r="L93" s="92">
        <f>(((Table134567891011121314151617343[[#This Row],[EA19]]-VLOOKUP($U$1,A:F,6,))/VLOOKUP($U$1,A:F,6,))*100)+100</f>
        <v>96.644295302013433</v>
      </c>
      <c r="M93" s="92">
        <f>(((Table134567891011121314151617343[[#This Row],[GBR]]-VLOOKUP($U$1,A:G,7,))/VLOOKUP($U$1,A:G,7,))*100)+100</f>
        <v>99.028221998200962</v>
      </c>
      <c r="N93" s="92">
        <f>VLOOKUP(A93,Database!$E:$AY,MATCH($N$1,Database!$E$1:$AY$1,0),FALSE)</f>
        <v>80.415199999999999</v>
      </c>
      <c r="O93" s="92">
        <f>(((Table134567891011121314151617343[[#This Row],[USA]]-VLOOKUP($U$1,A:N,14,))/VLOOKUP($U$1,A:N,14,))*100)+100</f>
        <v>93.169326067036096</v>
      </c>
      <c r="P93" s="92">
        <f>VLOOKUP(A93,Database!$E:$AY,MATCH($P$1,Database!$E$1:$AY$1,0),FALSE)</f>
        <v>108.4075</v>
      </c>
      <c r="Q93" s="92">
        <f>(((Table134567891011121314151617343[[#This Row],[JPN]]-VLOOKUP($U$1,A:Q,16,))/VLOOKUP($U$1,A:Q,16,))*100)+100</f>
        <v>108.83890476682427</v>
      </c>
    </row>
    <row r="94" spans="1:17" s="85" customFormat="1" x14ac:dyDescent="0.2">
      <c r="A94" s="22">
        <v>35674</v>
      </c>
      <c r="B94" s="92">
        <f>VLOOKUP(A94,Database!$E:$AY,MATCH($B$1,Database!$E$1:$AY$1,0),FALSE)</f>
        <v>122.7898</v>
      </c>
      <c r="C94" s="92">
        <f>VLOOKUP(A94,Database!$E:$AY,MATCH($C$1,Database!$E$1:$AY$1,0),FALSE)</f>
        <v>99.230829999999997</v>
      </c>
      <c r="D94" s="92">
        <f>VLOOKUP(A94,Database!$E:$AY,MATCH($D$1,Database!$E$1:$AY$1,0),FALSE)</f>
        <v>71.994</v>
      </c>
      <c r="E94" s="92">
        <f>VLOOKUP(A94,Database!$E:$AY,MATCH($E$1,Database!$E$1:$AY$1,0),FALSE)</f>
        <v>111.5551</v>
      </c>
      <c r="F94" s="92">
        <f>VLOOKUP(A94,Database!$E:$AY,MATCH($F$1,Database!$E$1:$AY$1,0),FALSE)</f>
        <v>86.085660000000004</v>
      </c>
      <c r="G94" s="92">
        <f>VLOOKUP(A94,Database!$E:$AY,MATCH($G$1,Database!$E$1:$AY$1,0),FALSE)</f>
        <v>106.316</v>
      </c>
      <c r="H94" s="92">
        <f>(((Table134567891011121314151617343[[#This Row],[ITA]]-VLOOKUP($U$1,A:B,2,))/VLOOKUP($U$1,A:B,2,))*100)+100</f>
        <v>100.98684183472476</v>
      </c>
      <c r="I94" s="92">
        <f>(((Table134567891011121314151617343[[#This Row],[FRA]]-VLOOKUP($U$1,A:C,3,))/VLOOKUP($U$1,A:C,3,))*100)+100</f>
        <v>96.583570905063127</v>
      </c>
      <c r="J94" s="92">
        <f>(((Table134567891011121314151617343[[#This Row],[DEU]]-VLOOKUP($U$1,A:D,4,))/VLOOKUP($U$1,A:D,4,))*100)+100</f>
        <v>95.744685095419527</v>
      </c>
      <c r="K94" s="92">
        <f>(((Table134567891011121314151617343[[#This Row],[ESP]]-VLOOKUP($U$1,A:E,5,))/VLOOKUP($U$1,A:E,5,))*100)+100</f>
        <v>93.945804465232371</v>
      </c>
      <c r="L94" s="92">
        <f>(((Table134567891011121314151617343[[#This Row],[EA19]]-VLOOKUP($U$1,A:F,6,))/VLOOKUP($U$1,A:F,6,))*100)+100</f>
        <v>96.308736019761696</v>
      </c>
      <c r="M94" s="92">
        <f>(((Table134567891011121314151617343[[#This Row],[GBR]]-VLOOKUP($U$1,A:G,7,))/VLOOKUP($U$1,A:G,7,))*100)+100</f>
        <v>99.514110999100481</v>
      </c>
      <c r="N94" s="92">
        <f>VLOOKUP(A94,Database!$E:$AY,MATCH($N$1,Database!$E$1:$AY$1,0),FALSE)</f>
        <v>81.129530000000003</v>
      </c>
      <c r="O94" s="92">
        <f>(((Table134567891011121314151617343[[#This Row],[USA]]-VLOOKUP($U$1,A:N,14,))/VLOOKUP($U$1,A:N,14,))*100)+100</f>
        <v>93.996951250949905</v>
      </c>
      <c r="P94" s="92">
        <f>VLOOKUP(A94,Database!$E:$AY,MATCH($P$1,Database!$E$1:$AY$1,0),FALSE)</f>
        <v>107.69759999999999</v>
      </c>
      <c r="Q94" s="92">
        <f>(((Table134567891011121314151617343[[#This Row],[JPN]]-VLOOKUP($U$1,A:Q,16,))/VLOOKUP($U$1,A:Q,16,))*100)+100</f>
        <v>108.12617973863001</v>
      </c>
    </row>
    <row r="95" spans="1:17" s="85" customFormat="1" x14ac:dyDescent="0.2">
      <c r="A95" s="22">
        <v>35704</v>
      </c>
      <c r="B95" s="92">
        <f>VLOOKUP(A95,Database!$E:$AY,MATCH($B$1,Database!$E$1:$AY$1,0),FALSE)</f>
        <v>124.28959999999999</v>
      </c>
      <c r="C95" s="92">
        <f>VLOOKUP(A95,Database!$E:$AY,MATCH($C$1,Database!$E$1:$AY$1,0),FALSE)</f>
        <v>101.7208</v>
      </c>
      <c r="D95" s="92">
        <f>VLOOKUP(A95,Database!$E:$AY,MATCH($D$1,Database!$E$1:$AY$1,0),FALSE)</f>
        <v>72.993920000000003</v>
      </c>
      <c r="E95" s="92">
        <f>VLOOKUP(A95,Database!$E:$AY,MATCH($E$1,Database!$E$1:$AY$1,0),FALSE)</f>
        <v>112.8841</v>
      </c>
      <c r="F95" s="92">
        <f>VLOOKUP(A95,Database!$E:$AY,MATCH($F$1,Database!$E$1:$AY$1,0),FALSE)</f>
        <v>87.385440000000003</v>
      </c>
      <c r="G95" s="92">
        <f>VLOOKUP(A95,Database!$E:$AY,MATCH($G$1,Database!$E$1:$AY$1,0),FALSE)</f>
        <v>107.0427</v>
      </c>
      <c r="H95" s="92">
        <f>(((Table134567891011121314151617343[[#This Row],[ITA]]-VLOOKUP($U$1,A:B,2,))/VLOOKUP($U$1,A:B,2,))*100)+100</f>
        <v>102.2203324453758</v>
      </c>
      <c r="I95" s="92">
        <f>(((Table134567891011121314151617343[[#This Row],[FRA]]-VLOOKUP($U$1,A:C,3,))/VLOOKUP($U$1,A:C,3,))*100)+100</f>
        <v>99.007114012043886</v>
      </c>
      <c r="J95" s="92">
        <f>(((Table134567891011121314151617343[[#This Row],[DEU]]-VLOOKUP($U$1,A:D,4,))/VLOOKUP($U$1,A:D,4,))*100)+100</f>
        <v>97.074476821405185</v>
      </c>
      <c r="K95" s="92">
        <f>(((Table134567891011121314151617343[[#This Row],[ESP]]-VLOOKUP($U$1,A:E,5,))/VLOOKUP($U$1,A:E,5,))*100)+100</f>
        <v>95.065017967208476</v>
      </c>
      <c r="L95" s="92">
        <f>(((Table134567891011121314151617343[[#This Row],[EA19]]-VLOOKUP($U$1,A:F,6,))/VLOOKUP($U$1,A:F,6,))*100)+100</f>
        <v>97.762870993040238</v>
      </c>
      <c r="M95" s="92">
        <f>(((Table134567891011121314151617343[[#This Row],[GBR]]-VLOOKUP($U$1,A:G,7,))/VLOOKUP($U$1,A:G,7,))*100)+100</f>
        <v>100.1943181594813</v>
      </c>
      <c r="N95" s="92">
        <f>VLOOKUP(A95,Database!$E:$AY,MATCH($N$1,Database!$E$1:$AY$1,0),FALSE)</f>
        <v>81.827539999999999</v>
      </c>
      <c r="O95" s="92">
        <f>(((Table134567891011121314151617343[[#This Row],[USA]]-VLOOKUP($U$1,A:N,14,))/VLOOKUP($U$1,A:N,14,))*100)+100</f>
        <v>94.805668026982943</v>
      </c>
      <c r="P95" s="92">
        <f>VLOOKUP(A95,Database!$E:$AY,MATCH($P$1,Database!$E$1:$AY$1,0),FALSE)</f>
        <v>106.98779999999999</v>
      </c>
      <c r="Q95" s="92">
        <f>(((Table134567891011121314151617343[[#This Row],[JPN]]-VLOOKUP($U$1,A:Q,16,))/VLOOKUP($U$1,A:Q,16,))*100)+100</f>
        <v>107.41355510838309</v>
      </c>
    </row>
    <row r="96" spans="1:17" s="85" customFormat="1" x14ac:dyDescent="0.2">
      <c r="A96" s="22">
        <v>35735</v>
      </c>
      <c r="B96" s="92">
        <f>VLOOKUP(A96,Database!$E:$AY,MATCH($B$1,Database!$E$1:$AY$1,0),FALSE)</f>
        <v>123.58969999999999</v>
      </c>
      <c r="C96" s="92">
        <f>VLOOKUP(A96,Database!$E:$AY,MATCH($C$1,Database!$E$1:$AY$1,0),FALSE)</f>
        <v>99.380830000000003</v>
      </c>
      <c r="D96" s="92">
        <f>VLOOKUP(A96,Database!$E:$AY,MATCH($D$1,Database!$E$1:$AY$1,0),FALSE)</f>
        <v>73.393879999999996</v>
      </c>
      <c r="E96" s="92">
        <f>VLOOKUP(A96,Database!$E:$AY,MATCH($E$1,Database!$E$1:$AY$1,0),FALSE)</f>
        <v>111.7921</v>
      </c>
      <c r="F96" s="92">
        <f>VLOOKUP(A96,Database!$E:$AY,MATCH($F$1,Database!$E$1:$AY$1,0),FALSE)</f>
        <v>86.985500000000002</v>
      </c>
      <c r="G96" s="92">
        <f>VLOOKUP(A96,Database!$E:$AY,MATCH($G$1,Database!$E$1:$AY$1,0),FALSE)</f>
        <v>107.35420000000001</v>
      </c>
      <c r="H96" s="92">
        <f>(((Table134567891011121314151617343[[#This Row],[ITA]]-VLOOKUP($U$1,A:B,2,))/VLOOKUP($U$1,A:B,2,))*100)+100</f>
        <v>101.64470897665019</v>
      </c>
      <c r="I96" s="92">
        <f>(((Table134567891011121314151617343[[#This Row],[FRA]]-VLOOKUP($U$1,A:C,3,))/VLOOKUP($U$1,A:C,3,))*100)+100</f>
        <v>96.729569236788862</v>
      </c>
      <c r="J96" s="92">
        <f>(((Table134567891011121314151617343[[#This Row],[DEU]]-VLOOKUP($U$1,A:D,4,))/VLOOKUP($U$1,A:D,4,))*100)+100</f>
        <v>97.606382872614503</v>
      </c>
      <c r="K96" s="92">
        <f>(((Table134567891011121314151617343[[#This Row],[ESP]]-VLOOKUP($U$1,A:E,5,))/VLOOKUP($U$1,A:E,5,))*100)+100</f>
        <v>94.145393329015931</v>
      </c>
      <c r="L96" s="92">
        <f>(((Table134567891011121314151617343[[#This Row],[EA19]]-VLOOKUP($U$1,A:F,6,))/VLOOKUP($U$1,A:F,6,))*100)+100</f>
        <v>97.31543624161074</v>
      </c>
      <c r="M96" s="92">
        <f>(((Table134567891011121314151617343[[#This Row],[GBR]]-VLOOKUP($U$1,A:G,7,))/VLOOKUP($U$1,A:G,7,))*100)+100</f>
        <v>100.48588900089952</v>
      </c>
      <c r="N96" s="92">
        <f>VLOOKUP(A96,Database!$E:$AY,MATCH($N$1,Database!$E$1:$AY$1,0),FALSE)</f>
        <v>82.545900000000003</v>
      </c>
      <c r="O96" s="92">
        <f>(((Table134567891011121314151617343[[#This Row],[USA]]-VLOOKUP($U$1,A:N,14,))/VLOOKUP($U$1,A:N,14,))*100)+100</f>
        <v>95.637962382695747</v>
      </c>
      <c r="P96" s="92">
        <f>VLOOKUP(A96,Database!$E:$AY,MATCH($P$1,Database!$E$1:$AY$1,0),FALSE)</f>
        <v>105.6694</v>
      </c>
      <c r="Q96" s="92">
        <f>(((Table134567891011121314151617343[[#This Row],[JPN]]-VLOOKUP($U$1,A:Q,16,))/VLOOKUP($U$1,A:Q,16,))*100)+100</f>
        <v>106.0899085706013</v>
      </c>
    </row>
    <row r="97" spans="1:17" s="85" customFormat="1" x14ac:dyDescent="0.2">
      <c r="A97" s="22">
        <v>35765</v>
      </c>
      <c r="B97" s="92">
        <f>VLOOKUP(A97,Database!$E:$AY,MATCH($B$1,Database!$E$1:$AY$1,0),FALSE)</f>
        <v>124.4896</v>
      </c>
      <c r="C97" s="92">
        <f>VLOOKUP(A97,Database!$E:$AY,MATCH($C$1,Database!$E$1:$AY$1,0),FALSE)</f>
        <v>101.3708</v>
      </c>
      <c r="D97" s="92">
        <f>VLOOKUP(A97,Database!$E:$AY,MATCH($D$1,Database!$E$1:$AY$1,0),FALSE)</f>
        <v>74.093829999999997</v>
      </c>
      <c r="E97" s="92">
        <f>VLOOKUP(A97,Database!$E:$AY,MATCH($E$1,Database!$E$1:$AY$1,0),FALSE)</f>
        <v>111.5521</v>
      </c>
      <c r="F97" s="92">
        <f>VLOOKUP(A97,Database!$E:$AY,MATCH($F$1,Database!$E$1:$AY$1,0),FALSE)</f>
        <v>87.985339999999994</v>
      </c>
      <c r="G97" s="92">
        <f>VLOOKUP(A97,Database!$E:$AY,MATCH($G$1,Database!$E$1:$AY$1,0),FALSE)</f>
        <v>107.14660000000001</v>
      </c>
      <c r="H97" s="92">
        <f>(((Table134567891011121314151617343[[#This Row],[ITA]]-VLOOKUP($U$1,A:B,2,))/VLOOKUP($U$1,A:B,2,))*100)+100</f>
        <v>102.38481979177547</v>
      </c>
      <c r="I97" s="92">
        <f>(((Table134567891011121314151617343[[#This Row],[FRA]]-VLOOKUP($U$1,A:C,3,))/VLOOKUP($U$1,A:C,3,))*100)+100</f>
        <v>98.666451238017189</v>
      </c>
      <c r="J97" s="92">
        <f>(((Table134567891011121314151617343[[#This Row],[DEU]]-VLOOKUP($U$1,A:D,4,))/VLOOKUP($U$1,A:D,4,))*100)+100</f>
        <v>98.537245060193172</v>
      </c>
      <c r="K97" s="92">
        <f>(((Table134567891011121314151617343[[#This Row],[ESP]]-VLOOKUP($U$1,A:E,5,))/VLOOKUP($U$1,A:E,5,))*100)+100</f>
        <v>93.943278023918651</v>
      </c>
      <c r="L97" s="92">
        <f>(((Table134567891011121314151617343[[#This Row],[EA19]]-VLOOKUP($U$1,A:F,6,))/VLOOKUP($U$1,A:F,6,))*100)+100</f>
        <v>98.434011932637546</v>
      </c>
      <c r="M97" s="92">
        <f>(((Table134567891011121314151617343[[#This Row],[GBR]]-VLOOKUP($U$1,A:G,7,))/VLOOKUP($U$1,A:G,7,))*100)+100</f>
        <v>100.29157084141823</v>
      </c>
      <c r="N97" s="92">
        <f>VLOOKUP(A97,Database!$E:$AY,MATCH($N$1,Database!$E$1:$AY$1,0),FALSE)</f>
        <v>82.800439999999995</v>
      </c>
      <c r="O97" s="92">
        <f>(((Table134567891011121314151617343[[#This Row],[USA]]-VLOOKUP($U$1,A:N,14,))/VLOOKUP($U$1,A:N,14,))*100)+100</f>
        <v>95.932873298257761</v>
      </c>
      <c r="P97" s="92">
        <f>VLOOKUP(A97,Database!$E:$AY,MATCH($P$1,Database!$E$1:$AY$1,0),FALSE)</f>
        <v>104.6553</v>
      </c>
      <c r="Q97" s="92">
        <f>(((Table134567891011121314151617343[[#This Row],[JPN]]-VLOOKUP($U$1,A:Q,16,))/VLOOKUP($U$1,A:Q,16,))*100)+100</f>
        <v>105.07177298658694</v>
      </c>
    </row>
    <row r="98" spans="1:17" s="85" customFormat="1" x14ac:dyDescent="0.2">
      <c r="A98" s="22">
        <v>35796</v>
      </c>
      <c r="B98" s="92">
        <f>VLOOKUP(A98,Database!$E:$AY,MATCH($B$1,Database!$E$1:$AY$1,0),FALSE)</f>
        <v>123.58969999999999</v>
      </c>
      <c r="C98" s="92">
        <f>VLOOKUP(A98,Database!$E:$AY,MATCH($C$1,Database!$E$1:$AY$1,0),FALSE)</f>
        <v>101.3708</v>
      </c>
      <c r="D98" s="92">
        <f>VLOOKUP(A98,Database!$E:$AY,MATCH($D$1,Database!$E$1:$AY$1,0),FALSE)</f>
        <v>74.89376</v>
      </c>
      <c r="E98" s="92">
        <f>VLOOKUP(A98,Database!$E:$AY,MATCH($E$1,Database!$E$1:$AY$1,0),FALSE)</f>
        <v>113.44110000000001</v>
      </c>
      <c r="F98" s="92">
        <f>VLOOKUP(A98,Database!$E:$AY,MATCH($F$1,Database!$E$1:$AY$1,0),FALSE)</f>
        <v>88.285290000000003</v>
      </c>
      <c r="G98" s="92">
        <f>VLOOKUP(A98,Database!$E:$AY,MATCH($G$1,Database!$E$1:$AY$1,0),FALSE)</f>
        <v>106.9389</v>
      </c>
      <c r="H98" s="92">
        <f>(((Table134567891011121314151617343[[#This Row],[ITA]]-VLOOKUP($U$1,A:B,2,))/VLOOKUP($U$1,A:B,2,))*100)+100</f>
        <v>101.64470897665019</v>
      </c>
      <c r="I98" s="92">
        <f>(((Table134567891011121314151617343[[#This Row],[FRA]]-VLOOKUP($U$1,A:C,3,))/VLOOKUP($U$1,A:C,3,))*100)+100</f>
        <v>98.666451238017189</v>
      </c>
      <c r="J98" s="92">
        <f>(((Table134567891011121314151617343[[#This Row],[DEU]]-VLOOKUP($U$1,A:D,4,))/VLOOKUP($U$1,A:D,4,))*100)+100</f>
        <v>99.601070461593011</v>
      </c>
      <c r="K98" s="92">
        <f>(((Table134567891011121314151617343[[#This Row],[ESP]]-VLOOKUP($U$1,A:E,5,))/VLOOKUP($U$1,A:E,5,))*100)+100</f>
        <v>95.534093904455048</v>
      </c>
      <c r="L98" s="92">
        <f>(((Table134567891011121314151617343[[#This Row],[EA19]]-VLOOKUP($U$1,A:F,6,))/VLOOKUP($U$1,A:F,6,))*100)+100</f>
        <v>98.769582402436214</v>
      </c>
      <c r="M98" s="92">
        <f>(((Table134567891011121314151617343[[#This Row],[GBR]]-VLOOKUP($U$1,A:G,7,))/VLOOKUP($U$1,A:G,7,))*100)+100</f>
        <v>100.09715907974065</v>
      </c>
      <c r="N98" s="92">
        <f>VLOOKUP(A98,Database!$E:$AY,MATCH($N$1,Database!$E$1:$AY$1,0),FALSE)</f>
        <v>83.225650000000002</v>
      </c>
      <c r="O98" s="92">
        <f>(((Table134567891011121314151617343[[#This Row],[USA]]-VLOOKUP($U$1,A:N,14,))/VLOOKUP($U$1,A:N,14,))*100)+100</f>
        <v>96.425523060205322</v>
      </c>
      <c r="P98" s="92">
        <f>VLOOKUP(A98,Database!$E:$AY,MATCH($P$1,Database!$E$1:$AY$1,0),FALSE)</f>
        <v>106.1943</v>
      </c>
      <c r="Q98" s="92">
        <f>(((Table134567891011121314151617343[[#This Row],[JPN]]-VLOOKUP($U$1,A:Q,16,))/VLOOKUP($U$1,A:Q,16,))*100)+100</f>
        <v>106.61689739620935</v>
      </c>
    </row>
    <row r="99" spans="1:17" s="85" customFormat="1" x14ac:dyDescent="0.2">
      <c r="A99" s="22">
        <v>35827</v>
      </c>
      <c r="B99" s="92">
        <f>VLOOKUP(A99,Database!$E:$AY,MATCH($B$1,Database!$E$1:$AY$1,0),FALSE)</f>
        <v>123.4897</v>
      </c>
      <c r="C99" s="92">
        <f>VLOOKUP(A99,Database!$E:$AY,MATCH($C$1,Database!$E$1:$AY$1,0),FALSE)</f>
        <v>102.07089999999999</v>
      </c>
      <c r="D99" s="92">
        <f>VLOOKUP(A99,Database!$E:$AY,MATCH($D$1,Database!$E$1:$AY$1,0),FALSE)</f>
        <v>74.693780000000004</v>
      </c>
      <c r="E99" s="92">
        <f>VLOOKUP(A99,Database!$E:$AY,MATCH($E$1,Database!$E$1:$AY$1,0),FALSE)</f>
        <v>116.32510000000001</v>
      </c>
      <c r="F99" s="92">
        <f>VLOOKUP(A99,Database!$E:$AY,MATCH($F$1,Database!$E$1:$AY$1,0),FALSE)</f>
        <v>88.685220000000001</v>
      </c>
      <c r="G99" s="92">
        <f>VLOOKUP(A99,Database!$E:$AY,MATCH($G$1,Database!$E$1:$AY$1,0),FALSE)</f>
        <v>108.1848</v>
      </c>
      <c r="H99" s="92">
        <f>(((Table134567891011121314151617343[[#This Row],[ITA]]-VLOOKUP($U$1,A:B,2,))/VLOOKUP($U$1,A:B,2,))*100)+100</f>
        <v>101.56246530345037</v>
      </c>
      <c r="I99" s="92">
        <f>(((Table134567891011121314151617343[[#This Row],[FRA]]-VLOOKUP($U$1,A:C,3,))/VLOOKUP($U$1,A:C,3,))*100)+100</f>
        <v>99.347874118291742</v>
      </c>
      <c r="J99" s="92">
        <f>(((Table134567891011121314151617343[[#This Row],[DEU]]-VLOOKUP($U$1,A:D,4,))/VLOOKUP($U$1,A:D,4,))*100)+100</f>
        <v>99.335117435988352</v>
      </c>
      <c r="K99" s="92">
        <f>(((Table134567891011121314151617343[[#This Row],[ESP]]-VLOOKUP($U$1,A:E,5,))/VLOOKUP($U$1,A:E,5,))*100)+100</f>
        <v>97.962846154040491</v>
      </c>
      <c r="L99" s="92">
        <f>(((Table134567891011121314151617343[[#This Row],[EA19]]-VLOOKUP($U$1,A:F,6,))/VLOOKUP($U$1,A:F,6,))*100)+100</f>
        <v>99.21700596631878</v>
      </c>
      <c r="M99" s="92">
        <f>(((Table134567891011121314151617343[[#This Row],[GBR]]-VLOOKUP($U$1,A:G,7,))/VLOOKUP($U$1,A:G,7,))*100)+100</f>
        <v>101.26334884321726</v>
      </c>
      <c r="N99" s="92">
        <f>VLOOKUP(A99,Database!$E:$AY,MATCH($N$1,Database!$E$1:$AY$1,0),FALSE)</f>
        <v>83.334959999999995</v>
      </c>
      <c r="O99" s="92">
        <f>(((Table134567891011121314151617343[[#This Row],[USA]]-VLOOKUP($U$1,A:N,14,))/VLOOKUP($U$1,A:N,14,))*100)+100</f>
        <v>96.552170000490079</v>
      </c>
      <c r="P99" s="92">
        <f>VLOOKUP(A99,Database!$E:$AY,MATCH($P$1,Database!$E$1:$AY$1,0),FALSE)</f>
        <v>103.43049999999999</v>
      </c>
      <c r="Q99" s="92">
        <f>(((Table134567891011121314151617343[[#This Row],[JPN]]-VLOOKUP($U$1,A:Q,16,))/VLOOKUP($U$1,A:Q,16,))*100)+100</f>
        <v>103.842098927519</v>
      </c>
    </row>
    <row r="100" spans="1:17" s="85" customFormat="1" x14ac:dyDescent="0.2">
      <c r="A100" s="22">
        <v>35855</v>
      </c>
      <c r="B100" s="92">
        <f>VLOOKUP(A100,Database!$E:$AY,MATCH($B$1,Database!$E$1:$AY$1,0),FALSE)</f>
        <v>122.88979999999999</v>
      </c>
      <c r="C100" s="92">
        <f>VLOOKUP(A100,Database!$E:$AY,MATCH($C$1,Database!$E$1:$AY$1,0),FALSE)</f>
        <v>100.85080000000001</v>
      </c>
      <c r="D100" s="92">
        <f>VLOOKUP(A100,Database!$E:$AY,MATCH($D$1,Database!$E$1:$AY$1,0),FALSE)</f>
        <v>75.693700000000007</v>
      </c>
      <c r="E100" s="92">
        <f>VLOOKUP(A100,Database!$E:$AY,MATCH($E$1,Database!$E$1:$AY$1,0),FALSE)</f>
        <v>114.30110000000001</v>
      </c>
      <c r="F100" s="92">
        <f>VLOOKUP(A100,Database!$E:$AY,MATCH($F$1,Database!$E$1:$AY$1,0),FALSE)</f>
        <v>88.685220000000001</v>
      </c>
      <c r="G100" s="92">
        <f>VLOOKUP(A100,Database!$E:$AY,MATCH($G$1,Database!$E$1:$AY$1,0),FALSE)</f>
        <v>108.49630000000001</v>
      </c>
      <c r="H100" s="92">
        <f>(((Table134567891011121314151617343[[#This Row],[ITA]]-VLOOKUP($U$1,A:B,2,))/VLOOKUP($U$1,A:B,2,))*100)+100</f>
        <v>101.06908550792458</v>
      </c>
      <c r="I100" s="92">
        <f>(((Table134567891011121314151617343[[#This Row],[FRA]]-VLOOKUP($U$1,A:C,3,))/VLOOKUP($U$1,A:C,3,))*100)+100</f>
        <v>98.160323688034666</v>
      </c>
      <c r="J100" s="92">
        <f>(((Table134567891011121314151617343[[#This Row],[DEU]]-VLOOKUP($U$1,A:D,4,))/VLOOKUP($U$1,A:D,4,))*100)+100</f>
        <v>100.66490916197402</v>
      </c>
      <c r="K100" s="92">
        <f>(((Table134567891011121314151617343[[#This Row],[ESP]]-VLOOKUP($U$1,A:E,5,))/VLOOKUP($U$1,A:E,5,))*100)+100</f>
        <v>96.258340414386907</v>
      </c>
      <c r="L100" s="92">
        <f>(((Table134567891011121314151617343[[#This Row],[EA19]]-VLOOKUP($U$1,A:F,6,))/VLOOKUP($U$1,A:F,6,))*100)+100</f>
        <v>99.21700596631878</v>
      </c>
      <c r="M100" s="92">
        <f>(((Table134567891011121314151617343[[#This Row],[GBR]]-VLOOKUP($U$1,A:G,7,))/VLOOKUP($U$1,A:G,7,))*100)+100</f>
        <v>101.55491968463549</v>
      </c>
      <c r="N100" s="92">
        <f>VLOOKUP(A100,Database!$E:$AY,MATCH($N$1,Database!$E$1:$AY$1,0),FALSE)</f>
        <v>83.391239999999996</v>
      </c>
      <c r="O100" s="92">
        <f>(((Table134567891011121314151617343[[#This Row],[USA]]-VLOOKUP($U$1,A:N,14,))/VLOOKUP($U$1,A:N,14,))*100)+100</f>
        <v>96.617376201196578</v>
      </c>
      <c r="P100" s="92">
        <f>VLOOKUP(A100,Database!$E:$AY,MATCH($P$1,Database!$E$1:$AY$1,0),FALSE)</f>
        <v>101.1981</v>
      </c>
      <c r="Q100" s="92">
        <f>(((Table134567891011121314151617343[[#This Row],[JPN]]-VLOOKUP($U$1,A:Q,16,))/VLOOKUP($U$1,A:Q,16,))*100)+100</f>
        <v>101.60081515101407</v>
      </c>
    </row>
    <row r="101" spans="1:17" s="85" customFormat="1" x14ac:dyDescent="0.2">
      <c r="A101" s="22">
        <v>35886</v>
      </c>
      <c r="B101" s="92">
        <f>VLOOKUP(A101,Database!$E:$AY,MATCH($B$1,Database!$E$1:$AY$1,0),FALSE)</f>
        <v>123.8897</v>
      </c>
      <c r="C101" s="92">
        <f>VLOOKUP(A101,Database!$E:$AY,MATCH($C$1,Database!$E$1:$AY$1,0),FALSE)</f>
        <v>102.1508</v>
      </c>
      <c r="D101" s="92">
        <f>VLOOKUP(A101,Database!$E:$AY,MATCH($D$1,Database!$E$1:$AY$1,0),FALSE)</f>
        <v>74.993750000000006</v>
      </c>
      <c r="E101" s="92">
        <f>VLOOKUP(A101,Database!$E:$AY,MATCH($E$1,Database!$E$1:$AY$1,0),FALSE)</f>
        <v>115.1901</v>
      </c>
      <c r="F101" s="92">
        <f>VLOOKUP(A101,Database!$E:$AY,MATCH($F$1,Database!$E$1:$AY$1,0),FALSE)</f>
        <v>88.985169999999997</v>
      </c>
      <c r="G101" s="92">
        <f>VLOOKUP(A101,Database!$E:$AY,MATCH($G$1,Database!$E$1:$AY$1,0),FALSE)</f>
        <v>108.3925</v>
      </c>
      <c r="H101" s="92">
        <f>(((Table134567891011121314151617343[[#This Row],[ITA]]-VLOOKUP($U$1,A:B,2,))/VLOOKUP($U$1,A:B,2,))*100)+100</f>
        <v>101.89143999624969</v>
      </c>
      <c r="I101" s="92">
        <f>(((Table134567891011121314151617343[[#This Row],[FRA]]-VLOOKUP($U$1,A:C,3,))/VLOOKUP($U$1,A:C,3,))*100)+100</f>
        <v>99.425642562990987</v>
      </c>
      <c r="J101" s="92">
        <f>(((Table134567891011121314151617343[[#This Row],[DEU]]-VLOOKUP($U$1,A:D,4,))/VLOOKUP($U$1,A:D,4,))*100)+100</f>
        <v>99.734046974395341</v>
      </c>
      <c r="K101" s="92">
        <f>(((Table134567891011121314151617343[[#This Row],[ESP]]-VLOOKUP($U$1,A:E,5,))/VLOOKUP($U$1,A:E,5,))*100)+100</f>
        <v>97.007009190351354</v>
      </c>
      <c r="L101" s="92">
        <f>(((Table134567891011121314151617343[[#This Row],[EA19]]-VLOOKUP($U$1,A:F,6,))/VLOOKUP($U$1,A:F,6,))*100)+100</f>
        <v>99.552576436117434</v>
      </c>
      <c r="M101" s="92">
        <f>(((Table134567891011121314151617343[[#This Row],[GBR]]-VLOOKUP($U$1,A:G,7,))/VLOOKUP($U$1,A:G,7,))*100)+100</f>
        <v>101.45776060489483</v>
      </c>
      <c r="N101" s="92">
        <f>VLOOKUP(A101,Database!$E:$AY,MATCH($N$1,Database!$E$1:$AY$1,0),FALSE)</f>
        <v>83.699860000000001</v>
      </c>
      <c r="O101" s="92">
        <f>(((Table134567891011121314151617343[[#This Row],[USA]]-VLOOKUP($U$1,A:N,14,))/VLOOKUP($U$1,A:N,14,))*100)+100</f>
        <v>96.974944389932148</v>
      </c>
      <c r="P101" s="92">
        <f>VLOOKUP(A101,Database!$E:$AY,MATCH($P$1,Database!$E$1:$AY$1,0),FALSE)</f>
        <v>100.9855</v>
      </c>
      <c r="Q101" s="92">
        <f>(((Table134567891011121314151617343[[#This Row],[JPN]]-VLOOKUP($U$1,A:Q,16,))/VLOOKUP($U$1,A:Q,16,))*100)+100</f>
        <v>101.38736911496098</v>
      </c>
    </row>
    <row r="102" spans="1:17" s="85" customFormat="1" x14ac:dyDescent="0.2">
      <c r="A102" s="22">
        <v>35916</v>
      </c>
      <c r="B102" s="92">
        <f>VLOOKUP(A102,Database!$E:$AY,MATCH($B$1,Database!$E$1:$AY$1,0),FALSE)</f>
        <v>123.6897</v>
      </c>
      <c r="C102" s="92">
        <f>VLOOKUP(A102,Database!$E:$AY,MATCH($C$1,Database!$E$1:$AY$1,0),FALSE)</f>
        <v>103.4409</v>
      </c>
      <c r="D102" s="92">
        <f>VLOOKUP(A102,Database!$E:$AY,MATCH($D$1,Database!$E$1:$AY$1,0),FALSE)</f>
        <v>75.393709999999999</v>
      </c>
      <c r="E102" s="92">
        <f>VLOOKUP(A102,Database!$E:$AY,MATCH($E$1,Database!$E$1:$AY$1,0),FALSE)</f>
        <v>115.98909999999999</v>
      </c>
      <c r="F102" s="92">
        <f>VLOOKUP(A102,Database!$E:$AY,MATCH($F$1,Database!$E$1:$AY$1,0),FALSE)</f>
        <v>89.285120000000006</v>
      </c>
      <c r="G102" s="92">
        <f>VLOOKUP(A102,Database!$E:$AY,MATCH($G$1,Database!$E$1:$AY$1,0),FALSE)</f>
        <v>107.35420000000001</v>
      </c>
      <c r="H102" s="92">
        <f>(((Table134567891011121314151617343[[#This Row],[ITA]]-VLOOKUP($U$1,A:B,2,))/VLOOKUP($U$1,A:B,2,))*100)+100</f>
        <v>101.72695264985003</v>
      </c>
      <c r="I102" s="92">
        <f>(((Table134567891011121314151617343[[#This Row],[FRA]]-VLOOKUP($U$1,A:C,3,))/VLOOKUP($U$1,A:C,3,))*100)+100</f>
        <v>100.68132554805341</v>
      </c>
      <c r="J102" s="92">
        <f>(((Table134567891011121314151617343[[#This Row],[DEU]]-VLOOKUP($U$1,A:D,4,))/VLOOKUP($U$1,A:D,4,))*100)+100</f>
        <v>100.26595302560466</v>
      </c>
      <c r="K102" s="92">
        <f>(((Table134567891011121314151617343[[#This Row],[ESP]]-VLOOKUP($U$1,A:E,5,))/VLOOKUP($U$1,A:E,5,))*100)+100</f>
        <v>97.679884726904319</v>
      </c>
      <c r="L102" s="92">
        <f>(((Table134567891011121314151617343[[#This Row],[EA19]]-VLOOKUP($U$1,A:F,6,))/VLOOKUP($U$1,A:F,6,))*100)+100</f>
        <v>99.888146905916102</v>
      </c>
      <c r="M102" s="92">
        <f>(((Table134567891011121314151617343[[#This Row],[GBR]]-VLOOKUP($U$1,A:G,7,))/VLOOKUP($U$1,A:G,7,))*100)+100</f>
        <v>100.48588900089952</v>
      </c>
      <c r="N102" s="92">
        <f>VLOOKUP(A102,Database!$E:$AY,MATCH($N$1,Database!$E$1:$AY$1,0),FALSE)</f>
        <v>84.232079999999996</v>
      </c>
      <c r="O102" s="92">
        <f>(((Table134567891011121314151617343[[#This Row],[USA]]-VLOOKUP($U$1,A:N,14,))/VLOOKUP($U$1,A:N,14,))*100)+100</f>
        <v>97.591576304289106</v>
      </c>
      <c r="P102" s="92">
        <f>VLOOKUP(A102,Database!$E:$AY,MATCH($P$1,Database!$E$1:$AY$1,0),FALSE)</f>
        <v>100.2414</v>
      </c>
      <c r="Q102" s="92">
        <f>(((Table134567891011121314151617343[[#This Row],[JPN]]-VLOOKUP($U$1,A:Q,16,))/VLOOKUP($U$1,A:Q,16,))*100)+100</f>
        <v>100.64030798877511</v>
      </c>
    </row>
    <row r="103" spans="1:17" s="85" customFormat="1" x14ac:dyDescent="0.2">
      <c r="A103" s="22">
        <v>35947</v>
      </c>
      <c r="B103" s="92">
        <f>VLOOKUP(A103,Database!$E:$AY,MATCH($B$1,Database!$E$1:$AY$1,0),FALSE)</f>
        <v>123.4897</v>
      </c>
      <c r="C103" s="92">
        <f>VLOOKUP(A103,Database!$E:$AY,MATCH($C$1,Database!$E$1:$AY$1,0),FALSE)</f>
        <v>102.76090000000001</v>
      </c>
      <c r="D103" s="92">
        <f>VLOOKUP(A103,Database!$E:$AY,MATCH($D$1,Database!$E$1:$AY$1,0),FALSE)</f>
        <v>74.793769999999995</v>
      </c>
      <c r="E103" s="92">
        <f>VLOOKUP(A103,Database!$E:$AY,MATCH($E$1,Database!$E$1:$AY$1,0),FALSE)</f>
        <v>115.5801</v>
      </c>
      <c r="F103" s="92">
        <f>VLOOKUP(A103,Database!$E:$AY,MATCH($F$1,Database!$E$1:$AY$1,0),FALSE)</f>
        <v>88.885189999999994</v>
      </c>
      <c r="G103" s="92">
        <f>VLOOKUP(A103,Database!$E:$AY,MATCH($G$1,Database!$E$1:$AY$1,0),FALSE)</f>
        <v>107.2504</v>
      </c>
      <c r="H103" s="92">
        <f>(((Table134567891011121314151617343[[#This Row],[ITA]]-VLOOKUP($U$1,A:B,2,))/VLOOKUP($U$1,A:B,2,))*100)+100</f>
        <v>101.56246530345037</v>
      </c>
      <c r="I103" s="92">
        <f>(((Table134567891011121314151617343[[#This Row],[FRA]]-VLOOKUP($U$1,A:C,3,))/VLOOKUP($U$1,A:C,3,))*100)+100</f>
        <v>100.0194664442301</v>
      </c>
      <c r="J103" s="92">
        <f>(((Table134567891011121314151617343[[#This Row],[DEU]]-VLOOKUP($U$1,A:D,4,))/VLOOKUP($U$1,A:D,4,))*100)+100</f>
        <v>99.468093948790667</v>
      </c>
      <c r="K103" s="92">
        <f>(((Table134567891011121314151617343[[#This Row],[ESP]]-VLOOKUP($U$1,A:E,5,))/VLOOKUP($U$1,A:E,5,))*100)+100</f>
        <v>97.335446561134404</v>
      </c>
      <c r="L103" s="92">
        <f>(((Table134567891011121314151617343[[#This Row],[EA19]]-VLOOKUP($U$1,A:F,6,))/VLOOKUP($U$1,A:F,6,))*100)+100</f>
        <v>99.440723342033522</v>
      </c>
      <c r="M103" s="92">
        <f>(((Table134567891011121314151617343[[#This Row],[GBR]]-VLOOKUP($U$1,A:G,7,))/VLOOKUP($U$1,A:G,7,))*100)+100</f>
        <v>100.38872992115887</v>
      </c>
      <c r="N103" s="92">
        <f>VLOOKUP(A103,Database!$E:$AY,MATCH($N$1,Database!$E$1:$AY$1,0),FALSE)</f>
        <v>83.703609999999998</v>
      </c>
      <c r="O103" s="92">
        <f>(((Table134567891011121314151617343[[#This Row],[USA]]-VLOOKUP($U$1,A:N,14,))/VLOOKUP($U$1,A:N,14,))*100)+100</f>
        <v>96.979289152772395</v>
      </c>
      <c r="P103" s="92">
        <f>VLOOKUP(A103,Database!$E:$AY,MATCH($P$1,Database!$E$1:$AY$1,0),FALSE)</f>
        <v>100.2414</v>
      </c>
      <c r="Q103" s="92">
        <f>(((Table134567891011121314151617343[[#This Row],[JPN]]-VLOOKUP($U$1,A:Q,16,))/VLOOKUP($U$1,A:Q,16,))*100)+100</f>
        <v>100.64030798877511</v>
      </c>
    </row>
    <row r="104" spans="1:17" s="85" customFormat="1" x14ac:dyDescent="0.2">
      <c r="A104" s="22">
        <v>35977</v>
      </c>
      <c r="B104" s="92">
        <f>VLOOKUP(A104,Database!$E:$AY,MATCH($B$1,Database!$E$1:$AY$1,0),FALSE)</f>
        <v>123.2897</v>
      </c>
      <c r="C104" s="92">
        <f>VLOOKUP(A104,Database!$E:$AY,MATCH($C$1,Database!$E$1:$AY$1,0),FALSE)</f>
        <v>103.3609</v>
      </c>
      <c r="D104" s="92">
        <f>VLOOKUP(A104,Database!$E:$AY,MATCH($D$1,Database!$E$1:$AY$1,0),FALSE)</f>
        <v>76.393630000000002</v>
      </c>
      <c r="E104" s="92">
        <f>VLOOKUP(A104,Database!$E:$AY,MATCH($E$1,Database!$E$1:$AY$1,0),FALSE)</f>
        <v>115.4821</v>
      </c>
      <c r="F104" s="92">
        <f>VLOOKUP(A104,Database!$E:$AY,MATCH($F$1,Database!$E$1:$AY$1,0),FALSE)</f>
        <v>89.785030000000006</v>
      </c>
      <c r="G104" s="92">
        <f>VLOOKUP(A104,Database!$E:$AY,MATCH($G$1,Database!$E$1:$AY$1,0),FALSE)</f>
        <v>107.6657</v>
      </c>
      <c r="H104" s="92">
        <f>(((Table134567891011121314151617343[[#This Row],[ITA]]-VLOOKUP($U$1,A:B,2,))/VLOOKUP($U$1,A:B,2,))*100)+100</f>
        <v>101.3979779570507</v>
      </c>
      <c r="I104" s="92">
        <f>(((Table134567891011121314151617343[[#This Row],[FRA]]-VLOOKUP($U$1,A:C,3,))/VLOOKUP($U$1,A:C,3,))*100)+100</f>
        <v>100.60345977113302</v>
      </c>
      <c r="J104" s="92">
        <f>(((Table134567891011121314151617343[[#This Row],[DEU]]-VLOOKUP($U$1,A:D,4,))/VLOOKUP($U$1,A:D,4,))*100)+100</f>
        <v>101.59574475159033</v>
      </c>
      <c r="K104" s="92">
        <f>(((Table134567891011121314151617343[[#This Row],[ESP]]-VLOOKUP($U$1,A:E,5,))/VLOOKUP($U$1,A:E,5,))*100)+100</f>
        <v>97.252916144886356</v>
      </c>
      <c r="L104" s="92">
        <f>(((Table134567891011121314151617343[[#This Row],[EA19]]-VLOOKUP($U$1,A:F,6,))/VLOOKUP($U$1,A:F,6,))*100)+100</f>
        <v>100.44742356388258</v>
      </c>
      <c r="M104" s="92">
        <f>(((Table134567891011121314151617343[[#This Row],[GBR]]-VLOOKUP($U$1,A:G,7,))/VLOOKUP($U$1,A:G,7,))*100)+100</f>
        <v>100.77745984231774</v>
      </c>
      <c r="N104" s="92">
        <f>VLOOKUP(A104,Database!$E:$AY,MATCH($N$1,Database!$E$1:$AY$1,0),FALSE)</f>
        <v>83.412859999999995</v>
      </c>
      <c r="O104" s="92">
        <f>(((Table134567891011121314151617343[[#This Row],[USA]]-VLOOKUP($U$1,A:N,14,))/VLOOKUP($U$1,A:N,14,))*100)+100</f>
        <v>96.642425207224903</v>
      </c>
      <c r="P104" s="92">
        <f>VLOOKUP(A104,Database!$E:$AY,MATCH($P$1,Database!$E$1:$AY$1,0),FALSE)</f>
        <v>100.0288</v>
      </c>
      <c r="Q104" s="92">
        <f>(((Table134567891011121314151617343[[#This Row],[JPN]]-VLOOKUP($U$1,A:Q,16,))/VLOOKUP($U$1,A:Q,16,))*100)+100</f>
        <v>100.42686195272201</v>
      </c>
    </row>
    <row r="105" spans="1:17" s="85" customFormat="1" x14ac:dyDescent="0.2">
      <c r="A105" s="22">
        <v>36008</v>
      </c>
      <c r="B105" s="92">
        <f>VLOOKUP(A105,Database!$E:$AY,MATCH($B$1,Database!$E$1:$AY$1,0),FALSE)</f>
        <v>121.5899</v>
      </c>
      <c r="C105" s="92">
        <f>VLOOKUP(A105,Database!$E:$AY,MATCH($C$1,Database!$E$1:$AY$1,0),FALSE)</f>
        <v>100.71080000000001</v>
      </c>
      <c r="D105" s="92">
        <f>VLOOKUP(A105,Database!$E:$AY,MATCH($D$1,Database!$E$1:$AY$1,0),FALSE)</f>
        <v>74.693780000000004</v>
      </c>
      <c r="E105" s="92">
        <f>VLOOKUP(A105,Database!$E:$AY,MATCH($E$1,Database!$E$1:$AY$1,0),FALSE)</f>
        <v>115.4081</v>
      </c>
      <c r="F105" s="92">
        <f>VLOOKUP(A105,Database!$E:$AY,MATCH($F$1,Database!$E$1:$AY$1,0),FALSE)</f>
        <v>88.485249999999994</v>
      </c>
      <c r="G105" s="92">
        <f>VLOOKUP(A105,Database!$E:$AY,MATCH($G$1,Database!$E$1:$AY$1,0),FALSE)</f>
        <v>106.9389</v>
      </c>
      <c r="H105" s="92">
        <f>(((Table134567891011121314151617343[[#This Row],[ITA]]-VLOOKUP($U$1,A:B,2,))/VLOOKUP($U$1,A:B,2,))*100)+100</f>
        <v>100</v>
      </c>
      <c r="I105" s="92">
        <f>(((Table134567891011121314151617343[[#This Row],[FRA]]-VLOOKUP($U$1,A:C,3,))/VLOOKUP($U$1,A:C,3,))*100)+100</f>
        <v>98.02405857842399</v>
      </c>
      <c r="J105" s="92">
        <f>(((Table134567891011121314151617343[[#This Row],[DEU]]-VLOOKUP($U$1,A:D,4,))/VLOOKUP($U$1,A:D,4,))*100)+100</f>
        <v>99.335117435988352</v>
      </c>
      <c r="K105" s="92">
        <f>(((Table134567891011121314151617343[[#This Row],[ESP]]-VLOOKUP($U$1,A:E,5,))/VLOOKUP($U$1,A:E,5,))*100)+100</f>
        <v>97.190597259148035</v>
      </c>
      <c r="L105" s="92">
        <f>(((Table134567891011121314151617343[[#This Row],[EA19]]-VLOOKUP($U$1,A:F,6,))/VLOOKUP($U$1,A:F,6,))*100)+100</f>
        <v>98.993288590604024</v>
      </c>
      <c r="M105" s="92">
        <f>(((Table134567891011121314151617343[[#This Row],[GBR]]-VLOOKUP($U$1,A:G,7,))/VLOOKUP($U$1,A:G,7,))*100)+100</f>
        <v>100.09715907974065</v>
      </c>
      <c r="N105" s="92">
        <f>VLOOKUP(A105,Database!$E:$AY,MATCH($N$1,Database!$E$1:$AY$1,0),FALSE)</f>
        <v>85.124870000000001</v>
      </c>
      <c r="O105" s="92">
        <f>(((Table134567891011121314151617343[[#This Row],[USA]]-VLOOKUP($U$1,A:N,14,))/VLOOKUP($U$1,A:N,14,))*100)+100</f>
        <v>98.625965855261924</v>
      </c>
      <c r="P105" s="92">
        <f>VLOOKUP(A105,Database!$E:$AY,MATCH($P$1,Database!$E$1:$AY$1,0),FALSE)</f>
        <v>98.221729999999994</v>
      </c>
      <c r="Q105" s="92">
        <f>(((Table134567891011121314151617343[[#This Row],[JPN]]-VLOOKUP($U$1,A:Q,16,))/VLOOKUP($U$1,A:Q,16,))*100)+100</f>
        <v>98.612600765654818</v>
      </c>
    </row>
    <row r="106" spans="1:17" s="85" customFormat="1" x14ac:dyDescent="0.2">
      <c r="A106" s="22">
        <v>36039</v>
      </c>
      <c r="B106" s="92">
        <f>VLOOKUP(A106,Database!$E:$AY,MATCH($B$1,Database!$E$1:$AY$1,0),FALSE)</f>
        <v>123.3897</v>
      </c>
      <c r="C106" s="92">
        <f>VLOOKUP(A106,Database!$E:$AY,MATCH($C$1,Database!$E$1:$AY$1,0),FALSE)</f>
        <v>102.5309</v>
      </c>
      <c r="D106" s="92">
        <f>VLOOKUP(A106,Database!$E:$AY,MATCH($D$1,Database!$E$1:$AY$1,0),FALSE)</f>
        <v>74.193820000000002</v>
      </c>
      <c r="E106" s="92">
        <f>VLOOKUP(A106,Database!$E:$AY,MATCH($E$1,Database!$E$1:$AY$1,0),FALSE)</f>
        <v>115.73009999999999</v>
      </c>
      <c r="F106" s="92">
        <f>VLOOKUP(A106,Database!$E:$AY,MATCH($F$1,Database!$E$1:$AY$1,0),FALSE)</f>
        <v>88.885189999999994</v>
      </c>
      <c r="G106" s="92">
        <f>VLOOKUP(A106,Database!$E:$AY,MATCH($G$1,Database!$E$1:$AY$1,0),FALSE)</f>
        <v>106.9389</v>
      </c>
      <c r="H106" s="92">
        <f>(((Table134567891011121314151617343[[#This Row],[ITA]]-VLOOKUP($U$1,A:B,2,))/VLOOKUP($U$1,A:B,2,))*100)+100</f>
        <v>101.48022163025054</v>
      </c>
      <c r="I106" s="92">
        <f>(((Table134567891011121314151617343[[#This Row],[FRA]]-VLOOKUP($U$1,A:C,3,))/VLOOKUP($U$1,A:C,3,))*100)+100</f>
        <v>99.795602335583979</v>
      </c>
      <c r="J106" s="92">
        <f>(((Table134567891011121314151617343[[#This Row],[DEU]]-VLOOKUP($U$1,A:D,4,))/VLOOKUP($U$1,A:D,4,))*100)+100</f>
        <v>98.670221572995516</v>
      </c>
      <c r="K106" s="92">
        <f>(((Table134567891011121314151617343[[#This Row],[ESP]]-VLOOKUP($U$1,A:E,5,))/VLOOKUP($U$1,A:E,5,))*100)+100</f>
        <v>97.461768626820188</v>
      </c>
      <c r="L106" s="92">
        <f>(((Table134567891011121314151617343[[#This Row],[EA19]]-VLOOKUP($U$1,A:F,6,))/VLOOKUP($U$1,A:F,6,))*100)+100</f>
        <v>99.440723342033522</v>
      </c>
      <c r="M106" s="92">
        <f>(((Table134567891011121314151617343[[#This Row],[GBR]]-VLOOKUP($U$1,A:G,7,))/VLOOKUP($U$1,A:G,7,))*100)+100</f>
        <v>100.09715907974065</v>
      </c>
      <c r="N106" s="92">
        <f>VLOOKUP(A106,Database!$E:$AY,MATCH($N$1,Database!$E$1:$AY$1,0),FALSE)</f>
        <v>84.958510000000004</v>
      </c>
      <c r="O106" s="92">
        <f>(((Table134567891011121314151617343[[#This Row],[USA]]-VLOOKUP($U$1,A:N,14,))/VLOOKUP($U$1,A:N,14,))*100)+100</f>
        <v>98.433220589634132</v>
      </c>
      <c r="P106" s="92">
        <f>VLOOKUP(A106,Database!$E:$AY,MATCH($P$1,Database!$E$1:$AY$1,0),FALSE)</f>
        <v>99.497330000000005</v>
      </c>
      <c r="Q106" s="92">
        <f>(((Table134567891011121314151617343[[#This Row],[JPN]]-VLOOKUP($U$1,A:Q,16,))/VLOOKUP($U$1,A:Q,16,))*100)+100</f>
        <v>99.893276981973457</v>
      </c>
    </row>
    <row r="107" spans="1:17" s="85" customFormat="1" x14ac:dyDescent="0.2">
      <c r="A107" s="22">
        <v>36069</v>
      </c>
      <c r="B107" s="92">
        <f>VLOOKUP(A107,Database!$E:$AY,MATCH($B$1,Database!$E$1:$AY$1,0),FALSE)</f>
        <v>122.5898</v>
      </c>
      <c r="C107" s="92">
        <f>VLOOKUP(A107,Database!$E:$AY,MATCH($C$1,Database!$E$1:$AY$1,0),FALSE)</f>
        <v>102.6409</v>
      </c>
      <c r="D107" s="92">
        <f>VLOOKUP(A107,Database!$E:$AY,MATCH($D$1,Database!$E$1:$AY$1,0),FALSE)</f>
        <v>74.693780000000004</v>
      </c>
      <c r="E107" s="92">
        <f>VLOOKUP(A107,Database!$E:$AY,MATCH($E$1,Database!$E$1:$AY$1,0),FALSE)</f>
        <v>117.2701</v>
      </c>
      <c r="F107" s="92">
        <f>VLOOKUP(A107,Database!$E:$AY,MATCH($F$1,Database!$E$1:$AY$1,0),FALSE)</f>
        <v>89.085149999999999</v>
      </c>
      <c r="G107" s="92">
        <f>VLOOKUP(A107,Database!$E:$AY,MATCH($G$1,Database!$E$1:$AY$1,0),FALSE)</f>
        <v>107.0427</v>
      </c>
      <c r="H107" s="92">
        <f>(((Table134567891011121314151617343[[#This Row],[ITA]]-VLOOKUP($U$1,A:B,2,))/VLOOKUP($U$1,A:B,2,))*100)+100</f>
        <v>100.82235448832509</v>
      </c>
      <c r="I107" s="92">
        <f>(((Table134567891011121314151617343[[#This Row],[FRA]]-VLOOKUP($U$1,A:C,3,))/VLOOKUP($U$1,A:C,3,))*100)+100</f>
        <v>99.902667778849519</v>
      </c>
      <c r="J107" s="92">
        <f>(((Table134567891011121314151617343[[#This Row],[DEU]]-VLOOKUP($U$1,A:D,4,))/VLOOKUP($U$1,A:D,4,))*100)+100</f>
        <v>99.335117435988352</v>
      </c>
      <c r="K107" s="92">
        <f>(((Table134567891011121314151617343[[#This Row],[ESP]]-VLOOKUP($U$1,A:E,5,))/VLOOKUP($U$1,A:E,5,))*100)+100</f>
        <v>98.758675167860972</v>
      </c>
      <c r="L107" s="92">
        <f>(((Table134567891011121314151617343[[#This Row],[EA19]]-VLOOKUP($U$1,A:F,6,))/VLOOKUP($U$1,A:F,6,))*100)+100</f>
        <v>99.664429530201346</v>
      </c>
      <c r="M107" s="92">
        <f>(((Table134567891011121314151617343[[#This Row],[GBR]]-VLOOKUP($U$1,A:G,7,))/VLOOKUP($U$1,A:G,7,))*100)+100</f>
        <v>100.1943181594813</v>
      </c>
      <c r="N107" s="92">
        <f>VLOOKUP(A107,Database!$E:$AY,MATCH($N$1,Database!$E$1:$AY$1,0),FALSE)</f>
        <v>85.646420000000006</v>
      </c>
      <c r="O107" s="92">
        <f>(((Table134567891011121314151617343[[#This Row],[USA]]-VLOOKUP($U$1,A:N,14,))/VLOOKUP($U$1,A:N,14,))*100)+100</f>
        <v>99.2302354710841</v>
      </c>
      <c r="P107" s="92">
        <f>VLOOKUP(A107,Database!$E:$AY,MATCH($P$1,Database!$E$1:$AY$1,0),FALSE)</f>
        <v>98.965829999999997</v>
      </c>
      <c r="Q107" s="92">
        <f>(((Table134567891011121314151617343[[#This Row],[JPN]]-VLOOKUP($U$1,A:Q,16,))/VLOOKUP($U$1,A:Q,16,))*100)+100</f>
        <v>99.359661891840688</v>
      </c>
    </row>
    <row r="108" spans="1:17" s="85" customFormat="1" x14ac:dyDescent="0.2">
      <c r="A108" s="22">
        <v>36100</v>
      </c>
      <c r="B108" s="92">
        <f>VLOOKUP(A108,Database!$E:$AY,MATCH($B$1,Database!$E$1:$AY$1,0),FALSE)</f>
        <v>122.18980000000001</v>
      </c>
      <c r="C108" s="92">
        <f>VLOOKUP(A108,Database!$E:$AY,MATCH($C$1,Database!$E$1:$AY$1,0),FALSE)</f>
        <v>103.23090000000001</v>
      </c>
      <c r="D108" s="92">
        <f>VLOOKUP(A108,Database!$E:$AY,MATCH($D$1,Database!$E$1:$AY$1,0),FALSE)</f>
        <v>73.693860000000001</v>
      </c>
      <c r="E108" s="92">
        <f>VLOOKUP(A108,Database!$E:$AY,MATCH($E$1,Database!$E$1:$AY$1,0),FALSE)</f>
        <v>116.1901</v>
      </c>
      <c r="F108" s="92">
        <f>VLOOKUP(A108,Database!$E:$AY,MATCH($F$1,Database!$E$1:$AY$1,0),FALSE)</f>
        <v>88.585239999999999</v>
      </c>
      <c r="G108" s="92">
        <f>VLOOKUP(A108,Database!$E:$AY,MATCH($G$1,Database!$E$1:$AY$1,0),FALSE)</f>
        <v>106.9389</v>
      </c>
      <c r="H108" s="92">
        <f>(((Table134567891011121314151617343[[#This Row],[ITA]]-VLOOKUP($U$1,A:B,2,))/VLOOKUP($U$1,A:B,2,))*100)+100</f>
        <v>100.49337979552578</v>
      </c>
      <c r="I108" s="92">
        <f>(((Table134567891011121314151617343[[#This Row],[FRA]]-VLOOKUP($U$1,A:C,3,))/VLOOKUP($U$1,A:C,3,))*100)+100</f>
        <v>100.47692788363739</v>
      </c>
      <c r="J108" s="92">
        <f>(((Table134567891011121314151617343[[#This Row],[DEU]]-VLOOKUP($U$1,A:D,4,))/VLOOKUP($U$1,A:D,4,))*100)+100</f>
        <v>98.00532571000268</v>
      </c>
      <c r="K108" s="92">
        <f>(((Table134567891011121314151617343[[#This Row],[ESP]]-VLOOKUP($U$1,A:E,5,))/VLOOKUP($U$1,A:E,5,))*100)+100</f>
        <v>97.84915629492329</v>
      </c>
      <c r="L108" s="92">
        <f>(((Table134567891011121314151617343[[#This Row],[EA19]]-VLOOKUP($U$1,A:F,6,))/VLOOKUP($U$1,A:F,6,))*100)+100</f>
        <v>99.105152872234868</v>
      </c>
      <c r="M108" s="92">
        <f>(((Table134567891011121314151617343[[#This Row],[GBR]]-VLOOKUP($U$1,A:G,7,))/VLOOKUP($U$1,A:G,7,))*100)+100</f>
        <v>100.09715907974065</v>
      </c>
      <c r="N108" s="92">
        <f>VLOOKUP(A108,Database!$E:$AY,MATCH($N$1,Database!$E$1:$AY$1,0),FALSE)</f>
        <v>85.590810000000005</v>
      </c>
      <c r="O108" s="92">
        <f>(((Table134567891011121314151617343[[#This Row],[USA]]-VLOOKUP($U$1,A:N,14,))/VLOOKUP($U$1,A:N,14,))*100)+100</f>
        <v>99.165805534671733</v>
      </c>
      <c r="P108" s="92">
        <f>VLOOKUP(A108,Database!$E:$AY,MATCH($P$1,Database!$E$1:$AY$1,0),FALSE)</f>
        <v>98.434330000000003</v>
      </c>
      <c r="Q108" s="92">
        <f>(((Table134567891011121314151617343[[#This Row],[JPN]]-VLOOKUP($U$1,A:Q,16,))/VLOOKUP($U$1,A:Q,16,))*100)+100</f>
        <v>98.826046801707932</v>
      </c>
    </row>
    <row r="109" spans="1:17" s="85" customFormat="1" x14ac:dyDescent="0.2">
      <c r="A109" s="22">
        <v>36130</v>
      </c>
      <c r="B109" s="92">
        <f>VLOOKUP(A109,Database!$E:$AY,MATCH($B$1,Database!$E$1:$AY$1,0),FALSE)</f>
        <v>119.2901</v>
      </c>
      <c r="C109" s="92">
        <f>VLOOKUP(A109,Database!$E:$AY,MATCH($C$1,Database!$E$1:$AY$1,0),FALSE)</f>
        <v>102.4609</v>
      </c>
      <c r="D109" s="92">
        <f>VLOOKUP(A109,Database!$E:$AY,MATCH($D$1,Database!$E$1:$AY$1,0),FALSE)</f>
        <v>73.993840000000006</v>
      </c>
      <c r="E109" s="92">
        <f>VLOOKUP(A109,Database!$E:$AY,MATCH($E$1,Database!$E$1:$AY$1,0),FALSE)</f>
        <v>117.15309999999999</v>
      </c>
      <c r="F109" s="92">
        <f>VLOOKUP(A109,Database!$E:$AY,MATCH($F$1,Database!$E$1:$AY$1,0),FALSE)</f>
        <v>88.085319999999996</v>
      </c>
      <c r="G109" s="92">
        <f>VLOOKUP(A109,Database!$E:$AY,MATCH($G$1,Database!$E$1:$AY$1,0),FALSE)</f>
        <v>107.14660000000001</v>
      </c>
      <c r="H109" s="92">
        <f>(((Table134567891011121314151617343[[#This Row],[ITA]]-VLOOKUP($U$1,A:B,2,))/VLOOKUP($U$1,A:B,2,))*100)+100</f>
        <v>98.108560003750313</v>
      </c>
      <c r="I109" s="92">
        <f>(((Table134567891011121314151617343[[#This Row],[FRA]]-VLOOKUP($U$1,A:C,3,))/VLOOKUP($U$1,A:C,3,))*100)+100</f>
        <v>99.727469780778634</v>
      </c>
      <c r="J109" s="92">
        <f>(((Table134567891011121314151617343[[#This Row],[DEU]]-VLOOKUP($U$1,A:D,4,))/VLOOKUP($U$1,A:D,4,))*100)+100</f>
        <v>98.404268547390856</v>
      </c>
      <c r="K109" s="92">
        <f>(((Table134567891011121314151617343[[#This Row],[ESP]]-VLOOKUP($U$1,A:E,5,))/VLOOKUP($U$1,A:E,5,))*100)+100</f>
        <v>98.660143956626044</v>
      </c>
      <c r="L109" s="92">
        <f>(((Table134567891011121314151617343[[#This Row],[EA19]]-VLOOKUP($U$1,A:F,6,))/VLOOKUP($U$1,A:F,6,))*100)+100</f>
        <v>98.545865026721458</v>
      </c>
      <c r="M109" s="92">
        <f>(((Table134567891011121314151617343[[#This Row],[GBR]]-VLOOKUP($U$1,A:G,7,))/VLOOKUP($U$1,A:G,7,))*100)+100</f>
        <v>100.29157084141823</v>
      </c>
      <c r="N109" s="92">
        <f>VLOOKUP(A109,Database!$E:$AY,MATCH($N$1,Database!$E$1:$AY$1,0),FALSE)</f>
        <v>85.908649999999994</v>
      </c>
      <c r="O109" s="92">
        <f>(((Table134567891011121314151617343[[#This Row],[USA]]-VLOOKUP($U$1,A:N,14,))/VLOOKUP($U$1,A:N,14,))*100)+100</f>
        <v>99.534056046977184</v>
      </c>
      <c r="P109" s="92">
        <f>VLOOKUP(A109,Database!$E:$AY,MATCH($P$1,Database!$E$1:$AY$1,0),FALSE)</f>
        <v>98.328029999999998</v>
      </c>
      <c r="Q109" s="92">
        <f>(((Table134567891011121314151617343[[#This Row],[JPN]]-VLOOKUP($U$1,A:Q,16,))/VLOOKUP($U$1,A:Q,16,))*100)+100</f>
        <v>98.719323783681375</v>
      </c>
    </row>
    <row r="110" spans="1:17" s="85" customFormat="1" x14ac:dyDescent="0.2">
      <c r="A110" s="22">
        <v>36161</v>
      </c>
      <c r="B110" s="92">
        <f>VLOOKUP(A110,Database!$E:$AY,MATCH($B$1,Database!$E$1:$AY$1,0),FALSE)</f>
        <v>121.5899</v>
      </c>
      <c r="C110" s="92">
        <f>VLOOKUP(A110,Database!$E:$AY,MATCH($C$1,Database!$E$1:$AY$1,0),FALSE)</f>
        <v>102.7409</v>
      </c>
      <c r="D110" s="92">
        <f>VLOOKUP(A110,Database!$E:$AY,MATCH($D$1,Database!$E$1:$AY$1,0),FALSE)</f>
        <v>75.193730000000002</v>
      </c>
      <c r="E110" s="92">
        <f>VLOOKUP(A110,Database!$E:$AY,MATCH($E$1,Database!$E$1:$AY$1,0),FALSE)</f>
        <v>118.7441</v>
      </c>
      <c r="F110" s="92">
        <f>VLOOKUP(A110,Database!$E:$AY,MATCH($F$1,Database!$E$1:$AY$1,0),FALSE)</f>
        <v>89.385099999999994</v>
      </c>
      <c r="G110" s="92">
        <f>VLOOKUP(A110,Database!$E:$AY,MATCH($G$1,Database!$E$1:$AY$1,0),FALSE)</f>
        <v>106.8351</v>
      </c>
      <c r="H110" s="92">
        <f>(((Table134567891011121314151617343[[#This Row],[ITA]]-VLOOKUP($U$1,A:B,2,))/VLOOKUP($U$1,A:B,2,))*100)+100</f>
        <v>100</v>
      </c>
      <c r="I110" s="92">
        <f>(((Table134567891011121314151617343[[#This Row],[FRA]]-VLOOKUP($U$1,A:C,3,))/VLOOKUP($U$1,A:C,3,))*100)+100</f>
        <v>100</v>
      </c>
      <c r="J110" s="92">
        <f>(((Table134567891011121314151617343[[#This Row],[DEU]]-VLOOKUP($U$1,A:D,4,))/VLOOKUP($U$1,A:D,4,))*100)+100</f>
        <v>100</v>
      </c>
      <c r="K110" s="92">
        <f>(((Table134567891011121314151617343[[#This Row],[ESP]]-VLOOKUP($U$1,A:E,5,))/VLOOKUP($U$1,A:E,5,))*100)+100</f>
        <v>100</v>
      </c>
      <c r="L110" s="92">
        <f>(((Table134567891011121314151617343[[#This Row],[EA19]]-VLOOKUP($U$1,A:F,6,))/VLOOKUP($U$1,A:F,6,))*100)+100</f>
        <v>100</v>
      </c>
      <c r="M110" s="92">
        <f>(((Table134567891011121314151617343[[#This Row],[GBR]]-VLOOKUP($U$1,A:G,7,))/VLOOKUP($U$1,A:G,7,))*100)+100</f>
        <v>100</v>
      </c>
      <c r="N110" s="92">
        <f>VLOOKUP(A110,Database!$E:$AY,MATCH($N$1,Database!$E$1:$AY$1,0),FALSE)</f>
        <v>86.310810000000004</v>
      </c>
      <c r="O110" s="92">
        <f>(((Table134567891011121314151617343[[#This Row],[USA]]-VLOOKUP($U$1,A:N,14,))/VLOOKUP($U$1,A:N,14,))*100)+100</f>
        <v>100</v>
      </c>
      <c r="P110" s="92">
        <f>VLOOKUP(A110,Database!$E:$AY,MATCH($P$1,Database!$E$1:$AY$1,0),FALSE)</f>
        <v>99.603629999999995</v>
      </c>
      <c r="Q110" s="92">
        <f>(((Table134567891011121314151617343[[#This Row],[JPN]]-VLOOKUP($U$1,A:Q,16,))/VLOOKUP($U$1,A:Q,16,))*100)+100</f>
        <v>100</v>
      </c>
    </row>
    <row r="111" spans="1:17" s="85" customFormat="1" x14ac:dyDescent="0.2">
      <c r="A111" s="22">
        <v>36192</v>
      </c>
      <c r="B111" s="92">
        <f>VLOOKUP(A111,Database!$E:$AY,MATCH($B$1,Database!$E$1:$AY$1,0),FALSE)</f>
        <v>120.98990000000001</v>
      </c>
      <c r="C111" s="92">
        <f>VLOOKUP(A111,Database!$E:$AY,MATCH($C$1,Database!$E$1:$AY$1,0),FALSE)</f>
        <v>102.43089999999999</v>
      </c>
      <c r="D111" s="92">
        <f>VLOOKUP(A111,Database!$E:$AY,MATCH($D$1,Database!$E$1:$AY$1,0),FALSE)</f>
        <v>73.793850000000006</v>
      </c>
      <c r="E111" s="92">
        <f>VLOOKUP(A111,Database!$E:$AY,MATCH($E$1,Database!$E$1:$AY$1,0),FALSE)</f>
        <v>116.3051</v>
      </c>
      <c r="F111" s="92">
        <f>VLOOKUP(A111,Database!$E:$AY,MATCH($F$1,Database!$E$1:$AY$1,0),FALSE)</f>
        <v>88.385270000000006</v>
      </c>
      <c r="G111" s="92">
        <f>VLOOKUP(A111,Database!$E:$AY,MATCH($G$1,Database!$E$1:$AY$1,0),FALSE)</f>
        <v>106.62739999999999</v>
      </c>
      <c r="H111" s="43">
        <f>(((Table134567891011121314151617343[[#This Row],[ITA]]-VLOOKUP($U$1,A:B,2,))/VLOOKUP($U$1,A:B,2,))*100)+100</f>
        <v>99.506537960801026</v>
      </c>
      <c r="I111" s="92">
        <f>(((Table134567891011121314151617343[[#This Row],[FRA]]-VLOOKUP($U$1,A:C,3,))/VLOOKUP($U$1,A:C,3,))*100)+100</f>
        <v>99.698270114433484</v>
      </c>
      <c r="J111" s="92">
        <f>(((Table134567891011121314151617343[[#This Row],[DEU]]-VLOOKUP($U$1,A:D,4,))/VLOOKUP($U$1,A:D,4,))*100)+100</f>
        <v>98.138302222805024</v>
      </c>
      <c r="K111" s="92">
        <f>(((Table134567891011121314151617343[[#This Row],[ESP]]-VLOOKUP($U$1,A:E,5,))/VLOOKUP($U$1,A:E,5,))*100)+100</f>
        <v>97.946003211949048</v>
      </c>
      <c r="L111" s="92">
        <f>(((Table134567891011121314151617343[[#This Row],[EA19]]-VLOOKUP($U$1,A:F,6,))/VLOOKUP($U$1,A:F,6,))*100)+100</f>
        <v>98.881435496520126</v>
      </c>
      <c r="M111" s="92">
        <f>(((Table134567891011121314151617343[[#This Row],[GBR]]-VLOOKUP($U$1,A:G,7,))/VLOOKUP($U$1,A:G,7,))*100)+100</f>
        <v>99.805588238322414</v>
      </c>
      <c r="N111" s="92">
        <f>VLOOKUP(A111,Database!$E:$AY,MATCH($N$1,Database!$E$1:$AY$1,0),FALSE)</f>
        <v>86.771090000000001</v>
      </c>
      <c r="O111" s="92">
        <f>(((Table134567891011121314151617343[[#This Row],[USA]]-VLOOKUP($U$1,A:N,14,))/VLOOKUP($U$1,A:N,14,))*100)+100</f>
        <v>100.53328198402957</v>
      </c>
      <c r="P111" s="92">
        <f>VLOOKUP(A111,Database!$E:$AY,MATCH($P$1,Database!$E$1:$AY$1,0),FALSE)</f>
        <v>99.603629999999995</v>
      </c>
      <c r="Q111" s="92">
        <f>(((Table134567891011121314151617343[[#This Row],[JPN]]-VLOOKUP($U$1,A:Q,16,))/VLOOKUP($U$1,A:Q,16,))*100)+100</f>
        <v>100</v>
      </c>
    </row>
    <row r="112" spans="1:17" s="85" customFormat="1" x14ac:dyDescent="0.2">
      <c r="A112" s="22">
        <v>36220</v>
      </c>
      <c r="B112" s="92">
        <f>VLOOKUP(A112,Database!$E:$AY,MATCH($B$1,Database!$E$1:$AY$1,0),FALSE)</f>
        <v>121.3899</v>
      </c>
      <c r="C112" s="92">
        <f>VLOOKUP(A112,Database!$E:$AY,MATCH($C$1,Database!$E$1:$AY$1,0),FALSE)</f>
        <v>102.3708</v>
      </c>
      <c r="D112" s="92">
        <f>VLOOKUP(A112,Database!$E:$AY,MATCH($D$1,Database!$E$1:$AY$1,0),FALSE)</f>
        <v>74.293809999999993</v>
      </c>
      <c r="E112" s="92">
        <f>VLOOKUP(A112,Database!$E:$AY,MATCH($E$1,Database!$E$1:$AY$1,0),FALSE)</f>
        <v>114.9071</v>
      </c>
      <c r="F112" s="92">
        <f>VLOOKUP(A112,Database!$E:$AY,MATCH($F$1,Database!$E$1:$AY$1,0),FALSE)</f>
        <v>88.485249999999994</v>
      </c>
      <c r="G112" s="92">
        <f>VLOOKUP(A112,Database!$E:$AY,MATCH($G$1,Database!$E$1:$AY$1,0),FALSE)</f>
        <v>107.56189999999999</v>
      </c>
      <c r="H112" s="92">
        <f>(((Table134567891011121314151617343[[#This Row],[ITA]]-VLOOKUP($U$1,A:B,2,))/VLOOKUP($U$1,A:B,2,))*100)+100</f>
        <v>99.835512653600333</v>
      </c>
      <c r="I112" s="92">
        <f>(((Table134567891011121314151617343[[#This Row],[FRA]]-VLOOKUP($U$1,A:C,3,))/VLOOKUP($U$1,A:C,3,))*100)+100</f>
        <v>99.639773449522053</v>
      </c>
      <c r="J112" s="92">
        <f>(((Table134567891011121314151617343[[#This Row],[DEU]]-VLOOKUP($U$1,A:D,4,))/VLOOKUP($U$1,A:D,4,))*100)+100</f>
        <v>98.803198085797831</v>
      </c>
      <c r="K112" s="92">
        <f>(((Table134567891011121314151617343[[#This Row],[ESP]]-VLOOKUP($U$1,A:E,5,))/VLOOKUP($U$1,A:E,5,))*100)+100</f>
        <v>96.768681559757496</v>
      </c>
      <c r="L112" s="92">
        <f>(((Table134567891011121314151617343[[#This Row],[EA19]]-VLOOKUP($U$1,A:F,6,))/VLOOKUP($U$1,A:F,6,))*100)+100</f>
        <v>98.993288590604024</v>
      </c>
      <c r="M112" s="92">
        <f>(((Table134567891011121314151617343[[#This Row],[GBR]]-VLOOKUP($U$1,A:G,7,))/VLOOKUP($U$1,A:G,7,))*100)+100</f>
        <v>100.68030076257709</v>
      </c>
      <c r="N112" s="92">
        <f>VLOOKUP(A112,Database!$E:$AY,MATCH($N$1,Database!$E$1:$AY$1,0),FALSE)</f>
        <v>86.908730000000006</v>
      </c>
      <c r="O112" s="92">
        <f>(((Table134567891011121314151617343[[#This Row],[USA]]-VLOOKUP($U$1,A:N,14,))/VLOOKUP($U$1,A:N,14,))*100)+100</f>
        <v>100.69275215931818</v>
      </c>
      <c r="P112" s="92">
        <f>VLOOKUP(A112,Database!$E:$AY,MATCH($P$1,Database!$E$1:$AY$1,0),FALSE)</f>
        <v>100.8792</v>
      </c>
      <c r="Q112" s="92">
        <f>(((Table134567891011121314151617343[[#This Row],[JPN]]-VLOOKUP($U$1,A:Q,16,))/VLOOKUP($U$1,A:Q,16,))*100)+100</f>
        <v>101.28064609693442</v>
      </c>
    </row>
    <row r="113" spans="1:17" s="85" customFormat="1" x14ac:dyDescent="0.2">
      <c r="A113" s="22">
        <v>36251</v>
      </c>
      <c r="B113" s="92">
        <f>VLOOKUP(A113,Database!$E:$AY,MATCH($B$1,Database!$E$1:$AY$1,0),FALSE)</f>
        <v>120.49</v>
      </c>
      <c r="C113" s="92">
        <f>VLOOKUP(A113,Database!$E:$AY,MATCH($C$1,Database!$E$1:$AY$1,0),FALSE)</f>
        <v>103.1909</v>
      </c>
      <c r="D113" s="92">
        <f>VLOOKUP(A113,Database!$E:$AY,MATCH($D$1,Database!$E$1:$AY$1,0),FALSE)</f>
        <v>74.793769999999995</v>
      </c>
      <c r="E113" s="92">
        <f>VLOOKUP(A113,Database!$E:$AY,MATCH($E$1,Database!$E$1:$AY$1,0),FALSE)</f>
        <v>117.6691</v>
      </c>
      <c r="F113" s="92">
        <f>VLOOKUP(A113,Database!$E:$AY,MATCH($F$1,Database!$E$1:$AY$1,0),FALSE)</f>
        <v>89.085149999999999</v>
      </c>
      <c r="G113" s="92">
        <f>VLOOKUP(A113,Database!$E:$AY,MATCH($G$1,Database!$E$1:$AY$1,0),FALSE)</f>
        <v>106.62739999999999</v>
      </c>
      <c r="H113" s="92">
        <f>(((Table134567891011121314151617343[[#This Row],[ITA]]-VLOOKUP($U$1,A:B,2,))/VLOOKUP($U$1,A:B,2,))*100)+100</f>
        <v>99.09540183847507</v>
      </c>
      <c r="I113" s="92">
        <f>(((Table134567891011121314151617343[[#This Row],[FRA]]-VLOOKUP($U$1,A:C,3,))/VLOOKUP($U$1,A:C,3,))*100)+100</f>
        <v>100.43799499517719</v>
      </c>
      <c r="J113" s="92">
        <f>(((Table134567891011121314151617343[[#This Row],[DEU]]-VLOOKUP($U$1,A:D,4,))/VLOOKUP($U$1,A:D,4,))*100)+100</f>
        <v>99.468093948790667</v>
      </c>
      <c r="K113" s="92">
        <f>(((Table134567891011121314151617343[[#This Row],[ESP]]-VLOOKUP($U$1,A:E,5,))/VLOOKUP($U$1,A:E,5,))*100)+100</f>
        <v>99.094691862585165</v>
      </c>
      <c r="L113" s="92">
        <f>(((Table134567891011121314151617343[[#This Row],[EA19]]-VLOOKUP($U$1,A:F,6,))/VLOOKUP($U$1,A:F,6,))*100)+100</f>
        <v>99.664429530201346</v>
      </c>
      <c r="M113" s="92">
        <f>(((Table134567891011121314151617343[[#This Row],[GBR]]-VLOOKUP($U$1,A:G,7,))/VLOOKUP($U$1,A:G,7,))*100)+100</f>
        <v>99.805588238322414</v>
      </c>
      <c r="N113" s="92">
        <f>VLOOKUP(A113,Database!$E:$AY,MATCH($N$1,Database!$E$1:$AY$1,0),FALSE)</f>
        <v>87.144530000000003</v>
      </c>
      <c r="O113" s="92">
        <f>(((Table134567891011121314151617343[[#This Row],[USA]]-VLOOKUP($U$1,A:N,14,))/VLOOKUP($U$1,A:N,14,))*100)+100</f>
        <v>100.96595084671317</v>
      </c>
      <c r="P113" s="92">
        <f>VLOOKUP(A113,Database!$E:$AY,MATCH($P$1,Database!$E$1:$AY$1,0),FALSE)</f>
        <v>99.178430000000006</v>
      </c>
      <c r="Q113" s="92">
        <f>(((Table134567891011121314151617343[[#This Row],[JPN]]-VLOOKUP($U$1,A:Q,16,))/VLOOKUP($U$1,A:Q,16,))*100)+100</f>
        <v>99.573107927893801</v>
      </c>
    </row>
    <row r="114" spans="1:17" s="85" customFormat="1" x14ac:dyDescent="0.2">
      <c r="A114" s="22">
        <v>36281</v>
      </c>
      <c r="B114" s="92">
        <f>VLOOKUP(A114,Database!$E:$AY,MATCH($B$1,Database!$E$1:$AY$1,0),FALSE)</f>
        <v>119.59</v>
      </c>
      <c r="C114" s="92">
        <f>VLOOKUP(A114,Database!$E:$AY,MATCH($C$1,Database!$E$1:$AY$1,0),FALSE)</f>
        <v>103.6009</v>
      </c>
      <c r="D114" s="92">
        <f>VLOOKUP(A114,Database!$E:$AY,MATCH($D$1,Database!$E$1:$AY$1,0),FALSE)</f>
        <v>75.293719999999993</v>
      </c>
      <c r="E114" s="92">
        <f>VLOOKUP(A114,Database!$E:$AY,MATCH($E$1,Database!$E$1:$AY$1,0),FALSE)</f>
        <v>116.8721</v>
      </c>
      <c r="F114" s="92">
        <f>VLOOKUP(A114,Database!$E:$AY,MATCH($F$1,Database!$E$1:$AY$1,0),FALSE)</f>
        <v>89.185130000000001</v>
      </c>
      <c r="G114" s="92">
        <f>VLOOKUP(A114,Database!$E:$AY,MATCH($G$1,Database!$E$1:$AY$1,0),FALSE)</f>
        <v>107.458</v>
      </c>
      <c r="H114" s="92">
        <f>(((Table134567891011121314151617343[[#This Row],[ITA]]-VLOOKUP($U$1,A:B,2,))/VLOOKUP($U$1,A:B,2,))*100)+100</f>
        <v>98.355208779676602</v>
      </c>
      <c r="I114" s="92">
        <f>(((Table134567891011121314151617343[[#This Row],[FRA]]-VLOOKUP($U$1,A:C,3,))/VLOOKUP($U$1,A:C,3,))*100)+100</f>
        <v>100.83705710189419</v>
      </c>
      <c r="J114" s="92">
        <f>(((Table134567891011121314151617343[[#This Row],[DEU]]-VLOOKUP($U$1,A:D,4,))/VLOOKUP($U$1,A:D,4,))*100)+100</f>
        <v>100.13297651280232</v>
      </c>
      <c r="K114" s="92">
        <f>(((Table134567891011121314151617343[[#This Row],[ESP]]-VLOOKUP($U$1,A:E,5,))/VLOOKUP($U$1,A:E,5,))*100)+100</f>
        <v>98.423500620241342</v>
      </c>
      <c r="L114" s="92">
        <f>(((Table134567891011121314151617343[[#This Row],[EA19]]-VLOOKUP($U$1,A:F,6,))/VLOOKUP($U$1,A:F,6,))*100)+100</f>
        <v>99.776282624285258</v>
      </c>
      <c r="M114" s="92">
        <f>(((Table134567891011121314151617343[[#This Row],[GBR]]-VLOOKUP($U$1,A:G,7,))/VLOOKUP($U$1,A:G,7,))*100)+100</f>
        <v>100.58304808064017</v>
      </c>
      <c r="N114" s="92">
        <f>VLOOKUP(A114,Database!$E:$AY,MATCH($N$1,Database!$E$1:$AY$1,0),FALSE)</f>
        <v>87.744470000000007</v>
      </c>
      <c r="O114" s="92">
        <f>(((Table134567891011121314151617343[[#This Row],[USA]]-VLOOKUP($U$1,A:N,14,))/VLOOKUP($U$1,A:N,14,))*100)+100</f>
        <v>101.66104338494796</v>
      </c>
      <c r="P114" s="92">
        <f>VLOOKUP(A114,Database!$E:$AY,MATCH($P$1,Database!$E$1:$AY$1,0),FALSE)</f>
        <v>100.77290000000001</v>
      </c>
      <c r="Q114" s="92">
        <f>(((Table134567891011121314151617343[[#This Row],[JPN]]-VLOOKUP($U$1,A:Q,16,))/VLOOKUP($U$1,A:Q,16,))*100)+100</f>
        <v>101.17392307890788</v>
      </c>
    </row>
    <row r="115" spans="1:17" s="85" customFormat="1" x14ac:dyDescent="0.2">
      <c r="A115" s="22">
        <v>36312</v>
      </c>
      <c r="B115" s="92">
        <f>VLOOKUP(A115,Database!$E:$AY,MATCH($B$1,Database!$E$1:$AY$1,0),FALSE)</f>
        <v>121.48990000000001</v>
      </c>
      <c r="C115" s="92">
        <f>VLOOKUP(A115,Database!$E:$AY,MATCH($C$1,Database!$E$1:$AY$1,0),FALSE)</f>
        <v>105.0309</v>
      </c>
      <c r="D115" s="92">
        <f>VLOOKUP(A115,Database!$E:$AY,MATCH($D$1,Database!$E$1:$AY$1,0),FALSE)</f>
        <v>75.293719999999993</v>
      </c>
      <c r="E115" s="92">
        <f>VLOOKUP(A115,Database!$E:$AY,MATCH($E$1,Database!$E$1:$AY$1,0),FALSE)</f>
        <v>118.0641</v>
      </c>
      <c r="F115" s="92">
        <f>VLOOKUP(A115,Database!$E:$AY,MATCH($F$1,Database!$E$1:$AY$1,0),FALSE)</f>
        <v>89.885019999999997</v>
      </c>
      <c r="G115" s="92">
        <f>VLOOKUP(A115,Database!$E:$AY,MATCH($G$1,Database!$E$1:$AY$1,0),FALSE)</f>
        <v>108.1848</v>
      </c>
      <c r="H115" s="92">
        <f>(((Table134567891011121314151617343[[#This Row],[ITA]]-VLOOKUP($U$1,A:B,2,))/VLOOKUP($U$1,A:B,2,))*100)+100</f>
        <v>99.917756326800173</v>
      </c>
      <c r="I115" s="92">
        <f>(((Table134567891011121314151617343[[#This Row],[FRA]]-VLOOKUP($U$1,A:C,3,))/VLOOKUP($U$1,A:C,3,))*100)+100</f>
        <v>102.22890786434614</v>
      </c>
      <c r="J115" s="92">
        <f>(((Table134567891011121314151617343[[#This Row],[DEU]]-VLOOKUP($U$1,A:D,4,))/VLOOKUP($U$1,A:D,4,))*100)+100</f>
        <v>100.13297651280232</v>
      </c>
      <c r="K115" s="92">
        <f>(((Table134567891011121314151617343[[#This Row],[ESP]]-VLOOKUP($U$1,A:E,5,))/VLOOKUP($U$1,A:E,5,))*100)+100</f>
        <v>99.427339968891076</v>
      </c>
      <c r="L115" s="92">
        <f>(((Table134567891011121314151617343[[#This Row],[EA19]]-VLOOKUP($U$1,A:F,6,))/VLOOKUP($U$1,A:F,6,))*100)+100</f>
        <v>100.55928784551341</v>
      </c>
      <c r="M115" s="92">
        <f>(((Table134567891011121314151617343[[#This Row],[GBR]]-VLOOKUP($U$1,A:G,7,))/VLOOKUP($U$1,A:G,7,))*100)+100</f>
        <v>101.26334884321726</v>
      </c>
      <c r="N115" s="92">
        <f>VLOOKUP(A115,Database!$E:$AY,MATCH($N$1,Database!$E$1:$AY$1,0),FALSE)</f>
        <v>87.597890000000007</v>
      </c>
      <c r="O115" s="92">
        <f>(((Table134567891011121314151617343[[#This Row],[USA]]-VLOOKUP($U$1,A:N,14,))/VLOOKUP($U$1,A:N,14,))*100)+100</f>
        <v>101.49121529504821</v>
      </c>
      <c r="P115" s="92">
        <f>VLOOKUP(A115,Database!$E:$AY,MATCH($P$1,Database!$E$1:$AY$1,0),FALSE)</f>
        <v>100.0288</v>
      </c>
      <c r="Q115" s="92">
        <f>(((Table134567891011121314151617343[[#This Row],[JPN]]-VLOOKUP($U$1,A:Q,16,))/VLOOKUP($U$1,A:Q,16,))*100)+100</f>
        <v>100.42686195272201</v>
      </c>
    </row>
    <row r="116" spans="1:17" s="85" customFormat="1" x14ac:dyDescent="0.2">
      <c r="A116" s="22">
        <v>36342</v>
      </c>
      <c r="B116" s="92">
        <f>VLOOKUP(A116,Database!$E:$AY,MATCH($B$1,Database!$E$1:$AY$1,0),FALSE)</f>
        <v>122.38979999999999</v>
      </c>
      <c r="C116" s="92">
        <f>VLOOKUP(A116,Database!$E:$AY,MATCH($C$1,Database!$E$1:$AY$1,0),FALSE)</f>
        <v>105.2809</v>
      </c>
      <c r="D116" s="92">
        <f>VLOOKUP(A116,Database!$E:$AY,MATCH($D$1,Database!$E$1:$AY$1,0),FALSE)</f>
        <v>75.893680000000003</v>
      </c>
      <c r="E116" s="92">
        <f>VLOOKUP(A116,Database!$E:$AY,MATCH($E$1,Database!$E$1:$AY$1,0),FALSE)</f>
        <v>120.11109999999999</v>
      </c>
      <c r="F116" s="92">
        <f>VLOOKUP(A116,Database!$E:$AY,MATCH($F$1,Database!$E$1:$AY$1,0),FALSE)</f>
        <v>90.584900000000005</v>
      </c>
      <c r="G116" s="92">
        <f>VLOOKUP(A116,Database!$E:$AY,MATCH($G$1,Database!$E$1:$AY$1,0),FALSE)</f>
        <v>108.6001</v>
      </c>
      <c r="H116" s="92">
        <f>(((Table134567891011121314151617343[[#This Row],[ITA]]-VLOOKUP($U$1,A:B,2,))/VLOOKUP($U$1,A:B,2,))*100)+100</f>
        <v>100.65786714192544</v>
      </c>
      <c r="I116" s="92">
        <f>(((Table134567891011121314151617343[[#This Row],[FRA]]-VLOOKUP($U$1,A:C,3,))/VLOOKUP($U$1,A:C,3,))*100)+100</f>
        <v>102.47223841722236</v>
      </c>
      <c r="J116" s="92">
        <f>(((Table134567891011121314151617343[[#This Row],[DEU]]-VLOOKUP($U$1,A:D,4,))/VLOOKUP($U$1,A:D,4,))*100)+100</f>
        <v>100.93086218757867</v>
      </c>
      <c r="K116" s="92">
        <f>(((Table134567891011121314151617343[[#This Row],[ESP]]-VLOOKUP($U$1,A:E,5,))/VLOOKUP($U$1,A:E,5,))*100)+100</f>
        <v>101.15121509194982</v>
      </c>
      <c r="L116" s="92">
        <f>(((Table134567891011121314151617343[[#This Row],[EA19]]-VLOOKUP($U$1,A:F,6,))/VLOOKUP($U$1,A:F,6,))*100)+100</f>
        <v>101.34228187919464</v>
      </c>
      <c r="M116" s="92">
        <f>(((Table134567891011121314151617343[[#This Row],[GBR]]-VLOOKUP($U$1,A:G,7,))/VLOOKUP($U$1,A:G,7,))*100)+100</f>
        <v>101.65207876437613</v>
      </c>
      <c r="N116" s="92">
        <f>VLOOKUP(A116,Database!$E:$AY,MATCH($N$1,Database!$E$1:$AY$1,0),FALSE)</f>
        <v>88.152299999999997</v>
      </c>
      <c r="O116" s="92">
        <f>(((Table134567891011121314151617343[[#This Row],[USA]]-VLOOKUP($U$1,A:N,14,))/VLOOKUP($U$1,A:N,14,))*100)+100</f>
        <v>102.13355661938522</v>
      </c>
      <c r="P116" s="92">
        <f>VLOOKUP(A116,Database!$E:$AY,MATCH($P$1,Database!$E$1:$AY$1,0),FALSE)</f>
        <v>100.5603</v>
      </c>
      <c r="Q116" s="92">
        <f>(((Table134567891011121314151617343[[#This Row],[JPN]]-VLOOKUP($U$1,A:Q,16,))/VLOOKUP($U$1,A:Q,16,))*100)+100</f>
        <v>100.96047704285476</v>
      </c>
    </row>
    <row r="117" spans="1:17" s="85" customFormat="1" x14ac:dyDescent="0.2">
      <c r="A117" s="22">
        <v>36373</v>
      </c>
      <c r="B117" s="92">
        <f>VLOOKUP(A117,Database!$E:$AY,MATCH($B$1,Database!$E$1:$AY$1,0),FALSE)</f>
        <v>123.1897</v>
      </c>
      <c r="C117" s="92">
        <f>VLOOKUP(A117,Database!$E:$AY,MATCH($C$1,Database!$E$1:$AY$1,0),FALSE)</f>
        <v>103.3409</v>
      </c>
      <c r="D117" s="92">
        <f>VLOOKUP(A117,Database!$E:$AY,MATCH($D$1,Database!$E$1:$AY$1,0),FALSE)</f>
        <v>76.593620000000001</v>
      </c>
      <c r="E117" s="92">
        <f>VLOOKUP(A117,Database!$E:$AY,MATCH($E$1,Database!$E$1:$AY$1,0),FALSE)</f>
        <v>118.3411</v>
      </c>
      <c r="F117" s="92">
        <f>VLOOKUP(A117,Database!$E:$AY,MATCH($F$1,Database!$E$1:$AY$1,0),FALSE)</f>
        <v>90.484920000000002</v>
      </c>
      <c r="G117" s="92">
        <f>VLOOKUP(A117,Database!$E:$AY,MATCH($G$1,Database!$E$1:$AY$1,0),FALSE)</f>
        <v>110.1575</v>
      </c>
      <c r="H117" s="92">
        <f>(((Table134567891011121314151617343[[#This Row],[ITA]]-VLOOKUP($U$1,A:B,2,))/VLOOKUP($U$1,A:B,2,))*100)+100</f>
        <v>101.31573428385089</v>
      </c>
      <c r="I117" s="92">
        <f>(((Table134567891011121314151617343[[#This Row],[FRA]]-VLOOKUP($U$1,A:C,3,))/VLOOKUP($U$1,A:C,3,))*100)+100</f>
        <v>100.58399332690293</v>
      </c>
      <c r="J117" s="92">
        <f>(((Table134567891011121314151617343[[#This Row],[DEU]]-VLOOKUP($U$1,A:D,4,))/VLOOKUP($U$1,A:D,4,))*100)+100</f>
        <v>101.86171107617616</v>
      </c>
      <c r="K117" s="92">
        <f>(((Table134567891011121314151617343[[#This Row],[ESP]]-VLOOKUP($U$1,A:E,5,))/VLOOKUP($U$1,A:E,5,))*100)+100</f>
        <v>99.660614716857509</v>
      </c>
      <c r="L117" s="92">
        <f>(((Table134567891011121314151617343[[#This Row],[EA19]]-VLOOKUP($U$1,A:F,6,))/VLOOKUP($U$1,A:F,6,))*100)+100</f>
        <v>101.23042878511073</v>
      </c>
      <c r="M117" s="92">
        <f>(((Table134567891011121314151617343[[#This Row],[GBR]]-VLOOKUP($U$1,A:G,7,))/VLOOKUP($U$1,A:G,7,))*100)+100</f>
        <v>103.10983936927096</v>
      </c>
      <c r="N117" s="92">
        <f>VLOOKUP(A117,Database!$E:$AY,MATCH($N$1,Database!$E$1:$AY$1,0),FALSE)</f>
        <v>88.523349999999994</v>
      </c>
      <c r="O117" s="92">
        <f>(((Table134567891011121314151617343[[#This Row],[USA]]-VLOOKUP($U$1,A:N,14,))/VLOOKUP($U$1,A:N,14,))*100)+100</f>
        <v>102.56345641988528</v>
      </c>
      <c r="P117" s="92">
        <f>VLOOKUP(A117,Database!$E:$AY,MATCH($P$1,Database!$E$1:$AY$1,0),FALSE)</f>
        <v>101.517</v>
      </c>
      <c r="Q117" s="92">
        <f>(((Table134567891011121314151617343[[#This Row],[JPN]]-VLOOKUP($U$1,A:Q,16,))/VLOOKUP($U$1,A:Q,16,))*100)+100</f>
        <v>101.92098420509373</v>
      </c>
    </row>
    <row r="118" spans="1:17" s="85" customFormat="1" x14ac:dyDescent="0.2">
      <c r="A118" s="22">
        <v>36404</v>
      </c>
      <c r="B118" s="92">
        <f>VLOOKUP(A118,Database!$E:$AY,MATCH($B$1,Database!$E$1:$AY$1,0),FALSE)</f>
        <v>123.6897</v>
      </c>
      <c r="C118" s="92">
        <f>VLOOKUP(A118,Database!$E:$AY,MATCH($C$1,Database!$E$1:$AY$1,0),FALSE)</f>
        <v>106.1409</v>
      </c>
      <c r="D118" s="92">
        <f>VLOOKUP(A118,Database!$E:$AY,MATCH($D$1,Database!$E$1:$AY$1,0),FALSE)</f>
        <v>76.293639999999996</v>
      </c>
      <c r="E118" s="92">
        <f>VLOOKUP(A118,Database!$E:$AY,MATCH($E$1,Database!$E$1:$AY$1,0),FALSE)</f>
        <v>119.9371</v>
      </c>
      <c r="F118" s="92">
        <f>VLOOKUP(A118,Database!$E:$AY,MATCH($F$1,Database!$E$1:$AY$1,0),FALSE)</f>
        <v>91.284779999999998</v>
      </c>
      <c r="G118" s="92">
        <f>VLOOKUP(A118,Database!$E:$AY,MATCH($G$1,Database!$E$1:$AY$1,0),FALSE)</f>
        <v>110.4689</v>
      </c>
      <c r="H118" s="92">
        <f>(((Table134567891011121314151617343[[#This Row],[ITA]]-VLOOKUP($U$1,A:B,2,))/VLOOKUP($U$1,A:B,2,))*100)+100</f>
        <v>101.72695264985003</v>
      </c>
      <c r="I118" s="92">
        <f>(((Table134567891011121314151617343[[#This Row],[FRA]]-VLOOKUP($U$1,A:C,3,))/VLOOKUP($U$1,A:C,3,))*100)+100</f>
        <v>103.30929551911655</v>
      </c>
      <c r="J118" s="92">
        <f>(((Table134567891011121314151617343[[#This Row],[DEU]]-VLOOKUP($U$1,A:D,4,))/VLOOKUP($U$1,A:D,4,))*100)+100</f>
        <v>101.46276823878799</v>
      </c>
      <c r="K118" s="92">
        <f>(((Table134567891011121314151617343[[#This Row],[ESP]]-VLOOKUP($U$1,A:E,5,))/VLOOKUP($U$1,A:E,5,))*100)+100</f>
        <v>101.00468149575431</v>
      </c>
      <c r="L118" s="92">
        <f>(((Table134567891011121314151617343[[#This Row],[EA19]]-VLOOKUP($U$1,A:F,6,))/VLOOKUP($U$1,A:F,6,))*100)+100</f>
        <v>102.12527591287586</v>
      </c>
      <c r="M118" s="92">
        <f>(((Table134567891011121314151617343[[#This Row],[GBR]]-VLOOKUP($U$1,A:G,7,))/VLOOKUP($U$1,A:G,7,))*100)+100</f>
        <v>103.40131660849291</v>
      </c>
      <c r="N118" s="92">
        <f>VLOOKUP(A118,Database!$E:$AY,MATCH($N$1,Database!$E$1:$AY$1,0),FALSE)</f>
        <v>88.149799999999999</v>
      </c>
      <c r="O118" s="92">
        <f>(((Table134567891011121314151617343[[#This Row],[USA]]-VLOOKUP($U$1,A:N,14,))/VLOOKUP($U$1,A:N,14,))*100)+100</f>
        <v>102.13066011082505</v>
      </c>
      <c r="P118" s="92">
        <f>VLOOKUP(A118,Database!$E:$AY,MATCH($P$1,Database!$E$1:$AY$1,0),FALSE)</f>
        <v>102.2611</v>
      </c>
      <c r="Q118" s="92">
        <f>(((Table134567891011121314151617343[[#This Row],[JPN]]-VLOOKUP($U$1,A:Q,16,))/VLOOKUP($U$1,A:Q,16,))*100)+100</f>
        <v>102.6680453312796</v>
      </c>
    </row>
    <row r="119" spans="1:17" s="85" customFormat="1" x14ac:dyDescent="0.2">
      <c r="A119" s="22">
        <v>36434</v>
      </c>
      <c r="B119" s="92">
        <f>VLOOKUP(A119,Database!$E:$AY,MATCH($B$1,Database!$E$1:$AY$1,0),FALSE)</f>
        <v>124.8896</v>
      </c>
      <c r="C119" s="92">
        <f>VLOOKUP(A119,Database!$E:$AY,MATCH($C$1,Database!$E$1:$AY$1,0),FALSE)</f>
        <v>107.4709</v>
      </c>
      <c r="D119" s="92">
        <f>VLOOKUP(A119,Database!$E:$AY,MATCH($D$1,Database!$E$1:$AY$1,0),FALSE)</f>
        <v>77.09357</v>
      </c>
      <c r="E119" s="92">
        <f>VLOOKUP(A119,Database!$E:$AY,MATCH($E$1,Database!$E$1:$AY$1,0),FALSE)</f>
        <v>120.56310000000001</v>
      </c>
      <c r="F119" s="92">
        <f>VLOOKUP(A119,Database!$E:$AY,MATCH($F$1,Database!$E$1:$AY$1,0),FALSE)</f>
        <v>92.284620000000004</v>
      </c>
      <c r="G119" s="92">
        <f>VLOOKUP(A119,Database!$E:$AY,MATCH($G$1,Database!$E$1:$AY$1,0),FALSE)</f>
        <v>110.26130000000001</v>
      </c>
      <c r="H119" s="92">
        <f>(((Table134567891011121314151617343[[#This Row],[ITA]]-VLOOKUP($U$1,A:B,2,))/VLOOKUP($U$1,A:B,2,))*100)+100</f>
        <v>102.71379448457479</v>
      </c>
      <c r="I119" s="92">
        <f>(((Table134567891011121314151617343[[#This Row],[FRA]]-VLOOKUP($U$1,A:C,3,))/VLOOKUP($U$1,A:C,3,))*100)+100</f>
        <v>104.603814060418</v>
      </c>
      <c r="J119" s="92">
        <f>(((Table134567891011121314151617343[[#This Row],[DEU]]-VLOOKUP($U$1,A:D,4,))/VLOOKUP($U$1,A:D,4,))*100)+100</f>
        <v>102.52659364018781</v>
      </c>
      <c r="K119" s="92">
        <f>(((Table134567891011121314151617343[[#This Row],[ESP]]-VLOOKUP($U$1,A:E,5,))/VLOOKUP($U$1,A:E,5,))*100)+100</f>
        <v>101.53186558321634</v>
      </c>
      <c r="L119" s="92">
        <f>(((Table134567891011121314151617343[[#This Row],[EA19]]-VLOOKUP($U$1,A:F,6,))/VLOOKUP($U$1,A:F,6,))*100)+100</f>
        <v>103.24385160390267</v>
      </c>
      <c r="M119" s="92">
        <f>(((Table134567891011121314151617343[[#This Row],[GBR]]-VLOOKUP($U$1,A:G,7,))/VLOOKUP($U$1,A:G,7,))*100)+100</f>
        <v>103.20699844901162</v>
      </c>
      <c r="N119" s="92">
        <f>VLOOKUP(A119,Database!$E:$AY,MATCH($N$1,Database!$E$1:$AY$1,0),FALSE)</f>
        <v>89.325370000000007</v>
      </c>
      <c r="O119" s="92">
        <f>(((Table134567891011121314151617343[[#This Row],[USA]]-VLOOKUP($U$1,A:N,14,))/VLOOKUP($U$1,A:N,14,))*100)+100</f>
        <v>103.49267953805555</v>
      </c>
      <c r="P119" s="92">
        <f>VLOOKUP(A119,Database!$E:$AY,MATCH($P$1,Database!$E$1:$AY$1,0),FALSE)</f>
        <v>102.15479999999999</v>
      </c>
      <c r="Q119" s="92">
        <f>(((Table134567891011121314151617343[[#This Row],[JPN]]-VLOOKUP($U$1,A:Q,16,))/VLOOKUP($U$1,A:Q,16,))*100)+100</f>
        <v>102.56132231325304</v>
      </c>
    </row>
    <row r="120" spans="1:17" s="85" customFormat="1" x14ac:dyDescent="0.2">
      <c r="A120" s="22">
        <v>36465</v>
      </c>
      <c r="B120" s="92">
        <f>VLOOKUP(A120,Database!$E:$AY,MATCH($B$1,Database!$E$1:$AY$1,0),FALSE)</f>
        <v>125.6895</v>
      </c>
      <c r="C120" s="92">
        <f>VLOOKUP(A120,Database!$E:$AY,MATCH($C$1,Database!$E$1:$AY$1,0),FALSE)</f>
        <v>107.5509</v>
      </c>
      <c r="D120" s="92">
        <f>VLOOKUP(A120,Database!$E:$AY,MATCH($D$1,Database!$E$1:$AY$1,0),FALSE)</f>
        <v>76.993579999999994</v>
      </c>
      <c r="E120" s="92">
        <f>VLOOKUP(A120,Database!$E:$AY,MATCH($E$1,Database!$E$1:$AY$1,0),FALSE)</f>
        <v>121.0851</v>
      </c>
      <c r="F120" s="92">
        <f>VLOOKUP(A120,Database!$E:$AY,MATCH($F$1,Database!$E$1:$AY$1,0),FALSE)</f>
        <v>92.684560000000005</v>
      </c>
      <c r="G120" s="92">
        <f>VLOOKUP(A120,Database!$E:$AY,MATCH($G$1,Database!$E$1:$AY$1,0),FALSE)</f>
        <v>110.88420000000001</v>
      </c>
      <c r="H120" s="92">
        <f>(((Table134567891011121314151617343[[#This Row],[ITA]]-VLOOKUP($U$1,A:B,2,))/VLOOKUP($U$1,A:B,2,))*100)+100</f>
        <v>103.37166162650023</v>
      </c>
      <c r="I120" s="92">
        <f>(((Table134567891011121314151617343[[#This Row],[FRA]]-VLOOKUP($U$1,A:C,3,))/VLOOKUP($U$1,A:C,3,))*100)+100</f>
        <v>104.68167983733839</v>
      </c>
      <c r="J120" s="92">
        <f>(((Table134567891011121314151617343[[#This Row],[DEU]]-VLOOKUP($U$1,A:D,4,))/VLOOKUP($U$1,A:D,4,))*100)+100</f>
        <v>102.39361712738548</v>
      </c>
      <c r="K120" s="92">
        <f>(((Table134567891011121314151617343[[#This Row],[ESP]]-VLOOKUP($U$1,A:E,5,))/VLOOKUP($U$1,A:E,5,))*100)+100</f>
        <v>101.97146637180289</v>
      </c>
      <c r="L120" s="92">
        <f>(((Table134567891011121314151617343[[#This Row],[EA19]]-VLOOKUP($U$1,A:F,6,))/VLOOKUP($U$1,A:F,6,))*100)+100</f>
        <v>103.69128635533217</v>
      </c>
      <c r="M120" s="92">
        <f>(((Table134567891011121314151617343[[#This Row],[GBR]]-VLOOKUP($U$1,A:G,7,))/VLOOKUP($U$1,A:G,7,))*100)+100</f>
        <v>103.79004652965178</v>
      </c>
      <c r="N120" s="92">
        <f>VLOOKUP(A120,Database!$E:$AY,MATCH($N$1,Database!$E$1:$AY$1,0),FALSE)</f>
        <v>89.747219999999999</v>
      </c>
      <c r="O120" s="92">
        <f>(((Table134567891011121314151617343[[#This Row],[USA]]-VLOOKUP($U$1,A:N,14,))/VLOOKUP($U$1,A:N,14,))*100)+100</f>
        <v>103.98143639249822</v>
      </c>
      <c r="P120" s="92">
        <f>VLOOKUP(A120,Database!$E:$AY,MATCH($P$1,Database!$E$1:$AY$1,0),FALSE)</f>
        <v>103.2178</v>
      </c>
      <c r="Q120" s="92">
        <f>(((Table134567891011121314151617343[[#This Row],[JPN]]-VLOOKUP($U$1,A:Q,16,))/VLOOKUP($U$1,A:Q,16,))*100)+100</f>
        <v>103.62855249351855</v>
      </c>
    </row>
    <row r="121" spans="1:17" s="85" customFormat="1" x14ac:dyDescent="0.2">
      <c r="A121" s="22">
        <v>36495</v>
      </c>
      <c r="B121" s="92">
        <f>VLOOKUP(A121,Database!$E:$AY,MATCH($B$1,Database!$E$1:$AY$1,0),FALSE)</f>
        <v>124.28959999999999</v>
      </c>
      <c r="C121" s="92">
        <f>VLOOKUP(A121,Database!$E:$AY,MATCH($C$1,Database!$E$1:$AY$1,0),FALSE)</f>
        <v>106.6109</v>
      </c>
      <c r="D121" s="92">
        <f>VLOOKUP(A121,Database!$E:$AY,MATCH($D$1,Database!$E$1:$AY$1,0),FALSE)</f>
        <v>77.09357</v>
      </c>
      <c r="E121" s="92">
        <f>VLOOKUP(A121,Database!$E:$AY,MATCH($E$1,Database!$E$1:$AY$1,0),FALSE)</f>
        <v>122.0681</v>
      </c>
      <c r="F121" s="92">
        <f>VLOOKUP(A121,Database!$E:$AY,MATCH($F$1,Database!$E$1:$AY$1,0),FALSE)</f>
        <v>92.284620000000004</v>
      </c>
      <c r="G121" s="92">
        <f>VLOOKUP(A121,Database!$E:$AY,MATCH($G$1,Database!$E$1:$AY$1,0),FALSE)</f>
        <v>109.9498</v>
      </c>
      <c r="H121" s="92">
        <f>(((Table134567891011121314151617343[[#This Row],[ITA]]-VLOOKUP($U$1,A:B,2,))/VLOOKUP($U$1,A:B,2,))*100)+100</f>
        <v>102.2203324453758</v>
      </c>
      <c r="I121" s="92">
        <f>(((Table134567891011121314151617343[[#This Row],[FRA]]-VLOOKUP($U$1,A:C,3,))/VLOOKUP($U$1,A:C,3,))*100)+100</f>
        <v>103.76675695852383</v>
      </c>
      <c r="J121" s="92">
        <f>(((Table134567891011121314151617343[[#This Row],[DEU]]-VLOOKUP($U$1,A:D,4,))/VLOOKUP($U$1,A:D,4,))*100)+100</f>
        <v>102.52659364018781</v>
      </c>
      <c r="K121" s="92">
        <f>(((Table134567891011121314151617343[[#This Row],[ESP]]-VLOOKUP($U$1,A:E,5,))/VLOOKUP($U$1,A:E,5,))*100)+100</f>
        <v>102.7992969755971</v>
      </c>
      <c r="L121" s="92">
        <f>(((Table134567891011121314151617343[[#This Row],[EA19]]-VLOOKUP($U$1,A:F,6,))/VLOOKUP($U$1,A:F,6,))*100)+100</f>
        <v>103.24385160390267</v>
      </c>
      <c r="M121" s="92">
        <f>(((Table134567891011121314151617343[[#This Row],[GBR]]-VLOOKUP($U$1,A:G,7,))/VLOOKUP($U$1,A:G,7,))*100)+100</f>
        <v>102.91542760759339</v>
      </c>
      <c r="N121" s="92">
        <f>VLOOKUP(A121,Database!$E:$AY,MATCH($N$1,Database!$E$1:$AY$1,0),FALSE)</f>
        <v>90.440899999999999</v>
      </c>
      <c r="O121" s="92">
        <f>(((Table134567891011121314151617343[[#This Row],[USA]]-VLOOKUP($U$1,A:N,14,))/VLOOKUP($U$1,A:N,14,))*100)+100</f>
        <v>104.78513641570505</v>
      </c>
      <c r="P121" s="92">
        <f>VLOOKUP(A121,Database!$E:$AY,MATCH($P$1,Database!$E$1:$AY$1,0),FALSE)</f>
        <v>103.11150000000001</v>
      </c>
      <c r="Q121" s="92">
        <f>(((Table134567891011121314151617343[[#This Row],[JPN]]-VLOOKUP($U$1,A:Q,16,))/VLOOKUP($U$1,A:Q,16,))*100)+100</f>
        <v>103.52182947549201</v>
      </c>
    </row>
    <row r="122" spans="1:17" s="85" customFormat="1" x14ac:dyDescent="0.2">
      <c r="A122" s="22">
        <v>36526</v>
      </c>
      <c r="B122" s="92">
        <f>VLOOKUP(A122,Database!$E:$AY,MATCH($B$1,Database!$E$1:$AY$1,0),FALSE)</f>
        <v>124.5896</v>
      </c>
      <c r="C122" s="92">
        <f>VLOOKUP(A122,Database!$E:$AY,MATCH($C$1,Database!$E$1:$AY$1,0),FALSE)</f>
        <v>107.40089999999999</v>
      </c>
      <c r="D122" s="92">
        <f>VLOOKUP(A122,Database!$E:$AY,MATCH($D$1,Database!$E$1:$AY$1,0),FALSE)</f>
        <v>76.493620000000007</v>
      </c>
      <c r="E122" s="92">
        <f>VLOOKUP(A122,Database!$E:$AY,MATCH($E$1,Database!$E$1:$AY$1,0),FALSE)</f>
        <v>122.3621</v>
      </c>
      <c r="F122" s="92">
        <f>VLOOKUP(A122,Database!$E:$AY,MATCH($F$1,Database!$E$1:$AY$1,0),FALSE)</f>
        <v>92.08466</v>
      </c>
      <c r="G122" s="92">
        <f>VLOOKUP(A122,Database!$E:$AY,MATCH($G$1,Database!$E$1:$AY$1,0),FALSE)</f>
        <v>109.846</v>
      </c>
      <c r="H122" s="92">
        <f>(((Table134567891011121314151617343[[#This Row],[ITA]]-VLOOKUP($U$1,A:B,2,))/VLOOKUP($U$1,A:B,2,))*100)+100</f>
        <v>102.4670634649753</v>
      </c>
      <c r="I122" s="92">
        <f>(((Table134567891011121314151617343[[#This Row],[FRA]]-VLOOKUP($U$1,A:C,3,))/VLOOKUP($U$1,A:C,3,))*100)+100</f>
        <v>104.53568150561266</v>
      </c>
      <c r="J122" s="92">
        <f>(((Table134567891011121314151617343[[#This Row],[DEU]]-VLOOKUP($U$1,A:D,4,))/VLOOKUP($U$1,A:D,4,))*100)+100</f>
        <v>101.72872126439266</v>
      </c>
      <c r="K122" s="92">
        <f>(((Table134567891011121314151617343[[#This Row],[ESP]]-VLOOKUP($U$1,A:E,5,))/VLOOKUP($U$1,A:E,5,))*100)+100</f>
        <v>103.04688822434125</v>
      </c>
      <c r="L122" s="92">
        <f>(((Table134567891011121314151617343[[#This Row],[EA19]]-VLOOKUP($U$1,A:F,6,))/VLOOKUP($U$1,A:F,6,))*100)+100</f>
        <v>103.02014541573485</v>
      </c>
      <c r="M122" s="92">
        <f>(((Table134567891011121314151617343[[#This Row],[GBR]]-VLOOKUP($U$1,A:G,7,))/VLOOKUP($U$1,A:G,7,))*100)+100</f>
        <v>102.81826852785274</v>
      </c>
      <c r="N122" s="92">
        <f>VLOOKUP(A122,Database!$E:$AY,MATCH($N$1,Database!$E$1:$AY$1,0),FALSE)</f>
        <v>90.456760000000003</v>
      </c>
      <c r="O122" s="92">
        <f>(((Table134567891011121314151617343[[#This Row],[USA]]-VLOOKUP($U$1,A:N,14,))/VLOOKUP($U$1,A:N,14,))*100)+100</f>
        <v>104.80351186601075</v>
      </c>
      <c r="P122" s="92">
        <f>VLOOKUP(A122,Database!$E:$AY,MATCH($P$1,Database!$E$1:$AY$1,0),FALSE)</f>
        <v>103.0052</v>
      </c>
      <c r="Q122" s="92">
        <f>(((Table134567891011121314151617343[[#This Row],[JPN]]-VLOOKUP($U$1,A:Q,16,))/VLOOKUP($U$1,A:Q,16,))*100)+100</f>
        <v>103.41510645746547</v>
      </c>
    </row>
    <row r="123" spans="1:17" s="85" customFormat="1" x14ac:dyDescent="0.2">
      <c r="A123" s="22">
        <v>36557</v>
      </c>
      <c r="B123" s="92">
        <f>VLOOKUP(A123,Database!$E:$AY,MATCH($B$1,Database!$E$1:$AY$1,0),FALSE)</f>
        <v>125.1896</v>
      </c>
      <c r="C123" s="92">
        <f>VLOOKUP(A123,Database!$E:$AY,MATCH($C$1,Database!$E$1:$AY$1,0),FALSE)</f>
        <v>107.73090000000001</v>
      </c>
      <c r="D123" s="92">
        <f>VLOOKUP(A123,Database!$E:$AY,MATCH($D$1,Database!$E$1:$AY$1,0),FALSE)</f>
        <v>78.393469999999994</v>
      </c>
      <c r="E123" s="92">
        <f>VLOOKUP(A123,Database!$E:$AY,MATCH($E$1,Database!$E$1:$AY$1,0),FALSE)</f>
        <v>122.7141</v>
      </c>
      <c r="F123" s="92">
        <f>VLOOKUP(A123,Database!$E:$AY,MATCH($F$1,Database!$E$1:$AY$1,0),FALSE)</f>
        <v>93.184470000000005</v>
      </c>
      <c r="G123" s="92">
        <f>VLOOKUP(A123,Database!$E:$AY,MATCH($G$1,Database!$E$1:$AY$1,0),FALSE)</f>
        <v>110.5728</v>
      </c>
      <c r="H123" s="92">
        <f>(((Table134567891011121314151617343[[#This Row],[ITA]]-VLOOKUP($U$1,A:B,2,))/VLOOKUP($U$1,A:B,2,))*100)+100</f>
        <v>102.96052550417427</v>
      </c>
      <c r="I123" s="92">
        <f>(((Table134567891011121314151617343[[#This Row],[FRA]]-VLOOKUP($U$1,A:C,3,))/VLOOKUP($U$1,A:C,3,))*100)+100</f>
        <v>104.85687783540928</v>
      </c>
      <c r="J123" s="92">
        <f>(((Table134567891011121314151617343[[#This Row],[DEU]]-VLOOKUP($U$1,A:D,4,))/VLOOKUP($U$1,A:D,4,))*100)+100</f>
        <v>104.25532820356165</v>
      </c>
      <c r="K123" s="92">
        <f>(((Table134567891011121314151617343[[#This Row],[ESP]]-VLOOKUP($U$1,A:E,5,))/VLOOKUP($U$1,A:E,5,))*100)+100</f>
        <v>103.34332400515058</v>
      </c>
      <c r="L123" s="92">
        <f>(((Table134567891011121314151617343[[#This Row],[EA19]]-VLOOKUP($U$1,A:F,6,))/VLOOKUP($U$1,A:F,6,))*100)+100</f>
        <v>104.25056301329865</v>
      </c>
      <c r="M123" s="92">
        <f>(((Table134567891011121314151617343[[#This Row],[GBR]]-VLOOKUP($U$1,A:G,7,))/VLOOKUP($U$1,A:G,7,))*100)+100</f>
        <v>103.49856929042983</v>
      </c>
      <c r="N123" s="92">
        <f>VLOOKUP(A123,Database!$E:$AY,MATCH($N$1,Database!$E$1:$AY$1,0),FALSE)</f>
        <v>90.7256</v>
      </c>
      <c r="O123" s="92">
        <f>(((Table134567891011121314151617343[[#This Row],[USA]]-VLOOKUP($U$1,A:N,14,))/VLOOKUP($U$1,A:N,14,))*100)+100</f>
        <v>105.11499081053694</v>
      </c>
      <c r="P123" s="92">
        <f>VLOOKUP(A123,Database!$E:$AY,MATCH($P$1,Database!$E$1:$AY$1,0),FALSE)</f>
        <v>102.8989</v>
      </c>
      <c r="Q123" s="92">
        <f>(((Table134567891011121314151617343[[#This Row],[JPN]]-VLOOKUP($U$1,A:Q,16,))/VLOOKUP($U$1,A:Q,16,))*100)+100</f>
        <v>103.30838343943891</v>
      </c>
    </row>
    <row r="124" spans="1:17" s="85" customFormat="1" x14ac:dyDescent="0.2">
      <c r="A124" s="22">
        <v>36586</v>
      </c>
      <c r="B124" s="92">
        <f>VLOOKUP(A124,Database!$E:$AY,MATCH($B$1,Database!$E$1:$AY$1,0),FALSE)</f>
        <v>126.2895</v>
      </c>
      <c r="C124" s="92">
        <f>VLOOKUP(A124,Database!$E:$AY,MATCH($C$1,Database!$E$1:$AY$1,0),FALSE)</f>
        <v>108.4509</v>
      </c>
      <c r="D124" s="92">
        <f>VLOOKUP(A124,Database!$E:$AY,MATCH($D$1,Database!$E$1:$AY$1,0),FALSE)</f>
        <v>78.493459999999999</v>
      </c>
      <c r="E124" s="92">
        <f>VLOOKUP(A124,Database!$E:$AY,MATCH($E$1,Database!$E$1:$AY$1,0),FALSE)</f>
        <v>124.1921</v>
      </c>
      <c r="F124" s="92">
        <f>VLOOKUP(A124,Database!$E:$AY,MATCH($F$1,Database!$E$1:$AY$1,0),FALSE)</f>
        <v>93.584400000000002</v>
      </c>
      <c r="G124" s="92">
        <f>VLOOKUP(A124,Database!$E:$AY,MATCH($G$1,Database!$E$1:$AY$1,0),FALSE)</f>
        <v>110.4689</v>
      </c>
      <c r="H124" s="92">
        <f>(((Table134567891011121314151617343[[#This Row],[ITA]]-VLOOKUP($U$1,A:B,2,))/VLOOKUP($U$1,A:B,2,))*100)+100</f>
        <v>103.86512366569922</v>
      </c>
      <c r="I124" s="92">
        <f>(((Table134567891011121314151617343[[#This Row],[FRA]]-VLOOKUP($U$1,A:C,3,))/VLOOKUP($U$1,A:C,3,))*100)+100</f>
        <v>105.55766982769278</v>
      </c>
      <c r="J124" s="92">
        <f>(((Table134567891011121314151617343[[#This Row],[DEU]]-VLOOKUP($U$1,A:D,4,))/VLOOKUP($U$1,A:D,4,))*100)+100</f>
        <v>104.38830471636398</v>
      </c>
      <c r="K124" s="92">
        <f>(((Table134567891011121314151617343[[#This Row],[ESP]]-VLOOKUP($U$1,A:E,5,))/VLOOKUP($U$1,A:E,5,))*100)+100</f>
        <v>104.58801742570787</v>
      </c>
      <c r="L124" s="92">
        <f>(((Table134567891011121314151617343[[#This Row],[EA19]]-VLOOKUP($U$1,A:F,6,))/VLOOKUP($U$1,A:F,6,))*100)+100</f>
        <v>104.69798657718121</v>
      </c>
      <c r="M124" s="92">
        <f>(((Table134567891011121314151617343[[#This Row],[GBR]]-VLOOKUP($U$1,A:G,7,))/VLOOKUP($U$1,A:G,7,))*100)+100</f>
        <v>103.40131660849291</v>
      </c>
      <c r="N124" s="92">
        <f>VLOOKUP(A124,Database!$E:$AY,MATCH($N$1,Database!$E$1:$AY$1,0),FALSE)</f>
        <v>91.054379999999995</v>
      </c>
      <c r="O124" s="92">
        <f>(((Table134567891011121314151617343[[#This Row],[USA]]-VLOOKUP($U$1,A:N,14,))/VLOOKUP($U$1,A:N,14,))*100)+100</f>
        <v>105.4959164443017</v>
      </c>
      <c r="P124" s="92">
        <f>VLOOKUP(A124,Database!$E:$AY,MATCH($P$1,Database!$E$1:$AY$1,0),FALSE)</f>
        <v>104.38720000000001</v>
      </c>
      <c r="Q124" s="92">
        <f>(((Table134567891011121314151617343[[#This Row],[JPN]]-VLOOKUP($U$1,A:Q,16,))/VLOOKUP($U$1,A:Q,16,))*100)+100</f>
        <v>104.80260608975799</v>
      </c>
    </row>
    <row r="125" spans="1:17" s="85" customFormat="1" x14ac:dyDescent="0.2">
      <c r="A125" s="22">
        <v>36617</v>
      </c>
      <c r="B125" s="92">
        <f>VLOOKUP(A125,Database!$E:$AY,MATCH($B$1,Database!$E$1:$AY$1,0),FALSE)</f>
        <v>127.2894</v>
      </c>
      <c r="C125" s="92">
        <f>VLOOKUP(A125,Database!$E:$AY,MATCH($C$1,Database!$E$1:$AY$1,0),FALSE)</f>
        <v>109.0609</v>
      </c>
      <c r="D125" s="92">
        <f>VLOOKUP(A125,Database!$E:$AY,MATCH($D$1,Database!$E$1:$AY$1,0),FALSE)</f>
        <v>79.493380000000002</v>
      </c>
      <c r="E125" s="92">
        <f>VLOOKUP(A125,Database!$E:$AY,MATCH($E$1,Database!$E$1:$AY$1,0),FALSE)</f>
        <v>123.60209999999999</v>
      </c>
      <c r="F125" s="92">
        <f>VLOOKUP(A125,Database!$E:$AY,MATCH($F$1,Database!$E$1:$AY$1,0),FALSE)</f>
        <v>94.684219999999996</v>
      </c>
      <c r="G125" s="92">
        <f>VLOOKUP(A125,Database!$E:$AY,MATCH($G$1,Database!$E$1:$AY$1,0),FALSE)</f>
        <v>110.1575</v>
      </c>
      <c r="H125" s="92">
        <f>(((Table134567891011121314151617343[[#This Row],[ITA]]-VLOOKUP($U$1,A:B,2,))/VLOOKUP($U$1,A:B,2,))*100)+100</f>
        <v>104.6874781540243</v>
      </c>
      <c r="I125" s="92">
        <f>(((Table134567891011121314151617343[[#This Row],[FRA]]-VLOOKUP($U$1,A:C,3,))/VLOOKUP($U$1,A:C,3,))*100)+100</f>
        <v>106.15139637671075</v>
      </c>
      <c r="J125" s="92">
        <f>(((Table134567891011121314151617343[[#This Row],[DEU]]-VLOOKUP($U$1,A:D,4,))/VLOOKUP($U$1,A:D,4,))*100)+100</f>
        <v>105.71809644234965</v>
      </c>
      <c r="K125" s="92">
        <f>(((Table134567891011121314151617343[[#This Row],[ESP]]-VLOOKUP($U$1,A:E,5,))/VLOOKUP($U$1,A:E,5,))*100)+100</f>
        <v>104.09115063401043</v>
      </c>
      <c r="L125" s="92">
        <f>(((Table134567891011121314151617343[[#This Row],[EA19]]-VLOOKUP($U$1,A:F,6,))/VLOOKUP($U$1,A:F,6,))*100)+100</f>
        <v>105.92841536229193</v>
      </c>
      <c r="M125" s="92">
        <f>(((Table134567891011121314151617343[[#This Row],[GBR]]-VLOOKUP($U$1,A:G,7,))/VLOOKUP($U$1,A:G,7,))*100)+100</f>
        <v>103.10983936927096</v>
      </c>
      <c r="N125" s="92">
        <f>VLOOKUP(A125,Database!$E:$AY,MATCH($N$1,Database!$E$1:$AY$1,0),FALSE)</f>
        <v>91.710220000000007</v>
      </c>
      <c r="O125" s="92">
        <f>(((Table134567891011121314151617343[[#This Row],[USA]]-VLOOKUP($U$1,A:N,14,))/VLOOKUP($U$1,A:N,14,))*100)+100</f>
        <v>106.25577491394183</v>
      </c>
      <c r="P125" s="92">
        <f>VLOOKUP(A125,Database!$E:$AY,MATCH($P$1,Database!$E$1:$AY$1,0),FALSE)</f>
        <v>105.9817</v>
      </c>
      <c r="Q125" s="92">
        <f>(((Table134567891011121314151617343[[#This Row],[JPN]]-VLOOKUP($U$1,A:Q,16,))/VLOOKUP($U$1,A:Q,16,))*100)+100</f>
        <v>106.40345136015625</v>
      </c>
    </row>
    <row r="126" spans="1:17" s="85" customFormat="1" x14ac:dyDescent="0.2">
      <c r="A126" s="22">
        <v>36647</v>
      </c>
      <c r="B126" s="92">
        <f>VLOOKUP(A126,Database!$E:$AY,MATCH($B$1,Database!$E$1:$AY$1,0),FALSE)</f>
        <v>127.9893</v>
      </c>
      <c r="C126" s="92">
        <f>VLOOKUP(A126,Database!$E:$AY,MATCH($C$1,Database!$E$1:$AY$1,0),FALSE)</f>
        <v>110.4209</v>
      </c>
      <c r="D126" s="92">
        <f>VLOOKUP(A126,Database!$E:$AY,MATCH($D$1,Database!$E$1:$AY$1,0),FALSE)</f>
        <v>81.393219999999999</v>
      </c>
      <c r="E126" s="92">
        <f>VLOOKUP(A126,Database!$E:$AY,MATCH($E$1,Database!$E$1:$AY$1,0),FALSE)</f>
        <v>124.8291</v>
      </c>
      <c r="F126" s="92">
        <f>VLOOKUP(A126,Database!$E:$AY,MATCH($F$1,Database!$E$1:$AY$1,0),FALSE)</f>
        <v>95.983999999999995</v>
      </c>
      <c r="G126" s="92">
        <f>VLOOKUP(A126,Database!$E:$AY,MATCH($G$1,Database!$E$1:$AY$1,0),FALSE)</f>
        <v>110.3651</v>
      </c>
      <c r="H126" s="92">
        <f>(((Table134567891011121314151617343[[#This Row],[ITA]]-VLOOKUP($U$1,A:B,2,))/VLOOKUP($U$1,A:B,2,))*100)+100</f>
        <v>105.26310162274991</v>
      </c>
      <c r="I126" s="92">
        <f>(((Table134567891011121314151617343[[#This Row],[FRA]]-VLOOKUP($U$1,A:C,3,))/VLOOKUP($U$1,A:C,3,))*100)+100</f>
        <v>107.47511458435736</v>
      </c>
      <c r="J126" s="92">
        <f>(((Table134567891011121314151617343[[#This Row],[DEU]]-VLOOKUP($U$1,A:D,4,))/VLOOKUP($U$1,A:D,4,))*100)+100</f>
        <v>108.24469008253746</v>
      </c>
      <c r="K126" s="92">
        <f>(((Table134567891011121314151617343[[#This Row],[ESP]]-VLOOKUP($U$1,A:E,5,))/VLOOKUP($U$1,A:E,5,))*100)+100</f>
        <v>105.12446513132021</v>
      </c>
      <c r="L126" s="92">
        <f>(((Table134567891011121314151617343[[#This Row],[EA19]]-VLOOKUP($U$1,A:F,6,))/VLOOKUP($U$1,A:F,6,))*100)+100</f>
        <v>107.38255033557047</v>
      </c>
      <c r="M126" s="92">
        <f>(((Table134567891011121314151617343[[#This Row],[GBR]]-VLOOKUP($U$1,A:G,7,))/VLOOKUP($U$1,A:G,7,))*100)+100</f>
        <v>103.30415752875226</v>
      </c>
      <c r="N126" s="92">
        <f>VLOOKUP(A126,Database!$E:$AY,MATCH($N$1,Database!$E$1:$AY$1,0),FALSE)</f>
        <v>91.866489999999999</v>
      </c>
      <c r="O126" s="92">
        <f>(((Table134567891011121314151617343[[#This Row],[USA]]-VLOOKUP($U$1,A:N,14,))/VLOOKUP($U$1,A:N,14,))*100)+100</f>
        <v>106.43682987102079</v>
      </c>
      <c r="P126" s="92">
        <f>VLOOKUP(A126,Database!$E:$AY,MATCH($P$1,Database!$E$1:$AY$1,0),FALSE)</f>
        <v>105.3439</v>
      </c>
      <c r="Q126" s="92">
        <f>(((Table134567891011121314151617343[[#This Row],[JPN]]-VLOOKUP($U$1,A:Q,16,))/VLOOKUP($U$1,A:Q,16,))*100)+100</f>
        <v>105.76311325199696</v>
      </c>
    </row>
    <row r="127" spans="1:17" s="85" customFormat="1" x14ac:dyDescent="0.2">
      <c r="A127" s="22">
        <v>36678</v>
      </c>
      <c r="B127" s="92">
        <f>VLOOKUP(A127,Database!$E:$AY,MATCH($B$1,Database!$E$1:$AY$1,0),FALSE)</f>
        <v>127.7894</v>
      </c>
      <c r="C127" s="92">
        <f>VLOOKUP(A127,Database!$E:$AY,MATCH($C$1,Database!$E$1:$AY$1,0),FALSE)</f>
        <v>108.98090000000001</v>
      </c>
      <c r="D127" s="92">
        <f>VLOOKUP(A127,Database!$E:$AY,MATCH($D$1,Database!$E$1:$AY$1,0),FALSE)</f>
        <v>79.593369999999993</v>
      </c>
      <c r="E127" s="92">
        <f>VLOOKUP(A127,Database!$E:$AY,MATCH($E$1,Database!$E$1:$AY$1,0),FALSE)</f>
        <v>123.6011</v>
      </c>
      <c r="F127" s="92">
        <f>VLOOKUP(A127,Database!$E:$AY,MATCH($F$1,Database!$E$1:$AY$1,0),FALSE)</f>
        <v>94.584239999999994</v>
      </c>
      <c r="G127" s="92">
        <f>VLOOKUP(A127,Database!$E:$AY,MATCH($G$1,Database!$E$1:$AY$1,0),FALSE)</f>
        <v>110.9881</v>
      </c>
      <c r="H127" s="92">
        <f>(((Table134567891011121314151617343[[#This Row],[ITA]]-VLOOKUP($U$1,A:B,2,))/VLOOKUP($U$1,A:B,2,))*100)+100</f>
        <v>105.09869652002345</v>
      </c>
      <c r="I127" s="92">
        <f>(((Table134567891011121314151617343[[#This Row],[FRA]]-VLOOKUP($U$1,A:C,3,))/VLOOKUP($U$1,A:C,3,))*100)+100</f>
        <v>106.07353059979036</v>
      </c>
      <c r="J127" s="92">
        <f>(((Table134567891011121314151617343[[#This Row],[DEU]]-VLOOKUP($U$1,A:D,4,))/VLOOKUP($U$1,A:D,4,))*100)+100</f>
        <v>105.85107295515196</v>
      </c>
      <c r="K127" s="92">
        <f>(((Table134567891011121314151617343[[#This Row],[ESP]]-VLOOKUP($U$1,A:E,5,))/VLOOKUP($U$1,A:E,5,))*100)+100</f>
        <v>104.09030848690587</v>
      </c>
      <c r="L127" s="92">
        <f>(((Table134567891011121314151617343[[#This Row],[EA19]]-VLOOKUP($U$1,A:F,6,))/VLOOKUP($U$1,A:F,6,))*100)+100</f>
        <v>105.81656226820802</v>
      </c>
      <c r="M127" s="92">
        <f>(((Table134567891011121314151617343[[#This Row],[GBR]]-VLOOKUP($U$1,A:G,7,))/VLOOKUP($U$1,A:G,7,))*100)+100</f>
        <v>103.88729921158871</v>
      </c>
      <c r="N127" s="92">
        <f>VLOOKUP(A127,Database!$E:$AY,MATCH($N$1,Database!$E$1:$AY$1,0),FALSE)</f>
        <v>91.954669999999993</v>
      </c>
      <c r="O127" s="92">
        <f>(((Table134567891011121314151617343[[#This Row],[USA]]-VLOOKUP($U$1,A:N,14,))/VLOOKUP($U$1,A:N,14,))*100)+100</f>
        <v>106.53899552095501</v>
      </c>
      <c r="P127" s="92">
        <f>VLOOKUP(A127,Database!$E:$AY,MATCH($P$1,Database!$E$1:$AY$1,0),FALSE)</f>
        <v>106.72580000000001</v>
      </c>
      <c r="Q127" s="92">
        <f>(((Table134567891011121314151617343[[#This Row],[JPN]]-VLOOKUP($U$1,A:Q,16,))/VLOOKUP($U$1,A:Q,16,))*100)+100</f>
        <v>107.15051248634212</v>
      </c>
    </row>
    <row r="128" spans="1:17" s="85" customFormat="1" x14ac:dyDescent="0.2">
      <c r="A128" s="22">
        <v>36708</v>
      </c>
      <c r="B128" s="92">
        <f>VLOOKUP(A128,Database!$E:$AY,MATCH($B$1,Database!$E$1:$AY$1,0),FALSE)</f>
        <v>126.7894</v>
      </c>
      <c r="C128" s="92">
        <f>VLOOKUP(A128,Database!$E:$AY,MATCH($C$1,Database!$E$1:$AY$1,0),FALSE)</f>
        <v>110.2709</v>
      </c>
      <c r="D128" s="92">
        <f>VLOOKUP(A128,Database!$E:$AY,MATCH($D$1,Database!$E$1:$AY$1,0),FALSE)</f>
        <v>80.893259999999998</v>
      </c>
      <c r="E128" s="92">
        <f>VLOOKUP(A128,Database!$E:$AY,MATCH($E$1,Database!$E$1:$AY$1,0),FALSE)</f>
        <v>124.4821</v>
      </c>
      <c r="F128" s="92">
        <f>VLOOKUP(A128,Database!$E:$AY,MATCH($F$1,Database!$E$1:$AY$1,0),FALSE)</f>
        <v>95.784030000000001</v>
      </c>
      <c r="G128" s="92">
        <f>VLOOKUP(A128,Database!$E:$AY,MATCH($G$1,Database!$E$1:$AY$1,0),FALSE)</f>
        <v>109.846</v>
      </c>
      <c r="H128" s="92">
        <f>(((Table134567891011121314151617343[[#This Row],[ITA]]-VLOOKUP($U$1,A:B,2,))/VLOOKUP($U$1,A:B,2,))*100)+100</f>
        <v>104.27625978802516</v>
      </c>
      <c r="I128" s="92">
        <f>(((Table134567891011121314151617343[[#This Row],[FRA]]-VLOOKUP($U$1,A:C,3,))/VLOOKUP($U$1,A:C,3,))*100)+100</f>
        <v>107.32911625263162</v>
      </c>
      <c r="J128" s="92">
        <f>(((Table134567891011121314151617343[[#This Row],[DEU]]-VLOOKUP($U$1,A:D,4,))/VLOOKUP($U$1,A:D,4,))*100)+100</f>
        <v>107.57979421954462</v>
      </c>
      <c r="K128" s="92">
        <f>(((Table134567891011121314151617343[[#This Row],[ESP]]-VLOOKUP($U$1,A:E,5,))/VLOOKUP($U$1,A:E,5,))*100)+100</f>
        <v>104.83224008603375</v>
      </c>
      <c r="L128" s="92">
        <f>(((Table134567891011121314151617343[[#This Row],[EA19]]-VLOOKUP($U$1,A:F,6,))/VLOOKUP($U$1,A:F,6,))*100)+100</f>
        <v>107.15883295985573</v>
      </c>
      <c r="M128" s="92">
        <f>(((Table134567891011121314151617343[[#This Row],[GBR]]-VLOOKUP($U$1,A:G,7,))/VLOOKUP($U$1,A:G,7,))*100)+100</f>
        <v>102.81826852785274</v>
      </c>
      <c r="N128" s="92">
        <f>VLOOKUP(A128,Database!$E:$AY,MATCH($N$1,Database!$E$1:$AY$1,0),FALSE)</f>
        <v>91.81568</v>
      </c>
      <c r="O128" s="92">
        <f>(((Table134567891011121314151617343[[#This Row],[USA]]-VLOOKUP($U$1,A:N,14,))/VLOOKUP($U$1,A:N,14,))*100)+100</f>
        <v>106.37796123104394</v>
      </c>
      <c r="P128" s="92">
        <f>VLOOKUP(A128,Database!$E:$AY,MATCH($P$1,Database!$E$1:$AY$1,0),FALSE)</f>
        <v>106.5132</v>
      </c>
      <c r="Q128" s="92">
        <f>(((Table134567891011121314151617343[[#This Row],[JPN]]-VLOOKUP($U$1,A:Q,16,))/VLOOKUP($U$1,A:Q,16,))*100)+100</f>
        <v>106.93706645028901</v>
      </c>
    </row>
    <row r="129" spans="1:17" s="85" customFormat="1" x14ac:dyDescent="0.2">
      <c r="A129" s="22">
        <v>36739</v>
      </c>
      <c r="B129" s="92">
        <f>VLOOKUP(A129,Database!$E:$AY,MATCH($B$1,Database!$E$1:$AY$1,0),FALSE)</f>
        <v>127.9893</v>
      </c>
      <c r="C129" s="92">
        <f>VLOOKUP(A129,Database!$E:$AY,MATCH($C$1,Database!$E$1:$AY$1,0),FALSE)</f>
        <v>109.29089999999999</v>
      </c>
      <c r="D129" s="92">
        <f>VLOOKUP(A129,Database!$E:$AY,MATCH($D$1,Database!$E$1:$AY$1,0),FALSE)</f>
        <v>81.693190000000001</v>
      </c>
      <c r="E129" s="92">
        <f>VLOOKUP(A129,Database!$E:$AY,MATCH($E$1,Database!$E$1:$AY$1,0),FALSE)</f>
        <v>123.7941</v>
      </c>
      <c r="F129" s="92">
        <f>VLOOKUP(A129,Database!$E:$AY,MATCH($F$1,Database!$E$1:$AY$1,0),FALSE)</f>
        <v>95.884020000000007</v>
      </c>
      <c r="G129" s="92">
        <f>VLOOKUP(A129,Database!$E:$AY,MATCH($G$1,Database!$E$1:$AY$1,0),FALSE)</f>
        <v>110.9881</v>
      </c>
      <c r="H129" s="92">
        <f>(((Table134567891011121314151617343[[#This Row],[ITA]]-VLOOKUP($U$1,A:B,2,))/VLOOKUP($U$1,A:B,2,))*100)+100</f>
        <v>105.26310162274991</v>
      </c>
      <c r="I129" s="92">
        <f>(((Table134567891011121314151617343[[#This Row],[FRA]]-VLOOKUP($U$1,A:C,3,))/VLOOKUP($U$1,A:C,3,))*100)+100</f>
        <v>106.37526048535685</v>
      </c>
      <c r="J129" s="92">
        <f>(((Table134567891011121314151617343[[#This Row],[DEU]]-VLOOKUP($U$1,A:D,4,))/VLOOKUP($U$1,A:D,4,))*100)+100</f>
        <v>108.64361962094446</v>
      </c>
      <c r="K129" s="92">
        <f>(((Table134567891011121314151617343[[#This Row],[ESP]]-VLOOKUP($U$1,A:E,5,))/VLOOKUP($U$1,A:E,5,))*100)+100</f>
        <v>104.25284287808826</v>
      </c>
      <c r="L129" s="92">
        <f>(((Table134567891011121314151617343[[#This Row],[EA19]]-VLOOKUP($U$1,A:F,6,))/VLOOKUP($U$1,A:F,6,))*100)+100</f>
        <v>107.27069724148657</v>
      </c>
      <c r="M129" s="92">
        <f>(((Table134567891011121314151617343[[#This Row],[GBR]]-VLOOKUP($U$1,A:G,7,))/VLOOKUP($U$1,A:G,7,))*100)+100</f>
        <v>103.88729921158871</v>
      </c>
      <c r="N129" s="92">
        <f>VLOOKUP(A129,Database!$E:$AY,MATCH($N$1,Database!$E$1:$AY$1,0),FALSE)</f>
        <v>91.547319999999999</v>
      </c>
      <c r="O129" s="92">
        <f>(((Table134567891011121314151617343[[#This Row],[USA]]-VLOOKUP($U$1,A:N,14,))/VLOOKUP($U$1,A:N,14,))*100)+100</f>
        <v>106.06703841616131</v>
      </c>
      <c r="P129" s="92">
        <f>VLOOKUP(A129,Database!$E:$AY,MATCH($P$1,Database!$E$1:$AY$1,0),FALSE)</f>
        <v>108.0014</v>
      </c>
      <c r="Q129" s="92">
        <f>(((Table134567891011121314151617343[[#This Row],[JPN]]-VLOOKUP($U$1,A:Q,16,))/VLOOKUP($U$1,A:Q,16,))*100)+100</f>
        <v>108.43118870266075</v>
      </c>
    </row>
    <row r="130" spans="1:17" s="85" customFormat="1" x14ac:dyDescent="0.2">
      <c r="A130" s="22">
        <v>36770</v>
      </c>
      <c r="B130" s="92">
        <f>VLOOKUP(A130,Database!$E:$AY,MATCH($B$1,Database!$E$1:$AY$1,0),FALSE)</f>
        <v>127.88930000000001</v>
      </c>
      <c r="C130" s="92">
        <f>VLOOKUP(A130,Database!$E:$AY,MATCH($C$1,Database!$E$1:$AY$1,0),FALSE)</f>
        <v>109.57089999999999</v>
      </c>
      <c r="D130" s="92">
        <f>VLOOKUP(A130,Database!$E:$AY,MATCH($D$1,Database!$E$1:$AY$1,0),FALSE)</f>
        <v>81.793180000000007</v>
      </c>
      <c r="E130" s="92">
        <f>VLOOKUP(A130,Database!$E:$AY,MATCH($E$1,Database!$E$1:$AY$1,0),FALSE)</f>
        <v>123.81910000000001</v>
      </c>
      <c r="F130" s="92">
        <f>VLOOKUP(A130,Database!$E:$AY,MATCH($F$1,Database!$E$1:$AY$1,0),FALSE)</f>
        <v>95.983999999999995</v>
      </c>
      <c r="G130" s="92">
        <f>VLOOKUP(A130,Database!$E:$AY,MATCH($G$1,Database!$E$1:$AY$1,0),FALSE)</f>
        <v>109.9498</v>
      </c>
      <c r="H130" s="92">
        <f>(((Table134567891011121314151617343[[#This Row],[ITA]]-VLOOKUP($U$1,A:B,2,))/VLOOKUP($U$1,A:B,2,))*100)+100</f>
        <v>105.18085794955009</v>
      </c>
      <c r="I130" s="92">
        <f>(((Table134567891011121314151617343[[#This Row],[FRA]]-VLOOKUP($U$1,A:C,3,))/VLOOKUP($U$1,A:C,3,))*100)+100</f>
        <v>106.64779070457821</v>
      </c>
      <c r="J130" s="92">
        <f>(((Table134567891011121314151617343[[#This Row],[DEU]]-VLOOKUP($U$1,A:D,4,))/VLOOKUP($U$1,A:D,4,))*100)+100</f>
        <v>108.77659613374679</v>
      </c>
      <c r="K130" s="92">
        <f>(((Table134567891011121314151617343[[#This Row],[ESP]]-VLOOKUP($U$1,A:E,5,))/VLOOKUP($U$1,A:E,5,))*100)+100</f>
        <v>104.27389655570256</v>
      </c>
      <c r="L130" s="92">
        <f>(((Table134567891011121314151617343[[#This Row],[EA19]]-VLOOKUP($U$1,A:F,6,))/VLOOKUP($U$1,A:F,6,))*100)+100</f>
        <v>107.38255033557047</v>
      </c>
      <c r="M130" s="92">
        <f>(((Table134567891011121314151617343[[#This Row],[GBR]]-VLOOKUP($U$1,A:G,7,))/VLOOKUP($U$1,A:G,7,))*100)+100</f>
        <v>102.91542760759339</v>
      </c>
      <c r="N130" s="92">
        <f>VLOOKUP(A130,Database!$E:$AY,MATCH($N$1,Database!$E$1:$AY$1,0),FALSE)</f>
        <v>91.900589999999994</v>
      </c>
      <c r="O130" s="92">
        <f>(((Table134567891011121314151617343[[#This Row],[USA]]-VLOOKUP($U$1,A:N,14,))/VLOOKUP($U$1,A:N,14,))*100)+100</f>
        <v>106.47633824778147</v>
      </c>
      <c r="P130" s="92">
        <f>VLOOKUP(A130,Database!$E:$AY,MATCH($P$1,Database!$E$1:$AY$1,0),FALSE)</f>
        <v>105.76909999999999</v>
      </c>
      <c r="Q130" s="92">
        <f>(((Table134567891011121314151617343[[#This Row],[JPN]]-VLOOKUP($U$1,A:Q,16,))/VLOOKUP($U$1,A:Q,16,))*100)+100</f>
        <v>106.19000532410314</v>
      </c>
    </row>
    <row r="131" spans="1:17" s="85" customFormat="1" x14ac:dyDescent="0.2">
      <c r="A131" s="22">
        <v>36800</v>
      </c>
      <c r="B131" s="92">
        <f>VLOOKUP(A131,Database!$E:$AY,MATCH($B$1,Database!$E$1:$AY$1,0),FALSE)</f>
        <v>128.38929999999999</v>
      </c>
      <c r="C131" s="92">
        <f>VLOOKUP(A131,Database!$E:$AY,MATCH($C$1,Database!$E$1:$AY$1,0),FALSE)</f>
        <v>110.7809</v>
      </c>
      <c r="D131" s="92">
        <f>VLOOKUP(A131,Database!$E:$AY,MATCH($D$1,Database!$E$1:$AY$1,0),FALSE)</f>
        <v>81.493210000000005</v>
      </c>
      <c r="E131" s="92">
        <f>VLOOKUP(A131,Database!$E:$AY,MATCH($E$1,Database!$E$1:$AY$1,0),FALSE)</f>
        <v>121.77509999999999</v>
      </c>
      <c r="F131" s="92">
        <f>VLOOKUP(A131,Database!$E:$AY,MATCH($F$1,Database!$E$1:$AY$1,0),FALSE)</f>
        <v>96.183970000000002</v>
      </c>
      <c r="G131" s="92">
        <f>VLOOKUP(A131,Database!$E:$AY,MATCH($G$1,Database!$E$1:$AY$1,0),FALSE)</f>
        <v>110.1575</v>
      </c>
      <c r="H131" s="92">
        <f>(((Table134567891011121314151617343[[#This Row],[ITA]]-VLOOKUP($U$1,A:B,2,))/VLOOKUP($U$1,A:B,2,))*100)+100</f>
        <v>105.59207631554924</v>
      </c>
      <c r="I131" s="92">
        <f>(((Table134567891011121314151617343[[#This Row],[FRA]]-VLOOKUP($U$1,A:C,3,))/VLOOKUP($U$1,A:C,3,))*100)+100</f>
        <v>107.8255105804991</v>
      </c>
      <c r="J131" s="92">
        <f>(((Table134567891011121314151617343[[#This Row],[DEU]]-VLOOKUP($U$1,A:D,4,))/VLOOKUP($U$1,A:D,4,))*100)+100</f>
        <v>108.3776665953398</v>
      </c>
      <c r="K131" s="92">
        <f>(((Table134567891011121314151617343[[#This Row],[ESP]]-VLOOKUP($U$1,A:E,5,))/VLOOKUP($U$1,A:E,5,))*100)+100</f>
        <v>102.55254787395752</v>
      </c>
      <c r="L131" s="92">
        <f>(((Table134567891011121314151617343[[#This Row],[EA19]]-VLOOKUP($U$1,A:F,6,))/VLOOKUP($U$1,A:F,6,))*100)+100</f>
        <v>107.60626771128523</v>
      </c>
      <c r="M131" s="92">
        <f>(((Table134567891011121314151617343[[#This Row],[GBR]]-VLOOKUP($U$1,A:G,7,))/VLOOKUP($U$1,A:G,7,))*100)+100</f>
        <v>103.10983936927096</v>
      </c>
      <c r="N131" s="92">
        <f>VLOOKUP(A131,Database!$E:$AY,MATCH($N$1,Database!$E$1:$AY$1,0),FALSE)</f>
        <v>91.629729999999995</v>
      </c>
      <c r="O131" s="92">
        <f>(((Table134567891011121314151617343[[#This Row],[USA]]-VLOOKUP($U$1,A:N,14,))/VLOOKUP($U$1,A:N,14,))*100)+100</f>
        <v>106.16251892433867</v>
      </c>
      <c r="P131" s="92">
        <f>VLOOKUP(A131,Database!$E:$AY,MATCH($P$1,Database!$E$1:$AY$1,0),FALSE)</f>
        <v>107.36360000000001</v>
      </c>
      <c r="Q131" s="92">
        <f>(((Table134567891011121314151617343[[#This Row],[JPN]]-VLOOKUP($U$1,A:Q,16,))/VLOOKUP($U$1,A:Q,16,))*100)+100</f>
        <v>107.79085059450144</v>
      </c>
    </row>
    <row r="132" spans="1:17" s="85" customFormat="1" x14ac:dyDescent="0.2">
      <c r="A132" s="22">
        <v>36831</v>
      </c>
      <c r="B132" s="92">
        <f>VLOOKUP(A132,Database!$E:$AY,MATCH($B$1,Database!$E$1:$AY$1,0),FALSE)</f>
        <v>129.98920000000001</v>
      </c>
      <c r="C132" s="92">
        <f>VLOOKUP(A132,Database!$E:$AY,MATCH($C$1,Database!$E$1:$AY$1,0),FALSE)</f>
        <v>110.5809</v>
      </c>
      <c r="D132" s="92">
        <f>VLOOKUP(A132,Database!$E:$AY,MATCH($D$1,Database!$E$1:$AY$1,0),FALSE)</f>
        <v>82.193150000000003</v>
      </c>
      <c r="E132" s="92">
        <f>VLOOKUP(A132,Database!$E:$AY,MATCH($E$1,Database!$E$1:$AY$1,0),FALSE)</f>
        <v>125.60509999999999</v>
      </c>
      <c r="F132" s="92">
        <f>VLOOKUP(A132,Database!$E:$AY,MATCH($F$1,Database!$E$1:$AY$1,0),FALSE)</f>
        <v>97.083820000000003</v>
      </c>
      <c r="G132" s="92">
        <f>VLOOKUP(A132,Database!$E:$AY,MATCH($G$1,Database!$E$1:$AY$1,0),FALSE)</f>
        <v>111.29949999999999</v>
      </c>
      <c r="H132" s="92">
        <f>(((Table134567891011121314151617343[[#This Row],[ITA]]-VLOOKUP($U$1,A:B,2,))/VLOOKUP($U$1,A:B,2,))*100)+100</f>
        <v>106.90789284307333</v>
      </c>
      <c r="I132" s="92">
        <f>(((Table134567891011121314151617343[[#This Row],[FRA]]-VLOOKUP($U$1,A:C,3,))/VLOOKUP($U$1,A:C,3,))*100)+100</f>
        <v>107.63084613819814</v>
      </c>
      <c r="J132" s="92">
        <f>(((Table134567891011121314151617343[[#This Row],[DEU]]-VLOOKUP($U$1,A:D,4,))/VLOOKUP($U$1,A:D,4,))*100)+100</f>
        <v>109.3085154839373</v>
      </c>
      <c r="K132" s="92">
        <f>(((Table134567891011121314151617343[[#This Row],[ESP]]-VLOOKUP($U$1,A:E,5,))/VLOOKUP($U$1,A:E,5,))*100)+100</f>
        <v>105.77797128446802</v>
      </c>
      <c r="L132" s="92">
        <f>(((Table134567891011121314151617343[[#This Row],[EA19]]-VLOOKUP($U$1,A:F,6,))/VLOOKUP($U$1,A:F,6,))*100)+100</f>
        <v>108.6129791206812</v>
      </c>
      <c r="M132" s="92">
        <f>(((Table134567891011121314151617343[[#This Row],[GBR]]-VLOOKUP($U$1,A:G,7,))/VLOOKUP($U$1,A:G,7,))*100)+100</f>
        <v>104.17877645081064</v>
      </c>
      <c r="N132" s="92">
        <f>VLOOKUP(A132,Database!$E:$AY,MATCH($N$1,Database!$E$1:$AY$1,0),FALSE)</f>
        <v>91.654600000000002</v>
      </c>
      <c r="O132" s="92">
        <f>(((Table134567891011121314151617343[[#This Row],[USA]]-VLOOKUP($U$1,A:N,14,))/VLOOKUP($U$1,A:N,14,))*100)+100</f>
        <v>106.19133339149522</v>
      </c>
      <c r="P132" s="92">
        <f>VLOOKUP(A132,Database!$E:$AY,MATCH($P$1,Database!$E$1:$AY$1,0),FALSE)</f>
        <v>107.78879999999999</v>
      </c>
      <c r="Q132" s="92">
        <f>(((Table134567891011121314151617343[[#This Row],[JPN]]-VLOOKUP($U$1,A:Q,16,))/VLOOKUP($U$1,A:Q,16,))*100)+100</f>
        <v>108.21774266660763</v>
      </c>
    </row>
    <row r="133" spans="1:17" s="85" customFormat="1" x14ac:dyDescent="0.2">
      <c r="A133" s="22">
        <v>36861</v>
      </c>
      <c r="B133" s="92">
        <f>VLOOKUP(A133,Database!$E:$AY,MATCH($B$1,Database!$E$1:$AY$1,0),FALSE)</f>
        <v>131.78899999999999</v>
      </c>
      <c r="C133" s="92">
        <f>VLOOKUP(A133,Database!$E:$AY,MATCH($C$1,Database!$E$1:$AY$1,0),FALSE)</f>
        <v>111.6009</v>
      </c>
      <c r="D133" s="92">
        <f>VLOOKUP(A133,Database!$E:$AY,MATCH($D$1,Database!$E$1:$AY$1,0),FALSE)</f>
        <v>82.693110000000004</v>
      </c>
      <c r="E133" s="92">
        <f>VLOOKUP(A133,Database!$E:$AY,MATCH($E$1,Database!$E$1:$AY$1,0),FALSE)</f>
        <v>126.7861</v>
      </c>
      <c r="F133" s="92">
        <f>VLOOKUP(A133,Database!$E:$AY,MATCH($F$1,Database!$E$1:$AY$1,0),FALSE)</f>
        <v>97.683719999999994</v>
      </c>
      <c r="G133" s="92">
        <f>VLOOKUP(A133,Database!$E:$AY,MATCH($G$1,Database!$E$1:$AY$1,0),FALSE)</f>
        <v>110.9881</v>
      </c>
      <c r="H133" s="92">
        <f>(((Table134567891011121314151617343[[#This Row],[ITA]]-VLOOKUP($U$1,A:B,2,))/VLOOKUP($U$1,A:B,2,))*100)+100</f>
        <v>108.38811447332384</v>
      </c>
      <c r="I133" s="92">
        <f>(((Table134567891011121314151617343[[#This Row],[FRA]]-VLOOKUP($U$1,A:C,3,))/VLOOKUP($U$1,A:C,3,))*100)+100</f>
        <v>108.62363479393309</v>
      </c>
      <c r="J133" s="92">
        <f>(((Table134567891011121314151617343[[#This Row],[DEU]]-VLOOKUP($U$1,A:D,4,))/VLOOKUP($U$1,A:D,4,))*100)+100</f>
        <v>109.97341134693012</v>
      </c>
      <c r="K133" s="92">
        <f>(((Table134567891011121314151617343[[#This Row],[ESP]]-VLOOKUP($U$1,A:E,5,))/VLOOKUP($U$1,A:E,5,))*100)+100</f>
        <v>106.77254701496749</v>
      </c>
      <c r="L133" s="92">
        <f>(((Table134567891011121314151617343[[#This Row],[EA19]]-VLOOKUP($U$1,A:F,6,))/VLOOKUP($U$1,A:F,6,))*100)+100</f>
        <v>109.2841200602785</v>
      </c>
      <c r="M133" s="92">
        <f>(((Table134567891011121314151617343[[#This Row],[GBR]]-VLOOKUP($U$1,A:G,7,))/VLOOKUP($U$1,A:G,7,))*100)+100</f>
        <v>103.88729921158871</v>
      </c>
      <c r="N133" s="92">
        <f>VLOOKUP(A133,Database!$E:$AY,MATCH($N$1,Database!$E$1:$AY$1,0),FALSE)</f>
        <v>91.39949</v>
      </c>
      <c r="O133" s="92">
        <f>(((Table134567891011121314151617343[[#This Row],[USA]]-VLOOKUP($U$1,A:N,14,))/VLOOKUP($U$1,A:N,14,))*100)+100</f>
        <v>105.89576207198148</v>
      </c>
      <c r="P133" s="92">
        <f>VLOOKUP(A133,Database!$E:$AY,MATCH($P$1,Database!$E$1:$AY$1,0),FALSE)</f>
        <v>108.8518</v>
      </c>
      <c r="Q133" s="92">
        <f>(((Table134567891011121314151617343[[#This Row],[JPN]]-VLOOKUP($U$1,A:Q,16,))/VLOOKUP($U$1,A:Q,16,))*100)+100</f>
        <v>109.28497284687316</v>
      </c>
    </row>
    <row r="134" spans="1:17" s="85" customFormat="1" x14ac:dyDescent="0.2">
      <c r="A134" s="22">
        <v>36892</v>
      </c>
      <c r="B134" s="92">
        <f>VLOOKUP(A134,Database!$E:$AY,MATCH($B$1,Database!$E$1:$AY$1,0),FALSE)</f>
        <v>128.1893</v>
      </c>
      <c r="C134" s="92">
        <f>VLOOKUP(A134,Database!$E:$AY,MATCH($C$1,Database!$E$1:$AY$1,0),FALSE)</f>
        <v>111.1009</v>
      </c>
      <c r="D134" s="92">
        <f>VLOOKUP(A134,Database!$E:$AY,MATCH($D$1,Database!$E$1:$AY$1,0),FALSE)</f>
        <v>82.493129999999994</v>
      </c>
      <c r="E134" s="92">
        <f>VLOOKUP(A134,Database!$E:$AY,MATCH($E$1,Database!$E$1:$AY$1,0),FALSE)</f>
        <v>122.8421</v>
      </c>
      <c r="F134" s="92">
        <f>VLOOKUP(A134,Database!$E:$AY,MATCH($F$1,Database!$E$1:$AY$1,0),FALSE)</f>
        <v>96.883849999999995</v>
      </c>
      <c r="G134" s="92">
        <f>VLOOKUP(A134,Database!$E:$AY,MATCH($G$1,Database!$E$1:$AY$1,0),FALSE)</f>
        <v>110.88420000000001</v>
      </c>
      <c r="H134" s="92">
        <f>(((Table134567891011121314151617343[[#This Row],[ITA]]-VLOOKUP($U$1,A:B,2,))/VLOOKUP($U$1,A:B,2,))*100)+100</f>
        <v>105.42758896914958</v>
      </c>
      <c r="I134" s="92">
        <f>(((Table134567891011121314151617343[[#This Row],[FRA]]-VLOOKUP($U$1,A:C,3,))/VLOOKUP($U$1,A:C,3,))*100)+100</f>
        <v>108.13697368818066</v>
      </c>
      <c r="J134" s="92">
        <f>(((Table134567891011121314151617343[[#This Row],[DEU]]-VLOOKUP($U$1,A:D,4,))/VLOOKUP($U$1,A:D,4,))*100)+100</f>
        <v>109.70745832132545</v>
      </c>
      <c r="K134" s="92">
        <f>(((Table134567891011121314151617343[[#This Row],[ESP]]-VLOOKUP($U$1,A:E,5,))/VLOOKUP($U$1,A:E,5,))*100)+100</f>
        <v>103.45111883453578</v>
      </c>
      <c r="L134" s="92">
        <f>(((Table134567891011121314151617343[[#This Row],[EA19]]-VLOOKUP($U$1,A:F,6,))/VLOOKUP($U$1,A:F,6,))*100)+100</f>
        <v>108.38926174496645</v>
      </c>
      <c r="M134" s="92">
        <f>(((Table134567891011121314151617343[[#This Row],[GBR]]-VLOOKUP($U$1,A:G,7,))/VLOOKUP($U$1,A:G,7,))*100)+100</f>
        <v>103.79004652965178</v>
      </c>
      <c r="N134" s="92">
        <f>VLOOKUP(A134,Database!$E:$AY,MATCH($N$1,Database!$E$1:$AY$1,0),FALSE)</f>
        <v>90.811179999999993</v>
      </c>
      <c r="O134" s="92">
        <f>(((Table134567891011121314151617343[[#This Row],[USA]]-VLOOKUP($U$1,A:N,14,))/VLOOKUP($U$1,A:N,14,))*100)+100</f>
        <v>105.21414409156858</v>
      </c>
      <c r="P134" s="92">
        <f>VLOOKUP(A134,Database!$E:$AY,MATCH($P$1,Database!$E$1:$AY$1,0),FALSE)</f>
        <v>104.8124</v>
      </c>
      <c r="Q134" s="92">
        <f>(((Table134567891011121314151617343[[#This Row],[JPN]]-VLOOKUP($U$1,A:Q,16,))/VLOOKUP($U$1,A:Q,16,))*100)+100</f>
        <v>105.22949816186419</v>
      </c>
    </row>
    <row r="135" spans="1:17" s="85" customFormat="1" x14ac:dyDescent="0.2">
      <c r="A135" s="22">
        <v>36923</v>
      </c>
      <c r="B135" s="92">
        <f>VLOOKUP(A135,Database!$E:$AY,MATCH($B$1,Database!$E$1:$AY$1,0),FALSE)</f>
        <v>127.38939999999999</v>
      </c>
      <c r="C135" s="92">
        <f>VLOOKUP(A135,Database!$E:$AY,MATCH($C$1,Database!$E$1:$AY$1,0),FALSE)</f>
        <v>111.8409</v>
      </c>
      <c r="D135" s="92">
        <f>VLOOKUP(A135,Database!$E:$AY,MATCH($D$1,Database!$E$1:$AY$1,0),FALSE)</f>
        <v>83.393050000000002</v>
      </c>
      <c r="E135" s="92">
        <f>VLOOKUP(A135,Database!$E:$AY,MATCH($E$1,Database!$E$1:$AY$1,0),FALSE)</f>
        <v>123.4541</v>
      </c>
      <c r="F135" s="92">
        <f>VLOOKUP(A135,Database!$E:$AY,MATCH($F$1,Database!$E$1:$AY$1,0),FALSE)</f>
        <v>97.283779999999993</v>
      </c>
      <c r="G135" s="92">
        <f>VLOOKUP(A135,Database!$E:$AY,MATCH($G$1,Database!$E$1:$AY$1,0),FALSE)</f>
        <v>110.0536</v>
      </c>
      <c r="H135" s="92">
        <f>(((Table134567891011121314151617343[[#This Row],[ITA]]-VLOOKUP($U$1,A:B,2,))/VLOOKUP($U$1,A:B,2,))*100)+100</f>
        <v>104.76972182722413</v>
      </c>
      <c r="I135" s="92">
        <f>(((Table134567891011121314151617343[[#This Row],[FRA]]-VLOOKUP($U$1,A:C,3,))/VLOOKUP($U$1,A:C,3,))*100)+100</f>
        <v>108.85723212469426</v>
      </c>
      <c r="J135" s="92">
        <f>(((Table134567891011121314151617343[[#This Row],[DEU]]-VLOOKUP($U$1,A:D,4,))/VLOOKUP($U$1,A:D,4,))*100)+100</f>
        <v>110.90426023552762</v>
      </c>
      <c r="K135" s="92">
        <f>(((Table134567891011121314151617343[[#This Row],[ESP]]-VLOOKUP($U$1,A:E,5,))/VLOOKUP($U$1,A:E,5,))*100)+100</f>
        <v>103.96651286253379</v>
      </c>
      <c r="L135" s="92">
        <f>(((Table134567891011121314151617343[[#This Row],[EA19]]-VLOOKUP($U$1,A:F,6,))/VLOOKUP($U$1,A:F,6,))*100)+100</f>
        <v>108.83668530884901</v>
      </c>
      <c r="M135" s="92">
        <f>(((Table134567891011121314151617343[[#This Row],[GBR]]-VLOOKUP($U$1,A:G,7,))/VLOOKUP($U$1,A:G,7,))*100)+100</f>
        <v>103.01258668733404</v>
      </c>
      <c r="N135" s="92">
        <f>VLOOKUP(A135,Database!$E:$AY,MATCH($N$1,Database!$E$1:$AY$1,0),FALSE)</f>
        <v>90.230069999999998</v>
      </c>
      <c r="O135" s="92">
        <f>(((Table134567891011121314151617343[[#This Row],[USA]]-VLOOKUP($U$1,A:N,14,))/VLOOKUP($U$1,A:N,14,))*100)+100</f>
        <v>104.540868055809</v>
      </c>
      <c r="P135" s="92">
        <f>VLOOKUP(A135,Database!$E:$AY,MATCH($P$1,Database!$E$1:$AY$1,0),FALSE)</f>
        <v>105.76909999999999</v>
      </c>
      <c r="Q135" s="92">
        <f>(((Table134567891011121314151617343[[#This Row],[JPN]]-VLOOKUP($U$1,A:Q,16,))/VLOOKUP($U$1,A:Q,16,))*100)+100</f>
        <v>106.19000532410314</v>
      </c>
    </row>
    <row r="136" spans="1:17" s="85" customFormat="1" x14ac:dyDescent="0.2">
      <c r="A136" s="22">
        <v>36951</v>
      </c>
      <c r="B136" s="92">
        <f>VLOOKUP(A136,Database!$E:$AY,MATCH($B$1,Database!$E$1:$AY$1,0),FALSE)</f>
        <v>127.38939999999999</v>
      </c>
      <c r="C136" s="92">
        <f>VLOOKUP(A136,Database!$E:$AY,MATCH($C$1,Database!$E$1:$AY$1,0),FALSE)</f>
        <v>112.3009</v>
      </c>
      <c r="D136" s="92">
        <f>VLOOKUP(A136,Database!$E:$AY,MATCH($D$1,Database!$E$1:$AY$1,0),FALSE)</f>
        <v>81.993160000000003</v>
      </c>
      <c r="E136" s="92">
        <f>VLOOKUP(A136,Database!$E:$AY,MATCH($E$1,Database!$E$1:$AY$1,0),FALSE)</f>
        <v>122.98009999999999</v>
      </c>
      <c r="F136" s="92">
        <f>VLOOKUP(A136,Database!$E:$AY,MATCH($F$1,Database!$E$1:$AY$1,0),FALSE)</f>
        <v>96.683880000000002</v>
      </c>
      <c r="G136" s="92">
        <f>VLOOKUP(A136,Database!$E:$AY,MATCH($G$1,Database!$E$1:$AY$1,0),FALSE)</f>
        <v>109.846</v>
      </c>
      <c r="H136" s="92">
        <f>(((Table134567891011121314151617343[[#This Row],[ITA]]-VLOOKUP($U$1,A:B,2,))/VLOOKUP($U$1,A:B,2,))*100)+100</f>
        <v>104.76972182722413</v>
      </c>
      <c r="I136" s="92">
        <f>(((Table134567891011121314151617343[[#This Row],[FRA]]-VLOOKUP($U$1,A:C,3,))/VLOOKUP($U$1,A:C,3,))*100)+100</f>
        <v>109.30496034198649</v>
      </c>
      <c r="J136" s="92">
        <f>(((Table134567891011121314151617343[[#This Row],[DEU]]-VLOOKUP($U$1,A:D,4,))/VLOOKUP($U$1,A:D,4,))*100)+100</f>
        <v>109.04254915935145</v>
      </c>
      <c r="K136" s="92">
        <f>(((Table134567891011121314151617343[[#This Row],[ESP]]-VLOOKUP($U$1,A:E,5,))/VLOOKUP($U$1,A:E,5,))*100)+100</f>
        <v>103.5673351349667</v>
      </c>
      <c r="L136" s="92">
        <f>(((Table134567891011121314151617343[[#This Row],[EA19]]-VLOOKUP($U$1,A:F,6,))/VLOOKUP($U$1,A:F,6,))*100)+100</f>
        <v>108.16554436925171</v>
      </c>
      <c r="M136" s="92">
        <f>(((Table134567891011121314151617343[[#This Row],[GBR]]-VLOOKUP($U$1,A:G,7,))/VLOOKUP($U$1,A:G,7,))*100)+100</f>
        <v>102.81826852785274</v>
      </c>
      <c r="N136" s="92">
        <f>VLOOKUP(A136,Database!$E:$AY,MATCH($N$1,Database!$E$1:$AY$1,0),FALSE)</f>
        <v>90.019049999999993</v>
      </c>
      <c r="O136" s="92">
        <f>(((Table134567891011121314151617343[[#This Row],[USA]]-VLOOKUP($U$1,A:N,14,))/VLOOKUP($U$1,A:N,14,))*100)+100</f>
        <v>104.29637956126236</v>
      </c>
      <c r="P136" s="92">
        <f>VLOOKUP(A136,Database!$E:$AY,MATCH($P$1,Database!$E$1:$AY$1,0),FALSE)</f>
        <v>103.962</v>
      </c>
      <c r="Q136" s="92">
        <f>(((Table134567891011121314151617343[[#This Row],[JPN]]-VLOOKUP($U$1,A:Q,16,))/VLOOKUP($U$1,A:Q,16,))*100)+100</f>
        <v>104.37571401765177</v>
      </c>
    </row>
    <row r="137" spans="1:17" s="85" customFormat="1" x14ac:dyDescent="0.2">
      <c r="A137" s="22">
        <v>36982</v>
      </c>
      <c r="B137" s="92">
        <f>VLOOKUP(A137,Database!$E:$AY,MATCH($B$1,Database!$E$1:$AY$1,0),FALSE)</f>
        <v>126.2895</v>
      </c>
      <c r="C137" s="92">
        <f>VLOOKUP(A137,Database!$E:$AY,MATCH($C$1,Database!$E$1:$AY$1,0),FALSE)</f>
        <v>110.48090000000001</v>
      </c>
      <c r="D137" s="92">
        <f>VLOOKUP(A137,Database!$E:$AY,MATCH($D$1,Database!$E$1:$AY$1,0),FALSE)</f>
        <v>80.593279999999993</v>
      </c>
      <c r="E137" s="92">
        <f>VLOOKUP(A137,Database!$E:$AY,MATCH($E$1,Database!$E$1:$AY$1,0),FALSE)</f>
        <v>120.9811</v>
      </c>
      <c r="F137" s="92">
        <f>VLOOKUP(A137,Database!$E:$AY,MATCH($F$1,Database!$E$1:$AY$1,0),FALSE)</f>
        <v>95.884020000000007</v>
      </c>
      <c r="G137" s="92">
        <f>VLOOKUP(A137,Database!$E:$AY,MATCH($G$1,Database!$E$1:$AY$1,0),FALSE)</f>
        <v>109.0154</v>
      </c>
      <c r="H137" s="92">
        <f>(((Table134567891011121314151617343[[#This Row],[ITA]]-VLOOKUP($U$1,A:B,2,))/VLOOKUP($U$1,A:B,2,))*100)+100</f>
        <v>103.86512366569922</v>
      </c>
      <c r="I137" s="92">
        <f>(((Table134567891011121314151617343[[#This Row],[FRA]]-VLOOKUP($U$1,A:C,3,))/VLOOKUP($U$1,A:C,3,))*100)+100</f>
        <v>107.53351391704766</v>
      </c>
      <c r="J137" s="92">
        <f>(((Table134567891011121314151617343[[#This Row],[DEU]]-VLOOKUP($U$1,A:D,4,))/VLOOKUP($U$1,A:D,4,))*100)+100</f>
        <v>107.18085138215645</v>
      </c>
      <c r="K137" s="92">
        <f>(((Table134567891011121314151617343[[#This Row],[ESP]]-VLOOKUP($U$1,A:E,5,))/VLOOKUP($U$1,A:E,5,))*100)+100</f>
        <v>101.8838830729274</v>
      </c>
      <c r="L137" s="92">
        <f>(((Table134567891011121314151617343[[#This Row],[EA19]]-VLOOKUP($U$1,A:F,6,))/VLOOKUP($U$1,A:F,6,))*100)+100</f>
        <v>107.27069724148657</v>
      </c>
      <c r="M137" s="92">
        <f>(((Table134567891011121314151617343[[#This Row],[GBR]]-VLOOKUP($U$1,A:G,7,))/VLOOKUP($U$1,A:G,7,))*100)+100</f>
        <v>102.040808685535</v>
      </c>
      <c r="N137" s="92">
        <f>VLOOKUP(A137,Database!$E:$AY,MATCH($N$1,Database!$E$1:$AY$1,0),FALSE)</f>
        <v>89.756640000000004</v>
      </c>
      <c r="O137" s="92">
        <f>(((Table134567891011121314151617343[[#This Row],[USA]]-VLOOKUP($U$1,A:N,14,))/VLOOKUP($U$1,A:N,14,))*100)+100</f>
        <v>103.99235043675294</v>
      </c>
      <c r="P137" s="92">
        <f>VLOOKUP(A137,Database!$E:$AY,MATCH($P$1,Database!$E$1:$AY$1,0),FALSE)</f>
        <v>103.2178</v>
      </c>
      <c r="Q137" s="92">
        <f>(((Table134567891011121314151617343[[#This Row],[JPN]]-VLOOKUP($U$1,A:Q,16,))/VLOOKUP($U$1,A:Q,16,))*100)+100</f>
        <v>103.62855249351855</v>
      </c>
    </row>
    <row r="138" spans="1:17" s="85" customFormat="1" x14ac:dyDescent="0.2">
      <c r="A138" s="22">
        <v>37012</v>
      </c>
      <c r="B138" s="92">
        <f>VLOOKUP(A138,Database!$E:$AY,MATCH($B$1,Database!$E$1:$AY$1,0),FALSE)</f>
        <v>126.0895</v>
      </c>
      <c r="C138" s="92">
        <f>VLOOKUP(A138,Database!$E:$AY,MATCH($C$1,Database!$E$1:$AY$1,0),FALSE)</f>
        <v>111.29089999999999</v>
      </c>
      <c r="D138" s="92">
        <f>VLOOKUP(A138,Database!$E:$AY,MATCH($D$1,Database!$E$1:$AY$1,0),FALSE)</f>
        <v>81.493210000000005</v>
      </c>
      <c r="E138" s="92">
        <f>VLOOKUP(A138,Database!$E:$AY,MATCH($E$1,Database!$E$1:$AY$1,0),FALSE)</f>
        <v>123.59910000000001</v>
      </c>
      <c r="F138" s="92">
        <f>VLOOKUP(A138,Database!$E:$AY,MATCH($F$1,Database!$E$1:$AY$1,0),FALSE)</f>
        <v>96.083979999999997</v>
      </c>
      <c r="G138" s="92">
        <f>VLOOKUP(A138,Database!$E:$AY,MATCH($G$1,Database!$E$1:$AY$1,0),FALSE)</f>
        <v>109.0154</v>
      </c>
      <c r="H138" s="92">
        <f>(((Table134567891011121314151617343[[#This Row],[ITA]]-VLOOKUP($U$1,A:B,2,))/VLOOKUP($U$1,A:B,2,))*100)+100</f>
        <v>103.70063631929955</v>
      </c>
      <c r="I138" s="92">
        <f>(((Table134567891011121314151617343[[#This Row],[FRA]]-VLOOKUP($U$1,A:C,3,))/VLOOKUP($U$1,A:C,3,))*100)+100</f>
        <v>108.32190490836658</v>
      </c>
      <c r="J138" s="92">
        <f>(((Table134567891011121314151617343[[#This Row],[DEU]]-VLOOKUP($U$1,A:D,4,))/VLOOKUP($U$1,A:D,4,))*100)+100</f>
        <v>108.3776665953398</v>
      </c>
      <c r="K138" s="92">
        <f>(((Table134567891011121314151617343[[#This Row],[ESP]]-VLOOKUP($U$1,A:E,5,))/VLOOKUP($U$1,A:E,5,))*100)+100</f>
        <v>104.08862419269674</v>
      </c>
      <c r="L138" s="92">
        <f>(((Table134567891011121314151617343[[#This Row],[EA19]]-VLOOKUP($U$1,A:F,6,))/VLOOKUP($U$1,A:F,6,))*100)+100</f>
        <v>107.49440342965438</v>
      </c>
      <c r="M138" s="92">
        <f>(((Table134567891011121314151617343[[#This Row],[GBR]]-VLOOKUP($U$1,A:G,7,))/VLOOKUP($U$1,A:G,7,))*100)+100</f>
        <v>102.040808685535</v>
      </c>
      <c r="N138" s="92">
        <f>VLOOKUP(A138,Database!$E:$AY,MATCH($N$1,Database!$E$1:$AY$1,0),FALSE)</f>
        <v>89.208280000000002</v>
      </c>
      <c r="O138" s="92">
        <f>(((Table134567891011121314151617343[[#This Row],[USA]]-VLOOKUP($U$1,A:N,14,))/VLOOKUP($U$1,A:N,14,))*100)+100</f>
        <v>103.35701866313154</v>
      </c>
      <c r="P138" s="92">
        <f>VLOOKUP(A138,Database!$E:$AY,MATCH($P$1,Database!$E$1:$AY$1,0),FALSE)</f>
        <v>101.1981</v>
      </c>
      <c r="Q138" s="92">
        <f>(((Table134567891011121314151617343[[#This Row],[JPN]]-VLOOKUP($U$1,A:Q,16,))/VLOOKUP($U$1,A:Q,16,))*100)+100</f>
        <v>101.60081515101407</v>
      </c>
    </row>
    <row r="139" spans="1:17" s="85" customFormat="1" x14ac:dyDescent="0.2">
      <c r="A139" s="22">
        <v>37043</v>
      </c>
      <c r="B139" s="92">
        <f>VLOOKUP(A139,Database!$E:$AY,MATCH($B$1,Database!$E$1:$AY$1,0),FALSE)</f>
        <v>126.3895</v>
      </c>
      <c r="C139" s="92">
        <f>VLOOKUP(A139,Database!$E:$AY,MATCH($C$1,Database!$E$1:$AY$1,0),FALSE)</f>
        <v>111.32089999999999</v>
      </c>
      <c r="D139" s="92">
        <f>VLOOKUP(A139,Database!$E:$AY,MATCH($D$1,Database!$E$1:$AY$1,0),FALSE)</f>
        <v>81.893169999999998</v>
      </c>
      <c r="E139" s="92">
        <f>VLOOKUP(A139,Database!$E:$AY,MATCH($E$1,Database!$E$1:$AY$1,0),FALSE)</f>
        <v>123.6091</v>
      </c>
      <c r="F139" s="92">
        <f>VLOOKUP(A139,Database!$E:$AY,MATCH($F$1,Database!$E$1:$AY$1,0),FALSE)</f>
        <v>96.183970000000002</v>
      </c>
      <c r="G139" s="92">
        <f>VLOOKUP(A139,Database!$E:$AY,MATCH($G$1,Database!$E$1:$AY$1,0),FALSE)</f>
        <v>108.91160000000001</v>
      </c>
      <c r="H139" s="92">
        <f>(((Table134567891011121314151617343[[#This Row],[ITA]]-VLOOKUP($U$1,A:B,2,))/VLOOKUP($U$1,A:B,2,))*100)+100</f>
        <v>103.94736733889904</v>
      </c>
      <c r="I139" s="92">
        <f>(((Table134567891011121314151617343[[#This Row],[FRA]]-VLOOKUP($U$1,A:C,3,))/VLOOKUP($U$1,A:C,3,))*100)+100</f>
        <v>108.35110457471173</v>
      </c>
      <c r="J139" s="92">
        <f>(((Table134567891011121314151617343[[#This Row],[DEU]]-VLOOKUP($U$1,A:D,4,))/VLOOKUP($U$1,A:D,4,))*100)+100</f>
        <v>108.90957264654912</v>
      </c>
      <c r="K139" s="92">
        <f>(((Table134567891011121314151617343[[#This Row],[ESP]]-VLOOKUP($U$1,A:E,5,))/VLOOKUP($U$1,A:E,5,))*100)+100</f>
        <v>104.09704566374245</v>
      </c>
      <c r="L139" s="92">
        <f>(((Table134567891011121314151617343[[#This Row],[EA19]]-VLOOKUP($U$1,A:F,6,))/VLOOKUP($U$1,A:F,6,))*100)+100</f>
        <v>107.60626771128523</v>
      </c>
      <c r="M139" s="92">
        <f>(((Table134567891011121314151617343[[#This Row],[GBR]]-VLOOKUP($U$1,A:G,7,))/VLOOKUP($U$1,A:G,7,))*100)+100</f>
        <v>101.94364960579436</v>
      </c>
      <c r="N139" s="92">
        <f>VLOOKUP(A139,Database!$E:$AY,MATCH($N$1,Database!$E$1:$AY$1,0),FALSE)</f>
        <v>88.67501</v>
      </c>
      <c r="O139" s="92">
        <f>(((Table134567891011121314151617343[[#This Row],[USA]]-VLOOKUP($U$1,A:N,14,))/VLOOKUP($U$1,A:N,14,))*100)+100</f>
        <v>102.7391702151793</v>
      </c>
      <c r="P139" s="92">
        <f>VLOOKUP(A139,Database!$E:$AY,MATCH($P$1,Database!$E$1:$AY$1,0),FALSE)</f>
        <v>100.13509999999999</v>
      </c>
      <c r="Q139" s="92">
        <f>(((Table134567891011121314151617343[[#This Row],[JPN]]-VLOOKUP($U$1,A:Q,16,))/VLOOKUP($U$1,A:Q,16,))*100)+100</f>
        <v>100.53358497074855</v>
      </c>
    </row>
    <row r="140" spans="1:17" s="85" customFormat="1" x14ac:dyDescent="0.2">
      <c r="A140" s="22">
        <v>37073</v>
      </c>
      <c r="B140" s="92">
        <f>VLOOKUP(A140,Database!$E:$AY,MATCH($B$1,Database!$E$1:$AY$1,0),FALSE)</f>
        <v>124.08969999999999</v>
      </c>
      <c r="C140" s="92">
        <f>VLOOKUP(A140,Database!$E:$AY,MATCH($C$1,Database!$E$1:$AY$1,0),FALSE)</f>
        <v>109.79089999999999</v>
      </c>
      <c r="D140" s="92">
        <f>VLOOKUP(A140,Database!$E:$AY,MATCH($D$1,Database!$E$1:$AY$1,0),FALSE)</f>
        <v>79.393389999999997</v>
      </c>
      <c r="E140" s="92">
        <f>VLOOKUP(A140,Database!$E:$AY,MATCH($E$1,Database!$E$1:$AY$1,0),FALSE)</f>
        <v>120.92910000000001</v>
      </c>
      <c r="F140" s="92">
        <f>VLOOKUP(A140,Database!$E:$AY,MATCH($F$1,Database!$E$1:$AY$1,0),FALSE)</f>
        <v>94.484250000000003</v>
      </c>
      <c r="G140" s="92">
        <f>VLOOKUP(A140,Database!$E:$AY,MATCH($G$1,Database!$E$1:$AY$1,0),FALSE)</f>
        <v>108.081</v>
      </c>
      <c r="H140" s="92">
        <f>(((Table134567891011121314151617343[[#This Row],[ITA]]-VLOOKUP($U$1,A:B,2,))/VLOOKUP($U$1,A:B,2,))*100)+100</f>
        <v>102.05592734264934</v>
      </c>
      <c r="I140" s="92">
        <f>(((Table134567891011121314151617343[[#This Row],[FRA]]-VLOOKUP($U$1,A:C,3,))/VLOOKUP($U$1,A:C,3,))*100)+100</f>
        <v>106.86192159110928</v>
      </c>
      <c r="J140" s="92">
        <f>(((Table134567891011121314151617343[[#This Row],[DEU]]-VLOOKUP($U$1,A:D,4,))/VLOOKUP($U$1,A:D,4,))*100)+100</f>
        <v>105.5851199295473</v>
      </c>
      <c r="K140" s="92">
        <f>(((Table134567891011121314151617343[[#This Row],[ESP]]-VLOOKUP($U$1,A:E,5,))/VLOOKUP($U$1,A:E,5,))*100)+100</f>
        <v>101.84009142348967</v>
      </c>
      <c r="L140" s="92">
        <f>(((Table134567891011121314151617343[[#This Row],[EA19]]-VLOOKUP($U$1,A:F,6,))/VLOOKUP($U$1,A:F,6,))*100)+100</f>
        <v>105.70469798657719</v>
      </c>
      <c r="M140" s="92">
        <f>(((Table134567891011121314151617343[[#This Row],[GBR]]-VLOOKUP($U$1,A:G,7,))/VLOOKUP($U$1,A:G,7,))*100)+100</f>
        <v>101.16618976347661</v>
      </c>
      <c r="N140" s="92">
        <f>VLOOKUP(A140,Database!$E:$AY,MATCH($N$1,Database!$E$1:$AY$1,0),FALSE)</f>
        <v>88.168340000000001</v>
      </c>
      <c r="O140" s="92">
        <f>(((Table134567891011121314151617343[[#This Row],[USA]]-VLOOKUP($U$1,A:N,14,))/VLOOKUP($U$1,A:N,14,))*100)+100</f>
        <v>102.15214061830726</v>
      </c>
      <c r="P140" s="92">
        <f>VLOOKUP(A140,Database!$E:$AY,MATCH($P$1,Database!$E$1:$AY$1,0),FALSE)</f>
        <v>98.753230000000002</v>
      </c>
      <c r="Q140" s="92">
        <f>(((Table134567891011121314151617343[[#This Row],[JPN]]-VLOOKUP($U$1,A:Q,16,))/VLOOKUP($U$1,A:Q,16,))*100)+100</f>
        <v>99.146215855787588</v>
      </c>
    </row>
    <row r="141" spans="1:17" s="85" customFormat="1" x14ac:dyDescent="0.2">
      <c r="A141" s="22">
        <v>37104</v>
      </c>
      <c r="B141" s="92">
        <f>VLOOKUP(A141,Database!$E:$AY,MATCH($B$1,Database!$E$1:$AY$1,0),FALSE)</f>
        <v>126.2895</v>
      </c>
      <c r="C141" s="92">
        <f>VLOOKUP(A141,Database!$E:$AY,MATCH($C$1,Database!$E$1:$AY$1,0),FALSE)</f>
        <v>112.51090000000001</v>
      </c>
      <c r="D141" s="92">
        <f>VLOOKUP(A141,Database!$E:$AY,MATCH($D$1,Database!$E$1:$AY$1,0),FALSE)</f>
        <v>81.593199999999996</v>
      </c>
      <c r="E141" s="92">
        <f>VLOOKUP(A141,Database!$E:$AY,MATCH($E$1,Database!$E$1:$AY$1,0),FALSE)</f>
        <v>125.5761</v>
      </c>
      <c r="F141" s="92">
        <f>VLOOKUP(A141,Database!$E:$AY,MATCH($F$1,Database!$E$1:$AY$1,0),FALSE)</f>
        <v>96.783869999999993</v>
      </c>
      <c r="G141" s="92">
        <f>VLOOKUP(A141,Database!$E:$AY,MATCH($G$1,Database!$E$1:$AY$1,0),FALSE)</f>
        <v>109.9498</v>
      </c>
      <c r="H141" s="92">
        <f>(((Table134567891011121314151617343[[#This Row],[ITA]]-VLOOKUP($U$1,A:B,2,))/VLOOKUP($U$1,A:B,2,))*100)+100</f>
        <v>103.86512366569922</v>
      </c>
      <c r="I141" s="92">
        <f>(((Table134567891011121314151617343[[#This Row],[FRA]]-VLOOKUP($U$1,A:C,3,))/VLOOKUP($U$1,A:C,3,))*100)+100</f>
        <v>109.50935800640252</v>
      </c>
      <c r="J141" s="92">
        <f>(((Table134567891011121314151617343[[#This Row],[DEU]]-VLOOKUP($U$1,A:D,4,))/VLOOKUP($U$1,A:D,4,))*100)+100</f>
        <v>108.51064310814212</v>
      </c>
      <c r="K141" s="92">
        <f>(((Table134567891011121314151617343[[#This Row],[ESP]]-VLOOKUP($U$1,A:E,5,))/VLOOKUP($U$1,A:E,5,))*100)+100</f>
        <v>105.75354901843544</v>
      </c>
      <c r="L141" s="92">
        <f>(((Table134567891011121314151617343[[#This Row],[EA19]]-VLOOKUP($U$1,A:F,6,))/VLOOKUP($U$1,A:F,6,))*100)+100</f>
        <v>108.27740865088253</v>
      </c>
      <c r="M141" s="92">
        <f>(((Table134567891011121314151617343[[#This Row],[GBR]]-VLOOKUP($U$1,A:G,7,))/VLOOKUP($U$1,A:G,7,))*100)+100</f>
        <v>102.91542760759339</v>
      </c>
      <c r="N141" s="92">
        <f>VLOOKUP(A141,Database!$E:$AY,MATCH($N$1,Database!$E$1:$AY$1,0),FALSE)</f>
        <v>88.059039999999996</v>
      </c>
      <c r="O141" s="92">
        <f>(((Table134567891011121314151617343[[#This Row],[USA]]-VLOOKUP($U$1,A:N,14,))/VLOOKUP($U$1,A:N,14,))*100)+100</f>
        <v>102.02550526405672</v>
      </c>
      <c r="P141" s="92">
        <f>VLOOKUP(A141,Database!$E:$AY,MATCH($P$1,Database!$E$1:$AY$1,0),FALSE)</f>
        <v>97.371319999999997</v>
      </c>
      <c r="Q141" s="92">
        <f>(((Table134567891011121314151617343[[#This Row],[JPN]]-VLOOKUP($U$1,A:Q,16,))/VLOOKUP($U$1,A:Q,16,))*100)+100</f>
        <v>97.758806581647676</v>
      </c>
    </row>
    <row r="142" spans="1:17" s="85" customFormat="1" x14ac:dyDescent="0.2">
      <c r="A142" s="22">
        <v>37135</v>
      </c>
      <c r="B142" s="92">
        <f>VLOOKUP(A142,Database!$E:$AY,MATCH($B$1,Database!$E$1:$AY$1,0),FALSE)</f>
        <v>124.28959999999999</v>
      </c>
      <c r="C142" s="92">
        <f>VLOOKUP(A142,Database!$E:$AY,MATCH($C$1,Database!$E$1:$AY$1,0),FALSE)</f>
        <v>110.7709</v>
      </c>
      <c r="D142" s="92">
        <f>VLOOKUP(A142,Database!$E:$AY,MATCH($D$1,Database!$E$1:$AY$1,0),FALSE)</f>
        <v>80.493290000000002</v>
      </c>
      <c r="E142" s="92">
        <f>VLOOKUP(A142,Database!$E:$AY,MATCH($E$1,Database!$E$1:$AY$1,0),FALSE)</f>
        <v>122.90009999999999</v>
      </c>
      <c r="F142" s="92">
        <f>VLOOKUP(A142,Database!$E:$AY,MATCH($F$1,Database!$E$1:$AY$1,0),FALSE)</f>
        <v>95.384100000000004</v>
      </c>
      <c r="G142" s="92">
        <f>VLOOKUP(A142,Database!$E:$AY,MATCH($G$1,Database!$E$1:$AY$1,0),FALSE)</f>
        <v>108.3925</v>
      </c>
      <c r="H142" s="92">
        <f>(((Table134567891011121314151617343[[#This Row],[ITA]]-VLOOKUP($U$1,A:B,2,))/VLOOKUP($U$1,A:B,2,))*100)+100</f>
        <v>102.2203324453758</v>
      </c>
      <c r="I142" s="92">
        <f>(((Table134567891011121314151617343[[#This Row],[FRA]]-VLOOKUP($U$1,A:C,3,))/VLOOKUP($U$1,A:C,3,))*100)+100</f>
        <v>107.81577735838405</v>
      </c>
      <c r="J142" s="92">
        <f>(((Table134567891011121314151617343[[#This Row],[DEU]]-VLOOKUP($U$1,A:D,4,))/VLOOKUP($U$1,A:D,4,))*100)+100</f>
        <v>107.04787486935413</v>
      </c>
      <c r="K142" s="92">
        <f>(((Table134567891011121314151617343[[#This Row],[ESP]]-VLOOKUP($U$1,A:E,5,))/VLOOKUP($U$1,A:E,5,))*100)+100</f>
        <v>103.49996336660094</v>
      </c>
      <c r="L142" s="92">
        <f>(((Table134567891011121314151617343[[#This Row],[EA19]]-VLOOKUP($U$1,A:F,6,))/VLOOKUP($U$1,A:F,6,))*100)+100</f>
        <v>106.71140939597316</v>
      </c>
      <c r="M142" s="92">
        <f>(((Table134567891011121314151617343[[#This Row],[GBR]]-VLOOKUP($U$1,A:G,7,))/VLOOKUP($U$1,A:G,7,))*100)+100</f>
        <v>101.45776060489483</v>
      </c>
      <c r="N142" s="92">
        <f>VLOOKUP(A142,Database!$E:$AY,MATCH($N$1,Database!$E$1:$AY$1,0),FALSE)</f>
        <v>87.722279999999998</v>
      </c>
      <c r="O142" s="92">
        <f>(((Table134567891011121314151617343[[#This Row],[USA]]-VLOOKUP($U$1,A:N,14,))/VLOOKUP($U$1,A:N,14,))*100)+100</f>
        <v>101.63533397496791</v>
      </c>
      <c r="P142" s="92">
        <f>VLOOKUP(A142,Database!$E:$AY,MATCH($P$1,Database!$E$1:$AY$1,0),FALSE)</f>
        <v>95.564210000000003</v>
      </c>
      <c r="Q142" s="92">
        <f>(((Table134567891011121314151617343[[#This Row],[JPN]]-VLOOKUP($U$1,A:Q,16,))/VLOOKUP($U$1,A:Q,16,))*100)+100</f>
        <v>95.944505235401564</v>
      </c>
    </row>
    <row r="143" spans="1:17" s="85" customFormat="1" x14ac:dyDescent="0.2">
      <c r="A143" s="22">
        <v>37165</v>
      </c>
      <c r="B143" s="92">
        <f>VLOOKUP(A143,Database!$E:$AY,MATCH($B$1,Database!$E$1:$AY$1,0),FALSE)</f>
        <v>123.58969999999999</v>
      </c>
      <c r="C143" s="92">
        <f>VLOOKUP(A143,Database!$E:$AY,MATCH($C$1,Database!$E$1:$AY$1,0),FALSE)</f>
        <v>109.98090000000001</v>
      </c>
      <c r="D143" s="92">
        <f>VLOOKUP(A143,Database!$E:$AY,MATCH($D$1,Database!$E$1:$AY$1,0),FALSE)</f>
        <v>79.093410000000006</v>
      </c>
      <c r="E143" s="92">
        <f>VLOOKUP(A143,Database!$E:$AY,MATCH($E$1,Database!$E$1:$AY$1,0),FALSE)</f>
        <v>121.7861</v>
      </c>
      <c r="F143" s="92">
        <f>VLOOKUP(A143,Database!$E:$AY,MATCH($F$1,Database!$E$1:$AY$1,0),FALSE)</f>
        <v>94.184299999999993</v>
      </c>
      <c r="G143" s="92">
        <f>VLOOKUP(A143,Database!$E:$AY,MATCH($G$1,Database!$E$1:$AY$1,0),FALSE)</f>
        <v>107.458</v>
      </c>
      <c r="H143" s="92">
        <f>(((Table134567891011121314151617343[[#This Row],[ITA]]-VLOOKUP($U$1,A:B,2,))/VLOOKUP($U$1,A:B,2,))*100)+100</f>
        <v>101.64470897665019</v>
      </c>
      <c r="I143" s="92">
        <f>(((Table134567891011121314151617343[[#This Row],[FRA]]-VLOOKUP($U$1,A:C,3,))/VLOOKUP($U$1,A:C,3,))*100)+100</f>
        <v>107.04685281129522</v>
      </c>
      <c r="J143" s="92">
        <f>(((Table134567891011121314151617343[[#This Row],[DEU]]-VLOOKUP($U$1,A:D,4,))/VLOOKUP($U$1,A:D,4,))*100)+100</f>
        <v>105.18617709215916</v>
      </c>
      <c r="K143" s="92">
        <f>(((Table134567891011121314151617343[[#This Row],[ESP]]-VLOOKUP($U$1,A:E,5,))/VLOOKUP($U$1,A:E,5,))*100)+100</f>
        <v>102.56181149210782</v>
      </c>
      <c r="L143" s="92">
        <f>(((Table134567891011121314151617343[[#This Row],[EA19]]-VLOOKUP($U$1,A:F,6,))/VLOOKUP($U$1,A:F,6,))*100)+100</f>
        <v>105.36912751677852</v>
      </c>
      <c r="M143" s="92">
        <f>(((Table134567891011121314151617343[[#This Row],[GBR]]-VLOOKUP($U$1,A:G,7,))/VLOOKUP($U$1,A:G,7,))*100)+100</f>
        <v>100.58304808064017</v>
      </c>
      <c r="N143" s="92">
        <f>VLOOKUP(A143,Database!$E:$AY,MATCH($N$1,Database!$E$1:$AY$1,0),FALSE)</f>
        <v>87.340580000000003</v>
      </c>
      <c r="O143" s="92">
        <f>(((Table134567891011121314151617343[[#This Row],[USA]]-VLOOKUP($U$1,A:N,14,))/VLOOKUP($U$1,A:N,14,))*100)+100</f>
        <v>101.19309504800152</v>
      </c>
      <c r="P143" s="92">
        <f>VLOOKUP(A143,Database!$E:$AY,MATCH($P$1,Database!$E$1:$AY$1,0),FALSE)</f>
        <v>95.564210000000003</v>
      </c>
      <c r="Q143" s="92">
        <f>(((Table134567891011121314151617343[[#This Row],[JPN]]-VLOOKUP($U$1,A:Q,16,))/VLOOKUP($U$1,A:Q,16,))*100)+100</f>
        <v>95.944505235401564</v>
      </c>
    </row>
    <row r="144" spans="1:17" s="85" customFormat="1" x14ac:dyDescent="0.2">
      <c r="A144" s="22">
        <v>37196</v>
      </c>
      <c r="B144" s="92">
        <f>VLOOKUP(A144,Database!$E:$AY,MATCH($B$1,Database!$E$1:$AY$1,0),FALSE)</f>
        <v>121.7898</v>
      </c>
      <c r="C144" s="92">
        <f>VLOOKUP(A144,Database!$E:$AY,MATCH($C$1,Database!$E$1:$AY$1,0),FALSE)</f>
        <v>108.7809</v>
      </c>
      <c r="D144" s="92">
        <f>VLOOKUP(A144,Database!$E:$AY,MATCH($D$1,Database!$E$1:$AY$1,0),FALSE)</f>
        <v>78.093490000000003</v>
      </c>
      <c r="E144" s="92">
        <f>VLOOKUP(A144,Database!$E:$AY,MATCH($E$1,Database!$E$1:$AY$1,0),FALSE)</f>
        <v>119.95310000000001</v>
      </c>
      <c r="F144" s="92">
        <f>VLOOKUP(A144,Database!$E:$AY,MATCH($F$1,Database!$E$1:$AY$1,0),FALSE)</f>
        <v>93.48442</v>
      </c>
      <c r="G144" s="92">
        <f>VLOOKUP(A144,Database!$E:$AY,MATCH($G$1,Database!$E$1:$AY$1,0),FALSE)</f>
        <v>107.0427</v>
      </c>
      <c r="H144" s="92">
        <f>(((Table134567891011121314151617343[[#This Row],[ITA]]-VLOOKUP($U$1,A:B,2,))/VLOOKUP($U$1,A:B,2,))*100)+100</f>
        <v>100.16440510272646</v>
      </c>
      <c r="I144" s="92">
        <f>(((Table134567891011121314151617343[[#This Row],[FRA]]-VLOOKUP($U$1,A:C,3,))/VLOOKUP($U$1,A:C,3,))*100)+100</f>
        <v>105.87886615748938</v>
      </c>
      <c r="J144" s="92">
        <f>(((Table134567891011121314151617343[[#This Row],[DEU]]-VLOOKUP($U$1,A:D,4,))/VLOOKUP($U$1,A:D,4,))*100)+100</f>
        <v>103.85638536617348</v>
      </c>
      <c r="K144" s="92">
        <f>(((Table134567891011121314151617343[[#This Row],[ESP]]-VLOOKUP($U$1,A:E,5,))/VLOOKUP($U$1,A:E,5,))*100)+100</f>
        <v>101.01815584942747</v>
      </c>
      <c r="L144" s="92">
        <f>(((Table134567891011121314151617343[[#This Row],[EA19]]-VLOOKUP($U$1,A:F,6,))/VLOOKUP($U$1,A:F,6,))*100)+100</f>
        <v>104.5861334830973</v>
      </c>
      <c r="M144" s="92">
        <f>(((Table134567891011121314151617343[[#This Row],[GBR]]-VLOOKUP($U$1,A:G,7,))/VLOOKUP($U$1,A:G,7,))*100)+100</f>
        <v>100.1943181594813</v>
      </c>
      <c r="N144" s="92">
        <f>VLOOKUP(A144,Database!$E:$AY,MATCH($N$1,Database!$E$1:$AY$1,0),FALSE)</f>
        <v>86.912670000000006</v>
      </c>
      <c r="O144" s="92">
        <f>(((Table134567891011121314151617343[[#This Row],[USA]]-VLOOKUP($U$1,A:N,14,))/VLOOKUP($U$1,A:N,14,))*100)+100</f>
        <v>100.697317056809</v>
      </c>
      <c r="P144" s="92">
        <f>VLOOKUP(A144,Database!$E:$AY,MATCH($P$1,Database!$E$1:$AY$1,0),FALSE)</f>
        <v>94.075999999999993</v>
      </c>
      <c r="Q144" s="92">
        <f>(((Table134567891011121314151617343[[#This Row],[JPN]]-VLOOKUP($U$1,A:Q,16,))/VLOOKUP($U$1,A:Q,16,))*100)+100</f>
        <v>94.450372943235095</v>
      </c>
    </row>
    <row r="145" spans="1:17" s="85" customFormat="1" x14ac:dyDescent="0.2">
      <c r="A145" s="22">
        <v>37226</v>
      </c>
      <c r="B145" s="92">
        <f>VLOOKUP(A145,Database!$E:$AY,MATCH($B$1,Database!$E$1:$AY$1,0),FALSE)</f>
        <v>123.3897</v>
      </c>
      <c r="C145" s="92">
        <f>VLOOKUP(A145,Database!$E:$AY,MATCH($C$1,Database!$E$1:$AY$1,0),FALSE)</f>
        <v>109.48090000000001</v>
      </c>
      <c r="D145" s="92">
        <f>VLOOKUP(A145,Database!$E:$AY,MATCH($D$1,Database!$E$1:$AY$1,0),FALSE)</f>
        <v>78.593450000000004</v>
      </c>
      <c r="E145" s="92">
        <f>VLOOKUP(A145,Database!$E:$AY,MATCH($E$1,Database!$E$1:$AY$1,0),FALSE)</f>
        <v>119.80410000000001</v>
      </c>
      <c r="F145" s="92">
        <f>VLOOKUP(A145,Database!$E:$AY,MATCH($F$1,Database!$E$1:$AY$1,0),FALSE)</f>
        <v>94.184299999999993</v>
      </c>
      <c r="G145" s="92">
        <f>VLOOKUP(A145,Database!$E:$AY,MATCH($G$1,Database!$E$1:$AY$1,0),FALSE)</f>
        <v>107.14660000000001</v>
      </c>
      <c r="H145" s="92">
        <f>(((Table134567891011121314151617343[[#This Row],[ITA]]-VLOOKUP($U$1,A:B,2,))/VLOOKUP($U$1,A:B,2,))*100)+100</f>
        <v>101.48022163025054</v>
      </c>
      <c r="I145" s="92">
        <f>(((Table134567891011121314151617343[[#This Row],[FRA]]-VLOOKUP($U$1,A:C,3,))/VLOOKUP($U$1,A:C,3,))*100)+100</f>
        <v>106.56019170554279</v>
      </c>
      <c r="J145" s="92">
        <f>(((Table134567891011121314151617343[[#This Row],[DEU]]-VLOOKUP($U$1,A:D,4,))/VLOOKUP($U$1,A:D,4,))*100)+100</f>
        <v>104.52128122916632</v>
      </c>
      <c r="K145" s="92">
        <f>(((Table134567891011121314151617343[[#This Row],[ESP]]-VLOOKUP($U$1,A:E,5,))/VLOOKUP($U$1,A:E,5,))*100)+100</f>
        <v>100.89267593084625</v>
      </c>
      <c r="L145" s="92">
        <f>(((Table134567891011121314151617343[[#This Row],[EA19]]-VLOOKUP($U$1,A:F,6,))/VLOOKUP($U$1,A:F,6,))*100)+100</f>
        <v>105.36912751677852</v>
      </c>
      <c r="M145" s="92">
        <f>(((Table134567891011121314151617343[[#This Row],[GBR]]-VLOOKUP($U$1,A:G,7,))/VLOOKUP($U$1,A:G,7,))*100)+100</f>
        <v>100.29157084141823</v>
      </c>
      <c r="N145" s="92">
        <f>VLOOKUP(A145,Database!$E:$AY,MATCH($N$1,Database!$E$1:$AY$1,0),FALSE)</f>
        <v>86.933120000000002</v>
      </c>
      <c r="O145" s="92">
        <f>(((Table134567891011121314151617343[[#This Row],[USA]]-VLOOKUP($U$1,A:N,14,))/VLOOKUP($U$1,A:N,14,))*100)+100</f>
        <v>100.72101049683116</v>
      </c>
      <c r="P145" s="92">
        <f>VLOOKUP(A145,Database!$E:$AY,MATCH($P$1,Database!$E$1:$AY$1,0),FALSE)</f>
        <v>95.032709999999994</v>
      </c>
      <c r="Q145" s="92">
        <f>(((Table134567891011121314151617343[[#This Row],[JPN]]-VLOOKUP($U$1,A:Q,16,))/VLOOKUP($U$1,A:Q,16,))*100)+100</f>
        <v>95.410890145268795</v>
      </c>
    </row>
    <row r="146" spans="1:17" s="85" customFormat="1" x14ac:dyDescent="0.2">
      <c r="A146" s="22">
        <v>37257</v>
      </c>
      <c r="B146" s="92">
        <f>VLOOKUP(A146,Database!$E:$AY,MATCH($B$1,Database!$E$1:$AY$1,0),FALSE)</f>
        <v>122.2898</v>
      </c>
      <c r="C146" s="92">
        <f>VLOOKUP(A146,Database!$E:$AY,MATCH($C$1,Database!$E$1:$AY$1,0),FALSE)</f>
        <v>109.4509</v>
      </c>
      <c r="D146" s="92">
        <f>VLOOKUP(A146,Database!$E:$AY,MATCH($D$1,Database!$E$1:$AY$1,0),FALSE)</f>
        <v>78.99342</v>
      </c>
      <c r="E146" s="92">
        <f>VLOOKUP(A146,Database!$E:$AY,MATCH($E$1,Database!$E$1:$AY$1,0),FALSE)</f>
        <v>121.45610000000001</v>
      </c>
      <c r="F146" s="92">
        <f>VLOOKUP(A146,Database!$E:$AY,MATCH($F$1,Database!$E$1:$AY$1,0),FALSE)</f>
        <v>94.184299999999993</v>
      </c>
      <c r="G146" s="92">
        <f>VLOOKUP(A146,Database!$E:$AY,MATCH($G$1,Database!$E$1:$AY$1,0),FALSE)</f>
        <v>106.8351</v>
      </c>
      <c r="H146" s="92">
        <f>(((Table134567891011121314151617343[[#This Row],[ITA]]-VLOOKUP($U$1,A:B,2,))/VLOOKUP($U$1,A:B,2,))*100)+100</f>
        <v>100.57562346872561</v>
      </c>
      <c r="I146" s="92">
        <f>(((Table134567891011121314151617343[[#This Row],[FRA]]-VLOOKUP($U$1,A:C,3,))/VLOOKUP($U$1,A:C,3,))*100)+100</f>
        <v>106.53099203919764</v>
      </c>
      <c r="J146" s="92">
        <f>(((Table134567891011121314151617343[[#This Row],[DEU]]-VLOOKUP($U$1,A:D,4,))/VLOOKUP($U$1,A:D,4,))*100)+100</f>
        <v>105.05320057935681</v>
      </c>
      <c r="K146" s="92">
        <f>(((Table134567891011121314151617343[[#This Row],[ESP]]-VLOOKUP($U$1,A:E,5,))/VLOOKUP($U$1,A:E,5,))*100)+100</f>
        <v>102.28390294759909</v>
      </c>
      <c r="L146" s="92">
        <f>(((Table134567891011121314151617343[[#This Row],[EA19]]-VLOOKUP($U$1,A:F,6,))/VLOOKUP($U$1,A:F,6,))*100)+100</f>
        <v>105.36912751677852</v>
      </c>
      <c r="M146" s="92">
        <f>(((Table134567891011121314151617343[[#This Row],[GBR]]-VLOOKUP($U$1,A:G,7,))/VLOOKUP($U$1,A:G,7,))*100)+100</f>
        <v>100</v>
      </c>
      <c r="N146" s="92">
        <f>VLOOKUP(A146,Database!$E:$AY,MATCH($N$1,Database!$E$1:$AY$1,0),FALSE)</f>
        <v>87.482640000000004</v>
      </c>
      <c r="O146" s="92">
        <f>(((Table134567891011121314151617343[[#This Row],[USA]]-VLOOKUP($U$1,A:N,14,))/VLOOKUP($U$1,A:N,14,))*100)+100</f>
        <v>101.35768625042448</v>
      </c>
      <c r="P146" s="92">
        <f>VLOOKUP(A146,Database!$E:$AY,MATCH($P$1,Database!$E$1:$AY$1,0),FALSE)</f>
        <v>94.50121</v>
      </c>
      <c r="Q146" s="92">
        <f>(((Table134567891011121314151617343[[#This Row],[JPN]]-VLOOKUP($U$1,A:Q,16,))/VLOOKUP($U$1,A:Q,16,))*100)+100</f>
        <v>94.877275055136053</v>
      </c>
    </row>
    <row r="147" spans="1:17" s="85" customFormat="1" x14ac:dyDescent="0.2">
      <c r="A147" s="22">
        <v>37288</v>
      </c>
      <c r="B147" s="92">
        <f>VLOOKUP(A147,Database!$E:$AY,MATCH($B$1,Database!$E$1:$AY$1,0),FALSE)</f>
        <v>123.8897</v>
      </c>
      <c r="C147" s="92">
        <f>VLOOKUP(A147,Database!$E:$AY,MATCH($C$1,Database!$E$1:$AY$1,0),FALSE)</f>
        <v>109.8409</v>
      </c>
      <c r="D147" s="92">
        <f>VLOOKUP(A147,Database!$E:$AY,MATCH($D$1,Database!$E$1:$AY$1,0),FALSE)</f>
        <v>79.193399999999997</v>
      </c>
      <c r="E147" s="92">
        <f>VLOOKUP(A147,Database!$E:$AY,MATCH($E$1,Database!$E$1:$AY$1,0),FALSE)</f>
        <v>121.8021</v>
      </c>
      <c r="F147" s="92">
        <f>VLOOKUP(A147,Database!$E:$AY,MATCH($F$1,Database!$E$1:$AY$1,0),FALSE)</f>
        <v>94.484250000000003</v>
      </c>
      <c r="G147" s="92">
        <f>VLOOKUP(A147,Database!$E:$AY,MATCH($G$1,Database!$E$1:$AY$1,0),FALSE)</f>
        <v>107.458</v>
      </c>
      <c r="H147" s="92">
        <f>(((Table134567891011121314151617343[[#This Row],[ITA]]-VLOOKUP($U$1,A:B,2,))/VLOOKUP($U$1,A:B,2,))*100)+100</f>
        <v>101.89143999624969</v>
      </c>
      <c r="I147" s="92">
        <f>(((Table134567891011121314151617343[[#This Row],[FRA]]-VLOOKUP($U$1,A:C,3,))/VLOOKUP($U$1,A:C,3,))*100)+100</f>
        <v>106.91058770168453</v>
      </c>
      <c r="J147" s="92">
        <f>(((Table134567891011121314151617343[[#This Row],[DEU]]-VLOOKUP($U$1,A:D,4,))/VLOOKUP($U$1,A:D,4,))*100)+100</f>
        <v>105.31915360496147</v>
      </c>
      <c r="K147" s="92">
        <f>(((Table134567891011121314151617343[[#This Row],[ESP]]-VLOOKUP($U$1,A:E,5,))/VLOOKUP($U$1,A:E,5,))*100)+100</f>
        <v>102.57528584578097</v>
      </c>
      <c r="L147" s="92">
        <f>(((Table134567891011121314151617343[[#This Row],[EA19]]-VLOOKUP($U$1,A:F,6,))/VLOOKUP($U$1,A:F,6,))*100)+100</f>
        <v>105.70469798657719</v>
      </c>
      <c r="M147" s="92">
        <f>(((Table134567891011121314151617343[[#This Row],[GBR]]-VLOOKUP($U$1,A:G,7,))/VLOOKUP($U$1,A:G,7,))*100)+100</f>
        <v>100.58304808064017</v>
      </c>
      <c r="N147" s="92">
        <f>VLOOKUP(A147,Database!$E:$AY,MATCH($N$1,Database!$E$1:$AY$1,0),FALSE)</f>
        <v>87.459479999999999</v>
      </c>
      <c r="O147" s="92">
        <f>(((Table134567891011121314151617343[[#This Row],[USA]]-VLOOKUP($U$1,A:N,14,))/VLOOKUP($U$1,A:N,14,))*100)+100</f>
        <v>101.33085299512308</v>
      </c>
      <c r="P147" s="92">
        <f>VLOOKUP(A147,Database!$E:$AY,MATCH($P$1,Database!$E$1:$AY$1,0),FALSE)</f>
        <v>95.670509999999993</v>
      </c>
      <c r="Q147" s="92">
        <f>(((Table134567891011121314151617343[[#This Row],[JPN]]-VLOOKUP($U$1,A:Q,16,))/VLOOKUP($U$1,A:Q,16,))*100)+100</f>
        <v>96.051228253428107</v>
      </c>
    </row>
    <row r="148" spans="1:17" s="85" customFormat="1" x14ac:dyDescent="0.2">
      <c r="A148" s="22">
        <v>37316</v>
      </c>
      <c r="B148" s="92">
        <f>VLOOKUP(A148,Database!$E:$AY,MATCH($B$1,Database!$E$1:$AY$1,0),FALSE)</f>
        <v>124.5896</v>
      </c>
      <c r="C148" s="92">
        <f>VLOOKUP(A148,Database!$E:$AY,MATCH($C$1,Database!$E$1:$AY$1,0),FALSE)</f>
        <v>110.37090000000001</v>
      </c>
      <c r="D148" s="92">
        <f>VLOOKUP(A148,Database!$E:$AY,MATCH($D$1,Database!$E$1:$AY$1,0),FALSE)</f>
        <v>79.393389999999997</v>
      </c>
      <c r="E148" s="92">
        <f>VLOOKUP(A148,Database!$E:$AY,MATCH($E$1,Database!$E$1:$AY$1,0),FALSE)</f>
        <v>121.19110000000001</v>
      </c>
      <c r="F148" s="92">
        <f>VLOOKUP(A148,Database!$E:$AY,MATCH($F$1,Database!$E$1:$AY$1,0),FALSE)</f>
        <v>95.284120000000001</v>
      </c>
      <c r="G148" s="92">
        <f>VLOOKUP(A148,Database!$E:$AY,MATCH($G$1,Database!$E$1:$AY$1,0),FALSE)</f>
        <v>109.4307</v>
      </c>
      <c r="H148" s="92">
        <f>(((Table134567891011121314151617343[[#This Row],[ITA]]-VLOOKUP($U$1,A:B,2,))/VLOOKUP($U$1,A:B,2,))*100)+100</f>
        <v>102.4670634649753</v>
      </c>
      <c r="I148" s="92">
        <f>(((Table134567891011121314151617343[[#This Row],[FRA]]-VLOOKUP($U$1,A:C,3,))/VLOOKUP($U$1,A:C,3,))*100)+100</f>
        <v>107.42644847378212</v>
      </c>
      <c r="J148" s="92">
        <f>(((Table134567891011121314151617343[[#This Row],[DEU]]-VLOOKUP($U$1,A:D,4,))/VLOOKUP($U$1,A:D,4,))*100)+100</f>
        <v>105.5851199295473</v>
      </c>
      <c r="K148" s="92">
        <f>(((Table134567891011121314151617343[[#This Row],[ESP]]-VLOOKUP($U$1,A:E,5,))/VLOOKUP($U$1,A:E,5,))*100)+100</f>
        <v>102.06073396488752</v>
      </c>
      <c r="L148" s="92">
        <f>(((Table134567891011121314151617343[[#This Row],[EA19]]-VLOOKUP($U$1,A:F,6,))/VLOOKUP($U$1,A:F,6,))*100)+100</f>
        <v>106.59955630188925</v>
      </c>
      <c r="M148" s="92">
        <f>(((Table134567891011121314151617343[[#This Row],[GBR]]-VLOOKUP($U$1,A:G,7,))/VLOOKUP($U$1,A:G,7,))*100)+100</f>
        <v>102.42953860669387</v>
      </c>
      <c r="N148" s="92">
        <f>VLOOKUP(A148,Database!$E:$AY,MATCH($N$1,Database!$E$1:$AY$1,0),FALSE)</f>
        <v>88.172849999999997</v>
      </c>
      <c r="O148" s="92">
        <f>(((Table134567891011121314151617343[[#This Row],[USA]]-VLOOKUP($U$1,A:N,14,))/VLOOKUP($U$1,A:N,14,))*100)+100</f>
        <v>102.15736591974979</v>
      </c>
      <c r="P148" s="92">
        <f>VLOOKUP(A148,Database!$E:$AY,MATCH($P$1,Database!$E$1:$AY$1,0),FALSE)</f>
        <v>96.095709999999997</v>
      </c>
      <c r="Q148" s="92">
        <f>(((Table134567891011121314151617343[[#This Row],[JPN]]-VLOOKUP($U$1,A:Q,16,))/VLOOKUP($U$1,A:Q,16,))*100)+100</f>
        <v>96.47812032553432</v>
      </c>
    </row>
    <row r="149" spans="1:17" s="85" customFormat="1" x14ac:dyDescent="0.2">
      <c r="A149" s="22">
        <v>37347</v>
      </c>
      <c r="B149" s="92">
        <f>VLOOKUP(A149,Database!$E:$AY,MATCH($B$1,Database!$E$1:$AY$1,0),FALSE)</f>
        <v>120.98990000000001</v>
      </c>
      <c r="C149" s="92">
        <f>VLOOKUP(A149,Database!$E:$AY,MATCH($C$1,Database!$E$1:$AY$1,0),FALSE)</f>
        <v>111.0909</v>
      </c>
      <c r="D149" s="92">
        <f>VLOOKUP(A149,Database!$E:$AY,MATCH($D$1,Database!$E$1:$AY$1,0),FALSE)</f>
        <v>79.493380000000002</v>
      </c>
      <c r="E149" s="92">
        <f>VLOOKUP(A149,Database!$E:$AY,MATCH($E$1,Database!$E$1:$AY$1,0),FALSE)</f>
        <v>122.7251</v>
      </c>
      <c r="F149" s="92">
        <f>VLOOKUP(A149,Database!$E:$AY,MATCH($F$1,Database!$E$1:$AY$1,0),FALSE)</f>
        <v>95.084149999999994</v>
      </c>
      <c r="G149" s="92">
        <f>VLOOKUP(A149,Database!$E:$AY,MATCH($G$1,Database!$E$1:$AY$1,0),FALSE)</f>
        <v>107.56189999999999</v>
      </c>
      <c r="H149" s="92">
        <f>(((Table134567891011121314151617343[[#This Row],[ITA]]-VLOOKUP($U$1,A:B,2,))/VLOOKUP($U$1,A:B,2,))*100)+100</f>
        <v>99.506537960801026</v>
      </c>
      <c r="I149" s="92">
        <f>(((Table134567891011121314151617343[[#This Row],[FRA]]-VLOOKUP($U$1,A:C,3,))/VLOOKUP($U$1,A:C,3,))*100)+100</f>
        <v>108.12724046606562</v>
      </c>
      <c r="J149" s="92">
        <f>(((Table134567891011121314151617343[[#This Row],[DEU]]-VLOOKUP($U$1,A:D,4,))/VLOOKUP($U$1,A:D,4,))*100)+100</f>
        <v>105.71809644234965</v>
      </c>
      <c r="K149" s="92">
        <f>(((Table134567891011121314151617343[[#This Row],[ESP]]-VLOOKUP($U$1,A:E,5,))/VLOOKUP($U$1,A:E,5,))*100)+100</f>
        <v>103.35258762330086</v>
      </c>
      <c r="L149" s="92">
        <f>(((Table134567891011121314151617343[[#This Row],[EA19]]-VLOOKUP($U$1,A:F,6,))/VLOOKUP($U$1,A:F,6,))*100)+100</f>
        <v>106.3758389261745</v>
      </c>
      <c r="M149" s="92">
        <f>(((Table134567891011121314151617343[[#This Row],[GBR]]-VLOOKUP($U$1,A:G,7,))/VLOOKUP($U$1,A:G,7,))*100)+100</f>
        <v>100.68030076257709</v>
      </c>
      <c r="N149" s="92">
        <f>VLOOKUP(A149,Database!$E:$AY,MATCH($N$1,Database!$E$1:$AY$1,0),FALSE)</f>
        <v>88.53698</v>
      </c>
      <c r="O149" s="92">
        <f>(((Table134567891011121314151617343[[#This Row],[USA]]-VLOOKUP($U$1,A:N,14,))/VLOOKUP($U$1,A:N,14,))*100)+100</f>
        <v>102.57924818455533</v>
      </c>
      <c r="P149" s="92">
        <f>VLOOKUP(A149,Database!$E:$AY,MATCH($P$1,Database!$E$1:$AY$1,0),FALSE)</f>
        <v>95.989410000000007</v>
      </c>
      <c r="Q149" s="92">
        <f>(((Table134567891011121314151617343[[#This Row],[JPN]]-VLOOKUP($U$1,A:Q,16,))/VLOOKUP($U$1,A:Q,16,))*100)+100</f>
        <v>96.371397307507777</v>
      </c>
    </row>
    <row r="150" spans="1:17" s="85" customFormat="1" x14ac:dyDescent="0.2">
      <c r="A150" s="22">
        <v>37377</v>
      </c>
      <c r="B150" s="92">
        <f>VLOOKUP(A150,Database!$E:$AY,MATCH($B$1,Database!$E$1:$AY$1,0),FALSE)</f>
        <v>125.1896</v>
      </c>
      <c r="C150" s="92">
        <f>VLOOKUP(A150,Database!$E:$AY,MATCH($C$1,Database!$E$1:$AY$1,0),FALSE)</f>
        <v>110.1309</v>
      </c>
      <c r="D150" s="92">
        <f>VLOOKUP(A150,Database!$E:$AY,MATCH($D$1,Database!$E$1:$AY$1,0),FALSE)</f>
        <v>78.693439999999995</v>
      </c>
      <c r="E150" s="92">
        <f>VLOOKUP(A150,Database!$E:$AY,MATCH($E$1,Database!$E$1:$AY$1,0),FALSE)</f>
        <v>121.4791</v>
      </c>
      <c r="F150" s="92">
        <f>VLOOKUP(A150,Database!$E:$AY,MATCH($F$1,Database!$E$1:$AY$1,0),FALSE)</f>
        <v>95.484089999999995</v>
      </c>
      <c r="G150" s="92">
        <f>VLOOKUP(A150,Database!$E:$AY,MATCH($G$1,Database!$E$1:$AY$1,0),FALSE)</f>
        <v>108.8078</v>
      </c>
      <c r="H150" s="92">
        <f>(((Table134567891011121314151617343[[#This Row],[ITA]]-VLOOKUP($U$1,A:B,2,))/VLOOKUP($U$1,A:B,2,))*100)+100</f>
        <v>102.96052550417427</v>
      </c>
      <c r="I150" s="92">
        <f>(((Table134567891011121314151617343[[#This Row],[FRA]]-VLOOKUP($U$1,A:C,3,))/VLOOKUP($U$1,A:C,3,))*100)+100</f>
        <v>107.19285114302095</v>
      </c>
      <c r="J150" s="92">
        <f>(((Table134567891011121314151617343[[#This Row],[DEU]]-VLOOKUP($U$1,A:D,4,))/VLOOKUP($U$1,A:D,4,))*100)+100</f>
        <v>104.65425774196864</v>
      </c>
      <c r="K150" s="92">
        <f>(((Table134567891011121314151617343[[#This Row],[ESP]]-VLOOKUP($U$1,A:E,5,))/VLOOKUP($U$1,A:E,5,))*100)+100</f>
        <v>102.30327233100424</v>
      </c>
      <c r="L150" s="92">
        <f>(((Table134567891011121314151617343[[#This Row],[EA19]]-VLOOKUP($U$1,A:F,6,))/VLOOKUP($U$1,A:F,6,))*100)+100</f>
        <v>106.82327367760399</v>
      </c>
      <c r="M150" s="92">
        <f>(((Table134567891011121314151617343[[#This Row],[GBR]]-VLOOKUP($U$1,A:G,7,))/VLOOKUP($U$1,A:G,7,))*100)+100</f>
        <v>101.8464905260537</v>
      </c>
      <c r="N150" s="92">
        <f>VLOOKUP(A150,Database!$E:$AY,MATCH($N$1,Database!$E$1:$AY$1,0),FALSE)</f>
        <v>88.911289999999994</v>
      </c>
      <c r="O150" s="92">
        <f>(((Table134567891011121314151617343[[#This Row],[USA]]-VLOOKUP($U$1,A:N,14,))/VLOOKUP($U$1,A:N,14,))*100)+100</f>
        <v>103.01292503221785</v>
      </c>
      <c r="P150" s="92">
        <f>VLOOKUP(A150,Database!$E:$AY,MATCH($P$1,Database!$E$1:$AY$1,0),FALSE)</f>
        <v>99.816230000000004</v>
      </c>
      <c r="Q150" s="92">
        <f>(((Table134567891011121314151617343[[#This Row],[JPN]]-VLOOKUP($U$1,A:Q,16,))/VLOOKUP($U$1,A:Q,16,))*100)+100</f>
        <v>100.21344603605311</v>
      </c>
    </row>
    <row r="151" spans="1:17" s="85" customFormat="1" x14ac:dyDescent="0.2">
      <c r="A151" s="22">
        <v>37408</v>
      </c>
      <c r="B151" s="92">
        <f>VLOOKUP(A151,Database!$E:$AY,MATCH($B$1,Database!$E$1:$AY$1,0),FALSE)</f>
        <v>123.9897</v>
      </c>
      <c r="C151" s="92">
        <f>VLOOKUP(A151,Database!$E:$AY,MATCH($C$1,Database!$E$1:$AY$1,0),FALSE)</f>
        <v>109.9409</v>
      </c>
      <c r="D151" s="92">
        <f>VLOOKUP(A151,Database!$E:$AY,MATCH($D$1,Database!$E$1:$AY$1,0),FALSE)</f>
        <v>80.893259999999998</v>
      </c>
      <c r="E151" s="92">
        <f>VLOOKUP(A151,Database!$E:$AY,MATCH($E$1,Database!$E$1:$AY$1,0),FALSE)</f>
        <v>121.2251</v>
      </c>
      <c r="F151" s="92">
        <f>VLOOKUP(A151,Database!$E:$AY,MATCH($F$1,Database!$E$1:$AY$1,0),FALSE)</f>
        <v>95.884020000000007</v>
      </c>
      <c r="G151" s="92">
        <f>VLOOKUP(A151,Database!$E:$AY,MATCH($G$1,Database!$E$1:$AY$1,0),FALSE)</f>
        <v>105.1739</v>
      </c>
      <c r="H151" s="92">
        <f>(((Table134567891011121314151617343[[#This Row],[ITA]]-VLOOKUP($U$1,A:B,2,))/VLOOKUP($U$1,A:B,2,))*100)+100</f>
        <v>101.97368366944951</v>
      </c>
      <c r="I151" s="92">
        <f>(((Table134567891011121314151617343[[#This Row],[FRA]]-VLOOKUP($U$1,A:C,3,))/VLOOKUP($U$1,A:C,3,))*100)+100</f>
        <v>107.00791992283501</v>
      </c>
      <c r="J151" s="92">
        <f>(((Table134567891011121314151617343[[#This Row],[DEU]]-VLOOKUP($U$1,A:D,4,))/VLOOKUP($U$1,A:D,4,))*100)+100</f>
        <v>107.57979421954462</v>
      </c>
      <c r="K151" s="92">
        <f>(((Table134567891011121314151617343[[#This Row],[ESP]]-VLOOKUP($U$1,A:E,5,))/VLOOKUP($U$1,A:E,5,))*100)+100</f>
        <v>102.08936696644297</v>
      </c>
      <c r="L151" s="92">
        <f>(((Table134567891011121314151617343[[#This Row],[EA19]]-VLOOKUP($U$1,A:F,6,))/VLOOKUP($U$1,A:F,6,))*100)+100</f>
        <v>107.27069724148657</v>
      </c>
      <c r="M151" s="92">
        <f>(((Table134567891011121314151617343[[#This Row],[GBR]]-VLOOKUP($U$1,A:G,7,))/VLOOKUP($U$1,A:G,7,))*100)+100</f>
        <v>98.445080315364521</v>
      </c>
      <c r="N151" s="92">
        <f>VLOOKUP(A151,Database!$E:$AY,MATCH($N$1,Database!$E$1:$AY$1,0),FALSE)</f>
        <v>89.757310000000004</v>
      </c>
      <c r="O151" s="92">
        <f>(((Table134567891011121314151617343[[#This Row],[USA]]-VLOOKUP($U$1,A:N,14,))/VLOOKUP($U$1,A:N,14,))*100)+100</f>
        <v>103.99312670104706</v>
      </c>
      <c r="P151" s="92">
        <f>VLOOKUP(A151,Database!$E:$AY,MATCH($P$1,Database!$E$1:$AY$1,0),FALSE)</f>
        <v>98.646929999999998</v>
      </c>
      <c r="Q151" s="92">
        <f>(((Table134567891011121314151617343[[#This Row],[JPN]]-VLOOKUP($U$1,A:Q,16,))/VLOOKUP($U$1,A:Q,16,))*100)+100</f>
        <v>99.039492837761031</v>
      </c>
    </row>
    <row r="152" spans="1:17" s="85" customFormat="1" x14ac:dyDescent="0.2">
      <c r="A152" s="22">
        <v>37438</v>
      </c>
      <c r="B152" s="92">
        <f>VLOOKUP(A152,Database!$E:$AY,MATCH($B$1,Database!$E$1:$AY$1,0),FALSE)</f>
        <v>123.4897</v>
      </c>
      <c r="C152" s="92">
        <f>VLOOKUP(A152,Database!$E:$AY,MATCH($C$1,Database!$E$1:$AY$1,0),FALSE)</f>
        <v>108.8109</v>
      </c>
      <c r="D152" s="92">
        <f>VLOOKUP(A152,Database!$E:$AY,MATCH($D$1,Database!$E$1:$AY$1,0),FALSE)</f>
        <v>79.393389999999997</v>
      </c>
      <c r="E152" s="92">
        <f>VLOOKUP(A152,Database!$E:$AY,MATCH($E$1,Database!$E$1:$AY$1,0),FALSE)</f>
        <v>122.2231</v>
      </c>
      <c r="F152" s="92">
        <f>VLOOKUP(A152,Database!$E:$AY,MATCH($F$1,Database!$E$1:$AY$1,0),FALSE)</f>
        <v>95.184139999999999</v>
      </c>
      <c r="G152" s="92">
        <f>VLOOKUP(A152,Database!$E:$AY,MATCH($G$1,Database!$E$1:$AY$1,0),FALSE)</f>
        <v>106.316</v>
      </c>
      <c r="H152" s="92">
        <f>(((Table134567891011121314151617343[[#This Row],[ITA]]-VLOOKUP($U$1,A:B,2,))/VLOOKUP($U$1,A:B,2,))*100)+100</f>
        <v>101.56246530345037</v>
      </c>
      <c r="I152" s="92">
        <f>(((Table134567891011121314151617343[[#This Row],[FRA]]-VLOOKUP($U$1,A:C,3,))/VLOOKUP($U$1,A:C,3,))*100)+100</f>
        <v>105.90806582383453</v>
      </c>
      <c r="J152" s="92">
        <f>(((Table134567891011121314151617343[[#This Row],[DEU]]-VLOOKUP($U$1,A:D,4,))/VLOOKUP($U$1,A:D,4,))*100)+100</f>
        <v>105.5851199295473</v>
      </c>
      <c r="K152" s="92">
        <f>(((Table134567891011121314151617343[[#This Row],[ESP]]-VLOOKUP($U$1,A:E,5,))/VLOOKUP($U$1,A:E,5,))*100)+100</f>
        <v>102.92982977680575</v>
      </c>
      <c r="L152" s="92">
        <f>(((Table134567891011121314151617343[[#This Row],[EA19]]-VLOOKUP($U$1,A:F,6,))/VLOOKUP($U$1,A:F,6,))*100)+100</f>
        <v>106.48770320780534</v>
      </c>
      <c r="M152" s="92">
        <f>(((Table134567891011121314151617343[[#This Row],[GBR]]-VLOOKUP($U$1,A:G,7,))/VLOOKUP($U$1,A:G,7,))*100)+100</f>
        <v>99.514110999100481</v>
      </c>
      <c r="N152" s="92">
        <f>VLOOKUP(A152,Database!$E:$AY,MATCH($N$1,Database!$E$1:$AY$1,0),FALSE)</f>
        <v>89.542249999999996</v>
      </c>
      <c r="O152" s="92">
        <f>(((Table134567891011121314151617343[[#This Row],[USA]]-VLOOKUP($U$1,A:N,14,))/VLOOKUP($U$1,A:N,14,))*100)+100</f>
        <v>103.7439574486672</v>
      </c>
      <c r="P152" s="92">
        <f>VLOOKUP(A152,Database!$E:$AY,MATCH($P$1,Database!$E$1:$AY$1,0),FALSE)</f>
        <v>99.391030000000001</v>
      </c>
      <c r="Q152" s="92">
        <f>(((Table134567891011121314151617343[[#This Row],[JPN]]-VLOOKUP($U$1,A:Q,16,))/VLOOKUP($U$1,A:Q,16,))*100)+100</f>
        <v>99.786553963946901</v>
      </c>
    </row>
    <row r="153" spans="1:17" s="85" customFormat="1" x14ac:dyDescent="0.2">
      <c r="A153" s="22">
        <v>37469</v>
      </c>
      <c r="B153" s="92">
        <f>VLOOKUP(A153,Database!$E:$AY,MATCH($B$1,Database!$E$1:$AY$1,0),FALSE)</f>
        <v>122.0898</v>
      </c>
      <c r="C153" s="92">
        <f>VLOOKUP(A153,Database!$E:$AY,MATCH($C$1,Database!$E$1:$AY$1,0),FALSE)</f>
        <v>110.8409</v>
      </c>
      <c r="D153" s="92">
        <f>VLOOKUP(A153,Database!$E:$AY,MATCH($D$1,Database!$E$1:$AY$1,0),FALSE)</f>
        <v>81.293229999999994</v>
      </c>
      <c r="E153" s="92">
        <f>VLOOKUP(A153,Database!$E:$AY,MATCH($E$1,Database!$E$1:$AY$1,0),FALSE)</f>
        <v>122.7531</v>
      </c>
      <c r="F153" s="92">
        <f>VLOOKUP(A153,Database!$E:$AY,MATCH($F$1,Database!$E$1:$AY$1,0),FALSE)</f>
        <v>95.584069999999997</v>
      </c>
      <c r="G153" s="92">
        <f>VLOOKUP(A153,Database!$E:$AY,MATCH($G$1,Database!$E$1:$AY$1,0),FALSE)</f>
        <v>107.14660000000001</v>
      </c>
      <c r="H153" s="92">
        <f>(((Table134567891011121314151617343[[#This Row],[ITA]]-VLOOKUP($U$1,A:B,2,))/VLOOKUP($U$1,A:B,2,))*100)+100</f>
        <v>100.41113612232594</v>
      </c>
      <c r="I153" s="92">
        <f>(((Table134567891011121314151617343[[#This Row],[FRA]]-VLOOKUP($U$1,A:C,3,))/VLOOKUP($U$1,A:C,3,))*100)+100</f>
        <v>107.8839099131894</v>
      </c>
      <c r="J153" s="92">
        <f>(((Table134567891011121314151617343[[#This Row],[DEU]]-VLOOKUP($U$1,A:D,4,))/VLOOKUP($U$1,A:D,4,))*100)+100</f>
        <v>108.11171356973513</v>
      </c>
      <c r="K153" s="92">
        <f>(((Table134567891011121314151617343[[#This Row],[ESP]]-VLOOKUP($U$1,A:E,5,))/VLOOKUP($U$1,A:E,5,))*100)+100</f>
        <v>103.37616774222887</v>
      </c>
      <c r="L153" s="92">
        <f>(((Table134567891011121314151617343[[#This Row],[EA19]]-VLOOKUP($U$1,A:F,6,))/VLOOKUP($U$1,A:F,6,))*100)+100</f>
        <v>106.93512677168791</v>
      </c>
      <c r="M153" s="92">
        <f>(((Table134567891011121314151617343[[#This Row],[GBR]]-VLOOKUP($U$1,A:G,7,))/VLOOKUP($U$1,A:G,7,))*100)+100</f>
        <v>100.29157084141823</v>
      </c>
      <c r="N153" s="92">
        <f>VLOOKUP(A153,Database!$E:$AY,MATCH($N$1,Database!$E$1:$AY$1,0),FALSE)</f>
        <v>89.553970000000007</v>
      </c>
      <c r="O153" s="92">
        <f>(((Table134567891011121314151617343[[#This Row],[USA]]-VLOOKUP($U$1,A:N,14,))/VLOOKUP($U$1,A:N,14,))*100)+100</f>
        <v>103.75753628079728</v>
      </c>
      <c r="P153" s="92">
        <f>VLOOKUP(A153,Database!$E:$AY,MATCH($P$1,Database!$E$1:$AY$1,0),FALSE)</f>
        <v>99.816230000000004</v>
      </c>
      <c r="Q153" s="92">
        <f>(((Table134567891011121314151617343[[#This Row],[JPN]]-VLOOKUP($U$1,A:Q,16,))/VLOOKUP($U$1,A:Q,16,))*100)+100</f>
        <v>100.21344603605311</v>
      </c>
    </row>
    <row r="154" spans="1:17" s="85" customFormat="1" x14ac:dyDescent="0.2">
      <c r="A154" s="22">
        <v>37500</v>
      </c>
      <c r="B154" s="92">
        <f>VLOOKUP(A154,Database!$E:$AY,MATCH($B$1,Database!$E$1:$AY$1,0),FALSE)</f>
        <v>124.3896</v>
      </c>
      <c r="C154" s="92">
        <f>VLOOKUP(A154,Database!$E:$AY,MATCH($C$1,Database!$E$1:$AY$1,0),FALSE)</f>
        <v>109.4609</v>
      </c>
      <c r="D154" s="92">
        <f>VLOOKUP(A154,Database!$E:$AY,MATCH($D$1,Database!$E$1:$AY$1,0),FALSE)</f>
        <v>80.193309999999997</v>
      </c>
      <c r="E154" s="92">
        <f>VLOOKUP(A154,Database!$E:$AY,MATCH($E$1,Database!$E$1:$AY$1,0),FALSE)</f>
        <v>122.9241</v>
      </c>
      <c r="F154" s="92">
        <f>VLOOKUP(A154,Database!$E:$AY,MATCH($F$1,Database!$E$1:$AY$1,0),FALSE)</f>
        <v>95.884020000000007</v>
      </c>
      <c r="G154" s="92">
        <f>VLOOKUP(A154,Database!$E:$AY,MATCH($G$1,Database!$E$1:$AY$1,0),FALSE)</f>
        <v>108.49630000000001</v>
      </c>
      <c r="H154" s="92">
        <f>(((Table134567891011121314151617343[[#This Row],[ITA]]-VLOOKUP($U$1,A:B,2,))/VLOOKUP($U$1,A:B,2,))*100)+100</f>
        <v>102.30257611857564</v>
      </c>
      <c r="I154" s="92">
        <f>(((Table134567891011121314151617343[[#This Row],[FRA]]-VLOOKUP($U$1,A:C,3,))/VLOOKUP($U$1,A:C,3,))*100)+100</f>
        <v>106.54072526131267</v>
      </c>
      <c r="J154" s="92">
        <f>(((Table134567891011121314151617343[[#This Row],[DEU]]-VLOOKUP($U$1,A:D,4,))/VLOOKUP($U$1,A:D,4,))*100)+100</f>
        <v>106.64893203196596</v>
      </c>
      <c r="K154" s="92">
        <f>(((Table134567891011121314151617343[[#This Row],[ESP]]-VLOOKUP($U$1,A:E,5,))/VLOOKUP($U$1,A:E,5,))*100)+100</f>
        <v>103.52017489711068</v>
      </c>
      <c r="L154" s="92">
        <f>(((Table134567891011121314151617343[[#This Row],[EA19]]-VLOOKUP($U$1,A:F,6,))/VLOOKUP($U$1,A:F,6,))*100)+100</f>
        <v>107.27069724148657</v>
      </c>
      <c r="M154" s="92">
        <f>(((Table134567891011121314151617343[[#This Row],[GBR]]-VLOOKUP($U$1,A:G,7,))/VLOOKUP($U$1,A:G,7,))*100)+100</f>
        <v>101.55491968463549</v>
      </c>
      <c r="N154" s="92">
        <f>VLOOKUP(A154,Database!$E:$AY,MATCH($N$1,Database!$E$1:$AY$1,0),FALSE)</f>
        <v>89.678359999999998</v>
      </c>
      <c r="O154" s="92">
        <f>(((Table134567891011121314151617343[[#This Row],[USA]]-VLOOKUP($U$1,A:N,14,))/VLOOKUP($U$1,A:N,14,))*100)+100</f>
        <v>103.90165496071697</v>
      </c>
      <c r="P154" s="92">
        <f>VLOOKUP(A154,Database!$E:$AY,MATCH($P$1,Database!$E$1:$AY$1,0),FALSE)</f>
        <v>100.45399999999999</v>
      </c>
      <c r="Q154" s="92">
        <f>(((Table134567891011121314151617343[[#This Row],[JPN]]-VLOOKUP($U$1,A:Q,16,))/VLOOKUP($U$1,A:Q,16,))*100)+100</f>
        <v>100.85375402482821</v>
      </c>
    </row>
    <row r="155" spans="1:17" s="85" customFormat="1" x14ac:dyDescent="0.2">
      <c r="A155" s="22">
        <v>37530</v>
      </c>
      <c r="B155" s="92">
        <f>VLOOKUP(A155,Database!$E:$AY,MATCH($B$1,Database!$E$1:$AY$1,0),FALSE)</f>
        <v>122.88979999999999</v>
      </c>
      <c r="C155" s="92">
        <f>VLOOKUP(A155,Database!$E:$AY,MATCH($C$1,Database!$E$1:$AY$1,0),FALSE)</f>
        <v>108.6009</v>
      </c>
      <c r="D155" s="92">
        <f>VLOOKUP(A155,Database!$E:$AY,MATCH($D$1,Database!$E$1:$AY$1,0),FALSE)</f>
        <v>79.593369999999993</v>
      </c>
      <c r="E155" s="92">
        <f>VLOOKUP(A155,Database!$E:$AY,MATCH($E$1,Database!$E$1:$AY$1,0),FALSE)</f>
        <v>124.0261</v>
      </c>
      <c r="F155" s="92">
        <f>VLOOKUP(A155,Database!$E:$AY,MATCH($F$1,Database!$E$1:$AY$1,0),FALSE)</f>
        <v>95.284120000000001</v>
      </c>
      <c r="G155" s="92">
        <f>VLOOKUP(A155,Database!$E:$AY,MATCH($G$1,Database!$E$1:$AY$1,0),FALSE)</f>
        <v>106.7313</v>
      </c>
      <c r="H155" s="92">
        <f>(((Table134567891011121314151617343[[#This Row],[ITA]]-VLOOKUP($U$1,A:B,2,))/VLOOKUP($U$1,A:B,2,))*100)+100</f>
        <v>101.06908550792458</v>
      </c>
      <c r="I155" s="92">
        <f>(((Table134567891011121314151617343[[#This Row],[FRA]]-VLOOKUP($U$1,A:C,3,))/VLOOKUP($U$1,A:C,3,))*100)+100</f>
        <v>105.7036681594185</v>
      </c>
      <c r="J155" s="92">
        <f>(((Table134567891011121314151617343[[#This Row],[DEU]]-VLOOKUP($U$1,A:D,4,))/VLOOKUP($U$1,A:D,4,))*100)+100</f>
        <v>105.85107295515196</v>
      </c>
      <c r="K155" s="92">
        <f>(((Table134567891011121314151617343[[#This Row],[ESP]]-VLOOKUP($U$1,A:E,5,))/VLOOKUP($U$1,A:E,5,))*100)+100</f>
        <v>104.44822100634894</v>
      </c>
      <c r="L155" s="92">
        <f>(((Table134567891011121314151617343[[#This Row],[EA19]]-VLOOKUP($U$1,A:F,6,))/VLOOKUP($U$1,A:F,6,))*100)+100</f>
        <v>106.59955630188925</v>
      </c>
      <c r="M155" s="92">
        <f>(((Table134567891011121314151617343[[#This Row],[GBR]]-VLOOKUP($U$1,A:G,7,))/VLOOKUP($U$1,A:G,7,))*100)+100</f>
        <v>99.902840920259365</v>
      </c>
      <c r="N155" s="92">
        <f>VLOOKUP(A155,Database!$E:$AY,MATCH($N$1,Database!$E$1:$AY$1,0),FALSE)</f>
        <v>89.407489999999996</v>
      </c>
      <c r="O155" s="92">
        <f>(((Table134567891011121314151617343[[#This Row],[USA]]-VLOOKUP($U$1,A:N,14,))/VLOOKUP($U$1,A:N,14,))*100)+100</f>
        <v>103.58782405123992</v>
      </c>
      <c r="P155" s="92">
        <f>VLOOKUP(A155,Database!$E:$AY,MATCH($P$1,Database!$E$1:$AY$1,0),FALSE)</f>
        <v>100.45399999999999</v>
      </c>
      <c r="Q155" s="92">
        <f>(((Table134567891011121314151617343[[#This Row],[JPN]]-VLOOKUP($U$1,A:Q,16,))/VLOOKUP($U$1,A:Q,16,))*100)+100</f>
        <v>100.85375402482821</v>
      </c>
    </row>
    <row r="156" spans="1:17" s="85" customFormat="1" x14ac:dyDescent="0.2">
      <c r="A156" s="22">
        <v>37561</v>
      </c>
      <c r="B156" s="92">
        <f>VLOOKUP(A156,Database!$E:$AY,MATCH($B$1,Database!$E$1:$AY$1,0),FALSE)</f>
        <v>124.9896</v>
      </c>
      <c r="C156" s="92">
        <f>VLOOKUP(A156,Database!$E:$AY,MATCH($C$1,Database!$E$1:$AY$1,0),FALSE)</f>
        <v>109.65089999999999</v>
      </c>
      <c r="D156" s="92">
        <f>VLOOKUP(A156,Database!$E:$AY,MATCH($D$1,Database!$E$1:$AY$1,0),FALSE)</f>
        <v>80.993250000000003</v>
      </c>
      <c r="E156" s="92">
        <f>VLOOKUP(A156,Database!$E:$AY,MATCH($E$1,Database!$E$1:$AY$1,0),FALSE)</f>
        <v>123.46810000000001</v>
      </c>
      <c r="F156" s="92">
        <f>VLOOKUP(A156,Database!$E:$AY,MATCH($F$1,Database!$E$1:$AY$1,0),FALSE)</f>
        <v>95.884020000000007</v>
      </c>
      <c r="G156" s="92">
        <f>VLOOKUP(A156,Database!$E:$AY,MATCH($G$1,Database!$E$1:$AY$1,0),FALSE)</f>
        <v>106.4198</v>
      </c>
      <c r="H156" s="92">
        <f>(((Table134567891011121314151617343[[#This Row],[ITA]]-VLOOKUP($U$1,A:B,2,))/VLOOKUP($U$1,A:B,2,))*100)+100</f>
        <v>102.79603815777462</v>
      </c>
      <c r="I156" s="92">
        <f>(((Table134567891011121314151617343[[#This Row],[FRA]]-VLOOKUP($U$1,A:C,3,))/VLOOKUP($U$1,A:C,3,))*100)+100</f>
        <v>106.7256564814986</v>
      </c>
      <c r="J156" s="92">
        <f>(((Table134567891011121314151617343[[#This Row],[DEU]]-VLOOKUP($U$1,A:D,4,))/VLOOKUP($U$1,A:D,4,))*100)+100</f>
        <v>107.71277073234697</v>
      </c>
      <c r="K156" s="92">
        <f>(((Table134567891011121314151617343[[#This Row],[ESP]]-VLOOKUP($U$1,A:E,5,))/VLOOKUP($U$1,A:E,5,))*100)+100</f>
        <v>103.97830292199781</v>
      </c>
      <c r="L156" s="92">
        <f>(((Table134567891011121314151617343[[#This Row],[EA19]]-VLOOKUP($U$1,A:F,6,))/VLOOKUP($U$1,A:F,6,))*100)+100</f>
        <v>107.27069724148657</v>
      </c>
      <c r="M156" s="92">
        <f>(((Table134567891011121314151617343[[#This Row],[GBR]]-VLOOKUP($U$1,A:G,7,))/VLOOKUP($U$1,A:G,7,))*100)+100</f>
        <v>99.61127007884113</v>
      </c>
      <c r="N156" s="92">
        <f>VLOOKUP(A156,Database!$E:$AY,MATCH($N$1,Database!$E$1:$AY$1,0),FALSE)</f>
        <v>89.874210000000005</v>
      </c>
      <c r="O156" s="92">
        <f>(((Table134567891011121314151617343[[#This Row],[USA]]-VLOOKUP($U$1,A:N,14,))/VLOOKUP($U$1,A:N,14,))*100)+100</f>
        <v>104.1285674413205</v>
      </c>
      <c r="P156" s="92">
        <f>VLOOKUP(A156,Database!$E:$AY,MATCH($P$1,Database!$E$1:$AY$1,0),FALSE)</f>
        <v>100.3477</v>
      </c>
      <c r="Q156" s="92">
        <f>(((Table134567891011121314151617343[[#This Row],[JPN]]-VLOOKUP($U$1,A:Q,16,))/VLOOKUP($U$1,A:Q,16,))*100)+100</f>
        <v>100.74703100680166</v>
      </c>
    </row>
    <row r="157" spans="1:17" s="85" customFormat="1" x14ac:dyDescent="0.2">
      <c r="A157" s="22">
        <v>37591</v>
      </c>
      <c r="B157" s="92">
        <f>VLOOKUP(A157,Database!$E:$AY,MATCH($B$1,Database!$E$1:$AY$1,0),FALSE)</f>
        <v>123.6897</v>
      </c>
      <c r="C157" s="92">
        <f>VLOOKUP(A157,Database!$E:$AY,MATCH($C$1,Database!$E$1:$AY$1,0),FALSE)</f>
        <v>107.04089999999999</v>
      </c>
      <c r="D157" s="92">
        <f>VLOOKUP(A157,Database!$E:$AY,MATCH($D$1,Database!$E$1:$AY$1,0),FALSE)</f>
        <v>79.593369999999993</v>
      </c>
      <c r="E157" s="92">
        <f>VLOOKUP(A157,Database!$E:$AY,MATCH($E$1,Database!$E$1:$AY$1,0),FALSE)</f>
        <v>122.51609999999999</v>
      </c>
      <c r="F157" s="92">
        <f>VLOOKUP(A157,Database!$E:$AY,MATCH($F$1,Database!$E$1:$AY$1,0),FALSE)</f>
        <v>94.384270000000001</v>
      </c>
      <c r="G157" s="92">
        <f>VLOOKUP(A157,Database!$E:$AY,MATCH($G$1,Database!$E$1:$AY$1,0),FALSE)</f>
        <v>106.7313</v>
      </c>
      <c r="H157" s="92">
        <f>(((Table134567891011121314151617343[[#This Row],[ITA]]-VLOOKUP($U$1,A:B,2,))/VLOOKUP($U$1,A:B,2,))*100)+100</f>
        <v>101.72695264985003</v>
      </c>
      <c r="I157" s="92">
        <f>(((Table134567891011121314151617343[[#This Row],[FRA]]-VLOOKUP($U$1,A:C,3,))/VLOOKUP($U$1,A:C,3,))*100)+100</f>
        <v>104.1852855094709</v>
      </c>
      <c r="J157" s="92">
        <f>(((Table134567891011121314151617343[[#This Row],[DEU]]-VLOOKUP($U$1,A:D,4,))/VLOOKUP($U$1,A:D,4,))*100)+100</f>
        <v>105.85107295515196</v>
      </c>
      <c r="K157" s="92">
        <f>(((Table134567891011121314151617343[[#This Row],[ESP]]-VLOOKUP($U$1,A:E,5,))/VLOOKUP($U$1,A:E,5,))*100)+100</f>
        <v>103.17657887844533</v>
      </c>
      <c r="L157" s="92">
        <f>(((Table134567891011121314151617343[[#This Row],[EA19]]-VLOOKUP($U$1,A:F,6,))/VLOOKUP($U$1,A:F,6,))*100)+100</f>
        <v>105.59284489249328</v>
      </c>
      <c r="M157" s="92">
        <f>(((Table134567891011121314151617343[[#This Row],[GBR]]-VLOOKUP($U$1,A:G,7,))/VLOOKUP($U$1,A:G,7,))*100)+100</f>
        <v>99.902840920259365</v>
      </c>
      <c r="N157" s="92">
        <f>VLOOKUP(A157,Database!$E:$AY,MATCH($N$1,Database!$E$1:$AY$1,0),FALSE)</f>
        <v>89.433329999999998</v>
      </c>
      <c r="O157" s="92">
        <f>(((Table134567891011121314151617343[[#This Row],[USA]]-VLOOKUP($U$1,A:N,14,))/VLOOKUP($U$1,A:N,14,))*100)+100</f>
        <v>103.61776236371782</v>
      </c>
      <c r="P157" s="92">
        <f>VLOOKUP(A157,Database!$E:$AY,MATCH($P$1,Database!$E$1:$AY$1,0),FALSE)</f>
        <v>100.2414</v>
      </c>
      <c r="Q157" s="92">
        <f>(((Table134567891011121314151617343[[#This Row],[JPN]]-VLOOKUP($U$1,A:Q,16,))/VLOOKUP($U$1,A:Q,16,))*100)+100</f>
        <v>100.64030798877511</v>
      </c>
    </row>
    <row r="158" spans="1:17" s="85" customFormat="1" x14ac:dyDescent="0.2">
      <c r="A158" s="22">
        <v>37622</v>
      </c>
      <c r="B158" s="92">
        <f>VLOOKUP(A158,Database!$E:$AY,MATCH($B$1,Database!$E$1:$AY$1,0),FALSE)</f>
        <v>124.9896</v>
      </c>
      <c r="C158" s="92">
        <f>VLOOKUP(A158,Database!$E:$AY,MATCH($C$1,Database!$E$1:$AY$1,0),FALSE)</f>
        <v>109.2509</v>
      </c>
      <c r="D158" s="92">
        <f>VLOOKUP(A158,Database!$E:$AY,MATCH($D$1,Database!$E$1:$AY$1,0),FALSE)</f>
        <v>80.193309999999997</v>
      </c>
      <c r="E158" s="92">
        <f>VLOOKUP(A158,Database!$E:$AY,MATCH($E$1,Database!$E$1:$AY$1,0),FALSE)</f>
        <v>123.81910000000001</v>
      </c>
      <c r="F158" s="92">
        <f>VLOOKUP(A158,Database!$E:$AY,MATCH($F$1,Database!$E$1:$AY$1,0),FALSE)</f>
        <v>95.983999999999995</v>
      </c>
      <c r="G158" s="92">
        <f>VLOOKUP(A158,Database!$E:$AY,MATCH($G$1,Database!$E$1:$AY$1,0),FALSE)</f>
        <v>106.1083</v>
      </c>
      <c r="H158" s="92">
        <f>(((Table134567891011121314151617343[[#This Row],[ITA]]-VLOOKUP($U$1,A:B,2,))/VLOOKUP($U$1,A:B,2,))*100)+100</f>
        <v>102.79603815777462</v>
      </c>
      <c r="I158" s="92">
        <f>(((Table134567891011121314151617343[[#This Row],[FRA]]-VLOOKUP($U$1,A:C,3,))/VLOOKUP($U$1,A:C,3,))*100)+100</f>
        <v>106.33632759689667</v>
      </c>
      <c r="J158" s="92">
        <f>(((Table134567891011121314151617343[[#This Row],[DEU]]-VLOOKUP($U$1,A:D,4,))/VLOOKUP($U$1,A:D,4,))*100)+100</f>
        <v>106.64893203196596</v>
      </c>
      <c r="K158" s="92">
        <f>(((Table134567891011121314151617343[[#This Row],[ESP]]-VLOOKUP($U$1,A:E,5,))/VLOOKUP($U$1,A:E,5,))*100)+100</f>
        <v>104.27389655570256</v>
      </c>
      <c r="L158" s="92">
        <f>(((Table134567891011121314151617343[[#This Row],[EA19]]-VLOOKUP($U$1,A:F,6,))/VLOOKUP($U$1,A:F,6,))*100)+100</f>
        <v>107.38255033557047</v>
      </c>
      <c r="M158" s="92">
        <f>(((Table134567891011121314151617343[[#This Row],[GBR]]-VLOOKUP($U$1,A:G,7,))/VLOOKUP($U$1,A:G,7,))*100)+100</f>
        <v>99.31969923742291</v>
      </c>
      <c r="N158" s="92">
        <f>VLOOKUP(A158,Database!$E:$AY,MATCH($N$1,Database!$E$1:$AY$1,0),FALSE)</f>
        <v>90.114810000000006</v>
      </c>
      <c r="O158" s="92">
        <f>(((Table134567891011121314151617343[[#This Row],[USA]]-VLOOKUP($U$1,A:N,14,))/VLOOKUP($U$1,A:N,14,))*100)+100</f>
        <v>104.40732742515104</v>
      </c>
      <c r="P158" s="92">
        <f>VLOOKUP(A158,Database!$E:$AY,MATCH($P$1,Database!$E$1:$AY$1,0),FALSE)</f>
        <v>101.6233</v>
      </c>
      <c r="Q158" s="92">
        <f>(((Table134567891011121314151617343[[#This Row],[JPN]]-VLOOKUP($U$1,A:Q,16,))/VLOOKUP($U$1,A:Q,16,))*100)+100</f>
        <v>102.02770722312029</v>
      </c>
    </row>
    <row r="159" spans="1:17" s="85" customFormat="1" x14ac:dyDescent="0.2">
      <c r="A159" s="22">
        <v>37653</v>
      </c>
      <c r="B159" s="92">
        <f>VLOOKUP(A159,Database!$E:$AY,MATCH($B$1,Database!$E$1:$AY$1,0),FALSE)</f>
        <v>122.4898</v>
      </c>
      <c r="C159" s="92">
        <f>VLOOKUP(A159,Database!$E:$AY,MATCH($C$1,Database!$E$1:$AY$1,0),FALSE)</f>
        <v>110.23090000000001</v>
      </c>
      <c r="D159" s="92">
        <f>VLOOKUP(A159,Database!$E:$AY,MATCH($D$1,Database!$E$1:$AY$1,0),FALSE)</f>
        <v>80.193309999999997</v>
      </c>
      <c r="E159" s="92">
        <f>VLOOKUP(A159,Database!$E:$AY,MATCH($E$1,Database!$E$1:$AY$1,0),FALSE)</f>
        <v>124.1751</v>
      </c>
      <c r="F159" s="92">
        <f>VLOOKUP(A159,Database!$E:$AY,MATCH($F$1,Database!$E$1:$AY$1,0),FALSE)</f>
        <v>96.183970000000002</v>
      </c>
      <c r="G159" s="92">
        <f>VLOOKUP(A159,Database!$E:$AY,MATCH($G$1,Database!$E$1:$AY$1,0),FALSE)</f>
        <v>106.8351</v>
      </c>
      <c r="H159" s="92">
        <f>(((Table134567891011121314151617343[[#This Row],[ITA]]-VLOOKUP($U$1,A:B,2,))/VLOOKUP($U$1,A:B,2,))*100)+100</f>
        <v>100.74011081512528</v>
      </c>
      <c r="I159" s="92">
        <f>(((Table134567891011121314151617343[[#This Row],[FRA]]-VLOOKUP($U$1,A:C,3,))/VLOOKUP($U$1,A:C,3,))*100)+100</f>
        <v>107.29018336417144</v>
      </c>
      <c r="J159" s="92">
        <f>(((Table134567891011121314151617343[[#This Row],[DEU]]-VLOOKUP($U$1,A:D,4,))/VLOOKUP($U$1,A:D,4,))*100)+100</f>
        <v>106.64893203196596</v>
      </c>
      <c r="K159" s="92">
        <f>(((Table134567891011121314151617343[[#This Row],[ESP]]-VLOOKUP($U$1,A:E,5,))/VLOOKUP($U$1,A:E,5,))*100)+100</f>
        <v>104.57370092493017</v>
      </c>
      <c r="L159" s="92">
        <f>(((Table134567891011121314151617343[[#This Row],[EA19]]-VLOOKUP($U$1,A:F,6,))/VLOOKUP($U$1,A:F,6,))*100)+100</f>
        <v>107.60626771128523</v>
      </c>
      <c r="M159" s="92">
        <f>(((Table134567891011121314151617343[[#This Row],[GBR]]-VLOOKUP($U$1,A:G,7,))/VLOOKUP($U$1,A:G,7,))*100)+100</f>
        <v>100</v>
      </c>
      <c r="N159" s="92">
        <f>VLOOKUP(A159,Database!$E:$AY,MATCH($N$1,Database!$E$1:$AY$1,0),FALSE)</f>
        <v>90.242940000000004</v>
      </c>
      <c r="O159" s="92">
        <f>(((Table134567891011121314151617343[[#This Row],[USA]]-VLOOKUP($U$1,A:N,14,))/VLOOKUP($U$1,A:N,14,))*100)+100</f>
        <v>104.55577928187674</v>
      </c>
      <c r="P159" s="92">
        <f>VLOOKUP(A159,Database!$E:$AY,MATCH($P$1,Database!$E$1:$AY$1,0),FALSE)</f>
        <v>101.18859999999999</v>
      </c>
      <c r="Q159" s="92">
        <f>(((Table134567891011121314151617343[[#This Row],[JPN]]-VLOOKUP($U$1,A:Q,16,))/VLOOKUP($U$1,A:Q,16,))*100)+100</f>
        <v>101.5912773460164</v>
      </c>
    </row>
    <row r="160" spans="1:17" s="85" customFormat="1" x14ac:dyDescent="0.2">
      <c r="A160" s="22">
        <v>37681</v>
      </c>
      <c r="B160" s="92">
        <f>VLOOKUP(A160,Database!$E:$AY,MATCH($B$1,Database!$E$1:$AY$1,0),FALSE)</f>
        <v>122.5898</v>
      </c>
      <c r="C160" s="92">
        <f>VLOOKUP(A160,Database!$E:$AY,MATCH($C$1,Database!$E$1:$AY$1,0),FALSE)</f>
        <v>109.37090000000001</v>
      </c>
      <c r="D160" s="92">
        <f>VLOOKUP(A160,Database!$E:$AY,MATCH($D$1,Database!$E$1:$AY$1,0),FALSE)</f>
        <v>79.99333</v>
      </c>
      <c r="E160" s="92">
        <f>VLOOKUP(A160,Database!$E:$AY,MATCH($E$1,Database!$E$1:$AY$1,0),FALSE)</f>
        <v>123.4481</v>
      </c>
      <c r="F160" s="92">
        <f>VLOOKUP(A160,Database!$E:$AY,MATCH($F$1,Database!$E$1:$AY$1,0),FALSE)</f>
        <v>95.384100000000004</v>
      </c>
      <c r="G160" s="92">
        <f>VLOOKUP(A160,Database!$E:$AY,MATCH($G$1,Database!$E$1:$AY$1,0),FALSE)</f>
        <v>106.62739999999999</v>
      </c>
      <c r="H160" s="92">
        <f>(((Table134567891011121314151617343[[#This Row],[ITA]]-VLOOKUP($U$1,A:B,2,))/VLOOKUP($U$1,A:B,2,))*100)+100</f>
        <v>100.82235448832509</v>
      </c>
      <c r="I160" s="92">
        <f>(((Table134567891011121314151617343[[#This Row],[FRA]]-VLOOKUP($U$1,A:C,3,))/VLOOKUP($U$1,A:C,3,))*100)+100</f>
        <v>106.45312626227725</v>
      </c>
      <c r="J160" s="92">
        <f>(((Table134567891011121314151617343[[#This Row],[DEU]]-VLOOKUP($U$1,A:D,4,))/VLOOKUP($U$1,A:D,4,))*100)+100</f>
        <v>106.3829790063613</v>
      </c>
      <c r="K160" s="92">
        <f>(((Table134567891011121314151617343[[#This Row],[ESP]]-VLOOKUP($U$1,A:E,5,))/VLOOKUP($U$1,A:E,5,))*100)+100</f>
        <v>103.96145997990637</v>
      </c>
      <c r="L160" s="92">
        <f>(((Table134567891011121314151617343[[#This Row],[EA19]]-VLOOKUP($U$1,A:F,6,))/VLOOKUP($U$1,A:F,6,))*100)+100</f>
        <v>106.71140939597316</v>
      </c>
      <c r="M160" s="92">
        <f>(((Table134567891011121314151617343[[#This Row],[GBR]]-VLOOKUP($U$1,A:G,7,))/VLOOKUP($U$1,A:G,7,))*100)+100</f>
        <v>99.805588238322414</v>
      </c>
      <c r="N160" s="92">
        <f>VLOOKUP(A160,Database!$E:$AY,MATCH($N$1,Database!$E$1:$AY$1,0),FALSE)</f>
        <v>90.034130000000005</v>
      </c>
      <c r="O160" s="92">
        <f>(((Table134567891011121314151617343[[#This Row],[USA]]-VLOOKUP($U$1,A:N,14,))/VLOOKUP($U$1,A:N,14,))*100)+100</f>
        <v>104.31385130089731</v>
      </c>
      <c r="P160" s="92">
        <f>VLOOKUP(A160,Database!$E:$AY,MATCH($P$1,Database!$E$1:$AY$1,0),FALSE)</f>
        <v>101.9494</v>
      </c>
      <c r="Q160" s="92">
        <f>(((Table134567891011121314151617343[[#This Row],[JPN]]-VLOOKUP($U$1,A:Q,16,))/VLOOKUP($U$1,A:Q,16,))*100)+100</f>
        <v>102.3551049294087</v>
      </c>
    </row>
    <row r="161" spans="1:17" s="85" customFormat="1" x14ac:dyDescent="0.2">
      <c r="A161" s="22">
        <v>37712</v>
      </c>
      <c r="B161" s="92">
        <f>VLOOKUP(A161,Database!$E:$AY,MATCH($B$1,Database!$E$1:$AY$1,0),FALSE)</f>
        <v>124.3896</v>
      </c>
      <c r="C161" s="92">
        <f>VLOOKUP(A161,Database!$E:$AY,MATCH($C$1,Database!$E$1:$AY$1,0),FALSE)</f>
        <v>109.3909</v>
      </c>
      <c r="D161" s="92">
        <f>VLOOKUP(A161,Database!$E:$AY,MATCH($D$1,Database!$E$1:$AY$1,0),FALSE)</f>
        <v>79.793350000000004</v>
      </c>
      <c r="E161" s="92">
        <f>VLOOKUP(A161,Database!$E:$AY,MATCH($E$1,Database!$E$1:$AY$1,0),FALSE)</f>
        <v>124.1251</v>
      </c>
      <c r="F161" s="92">
        <f>VLOOKUP(A161,Database!$E:$AY,MATCH($F$1,Database!$E$1:$AY$1,0),FALSE)</f>
        <v>95.784030000000001</v>
      </c>
      <c r="G161" s="92">
        <f>VLOOKUP(A161,Database!$E:$AY,MATCH($G$1,Database!$E$1:$AY$1,0),FALSE)</f>
        <v>106.1083</v>
      </c>
      <c r="H161" s="92">
        <f>(((Table134567891011121314151617343[[#This Row],[ITA]]-VLOOKUP($U$1,A:B,2,))/VLOOKUP($U$1,A:B,2,))*100)+100</f>
        <v>102.30257611857564</v>
      </c>
      <c r="I161" s="92">
        <f>(((Table134567891011121314151617343[[#This Row],[FRA]]-VLOOKUP($U$1,A:C,3,))/VLOOKUP($U$1,A:C,3,))*100)+100</f>
        <v>106.47259270650734</v>
      </c>
      <c r="J161" s="92">
        <f>(((Table134567891011121314151617343[[#This Row],[DEU]]-VLOOKUP($U$1,A:D,4,))/VLOOKUP($U$1,A:D,4,))*100)+100</f>
        <v>106.11702598075664</v>
      </c>
      <c r="K161" s="92">
        <f>(((Table134567891011121314151617343[[#This Row],[ESP]]-VLOOKUP($U$1,A:E,5,))/VLOOKUP($U$1,A:E,5,))*100)+100</f>
        <v>104.53159356970157</v>
      </c>
      <c r="L161" s="92">
        <f>(((Table134567891011121314151617343[[#This Row],[EA19]]-VLOOKUP($U$1,A:F,6,))/VLOOKUP($U$1,A:F,6,))*100)+100</f>
        <v>107.15883295985573</v>
      </c>
      <c r="M161" s="92">
        <f>(((Table134567891011121314151617343[[#This Row],[GBR]]-VLOOKUP($U$1,A:G,7,))/VLOOKUP($U$1,A:G,7,))*100)+100</f>
        <v>99.31969923742291</v>
      </c>
      <c r="N161" s="92">
        <f>VLOOKUP(A161,Database!$E:$AY,MATCH($N$1,Database!$E$1:$AY$1,0),FALSE)</f>
        <v>89.390500000000003</v>
      </c>
      <c r="O161" s="92">
        <f>(((Table134567891011121314151617343[[#This Row],[USA]]-VLOOKUP($U$1,A:N,14,))/VLOOKUP($U$1,A:N,14,))*100)+100</f>
        <v>103.56813937906503</v>
      </c>
      <c r="P161" s="92">
        <f>VLOOKUP(A161,Database!$E:$AY,MATCH($P$1,Database!$E$1:$AY$1,0),FALSE)</f>
        <v>100.5365</v>
      </c>
      <c r="Q161" s="92">
        <f>(((Table134567891011121314151617343[[#This Row],[JPN]]-VLOOKUP($U$1,A:Q,16,))/VLOOKUP($U$1,A:Q,16,))*100)+100</f>
        <v>100.93658233138693</v>
      </c>
    </row>
    <row r="162" spans="1:17" s="85" customFormat="1" x14ac:dyDescent="0.2">
      <c r="A162" s="22">
        <v>37742</v>
      </c>
      <c r="B162" s="92">
        <f>VLOOKUP(A162,Database!$E:$AY,MATCH($B$1,Database!$E$1:$AY$1,0),FALSE)</f>
        <v>120.29</v>
      </c>
      <c r="C162" s="92">
        <f>VLOOKUP(A162,Database!$E:$AY,MATCH($C$1,Database!$E$1:$AY$1,0),FALSE)</f>
        <v>106.76090000000001</v>
      </c>
      <c r="D162" s="92">
        <f>VLOOKUP(A162,Database!$E:$AY,MATCH($D$1,Database!$E$1:$AY$1,0),FALSE)</f>
        <v>79.093410000000006</v>
      </c>
      <c r="E162" s="92">
        <f>VLOOKUP(A162,Database!$E:$AY,MATCH($E$1,Database!$E$1:$AY$1,0),FALSE)</f>
        <v>122.8471</v>
      </c>
      <c r="F162" s="92">
        <f>VLOOKUP(A162,Database!$E:$AY,MATCH($F$1,Database!$E$1:$AY$1,0),FALSE)</f>
        <v>94.184299999999993</v>
      </c>
      <c r="G162" s="92">
        <f>VLOOKUP(A162,Database!$E:$AY,MATCH($G$1,Database!$E$1:$AY$1,0),FALSE)</f>
        <v>105.79689999999999</v>
      </c>
      <c r="H162" s="92">
        <f>(((Table134567891011121314151617343[[#This Row],[ITA]]-VLOOKUP($U$1,A:B,2,))/VLOOKUP($U$1,A:B,2,))*100)+100</f>
        <v>98.930914492075416</v>
      </c>
      <c r="I162" s="92">
        <f>(((Table134567891011121314151617343[[#This Row],[FRA]]-VLOOKUP($U$1,A:C,3,))/VLOOKUP($U$1,A:C,3,))*100)+100</f>
        <v>103.91275529024956</v>
      </c>
      <c r="J162" s="92">
        <f>(((Table134567891011121314151617343[[#This Row],[DEU]]-VLOOKUP($U$1,A:D,4,))/VLOOKUP($U$1,A:D,4,))*100)+100</f>
        <v>105.18617709215916</v>
      </c>
      <c r="K162" s="92">
        <f>(((Table134567891011121314151617343[[#This Row],[ESP]]-VLOOKUP($U$1,A:E,5,))/VLOOKUP($U$1,A:E,5,))*100)+100</f>
        <v>103.45532957005864</v>
      </c>
      <c r="L162" s="92">
        <f>(((Table134567891011121314151617343[[#This Row],[EA19]]-VLOOKUP($U$1,A:F,6,))/VLOOKUP($U$1,A:F,6,))*100)+100</f>
        <v>105.36912751677852</v>
      </c>
      <c r="M162" s="92">
        <f>(((Table134567891011121314151617343[[#This Row],[GBR]]-VLOOKUP($U$1,A:G,7,))/VLOOKUP($U$1,A:G,7,))*100)+100</f>
        <v>99.028221998200962</v>
      </c>
      <c r="N162" s="92">
        <f>VLOOKUP(A162,Database!$E:$AY,MATCH($N$1,Database!$E$1:$AY$1,0),FALSE)</f>
        <v>89.415559999999999</v>
      </c>
      <c r="O162" s="92">
        <f>(((Table134567891011121314151617343[[#This Row],[USA]]-VLOOKUP($U$1,A:N,14,))/VLOOKUP($U$1,A:N,14,))*100)+100</f>
        <v>103.59717398087214</v>
      </c>
      <c r="P162" s="92">
        <f>VLOOKUP(A162,Database!$E:$AY,MATCH($P$1,Database!$E$1:$AY$1,0),FALSE)</f>
        <v>101.8407</v>
      </c>
      <c r="Q162" s="92">
        <f>(((Table134567891011121314151617343[[#This Row],[JPN]]-VLOOKUP($U$1,A:Q,16,))/VLOOKUP($U$1,A:Q,16,))*100)+100</f>
        <v>102.24597236064589</v>
      </c>
    </row>
    <row r="163" spans="1:17" s="85" customFormat="1" x14ac:dyDescent="0.2">
      <c r="A163" s="22">
        <v>37773</v>
      </c>
      <c r="B163" s="92">
        <f>VLOOKUP(A163,Database!$E:$AY,MATCH($B$1,Database!$E$1:$AY$1,0),FALSE)</f>
        <v>121.7898</v>
      </c>
      <c r="C163" s="92">
        <f>VLOOKUP(A163,Database!$E:$AY,MATCH($C$1,Database!$E$1:$AY$1,0),FALSE)</f>
        <v>106.5009</v>
      </c>
      <c r="D163" s="92">
        <f>VLOOKUP(A163,Database!$E:$AY,MATCH($D$1,Database!$E$1:$AY$1,0),FALSE)</f>
        <v>78.693439999999995</v>
      </c>
      <c r="E163" s="92">
        <f>VLOOKUP(A163,Database!$E:$AY,MATCH($E$1,Database!$E$1:$AY$1,0),FALSE)</f>
        <v>123.2011</v>
      </c>
      <c r="F163" s="92">
        <f>VLOOKUP(A163,Database!$E:$AY,MATCH($F$1,Database!$E$1:$AY$1,0),FALSE)</f>
        <v>94.184299999999993</v>
      </c>
      <c r="G163" s="92">
        <f>VLOOKUP(A163,Database!$E:$AY,MATCH($G$1,Database!$E$1:$AY$1,0),FALSE)</f>
        <v>106.5236</v>
      </c>
      <c r="H163" s="92">
        <f>(((Table134567891011121314151617343[[#This Row],[ITA]]-VLOOKUP($U$1,A:B,2,))/VLOOKUP($U$1,A:B,2,))*100)+100</f>
        <v>100.16440510272646</v>
      </c>
      <c r="I163" s="92">
        <f>(((Table134567891011121314151617343[[#This Row],[FRA]]-VLOOKUP($U$1,A:C,3,))/VLOOKUP($U$1,A:C,3,))*100)+100</f>
        <v>103.65969151525829</v>
      </c>
      <c r="J163" s="92">
        <f>(((Table134567891011121314151617343[[#This Row],[DEU]]-VLOOKUP($U$1,A:D,4,))/VLOOKUP($U$1,A:D,4,))*100)+100</f>
        <v>104.65425774196864</v>
      </c>
      <c r="K163" s="92">
        <f>(((Table134567891011121314151617343[[#This Row],[ESP]]-VLOOKUP($U$1,A:E,5,))/VLOOKUP($U$1,A:E,5,))*100)+100</f>
        <v>103.7534496450771</v>
      </c>
      <c r="L163" s="92">
        <f>(((Table134567891011121314151617343[[#This Row],[EA19]]-VLOOKUP($U$1,A:F,6,))/VLOOKUP($U$1,A:F,6,))*100)+100</f>
        <v>105.36912751677852</v>
      </c>
      <c r="M163" s="92">
        <f>(((Table134567891011121314151617343[[#This Row],[GBR]]-VLOOKUP($U$1,A:G,7,))/VLOOKUP($U$1,A:G,7,))*100)+100</f>
        <v>99.708429158581779</v>
      </c>
      <c r="N163" s="92">
        <f>VLOOKUP(A163,Database!$E:$AY,MATCH($N$1,Database!$E$1:$AY$1,0),FALSE)</f>
        <v>89.565209999999993</v>
      </c>
      <c r="O163" s="92">
        <f>(((Table134567891011121314151617343[[#This Row],[USA]]-VLOOKUP($U$1,A:N,14,))/VLOOKUP($U$1,A:N,14,))*100)+100</f>
        <v>103.77055898328378</v>
      </c>
      <c r="P163" s="92">
        <f>VLOOKUP(A163,Database!$E:$AY,MATCH($P$1,Database!$E$1:$AY$1,0),FALSE)</f>
        <v>100.9712</v>
      </c>
      <c r="Q163" s="92">
        <f>(((Table134567891011121314151617343[[#This Row],[JPN]]-VLOOKUP($U$1,A:Q,16,))/VLOOKUP($U$1,A:Q,16,))*100)+100</f>
        <v>101.37301220849079</v>
      </c>
    </row>
    <row r="164" spans="1:17" s="85" customFormat="1" x14ac:dyDescent="0.2">
      <c r="A164" s="22">
        <v>37803</v>
      </c>
      <c r="B164" s="92">
        <f>VLOOKUP(A164,Database!$E:$AY,MATCH($B$1,Database!$E$1:$AY$1,0),FALSE)</f>
        <v>123.4897</v>
      </c>
      <c r="C164" s="92">
        <f>VLOOKUP(A164,Database!$E:$AY,MATCH($C$1,Database!$E$1:$AY$1,0),FALSE)</f>
        <v>108.4109</v>
      </c>
      <c r="D164" s="92">
        <f>VLOOKUP(A164,Database!$E:$AY,MATCH($D$1,Database!$E$1:$AY$1,0),FALSE)</f>
        <v>80.593279999999993</v>
      </c>
      <c r="E164" s="92">
        <f>VLOOKUP(A164,Database!$E:$AY,MATCH($E$1,Database!$E$1:$AY$1,0),FALSE)</f>
        <v>124.0621</v>
      </c>
      <c r="F164" s="92">
        <f>VLOOKUP(A164,Database!$E:$AY,MATCH($F$1,Database!$E$1:$AY$1,0),FALSE)</f>
        <v>95.784030000000001</v>
      </c>
      <c r="G164" s="92">
        <f>VLOOKUP(A164,Database!$E:$AY,MATCH($G$1,Database!$E$1:$AY$1,0),FALSE)</f>
        <v>107.2504</v>
      </c>
      <c r="H164" s="92">
        <f>(((Table134567891011121314151617343[[#This Row],[ITA]]-VLOOKUP($U$1,A:B,2,))/VLOOKUP($U$1,A:B,2,))*100)+100</f>
        <v>101.56246530345037</v>
      </c>
      <c r="I164" s="92">
        <f>(((Table134567891011121314151617343[[#This Row],[FRA]]-VLOOKUP($U$1,A:C,3,))/VLOOKUP($U$1,A:C,3,))*100)+100</f>
        <v>105.51873693923258</v>
      </c>
      <c r="J164" s="92">
        <f>(((Table134567891011121314151617343[[#This Row],[DEU]]-VLOOKUP($U$1,A:D,4,))/VLOOKUP($U$1,A:D,4,))*100)+100</f>
        <v>107.18085138215645</v>
      </c>
      <c r="K164" s="92">
        <f>(((Table134567891011121314151617343[[#This Row],[ESP]]-VLOOKUP($U$1,A:E,5,))/VLOOKUP($U$1,A:E,5,))*100)+100</f>
        <v>104.47853830211353</v>
      </c>
      <c r="L164" s="92">
        <f>(((Table134567891011121314151617343[[#This Row],[EA19]]-VLOOKUP($U$1,A:F,6,))/VLOOKUP($U$1,A:F,6,))*100)+100</f>
        <v>107.15883295985573</v>
      </c>
      <c r="M164" s="92">
        <f>(((Table134567891011121314151617343[[#This Row],[GBR]]-VLOOKUP($U$1,A:G,7,))/VLOOKUP($U$1,A:G,7,))*100)+100</f>
        <v>100.38872992115887</v>
      </c>
      <c r="N164" s="92">
        <f>VLOOKUP(A164,Database!$E:$AY,MATCH($N$1,Database!$E$1:$AY$1,0),FALSE)</f>
        <v>89.959590000000006</v>
      </c>
      <c r="O164" s="92">
        <f>(((Table134567891011121314151617343[[#This Row],[USA]]-VLOOKUP($U$1,A:N,14,))/VLOOKUP($U$1,A:N,14,))*100)+100</f>
        <v>104.22748900166735</v>
      </c>
      <c r="P164" s="92">
        <f>VLOOKUP(A164,Database!$E:$AY,MATCH($P$1,Database!$E$1:$AY$1,0),FALSE)</f>
        <v>101.40600000000001</v>
      </c>
      <c r="Q164" s="92">
        <f>(((Table134567891011121314151617343[[#This Row],[JPN]]-VLOOKUP($U$1,A:Q,16,))/VLOOKUP($U$1,A:Q,16,))*100)+100</f>
        <v>101.80954248354203</v>
      </c>
    </row>
    <row r="165" spans="1:17" s="85" customFormat="1" x14ac:dyDescent="0.2">
      <c r="A165" s="22">
        <v>37834</v>
      </c>
      <c r="B165" s="92">
        <f>VLOOKUP(A165,Database!$E:$AY,MATCH($B$1,Database!$E$1:$AY$1,0),FALSE)</f>
        <v>120.98990000000001</v>
      </c>
      <c r="C165" s="92">
        <f>VLOOKUP(A165,Database!$E:$AY,MATCH($C$1,Database!$E$1:$AY$1,0),FALSE)</f>
        <v>107.9409</v>
      </c>
      <c r="D165" s="92">
        <f>VLOOKUP(A165,Database!$E:$AY,MATCH($D$1,Database!$E$1:$AY$1,0),FALSE)</f>
        <v>78.593450000000004</v>
      </c>
      <c r="E165" s="92">
        <f>VLOOKUP(A165,Database!$E:$AY,MATCH($E$1,Database!$E$1:$AY$1,0),FALSE)</f>
        <v>123.7941</v>
      </c>
      <c r="F165" s="92">
        <f>VLOOKUP(A165,Database!$E:$AY,MATCH($F$1,Database!$E$1:$AY$1,0),FALSE)</f>
        <v>94.784199999999998</v>
      </c>
      <c r="G165" s="92">
        <f>VLOOKUP(A165,Database!$E:$AY,MATCH($G$1,Database!$E$1:$AY$1,0),FALSE)</f>
        <v>107.14660000000001</v>
      </c>
      <c r="H165" s="92">
        <f>(((Table134567891011121314151617343[[#This Row],[ITA]]-VLOOKUP($U$1,A:B,2,))/VLOOKUP($U$1,A:B,2,))*100)+100</f>
        <v>99.506537960801026</v>
      </c>
      <c r="I165" s="92">
        <f>(((Table134567891011121314151617343[[#This Row],[FRA]]-VLOOKUP($U$1,A:C,3,))/VLOOKUP($U$1,A:C,3,))*100)+100</f>
        <v>105.06127549982529</v>
      </c>
      <c r="J165" s="92">
        <f>(((Table134567891011121314151617343[[#This Row],[DEU]]-VLOOKUP($U$1,A:D,4,))/VLOOKUP($U$1,A:D,4,))*100)+100</f>
        <v>104.52128122916632</v>
      </c>
      <c r="K165" s="92">
        <f>(((Table134567891011121314151617343[[#This Row],[ESP]]-VLOOKUP($U$1,A:E,5,))/VLOOKUP($U$1,A:E,5,))*100)+100</f>
        <v>104.25284287808826</v>
      </c>
      <c r="L165" s="92">
        <f>(((Table134567891011121314151617343[[#This Row],[EA19]]-VLOOKUP($U$1,A:F,6,))/VLOOKUP($U$1,A:F,6,))*100)+100</f>
        <v>106.04026845637584</v>
      </c>
      <c r="M165" s="92">
        <f>(((Table134567891011121314151617343[[#This Row],[GBR]]-VLOOKUP($U$1,A:G,7,))/VLOOKUP($U$1,A:G,7,))*100)+100</f>
        <v>100.29157084141823</v>
      </c>
      <c r="N165" s="92">
        <f>VLOOKUP(A165,Database!$E:$AY,MATCH($N$1,Database!$E$1:$AY$1,0),FALSE)</f>
        <v>89.831270000000004</v>
      </c>
      <c r="O165" s="92">
        <f>(((Table134567891011121314151617343[[#This Row],[USA]]-VLOOKUP($U$1,A:N,14,))/VLOOKUP($U$1,A:N,14,))*100)+100</f>
        <v>104.07881701029106</v>
      </c>
      <c r="P165" s="92">
        <f>VLOOKUP(A165,Database!$E:$AY,MATCH($P$1,Database!$E$1:$AY$1,0),FALSE)</f>
        <v>100.4278</v>
      </c>
      <c r="Q165" s="92">
        <f>(((Table134567891011121314151617343[[#This Row],[JPN]]-VLOOKUP($U$1,A:Q,16,))/VLOOKUP($U$1,A:Q,16,))*100)+100</f>
        <v>100.82744976262413</v>
      </c>
    </row>
    <row r="166" spans="1:17" s="85" customFormat="1" x14ac:dyDescent="0.2">
      <c r="A166" s="22">
        <v>37865</v>
      </c>
      <c r="B166" s="92">
        <f>VLOOKUP(A166,Database!$E:$AY,MATCH($B$1,Database!$E$1:$AY$1,0),FALSE)</f>
        <v>121.3899</v>
      </c>
      <c r="C166" s="92">
        <f>VLOOKUP(A166,Database!$E:$AY,MATCH($C$1,Database!$E$1:$AY$1,0),FALSE)</f>
        <v>107.5609</v>
      </c>
      <c r="D166" s="92">
        <f>VLOOKUP(A166,Database!$E:$AY,MATCH($D$1,Database!$E$1:$AY$1,0),FALSE)</f>
        <v>78.393469999999994</v>
      </c>
      <c r="E166" s="92">
        <f>VLOOKUP(A166,Database!$E:$AY,MATCH($E$1,Database!$E$1:$AY$1,0),FALSE)</f>
        <v>122.8621</v>
      </c>
      <c r="F166" s="92">
        <f>VLOOKUP(A166,Database!$E:$AY,MATCH($F$1,Database!$E$1:$AY$1,0),FALSE)</f>
        <v>94.484250000000003</v>
      </c>
      <c r="G166" s="92">
        <f>VLOOKUP(A166,Database!$E:$AY,MATCH($G$1,Database!$E$1:$AY$1,0),FALSE)</f>
        <v>107.14660000000001</v>
      </c>
      <c r="H166" s="92">
        <f>(((Table134567891011121314151617343[[#This Row],[ITA]]-VLOOKUP($U$1,A:B,2,))/VLOOKUP($U$1,A:B,2,))*100)+100</f>
        <v>99.835512653600333</v>
      </c>
      <c r="I166" s="92">
        <f>(((Table134567891011121314151617343[[#This Row],[FRA]]-VLOOKUP($U$1,A:C,3,))/VLOOKUP($U$1,A:C,3,))*100)+100</f>
        <v>104.69141305945345</v>
      </c>
      <c r="J166" s="92">
        <f>(((Table134567891011121314151617343[[#This Row],[DEU]]-VLOOKUP($U$1,A:D,4,))/VLOOKUP($U$1,A:D,4,))*100)+100</f>
        <v>104.25532820356165</v>
      </c>
      <c r="K166" s="92">
        <f>(((Table134567891011121314151617343[[#This Row],[ESP]]-VLOOKUP($U$1,A:E,5,))/VLOOKUP($U$1,A:E,5,))*100)+100</f>
        <v>103.46796177662722</v>
      </c>
      <c r="L166" s="92">
        <f>(((Table134567891011121314151617343[[#This Row],[EA19]]-VLOOKUP($U$1,A:F,6,))/VLOOKUP($U$1,A:F,6,))*100)+100</f>
        <v>105.70469798657719</v>
      </c>
      <c r="M166" s="92">
        <f>(((Table134567891011121314151617343[[#This Row],[GBR]]-VLOOKUP($U$1,A:G,7,))/VLOOKUP($U$1,A:G,7,))*100)+100</f>
        <v>100.29157084141823</v>
      </c>
      <c r="N166" s="92">
        <f>VLOOKUP(A166,Database!$E:$AY,MATCH($N$1,Database!$E$1:$AY$1,0),FALSE)</f>
        <v>90.360029999999995</v>
      </c>
      <c r="O166" s="92">
        <f>(((Table134567891011121314151617343[[#This Row],[USA]]-VLOOKUP($U$1,A:N,14,))/VLOOKUP($U$1,A:N,14,))*100)+100</f>
        <v>104.69144015680074</v>
      </c>
      <c r="P166" s="92">
        <f>VLOOKUP(A166,Database!$E:$AY,MATCH($P$1,Database!$E$1:$AY$1,0),FALSE)</f>
        <v>103.471</v>
      </c>
      <c r="Q166" s="92">
        <f>(((Table134567891011121314151617343[[#This Row],[JPN]]-VLOOKUP($U$1,A:Q,16,))/VLOOKUP($U$1,A:Q,16,))*100)+100</f>
        <v>103.88276009619329</v>
      </c>
    </row>
    <row r="167" spans="1:17" s="85" customFormat="1" x14ac:dyDescent="0.2">
      <c r="A167" s="22">
        <v>37895</v>
      </c>
      <c r="B167" s="92">
        <f>VLOOKUP(A167,Database!$E:$AY,MATCH($B$1,Database!$E$1:$AY$1,0),FALSE)</f>
        <v>122.68980000000001</v>
      </c>
      <c r="C167" s="92">
        <f>VLOOKUP(A167,Database!$E:$AY,MATCH($C$1,Database!$E$1:$AY$1,0),FALSE)</f>
        <v>110.1609</v>
      </c>
      <c r="D167" s="92">
        <f>VLOOKUP(A167,Database!$E:$AY,MATCH($D$1,Database!$E$1:$AY$1,0),FALSE)</f>
        <v>80.793270000000007</v>
      </c>
      <c r="E167" s="92">
        <f>VLOOKUP(A167,Database!$E:$AY,MATCH($E$1,Database!$E$1:$AY$1,0),FALSE)</f>
        <v>125.50409999999999</v>
      </c>
      <c r="F167" s="92">
        <f>VLOOKUP(A167,Database!$E:$AY,MATCH($F$1,Database!$E$1:$AY$1,0),FALSE)</f>
        <v>96.883849999999995</v>
      </c>
      <c r="G167" s="92">
        <f>VLOOKUP(A167,Database!$E:$AY,MATCH($G$1,Database!$E$1:$AY$1,0),FALSE)</f>
        <v>107.9772</v>
      </c>
      <c r="H167" s="92">
        <f>(((Table134567891011121314151617343[[#This Row],[ITA]]-VLOOKUP($U$1,A:B,2,))/VLOOKUP($U$1,A:B,2,))*100)+100</f>
        <v>100.90459816152493</v>
      </c>
      <c r="I167" s="92">
        <f>(((Table134567891011121314151617343[[#This Row],[FRA]]-VLOOKUP($U$1,A:C,3,))/VLOOKUP($U$1,A:C,3,))*100)+100</f>
        <v>107.22205080936608</v>
      </c>
      <c r="J167" s="92">
        <f>(((Table134567891011121314151617343[[#This Row],[DEU]]-VLOOKUP($U$1,A:D,4,))/VLOOKUP($U$1,A:D,4,))*100)+100</f>
        <v>107.44681770674231</v>
      </c>
      <c r="K167" s="92">
        <f>(((Table134567891011121314151617343[[#This Row],[ESP]]-VLOOKUP($U$1,A:E,5,))/VLOOKUP($U$1,A:E,5,))*100)+100</f>
        <v>105.69291442690626</v>
      </c>
      <c r="L167" s="92">
        <f>(((Table134567891011121314151617343[[#This Row],[EA19]]-VLOOKUP($U$1,A:F,6,))/VLOOKUP($U$1,A:F,6,))*100)+100</f>
        <v>108.38926174496645</v>
      </c>
      <c r="M167" s="92">
        <f>(((Table134567891011121314151617343[[#This Row],[GBR]]-VLOOKUP($U$1,A:G,7,))/VLOOKUP($U$1,A:G,7,))*100)+100</f>
        <v>101.06903068373596</v>
      </c>
      <c r="N167" s="92">
        <f>VLOOKUP(A167,Database!$E:$AY,MATCH($N$1,Database!$E$1:$AY$1,0),FALSE)</f>
        <v>90.487589999999997</v>
      </c>
      <c r="O167" s="92">
        <f>(((Table134567891011121314151617343[[#This Row],[USA]]-VLOOKUP($U$1,A:N,14,))/VLOOKUP($U$1,A:N,14,))*100)+100</f>
        <v>104.83923160957474</v>
      </c>
      <c r="P167" s="92">
        <f>VLOOKUP(A167,Database!$E:$AY,MATCH($P$1,Database!$E$1:$AY$1,0),FALSE)</f>
        <v>104.6666</v>
      </c>
      <c r="Q167" s="92">
        <f>(((Table134567891011121314151617343[[#This Row],[JPN]]-VLOOKUP($U$1,A:Q,16,))/VLOOKUP($U$1,A:Q,16,))*100)+100</f>
        <v>105.0831179546368</v>
      </c>
    </row>
    <row r="168" spans="1:17" s="85" customFormat="1" x14ac:dyDescent="0.2">
      <c r="A168" s="22">
        <v>37926</v>
      </c>
      <c r="B168" s="92">
        <f>VLOOKUP(A168,Database!$E:$AY,MATCH($B$1,Database!$E$1:$AY$1,0),FALSE)</f>
        <v>124.08969999999999</v>
      </c>
      <c r="C168" s="92">
        <f>VLOOKUP(A168,Database!$E:$AY,MATCH($C$1,Database!$E$1:$AY$1,0),FALSE)</f>
        <v>108.01090000000001</v>
      </c>
      <c r="D168" s="92">
        <f>VLOOKUP(A168,Database!$E:$AY,MATCH($D$1,Database!$E$1:$AY$1,0),FALSE)</f>
        <v>81.593199999999996</v>
      </c>
      <c r="E168" s="92">
        <f>VLOOKUP(A168,Database!$E:$AY,MATCH($E$1,Database!$E$1:$AY$1,0),FALSE)</f>
        <v>124.3961</v>
      </c>
      <c r="F168" s="92">
        <f>VLOOKUP(A168,Database!$E:$AY,MATCH($F$1,Database!$E$1:$AY$1,0),FALSE)</f>
        <v>96.483919999999998</v>
      </c>
      <c r="G168" s="92">
        <f>VLOOKUP(A168,Database!$E:$AY,MATCH($G$1,Database!$E$1:$AY$1,0),FALSE)</f>
        <v>107.56189999999999</v>
      </c>
      <c r="H168" s="92">
        <f>(((Table134567891011121314151617343[[#This Row],[ITA]]-VLOOKUP($U$1,A:B,2,))/VLOOKUP($U$1,A:B,2,))*100)+100</f>
        <v>102.05592734264934</v>
      </c>
      <c r="I168" s="92">
        <f>(((Table134567891011121314151617343[[#This Row],[FRA]]-VLOOKUP($U$1,A:C,3,))/VLOOKUP($U$1,A:C,3,))*100)+100</f>
        <v>105.12940805463064</v>
      </c>
      <c r="J168" s="92">
        <f>(((Table134567891011121314151617343[[#This Row],[DEU]]-VLOOKUP($U$1,A:D,4,))/VLOOKUP($U$1,A:D,4,))*100)+100</f>
        <v>108.51064310814212</v>
      </c>
      <c r="K168" s="92">
        <f>(((Table134567891011121314151617343[[#This Row],[ESP]]-VLOOKUP($U$1,A:E,5,))/VLOOKUP($U$1,A:E,5,))*100)+100</f>
        <v>104.75981543504057</v>
      </c>
      <c r="L168" s="92">
        <f>(((Table134567891011121314151617343[[#This Row],[EA19]]-VLOOKUP($U$1,A:F,6,))/VLOOKUP($U$1,A:F,6,))*100)+100</f>
        <v>107.94183818108388</v>
      </c>
      <c r="M168" s="92">
        <f>(((Table134567891011121314151617343[[#This Row],[GBR]]-VLOOKUP($U$1,A:G,7,))/VLOOKUP($U$1,A:G,7,))*100)+100</f>
        <v>100.68030076257709</v>
      </c>
      <c r="N168" s="92">
        <f>VLOOKUP(A168,Database!$E:$AY,MATCH($N$1,Database!$E$1:$AY$1,0),FALSE)</f>
        <v>91.184820000000002</v>
      </c>
      <c r="O168" s="92">
        <f>(((Table134567891011121314151617343[[#This Row],[USA]]-VLOOKUP($U$1,A:N,14,))/VLOOKUP($U$1,A:N,14,))*100)+100</f>
        <v>105.64704467493701</v>
      </c>
      <c r="P168" s="92">
        <f>VLOOKUP(A168,Database!$E:$AY,MATCH($P$1,Database!$E$1:$AY$1,0),FALSE)</f>
        <v>104.884</v>
      </c>
      <c r="Q168" s="92">
        <f>(((Table134567891011121314151617343[[#This Row],[JPN]]-VLOOKUP($U$1,A:Q,16,))/VLOOKUP($U$1,A:Q,16,))*100)+100</f>
        <v>105.30138309216241</v>
      </c>
    </row>
    <row r="169" spans="1:17" s="85" customFormat="1" x14ac:dyDescent="0.2">
      <c r="A169" s="22">
        <v>37956</v>
      </c>
      <c r="B169" s="92">
        <f>VLOOKUP(A169,Database!$E:$AY,MATCH($B$1,Database!$E$1:$AY$1,0),FALSE)</f>
        <v>124.1897</v>
      </c>
      <c r="C169" s="92">
        <f>VLOOKUP(A169,Database!$E:$AY,MATCH($C$1,Database!$E$1:$AY$1,0),FALSE)</f>
        <v>108.6409</v>
      </c>
      <c r="D169" s="92">
        <f>VLOOKUP(A169,Database!$E:$AY,MATCH($D$1,Database!$E$1:$AY$1,0),FALSE)</f>
        <v>81.993160000000003</v>
      </c>
      <c r="E169" s="92">
        <f>VLOOKUP(A169,Database!$E:$AY,MATCH($E$1,Database!$E$1:$AY$1,0),FALSE)</f>
        <v>123.71510000000001</v>
      </c>
      <c r="F169" s="92">
        <f>VLOOKUP(A169,Database!$E:$AY,MATCH($F$1,Database!$E$1:$AY$1,0),FALSE)</f>
        <v>96.783869999999993</v>
      </c>
      <c r="G169" s="92">
        <f>VLOOKUP(A169,Database!$E:$AY,MATCH($G$1,Database!$E$1:$AY$1,0),FALSE)</f>
        <v>108.2886</v>
      </c>
      <c r="H169" s="92">
        <f>(((Table134567891011121314151617343[[#This Row],[ITA]]-VLOOKUP($U$1,A:B,2,))/VLOOKUP($U$1,A:B,2,))*100)+100</f>
        <v>102.13817101584918</v>
      </c>
      <c r="I169" s="92">
        <f>(((Table134567891011121314151617343[[#This Row],[FRA]]-VLOOKUP($U$1,A:C,3,))/VLOOKUP($U$1,A:C,3,))*100)+100</f>
        <v>105.74260104787869</v>
      </c>
      <c r="J169" s="92">
        <f>(((Table134567891011121314151617343[[#This Row],[DEU]]-VLOOKUP($U$1,A:D,4,))/VLOOKUP($U$1,A:D,4,))*100)+100</f>
        <v>109.04254915935145</v>
      </c>
      <c r="K169" s="92">
        <f>(((Table134567891011121314151617343[[#This Row],[ESP]]-VLOOKUP($U$1,A:E,5,))/VLOOKUP($U$1,A:E,5,))*100)+100</f>
        <v>104.18631325682708</v>
      </c>
      <c r="L169" s="92">
        <f>(((Table134567891011121314151617343[[#This Row],[EA19]]-VLOOKUP($U$1,A:F,6,))/VLOOKUP($U$1,A:F,6,))*100)+100</f>
        <v>108.27740865088253</v>
      </c>
      <c r="M169" s="92">
        <f>(((Table134567891011121314151617343[[#This Row],[GBR]]-VLOOKUP($U$1,A:G,7,))/VLOOKUP($U$1,A:G,7,))*100)+100</f>
        <v>101.36050792295791</v>
      </c>
      <c r="N169" s="92">
        <f>VLOOKUP(A169,Database!$E:$AY,MATCH($N$1,Database!$E$1:$AY$1,0),FALSE)</f>
        <v>91.119889999999998</v>
      </c>
      <c r="O169" s="92">
        <f>(((Table134567891011121314151617343[[#This Row],[USA]]-VLOOKUP($U$1,A:N,14,))/VLOOKUP($U$1,A:N,14,))*100)+100</f>
        <v>105.57181655461233</v>
      </c>
      <c r="P169" s="92">
        <f>VLOOKUP(A169,Database!$E:$AY,MATCH($P$1,Database!$E$1:$AY$1,0),FALSE)</f>
        <v>104.5579</v>
      </c>
      <c r="Q169" s="92">
        <f>(((Table134567891011121314151617343[[#This Row],[JPN]]-VLOOKUP($U$1,A:Q,16,))/VLOOKUP($U$1,A:Q,16,))*100)+100</f>
        <v>104.973985385874</v>
      </c>
    </row>
    <row r="170" spans="1:17" s="85" customFormat="1" x14ac:dyDescent="0.2">
      <c r="A170" s="22">
        <v>37987</v>
      </c>
      <c r="B170" s="92">
        <f>VLOOKUP(A170,Database!$E:$AY,MATCH($B$1,Database!$E$1:$AY$1,0),FALSE)</f>
        <v>124.08969999999999</v>
      </c>
      <c r="C170" s="92">
        <f>VLOOKUP(A170,Database!$E:$AY,MATCH($C$1,Database!$E$1:$AY$1,0),FALSE)</f>
        <v>109.3609</v>
      </c>
      <c r="D170" s="92">
        <f>VLOOKUP(A170,Database!$E:$AY,MATCH($D$1,Database!$E$1:$AY$1,0),FALSE)</f>
        <v>81.293229999999994</v>
      </c>
      <c r="E170" s="92">
        <f>VLOOKUP(A170,Database!$E:$AY,MATCH($E$1,Database!$E$1:$AY$1,0),FALSE)</f>
        <v>123.7901</v>
      </c>
      <c r="F170" s="92">
        <f>VLOOKUP(A170,Database!$E:$AY,MATCH($F$1,Database!$E$1:$AY$1,0),FALSE)</f>
        <v>96.683880000000002</v>
      </c>
      <c r="G170" s="92">
        <f>VLOOKUP(A170,Database!$E:$AY,MATCH($G$1,Database!$E$1:$AY$1,0),FALSE)</f>
        <v>107.6657</v>
      </c>
      <c r="H170" s="92">
        <f>(((Table134567891011121314151617343[[#This Row],[ITA]]-VLOOKUP($U$1,A:B,2,))/VLOOKUP($U$1,A:B,2,))*100)+100</f>
        <v>102.05592734264934</v>
      </c>
      <c r="I170" s="92">
        <f>(((Table134567891011121314151617343[[#This Row],[FRA]]-VLOOKUP($U$1,A:C,3,))/VLOOKUP($U$1,A:C,3,))*100)+100</f>
        <v>106.44339304016219</v>
      </c>
      <c r="J170" s="92">
        <f>(((Table134567891011121314151617343[[#This Row],[DEU]]-VLOOKUP($U$1,A:D,4,))/VLOOKUP($U$1,A:D,4,))*100)+100</f>
        <v>108.11171356973513</v>
      </c>
      <c r="K170" s="92">
        <f>(((Table134567891011121314151617343[[#This Row],[ESP]]-VLOOKUP($U$1,A:E,5,))/VLOOKUP($U$1,A:E,5,))*100)+100</f>
        <v>104.24947428966996</v>
      </c>
      <c r="L170" s="92">
        <f>(((Table134567891011121314151617343[[#This Row],[EA19]]-VLOOKUP($U$1,A:F,6,))/VLOOKUP($U$1,A:F,6,))*100)+100</f>
        <v>108.16554436925171</v>
      </c>
      <c r="M170" s="92">
        <f>(((Table134567891011121314151617343[[#This Row],[GBR]]-VLOOKUP($U$1,A:G,7,))/VLOOKUP($U$1,A:G,7,))*100)+100</f>
        <v>100.77745984231774</v>
      </c>
      <c r="N170" s="92">
        <f>VLOOKUP(A170,Database!$E:$AY,MATCH($N$1,Database!$E$1:$AY$1,0),FALSE)</f>
        <v>91.352620000000002</v>
      </c>
      <c r="O170" s="92">
        <f>(((Table134567891011121314151617343[[#This Row],[USA]]-VLOOKUP($U$1,A:N,14,))/VLOOKUP($U$1,A:N,14,))*100)+100</f>
        <v>105.84145832949545</v>
      </c>
      <c r="P170" s="92">
        <f>VLOOKUP(A170,Database!$E:$AY,MATCH($P$1,Database!$E$1:$AY$1,0),FALSE)</f>
        <v>106.40560000000001</v>
      </c>
      <c r="Q170" s="92">
        <f>(((Table134567891011121314151617343[[#This Row],[JPN]]-VLOOKUP($U$1,A:Q,16,))/VLOOKUP($U$1,A:Q,16,))*100)+100</f>
        <v>106.82903825894699</v>
      </c>
    </row>
    <row r="171" spans="1:17" s="85" customFormat="1" x14ac:dyDescent="0.2">
      <c r="A171" s="22">
        <v>38018</v>
      </c>
      <c r="B171" s="92">
        <f>VLOOKUP(A171,Database!$E:$AY,MATCH($B$1,Database!$E$1:$AY$1,0),FALSE)</f>
        <v>123.6897</v>
      </c>
      <c r="C171" s="92">
        <f>VLOOKUP(A171,Database!$E:$AY,MATCH($C$1,Database!$E$1:$AY$1,0),FALSE)</f>
        <v>110.4709</v>
      </c>
      <c r="D171" s="92">
        <f>VLOOKUP(A171,Database!$E:$AY,MATCH($D$1,Database!$E$1:$AY$1,0),FALSE)</f>
        <v>81.693190000000001</v>
      </c>
      <c r="E171" s="92">
        <f>VLOOKUP(A171,Database!$E:$AY,MATCH($E$1,Database!$E$1:$AY$1,0),FALSE)</f>
        <v>124.4391</v>
      </c>
      <c r="F171" s="92">
        <f>VLOOKUP(A171,Database!$E:$AY,MATCH($F$1,Database!$E$1:$AY$1,0),FALSE)</f>
        <v>97.083820000000003</v>
      </c>
      <c r="G171" s="92">
        <f>VLOOKUP(A171,Database!$E:$AY,MATCH($G$1,Database!$E$1:$AY$1,0),FALSE)</f>
        <v>107.35420000000001</v>
      </c>
      <c r="H171" s="92">
        <f>(((Table134567891011121314151617343[[#This Row],[ITA]]-VLOOKUP($U$1,A:B,2,))/VLOOKUP($U$1,A:B,2,))*100)+100</f>
        <v>101.72695264985003</v>
      </c>
      <c r="I171" s="92">
        <f>(((Table134567891011121314151617343[[#This Row],[FRA]]-VLOOKUP($U$1,A:C,3,))/VLOOKUP($U$1,A:C,3,))*100)+100</f>
        <v>107.5237806949326</v>
      </c>
      <c r="J171" s="92">
        <f>(((Table134567891011121314151617343[[#This Row],[DEU]]-VLOOKUP($U$1,A:D,4,))/VLOOKUP($U$1,A:D,4,))*100)+100</f>
        <v>108.64361962094446</v>
      </c>
      <c r="K171" s="92">
        <f>(((Table134567891011121314151617343[[#This Row],[ESP]]-VLOOKUP($U$1,A:E,5,))/VLOOKUP($U$1,A:E,5,))*100)+100</f>
        <v>104.79602776053714</v>
      </c>
      <c r="L171" s="92">
        <f>(((Table134567891011121314151617343[[#This Row],[EA19]]-VLOOKUP($U$1,A:F,6,))/VLOOKUP($U$1,A:F,6,))*100)+100</f>
        <v>108.6129791206812</v>
      </c>
      <c r="M171" s="92">
        <f>(((Table134567891011121314151617343[[#This Row],[GBR]]-VLOOKUP($U$1,A:G,7,))/VLOOKUP($U$1,A:G,7,))*100)+100</f>
        <v>100.48588900089952</v>
      </c>
      <c r="N171" s="92">
        <f>VLOOKUP(A171,Database!$E:$AY,MATCH($N$1,Database!$E$1:$AY$1,0),FALSE)</f>
        <v>91.90607</v>
      </c>
      <c r="O171" s="92">
        <f>(((Table134567891011121314151617343[[#This Row],[USA]]-VLOOKUP($U$1,A:N,14,))/VLOOKUP($U$1,A:N,14,))*100)+100</f>
        <v>106.48268739454537</v>
      </c>
      <c r="P171" s="92">
        <f>VLOOKUP(A171,Database!$E:$AY,MATCH($P$1,Database!$E$1:$AY$1,0),FALSE)</f>
        <v>106.0796</v>
      </c>
      <c r="Q171" s="92">
        <f>(((Table134567891011121314151617343[[#This Row],[JPN]]-VLOOKUP($U$1,A:Q,16,))/VLOOKUP($U$1,A:Q,16,))*100)+100</f>
        <v>106.50174095060592</v>
      </c>
    </row>
    <row r="172" spans="1:17" s="85" customFormat="1" x14ac:dyDescent="0.2">
      <c r="A172" s="22">
        <v>38047</v>
      </c>
      <c r="B172" s="92">
        <f>VLOOKUP(A172,Database!$E:$AY,MATCH($B$1,Database!$E$1:$AY$1,0),FALSE)</f>
        <v>121.5899</v>
      </c>
      <c r="C172" s="92">
        <f>VLOOKUP(A172,Database!$E:$AY,MATCH($C$1,Database!$E$1:$AY$1,0),FALSE)</f>
        <v>110.1009</v>
      </c>
      <c r="D172" s="92">
        <f>VLOOKUP(A172,Database!$E:$AY,MATCH($D$1,Database!$E$1:$AY$1,0),FALSE)</f>
        <v>81.193240000000003</v>
      </c>
      <c r="E172" s="92">
        <f>VLOOKUP(A172,Database!$E:$AY,MATCH($E$1,Database!$E$1:$AY$1,0),FALSE)</f>
        <v>126.1631</v>
      </c>
      <c r="F172" s="92">
        <f>VLOOKUP(A172,Database!$E:$AY,MATCH($F$1,Database!$E$1:$AY$1,0),FALSE)</f>
        <v>96.883849999999995</v>
      </c>
      <c r="G172" s="92">
        <f>VLOOKUP(A172,Database!$E:$AY,MATCH($G$1,Database!$E$1:$AY$1,0),FALSE)</f>
        <v>109.53449999999999</v>
      </c>
      <c r="H172" s="92">
        <f>(((Table134567891011121314151617343[[#This Row],[ITA]]-VLOOKUP($U$1,A:B,2,))/VLOOKUP($U$1,A:B,2,))*100)+100</f>
        <v>100</v>
      </c>
      <c r="I172" s="92">
        <f>(((Table134567891011121314151617343[[#This Row],[FRA]]-VLOOKUP($U$1,A:C,3,))/VLOOKUP($U$1,A:C,3,))*100)+100</f>
        <v>107.1636514766758</v>
      </c>
      <c r="J172" s="92">
        <f>(((Table134567891011121314151617343[[#This Row],[DEU]]-VLOOKUP($U$1,A:D,4,))/VLOOKUP($U$1,A:D,4,))*100)+100</f>
        <v>107.9787370569328</v>
      </c>
      <c r="K172" s="92">
        <f>(((Table134567891011121314151617343[[#This Row],[ESP]]-VLOOKUP($U$1,A:E,5,))/VLOOKUP($U$1,A:E,5,))*100)+100</f>
        <v>106.24788936881916</v>
      </c>
      <c r="L172" s="92">
        <f>(((Table134567891011121314151617343[[#This Row],[EA19]]-VLOOKUP($U$1,A:F,6,))/VLOOKUP($U$1,A:F,6,))*100)+100</f>
        <v>108.38926174496645</v>
      </c>
      <c r="M172" s="92">
        <f>(((Table134567891011121314151617343[[#This Row],[GBR]]-VLOOKUP($U$1,A:G,7,))/VLOOKUP($U$1,A:G,7,))*100)+100</f>
        <v>102.52669768643452</v>
      </c>
      <c r="N172" s="92">
        <f>VLOOKUP(A172,Database!$E:$AY,MATCH($N$1,Database!$E$1:$AY$1,0),FALSE)</f>
        <v>91.44896</v>
      </c>
      <c r="O172" s="92">
        <f>(((Table134567891011121314151617343[[#This Row],[USA]]-VLOOKUP($U$1,A:N,14,))/VLOOKUP($U$1,A:N,14,))*100)+100</f>
        <v>105.95307818337007</v>
      </c>
      <c r="P172" s="92">
        <f>VLOOKUP(A172,Database!$E:$AY,MATCH($P$1,Database!$E$1:$AY$1,0),FALSE)</f>
        <v>105.5361</v>
      </c>
      <c r="Q172" s="92">
        <f>(((Table134567891011121314151617343[[#This Row],[JPN]]-VLOOKUP($U$1,A:Q,16,))/VLOOKUP($U$1,A:Q,16,))*100)+100</f>
        <v>105.95607810679191</v>
      </c>
    </row>
    <row r="173" spans="1:17" s="85" customFormat="1" x14ac:dyDescent="0.2">
      <c r="A173" s="22">
        <v>38078</v>
      </c>
      <c r="B173" s="92">
        <f>VLOOKUP(A173,Database!$E:$AY,MATCH($B$1,Database!$E$1:$AY$1,0),FALSE)</f>
        <v>123.7897</v>
      </c>
      <c r="C173" s="92">
        <f>VLOOKUP(A173,Database!$E:$AY,MATCH($C$1,Database!$E$1:$AY$1,0),FALSE)</f>
        <v>110.1309</v>
      </c>
      <c r="D173" s="92">
        <f>VLOOKUP(A173,Database!$E:$AY,MATCH($D$1,Database!$E$1:$AY$1,0),FALSE)</f>
        <v>82.393140000000002</v>
      </c>
      <c r="E173" s="92">
        <f>VLOOKUP(A173,Database!$E:$AY,MATCH($E$1,Database!$E$1:$AY$1,0),FALSE)</f>
        <v>125.45910000000001</v>
      </c>
      <c r="F173" s="92">
        <f>VLOOKUP(A173,Database!$E:$AY,MATCH($F$1,Database!$E$1:$AY$1,0),FALSE)</f>
        <v>97.783699999999996</v>
      </c>
      <c r="G173" s="92">
        <f>VLOOKUP(A173,Database!$E:$AY,MATCH($G$1,Database!$E$1:$AY$1,0),FALSE)</f>
        <v>108.91160000000001</v>
      </c>
      <c r="H173" s="92">
        <f>(((Table134567891011121314151617343[[#This Row],[ITA]]-VLOOKUP($U$1,A:B,2,))/VLOOKUP($U$1,A:B,2,))*100)+100</f>
        <v>101.80919632304986</v>
      </c>
      <c r="I173" s="92">
        <f>(((Table134567891011121314151617343[[#This Row],[FRA]]-VLOOKUP($U$1,A:C,3,))/VLOOKUP($U$1,A:C,3,))*100)+100</f>
        <v>107.19285114302095</v>
      </c>
      <c r="J173" s="92">
        <f>(((Table134567891011121314151617343[[#This Row],[DEU]]-VLOOKUP($U$1,A:D,4,))/VLOOKUP($U$1,A:D,4,))*100)+100</f>
        <v>109.57448180852313</v>
      </c>
      <c r="K173" s="92">
        <f>(((Table134567891011121314151617343[[#This Row],[ESP]]-VLOOKUP($U$1,A:E,5,))/VLOOKUP($U$1,A:E,5,))*100)+100</f>
        <v>105.65501780720052</v>
      </c>
      <c r="L173" s="92">
        <f>(((Table134567891011121314151617343[[#This Row],[EA19]]-VLOOKUP($U$1,A:F,6,))/VLOOKUP($U$1,A:F,6,))*100)+100</f>
        <v>109.39597315436242</v>
      </c>
      <c r="M173" s="92">
        <f>(((Table134567891011121314151617343[[#This Row],[GBR]]-VLOOKUP($U$1,A:G,7,))/VLOOKUP($U$1,A:G,7,))*100)+100</f>
        <v>101.94364960579436</v>
      </c>
      <c r="N173" s="92">
        <f>VLOOKUP(A173,Database!$E:$AY,MATCH($N$1,Database!$E$1:$AY$1,0),FALSE)</f>
        <v>91.861689999999996</v>
      </c>
      <c r="O173" s="92">
        <f>(((Table134567891011121314151617343[[#This Row],[USA]]-VLOOKUP($U$1,A:N,14,))/VLOOKUP($U$1,A:N,14,))*100)+100</f>
        <v>106.43126857458526</v>
      </c>
      <c r="P173" s="92">
        <f>VLOOKUP(A173,Database!$E:$AY,MATCH($P$1,Database!$E$1:$AY$1,0),FALSE)</f>
        <v>107.38379999999999</v>
      </c>
      <c r="Q173" s="92">
        <f>(((Table134567891011121314151617343[[#This Row],[JPN]]-VLOOKUP($U$1,A:Q,16,))/VLOOKUP($U$1,A:Q,16,))*100)+100</f>
        <v>107.81113097986488</v>
      </c>
    </row>
    <row r="174" spans="1:17" s="85" customFormat="1" x14ac:dyDescent="0.2">
      <c r="A174" s="22">
        <v>38108</v>
      </c>
      <c r="B174" s="92">
        <f>VLOOKUP(A174,Database!$E:$AY,MATCH($B$1,Database!$E$1:$AY$1,0),FALSE)</f>
        <v>123.58969999999999</v>
      </c>
      <c r="C174" s="92">
        <f>VLOOKUP(A174,Database!$E:$AY,MATCH($C$1,Database!$E$1:$AY$1,0),FALSE)</f>
        <v>109.54089999999999</v>
      </c>
      <c r="D174" s="92">
        <f>VLOOKUP(A174,Database!$E:$AY,MATCH($D$1,Database!$E$1:$AY$1,0),FALSE)</f>
        <v>83.293059999999997</v>
      </c>
      <c r="E174" s="92">
        <f>VLOOKUP(A174,Database!$E:$AY,MATCH($E$1,Database!$E$1:$AY$1,0),FALSE)</f>
        <v>126.1161</v>
      </c>
      <c r="F174" s="92">
        <f>VLOOKUP(A174,Database!$E:$AY,MATCH($F$1,Database!$E$1:$AY$1,0),FALSE)</f>
        <v>97.883679999999998</v>
      </c>
      <c r="G174" s="92">
        <f>VLOOKUP(A174,Database!$E:$AY,MATCH($G$1,Database!$E$1:$AY$1,0),FALSE)</f>
        <v>108.3925</v>
      </c>
      <c r="H174" s="92">
        <f>(((Table134567891011121314151617343[[#This Row],[ITA]]-VLOOKUP($U$1,A:B,2,))/VLOOKUP($U$1,A:B,2,))*100)+100</f>
        <v>101.64470897665019</v>
      </c>
      <c r="I174" s="92">
        <f>(((Table134567891011121314151617343[[#This Row],[FRA]]-VLOOKUP($U$1,A:C,3,))/VLOOKUP($U$1,A:C,3,))*100)+100</f>
        <v>106.61859103823306</v>
      </c>
      <c r="J174" s="92">
        <f>(((Table134567891011121314151617343[[#This Row],[DEU]]-VLOOKUP($U$1,A:D,4,))/VLOOKUP($U$1,A:D,4,))*100)+100</f>
        <v>110.77128372272529</v>
      </c>
      <c r="K174" s="92">
        <f>(((Table134567891011121314151617343[[#This Row],[ESP]]-VLOOKUP($U$1,A:E,5,))/VLOOKUP($U$1,A:E,5,))*100)+100</f>
        <v>106.20830845490428</v>
      </c>
      <c r="L174" s="92">
        <f>(((Table134567891011121314151617343[[#This Row],[EA19]]-VLOOKUP($U$1,A:F,6,))/VLOOKUP($U$1,A:F,6,))*100)+100</f>
        <v>109.50782624844634</v>
      </c>
      <c r="M174" s="92">
        <f>(((Table134567891011121314151617343[[#This Row],[GBR]]-VLOOKUP($U$1,A:G,7,))/VLOOKUP($U$1,A:G,7,))*100)+100</f>
        <v>101.45776060489483</v>
      </c>
      <c r="N174" s="92">
        <f>VLOOKUP(A174,Database!$E:$AY,MATCH($N$1,Database!$E$1:$AY$1,0),FALSE)</f>
        <v>92.589849999999998</v>
      </c>
      <c r="O174" s="92">
        <f>(((Table134567891011121314151617343[[#This Row],[USA]]-VLOOKUP($U$1,A:N,14,))/VLOOKUP($U$1,A:N,14,))*100)+100</f>
        <v>107.27491724385392</v>
      </c>
      <c r="P174" s="92">
        <f>VLOOKUP(A174,Database!$E:$AY,MATCH($P$1,Database!$E$1:$AY$1,0),FALSE)</f>
        <v>107.49250000000001</v>
      </c>
      <c r="Q174" s="92">
        <f>(((Table134567891011121314151617343[[#This Row],[JPN]]-VLOOKUP($U$1,A:Q,16,))/VLOOKUP($U$1,A:Q,16,))*100)+100</f>
        <v>107.9202635486277</v>
      </c>
    </row>
    <row r="175" spans="1:17" s="85" customFormat="1" x14ac:dyDescent="0.2">
      <c r="A175" s="22">
        <v>38139</v>
      </c>
      <c r="B175" s="92">
        <f>VLOOKUP(A175,Database!$E:$AY,MATCH($B$1,Database!$E$1:$AY$1,0),FALSE)</f>
        <v>122.88979999999999</v>
      </c>
      <c r="C175" s="92">
        <f>VLOOKUP(A175,Database!$E:$AY,MATCH($C$1,Database!$E$1:$AY$1,0),FALSE)</f>
        <v>110.5909</v>
      </c>
      <c r="D175" s="92">
        <f>VLOOKUP(A175,Database!$E:$AY,MATCH($D$1,Database!$E$1:$AY$1,0),FALSE)</f>
        <v>82.693110000000004</v>
      </c>
      <c r="E175" s="92">
        <f>VLOOKUP(A175,Database!$E:$AY,MATCH($E$1,Database!$E$1:$AY$1,0),FALSE)</f>
        <v>126.74809999999999</v>
      </c>
      <c r="F175" s="92">
        <f>VLOOKUP(A175,Database!$E:$AY,MATCH($F$1,Database!$E$1:$AY$1,0),FALSE)</f>
        <v>97.883679999999998</v>
      </c>
      <c r="G175" s="92">
        <f>VLOOKUP(A175,Database!$E:$AY,MATCH($G$1,Database!$E$1:$AY$1,0),FALSE)</f>
        <v>108.6001</v>
      </c>
      <c r="H175" s="92">
        <f>(((Table134567891011121314151617343[[#This Row],[ITA]]-VLOOKUP($U$1,A:B,2,))/VLOOKUP($U$1,A:B,2,))*100)+100</f>
        <v>101.06908550792458</v>
      </c>
      <c r="I175" s="92">
        <f>(((Table134567891011121314151617343[[#This Row],[FRA]]-VLOOKUP($U$1,A:C,3,))/VLOOKUP($U$1,A:C,3,))*100)+100</f>
        <v>107.64057936031318</v>
      </c>
      <c r="J175" s="92">
        <f>(((Table134567891011121314151617343[[#This Row],[DEU]]-VLOOKUP($U$1,A:D,4,))/VLOOKUP($U$1,A:D,4,))*100)+100</f>
        <v>109.97341134693012</v>
      </c>
      <c r="K175" s="92">
        <f>(((Table134567891011121314151617343[[#This Row],[ESP]]-VLOOKUP($U$1,A:E,5,))/VLOOKUP($U$1,A:E,5,))*100)+100</f>
        <v>106.74054542499374</v>
      </c>
      <c r="L175" s="92">
        <f>(((Table134567891011121314151617343[[#This Row],[EA19]]-VLOOKUP($U$1,A:F,6,))/VLOOKUP($U$1,A:F,6,))*100)+100</f>
        <v>109.50782624844634</v>
      </c>
      <c r="M175" s="92">
        <f>(((Table134567891011121314151617343[[#This Row],[GBR]]-VLOOKUP($U$1,A:G,7,))/VLOOKUP($U$1,A:G,7,))*100)+100</f>
        <v>101.65207876437613</v>
      </c>
      <c r="N175" s="92">
        <f>VLOOKUP(A175,Database!$E:$AY,MATCH($N$1,Database!$E$1:$AY$1,0),FALSE)</f>
        <v>91.826539999999994</v>
      </c>
      <c r="O175" s="92">
        <f>(((Table134567891011121314151617343[[#This Row],[USA]]-VLOOKUP($U$1,A:N,14,))/VLOOKUP($U$1,A:N,14,))*100)+100</f>
        <v>106.3905436642293</v>
      </c>
      <c r="P175" s="92">
        <f>VLOOKUP(A175,Database!$E:$AY,MATCH($P$1,Database!$E$1:$AY$1,0),FALSE)</f>
        <v>107.8186</v>
      </c>
      <c r="Q175" s="92">
        <f>(((Table134567891011121314151617343[[#This Row],[JPN]]-VLOOKUP($U$1,A:Q,16,))/VLOOKUP($U$1,A:Q,16,))*100)+100</f>
        <v>108.24766125491612</v>
      </c>
    </row>
    <row r="176" spans="1:17" s="85" customFormat="1" x14ac:dyDescent="0.2">
      <c r="A176" s="22">
        <v>38169</v>
      </c>
      <c r="B176" s="92">
        <f>VLOOKUP(A176,Database!$E:$AY,MATCH($B$1,Database!$E$1:$AY$1,0),FALSE)</f>
        <v>123.08969999999999</v>
      </c>
      <c r="C176" s="92">
        <f>VLOOKUP(A176,Database!$E:$AY,MATCH($C$1,Database!$E$1:$AY$1,0),FALSE)</f>
        <v>111.04089999999999</v>
      </c>
      <c r="D176" s="92">
        <f>VLOOKUP(A176,Database!$E:$AY,MATCH($D$1,Database!$E$1:$AY$1,0),FALSE)</f>
        <v>83.693020000000004</v>
      </c>
      <c r="E176" s="92">
        <f>VLOOKUP(A176,Database!$E:$AY,MATCH($E$1,Database!$E$1:$AY$1,0),FALSE)</f>
        <v>126.7381</v>
      </c>
      <c r="F176" s="92">
        <f>VLOOKUP(A176,Database!$E:$AY,MATCH($F$1,Database!$E$1:$AY$1,0),FALSE)</f>
        <v>98.68356</v>
      </c>
      <c r="G176" s="92">
        <f>VLOOKUP(A176,Database!$E:$AY,MATCH($G$1,Database!$E$1:$AY$1,0),FALSE)</f>
        <v>106.8351</v>
      </c>
      <c r="H176" s="92">
        <f>(((Table134567891011121314151617343[[#This Row],[ITA]]-VLOOKUP($U$1,A:B,2,))/VLOOKUP($U$1,A:B,2,))*100)+100</f>
        <v>101.23349061065105</v>
      </c>
      <c r="I176" s="92">
        <f>(((Table134567891011121314151617343[[#This Row],[FRA]]-VLOOKUP($U$1,A:C,3,))/VLOOKUP($U$1,A:C,3,))*100)+100</f>
        <v>108.07857435549036</v>
      </c>
      <c r="J176" s="92">
        <f>(((Table134567891011121314151617343[[#This Row],[DEU]]-VLOOKUP($U$1,A:D,4,))/VLOOKUP($U$1,A:D,4,))*100)+100</f>
        <v>111.30318977393461</v>
      </c>
      <c r="K176" s="92">
        <f>(((Table134567891011121314151617343[[#This Row],[ESP]]-VLOOKUP($U$1,A:E,5,))/VLOOKUP($U$1,A:E,5,))*100)+100</f>
        <v>106.73212395394803</v>
      </c>
      <c r="L176" s="92">
        <f>(((Table134567891011121314151617343[[#This Row],[EA19]]-VLOOKUP($U$1,A:F,6,))/VLOOKUP($U$1,A:F,6,))*100)+100</f>
        <v>110.40269575130532</v>
      </c>
      <c r="M176" s="92">
        <f>(((Table134567891011121314151617343[[#This Row],[GBR]]-VLOOKUP($U$1,A:G,7,))/VLOOKUP($U$1,A:G,7,))*100)+100</f>
        <v>100</v>
      </c>
      <c r="N176" s="92">
        <f>VLOOKUP(A176,Database!$E:$AY,MATCH($N$1,Database!$E$1:$AY$1,0),FALSE)</f>
        <v>92.534049999999993</v>
      </c>
      <c r="O176" s="92">
        <f>(((Table134567891011121314151617343[[#This Row],[USA]]-VLOOKUP($U$1,A:N,14,))/VLOOKUP($U$1,A:N,14,))*100)+100</f>
        <v>107.21026717279098</v>
      </c>
      <c r="P176" s="92">
        <f>VLOOKUP(A176,Database!$E:$AY,MATCH($P$1,Database!$E$1:$AY$1,0),FALSE)</f>
        <v>109.3402</v>
      </c>
      <c r="Q176" s="92">
        <f>(((Table134567891011121314151617343[[#This Row],[JPN]]-VLOOKUP($U$1,A:Q,16,))/VLOOKUP($U$1,A:Q,16,))*100)+100</f>
        <v>109.77531642170069</v>
      </c>
    </row>
    <row r="177" spans="1:17" s="85" customFormat="1" x14ac:dyDescent="0.2">
      <c r="A177" s="22">
        <v>38200</v>
      </c>
      <c r="B177" s="92">
        <f>VLOOKUP(A177,Database!$E:$AY,MATCH($B$1,Database!$E$1:$AY$1,0),FALSE)</f>
        <v>120.59</v>
      </c>
      <c r="C177" s="92">
        <f>VLOOKUP(A177,Database!$E:$AY,MATCH($C$1,Database!$E$1:$AY$1,0),FALSE)</f>
        <v>107.1109</v>
      </c>
      <c r="D177" s="92">
        <f>VLOOKUP(A177,Database!$E:$AY,MATCH($D$1,Database!$E$1:$AY$1,0),FALSE)</f>
        <v>82.893090000000001</v>
      </c>
      <c r="E177" s="92">
        <f>VLOOKUP(A177,Database!$E:$AY,MATCH($E$1,Database!$E$1:$AY$1,0),FALSE)</f>
        <v>124.8621</v>
      </c>
      <c r="F177" s="92">
        <f>VLOOKUP(A177,Database!$E:$AY,MATCH($F$1,Database!$E$1:$AY$1,0),FALSE)</f>
        <v>96.683880000000002</v>
      </c>
      <c r="G177" s="92">
        <f>VLOOKUP(A177,Database!$E:$AY,MATCH($G$1,Database!$E$1:$AY$1,0),FALSE)</f>
        <v>106.62739999999999</v>
      </c>
      <c r="H177" s="92">
        <f>(((Table134567891011121314151617343[[#This Row],[ITA]]-VLOOKUP($U$1,A:B,2,))/VLOOKUP($U$1,A:B,2,))*100)+100</f>
        <v>99.17764551167491</v>
      </c>
      <c r="I177" s="92">
        <f>(((Table134567891011121314151617343[[#This Row],[FRA]]-VLOOKUP($U$1,A:C,3,))/VLOOKUP($U$1,A:C,3,))*100)+100</f>
        <v>104.25341806427626</v>
      </c>
      <c r="J177" s="92">
        <f>(((Table134567891011121314151617343[[#This Row],[DEU]]-VLOOKUP($U$1,A:D,4,))/VLOOKUP($U$1,A:D,4,))*100)+100</f>
        <v>110.23936437253478</v>
      </c>
      <c r="K177" s="92">
        <f>(((Table134567891011121314151617343[[#This Row],[ESP]]-VLOOKUP($U$1,A:E,5,))/VLOOKUP($U$1,A:E,5,))*100)+100</f>
        <v>105.15225598577108</v>
      </c>
      <c r="L177" s="92">
        <f>(((Table134567891011121314151617343[[#This Row],[EA19]]-VLOOKUP($U$1,A:F,6,))/VLOOKUP($U$1,A:F,6,))*100)+100</f>
        <v>108.16554436925171</v>
      </c>
      <c r="M177" s="92">
        <f>(((Table134567891011121314151617343[[#This Row],[GBR]]-VLOOKUP($U$1,A:G,7,))/VLOOKUP($U$1,A:G,7,))*100)+100</f>
        <v>99.805588238322414</v>
      </c>
      <c r="N177" s="92">
        <f>VLOOKUP(A177,Database!$E:$AY,MATCH($N$1,Database!$E$1:$AY$1,0),FALSE)</f>
        <v>92.602239999999995</v>
      </c>
      <c r="O177" s="92">
        <f>(((Table134567891011121314151617343[[#This Row],[USA]]-VLOOKUP($U$1,A:N,14,))/VLOOKUP($U$1,A:N,14,))*100)+100</f>
        <v>107.2892723402781</v>
      </c>
      <c r="P177" s="92">
        <f>VLOOKUP(A177,Database!$E:$AY,MATCH($P$1,Database!$E$1:$AY$1,0),FALSE)</f>
        <v>107.8186</v>
      </c>
      <c r="Q177" s="92">
        <f>(((Table134567891011121314151617343[[#This Row],[JPN]]-VLOOKUP($U$1,A:Q,16,))/VLOOKUP($U$1,A:Q,16,))*100)+100</f>
        <v>108.24766125491612</v>
      </c>
    </row>
    <row r="178" spans="1:17" s="85" customFormat="1" x14ac:dyDescent="0.2">
      <c r="A178" s="22">
        <v>38231</v>
      </c>
      <c r="B178" s="92">
        <f>VLOOKUP(A178,Database!$E:$AY,MATCH($B$1,Database!$E$1:$AY$1,0),FALSE)</f>
        <v>122.2898</v>
      </c>
      <c r="C178" s="92">
        <f>VLOOKUP(A178,Database!$E:$AY,MATCH($C$1,Database!$E$1:$AY$1,0),FALSE)</f>
        <v>110.8609</v>
      </c>
      <c r="D178" s="92">
        <f>VLOOKUP(A178,Database!$E:$AY,MATCH($D$1,Database!$E$1:$AY$1,0),FALSE)</f>
        <v>82.693110000000004</v>
      </c>
      <c r="E178" s="92">
        <f>VLOOKUP(A178,Database!$E:$AY,MATCH($E$1,Database!$E$1:$AY$1,0),FALSE)</f>
        <v>127.0911</v>
      </c>
      <c r="F178" s="92">
        <f>VLOOKUP(A178,Database!$E:$AY,MATCH($F$1,Database!$E$1:$AY$1,0),FALSE)</f>
        <v>98.083659999999995</v>
      </c>
      <c r="G178" s="92">
        <f>VLOOKUP(A178,Database!$E:$AY,MATCH($G$1,Database!$E$1:$AY$1,0),FALSE)</f>
        <v>107.14660000000001</v>
      </c>
      <c r="H178" s="92">
        <f>(((Table134567891011121314151617343[[#This Row],[ITA]]-VLOOKUP($U$1,A:B,2,))/VLOOKUP($U$1,A:B,2,))*100)+100</f>
        <v>100.57562346872561</v>
      </c>
      <c r="I178" s="92">
        <f>(((Table134567891011121314151617343[[#This Row],[FRA]]-VLOOKUP($U$1,A:C,3,))/VLOOKUP($U$1,A:C,3,))*100)+100</f>
        <v>107.90337635741949</v>
      </c>
      <c r="J178" s="92">
        <f>(((Table134567891011121314151617343[[#This Row],[DEU]]-VLOOKUP($U$1,A:D,4,))/VLOOKUP($U$1,A:D,4,))*100)+100</f>
        <v>109.97341134693012</v>
      </c>
      <c r="K178" s="92">
        <f>(((Table134567891011121314151617343[[#This Row],[ESP]]-VLOOKUP($U$1,A:E,5,))/VLOOKUP($U$1,A:E,5,))*100)+100</f>
        <v>107.02940188186192</v>
      </c>
      <c r="L178" s="92">
        <f>(((Table134567891011121314151617343[[#This Row],[EA19]]-VLOOKUP($U$1,A:F,6,))/VLOOKUP($U$1,A:F,6,))*100)+100</f>
        <v>109.73155481170799</v>
      </c>
      <c r="M178" s="92">
        <f>(((Table134567891011121314151617343[[#This Row],[GBR]]-VLOOKUP($U$1,A:G,7,))/VLOOKUP($U$1,A:G,7,))*100)+100</f>
        <v>100.29157084141823</v>
      </c>
      <c r="N178" s="92">
        <f>VLOOKUP(A178,Database!$E:$AY,MATCH($N$1,Database!$E$1:$AY$1,0),FALSE)</f>
        <v>92.680239999999998</v>
      </c>
      <c r="O178" s="92">
        <f>(((Table134567891011121314151617343[[#This Row],[USA]]-VLOOKUP($U$1,A:N,14,))/VLOOKUP($U$1,A:N,14,))*100)+100</f>
        <v>107.37964340735535</v>
      </c>
      <c r="P178" s="92">
        <f>VLOOKUP(A178,Database!$E:$AY,MATCH($P$1,Database!$E$1:$AY$1,0),FALSE)</f>
        <v>108.1446</v>
      </c>
      <c r="Q178" s="92">
        <f>(((Table134567891011121314151617343[[#This Row],[JPN]]-VLOOKUP($U$1,A:Q,16,))/VLOOKUP($U$1,A:Q,16,))*100)+100</f>
        <v>108.57495856325718</v>
      </c>
    </row>
    <row r="179" spans="1:17" s="85" customFormat="1" x14ac:dyDescent="0.2">
      <c r="A179" s="22">
        <v>38261</v>
      </c>
      <c r="B179" s="92">
        <f>VLOOKUP(A179,Database!$E:$AY,MATCH($B$1,Database!$E$1:$AY$1,0),FALSE)</f>
        <v>123.1897</v>
      </c>
      <c r="C179" s="92">
        <f>VLOOKUP(A179,Database!$E:$AY,MATCH($C$1,Database!$E$1:$AY$1,0),FALSE)</f>
        <v>111.68089999999999</v>
      </c>
      <c r="D179" s="92">
        <f>VLOOKUP(A179,Database!$E:$AY,MATCH($D$1,Database!$E$1:$AY$1,0),FALSE)</f>
        <v>83.693020000000004</v>
      </c>
      <c r="E179" s="92">
        <f>VLOOKUP(A179,Database!$E:$AY,MATCH($E$1,Database!$E$1:$AY$1,0),FALSE)</f>
        <v>125.9111</v>
      </c>
      <c r="F179" s="92">
        <f>VLOOKUP(A179,Database!$E:$AY,MATCH($F$1,Database!$E$1:$AY$1,0),FALSE)</f>
        <v>98.583569999999995</v>
      </c>
      <c r="G179" s="92">
        <f>VLOOKUP(A179,Database!$E:$AY,MATCH($G$1,Database!$E$1:$AY$1,0),FALSE)</f>
        <v>107.56189999999999</v>
      </c>
      <c r="H179" s="92">
        <f>(((Table134567891011121314151617343[[#This Row],[ITA]]-VLOOKUP($U$1,A:B,2,))/VLOOKUP($U$1,A:B,2,))*100)+100</f>
        <v>101.31573428385089</v>
      </c>
      <c r="I179" s="92">
        <f>(((Table134567891011121314151617343[[#This Row],[FRA]]-VLOOKUP($U$1,A:C,3,))/VLOOKUP($U$1,A:C,3,))*100)+100</f>
        <v>108.70150057085348</v>
      </c>
      <c r="J179" s="92">
        <f>(((Table134567891011121314151617343[[#This Row],[DEU]]-VLOOKUP($U$1,A:D,4,))/VLOOKUP($U$1,A:D,4,))*100)+100</f>
        <v>111.30318977393461</v>
      </c>
      <c r="K179" s="92">
        <f>(((Table134567891011121314151617343[[#This Row],[ESP]]-VLOOKUP($U$1,A:E,5,))/VLOOKUP($U$1,A:E,5,))*100)+100</f>
        <v>106.03566829846704</v>
      </c>
      <c r="L179" s="92">
        <f>(((Table134567891011121314151617343[[#This Row],[EA19]]-VLOOKUP($U$1,A:F,6,))/VLOOKUP($U$1,A:F,6,))*100)+100</f>
        <v>110.29083146967447</v>
      </c>
      <c r="M179" s="92">
        <f>(((Table134567891011121314151617343[[#This Row],[GBR]]-VLOOKUP($U$1,A:G,7,))/VLOOKUP($U$1,A:G,7,))*100)+100</f>
        <v>100.68030076257709</v>
      </c>
      <c r="N179" s="92">
        <f>VLOOKUP(A179,Database!$E:$AY,MATCH($N$1,Database!$E$1:$AY$1,0),FALSE)</f>
        <v>93.562659999999994</v>
      </c>
      <c r="O179" s="92">
        <f>(((Table134567891011121314151617343[[#This Row],[USA]]-VLOOKUP($U$1,A:N,14,))/VLOOKUP($U$1,A:N,14,))*100)+100</f>
        <v>108.40201824082058</v>
      </c>
      <c r="P179" s="92">
        <f>VLOOKUP(A179,Database!$E:$AY,MATCH($P$1,Database!$E$1:$AY$1,0),FALSE)</f>
        <v>106.0796</v>
      </c>
      <c r="Q179" s="92">
        <f>(((Table134567891011121314151617343[[#This Row],[JPN]]-VLOOKUP($U$1,A:Q,16,))/VLOOKUP($U$1,A:Q,16,))*100)+100</f>
        <v>106.50174095060592</v>
      </c>
    </row>
    <row r="180" spans="1:17" s="85" customFormat="1" x14ac:dyDescent="0.2">
      <c r="A180" s="22">
        <v>38292</v>
      </c>
      <c r="B180" s="92">
        <f>VLOOKUP(A180,Database!$E:$AY,MATCH($B$1,Database!$E$1:$AY$1,0),FALSE)</f>
        <v>121.2899</v>
      </c>
      <c r="C180" s="92">
        <f>VLOOKUP(A180,Database!$E:$AY,MATCH($C$1,Database!$E$1:$AY$1,0),FALSE)</f>
        <v>109.82089999999999</v>
      </c>
      <c r="D180" s="92">
        <f>VLOOKUP(A180,Database!$E:$AY,MATCH($D$1,Database!$E$1:$AY$1,0),FALSE)</f>
        <v>82.293139999999994</v>
      </c>
      <c r="E180" s="92">
        <f>VLOOKUP(A180,Database!$E:$AY,MATCH($E$1,Database!$E$1:$AY$1,0),FALSE)</f>
        <v>126.9421</v>
      </c>
      <c r="F180" s="92">
        <f>VLOOKUP(A180,Database!$E:$AY,MATCH($F$1,Database!$E$1:$AY$1,0),FALSE)</f>
        <v>97.483750000000001</v>
      </c>
      <c r="G180" s="92">
        <f>VLOOKUP(A180,Database!$E:$AY,MATCH($G$1,Database!$E$1:$AY$1,0),FALSE)</f>
        <v>108.081</v>
      </c>
      <c r="H180" s="92">
        <f>(((Table134567891011121314151617343[[#This Row],[ITA]]-VLOOKUP($U$1,A:B,2,))/VLOOKUP($U$1,A:B,2,))*100)+100</f>
        <v>99.753268980400506</v>
      </c>
      <c r="I180" s="92">
        <f>(((Table134567891011121314151617343[[#This Row],[FRA]]-VLOOKUP($U$1,A:C,3,))/VLOOKUP($U$1,A:C,3,))*100)+100</f>
        <v>106.89112125745443</v>
      </c>
      <c r="J180" s="92">
        <f>(((Table134567891011121314151617343[[#This Row],[DEU]]-VLOOKUP($U$1,A:D,4,))/VLOOKUP($U$1,A:D,4,))*100)+100</f>
        <v>109.44149199673961</v>
      </c>
      <c r="K180" s="92">
        <f>(((Table134567891011121314151617343[[#This Row],[ESP]]-VLOOKUP($U$1,A:E,5,))/VLOOKUP($U$1,A:E,5,))*100)+100</f>
        <v>106.90392196328069</v>
      </c>
      <c r="L180" s="92">
        <f>(((Table134567891011121314151617343[[#This Row],[EA19]]-VLOOKUP($U$1,A:F,6,))/VLOOKUP($U$1,A:F,6,))*100)+100</f>
        <v>109.06040268456377</v>
      </c>
      <c r="M180" s="92">
        <f>(((Table134567891011121314151617343[[#This Row],[GBR]]-VLOOKUP($U$1,A:G,7,))/VLOOKUP($U$1,A:G,7,))*100)+100</f>
        <v>101.16618976347661</v>
      </c>
      <c r="N180" s="92">
        <f>VLOOKUP(A180,Database!$E:$AY,MATCH($N$1,Database!$E$1:$AY$1,0),FALSE)</f>
        <v>93.758889999999994</v>
      </c>
      <c r="O180" s="92">
        <f>(((Table134567891011121314151617343[[#This Row],[USA]]-VLOOKUP($U$1,A:N,14,))/VLOOKUP($U$1,A:N,14,))*100)+100</f>
        <v>108.62937099072525</v>
      </c>
      <c r="P180" s="92">
        <f>VLOOKUP(A180,Database!$E:$AY,MATCH($P$1,Database!$E$1:$AY$1,0),FALSE)</f>
        <v>107.38379999999999</v>
      </c>
      <c r="Q180" s="92">
        <f>(((Table134567891011121314151617343[[#This Row],[JPN]]-VLOOKUP($U$1,A:Q,16,))/VLOOKUP($U$1,A:Q,16,))*100)+100</f>
        <v>107.81113097986488</v>
      </c>
    </row>
    <row r="181" spans="1:17" s="85" customFormat="1" x14ac:dyDescent="0.2">
      <c r="A181" s="22">
        <v>38322</v>
      </c>
      <c r="B181" s="92">
        <f>VLOOKUP(A181,Database!$E:$AY,MATCH($B$1,Database!$E$1:$AY$1,0),FALSE)</f>
        <v>120.39</v>
      </c>
      <c r="C181" s="92">
        <f>VLOOKUP(A181,Database!$E:$AY,MATCH($C$1,Database!$E$1:$AY$1,0),FALSE)</f>
        <v>110.0509</v>
      </c>
      <c r="D181" s="92">
        <f>VLOOKUP(A181,Database!$E:$AY,MATCH($D$1,Database!$E$1:$AY$1,0),FALSE)</f>
        <v>81.893169999999998</v>
      </c>
      <c r="E181" s="92">
        <f>VLOOKUP(A181,Database!$E:$AY,MATCH($E$1,Database!$E$1:$AY$1,0),FALSE)</f>
        <v>124.36409999999999</v>
      </c>
      <c r="F181" s="92">
        <f>VLOOKUP(A181,Database!$E:$AY,MATCH($F$1,Database!$E$1:$AY$1,0),FALSE)</f>
        <v>97.483750000000001</v>
      </c>
      <c r="G181" s="92">
        <f>VLOOKUP(A181,Database!$E:$AY,MATCH($G$1,Database!$E$1:$AY$1,0),FALSE)</f>
        <v>108.081</v>
      </c>
      <c r="H181" s="92">
        <f>(((Table134567891011121314151617343[[#This Row],[ITA]]-VLOOKUP($U$1,A:B,2,))/VLOOKUP($U$1,A:B,2,))*100)+100</f>
        <v>99.013158165275243</v>
      </c>
      <c r="I181" s="92">
        <f>(((Table134567891011121314151617343[[#This Row],[FRA]]-VLOOKUP($U$1,A:C,3,))/VLOOKUP($U$1,A:C,3,))*100)+100</f>
        <v>107.11498536610056</v>
      </c>
      <c r="J181" s="92">
        <f>(((Table134567891011121314151617343[[#This Row],[DEU]]-VLOOKUP($U$1,A:D,4,))/VLOOKUP($U$1,A:D,4,))*100)+100</f>
        <v>108.90957264654912</v>
      </c>
      <c r="K181" s="92">
        <f>(((Table134567891011121314151617343[[#This Row],[ESP]]-VLOOKUP($U$1,A:E,5,))/VLOOKUP($U$1,A:E,5,))*100)+100</f>
        <v>104.73286672769426</v>
      </c>
      <c r="L181" s="92">
        <f>(((Table134567891011121314151617343[[#This Row],[EA19]]-VLOOKUP($U$1,A:F,6,))/VLOOKUP($U$1,A:F,6,))*100)+100</f>
        <v>109.06040268456377</v>
      </c>
      <c r="M181" s="92">
        <f>(((Table134567891011121314151617343[[#This Row],[GBR]]-VLOOKUP($U$1,A:G,7,))/VLOOKUP($U$1,A:G,7,))*100)+100</f>
        <v>101.16618976347661</v>
      </c>
      <c r="N181" s="92">
        <f>VLOOKUP(A181,Database!$E:$AY,MATCH($N$1,Database!$E$1:$AY$1,0),FALSE)</f>
        <v>94.448629999999994</v>
      </c>
      <c r="O181" s="92">
        <f>(((Table134567891011121314151617343[[#This Row],[USA]]-VLOOKUP($U$1,A:N,14,))/VLOOKUP($U$1,A:N,14,))*100)+100</f>
        <v>109.42850611644126</v>
      </c>
      <c r="P181" s="92">
        <f>VLOOKUP(A181,Database!$E:$AY,MATCH($P$1,Database!$E$1:$AY$1,0),FALSE)</f>
        <v>105.9709</v>
      </c>
      <c r="Q181" s="92">
        <f>(((Table134567891011121314151617343[[#This Row],[JPN]]-VLOOKUP($U$1,A:Q,16,))/VLOOKUP($U$1,A:Q,16,))*100)+100</f>
        <v>106.39260838184312</v>
      </c>
    </row>
    <row r="182" spans="1:17" s="85" customFormat="1" x14ac:dyDescent="0.2">
      <c r="A182" s="22">
        <v>38353</v>
      </c>
      <c r="B182" s="92">
        <f>VLOOKUP(A182,Database!$E:$AY,MATCH($B$1,Database!$E$1:$AY$1,0),FALSE)</f>
        <v>120.39</v>
      </c>
      <c r="C182" s="92">
        <f>VLOOKUP(A182,Database!$E:$AY,MATCH($C$1,Database!$E$1:$AY$1,0),FALSE)</f>
        <v>111.87090000000001</v>
      </c>
      <c r="D182" s="92">
        <f>VLOOKUP(A182,Database!$E:$AY,MATCH($D$1,Database!$E$1:$AY$1,0),FALSE)</f>
        <v>84.392970000000005</v>
      </c>
      <c r="E182" s="92">
        <f>VLOOKUP(A182,Database!$E:$AY,MATCH($E$1,Database!$E$1:$AY$1,0),FALSE)</f>
        <v>124.8571</v>
      </c>
      <c r="F182" s="92">
        <f>VLOOKUP(A182,Database!$E:$AY,MATCH($F$1,Database!$E$1:$AY$1,0),FALSE)</f>
        <v>98.283619999999999</v>
      </c>
      <c r="G182" s="92">
        <f>VLOOKUP(A182,Database!$E:$AY,MATCH($G$1,Database!$E$1:$AY$1,0),FALSE)</f>
        <v>107.458</v>
      </c>
      <c r="H182" s="92">
        <f>(((Table134567891011121314151617343[[#This Row],[ITA]]-VLOOKUP($U$1,A:B,2,))/VLOOKUP($U$1,A:B,2,))*100)+100</f>
        <v>99.013158165275243</v>
      </c>
      <c r="I182" s="92">
        <f>(((Table134567891011121314151617343[[#This Row],[FRA]]-VLOOKUP($U$1,A:C,3,))/VLOOKUP($U$1,A:C,3,))*100)+100</f>
        <v>108.88643179103941</v>
      </c>
      <c r="J182" s="92">
        <f>(((Table134567891011121314151617343[[#This Row],[DEU]]-VLOOKUP($U$1,A:D,4,))/VLOOKUP($U$1,A:D,4,))*100)+100</f>
        <v>112.23405196151329</v>
      </c>
      <c r="K182" s="92">
        <f>(((Table134567891011121314151617343[[#This Row],[ESP]]-VLOOKUP($U$1,A:E,5,))/VLOOKUP($U$1,A:E,5,))*100)+100</f>
        <v>105.14804525024822</v>
      </c>
      <c r="L182" s="92">
        <f>(((Table134567891011121314151617343[[#This Row],[EA19]]-VLOOKUP($U$1,A:F,6,))/VLOOKUP($U$1,A:F,6,))*100)+100</f>
        <v>109.95526099987582</v>
      </c>
      <c r="M182" s="92">
        <f>(((Table134567891011121314151617343[[#This Row],[GBR]]-VLOOKUP($U$1,A:G,7,))/VLOOKUP($U$1,A:G,7,))*100)+100</f>
        <v>100.58304808064017</v>
      </c>
      <c r="N182" s="92">
        <f>VLOOKUP(A182,Database!$E:$AY,MATCH($N$1,Database!$E$1:$AY$1,0),FALSE)</f>
        <v>94.883449999999996</v>
      </c>
      <c r="O182" s="92">
        <f>(((Table134567891011121314151617343[[#This Row],[USA]]-VLOOKUP($U$1,A:N,14,))/VLOOKUP($U$1,A:N,14,))*100)+100</f>
        <v>109.9322900572941</v>
      </c>
      <c r="P182" s="92">
        <f>VLOOKUP(A182,Database!$E:$AY,MATCH($P$1,Database!$E$1:$AY$1,0),FALSE)</f>
        <v>108.47069999999999</v>
      </c>
      <c r="Q182" s="92">
        <f>(((Table134567891011121314151617343[[#This Row],[JPN]]-VLOOKUP($U$1,A:Q,16,))/VLOOKUP($U$1,A:Q,16,))*100)+100</f>
        <v>108.90235626954559</v>
      </c>
    </row>
    <row r="183" spans="1:17" s="85" customFormat="1" x14ac:dyDescent="0.2">
      <c r="A183" s="22">
        <v>38384</v>
      </c>
      <c r="B183" s="92">
        <f>VLOOKUP(A183,Database!$E:$AY,MATCH($B$1,Database!$E$1:$AY$1,0),FALSE)</f>
        <v>120.98990000000001</v>
      </c>
      <c r="C183" s="92">
        <f>VLOOKUP(A183,Database!$E:$AY,MATCH($C$1,Database!$E$1:$AY$1,0),FALSE)</f>
        <v>110.57089999999999</v>
      </c>
      <c r="D183" s="92">
        <f>VLOOKUP(A183,Database!$E:$AY,MATCH($D$1,Database!$E$1:$AY$1,0),FALSE)</f>
        <v>83.09308</v>
      </c>
      <c r="E183" s="92">
        <f>VLOOKUP(A183,Database!$E:$AY,MATCH($E$1,Database!$E$1:$AY$1,0),FALSE)</f>
        <v>125.58110000000001</v>
      </c>
      <c r="F183" s="92">
        <f>VLOOKUP(A183,Database!$E:$AY,MATCH($F$1,Database!$E$1:$AY$1,0),FALSE)</f>
        <v>98.083659999999995</v>
      </c>
      <c r="G183" s="92">
        <f>VLOOKUP(A183,Database!$E:$AY,MATCH($G$1,Database!$E$1:$AY$1,0),FALSE)</f>
        <v>107.6657</v>
      </c>
      <c r="H183" s="92">
        <f>(((Table134567891011121314151617343[[#This Row],[ITA]]-VLOOKUP($U$1,A:B,2,))/VLOOKUP($U$1,A:B,2,))*100)+100</f>
        <v>99.506537960801026</v>
      </c>
      <c r="I183" s="92">
        <f>(((Table134567891011121314151617343[[#This Row],[FRA]]-VLOOKUP($U$1,A:C,3,))/VLOOKUP($U$1,A:C,3,))*100)+100</f>
        <v>107.62111291608308</v>
      </c>
      <c r="J183" s="92">
        <f>(((Table134567891011121314151617343[[#This Row],[DEU]]-VLOOKUP($U$1,A:D,4,))/VLOOKUP($U$1,A:D,4,))*100)+100</f>
        <v>110.50533069712063</v>
      </c>
      <c r="K183" s="92">
        <f>(((Table134567891011121314151617343[[#This Row],[ESP]]-VLOOKUP($U$1,A:E,5,))/VLOOKUP($U$1,A:E,5,))*100)+100</f>
        <v>105.75775975395831</v>
      </c>
      <c r="L183" s="92">
        <f>(((Table134567891011121314151617343[[#This Row],[EA19]]-VLOOKUP($U$1,A:F,6,))/VLOOKUP($U$1,A:F,6,))*100)+100</f>
        <v>109.73155481170799</v>
      </c>
      <c r="M183" s="92">
        <f>(((Table134567891011121314151617343[[#This Row],[GBR]]-VLOOKUP($U$1,A:G,7,))/VLOOKUP($U$1,A:G,7,))*100)+100</f>
        <v>100.77745984231774</v>
      </c>
      <c r="N183" s="92">
        <f>VLOOKUP(A183,Database!$E:$AY,MATCH($N$1,Database!$E$1:$AY$1,0),FALSE)</f>
        <v>95.536029999999997</v>
      </c>
      <c r="O183" s="92">
        <f>(((Table134567891011121314151617343[[#This Row],[USA]]-VLOOKUP($U$1,A:N,14,))/VLOOKUP($U$1,A:N,14,))*100)+100</f>
        <v>110.68837147977176</v>
      </c>
      <c r="P183" s="92">
        <f>VLOOKUP(A183,Database!$E:$AY,MATCH($P$1,Database!$E$1:$AY$1,0),FALSE)</f>
        <v>108.47069999999999</v>
      </c>
      <c r="Q183" s="92">
        <f>(((Table134567891011121314151617343[[#This Row],[JPN]]-VLOOKUP($U$1,A:Q,16,))/VLOOKUP($U$1,A:Q,16,))*100)+100</f>
        <v>108.90235626954559</v>
      </c>
    </row>
    <row r="184" spans="1:17" s="85" customFormat="1" x14ac:dyDescent="0.2">
      <c r="A184" s="22">
        <v>38412</v>
      </c>
      <c r="B184" s="92">
        <f>VLOOKUP(A184,Database!$E:$AY,MATCH($B$1,Database!$E$1:$AY$1,0),FALSE)</f>
        <v>121.0899</v>
      </c>
      <c r="C184" s="92">
        <f>VLOOKUP(A184,Database!$E:$AY,MATCH($C$1,Database!$E$1:$AY$1,0),FALSE)</f>
        <v>108.1909</v>
      </c>
      <c r="D184" s="92">
        <f>VLOOKUP(A184,Database!$E:$AY,MATCH($D$1,Database!$E$1:$AY$1,0),FALSE)</f>
        <v>84.192989999999995</v>
      </c>
      <c r="E184" s="92">
        <f>VLOOKUP(A184,Database!$E:$AY,MATCH($E$1,Database!$E$1:$AY$1,0),FALSE)</f>
        <v>126.2231</v>
      </c>
      <c r="F184" s="92">
        <f>VLOOKUP(A184,Database!$E:$AY,MATCH($F$1,Database!$E$1:$AY$1,0),FALSE)</f>
        <v>97.983670000000004</v>
      </c>
      <c r="G184" s="92">
        <f>VLOOKUP(A184,Database!$E:$AY,MATCH($G$1,Database!$E$1:$AY$1,0),FALSE)</f>
        <v>105.79689999999999</v>
      </c>
      <c r="H184" s="92">
        <f>(((Table134567891011121314151617343[[#This Row],[ITA]]-VLOOKUP($U$1,A:B,2,))/VLOOKUP($U$1,A:B,2,))*100)+100</f>
        <v>99.588781634000853</v>
      </c>
      <c r="I184" s="92">
        <f>(((Table134567891011121314151617343[[#This Row],[FRA]]-VLOOKUP($U$1,A:C,3,))/VLOOKUP($U$1,A:C,3,))*100)+100</f>
        <v>105.3046060527015</v>
      </c>
      <c r="J184" s="92">
        <f>(((Table134567891011121314151617343[[#This Row],[DEU]]-VLOOKUP($U$1,A:D,4,))/VLOOKUP($U$1,A:D,4,))*100)+100</f>
        <v>111.96809893590861</v>
      </c>
      <c r="K184" s="92">
        <f>(((Table134567891011121314151617343[[#This Row],[ESP]]-VLOOKUP($U$1,A:E,5,))/VLOOKUP($U$1,A:E,5,))*100)+100</f>
        <v>106.29841819509348</v>
      </c>
      <c r="L184" s="92">
        <f>(((Table134567891011121314151617343[[#This Row],[EA19]]-VLOOKUP($U$1,A:F,6,))/VLOOKUP($U$1,A:F,6,))*100)+100</f>
        <v>109.61969053007718</v>
      </c>
      <c r="M184" s="92">
        <f>(((Table134567891011121314151617343[[#This Row],[GBR]]-VLOOKUP($U$1,A:G,7,))/VLOOKUP($U$1,A:G,7,))*100)+100</f>
        <v>99.028221998200962</v>
      </c>
      <c r="N184" s="92">
        <f>VLOOKUP(A184,Database!$E:$AY,MATCH($N$1,Database!$E$1:$AY$1,0),FALSE)</f>
        <v>95.384450000000001</v>
      </c>
      <c r="O184" s="92">
        <f>(((Table134567891011121314151617343[[#This Row],[USA]]-VLOOKUP($U$1,A:N,14,))/VLOOKUP($U$1,A:N,14,))*100)+100</f>
        <v>110.51275037275168</v>
      </c>
      <c r="P184" s="92">
        <f>VLOOKUP(A184,Database!$E:$AY,MATCH($P$1,Database!$E$1:$AY$1,0),FALSE)</f>
        <v>108.7968</v>
      </c>
      <c r="Q184" s="92">
        <f>(((Table134567891011121314151617343[[#This Row],[JPN]]-VLOOKUP($U$1,A:Q,16,))/VLOOKUP($U$1,A:Q,16,))*100)+100</f>
        <v>109.22975397583403</v>
      </c>
    </row>
    <row r="185" spans="1:17" s="85" customFormat="1" x14ac:dyDescent="0.2">
      <c r="A185" s="22">
        <v>38443</v>
      </c>
      <c r="B185" s="92">
        <f>VLOOKUP(A185,Database!$E:$AY,MATCH($B$1,Database!$E$1:$AY$1,0),FALSE)</f>
        <v>123.4897</v>
      </c>
      <c r="C185" s="92">
        <f>VLOOKUP(A185,Database!$E:$AY,MATCH($C$1,Database!$E$1:$AY$1,0),FALSE)</f>
        <v>110.9609</v>
      </c>
      <c r="D185" s="92">
        <f>VLOOKUP(A185,Database!$E:$AY,MATCH($D$1,Database!$E$1:$AY$1,0),FALSE)</f>
        <v>84.792929999999998</v>
      </c>
      <c r="E185" s="92">
        <f>VLOOKUP(A185,Database!$E:$AY,MATCH($E$1,Database!$E$1:$AY$1,0),FALSE)</f>
        <v>127.5711</v>
      </c>
      <c r="F185" s="92">
        <f>VLOOKUP(A185,Database!$E:$AY,MATCH($F$1,Database!$E$1:$AY$1,0),FALSE)</f>
        <v>99.383439999999993</v>
      </c>
      <c r="G185" s="92">
        <f>VLOOKUP(A185,Database!$E:$AY,MATCH($G$1,Database!$E$1:$AY$1,0),FALSE)</f>
        <v>107.6657</v>
      </c>
      <c r="H185" s="92">
        <f>(((Table134567891011121314151617343[[#This Row],[ITA]]-VLOOKUP($U$1,A:B,2,))/VLOOKUP($U$1,A:B,2,))*100)+100</f>
        <v>101.56246530345037</v>
      </c>
      <c r="I185" s="92">
        <f>(((Table134567891011121314151617343[[#This Row],[FRA]]-VLOOKUP($U$1,A:C,3,))/VLOOKUP($U$1,A:C,3,))*100)+100</f>
        <v>108.00070857856997</v>
      </c>
      <c r="J185" s="92">
        <f>(((Table134567891011121314151617343[[#This Row],[DEU]]-VLOOKUP($U$1,A:D,4,))/VLOOKUP($U$1,A:D,4,))*100)+100</f>
        <v>112.76595801272259</v>
      </c>
      <c r="K185" s="92">
        <f>(((Table134567891011121314151617343[[#This Row],[ESP]]-VLOOKUP($U$1,A:E,5,))/VLOOKUP($U$1,A:E,5,))*100)+100</f>
        <v>107.43363249205645</v>
      </c>
      <c r="L185" s="92">
        <f>(((Table134567891011121314151617343[[#This Row],[EA19]]-VLOOKUP($U$1,A:F,6,))/VLOOKUP($U$1,A:F,6,))*100)+100</f>
        <v>111.18568978498654</v>
      </c>
      <c r="M185" s="92">
        <f>(((Table134567891011121314151617343[[#This Row],[GBR]]-VLOOKUP($U$1,A:G,7,))/VLOOKUP($U$1,A:G,7,))*100)+100</f>
        <v>100.77745984231774</v>
      </c>
      <c r="N185" s="92">
        <f>VLOOKUP(A185,Database!$E:$AY,MATCH($N$1,Database!$E$1:$AY$1,0),FALSE)</f>
        <v>95.545150000000007</v>
      </c>
      <c r="O185" s="92">
        <f>(((Table134567891011121314151617343[[#This Row],[USA]]-VLOOKUP($U$1,A:N,14,))/VLOOKUP($U$1,A:N,14,))*100)+100</f>
        <v>110.69893794299927</v>
      </c>
      <c r="P185" s="92">
        <f>VLOOKUP(A185,Database!$E:$AY,MATCH($P$1,Database!$E$1:$AY$1,0),FALSE)</f>
        <v>109.2315</v>
      </c>
      <c r="Q185" s="92">
        <f>(((Table134567891011121314151617343[[#This Row],[JPN]]-VLOOKUP($U$1,A:Q,16,))/VLOOKUP($U$1,A:Q,16,))*100)+100</f>
        <v>109.66618385293789</v>
      </c>
    </row>
    <row r="186" spans="1:17" s="85" customFormat="1" x14ac:dyDescent="0.2">
      <c r="A186" s="22">
        <v>38473</v>
      </c>
      <c r="B186" s="92">
        <f>VLOOKUP(A186,Database!$E:$AY,MATCH($B$1,Database!$E$1:$AY$1,0),FALSE)</f>
        <v>120.7899</v>
      </c>
      <c r="C186" s="92">
        <f>VLOOKUP(A186,Database!$E:$AY,MATCH($C$1,Database!$E$1:$AY$1,0),FALSE)</f>
        <v>109.73090000000001</v>
      </c>
      <c r="D186" s="92">
        <f>VLOOKUP(A186,Database!$E:$AY,MATCH($D$1,Database!$E$1:$AY$1,0),FALSE)</f>
        <v>83.693020000000004</v>
      </c>
      <c r="E186" s="92">
        <f>VLOOKUP(A186,Database!$E:$AY,MATCH($E$1,Database!$E$1:$AY$1,0),FALSE)</f>
        <v>126.3151</v>
      </c>
      <c r="F186" s="92">
        <f>VLOOKUP(A186,Database!$E:$AY,MATCH($F$1,Database!$E$1:$AY$1,0),FALSE)</f>
        <v>98.083659999999995</v>
      </c>
      <c r="G186" s="92">
        <f>VLOOKUP(A186,Database!$E:$AY,MATCH($G$1,Database!$E$1:$AY$1,0),FALSE)</f>
        <v>107.9772</v>
      </c>
      <c r="H186" s="92">
        <f>(((Table134567891011121314151617343[[#This Row],[ITA]]-VLOOKUP($U$1,A:B,2,))/VLOOKUP($U$1,A:B,2,))*100)+100</f>
        <v>99.342050614401359</v>
      </c>
      <c r="I186" s="92">
        <f>(((Table134567891011121314151617343[[#This Row],[FRA]]-VLOOKUP($U$1,A:C,3,))/VLOOKUP($U$1,A:C,3,))*100)+100</f>
        <v>106.80352225841901</v>
      </c>
      <c r="J186" s="92">
        <f>(((Table134567891011121314151617343[[#This Row],[DEU]]-VLOOKUP($U$1,A:D,4,))/VLOOKUP($U$1,A:D,4,))*100)+100</f>
        <v>111.30318977393461</v>
      </c>
      <c r="K186" s="92">
        <f>(((Table134567891011121314151617343[[#This Row],[ESP]]-VLOOKUP($U$1,A:E,5,))/VLOOKUP($U$1,A:E,5,))*100)+100</f>
        <v>106.3758957287141</v>
      </c>
      <c r="L186" s="92">
        <f>(((Table134567891011121314151617343[[#This Row],[EA19]]-VLOOKUP($U$1,A:F,6,))/VLOOKUP($U$1,A:F,6,))*100)+100</f>
        <v>109.73155481170799</v>
      </c>
      <c r="M186" s="92">
        <f>(((Table134567891011121314151617343[[#This Row],[GBR]]-VLOOKUP($U$1,A:G,7,))/VLOOKUP($U$1,A:G,7,))*100)+100</f>
        <v>101.06903068373596</v>
      </c>
      <c r="N186" s="92">
        <f>VLOOKUP(A186,Database!$E:$AY,MATCH($N$1,Database!$E$1:$AY$1,0),FALSE)</f>
        <v>95.669920000000005</v>
      </c>
      <c r="O186" s="92">
        <f>(((Table134567891011121314151617343[[#This Row],[USA]]-VLOOKUP($U$1,A:N,14,))/VLOOKUP($U$1,A:N,14,))*100)+100</f>
        <v>110.8434968922201</v>
      </c>
      <c r="P186" s="92">
        <f>VLOOKUP(A186,Database!$E:$AY,MATCH($P$1,Database!$E$1:$AY$1,0),FALSE)</f>
        <v>108.36199999999999</v>
      </c>
      <c r="Q186" s="92">
        <f>(((Table134567891011121314151617343[[#This Row],[JPN]]-VLOOKUP($U$1,A:Q,16,))/VLOOKUP($U$1,A:Q,16,))*100)+100</f>
        <v>108.79322370078279</v>
      </c>
    </row>
    <row r="187" spans="1:17" s="85" customFormat="1" x14ac:dyDescent="0.2">
      <c r="A187" s="22">
        <v>38504</v>
      </c>
      <c r="B187" s="92">
        <f>VLOOKUP(A187,Database!$E:$AY,MATCH($B$1,Database!$E$1:$AY$1,0),FALSE)</f>
        <v>120.7899</v>
      </c>
      <c r="C187" s="92">
        <f>VLOOKUP(A187,Database!$E:$AY,MATCH($C$1,Database!$E$1:$AY$1,0),FALSE)</f>
        <v>109.6709</v>
      </c>
      <c r="D187" s="92">
        <f>VLOOKUP(A187,Database!$E:$AY,MATCH($D$1,Database!$E$1:$AY$1,0),FALSE)</f>
        <v>85.492869999999996</v>
      </c>
      <c r="E187" s="92">
        <f>VLOOKUP(A187,Database!$E:$AY,MATCH($E$1,Database!$E$1:$AY$1,0),FALSE)</f>
        <v>126.8871</v>
      </c>
      <c r="F187" s="92">
        <f>VLOOKUP(A187,Database!$E:$AY,MATCH($F$1,Database!$E$1:$AY$1,0),FALSE)</f>
        <v>98.983509999999995</v>
      </c>
      <c r="G187" s="92">
        <f>VLOOKUP(A187,Database!$E:$AY,MATCH($G$1,Database!$E$1:$AY$1,0),FALSE)</f>
        <v>108.081</v>
      </c>
      <c r="H187" s="92">
        <f>(((Table134567891011121314151617343[[#This Row],[ITA]]-VLOOKUP($U$1,A:B,2,))/VLOOKUP($U$1,A:B,2,))*100)+100</f>
        <v>99.342050614401359</v>
      </c>
      <c r="I187" s="92">
        <f>(((Table134567891011121314151617343[[#This Row],[FRA]]-VLOOKUP($U$1,A:C,3,))/VLOOKUP($U$1,A:C,3,))*100)+100</f>
        <v>106.74512292572871</v>
      </c>
      <c r="J187" s="92">
        <f>(((Table134567891011121314151617343[[#This Row],[DEU]]-VLOOKUP($U$1,A:D,4,))/VLOOKUP($U$1,A:D,4,))*100)+100</f>
        <v>113.69680690132009</v>
      </c>
      <c r="K187" s="92">
        <f>(((Table134567891011121314151617343[[#This Row],[ESP]]-VLOOKUP($U$1,A:E,5,))/VLOOKUP($U$1,A:E,5,))*100)+100</f>
        <v>106.85760387252924</v>
      </c>
      <c r="L187" s="92">
        <f>(((Table134567891011121314151617343[[#This Row],[EA19]]-VLOOKUP($U$1,A:F,6,))/VLOOKUP($U$1,A:F,6,))*100)+100</f>
        <v>110.73826622110397</v>
      </c>
      <c r="M187" s="92">
        <f>(((Table134567891011121314151617343[[#This Row],[GBR]]-VLOOKUP($U$1,A:G,7,))/VLOOKUP($U$1,A:G,7,))*100)+100</f>
        <v>101.16618976347661</v>
      </c>
      <c r="N187" s="92">
        <f>VLOOKUP(A187,Database!$E:$AY,MATCH($N$1,Database!$E$1:$AY$1,0),FALSE)</f>
        <v>96.036829999999995</v>
      </c>
      <c r="O187" s="92">
        <f>(((Table134567891011121314151617343[[#This Row],[USA]]-VLOOKUP($U$1,A:N,14,))/VLOOKUP($U$1,A:N,14,))*100)+100</f>
        <v>111.26860007454454</v>
      </c>
      <c r="P187" s="92">
        <f>VLOOKUP(A187,Database!$E:$AY,MATCH($P$1,Database!$E$1:$AY$1,0),FALSE)</f>
        <v>108.7968</v>
      </c>
      <c r="Q187" s="92">
        <f>(((Table134567891011121314151617343[[#This Row],[JPN]]-VLOOKUP($U$1,A:Q,16,))/VLOOKUP($U$1,A:Q,16,))*100)+100</f>
        <v>109.22975397583403</v>
      </c>
    </row>
    <row r="188" spans="1:17" s="85" customFormat="1" x14ac:dyDescent="0.2">
      <c r="A188" s="22">
        <v>38534</v>
      </c>
      <c r="B188" s="92">
        <f>VLOOKUP(A188,Database!$E:$AY,MATCH($B$1,Database!$E$1:$AY$1,0),FALSE)</f>
        <v>122.4898</v>
      </c>
      <c r="C188" s="92">
        <f>VLOOKUP(A188,Database!$E:$AY,MATCH($C$1,Database!$E$1:$AY$1,0),FALSE)</f>
        <v>109.32089999999999</v>
      </c>
      <c r="D188" s="92">
        <f>VLOOKUP(A188,Database!$E:$AY,MATCH($D$1,Database!$E$1:$AY$1,0),FALSE)</f>
        <v>86.792770000000004</v>
      </c>
      <c r="E188" s="92">
        <f>VLOOKUP(A188,Database!$E:$AY,MATCH($E$1,Database!$E$1:$AY$1,0),FALSE)</f>
        <v>127.1131</v>
      </c>
      <c r="F188" s="92">
        <f>VLOOKUP(A188,Database!$E:$AY,MATCH($F$1,Database!$E$1:$AY$1,0),FALSE)</f>
        <v>99.483419999999995</v>
      </c>
      <c r="G188" s="92">
        <f>VLOOKUP(A188,Database!$E:$AY,MATCH($G$1,Database!$E$1:$AY$1,0),FALSE)</f>
        <v>107.56189999999999</v>
      </c>
      <c r="H188" s="92">
        <f>(((Table134567891011121314151617343[[#This Row],[ITA]]-VLOOKUP($U$1,A:B,2,))/VLOOKUP($U$1,A:B,2,))*100)+100</f>
        <v>100.74011081512528</v>
      </c>
      <c r="I188" s="92">
        <f>(((Table134567891011121314151617343[[#This Row],[FRA]]-VLOOKUP($U$1,A:C,3,))/VLOOKUP($U$1,A:C,3,))*100)+100</f>
        <v>106.404460151702</v>
      </c>
      <c r="J188" s="92">
        <f>(((Table134567891011121314151617343[[#This Row],[DEU]]-VLOOKUP($U$1,A:D,4,))/VLOOKUP($U$1,A:D,4,))*100)+100</f>
        <v>115.42554146469394</v>
      </c>
      <c r="K188" s="92">
        <f>(((Table134567891011121314151617343[[#This Row],[ESP]]-VLOOKUP($U$1,A:E,5,))/VLOOKUP($U$1,A:E,5,))*100)+100</f>
        <v>107.0479291181625</v>
      </c>
      <c r="L188" s="92">
        <f>(((Table134567891011121314151617343[[#This Row],[EA19]]-VLOOKUP($U$1,A:F,6,))/VLOOKUP($U$1,A:F,6,))*100)+100</f>
        <v>111.29754287907045</v>
      </c>
      <c r="M188" s="92">
        <f>(((Table134567891011121314151617343[[#This Row],[GBR]]-VLOOKUP($U$1,A:G,7,))/VLOOKUP($U$1,A:G,7,))*100)+100</f>
        <v>100.68030076257709</v>
      </c>
      <c r="N188" s="92">
        <f>VLOOKUP(A188,Database!$E:$AY,MATCH($N$1,Database!$E$1:$AY$1,0),FALSE)</f>
        <v>95.733220000000003</v>
      </c>
      <c r="O188" s="92">
        <f>(((Table134567891011121314151617343[[#This Row],[USA]]-VLOOKUP($U$1,A:N,14,))/VLOOKUP($U$1,A:N,14,))*100)+100</f>
        <v>110.91683648896355</v>
      </c>
      <c r="P188" s="92">
        <f>VLOOKUP(A188,Database!$E:$AY,MATCH($P$1,Database!$E$1:$AY$1,0),FALSE)</f>
        <v>108.1446</v>
      </c>
      <c r="Q188" s="92">
        <f>(((Table134567891011121314151617343[[#This Row],[JPN]]-VLOOKUP($U$1,A:Q,16,))/VLOOKUP($U$1,A:Q,16,))*100)+100</f>
        <v>108.57495856325718</v>
      </c>
    </row>
    <row r="189" spans="1:17" s="85" customFormat="1" x14ac:dyDescent="0.2">
      <c r="A189" s="22">
        <v>38565</v>
      </c>
      <c r="B189" s="92">
        <f>VLOOKUP(A189,Database!$E:$AY,MATCH($B$1,Database!$E$1:$AY$1,0),FALSE)</f>
        <v>121.5899</v>
      </c>
      <c r="C189" s="92">
        <f>VLOOKUP(A189,Database!$E:$AY,MATCH($C$1,Database!$E$1:$AY$1,0),FALSE)</f>
        <v>108.7109</v>
      </c>
      <c r="D189" s="92">
        <f>VLOOKUP(A189,Database!$E:$AY,MATCH($D$1,Database!$E$1:$AY$1,0),FALSE)</f>
        <v>84.29298</v>
      </c>
      <c r="E189" s="92">
        <f>VLOOKUP(A189,Database!$E:$AY,MATCH($E$1,Database!$E$1:$AY$1,0),FALSE)</f>
        <v>128.3921</v>
      </c>
      <c r="F189" s="92">
        <f>VLOOKUP(A189,Database!$E:$AY,MATCH($F$1,Database!$E$1:$AY$1,0),FALSE)</f>
        <v>98.383610000000004</v>
      </c>
      <c r="G189" s="92">
        <f>VLOOKUP(A189,Database!$E:$AY,MATCH($G$1,Database!$E$1:$AY$1,0),FALSE)</f>
        <v>106.7313</v>
      </c>
      <c r="H189" s="92">
        <f>(((Table134567891011121314151617343[[#This Row],[ITA]]-VLOOKUP($U$1,A:B,2,))/VLOOKUP($U$1,A:B,2,))*100)+100</f>
        <v>100</v>
      </c>
      <c r="I189" s="92">
        <f>(((Table134567891011121314151617343[[#This Row],[FRA]]-VLOOKUP($U$1,A:C,3,))/VLOOKUP($U$1,A:C,3,))*100)+100</f>
        <v>105.81073360268404</v>
      </c>
      <c r="J189" s="92">
        <f>(((Table134567891011121314151617343[[#This Row],[DEU]]-VLOOKUP($U$1,A:D,4,))/VLOOKUP($U$1,A:D,4,))*100)+100</f>
        <v>112.10107544871094</v>
      </c>
      <c r="K189" s="92">
        <f>(((Table134567891011121314151617343[[#This Row],[ESP]]-VLOOKUP($U$1,A:E,5,))/VLOOKUP($U$1,A:E,5,))*100)+100</f>
        <v>108.12503526491</v>
      </c>
      <c r="L189" s="92">
        <f>(((Table134567891011121314151617343[[#This Row],[EA19]]-VLOOKUP($U$1,A:F,6,))/VLOOKUP($U$1,A:F,6,))*100)+100</f>
        <v>110.06712528150666</v>
      </c>
      <c r="M189" s="92">
        <f>(((Table134567891011121314151617343[[#This Row],[GBR]]-VLOOKUP($U$1,A:G,7,))/VLOOKUP($U$1,A:G,7,))*100)+100</f>
        <v>99.902840920259365</v>
      </c>
      <c r="N189" s="92">
        <f>VLOOKUP(A189,Database!$E:$AY,MATCH($N$1,Database!$E$1:$AY$1,0),FALSE)</f>
        <v>95.996679999999998</v>
      </c>
      <c r="O189" s="92">
        <f>(((Table134567891011121314151617343[[#This Row],[USA]]-VLOOKUP($U$1,A:N,14,))/VLOOKUP($U$1,A:N,14,))*100)+100</f>
        <v>111.22208214706825</v>
      </c>
      <c r="P189" s="92">
        <f>VLOOKUP(A189,Database!$E:$AY,MATCH($P$1,Database!$E$1:$AY$1,0),FALSE)</f>
        <v>108.1446</v>
      </c>
      <c r="Q189" s="92">
        <f>(((Table134567891011121314151617343[[#This Row],[JPN]]-VLOOKUP($U$1,A:Q,16,))/VLOOKUP($U$1,A:Q,16,))*100)+100</f>
        <v>108.57495856325718</v>
      </c>
    </row>
    <row r="190" spans="1:17" s="85" customFormat="1" x14ac:dyDescent="0.2">
      <c r="A190" s="22">
        <v>38596</v>
      </c>
      <c r="B190" s="92">
        <f>VLOOKUP(A190,Database!$E:$AY,MATCH($B$1,Database!$E$1:$AY$1,0),FALSE)</f>
        <v>122.0898</v>
      </c>
      <c r="C190" s="92">
        <f>VLOOKUP(A190,Database!$E:$AY,MATCH($C$1,Database!$E$1:$AY$1,0),FALSE)</f>
        <v>111.4909</v>
      </c>
      <c r="D190" s="92">
        <f>VLOOKUP(A190,Database!$E:$AY,MATCH($D$1,Database!$E$1:$AY$1,0),FALSE)</f>
        <v>86.692769999999996</v>
      </c>
      <c r="E190" s="92">
        <f>VLOOKUP(A190,Database!$E:$AY,MATCH($E$1,Database!$E$1:$AY$1,0),FALSE)</f>
        <v>127.6831</v>
      </c>
      <c r="F190" s="92">
        <f>VLOOKUP(A190,Database!$E:$AY,MATCH($F$1,Database!$E$1:$AY$1,0),FALSE)</f>
        <v>99.683390000000003</v>
      </c>
      <c r="G190" s="92">
        <f>VLOOKUP(A190,Database!$E:$AY,MATCH($G$1,Database!$E$1:$AY$1,0),FALSE)</f>
        <v>106.2122</v>
      </c>
      <c r="H190" s="92">
        <f>(((Table134567891011121314151617343[[#This Row],[ITA]]-VLOOKUP($U$1,A:B,2,))/VLOOKUP($U$1,A:B,2,))*100)+100</f>
        <v>100.41113612232594</v>
      </c>
      <c r="I190" s="92">
        <f>(((Table134567891011121314151617343[[#This Row],[FRA]]-VLOOKUP($U$1,A:C,3,))/VLOOKUP($U$1,A:C,3,))*100)+100</f>
        <v>108.51656935066755</v>
      </c>
      <c r="J190" s="92">
        <f>(((Table134567891011121314151617343[[#This Row],[DEU]]-VLOOKUP($U$1,A:D,4,))/VLOOKUP($U$1,A:D,4,))*100)+100</f>
        <v>115.29255165291042</v>
      </c>
      <c r="K190" s="92">
        <f>(((Table134567891011121314151617343[[#This Row],[ESP]]-VLOOKUP($U$1,A:E,5,))/VLOOKUP($U$1,A:E,5,))*100)+100</f>
        <v>107.5279529677685</v>
      </c>
      <c r="L190" s="92">
        <f>(((Table134567891011121314151617343[[#This Row],[EA19]]-VLOOKUP($U$1,A:F,6,))/VLOOKUP($U$1,A:F,6,))*100)+100</f>
        <v>111.5212602547852</v>
      </c>
      <c r="M190" s="92">
        <f>(((Table134567891011121314151617343[[#This Row],[GBR]]-VLOOKUP($U$1,A:G,7,))/VLOOKUP($U$1,A:G,7,))*100)+100</f>
        <v>99.416951919359832</v>
      </c>
      <c r="N190" s="92">
        <f>VLOOKUP(A190,Database!$E:$AY,MATCH($N$1,Database!$E$1:$AY$1,0),FALSE)</f>
        <v>94.204759999999993</v>
      </c>
      <c r="O190" s="92">
        <f>(((Table134567891011121314151617343[[#This Row],[USA]]-VLOOKUP($U$1,A:N,14,))/VLOOKUP($U$1,A:N,14,))*100)+100</f>
        <v>109.14595749941402</v>
      </c>
      <c r="P190" s="92">
        <f>VLOOKUP(A190,Database!$E:$AY,MATCH($P$1,Database!$E$1:$AY$1,0),FALSE)</f>
        <v>109.0141</v>
      </c>
      <c r="Q190" s="92">
        <f>(((Table134567891011121314151617343[[#This Row],[JPN]]-VLOOKUP($U$1,A:Q,16,))/VLOOKUP($U$1,A:Q,16,))*100)+100</f>
        <v>109.44791871541229</v>
      </c>
    </row>
    <row r="191" spans="1:17" s="85" customFormat="1" x14ac:dyDescent="0.2">
      <c r="A191" s="22">
        <v>38626</v>
      </c>
      <c r="B191" s="92">
        <f>VLOOKUP(A191,Database!$E:$AY,MATCH($B$1,Database!$E$1:$AY$1,0),FALSE)</f>
        <v>122.2898</v>
      </c>
      <c r="C191" s="92">
        <f>VLOOKUP(A191,Database!$E:$AY,MATCH($C$1,Database!$E$1:$AY$1,0),FALSE)</f>
        <v>108.2109</v>
      </c>
      <c r="D191" s="92">
        <f>VLOOKUP(A191,Database!$E:$AY,MATCH($D$1,Database!$E$1:$AY$1,0),FALSE)</f>
        <v>88.392629999999997</v>
      </c>
      <c r="E191" s="92">
        <f>VLOOKUP(A191,Database!$E:$AY,MATCH($E$1,Database!$E$1:$AY$1,0),FALSE)</f>
        <v>126.68210000000001</v>
      </c>
      <c r="F191" s="92">
        <f>VLOOKUP(A191,Database!$E:$AY,MATCH($F$1,Database!$E$1:$AY$1,0),FALSE)</f>
        <v>99.883349999999993</v>
      </c>
      <c r="G191" s="92">
        <f>VLOOKUP(A191,Database!$E:$AY,MATCH($G$1,Database!$E$1:$AY$1,0),FALSE)</f>
        <v>106.1083</v>
      </c>
      <c r="H191" s="92">
        <f>(((Table134567891011121314151617343[[#This Row],[ITA]]-VLOOKUP($U$1,A:B,2,))/VLOOKUP($U$1,A:B,2,))*100)+100</f>
        <v>100.57562346872561</v>
      </c>
      <c r="I191" s="92">
        <f>(((Table134567891011121314151617343[[#This Row],[FRA]]-VLOOKUP($U$1,A:C,3,))/VLOOKUP($U$1,A:C,3,))*100)+100</f>
        <v>105.32407249693161</v>
      </c>
      <c r="J191" s="92">
        <f>(((Table134567891011121314151617343[[#This Row],[DEU]]-VLOOKUP($U$1,A:D,4,))/VLOOKUP($U$1,A:D,4,))*100)+100</f>
        <v>117.55319226749357</v>
      </c>
      <c r="K191" s="92">
        <f>(((Table134567891011121314151617343[[#This Row],[ESP]]-VLOOKUP($U$1,A:E,5,))/VLOOKUP($U$1,A:E,5,))*100)+100</f>
        <v>106.684963716092</v>
      </c>
      <c r="L191" s="92">
        <f>(((Table134567891011121314151617343[[#This Row],[EA19]]-VLOOKUP($U$1,A:F,6,))/VLOOKUP($U$1,A:F,6,))*100)+100</f>
        <v>111.74496644295301</v>
      </c>
      <c r="M191" s="92">
        <f>(((Table134567891011121314151617343[[#This Row],[GBR]]-VLOOKUP($U$1,A:G,7,))/VLOOKUP($U$1,A:G,7,))*100)+100</f>
        <v>99.31969923742291</v>
      </c>
      <c r="N191" s="92">
        <f>VLOOKUP(A191,Database!$E:$AY,MATCH($N$1,Database!$E$1:$AY$1,0),FALSE)</f>
        <v>95.392910000000001</v>
      </c>
      <c r="O191" s="92">
        <f>(((Table134567891011121314151617343[[#This Row],[USA]]-VLOOKUP($U$1,A:N,14,))/VLOOKUP($U$1,A:N,14,))*100)+100</f>
        <v>110.52255215771929</v>
      </c>
      <c r="P191" s="92">
        <f>VLOOKUP(A191,Database!$E:$AY,MATCH($P$1,Database!$E$1:$AY$1,0),FALSE)</f>
        <v>108.0359</v>
      </c>
      <c r="Q191" s="92">
        <f>(((Table134567891011121314151617343[[#This Row],[JPN]]-VLOOKUP($U$1,A:Q,16,))/VLOOKUP($U$1,A:Q,16,))*100)+100</f>
        <v>108.46582599449438</v>
      </c>
    </row>
    <row r="192" spans="1:17" s="85" customFormat="1" x14ac:dyDescent="0.2">
      <c r="A192" s="22">
        <v>38657</v>
      </c>
      <c r="B192" s="92">
        <f>VLOOKUP(A192,Database!$E:$AY,MATCH($B$1,Database!$E$1:$AY$1,0),FALSE)</f>
        <v>123.58969999999999</v>
      </c>
      <c r="C192" s="92">
        <f>VLOOKUP(A192,Database!$E:$AY,MATCH($C$1,Database!$E$1:$AY$1,0),FALSE)</f>
        <v>112.5509</v>
      </c>
      <c r="D192" s="92">
        <f>VLOOKUP(A192,Database!$E:$AY,MATCH($D$1,Database!$E$1:$AY$1,0),FALSE)</f>
        <v>87.392719999999997</v>
      </c>
      <c r="E192" s="92">
        <f>VLOOKUP(A192,Database!$E:$AY,MATCH($E$1,Database!$E$1:$AY$1,0),FALSE)</f>
        <v>128.56909999999999</v>
      </c>
      <c r="F192" s="92">
        <f>VLOOKUP(A192,Database!$E:$AY,MATCH($F$1,Database!$E$1:$AY$1,0),FALSE)</f>
        <v>101.5831</v>
      </c>
      <c r="G192" s="92">
        <f>VLOOKUP(A192,Database!$E:$AY,MATCH($G$1,Database!$E$1:$AY$1,0),FALSE)</f>
        <v>107.35420000000001</v>
      </c>
      <c r="H192" s="92">
        <f>(((Table134567891011121314151617343[[#This Row],[ITA]]-VLOOKUP($U$1,A:B,2,))/VLOOKUP($U$1,A:B,2,))*100)+100</f>
        <v>101.64470897665019</v>
      </c>
      <c r="I192" s="92">
        <f>(((Table134567891011121314151617343[[#This Row],[FRA]]-VLOOKUP($U$1,A:C,3,))/VLOOKUP($U$1,A:C,3,))*100)+100</f>
        <v>109.54829089486272</v>
      </c>
      <c r="J192" s="92">
        <f>(((Table134567891011121314151617343[[#This Row],[DEU]]-VLOOKUP($U$1,A:D,4,))/VLOOKUP($U$1,A:D,4,))*100)+100</f>
        <v>116.22341384048909</v>
      </c>
      <c r="K192" s="92">
        <f>(((Table134567891011121314151617343[[#This Row],[ESP]]-VLOOKUP($U$1,A:E,5,))/VLOOKUP($U$1,A:E,5,))*100)+100</f>
        <v>108.27409530241923</v>
      </c>
      <c r="L192" s="92">
        <f>(((Table134567891011121314151617343[[#This Row],[EA19]]-VLOOKUP($U$1,A:F,6,))/VLOOKUP($U$1,A:F,6,))*100)+100</f>
        <v>113.64656973030182</v>
      </c>
      <c r="M192" s="92">
        <f>(((Table134567891011121314151617343[[#This Row],[GBR]]-VLOOKUP($U$1,A:G,7,))/VLOOKUP($U$1,A:G,7,))*100)+100</f>
        <v>100.48588900089952</v>
      </c>
      <c r="N192" s="92">
        <f>VLOOKUP(A192,Database!$E:$AY,MATCH($N$1,Database!$E$1:$AY$1,0),FALSE)</f>
        <v>96.359859999999998</v>
      </c>
      <c r="O192" s="92">
        <f>(((Table134567891011121314151617343[[#This Row],[USA]]-VLOOKUP($U$1,A:N,14,))/VLOOKUP($U$1,A:N,14,))*100)+100</f>
        <v>111.64286373862092</v>
      </c>
      <c r="P192" s="92">
        <f>VLOOKUP(A192,Database!$E:$AY,MATCH($P$1,Database!$E$1:$AY$1,0),FALSE)</f>
        <v>110.2097</v>
      </c>
      <c r="Q192" s="92">
        <f>(((Table134567891011121314151617343[[#This Row],[JPN]]-VLOOKUP($U$1,A:Q,16,))/VLOOKUP($U$1,A:Q,16,))*100)+100</f>
        <v>110.6482765738558</v>
      </c>
    </row>
    <row r="193" spans="1:17" s="85" customFormat="1" x14ac:dyDescent="0.2">
      <c r="A193" s="22">
        <v>38687</v>
      </c>
      <c r="B193" s="92">
        <f>VLOOKUP(A193,Database!$E:$AY,MATCH($B$1,Database!$E$1:$AY$1,0),FALSE)</f>
        <v>121.7898</v>
      </c>
      <c r="C193" s="92">
        <f>VLOOKUP(A193,Database!$E:$AY,MATCH($C$1,Database!$E$1:$AY$1,0),FALSE)</f>
        <v>111.23090000000001</v>
      </c>
      <c r="D193" s="92">
        <f>VLOOKUP(A193,Database!$E:$AY,MATCH($D$1,Database!$E$1:$AY$1,0),FALSE)</f>
        <v>87.192729999999997</v>
      </c>
      <c r="E193" s="92">
        <f>VLOOKUP(A193,Database!$E:$AY,MATCH($E$1,Database!$E$1:$AY$1,0),FALSE)</f>
        <v>129.9161</v>
      </c>
      <c r="F193" s="92">
        <f>VLOOKUP(A193,Database!$E:$AY,MATCH($F$1,Database!$E$1:$AY$1,0),FALSE)</f>
        <v>100.4833</v>
      </c>
      <c r="G193" s="92">
        <f>VLOOKUP(A193,Database!$E:$AY,MATCH($G$1,Database!$E$1:$AY$1,0),FALSE)</f>
        <v>108.2886</v>
      </c>
      <c r="H193" s="92">
        <f>(((Table134567891011121314151617343[[#This Row],[ITA]]-VLOOKUP($U$1,A:B,2,))/VLOOKUP($U$1,A:B,2,))*100)+100</f>
        <v>100.16440510272646</v>
      </c>
      <c r="I193" s="92">
        <f>(((Table134567891011121314151617343[[#This Row],[FRA]]-VLOOKUP($U$1,A:C,3,))/VLOOKUP($U$1,A:C,3,))*100)+100</f>
        <v>108.26350557567629</v>
      </c>
      <c r="J193" s="92">
        <f>(((Table134567891011121314151617343[[#This Row],[DEU]]-VLOOKUP($U$1,A:D,4,))/VLOOKUP($U$1,A:D,4,))*100)+100</f>
        <v>115.95744751590325</v>
      </c>
      <c r="K193" s="92">
        <f>(((Table134567891011121314151617343[[#This Row],[ESP]]-VLOOKUP($U$1,A:E,5,))/VLOOKUP($U$1,A:E,5,))*100)+100</f>
        <v>109.40846745227762</v>
      </c>
      <c r="L193" s="92">
        <f>(((Table134567891011121314151617343[[#This Row],[EA19]]-VLOOKUP($U$1,A:F,6,))/VLOOKUP($U$1,A:F,6,))*100)+100</f>
        <v>112.41616332028494</v>
      </c>
      <c r="M193" s="92">
        <f>(((Table134567891011121314151617343[[#This Row],[GBR]]-VLOOKUP($U$1,A:G,7,))/VLOOKUP($U$1,A:G,7,))*100)+100</f>
        <v>101.36050792295791</v>
      </c>
      <c r="N193" s="92">
        <f>VLOOKUP(A193,Database!$E:$AY,MATCH($N$1,Database!$E$1:$AY$1,0),FALSE)</f>
        <v>96.957380000000001</v>
      </c>
      <c r="O193" s="92">
        <f>(((Table134567891011121314151617343[[#This Row],[USA]]-VLOOKUP($U$1,A:N,14,))/VLOOKUP($U$1,A:N,14,))*100)+100</f>
        <v>112.33515245656946</v>
      </c>
      <c r="P193" s="92">
        <f>VLOOKUP(A193,Database!$E:$AY,MATCH($P$1,Database!$E$1:$AY$1,0),FALSE)</f>
        <v>110.6444</v>
      </c>
      <c r="Q193" s="92">
        <f>(((Table134567891011121314151617343[[#This Row],[JPN]]-VLOOKUP($U$1,A:Q,16,))/VLOOKUP($U$1,A:Q,16,))*100)+100</f>
        <v>111.08470645095969</v>
      </c>
    </row>
    <row r="194" spans="1:17" s="85" customFormat="1" x14ac:dyDescent="0.2">
      <c r="A194" s="22">
        <v>38718</v>
      </c>
      <c r="B194" s="92">
        <f>VLOOKUP(A194,Database!$E:$AY,MATCH($B$1,Database!$E$1:$AY$1,0),FALSE)</f>
        <v>122.2898</v>
      </c>
      <c r="C194" s="92">
        <f>VLOOKUP(A194,Database!$E:$AY,MATCH($C$1,Database!$E$1:$AY$1,0),FALSE)</f>
        <v>110.5209</v>
      </c>
      <c r="D194" s="92">
        <f>VLOOKUP(A194,Database!$E:$AY,MATCH($D$1,Database!$E$1:$AY$1,0),FALSE)</f>
        <v>87.692700000000002</v>
      </c>
      <c r="E194" s="92">
        <f>VLOOKUP(A194,Database!$E:$AY,MATCH($E$1,Database!$E$1:$AY$1,0),FALSE)</f>
        <v>130.46010000000001</v>
      </c>
      <c r="F194" s="92">
        <f>VLOOKUP(A194,Database!$E:$AY,MATCH($F$1,Database!$E$1:$AY$1,0),FALSE)</f>
        <v>101.2831</v>
      </c>
      <c r="G194" s="92">
        <f>VLOOKUP(A194,Database!$E:$AY,MATCH($G$1,Database!$E$1:$AY$1,0),FALSE)</f>
        <v>108.7039</v>
      </c>
      <c r="H194" s="92">
        <f>(((Table134567891011121314151617343[[#This Row],[ITA]]-VLOOKUP($U$1,A:B,2,))/VLOOKUP($U$1,A:B,2,))*100)+100</f>
        <v>100.57562346872561</v>
      </c>
      <c r="I194" s="92">
        <f>(((Table134567891011121314151617343[[#This Row],[FRA]]-VLOOKUP($U$1,A:C,3,))/VLOOKUP($U$1,A:C,3,))*100)+100</f>
        <v>107.57244680550784</v>
      </c>
      <c r="J194" s="92">
        <f>(((Table134567891011121314151617343[[#This Row],[DEU]]-VLOOKUP($U$1,A:D,4,))/VLOOKUP($U$1,A:D,4,))*100)+100</f>
        <v>116.62235667787726</v>
      </c>
      <c r="K194" s="92">
        <f>(((Table134567891011121314151617343[[#This Row],[ESP]]-VLOOKUP($U$1,A:E,5,))/VLOOKUP($U$1,A:E,5,))*100)+100</f>
        <v>109.86659547716476</v>
      </c>
      <c r="L194" s="92">
        <f>(((Table134567891011121314151617343[[#This Row],[EA19]]-VLOOKUP($U$1,A:F,6,))/VLOOKUP($U$1,A:F,6,))*100)+100</f>
        <v>113.31094332276857</v>
      </c>
      <c r="M194" s="92">
        <f>(((Table134567891011121314151617343[[#This Row],[GBR]]-VLOOKUP($U$1,A:G,7,))/VLOOKUP($U$1,A:G,7,))*100)+100</f>
        <v>101.74923784411678</v>
      </c>
      <c r="N194" s="92">
        <f>VLOOKUP(A194,Database!$E:$AY,MATCH($N$1,Database!$E$1:$AY$1,0),FALSE)</f>
        <v>97.071690000000004</v>
      </c>
      <c r="O194" s="92">
        <f>(((Table134567891011121314151617343[[#This Row],[USA]]-VLOOKUP($U$1,A:N,14,))/VLOOKUP($U$1,A:N,14,))*100)+100</f>
        <v>112.46759241397456</v>
      </c>
      <c r="P194" s="92">
        <f>VLOOKUP(A194,Database!$E:$AY,MATCH($P$1,Database!$E$1:$AY$1,0),FALSE)</f>
        <v>110.9705</v>
      </c>
      <c r="Q194" s="92">
        <f>(((Table134567891011121314151617343[[#This Row],[JPN]]-VLOOKUP($U$1,A:Q,16,))/VLOOKUP($U$1,A:Q,16,))*100)+100</f>
        <v>111.41210415724809</v>
      </c>
    </row>
    <row r="195" spans="1:17" s="85" customFormat="1" x14ac:dyDescent="0.2">
      <c r="A195" s="22">
        <v>38749</v>
      </c>
      <c r="B195" s="92">
        <f>VLOOKUP(A195,Database!$E:$AY,MATCH($B$1,Database!$E$1:$AY$1,0),FALSE)</f>
        <v>124.5896</v>
      </c>
      <c r="C195" s="92">
        <f>VLOOKUP(A195,Database!$E:$AY,MATCH($C$1,Database!$E$1:$AY$1,0),FALSE)</f>
        <v>109.76090000000001</v>
      </c>
      <c r="D195" s="92">
        <f>VLOOKUP(A195,Database!$E:$AY,MATCH($D$1,Database!$E$1:$AY$1,0),FALSE)</f>
        <v>88.19265</v>
      </c>
      <c r="E195" s="92">
        <f>VLOOKUP(A195,Database!$E:$AY,MATCH($E$1,Database!$E$1:$AY$1,0),FALSE)</f>
        <v>130.4701</v>
      </c>
      <c r="F195" s="92">
        <f>VLOOKUP(A195,Database!$E:$AY,MATCH($F$1,Database!$E$1:$AY$1,0),FALSE)</f>
        <v>101.2831</v>
      </c>
      <c r="G195" s="92">
        <f>VLOOKUP(A195,Database!$E:$AY,MATCH($G$1,Database!$E$1:$AY$1,0),FALSE)</f>
        <v>108.081</v>
      </c>
      <c r="H195" s="92">
        <f>(((Table134567891011121314151617343[[#This Row],[ITA]]-VLOOKUP($U$1,A:B,2,))/VLOOKUP($U$1,A:B,2,))*100)+100</f>
        <v>102.4670634649753</v>
      </c>
      <c r="I195" s="92">
        <f>(((Table134567891011121314151617343[[#This Row],[FRA]]-VLOOKUP($U$1,A:C,3,))/VLOOKUP($U$1,A:C,3,))*100)+100</f>
        <v>106.83272192476414</v>
      </c>
      <c r="J195" s="92">
        <f>(((Table134567891011121314151617343[[#This Row],[DEU]]-VLOOKUP($U$1,A:D,4,))/VLOOKUP($U$1,A:D,4,))*100)+100</f>
        <v>117.28723924188891</v>
      </c>
      <c r="K195" s="92">
        <f>(((Table134567891011121314151617343[[#This Row],[ESP]]-VLOOKUP($U$1,A:E,5,))/VLOOKUP($U$1,A:E,5,))*100)+100</f>
        <v>109.87501694821047</v>
      </c>
      <c r="L195" s="92">
        <f>(((Table134567891011121314151617343[[#This Row],[EA19]]-VLOOKUP($U$1,A:F,6,))/VLOOKUP($U$1,A:F,6,))*100)+100</f>
        <v>113.31094332276857</v>
      </c>
      <c r="M195" s="92">
        <f>(((Table134567891011121314151617343[[#This Row],[GBR]]-VLOOKUP($U$1,A:G,7,))/VLOOKUP($U$1,A:G,7,))*100)+100</f>
        <v>101.16618976347661</v>
      </c>
      <c r="N195" s="92">
        <f>VLOOKUP(A195,Database!$E:$AY,MATCH($N$1,Database!$E$1:$AY$1,0),FALSE)</f>
        <v>97.075720000000004</v>
      </c>
      <c r="O195" s="92">
        <f>(((Table134567891011121314151617343[[#This Row],[USA]]-VLOOKUP($U$1,A:N,14,))/VLOOKUP($U$1,A:N,14,))*100)+100</f>
        <v>112.47226158577355</v>
      </c>
      <c r="P195" s="92">
        <f>VLOOKUP(A195,Database!$E:$AY,MATCH($P$1,Database!$E$1:$AY$1,0),FALSE)</f>
        <v>110.7531</v>
      </c>
      <c r="Q195" s="92">
        <f>(((Table134567891011121314151617343[[#This Row],[JPN]]-VLOOKUP($U$1,A:Q,16,))/VLOOKUP($U$1,A:Q,16,))*100)+100</f>
        <v>111.19383901972247</v>
      </c>
    </row>
    <row r="196" spans="1:17" s="85" customFormat="1" x14ac:dyDescent="0.2">
      <c r="A196" s="22">
        <v>38777</v>
      </c>
      <c r="B196" s="92">
        <f>VLOOKUP(A196,Database!$E:$AY,MATCH($B$1,Database!$E$1:$AY$1,0),FALSE)</f>
        <v>125.1896</v>
      </c>
      <c r="C196" s="92">
        <f>VLOOKUP(A196,Database!$E:$AY,MATCH($C$1,Database!$E$1:$AY$1,0),FALSE)</f>
        <v>111.79089999999999</v>
      </c>
      <c r="D196" s="92">
        <f>VLOOKUP(A196,Database!$E:$AY,MATCH($D$1,Database!$E$1:$AY$1,0),FALSE)</f>
        <v>87.392719999999997</v>
      </c>
      <c r="E196" s="92">
        <f>VLOOKUP(A196,Database!$E:$AY,MATCH($E$1,Database!$E$1:$AY$1,0),FALSE)</f>
        <v>131.15010000000001</v>
      </c>
      <c r="F196" s="92">
        <f>VLOOKUP(A196,Database!$E:$AY,MATCH($F$1,Database!$E$1:$AY$1,0),FALSE)</f>
        <v>101.983</v>
      </c>
      <c r="G196" s="92">
        <f>VLOOKUP(A196,Database!$E:$AY,MATCH($G$1,Database!$E$1:$AY$1,0),FALSE)</f>
        <v>108.49630000000001</v>
      </c>
      <c r="H196" s="92">
        <f>(((Table134567891011121314151617343[[#This Row],[ITA]]-VLOOKUP($U$1,A:B,2,))/VLOOKUP($U$1,A:B,2,))*100)+100</f>
        <v>102.96052550417427</v>
      </c>
      <c r="I196" s="92">
        <f>(((Table134567891011121314151617343[[#This Row],[FRA]]-VLOOKUP($U$1,A:C,3,))/VLOOKUP($U$1,A:C,3,))*100)+100</f>
        <v>108.80856601411901</v>
      </c>
      <c r="J196" s="92">
        <f>(((Table134567891011121314151617343[[#This Row],[DEU]]-VLOOKUP($U$1,A:D,4,))/VLOOKUP($U$1,A:D,4,))*100)+100</f>
        <v>116.22341384048909</v>
      </c>
      <c r="K196" s="92">
        <f>(((Table134567891011121314151617343[[#This Row],[ESP]]-VLOOKUP($U$1,A:E,5,))/VLOOKUP($U$1,A:E,5,))*100)+100</f>
        <v>110.4476769793194</v>
      </c>
      <c r="L196" s="92">
        <f>(((Table134567891011121314151617343[[#This Row],[EA19]]-VLOOKUP($U$1,A:F,6,))/VLOOKUP($U$1,A:F,6,))*100)+100</f>
        <v>114.09395973154363</v>
      </c>
      <c r="M196" s="92">
        <f>(((Table134567891011121314151617343[[#This Row],[GBR]]-VLOOKUP($U$1,A:G,7,))/VLOOKUP($U$1,A:G,7,))*100)+100</f>
        <v>101.55491968463549</v>
      </c>
      <c r="N196" s="92">
        <f>VLOOKUP(A196,Database!$E:$AY,MATCH($N$1,Database!$E$1:$AY$1,0),FALSE)</f>
        <v>97.275700000000001</v>
      </c>
      <c r="O196" s="92">
        <f>(((Table134567891011121314151617343[[#This Row],[USA]]-VLOOKUP($U$1,A:N,14,))/VLOOKUP($U$1,A:N,14,))*100)+100</f>
        <v>112.70395909851848</v>
      </c>
      <c r="P196" s="92">
        <f>VLOOKUP(A196,Database!$E:$AY,MATCH($P$1,Database!$E$1:$AY$1,0),FALSE)</f>
        <v>111.514</v>
      </c>
      <c r="Q196" s="92">
        <f>(((Table134567891011121314151617343[[#This Row],[JPN]]-VLOOKUP($U$1,A:Q,16,))/VLOOKUP($U$1,A:Q,16,))*100)+100</f>
        <v>111.95776700106211</v>
      </c>
    </row>
    <row r="197" spans="1:17" s="85" customFormat="1" x14ac:dyDescent="0.2">
      <c r="A197" s="22">
        <v>38808</v>
      </c>
      <c r="B197" s="92">
        <f>VLOOKUP(A197,Database!$E:$AY,MATCH($B$1,Database!$E$1:$AY$1,0),FALSE)</f>
        <v>124.08969999999999</v>
      </c>
      <c r="C197" s="92">
        <f>VLOOKUP(A197,Database!$E:$AY,MATCH($C$1,Database!$E$1:$AY$1,0),FALSE)</f>
        <v>111.2209</v>
      </c>
      <c r="D197" s="92">
        <f>VLOOKUP(A197,Database!$E:$AY,MATCH($D$1,Database!$E$1:$AY$1,0),FALSE)</f>
        <v>89.39255</v>
      </c>
      <c r="E197" s="92">
        <f>VLOOKUP(A197,Database!$E:$AY,MATCH($E$1,Database!$E$1:$AY$1,0),FALSE)</f>
        <v>129.96109999999999</v>
      </c>
      <c r="F197" s="92">
        <f>VLOOKUP(A197,Database!$E:$AY,MATCH($F$1,Database!$E$1:$AY$1,0),FALSE)</f>
        <v>102.283</v>
      </c>
      <c r="G197" s="92">
        <f>VLOOKUP(A197,Database!$E:$AY,MATCH($G$1,Database!$E$1:$AY$1,0),FALSE)</f>
        <v>107.9772</v>
      </c>
      <c r="H197" s="92">
        <f>(((Table134567891011121314151617343[[#This Row],[ITA]]-VLOOKUP($U$1,A:B,2,))/VLOOKUP($U$1,A:B,2,))*100)+100</f>
        <v>102.05592734264934</v>
      </c>
      <c r="I197" s="92">
        <f>(((Table134567891011121314151617343[[#This Row],[FRA]]-VLOOKUP($U$1,A:C,3,))/VLOOKUP($U$1,A:C,3,))*100)+100</f>
        <v>108.25377235356125</v>
      </c>
      <c r="J197" s="92">
        <f>(((Table134567891011121314151617343[[#This Row],[DEU]]-VLOOKUP($U$1,A:D,4,))/VLOOKUP($U$1,A:D,4,))*100)+100</f>
        <v>118.88298399347924</v>
      </c>
      <c r="K197" s="92">
        <f>(((Table134567891011121314151617343[[#This Row],[ESP]]-VLOOKUP($U$1,A:E,5,))/VLOOKUP($U$1,A:E,5,))*100)+100</f>
        <v>109.44636407198335</v>
      </c>
      <c r="L197" s="92">
        <f>(((Table134567891011121314151617343[[#This Row],[EA19]]-VLOOKUP($U$1,A:F,6,))/VLOOKUP($U$1,A:F,6,))*100)+100</f>
        <v>114.42958613907687</v>
      </c>
      <c r="M197" s="92">
        <f>(((Table134567891011121314151617343[[#This Row],[GBR]]-VLOOKUP($U$1,A:G,7,))/VLOOKUP($U$1,A:G,7,))*100)+100</f>
        <v>101.06903068373596</v>
      </c>
      <c r="N197" s="92">
        <f>VLOOKUP(A197,Database!$E:$AY,MATCH($N$1,Database!$E$1:$AY$1,0),FALSE)</f>
        <v>97.665859999999995</v>
      </c>
      <c r="O197" s="92">
        <f>(((Table134567891011121314151617343[[#This Row],[USA]]-VLOOKUP($U$1,A:N,14,))/VLOOKUP($U$1,A:N,14,))*100)+100</f>
        <v>113.15599981045247</v>
      </c>
      <c r="P197" s="92">
        <f>VLOOKUP(A197,Database!$E:$AY,MATCH($P$1,Database!$E$1:$AY$1,0),FALSE)</f>
        <v>113.57899999999999</v>
      </c>
      <c r="Q197" s="92">
        <f>(((Table134567891011121314151617343[[#This Row],[JPN]]-VLOOKUP($U$1,A:Q,16,))/VLOOKUP($U$1,A:Q,16,))*100)+100</f>
        <v>114.03098461371337</v>
      </c>
    </row>
    <row r="198" spans="1:17" s="85" customFormat="1" x14ac:dyDescent="0.2">
      <c r="A198" s="22">
        <v>38838</v>
      </c>
      <c r="B198" s="92">
        <f>VLOOKUP(A198,Database!$E:$AY,MATCH($B$1,Database!$E$1:$AY$1,0),FALSE)</f>
        <v>126.9894</v>
      </c>
      <c r="C198" s="92">
        <f>VLOOKUP(A198,Database!$E:$AY,MATCH($C$1,Database!$E$1:$AY$1,0),FALSE)</f>
        <v>113.01090000000001</v>
      </c>
      <c r="D198" s="92">
        <f>VLOOKUP(A198,Database!$E:$AY,MATCH($D$1,Database!$E$1:$AY$1,0),FALSE)</f>
        <v>90.692440000000005</v>
      </c>
      <c r="E198" s="92">
        <f>VLOOKUP(A198,Database!$E:$AY,MATCH($E$1,Database!$E$1:$AY$1,0),FALSE)</f>
        <v>131.8201</v>
      </c>
      <c r="F198" s="92">
        <f>VLOOKUP(A198,Database!$E:$AY,MATCH($F$1,Database!$E$1:$AY$1,0),FALSE)</f>
        <v>103.78270000000001</v>
      </c>
      <c r="G198" s="92">
        <f>VLOOKUP(A198,Database!$E:$AY,MATCH($G$1,Database!$E$1:$AY$1,0),FALSE)</f>
        <v>107.9772</v>
      </c>
      <c r="H198" s="92">
        <f>(((Table134567891011121314151617343[[#This Row],[ITA]]-VLOOKUP($U$1,A:B,2,))/VLOOKUP($U$1,A:B,2,))*100)+100</f>
        <v>104.44074713442483</v>
      </c>
      <c r="I198" s="92">
        <f>(((Table134567891011121314151617343[[#This Row],[FRA]]-VLOOKUP($U$1,A:C,3,))/VLOOKUP($U$1,A:C,3,))*100)+100</f>
        <v>109.99601911215495</v>
      </c>
      <c r="J198" s="92">
        <f>(((Table134567891011121314151617343[[#This Row],[DEU]]-VLOOKUP($U$1,A:D,4,))/VLOOKUP($U$1,A:D,4,))*100)+100</f>
        <v>120.6117052578719</v>
      </c>
      <c r="K198" s="92">
        <f>(((Table134567891011121314151617343[[#This Row],[ESP]]-VLOOKUP($U$1,A:E,5,))/VLOOKUP($U$1,A:E,5,))*100)+100</f>
        <v>111.01191553938258</v>
      </c>
      <c r="L198" s="92">
        <f>(((Table134567891011121314151617343[[#This Row],[EA19]]-VLOOKUP($U$1,A:F,6,))/VLOOKUP($U$1,A:F,6,))*100)+100</f>
        <v>116.10738255033559</v>
      </c>
      <c r="M198" s="92">
        <f>(((Table134567891011121314151617343[[#This Row],[GBR]]-VLOOKUP($U$1,A:G,7,))/VLOOKUP($U$1,A:G,7,))*100)+100</f>
        <v>101.06903068373596</v>
      </c>
      <c r="N198" s="92">
        <f>VLOOKUP(A198,Database!$E:$AY,MATCH($N$1,Database!$E$1:$AY$1,0),FALSE)</f>
        <v>97.567599999999999</v>
      </c>
      <c r="O198" s="92">
        <f>(((Table134567891011121314151617343[[#This Row],[USA]]-VLOOKUP($U$1,A:N,14,))/VLOOKUP($U$1,A:N,14,))*100)+100</f>
        <v>113.04215543800365</v>
      </c>
      <c r="P198" s="92">
        <f>VLOOKUP(A198,Database!$E:$AY,MATCH($P$1,Database!$E$1:$AY$1,0),FALSE)</f>
        <v>111.84</v>
      </c>
      <c r="Q198" s="92">
        <f>(((Table134567891011121314151617343[[#This Row],[JPN]]-VLOOKUP($U$1,A:Q,16,))/VLOOKUP($U$1,A:Q,16,))*100)+100</f>
        <v>112.2850643094032</v>
      </c>
    </row>
    <row r="199" spans="1:17" s="85" customFormat="1" x14ac:dyDescent="0.2">
      <c r="A199" s="22">
        <v>38869</v>
      </c>
      <c r="B199" s="92">
        <f>VLOOKUP(A199,Database!$E:$AY,MATCH($B$1,Database!$E$1:$AY$1,0),FALSE)</f>
        <v>127.38939999999999</v>
      </c>
      <c r="C199" s="92">
        <f>VLOOKUP(A199,Database!$E:$AY,MATCH($C$1,Database!$E$1:$AY$1,0),FALSE)</f>
        <v>112.82089999999999</v>
      </c>
      <c r="D199" s="92">
        <f>VLOOKUP(A199,Database!$E:$AY,MATCH($D$1,Database!$E$1:$AY$1,0),FALSE)</f>
        <v>90.192480000000003</v>
      </c>
      <c r="E199" s="92">
        <f>VLOOKUP(A199,Database!$E:$AY,MATCH($E$1,Database!$E$1:$AY$1,0),FALSE)</f>
        <v>132.49209999999999</v>
      </c>
      <c r="F199" s="92">
        <f>VLOOKUP(A199,Database!$E:$AY,MATCH($F$1,Database!$E$1:$AY$1,0),FALSE)</f>
        <v>103.6827</v>
      </c>
      <c r="G199" s="92">
        <f>VLOOKUP(A199,Database!$E:$AY,MATCH($G$1,Database!$E$1:$AY$1,0),FALSE)</f>
        <v>108.8078</v>
      </c>
      <c r="H199" s="92">
        <f>(((Table134567891011121314151617343[[#This Row],[ITA]]-VLOOKUP($U$1,A:B,2,))/VLOOKUP($U$1,A:B,2,))*100)+100</f>
        <v>104.76972182722413</v>
      </c>
      <c r="I199" s="92">
        <f>(((Table134567891011121314151617343[[#This Row],[FRA]]-VLOOKUP($U$1,A:C,3,))/VLOOKUP($U$1,A:C,3,))*100)+100</f>
        <v>109.81108789196902</v>
      </c>
      <c r="J199" s="92">
        <f>(((Table134567891011121314151617343[[#This Row],[DEU]]-VLOOKUP($U$1,A:D,4,))/VLOOKUP($U$1,A:D,4,))*100)+100</f>
        <v>119.94680939487907</v>
      </c>
      <c r="K199" s="92">
        <f>(((Table134567891011121314151617343[[#This Row],[ESP]]-VLOOKUP($U$1,A:E,5,))/VLOOKUP($U$1,A:E,5,))*100)+100</f>
        <v>111.57783839365491</v>
      </c>
      <c r="L199" s="92">
        <f>(((Table134567891011121314151617343[[#This Row],[EA19]]-VLOOKUP($U$1,A:F,6,))/VLOOKUP($U$1,A:F,6,))*100)+100</f>
        <v>115.99550708115783</v>
      </c>
      <c r="M199" s="92">
        <f>(((Table134567891011121314151617343[[#This Row],[GBR]]-VLOOKUP($U$1,A:G,7,))/VLOOKUP($U$1,A:G,7,))*100)+100</f>
        <v>101.8464905260537</v>
      </c>
      <c r="N199" s="92">
        <f>VLOOKUP(A199,Database!$E:$AY,MATCH($N$1,Database!$E$1:$AY$1,0),FALSE)</f>
        <v>97.942480000000003</v>
      </c>
      <c r="O199" s="92">
        <f>(((Table134567891011121314151617343[[#This Row],[USA]]-VLOOKUP($U$1,A:N,14,))/VLOOKUP($U$1,A:N,14,))*100)+100</f>
        <v>113.47649268961791</v>
      </c>
      <c r="P199" s="92">
        <f>VLOOKUP(A199,Database!$E:$AY,MATCH($P$1,Database!$E$1:$AY$1,0),FALSE)</f>
        <v>113.3616</v>
      </c>
      <c r="Q199" s="92">
        <f>(((Table134567891011121314151617343[[#This Row],[JPN]]-VLOOKUP($U$1,A:Q,16,))/VLOOKUP($U$1,A:Q,16,))*100)+100</f>
        <v>113.81271947618777</v>
      </c>
    </row>
    <row r="200" spans="1:17" s="85" customFormat="1" x14ac:dyDescent="0.2">
      <c r="A200" s="22">
        <v>38899</v>
      </c>
      <c r="B200" s="92">
        <f>VLOOKUP(A200,Database!$E:$AY,MATCH($B$1,Database!$E$1:$AY$1,0),FALSE)</f>
        <v>125.5895</v>
      </c>
      <c r="C200" s="92">
        <f>VLOOKUP(A200,Database!$E:$AY,MATCH($C$1,Database!$E$1:$AY$1,0),FALSE)</f>
        <v>111.26090000000001</v>
      </c>
      <c r="D200" s="92">
        <f>VLOOKUP(A200,Database!$E:$AY,MATCH($D$1,Database!$E$1:$AY$1,0),FALSE)</f>
        <v>91.792349999999999</v>
      </c>
      <c r="E200" s="92">
        <f>VLOOKUP(A200,Database!$E:$AY,MATCH($E$1,Database!$E$1:$AY$1,0),FALSE)</f>
        <v>131.68809999999999</v>
      </c>
      <c r="F200" s="92">
        <f>VLOOKUP(A200,Database!$E:$AY,MATCH($F$1,Database!$E$1:$AY$1,0),FALSE)</f>
        <v>103.48269999999999</v>
      </c>
      <c r="G200" s="92">
        <f>VLOOKUP(A200,Database!$E:$AY,MATCH($G$1,Database!$E$1:$AY$1,0),FALSE)</f>
        <v>107.8733</v>
      </c>
      <c r="H200" s="92">
        <f>(((Table134567891011121314151617343[[#This Row],[ITA]]-VLOOKUP($U$1,A:B,2,))/VLOOKUP($U$1,A:B,2,))*100)+100</f>
        <v>103.2894179533004</v>
      </c>
      <c r="I200" s="92">
        <f>(((Table134567891011121314151617343[[#This Row],[FRA]]-VLOOKUP($U$1,A:C,3,))/VLOOKUP($U$1,A:C,3,))*100)+100</f>
        <v>108.29270524202144</v>
      </c>
      <c r="J200" s="92">
        <f>(((Table134567891011121314151617343[[#This Row],[DEU]]-VLOOKUP($U$1,A:D,4,))/VLOOKUP($U$1,A:D,4,))*100)+100</f>
        <v>122.07447349665989</v>
      </c>
      <c r="K200" s="92">
        <f>(((Table134567891011121314151617343[[#This Row],[ESP]]-VLOOKUP($U$1,A:E,5,))/VLOOKUP($U$1,A:E,5,))*100)+100</f>
        <v>110.90075212157907</v>
      </c>
      <c r="L200" s="92">
        <f>(((Table134567891011121314151617343[[#This Row],[EA19]]-VLOOKUP($U$1,A:F,6,))/VLOOKUP($U$1,A:F,6,))*100)+100</f>
        <v>115.77175614280232</v>
      </c>
      <c r="M200" s="92">
        <f>(((Table134567891011121314151617343[[#This Row],[GBR]]-VLOOKUP($U$1,A:G,7,))/VLOOKUP($U$1,A:G,7,))*100)+100</f>
        <v>100.97177800179904</v>
      </c>
      <c r="N200" s="92">
        <f>VLOOKUP(A200,Database!$E:$AY,MATCH($N$1,Database!$E$1:$AY$1,0),FALSE)</f>
        <v>97.906559999999999</v>
      </c>
      <c r="O200" s="92">
        <f>(((Table134567891011121314151617343[[#This Row],[USA]]-VLOOKUP($U$1,A:N,14,))/VLOOKUP($U$1,A:N,14,))*100)+100</f>
        <v>113.43487565462542</v>
      </c>
      <c r="P200" s="92">
        <f>VLOOKUP(A200,Database!$E:$AY,MATCH($P$1,Database!$E$1:$AY$1,0),FALSE)</f>
        <v>113.79640000000001</v>
      </c>
      <c r="Q200" s="92">
        <f>(((Table134567891011121314151617343[[#This Row],[JPN]]-VLOOKUP($U$1,A:Q,16,))/VLOOKUP($U$1,A:Q,16,))*100)+100</f>
        <v>114.24924975123899</v>
      </c>
    </row>
    <row r="201" spans="1:17" s="85" customFormat="1" x14ac:dyDescent="0.2">
      <c r="A201" s="22">
        <v>38930</v>
      </c>
      <c r="B201" s="92">
        <f>VLOOKUP(A201,Database!$E:$AY,MATCH($B$1,Database!$E$1:$AY$1,0),FALSE)</f>
        <v>127.18940000000001</v>
      </c>
      <c r="C201" s="92">
        <f>VLOOKUP(A201,Database!$E:$AY,MATCH($C$1,Database!$E$1:$AY$1,0),FALSE)</f>
        <v>110.51090000000001</v>
      </c>
      <c r="D201" s="92">
        <f>VLOOKUP(A201,Database!$E:$AY,MATCH($D$1,Database!$E$1:$AY$1,0),FALSE)</f>
        <v>92.392300000000006</v>
      </c>
      <c r="E201" s="92">
        <f>VLOOKUP(A201,Database!$E:$AY,MATCH($E$1,Database!$E$1:$AY$1,0),FALSE)</f>
        <v>131.6611</v>
      </c>
      <c r="F201" s="92">
        <f>VLOOKUP(A201,Database!$E:$AY,MATCH($F$1,Database!$E$1:$AY$1,0),FALSE)</f>
        <v>103.78270000000001</v>
      </c>
      <c r="G201" s="92">
        <f>VLOOKUP(A201,Database!$E:$AY,MATCH($G$1,Database!$E$1:$AY$1,0),FALSE)</f>
        <v>108.7039</v>
      </c>
      <c r="H201" s="92">
        <f>(((Table134567891011121314151617343[[#This Row],[ITA]]-VLOOKUP($U$1,A:B,2,))/VLOOKUP($U$1,A:B,2,))*100)+100</f>
        <v>104.60523448082448</v>
      </c>
      <c r="I201" s="92">
        <f>(((Table134567891011121314151617343[[#This Row],[FRA]]-VLOOKUP($U$1,A:C,3,))/VLOOKUP($U$1,A:C,3,))*100)+100</f>
        <v>107.56271358339279</v>
      </c>
      <c r="J201" s="92">
        <f>(((Table134567891011121314151617343[[#This Row],[DEU]]-VLOOKUP($U$1,A:D,4,))/VLOOKUP($U$1,A:D,4,))*100)+100</f>
        <v>122.87234587245506</v>
      </c>
      <c r="K201" s="92">
        <f>(((Table134567891011121314151617343[[#This Row],[ESP]]-VLOOKUP($U$1,A:E,5,))/VLOOKUP($U$1,A:E,5,))*100)+100</f>
        <v>110.87801414975566</v>
      </c>
      <c r="L201" s="92">
        <f>(((Table134567891011121314151617343[[#This Row],[EA19]]-VLOOKUP($U$1,A:F,6,))/VLOOKUP($U$1,A:F,6,))*100)+100</f>
        <v>116.10738255033559</v>
      </c>
      <c r="M201" s="92">
        <f>(((Table134567891011121314151617343[[#This Row],[GBR]]-VLOOKUP($U$1,A:G,7,))/VLOOKUP($U$1,A:G,7,))*100)+100</f>
        <v>101.74923784411678</v>
      </c>
      <c r="N201" s="92">
        <f>VLOOKUP(A201,Database!$E:$AY,MATCH($N$1,Database!$E$1:$AY$1,0),FALSE)</f>
        <v>98.291529999999995</v>
      </c>
      <c r="O201" s="92">
        <f>(((Table134567891011121314151617343[[#This Row],[USA]]-VLOOKUP($U$1,A:N,14,))/VLOOKUP($U$1,A:N,14,))*100)+100</f>
        <v>113.88090321478849</v>
      </c>
      <c r="P201" s="92">
        <f>VLOOKUP(A201,Database!$E:$AY,MATCH($P$1,Database!$E$1:$AY$1,0),FALSE)</f>
        <v>114.1225</v>
      </c>
      <c r="Q201" s="92">
        <f>(((Table134567891011121314151617343[[#This Row],[JPN]]-VLOOKUP($U$1,A:Q,16,))/VLOOKUP($U$1,A:Q,16,))*100)+100</f>
        <v>114.57664745752741</v>
      </c>
    </row>
    <row r="202" spans="1:17" s="85" customFormat="1" x14ac:dyDescent="0.2">
      <c r="A202" s="22">
        <v>38961</v>
      </c>
      <c r="B202" s="92">
        <f>VLOOKUP(A202,Database!$E:$AY,MATCH($B$1,Database!$E$1:$AY$1,0),FALSE)</f>
        <v>126.9894</v>
      </c>
      <c r="C202" s="92">
        <f>VLOOKUP(A202,Database!$E:$AY,MATCH($C$1,Database!$E$1:$AY$1,0),FALSE)</f>
        <v>112.2109</v>
      </c>
      <c r="D202" s="92">
        <f>VLOOKUP(A202,Database!$E:$AY,MATCH($D$1,Database!$E$1:$AY$1,0),FALSE)</f>
        <v>92.292310000000001</v>
      </c>
      <c r="E202" s="92">
        <f>VLOOKUP(A202,Database!$E:$AY,MATCH($E$1,Database!$E$1:$AY$1,0),FALSE)</f>
        <v>132.83009999999999</v>
      </c>
      <c r="F202" s="92">
        <f>VLOOKUP(A202,Database!$E:$AY,MATCH($F$1,Database!$E$1:$AY$1,0),FALSE)</f>
        <v>103.8827</v>
      </c>
      <c r="G202" s="92">
        <f>VLOOKUP(A202,Database!$E:$AY,MATCH($G$1,Database!$E$1:$AY$1,0),FALSE)</f>
        <v>108.91160000000001</v>
      </c>
      <c r="H202" s="92">
        <f>(((Table134567891011121314151617343[[#This Row],[ITA]]-VLOOKUP($U$1,A:B,2,))/VLOOKUP($U$1,A:B,2,))*100)+100</f>
        <v>104.44074713442483</v>
      </c>
      <c r="I202" s="92">
        <f>(((Table134567891011121314151617343[[#This Row],[FRA]]-VLOOKUP($U$1,A:C,3,))/VLOOKUP($U$1,A:C,3,))*100)+100</f>
        <v>109.21736134295105</v>
      </c>
      <c r="J202" s="92">
        <f>(((Table134567891011121314151617343[[#This Row],[DEU]]-VLOOKUP($U$1,A:D,4,))/VLOOKUP($U$1,A:D,4,))*100)+100</f>
        <v>122.73936935965273</v>
      </c>
      <c r="K202" s="92">
        <f>(((Table134567891011121314151617343[[#This Row],[ESP]]-VLOOKUP($U$1,A:E,5,))/VLOOKUP($U$1,A:E,5,))*100)+100</f>
        <v>111.86248411500023</v>
      </c>
      <c r="L202" s="92">
        <f>(((Table134567891011121314151617343[[#This Row],[EA19]]-VLOOKUP($U$1,A:F,6,))/VLOOKUP($U$1,A:F,6,))*100)+100</f>
        <v>116.21925801951332</v>
      </c>
      <c r="M202" s="92">
        <f>(((Table134567891011121314151617343[[#This Row],[GBR]]-VLOOKUP($U$1,A:G,7,))/VLOOKUP($U$1,A:G,7,))*100)+100</f>
        <v>101.94364960579436</v>
      </c>
      <c r="N202" s="92">
        <f>VLOOKUP(A202,Database!$E:$AY,MATCH($N$1,Database!$E$1:$AY$1,0),FALSE)</f>
        <v>98.092230000000001</v>
      </c>
      <c r="O202" s="92">
        <f>(((Table134567891011121314151617343[[#This Row],[USA]]-VLOOKUP($U$1,A:N,14,))/VLOOKUP($U$1,A:N,14,))*100)+100</f>
        <v>113.64999355237194</v>
      </c>
      <c r="P202" s="92">
        <f>VLOOKUP(A202,Database!$E:$AY,MATCH($P$1,Database!$E$1:$AY$1,0),FALSE)</f>
        <v>114.0138</v>
      </c>
      <c r="Q202" s="92">
        <f>(((Table134567891011121314151617343[[#This Row],[JPN]]-VLOOKUP($U$1,A:Q,16,))/VLOOKUP($U$1,A:Q,16,))*100)+100</f>
        <v>114.46751488876461</v>
      </c>
    </row>
    <row r="203" spans="1:17" s="85" customFormat="1" x14ac:dyDescent="0.2">
      <c r="A203" s="22">
        <v>38991</v>
      </c>
      <c r="B203" s="92">
        <f>VLOOKUP(A203,Database!$E:$AY,MATCH($B$1,Database!$E$1:$AY$1,0),FALSE)</f>
        <v>127.18940000000001</v>
      </c>
      <c r="C203" s="92">
        <f>VLOOKUP(A203,Database!$E:$AY,MATCH($C$1,Database!$E$1:$AY$1,0),FALSE)</f>
        <v>111.3109</v>
      </c>
      <c r="D203" s="92">
        <f>VLOOKUP(A203,Database!$E:$AY,MATCH($D$1,Database!$E$1:$AY$1,0),FALSE)</f>
        <v>92.092320000000001</v>
      </c>
      <c r="E203" s="92">
        <f>VLOOKUP(A203,Database!$E:$AY,MATCH($E$1,Database!$E$1:$AY$1,0),FALSE)</f>
        <v>131.81710000000001</v>
      </c>
      <c r="F203" s="92">
        <f>VLOOKUP(A203,Database!$E:$AY,MATCH($F$1,Database!$E$1:$AY$1,0),FALSE)</f>
        <v>103.5827</v>
      </c>
      <c r="G203" s="92">
        <f>VLOOKUP(A203,Database!$E:$AY,MATCH($G$1,Database!$E$1:$AY$1,0),FALSE)</f>
        <v>108.49630000000001</v>
      </c>
      <c r="H203" s="92">
        <f>(((Table134567891011121314151617343[[#This Row],[ITA]]-VLOOKUP($U$1,A:B,2,))/VLOOKUP($U$1,A:B,2,))*100)+100</f>
        <v>104.60523448082448</v>
      </c>
      <c r="I203" s="92">
        <f>(((Table134567891011121314151617343[[#This Row],[FRA]]-VLOOKUP($U$1,A:C,3,))/VLOOKUP($U$1,A:C,3,))*100)+100</f>
        <v>108.34137135259668</v>
      </c>
      <c r="J203" s="92">
        <f>(((Table134567891011121314151617343[[#This Row],[DEU]]-VLOOKUP($U$1,A:D,4,))/VLOOKUP($U$1,A:D,4,))*100)+100</f>
        <v>122.47340303506688</v>
      </c>
      <c r="K203" s="92">
        <f>(((Table134567891011121314151617343[[#This Row],[ESP]]-VLOOKUP($U$1,A:E,5,))/VLOOKUP($U$1,A:E,5,))*100)+100</f>
        <v>111.00938909806888</v>
      </c>
      <c r="L203" s="92">
        <f>(((Table134567891011121314151617343[[#This Row],[EA19]]-VLOOKUP($U$1,A:F,6,))/VLOOKUP($U$1,A:F,6,))*100)+100</f>
        <v>115.88363161198008</v>
      </c>
      <c r="M203" s="92">
        <f>(((Table134567891011121314151617343[[#This Row],[GBR]]-VLOOKUP($U$1,A:G,7,))/VLOOKUP($U$1,A:G,7,))*100)+100</f>
        <v>101.55491968463549</v>
      </c>
      <c r="N203" s="92">
        <f>VLOOKUP(A203,Database!$E:$AY,MATCH($N$1,Database!$E$1:$AY$1,0),FALSE)</f>
        <v>98.03613</v>
      </c>
      <c r="O203" s="92">
        <f>(((Table134567891011121314151617343[[#This Row],[USA]]-VLOOKUP($U$1,A:N,14,))/VLOOKUP($U$1,A:N,14,))*100)+100</f>
        <v>113.58499590028178</v>
      </c>
      <c r="P203" s="92">
        <f>VLOOKUP(A203,Database!$E:$AY,MATCH($P$1,Database!$E$1:$AY$1,0),FALSE)</f>
        <v>114.4485</v>
      </c>
      <c r="Q203" s="92">
        <f>(((Table134567891011121314151617343[[#This Row],[JPN]]-VLOOKUP($U$1,A:Q,16,))/VLOOKUP($U$1,A:Q,16,))*100)+100</f>
        <v>114.90394476586847</v>
      </c>
    </row>
    <row r="204" spans="1:17" s="85" customFormat="1" x14ac:dyDescent="0.2">
      <c r="A204" s="22">
        <v>39022</v>
      </c>
      <c r="B204" s="92">
        <f>VLOOKUP(A204,Database!$E:$AY,MATCH($B$1,Database!$E$1:$AY$1,0),FALSE)</f>
        <v>127.38939999999999</v>
      </c>
      <c r="C204" s="92">
        <f>VLOOKUP(A204,Database!$E:$AY,MATCH($C$1,Database!$E$1:$AY$1,0),FALSE)</f>
        <v>110.68089999999999</v>
      </c>
      <c r="D204" s="92">
        <f>VLOOKUP(A204,Database!$E:$AY,MATCH($D$1,Database!$E$1:$AY$1,0),FALSE)</f>
        <v>93.692189999999997</v>
      </c>
      <c r="E204" s="92">
        <f>VLOOKUP(A204,Database!$E:$AY,MATCH($E$1,Database!$E$1:$AY$1,0),FALSE)</f>
        <v>133.6241</v>
      </c>
      <c r="F204" s="92">
        <f>VLOOKUP(A204,Database!$E:$AY,MATCH($F$1,Database!$E$1:$AY$1,0),FALSE)</f>
        <v>104.5826</v>
      </c>
      <c r="G204" s="92">
        <f>VLOOKUP(A204,Database!$E:$AY,MATCH($G$1,Database!$E$1:$AY$1,0),FALSE)</f>
        <v>108.91160000000001</v>
      </c>
      <c r="H204" s="92">
        <f>(((Table134567891011121314151617343[[#This Row],[ITA]]-VLOOKUP($U$1,A:B,2,))/VLOOKUP($U$1,A:B,2,))*100)+100</f>
        <v>104.76972182722413</v>
      </c>
      <c r="I204" s="92">
        <f>(((Table134567891011121314151617343[[#This Row],[FRA]]-VLOOKUP($U$1,A:C,3,))/VLOOKUP($U$1,A:C,3,))*100)+100</f>
        <v>107.72817835934862</v>
      </c>
      <c r="J204" s="92">
        <f>(((Table134567891011121314151617343[[#This Row],[DEU]]-VLOOKUP($U$1,A:D,4,))/VLOOKUP($U$1,A:D,4,))*100)+100</f>
        <v>124.6010671368477</v>
      </c>
      <c r="K204" s="92">
        <f>(((Table134567891011121314151617343[[#This Row],[ESP]]-VLOOKUP($U$1,A:E,5,))/VLOOKUP($U$1,A:E,5,))*100)+100</f>
        <v>112.53114891603035</v>
      </c>
      <c r="L204" s="92">
        <f>(((Table134567891011121314151617343[[#This Row],[EA19]]-VLOOKUP($U$1,A:F,6,))/VLOOKUP($U$1,A:F,6,))*100)+100</f>
        <v>117.00227442828839</v>
      </c>
      <c r="M204" s="92">
        <f>(((Table134567891011121314151617343[[#This Row],[GBR]]-VLOOKUP($U$1,A:G,7,))/VLOOKUP($U$1,A:G,7,))*100)+100</f>
        <v>101.94364960579436</v>
      </c>
      <c r="N204" s="92">
        <f>VLOOKUP(A204,Database!$E:$AY,MATCH($N$1,Database!$E$1:$AY$1,0),FALSE)</f>
        <v>97.941999999999993</v>
      </c>
      <c r="O204" s="92">
        <f>(((Table134567891011121314151617343[[#This Row],[USA]]-VLOOKUP($U$1,A:N,14,))/VLOOKUP($U$1,A:N,14,))*100)+100</f>
        <v>113.47593655997434</v>
      </c>
      <c r="P204" s="92">
        <f>VLOOKUP(A204,Database!$E:$AY,MATCH($P$1,Database!$E$1:$AY$1,0),FALSE)</f>
        <v>115.5354</v>
      </c>
      <c r="Q204" s="92">
        <f>(((Table134567891011121314151617343[[#This Row],[JPN]]-VLOOKUP($U$1,A:Q,16,))/VLOOKUP($U$1,A:Q,16,))*100)+100</f>
        <v>115.99517005554918</v>
      </c>
    </row>
    <row r="205" spans="1:17" s="85" customFormat="1" x14ac:dyDescent="0.2">
      <c r="A205" s="22">
        <v>39052</v>
      </c>
      <c r="B205" s="92">
        <f>VLOOKUP(A205,Database!$E:$AY,MATCH($B$1,Database!$E$1:$AY$1,0),FALSE)</f>
        <v>129.38919999999999</v>
      </c>
      <c r="C205" s="92">
        <f>VLOOKUP(A205,Database!$E:$AY,MATCH($C$1,Database!$E$1:$AY$1,0),FALSE)</f>
        <v>112.5309</v>
      </c>
      <c r="D205" s="92">
        <f>VLOOKUP(A205,Database!$E:$AY,MATCH($D$1,Database!$E$1:$AY$1,0),FALSE)</f>
        <v>94.592119999999994</v>
      </c>
      <c r="E205" s="92">
        <f>VLOOKUP(A205,Database!$E:$AY,MATCH($E$1,Database!$E$1:$AY$1,0),FALSE)</f>
        <v>136.3391</v>
      </c>
      <c r="F205" s="92">
        <f>VLOOKUP(A205,Database!$E:$AY,MATCH($F$1,Database!$E$1:$AY$1,0),FALSE)</f>
        <v>106.0823</v>
      </c>
      <c r="G205" s="92">
        <f>VLOOKUP(A205,Database!$E:$AY,MATCH($G$1,Database!$E$1:$AY$1,0),FALSE)</f>
        <v>108.1848</v>
      </c>
      <c r="H205" s="92">
        <f>(((Table134567891011121314151617343[[#This Row],[ITA]]-VLOOKUP($U$1,A:B,2,))/VLOOKUP($U$1,A:B,2,))*100)+100</f>
        <v>106.41443080387432</v>
      </c>
      <c r="I205" s="92">
        <f>(((Table134567891011121314151617343[[#This Row],[FRA]]-VLOOKUP($U$1,A:C,3,))/VLOOKUP($U$1,A:C,3,))*100)+100</f>
        <v>109.52882445063261</v>
      </c>
      <c r="J205" s="92">
        <f>(((Table134567891011121314151617343[[#This Row],[DEU]]-VLOOKUP($U$1,A:D,4,))/VLOOKUP($U$1,A:D,4,))*100)+100</f>
        <v>125.79788235003105</v>
      </c>
      <c r="K205" s="92">
        <f>(((Table134567891011121314151617343[[#This Row],[ESP]]-VLOOKUP($U$1,A:E,5,))/VLOOKUP($U$1,A:E,5,))*100)+100</f>
        <v>114.81757830494315</v>
      </c>
      <c r="L205" s="92">
        <f>(((Table134567891011121314151617343[[#This Row],[EA19]]-VLOOKUP($U$1,A:F,6,))/VLOOKUP($U$1,A:F,6,))*100)+100</f>
        <v>118.6800708395471</v>
      </c>
      <c r="M205" s="92">
        <f>(((Table134567891011121314151617343[[#This Row],[GBR]]-VLOOKUP($U$1,A:G,7,))/VLOOKUP($U$1,A:G,7,))*100)+100</f>
        <v>101.26334884321726</v>
      </c>
      <c r="N205" s="92">
        <f>VLOOKUP(A205,Database!$E:$AY,MATCH($N$1,Database!$E$1:$AY$1,0),FALSE)</f>
        <v>98.960530000000006</v>
      </c>
      <c r="O205" s="92">
        <f>(((Table134567891011121314151617343[[#This Row],[USA]]-VLOOKUP($U$1,A:N,14,))/VLOOKUP($U$1,A:N,14,))*100)+100</f>
        <v>114.65600890548936</v>
      </c>
      <c r="P205" s="92">
        <f>VLOOKUP(A205,Database!$E:$AY,MATCH($P$1,Database!$E$1:$AY$1,0),FALSE)</f>
        <v>115.64409999999999</v>
      </c>
      <c r="Q205" s="92">
        <f>(((Table134567891011121314151617343[[#This Row],[JPN]]-VLOOKUP($U$1,A:Q,16,))/VLOOKUP($U$1,A:Q,16,))*100)+100</f>
        <v>116.10430262431198</v>
      </c>
    </row>
    <row r="206" spans="1:17" s="85" customFormat="1" x14ac:dyDescent="0.2">
      <c r="A206" s="22">
        <v>39083</v>
      </c>
      <c r="B206" s="92">
        <f>VLOOKUP(A206,Database!$E:$AY,MATCH($B$1,Database!$E$1:$AY$1,0),FALSE)</f>
        <v>128.1893</v>
      </c>
      <c r="C206" s="92">
        <f>VLOOKUP(A206,Database!$E:$AY,MATCH($C$1,Database!$E$1:$AY$1,0),FALSE)</f>
        <v>111.3009</v>
      </c>
      <c r="D206" s="92">
        <f>VLOOKUP(A206,Database!$E:$AY,MATCH($D$1,Database!$E$1:$AY$1,0),FALSE)</f>
        <v>95.092079999999996</v>
      </c>
      <c r="E206" s="92">
        <f>VLOOKUP(A206,Database!$E:$AY,MATCH($E$1,Database!$E$1:$AY$1,0),FALSE)</f>
        <v>134.5641</v>
      </c>
      <c r="F206" s="92">
        <f>VLOOKUP(A206,Database!$E:$AY,MATCH($F$1,Database!$E$1:$AY$1,0),FALSE)</f>
        <v>105.6824</v>
      </c>
      <c r="G206" s="92">
        <f>VLOOKUP(A206,Database!$E:$AY,MATCH($G$1,Database!$E$1:$AY$1,0),FALSE)</f>
        <v>109.7422</v>
      </c>
      <c r="H206" s="92">
        <f>(((Table134567891011121314151617343[[#This Row],[ITA]]-VLOOKUP($U$1,A:B,2,))/VLOOKUP($U$1,A:B,2,))*100)+100</f>
        <v>105.42758896914958</v>
      </c>
      <c r="I206" s="92">
        <f>(((Table134567891011121314151617343[[#This Row],[FRA]]-VLOOKUP($U$1,A:C,3,))/VLOOKUP($U$1,A:C,3,))*100)+100</f>
        <v>108.33163813048164</v>
      </c>
      <c r="J206" s="92">
        <f>(((Table134567891011121314151617343[[#This Row],[DEU]]-VLOOKUP($U$1,A:D,4,))/VLOOKUP($U$1,A:D,4,))*100)+100</f>
        <v>126.46277821302387</v>
      </c>
      <c r="K206" s="92">
        <f>(((Table134567891011121314151617343[[#This Row],[ESP]]-VLOOKUP($U$1,A:E,5,))/VLOOKUP($U$1,A:E,5,))*100)+100</f>
        <v>113.32276719432797</v>
      </c>
      <c r="L206" s="92">
        <f>(((Table134567891011121314151617343[[#This Row],[EA19]]-VLOOKUP($U$1,A:F,6,))/VLOOKUP($U$1,A:F,6,))*100)+100</f>
        <v>118.23268083830527</v>
      </c>
      <c r="M206" s="92">
        <f>(((Table134567891011121314151617343[[#This Row],[GBR]]-VLOOKUP($U$1,A:G,7,))/VLOOKUP($U$1,A:G,7,))*100)+100</f>
        <v>102.72110944811209</v>
      </c>
      <c r="N206" s="92">
        <f>VLOOKUP(A206,Database!$E:$AY,MATCH($N$1,Database!$E$1:$AY$1,0),FALSE)</f>
        <v>98.445790000000002</v>
      </c>
      <c r="O206" s="92">
        <f>(((Table134567891011121314151617343[[#This Row],[USA]]-VLOOKUP($U$1,A:N,14,))/VLOOKUP($U$1,A:N,14,))*100)+100</f>
        <v>114.05962937898508</v>
      </c>
      <c r="P206" s="92">
        <f>VLOOKUP(A206,Database!$E:$AY,MATCH($P$1,Database!$E$1:$AY$1,0),FALSE)</f>
        <v>114.4485</v>
      </c>
      <c r="Q206" s="92">
        <f>(((Table134567891011121314151617343[[#This Row],[JPN]]-VLOOKUP($U$1,A:Q,16,))/VLOOKUP($U$1,A:Q,16,))*100)+100</f>
        <v>114.90394476586847</v>
      </c>
    </row>
    <row r="207" spans="1:17" s="85" customFormat="1" x14ac:dyDescent="0.2">
      <c r="A207" s="22">
        <v>39114</v>
      </c>
      <c r="B207" s="92">
        <f>VLOOKUP(A207,Database!$E:$AY,MATCH($B$1,Database!$E$1:$AY$1,0),FALSE)</f>
        <v>128.98929999999999</v>
      </c>
      <c r="C207" s="92">
        <f>VLOOKUP(A207,Database!$E:$AY,MATCH($C$1,Database!$E$1:$AY$1,0),FALSE)</f>
        <v>112.3109</v>
      </c>
      <c r="D207" s="92">
        <f>VLOOKUP(A207,Database!$E:$AY,MATCH($D$1,Database!$E$1:$AY$1,0),FALSE)</f>
        <v>95.492040000000003</v>
      </c>
      <c r="E207" s="92">
        <f>VLOOKUP(A207,Database!$E:$AY,MATCH($E$1,Database!$E$1:$AY$1,0),FALSE)</f>
        <v>134.29810000000001</v>
      </c>
      <c r="F207" s="92">
        <f>VLOOKUP(A207,Database!$E:$AY,MATCH($F$1,Database!$E$1:$AY$1,0),FALSE)</f>
        <v>106.28230000000001</v>
      </c>
      <c r="G207" s="92">
        <f>VLOOKUP(A207,Database!$E:$AY,MATCH($G$1,Database!$E$1:$AY$1,0),FALSE)</f>
        <v>108.91160000000001</v>
      </c>
      <c r="H207" s="92">
        <f>(((Table134567891011121314151617343[[#This Row],[ITA]]-VLOOKUP($U$1,A:B,2,))/VLOOKUP($U$1,A:B,2,))*100)+100</f>
        <v>106.08553835474821</v>
      </c>
      <c r="I207" s="92">
        <f>(((Table134567891011121314151617343[[#This Row],[FRA]]-VLOOKUP($U$1,A:C,3,))/VLOOKUP($U$1,A:C,3,))*100)+100</f>
        <v>109.31469356410155</v>
      </c>
      <c r="J207" s="92">
        <f>(((Table134567891011121314151617343[[#This Row],[DEU]]-VLOOKUP($U$1,A:D,4,))/VLOOKUP($U$1,A:D,4,))*100)+100</f>
        <v>126.9946842642332</v>
      </c>
      <c r="K207" s="92">
        <f>(((Table134567891011121314151617343[[#This Row],[ESP]]-VLOOKUP($U$1,A:E,5,))/VLOOKUP($U$1,A:E,5,))*100)+100</f>
        <v>113.09875606451183</v>
      </c>
      <c r="L207" s="92">
        <f>(((Table134567891011121314151617343[[#This Row],[EA19]]-VLOOKUP($U$1,A:F,6,))/VLOOKUP($U$1,A:F,6,))*100)+100</f>
        <v>118.90382177790259</v>
      </c>
      <c r="M207" s="92">
        <f>(((Table134567891011121314151617343[[#This Row],[GBR]]-VLOOKUP($U$1,A:G,7,))/VLOOKUP($U$1,A:G,7,))*100)+100</f>
        <v>101.94364960579436</v>
      </c>
      <c r="N207" s="92">
        <f>VLOOKUP(A207,Database!$E:$AY,MATCH($N$1,Database!$E$1:$AY$1,0),FALSE)</f>
        <v>99.438100000000006</v>
      </c>
      <c r="O207" s="92">
        <f>(((Table134567891011121314151617343[[#This Row],[USA]]-VLOOKUP($U$1,A:N,14,))/VLOOKUP($U$1,A:N,14,))*100)+100</f>
        <v>115.20932314272106</v>
      </c>
      <c r="P207" s="92">
        <f>VLOOKUP(A207,Database!$E:$AY,MATCH($P$1,Database!$E$1:$AY$1,0),FALSE)</f>
        <v>115.1007</v>
      </c>
      <c r="Q207" s="92">
        <f>(((Table134567891011121314151617343[[#This Row],[JPN]]-VLOOKUP($U$1,A:Q,16,))/VLOOKUP($U$1,A:Q,16,))*100)+100</f>
        <v>115.5587401784453</v>
      </c>
    </row>
    <row r="208" spans="1:17" s="85" customFormat="1" x14ac:dyDescent="0.2">
      <c r="A208" s="22">
        <v>39142</v>
      </c>
      <c r="B208" s="92">
        <f>VLOOKUP(A208,Database!$E:$AY,MATCH($B$1,Database!$E$1:$AY$1,0),FALSE)</f>
        <v>129.78919999999999</v>
      </c>
      <c r="C208" s="92">
        <f>VLOOKUP(A208,Database!$E:$AY,MATCH($C$1,Database!$E$1:$AY$1,0),FALSE)</f>
        <v>113.15089999999999</v>
      </c>
      <c r="D208" s="92">
        <f>VLOOKUP(A208,Database!$E:$AY,MATCH($D$1,Database!$E$1:$AY$1,0),FALSE)</f>
        <v>95.992000000000004</v>
      </c>
      <c r="E208" s="92">
        <f>VLOOKUP(A208,Database!$E:$AY,MATCH($E$1,Database!$E$1:$AY$1,0),FALSE)</f>
        <v>136.3381</v>
      </c>
      <c r="F208" s="92">
        <f>VLOOKUP(A208,Database!$E:$AY,MATCH($F$1,Database!$E$1:$AY$1,0),FALSE)</f>
        <v>106.7822</v>
      </c>
      <c r="G208" s="92">
        <f>VLOOKUP(A208,Database!$E:$AY,MATCH($G$1,Database!$E$1:$AY$1,0),FALSE)</f>
        <v>108.91160000000001</v>
      </c>
      <c r="H208" s="92">
        <f>(((Table134567891011121314151617343[[#This Row],[ITA]]-VLOOKUP($U$1,A:B,2,))/VLOOKUP($U$1,A:B,2,))*100)+100</f>
        <v>106.74340549667365</v>
      </c>
      <c r="I208" s="92">
        <f>(((Table134567891011121314151617343[[#This Row],[FRA]]-VLOOKUP($U$1,A:C,3,))/VLOOKUP($U$1,A:C,3,))*100)+100</f>
        <v>110.13228422176562</v>
      </c>
      <c r="J208" s="92">
        <f>(((Table134567891011121314151617343[[#This Row],[DEU]]-VLOOKUP($U$1,A:D,4,))/VLOOKUP($U$1,A:D,4,))*100)+100</f>
        <v>127.65958012722604</v>
      </c>
      <c r="K208" s="92">
        <f>(((Table134567891011121314151617343[[#This Row],[ESP]]-VLOOKUP($U$1,A:E,5,))/VLOOKUP($U$1,A:E,5,))*100)+100</f>
        <v>114.81673615783858</v>
      </c>
      <c r="L208" s="92">
        <f>(((Table134567891011121314151617343[[#This Row],[EA19]]-VLOOKUP($U$1,A:F,6,))/VLOOKUP($U$1,A:F,6,))*100)+100</f>
        <v>119.46308724832215</v>
      </c>
      <c r="M208" s="92">
        <f>(((Table134567891011121314151617343[[#This Row],[GBR]]-VLOOKUP($U$1,A:G,7,))/VLOOKUP($U$1,A:G,7,))*100)+100</f>
        <v>101.94364960579436</v>
      </c>
      <c r="N208" s="92">
        <f>VLOOKUP(A208,Database!$E:$AY,MATCH($N$1,Database!$E$1:$AY$1,0),FALSE)</f>
        <v>99.654880000000006</v>
      </c>
      <c r="O208" s="92">
        <f>(((Table134567891011121314151617343[[#This Row],[USA]]-VLOOKUP($U$1,A:N,14,))/VLOOKUP($U$1,A:N,14,))*100)+100</f>
        <v>115.46048519299032</v>
      </c>
      <c r="P208" s="92">
        <f>VLOOKUP(A208,Database!$E:$AY,MATCH($P$1,Database!$E$1:$AY$1,0),FALSE)</f>
        <v>115.1007</v>
      </c>
      <c r="Q208" s="92">
        <f>(((Table134567891011121314151617343[[#This Row],[JPN]]-VLOOKUP($U$1,A:Q,16,))/VLOOKUP($U$1,A:Q,16,))*100)+100</f>
        <v>115.5587401784453</v>
      </c>
    </row>
    <row r="209" spans="1:17" s="85" customFormat="1" x14ac:dyDescent="0.2">
      <c r="A209" s="22">
        <v>39173</v>
      </c>
      <c r="B209" s="92">
        <f>VLOOKUP(A209,Database!$E:$AY,MATCH($B$1,Database!$E$1:$AY$1,0),FALSE)</f>
        <v>127.4894</v>
      </c>
      <c r="C209" s="92">
        <f>VLOOKUP(A209,Database!$E:$AY,MATCH($C$1,Database!$E$1:$AY$1,0),FALSE)</f>
        <v>111.2709</v>
      </c>
      <c r="D209" s="92">
        <f>VLOOKUP(A209,Database!$E:$AY,MATCH($D$1,Database!$E$1:$AY$1,0),FALSE)</f>
        <v>95.092079999999996</v>
      </c>
      <c r="E209" s="92">
        <f>VLOOKUP(A209,Database!$E:$AY,MATCH($E$1,Database!$E$1:$AY$1,0),FALSE)</f>
        <v>132.6131</v>
      </c>
      <c r="F209" s="92">
        <f>VLOOKUP(A209,Database!$E:$AY,MATCH($F$1,Database!$E$1:$AY$1,0),FALSE)</f>
        <v>105.4824</v>
      </c>
      <c r="G209" s="92">
        <f>VLOOKUP(A209,Database!$E:$AY,MATCH($G$1,Database!$E$1:$AY$1,0),FALSE)</f>
        <v>108.6001</v>
      </c>
      <c r="H209" s="92">
        <f>(((Table134567891011121314151617343[[#This Row],[ITA]]-VLOOKUP($U$1,A:B,2,))/VLOOKUP($U$1,A:B,2,))*100)+100</f>
        <v>104.85196550042397</v>
      </c>
      <c r="I209" s="92">
        <f>(((Table134567891011121314151617343[[#This Row],[FRA]]-VLOOKUP($U$1,A:C,3,))/VLOOKUP($U$1,A:C,3,))*100)+100</f>
        <v>108.30243846413649</v>
      </c>
      <c r="J209" s="92">
        <f>(((Table134567891011121314151617343[[#This Row],[DEU]]-VLOOKUP($U$1,A:D,4,))/VLOOKUP($U$1,A:D,4,))*100)+100</f>
        <v>126.46277821302387</v>
      </c>
      <c r="K209" s="92">
        <f>(((Table134567891011121314151617343[[#This Row],[ESP]]-VLOOKUP($U$1,A:E,5,))/VLOOKUP($U$1,A:E,5,))*100)+100</f>
        <v>111.67973819330813</v>
      </c>
      <c r="L209" s="92">
        <f>(((Table134567891011121314151617343[[#This Row],[EA19]]-VLOOKUP($U$1,A:F,6,))/VLOOKUP($U$1,A:F,6,))*100)+100</f>
        <v>118.00892989994978</v>
      </c>
      <c r="M209" s="92">
        <f>(((Table134567891011121314151617343[[#This Row],[GBR]]-VLOOKUP($U$1,A:G,7,))/VLOOKUP($U$1,A:G,7,))*100)+100</f>
        <v>101.65207876437613</v>
      </c>
      <c r="N209" s="92">
        <f>VLOOKUP(A209,Database!$E:$AY,MATCH($N$1,Database!$E$1:$AY$1,0),FALSE)</f>
        <v>100.3554</v>
      </c>
      <c r="O209" s="92">
        <f>(((Table134567891011121314151617343[[#This Row],[USA]]-VLOOKUP($U$1,A:N,14,))/VLOOKUP($U$1,A:N,14,))*100)+100</f>
        <v>116.27211006361776</v>
      </c>
      <c r="P209" s="92">
        <f>VLOOKUP(A209,Database!$E:$AY,MATCH($P$1,Database!$E$1:$AY$1,0),FALSE)</f>
        <v>114.77460000000001</v>
      </c>
      <c r="Q209" s="92">
        <f>(((Table134567891011121314151617343[[#This Row],[JPN]]-VLOOKUP($U$1,A:Q,16,))/VLOOKUP($U$1,A:Q,16,))*100)+100</f>
        <v>115.2313424721569</v>
      </c>
    </row>
    <row r="210" spans="1:17" s="85" customFormat="1" x14ac:dyDescent="0.2">
      <c r="A210" s="22">
        <v>39203</v>
      </c>
      <c r="B210" s="92">
        <f>VLOOKUP(A210,Database!$E:$AY,MATCH($B$1,Database!$E$1:$AY$1,0),FALSE)</f>
        <v>130.1891</v>
      </c>
      <c r="C210" s="92">
        <f>VLOOKUP(A210,Database!$E:$AY,MATCH($C$1,Database!$E$1:$AY$1,0),FALSE)</f>
        <v>113.9409</v>
      </c>
      <c r="D210" s="92">
        <f>VLOOKUP(A210,Database!$E:$AY,MATCH($D$1,Database!$E$1:$AY$1,0),FALSE)</f>
        <v>96.791929999999994</v>
      </c>
      <c r="E210" s="92">
        <f>VLOOKUP(A210,Database!$E:$AY,MATCH($E$1,Database!$E$1:$AY$1,0),FALSE)</f>
        <v>136.46010000000001</v>
      </c>
      <c r="F210" s="92">
        <f>VLOOKUP(A210,Database!$E:$AY,MATCH($F$1,Database!$E$1:$AY$1,0),FALSE)</f>
        <v>107.38209999999999</v>
      </c>
      <c r="G210" s="92">
        <f>VLOOKUP(A210,Database!$E:$AY,MATCH($G$1,Database!$E$1:$AY$1,0),FALSE)</f>
        <v>110.3651</v>
      </c>
      <c r="H210" s="92">
        <f>(((Table134567891011121314151617343[[#This Row],[ITA]]-VLOOKUP($U$1,A:B,2,))/VLOOKUP($U$1,A:B,2,))*100)+100</f>
        <v>107.07229794579978</v>
      </c>
      <c r="I210" s="92">
        <f>(((Table134567891011121314151617343[[#This Row],[FRA]]-VLOOKUP($U$1,A:C,3,))/VLOOKUP($U$1,A:C,3,))*100)+100</f>
        <v>110.90120876885447</v>
      </c>
      <c r="J210" s="92">
        <f>(((Table134567891011121314151617343[[#This Row],[DEU]]-VLOOKUP($U$1,A:D,4,))/VLOOKUP($U$1,A:D,4,))*100)+100</f>
        <v>128.72340552862585</v>
      </c>
      <c r="K210" s="92">
        <f>(((Table134567891011121314151617343[[#This Row],[ESP]]-VLOOKUP($U$1,A:E,5,))/VLOOKUP($U$1,A:E,5,))*100)+100</f>
        <v>114.91947810459637</v>
      </c>
      <c r="L210" s="92">
        <f>(((Table134567891011121314151617343[[#This Row],[EA19]]-VLOOKUP($U$1,A:F,6,))/VLOOKUP($U$1,A:F,6,))*100)+100</f>
        <v>120.13422818791946</v>
      </c>
      <c r="M210" s="92">
        <f>(((Table134567891011121314151617343[[#This Row],[GBR]]-VLOOKUP($U$1,A:G,7,))/VLOOKUP($U$1,A:G,7,))*100)+100</f>
        <v>103.30415752875226</v>
      </c>
      <c r="N210" s="92">
        <f>VLOOKUP(A210,Database!$E:$AY,MATCH($N$1,Database!$E$1:$AY$1,0),FALSE)</f>
        <v>100.4042</v>
      </c>
      <c r="O210" s="92">
        <f>(((Table134567891011121314151617343[[#This Row],[USA]]-VLOOKUP($U$1,A:N,14,))/VLOOKUP($U$1,A:N,14,))*100)+100</f>
        <v>116.32864991071223</v>
      </c>
      <c r="P210" s="92">
        <f>VLOOKUP(A210,Database!$E:$AY,MATCH($P$1,Database!$E$1:$AY$1,0),FALSE)</f>
        <v>116.0788</v>
      </c>
      <c r="Q210" s="92">
        <f>(((Table134567891011121314151617343[[#This Row],[JPN]]-VLOOKUP($U$1,A:Q,16,))/VLOOKUP($U$1,A:Q,16,))*100)+100</f>
        <v>116.54073250141587</v>
      </c>
    </row>
    <row r="211" spans="1:17" s="85" customFormat="1" x14ac:dyDescent="0.2">
      <c r="A211" s="22">
        <v>39234</v>
      </c>
      <c r="B211" s="92">
        <f>VLOOKUP(A211,Database!$E:$AY,MATCH($B$1,Database!$E$1:$AY$1,0),FALSE)</f>
        <v>129.38919999999999</v>
      </c>
      <c r="C211" s="92">
        <f>VLOOKUP(A211,Database!$E:$AY,MATCH($C$1,Database!$E$1:$AY$1,0),FALSE)</f>
        <v>113.51090000000001</v>
      </c>
      <c r="D211" s="92">
        <f>VLOOKUP(A211,Database!$E:$AY,MATCH($D$1,Database!$E$1:$AY$1,0),FALSE)</f>
        <v>96.691940000000002</v>
      </c>
      <c r="E211" s="92">
        <f>VLOOKUP(A211,Database!$E:$AY,MATCH($E$1,Database!$E$1:$AY$1,0),FALSE)</f>
        <v>136.74709999999999</v>
      </c>
      <c r="F211" s="92">
        <f>VLOOKUP(A211,Database!$E:$AY,MATCH($F$1,Database!$E$1:$AY$1,0),FALSE)</f>
        <v>107.38209999999999</v>
      </c>
      <c r="G211" s="92">
        <f>VLOOKUP(A211,Database!$E:$AY,MATCH($G$1,Database!$E$1:$AY$1,0),FALSE)</f>
        <v>109.223</v>
      </c>
      <c r="H211" s="92">
        <f>(((Table134567891011121314151617343[[#This Row],[ITA]]-VLOOKUP($U$1,A:B,2,))/VLOOKUP($U$1,A:B,2,))*100)+100</f>
        <v>106.41443080387432</v>
      </c>
      <c r="I211" s="92">
        <f>(((Table134567891011121314151617343[[#This Row],[FRA]]-VLOOKUP($U$1,A:C,3,))/VLOOKUP($U$1,A:C,3,))*100)+100</f>
        <v>110.48268021790739</v>
      </c>
      <c r="J211" s="92">
        <f>(((Table134567891011121314151617343[[#This Row],[DEU]]-VLOOKUP($U$1,A:D,4,))/VLOOKUP($U$1,A:D,4,))*100)+100</f>
        <v>128.59042901582353</v>
      </c>
      <c r="K211" s="92">
        <f>(((Table134567891011121314151617343[[#This Row],[ESP]]-VLOOKUP($U$1,A:E,5,))/VLOOKUP($U$1,A:E,5,))*100)+100</f>
        <v>115.16117432360849</v>
      </c>
      <c r="L211" s="92">
        <f>(((Table134567891011121314151617343[[#This Row],[EA19]]-VLOOKUP($U$1,A:F,6,))/VLOOKUP($U$1,A:F,6,))*100)+100</f>
        <v>120.13422818791946</v>
      </c>
      <c r="M211" s="92">
        <f>(((Table134567891011121314151617343[[#This Row],[GBR]]-VLOOKUP($U$1,A:G,7,))/VLOOKUP($U$1,A:G,7,))*100)+100</f>
        <v>102.2351268450163</v>
      </c>
      <c r="N211" s="92">
        <f>VLOOKUP(A211,Database!$E:$AY,MATCH($N$1,Database!$E$1:$AY$1,0),FALSE)</f>
        <v>100.4325</v>
      </c>
      <c r="O211" s="92">
        <f>(((Table134567891011121314151617343[[#This Row],[USA]]-VLOOKUP($U$1,A:N,14,))/VLOOKUP($U$1,A:N,14,))*100)+100</f>
        <v>116.36143838761333</v>
      </c>
      <c r="P211" s="92">
        <f>VLOOKUP(A211,Database!$E:$AY,MATCH($P$1,Database!$E$1:$AY$1,0),FALSE)</f>
        <v>116.0788</v>
      </c>
      <c r="Q211" s="92">
        <f>(((Table134567891011121314151617343[[#This Row],[JPN]]-VLOOKUP($U$1,A:Q,16,))/VLOOKUP($U$1,A:Q,16,))*100)+100</f>
        <v>116.54073250141587</v>
      </c>
    </row>
    <row r="212" spans="1:17" s="85" customFormat="1" x14ac:dyDescent="0.2">
      <c r="A212" s="22">
        <v>39264</v>
      </c>
      <c r="B212" s="92">
        <f>VLOOKUP(A212,Database!$E:$AY,MATCH($B$1,Database!$E$1:$AY$1,0),FALSE)</f>
        <v>128.58930000000001</v>
      </c>
      <c r="C212" s="92">
        <f>VLOOKUP(A212,Database!$E:$AY,MATCH($C$1,Database!$E$1:$AY$1,0),FALSE)</f>
        <v>113.6609</v>
      </c>
      <c r="D212" s="92">
        <f>VLOOKUP(A212,Database!$E:$AY,MATCH($D$1,Database!$E$1:$AY$1,0),FALSE)</f>
        <v>97.39188</v>
      </c>
      <c r="E212" s="92">
        <f>VLOOKUP(A212,Database!$E:$AY,MATCH($E$1,Database!$E$1:$AY$1,0),FALSE)</f>
        <v>133.20509999999999</v>
      </c>
      <c r="F212" s="92">
        <f>VLOOKUP(A212,Database!$E:$AY,MATCH($F$1,Database!$E$1:$AY$1,0),FALSE)</f>
        <v>107.5821</v>
      </c>
      <c r="G212" s="92">
        <f>VLOOKUP(A212,Database!$E:$AY,MATCH($G$1,Database!$E$1:$AY$1,0),FALSE)</f>
        <v>108.91160000000001</v>
      </c>
      <c r="H212" s="92">
        <f>(((Table134567891011121314151617343[[#This Row],[ITA]]-VLOOKUP($U$1,A:B,2,))/VLOOKUP($U$1,A:B,2,))*100)+100</f>
        <v>105.7565636619489</v>
      </c>
      <c r="I212" s="92">
        <f>(((Table134567891011121314151617343[[#This Row],[FRA]]-VLOOKUP($U$1,A:C,3,))/VLOOKUP($U$1,A:C,3,))*100)+100</f>
        <v>110.62867854963311</v>
      </c>
      <c r="J212" s="92">
        <f>(((Table134567891011121314151617343[[#This Row],[DEU]]-VLOOKUP($U$1,A:D,4,))/VLOOKUP($U$1,A:D,4,))*100)+100</f>
        <v>129.52127790442103</v>
      </c>
      <c r="K212" s="92">
        <f>(((Table134567891011121314151617343[[#This Row],[ESP]]-VLOOKUP($U$1,A:E,5,))/VLOOKUP($U$1,A:E,5,))*100)+100</f>
        <v>112.1782892792147</v>
      </c>
      <c r="L212" s="92">
        <f>(((Table134567891011121314151617343[[#This Row],[EA19]]-VLOOKUP($U$1,A:F,6,))/VLOOKUP($U$1,A:F,6,))*100)+100</f>
        <v>120.35797912627497</v>
      </c>
      <c r="M212" s="92">
        <f>(((Table134567891011121314151617343[[#This Row],[GBR]]-VLOOKUP($U$1,A:G,7,))/VLOOKUP($U$1,A:G,7,))*100)+100</f>
        <v>101.94364960579436</v>
      </c>
      <c r="N212" s="92">
        <f>VLOOKUP(A212,Database!$E:$AY,MATCH($N$1,Database!$E$1:$AY$1,0),FALSE)</f>
        <v>100.3951</v>
      </c>
      <c r="O212" s="92">
        <f>(((Table134567891011121314151617343[[#This Row],[USA]]-VLOOKUP($U$1,A:N,14,))/VLOOKUP($U$1,A:N,14,))*100)+100</f>
        <v>116.31810661955321</v>
      </c>
      <c r="P212" s="92">
        <f>VLOOKUP(A212,Database!$E:$AY,MATCH($P$1,Database!$E$1:$AY$1,0),FALSE)</f>
        <v>116.1875</v>
      </c>
      <c r="Q212" s="92">
        <f>(((Table134567891011121314151617343[[#This Row],[JPN]]-VLOOKUP($U$1,A:Q,16,))/VLOOKUP($U$1,A:Q,16,))*100)+100</f>
        <v>116.64986507017868</v>
      </c>
    </row>
    <row r="213" spans="1:17" s="85" customFormat="1" x14ac:dyDescent="0.2">
      <c r="A213" s="22">
        <v>39295</v>
      </c>
      <c r="B213" s="92">
        <f>VLOOKUP(A213,Database!$E:$AY,MATCH($B$1,Database!$E$1:$AY$1,0),FALSE)</f>
        <v>133.28890000000001</v>
      </c>
      <c r="C213" s="92">
        <f>VLOOKUP(A213,Database!$E:$AY,MATCH($C$1,Database!$E$1:$AY$1,0),FALSE)</f>
        <v>114.351</v>
      </c>
      <c r="D213" s="92">
        <f>VLOOKUP(A213,Database!$E:$AY,MATCH($D$1,Database!$E$1:$AY$1,0),FALSE)</f>
        <v>97.691860000000005</v>
      </c>
      <c r="E213" s="92">
        <f>VLOOKUP(A213,Database!$E:$AY,MATCH($E$1,Database!$E$1:$AY$1,0),FALSE)</f>
        <v>133.7551</v>
      </c>
      <c r="F213" s="92">
        <f>VLOOKUP(A213,Database!$E:$AY,MATCH($F$1,Database!$E$1:$AY$1,0),FALSE)</f>
        <v>108.282</v>
      </c>
      <c r="G213" s="92">
        <f>VLOOKUP(A213,Database!$E:$AY,MATCH($G$1,Database!$E$1:$AY$1,0),FALSE)</f>
        <v>109.7422</v>
      </c>
      <c r="H213" s="92">
        <f>(((Table134567891011121314151617343[[#This Row],[ITA]]-VLOOKUP($U$1,A:B,2,))/VLOOKUP($U$1,A:B,2,))*100)+100</f>
        <v>109.62168732764812</v>
      </c>
      <c r="I213" s="92">
        <f>(((Table134567891011121314151617343[[#This Row],[FRA]]-VLOOKUP($U$1,A:C,3,))/VLOOKUP($U$1,A:C,3,))*100)+100</f>
        <v>111.30036820779262</v>
      </c>
      <c r="J213" s="92">
        <f>(((Table134567891011121314151617343[[#This Row],[DEU]]-VLOOKUP($U$1,A:D,4,))/VLOOKUP($U$1,A:D,4,))*100)+100</f>
        <v>129.9202207418092</v>
      </c>
      <c r="K213" s="92">
        <f>(((Table134567891011121314151617343[[#This Row],[ESP]]-VLOOKUP($U$1,A:E,5,))/VLOOKUP($U$1,A:E,5,))*100)+100</f>
        <v>112.64147018672926</v>
      </c>
      <c r="L213" s="92">
        <f>(((Table134567891011121314151617343[[#This Row],[EA19]]-VLOOKUP($U$1,A:F,6,))/VLOOKUP($U$1,A:F,6,))*100)+100</f>
        <v>121.14099553505002</v>
      </c>
      <c r="M213" s="92">
        <f>(((Table134567891011121314151617343[[#This Row],[GBR]]-VLOOKUP($U$1,A:G,7,))/VLOOKUP($U$1,A:G,7,))*100)+100</f>
        <v>102.72110944811209</v>
      </c>
      <c r="N213" s="92">
        <f>VLOOKUP(A213,Database!$E:$AY,MATCH($N$1,Database!$E$1:$AY$1,0),FALSE)</f>
        <v>100.61879999999999</v>
      </c>
      <c r="O213" s="92">
        <f>(((Table134567891011121314151617343[[#This Row],[USA]]-VLOOKUP($U$1,A:N,14,))/VLOOKUP($U$1,A:N,14,))*100)+100</f>
        <v>116.577286205517</v>
      </c>
      <c r="P213" s="92">
        <f>VLOOKUP(A213,Database!$E:$AY,MATCH($P$1,Database!$E$1:$AY$1,0),FALSE)</f>
        <v>119.1221</v>
      </c>
      <c r="Q213" s="92">
        <f>(((Table134567891011121314151617343[[#This Row],[JPN]]-VLOOKUP($U$1,A:Q,16,))/VLOOKUP($U$1,A:Q,16,))*100)+100</f>
        <v>119.59614323293238</v>
      </c>
    </row>
    <row r="214" spans="1:17" s="85" customFormat="1" x14ac:dyDescent="0.2">
      <c r="A214" s="22">
        <v>39326</v>
      </c>
      <c r="B214" s="92">
        <f>VLOOKUP(A214,Database!$E:$AY,MATCH($B$1,Database!$E$1:$AY$1,0),FALSE)</f>
        <v>129.78919999999999</v>
      </c>
      <c r="C214" s="92">
        <f>VLOOKUP(A214,Database!$E:$AY,MATCH($C$1,Database!$E$1:$AY$1,0),FALSE)</f>
        <v>111.7209</v>
      </c>
      <c r="D214" s="92">
        <f>VLOOKUP(A214,Database!$E:$AY,MATCH($D$1,Database!$E$1:$AY$1,0),FALSE)</f>
        <v>98.691770000000005</v>
      </c>
      <c r="E214" s="92">
        <f>VLOOKUP(A214,Database!$E:$AY,MATCH($E$1,Database!$E$1:$AY$1,0),FALSE)</f>
        <v>134.3931</v>
      </c>
      <c r="F214" s="92">
        <f>VLOOKUP(A214,Database!$E:$AY,MATCH($F$1,Database!$E$1:$AY$1,0),FALSE)</f>
        <v>107.782</v>
      </c>
      <c r="G214" s="92">
        <f>VLOOKUP(A214,Database!$E:$AY,MATCH($G$1,Database!$E$1:$AY$1,0),FALSE)</f>
        <v>108.6001</v>
      </c>
      <c r="H214" s="92">
        <f>(((Table134567891011121314151617343[[#This Row],[ITA]]-VLOOKUP($U$1,A:B,2,))/VLOOKUP($U$1,A:B,2,))*100)+100</f>
        <v>106.74340549667365</v>
      </c>
      <c r="I214" s="92">
        <f>(((Table134567891011121314151617343[[#This Row],[FRA]]-VLOOKUP($U$1,A:C,3,))/VLOOKUP($U$1,A:C,3,))*100)+100</f>
        <v>108.74043345931368</v>
      </c>
      <c r="J214" s="92">
        <f>(((Table134567891011121314151617343[[#This Row],[DEU]]-VLOOKUP($U$1,A:D,4,))/VLOOKUP($U$1,A:D,4,))*100)+100</f>
        <v>131.24999916881367</v>
      </c>
      <c r="K214" s="92">
        <f>(((Table134567891011121314151617343[[#This Row],[ESP]]-VLOOKUP($U$1,A:E,5,))/VLOOKUP($U$1,A:E,5,))*100)+100</f>
        <v>113.17876003944617</v>
      </c>
      <c r="L214" s="92">
        <f>(((Table134567891011121314151617343[[#This Row],[EA19]]-VLOOKUP($U$1,A:F,6,))/VLOOKUP($U$1,A:F,6,))*100)+100</f>
        <v>120.58161818916129</v>
      </c>
      <c r="M214" s="92">
        <f>(((Table134567891011121314151617343[[#This Row],[GBR]]-VLOOKUP($U$1,A:G,7,))/VLOOKUP($U$1,A:G,7,))*100)+100</f>
        <v>101.65207876437613</v>
      </c>
      <c r="N214" s="92">
        <f>VLOOKUP(A214,Database!$E:$AY,MATCH($N$1,Database!$E$1:$AY$1,0),FALSE)</f>
        <v>101.0082</v>
      </c>
      <c r="O214" s="92">
        <f>(((Table134567891011121314151617343[[#This Row],[USA]]-VLOOKUP($U$1,A:N,14,))/VLOOKUP($U$1,A:N,14,))*100)+100</f>
        <v>117.02844637884871</v>
      </c>
      <c r="P214" s="92">
        <f>VLOOKUP(A214,Database!$E:$AY,MATCH($P$1,Database!$E$1:$AY$1,0),FALSE)</f>
        <v>117.3831</v>
      </c>
      <c r="Q214" s="92">
        <f>(((Table134567891011121314151617343[[#This Row],[JPN]]-VLOOKUP($U$1,A:Q,16,))/VLOOKUP($U$1,A:Q,16,))*100)+100</f>
        <v>117.85022292862219</v>
      </c>
    </row>
    <row r="215" spans="1:17" s="85" customFormat="1" x14ac:dyDescent="0.2">
      <c r="A215" s="22">
        <v>39356</v>
      </c>
      <c r="B215" s="92">
        <f>VLOOKUP(A215,Database!$E:$AY,MATCH($B$1,Database!$E$1:$AY$1,0),FALSE)</f>
        <v>128.48929999999999</v>
      </c>
      <c r="C215" s="92">
        <f>VLOOKUP(A215,Database!$E:$AY,MATCH($C$1,Database!$E$1:$AY$1,0),FALSE)</f>
        <v>114.251</v>
      </c>
      <c r="D215" s="92">
        <f>VLOOKUP(A215,Database!$E:$AY,MATCH($D$1,Database!$E$1:$AY$1,0),FALSE)</f>
        <v>98.79177</v>
      </c>
      <c r="E215" s="92">
        <f>VLOOKUP(A215,Database!$E:$AY,MATCH($E$1,Database!$E$1:$AY$1,0),FALSE)</f>
        <v>134.09010000000001</v>
      </c>
      <c r="F215" s="92">
        <f>VLOOKUP(A215,Database!$E:$AY,MATCH($F$1,Database!$E$1:$AY$1,0),FALSE)</f>
        <v>108.6819</v>
      </c>
      <c r="G215" s="92">
        <f>VLOOKUP(A215,Database!$E:$AY,MATCH($G$1,Database!$E$1:$AY$1,0),FALSE)</f>
        <v>109.0154</v>
      </c>
      <c r="H215" s="92">
        <f>(((Table134567891011121314151617343[[#This Row],[ITA]]-VLOOKUP($U$1,A:B,2,))/VLOOKUP($U$1,A:B,2,))*100)+100</f>
        <v>105.67431998874905</v>
      </c>
      <c r="I215" s="92">
        <f>(((Table134567891011121314151617343[[#This Row],[FRA]]-VLOOKUP($U$1,A:C,3,))/VLOOKUP($U$1,A:C,3,))*100)+100</f>
        <v>111.20303598664213</v>
      </c>
      <c r="J215" s="92">
        <f>(((Table134567891011121314151617343[[#This Row],[DEU]]-VLOOKUP($U$1,A:D,4,))/VLOOKUP($U$1,A:D,4,))*100)+100</f>
        <v>131.38298898059719</v>
      </c>
      <c r="K215" s="92">
        <f>(((Table134567891011121314151617343[[#This Row],[ESP]]-VLOOKUP($U$1,A:E,5,))/VLOOKUP($U$1,A:E,5,))*100)+100</f>
        <v>112.92358946676087</v>
      </c>
      <c r="L215" s="92">
        <f>(((Table134567891011121314151617343[[#This Row],[EA19]]-VLOOKUP($U$1,A:F,6,))/VLOOKUP($U$1,A:F,6,))*100)+100</f>
        <v>121.58838553629185</v>
      </c>
      <c r="M215" s="92">
        <f>(((Table134567891011121314151617343[[#This Row],[GBR]]-VLOOKUP($U$1,A:G,7,))/VLOOKUP($U$1,A:G,7,))*100)+100</f>
        <v>102.040808685535</v>
      </c>
      <c r="N215" s="92">
        <f>VLOOKUP(A215,Database!$E:$AY,MATCH($N$1,Database!$E$1:$AY$1,0),FALSE)</f>
        <v>100.5818</v>
      </c>
      <c r="O215" s="92">
        <f>(((Table134567891011121314151617343[[#This Row],[USA]]-VLOOKUP($U$1,A:N,14,))/VLOOKUP($U$1,A:N,14,))*100)+100</f>
        <v>116.53441787882653</v>
      </c>
      <c r="P215" s="92">
        <f>VLOOKUP(A215,Database!$E:$AY,MATCH($P$1,Database!$E$1:$AY$1,0),FALSE)</f>
        <v>118.90470000000001</v>
      </c>
      <c r="Q215" s="92">
        <f>(((Table134567891011121314151617343[[#This Row],[JPN]]-VLOOKUP($U$1,A:Q,16,))/VLOOKUP($U$1,A:Q,16,))*100)+100</f>
        <v>119.37787809540677</v>
      </c>
    </row>
    <row r="216" spans="1:17" s="85" customFormat="1" x14ac:dyDescent="0.2">
      <c r="A216" s="22">
        <v>39387</v>
      </c>
      <c r="B216" s="92">
        <f>VLOOKUP(A216,Database!$E:$AY,MATCH($B$1,Database!$E$1:$AY$1,0),FALSE)</f>
        <v>127.18940000000001</v>
      </c>
      <c r="C216" s="92">
        <f>VLOOKUP(A216,Database!$E:$AY,MATCH($C$1,Database!$E$1:$AY$1,0),FALSE)</f>
        <v>112.2709</v>
      </c>
      <c r="D216" s="92">
        <f>VLOOKUP(A216,Database!$E:$AY,MATCH($D$1,Database!$E$1:$AY$1,0),FALSE)</f>
        <v>98.59178</v>
      </c>
      <c r="E216" s="92">
        <f>VLOOKUP(A216,Database!$E:$AY,MATCH($E$1,Database!$E$1:$AY$1,0),FALSE)</f>
        <v>132.7321</v>
      </c>
      <c r="F216" s="92">
        <f>VLOOKUP(A216,Database!$E:$AY,MATCH($F$1,Database!$E$1:$AY$1,0),FALSE)</f>
        <v>107.982</v>
      </c>
      <c r="G216" s="92">
        <f>VLOOKUP(A216,Database!$E:$AY,MATCH($G$1,Database!$E$1:$AY$1,0),FALSE)</f>
        <v>109.53449999999999</v>
      </c>
      <c r="H216" s="92">
        <f>(((Table134567891011121314151617343[[#This Row],[ITA]]-VLOOKUP($U$1,A:B,2,))/VLOOKUP($U$1,A:B,2,))*100)+100</f>
        <v>104.60523448082448</v>
      </c>
      <c r="I216" s="92">
        <f>(((Table134567891011121314151617343[[#This Row],[FRA]]-VLOOKUP($U$1,A:C,3,))/VLOOKUP($U$1,A:C,3,))*100)+100</f>
        <v>109.27576067564135</v>
      </c>
      <c r="J216" s="92">
        <f>(((Table134567891011121314151617343[[#This Row],[DEU]]-VLOOKUP($U$1,A:D,4,))/VLOOKUP($U$1,A:D,4,))*100)+100</f>
        <v>131.11702265601133</v>
      </c>
      <c r="K216" s="92">
        <f>(((Table134567891011121314151617343[[#This Row],[ESP]]-VLOOKUP($U$1,A:E,5,))/VLOOKUP($U$1,A:E,5,))*100)+100</f>
        <v>111.77995369875219</v>
      </c>
      <c r="L216" s="92">
        <f>(((Table134567891011121314151617343[[#This Row],[EA19]]-VLOOKUP($U$1,A:F,6,))/VLOOKUP($U$1,A:F,6,))*100)+100</f>
        <v>120.80536912751678</v>
      </c>
      <c r="M216" s="92">
        <f>(((Table134567891011121314151617343[[#This Row],[GBR]]-VLOOKUP($U$1,A:G,7,))/VLOOKUP($U$1,A:G,7,))*100)+100</f>
        <v>102.52669768643452</v>
      </c>
      <c r="N216" s="92">
        <f>VLOOKUP(A216,Database!$E:$AY,MATCH($N$1,Database!$E$1:$AY$1,0),FALSE)</f>
        <v>101.1741</v>
      </c>
      <c r="O216" s="92">
        <f>(((Table134567891011121314151617343[[#This Row],[USA]]-VLOOKUP($U$1,A:N,14,))/VLOOKUP($U$1,A:N,14,))*100)+100</f>
        <v>117.22065868690143</v>
      </c>
      <c r="P216" s="92">
        <f>VLOOKUP(A216,Database!$E:$AY,MATCH($P$1,Database!$E$1:$AY$1,0),FALSE)</f>
        <v>117.7092</v>
      </c>
      <c r="Q216" s="92">
        <f>(((Table134567891011121314151617343[[#This Row],[JPN]]-VLOOKUP($U$1,A:Q,16,))/VLOOKUP($U$1,A:Q,16,))*100)+100</f>
        <v>118.1776206349106</v>
      </c>
    </row>
    <row r="217" spans="1:17" s="85" customFormat="1" x14ac:dyDescent="0.2">
      <c r="A217" s="22">
        <v>39417</v>
      </c>
      <c r="B217" s="92">
        <f>VLOOKUP(A217,Database!$E:$AY,MATCH($B$1,Database!$E$1:$AY$1,0),FALSE)</f>
        <v>128.08930000000001</v>
      </c>
      <c r="C217" s="92">
        <f>VLOOKUP(A217,Database!$E:$AY,MATCH($C$1,Database!$E$1:$AY$1,0),FALSE)</f>
        <v>112.4509</v>
      </c>
      <c r="D217" s="92">
        <f>VLOOKUP(A217,Database!$E:$AY,MATCH($D$1,Database!$E$1:$AY$1,0),FALSE)</f>
        <v>99.591700000000003</v>
      </c>
      <c r="E217" s="92">
        <f>VLOOKUP(A217,Database!$E:$AY,MATCH($E$1,Database!$E$1:$AY$1,0),FALSE)</f>
        <v>133.66210000000001</v>
      </c>
      <c r="F217" s="92">
        <f>VLOOKUP(A217,Database!$E:$AY,MATCH($F$1,Database!$E$1:$AY$1,0),FALSE)</f>
        <v>108.5819</v>
      </c>
      <c r="G217" s="92">
        <f>VLOOKUP(A217,Database!$E:$AY,MATCH($G$1,Database!$E$1:$AY$1,0),FALSE)</f>
        <v>109.32689999999999</v>
      </c>
      <c r="H217" s="92">
        <f>(((Table134567891011121314151617343[[#This Row],[ITA]]-VLOOKUP($U$1,A:B,2,))/VLOOKUP($U$1,A:B,2,))*100)+100</f>
        <v>105.34534529594976</v>
      </c>
      <c r="I217" s="92">
        <f>(((Table134567891011121314151617343[[#This Row],[FRA]]-VLOOKUP($U$1,A:C,3,))/VLOOKUP($U$1,A:C,3,))*100)+100</f>
        <v>109.45095867371224</v>
      </c>
      <c r="J217" s="92">
        <f>(((Table134567891011121314151617343[[#This Row],[DEU]]-VLOOKUP($U$1,A:D,4,))/VLOOKUP($U$1,A:D,4,))*100)+100</f>
        <v>132.446814381997</v>
      </c>
      <c r="K217" s="92">
        <f>(((Table134567891011121314151617343[[#This Row],[ESP]]-VLOOKUP($U$1,A:E,5,))/VLOOKUP($U$1,A:E,5,))*100)+100</f>
        <v>112.56315050600409</v>
      </c>
      <c r="L217" s="92">
        <f>(((Table134567891011121314151617343[[#This Row],[EA19]]-VLOOKUP($U$1,A:F,6,))/VLOOKUP($U$1,A:F,6,))*100)+100</f>
        <v>121.47651006711411</v>
      </c>
      <c r="M217" s="92">
        <f>(((Table134567891011121314151617343[[#This Row],[GBR]]-VLOOKUP($U$1,A:G,7,))/VLOOKUP($U$1,A:G,7,))*100)+100</f>
        <v>102.33237952695322</v>
      </c>
      <c r="N217" s="92">
        <f>VLOOKUP(A217,Database!$E:$AY,MATCH($N$1,Database!$E$1:$AY$1,0),FALSE)</f>
        <v>101.1855</v>
      </c>
      <c r="O217" s="92">
        <f>(((Table134567891011121314151617343[[#This Row],[USA]]-VLOOKUP($U$1,A:N,14,))/VLOOKUP($U$1,A:N,14,))*100)+100</f>
        <v>117.2338667659358</v>
      </c>
      <c r="P217" s="92">
        <f>VLOOKUP(A217,Database!$E:$AY,MATCH($P$1,Database!$E$1:$AY$1,0),FALSE)</f>
        <v>118.3613</v>
      </c>
      <c r="Q217" s="92">
        <f>(((Table134567891011121314151617343[[#This Row],[JPN]]-VLOOKUP($U$1,A:Q,16,))/VLOOKUP($U$1,A:Q,16,))*100)+100</f>
        <v>118.83231564954009</v>
      </c>
    </row>
    <row r="218" spans="1:17" s="85" customFormat="1" x14ac:dyDescent="0.2">
      <c r="A218" s="22">
        <v>39448</v>
      </c>
      <c r="B218" s="92">
        <f>VLOOKUP(A218,Database!$E:$AY,MATCH($B$1,Database!$E$1:$AY$1,0),FALSE)</f>
        <v>130.6891</v>
      </c>
      <c r="C218" s="92">
        <f>VLOOKUP(A218,Database!$E:$AY,MATCH($C$1,Database!$E$1:$AY$1,0),FALSE)</f>
        <v>113.4209</v>
      </c>
      <c r="D218" s="92">
        <f>VLOOKUP(A218,Database!$E:$AY,MATCH($D$1,Database!$E$1:$AY$1,0),FALSE)</f>
        <v>101.0916</v>
      </c>
      <c r="E218" s="92">
        <f>VLOOKUP(A218,Database!$E:$AY,MATCH($E$1,Database!$E$1:$AY$1,0),FALSE)</f>
        <v>134.70509999999999</v>
      </c>
      <c r="F218" s="92">
        <f>VLOOKUP(A218,Database!$E:$AY,MATCH($F$1,Database!$E$1:$AY$1,0),FALSE)</f>
        <v>109.48180000000001</v>
      </c>
      <c r="G218" s="92">
        <f>VLOOKUP(A218,Database!$E:$AY,MATCH($G$1,Database!$E$1:$AY$1,0),FALSE)</f>
        <v>109.7422</v>
      </c>
      <c r="H218" s="92">
        <f>(((Table134567891011121314151617343[[#This Row],[ITA]]-VLOOKUP($U$1,A:B,2,))/VLOOKUP($U$1,A:B,2,))*100)+100</f>
        <v>107.48351631179892</v>
      </c>
      <c r="I218" s="92">
        <f>(((Table134567891011121314151617343[[#This Row],[FRA]]-VLOOKUP($U$1,A:C,3,))/VLOOKUP($U$1,A:C,3,))*100)+100</f>
        <v>110.39508121887195</v>
      </c>
      <c r="J218" s="92">
        <f>(((Table134567891011121314151617343[[#This Row],[DEU]]-VLOOKUP($U$1,A:D,4,))/VLOOKUP($U$1,A:D,4,))*100)+100</f>
        <v>134.44152856893785</v>
      </c>
      <c r="K218" s="92">
        <f>(((Table134567891011121314151617343[[#This Row],[ESP]]-VLOOKUP($U$1,A:E,5,))/VLOOKUP($U$1,A:E,5,))*100)+100</f>
        <v>113.44150993607261</v>
      </c>
      <c r="L218" s="92">
        <f>(((Table134567891011121314151617343[[#This Row],[EA19]]-VLOOKUP($U$1,A:F,6,))/VLOOKUP($U$1,A:F,6,))*100)+100</f>
        <v>122.48327741424467</v>
      </c>
      <c r="M218" s="92">
        <f>(((Table134567891011121314151617343[[#This Row],[GBR]]-VLOOKUP($U$1,A:G,7,))/VLOOKUP($U$1,A:G,7,))*100)+100</f>
        <v>102.72110944811209</v>
      </c>
      <c r="N218" s="92">
        <f>VLOOKUP(A218,Database!$E:$AY,MATCH($N$1,Database!$E$1:$AY$1,0),FALSE)</f>
        <v>100.913</v>
      </c>
      <c r="O218" s="92">
        <f>(((Table134567891011121314151617343[[#This Row],[USA]]-VLOOKUP($U$1,A:N,14,))/VLOOKUP($U$1,A:N,14,))*100)+100</f>
        <v>116.91814733287754</v>
      </c>
      <c r="P218" s="92">
        <f>VLOOKUP(A218,Database!$E:$AY,MATCH($P$1,Database!$E$1:$AY$1,0),FALSE)</f>
        <v>119.1653</v>
      </c>
      <c r="Q218" s="92">
        <f>(((Table134567891011121314151617343[[#This Row],[JPN]]-VLOOKUP($U$1,A:Q,16,))/VLOOKUP($U$1,A:Q,16,))*100)+100</f>
        <v>119.63951514618495</v>
      </c>
    </row>
    <row r="219" spans="1:17" s="85" customFormat="1" x14ac:dyDescent="0.2">
      <c r="A219" s="22">
        <v>39479</v>
      </c>
      <c r="B219" s="92">
        <f>VLOOKUP(A219,Database!$E:$AY,MATCH($B$1,Database!$E$1:$AY$1,0),FALSE)</f>
        <v>129.6892</v>
      </c>
      <c r="C219" s="92">
        <f>VLOOKUP(A219,Database!$E:$AY,MATCH($C$1,Database!$E$1:$AY$1,0),FALSE)</f>
        <v>114.45099999999999</v>
      </c>
      <c r="D219" s="92">
        <f>VLOOKUP(A219,Database!$E:$AY,MATCH($D$1,Database!$E$1:$AY$1,0),FALSE)</f>
        <v>100.7916</v>
      </c>
      <c r="E219" s="92">
        <f>VLOOKUP(A219,Database!$E:$AY,MATCH($E$1,Database!$E$1:$AY$1,0),FALSE)</f>
        <v>133.7561</v>
      </c>
      <c r="F219" s="92">
        <f>VLOOKUP(A219,Database!$E:$AY,MATCH($F$1,Database!$E$1:$AY$1,0),FALSE)</f>
        <v>109.2818</v>
      </c>
      <c r="G219" s="92">
        <f>VLOOKUP(A219,Database!$E:$AY,MATCH($G$1,Database!$E$1:$AY$1,0),FALSE)</f>
        <v>109.4307</v>
      </c>
      <c r="H219" s="92">
        <f>(((Table134567891011121314151617343[[#This Row],[ITA]]-VLOOKUP($U$1,A:B,2,))/VLOOKUP($U$1,A:B,2,))*100)+100</f>
        <v>106.66116182347382</v>
      </c>
      <c r="I219" s="92">
        <f>(((Table134567891011121314151617343[[#This Row],[FRA]]-VLOOKUP($U$1,A:C,3,))/VLOOKUP($U$1,A:C,3,))*100)+100</f>
        <v>111.3977004289431</v>
      </c>
      <c r="J219" s="92">
        <f>(((Table134567891011121314151617343[[#This Row],[DEU]]-VLOOKUP($U$1,A:D,4,))/VLOOKUP($U$1,A:D,4,))*100)+100</f>
        <v>134.04255913358733</v>
      </c>
      <c r="K219" s="92">
        <f>(((Table134567891011121314151617343[[#This Row],[ESP]]-VLOOKUP($U$1,A:E,5,))/VLOOKUP($U$1,A:E,5,))*100)+100</f>
        <v>112.64231233383384</v>
      </c>
      <c r="L219" s="92">
        <f>(((Table134567891011121314151617343[[#This Row],[EA19]]-VLOOKUP($U$1,A:F,6,))/VLOOKUP($U$1,A:F,6,))*100)+100</f>
        <v>122.25952647588917</v>
      </c>
      <c r="M219" s="92">
        <f>(((Table134567891011121314151617343[[#This Row],[GBR]]-VLOOKUP($U$1,A:G,7,))/VLOOKUP($U$1,A:G,7,))*100)+100</f>
        <v>102.42953860669387</v>
      </c>
      <c r="N219" s="92">
        <f>VLOOKUP(A219,Database!$E:$AY,MATCH($N$1,Database!$E$1:$AY$1,0),FALSE)</f>
        <v>100.5744</v>
      </c>
      <c r="O219" s="92">
        <f>(((Table134567891011121314151617343[[#This Row],[USA]]-VLOOKUP($U$1,A:N,14,))/VLOOKUP($U$1,A:N,14,))*100)+100</f>
        <v>116.52584421348843</v>
      </c>
      <c r="P219" s="92">
        <f>VLOOKUP(A219,Database!$E:$AY,MATCH($P$1,Database!$E$1:$AY$1,0),FALSE)</f>
        <v>119.47320000000001</v>
      </c>
      <c r="Q219" s="92">
        <f>(((Table134567891011121314151617343[[#This Row],[JPN]]-VLOOKUP($U$1,A:Q,16,))/VLOOKUP($U$1,A:Q,16,))*100)+100</f>
        <v>119.94864042605677</v>
      </c>
    </row>
    <row r="220" spans="1:17" s="85" customFormat="1" x14ac:dyDescent="0.2">
      <c r="A220" s="22">
        <v>39508</v>
      </c>
      <c r="B220" s="92">
        <f>VLOOKUP(A220,Database!$E:$AY,MATCH($B$1,Database!$E$1:$AY$1,0),FALSE)</f>
        <v>130.48910000000001</v>
      </c>
      <c r="C220" s="92">
        <f>VLOOKUP(A220,Database!$E:$AY,MATCH($C$1,Database!$E$1:$AY$1,0),FALSE)</f>
        <v>113.12090000000001</v>
      </c>
      <c r="D220" s="92">
        <f>VLOOKUP(A220,Database!$E:$AY,MATCH($D$1,Database!$E$1:$AY$1,0),FALSE)</f>
        <v>100.0917</v>
      </c>
      <c r="E220" s="92">
        <f>VLOOKUP(A220,Database!$E:$AY,MATCH($E$1,Database!$E$1:$AY$1,0),FALSE)</f>
        <v>130.86709999999999</v>
      </c>
      <c r="F220" s="92">
        <f>VLOOKUP(A220,Database!$E:$AY,MATCH($F$1,Database!$E$1:$AY$1,0),FALSE)</f>
        <v>108.78189999999999</v>
      </c>
      <c r="G220" s="92">
        <f>VLOOKUP(A220,Database!$E:$AY,MATCH($G$1,Database!$E$1:$AY$1,0),FALSE)</f>
        <v>107.9772</v>
      </c>
      <c r="H220" s="92">
        <f>(((Table134567891011121314151617343[[#This Row],[ITA]]-VLOOKUP($U$1,A:B,2,))/VLOOKUP($U$1,A:B,2,))*100)+100</f>
        <v>107.31902896539927</v>
      </c>
      <c r="I220" s="92">
        <f>(((Table134567891011121314151617343[[#This Row],[FRA]]-VLOOKUP($U$1,A:C,3,))/VLOOKUP($U$1,A:C,3,))*100)+100</f>
        <v>110.10308455542049</v>
      </c>
      <c r="J220" s="92">
        <f>(((Table134567891011121314151617343[[#This Row],[DEU]]-VLOOKUP($U$1,A:D,4,))/VLOOKUP($U$1,A:D,4,))*100)+100</f>
        <v>133.11176344091456</v>
      </c>
      <c r="K220" s="92">
        <f>(((Table134567891011121314151617343[[#This Row],[ESP]]-VLOOKUP($U$1,A:E,5,))/VLOOKUP($U$1,A:E,5,))*100)+100</f>
        <v>110.20934934872552</v>
      </c>
      <c r="L220" s="92">
        <f>(((Table134567891011121314151617343[[#This Row],[EA19]]-VLOOKUP($U$1,A:F,6,))/VLOOKUP($U$1,A:F,6,))*100)+100</f>
        <v>121.7002610054696</v>
      </c>
      <c r="M220" s="92">
        <f>(((Table134567891011121314151617343[[#This Row],[GBR]]-VLOOKUP($U$1,A:G,7,))/VLOOKUP($U$1,A:G,7,))*100)+100</f>
        <v>101.06903068373596</v>
      </c>
      <c r="N220" s="92">
        <f>VLOOKUP(A220,Database!$E:$AY,MATCH($N$1,Database!$E$1:$AY$1,0),FALSE)</f>
        <v>100.3364</v>
      </c>
      <c r="O220" s="92">
        <f>(((Table134567891011121314151617343[[#This Row],[USA]]-VLOOKUP($U$1,A:N,14,))/VLOOKUP($U$1,A:N,14,))*100)+100</f>
        <v>116.25009659856048</v>
      </c>
      <c r="P220" s="92">
        <f>VLOOKUP(A220,Database!$E:$AY,MATCH($P$1,Database!$E$1:$AY$1,0),FALSE)</f>
        <v>118.2415</v>
      </c>
      <c r="Q220" s="92">
        <f>(((Table134567891011121314151617343[[#This Row],[JPN]]-VLOOKUP($U$1,A:Q,16,))/VLOOKUP($U$1,A:Q,16,))*100)+100</f>
        <v>118.71203890862211</v>
      </c>
    </row>
    <row r="221" spans="1:17" s="85" customFormat="1" x14ac:dyDescent="0.2">
      <c r="A221" s="22">
        <v>39539</v>
      </c>
      <c r="B221" s="92">
        <f>VLOOKUP(A221,Database!$E:$AY,MATCH($B$1,Database!$E$1:$AY$1,0),FALSE)</f>
        <v>131.78899999999999</v>
      </c>
      <c r="C221" s="92">
        <f>VLOOKUP(A221,Database!$E:$AY,MATCH($C$1,Database!$E$1:$AY$1,0),FALSE)</f>
        <v>115.571</v>
      </c>
      <c r="D221" s="92">
        <f>VLOOKUP(A221,Database!$E:$AY,MATCH($D$1,Database!$E$1:$AY$1,0),FALSE)</f>
        <v>100.2916</v>
      </c>
      <c r="E221" s="92">
        <f>VLOOKUP(A221,Database!$E:$AY,MATCH($E$1,Database!$E$1:$AY$1,0),FALSE)</f>
        <v>132.9521</v>
      </c>
      <c r="F221" s="92">
        <f>VLOOKUP(A221,Database!$E:$AY,MATCH($F$1,Database!$E$1:$AY$1,0),FALSE)</f>
        <v>110.08159999999999</v>
      </c>
      <c r="G221" s="92">
        <f>VLOOKUP(A221,Database!$E:$AY,MATCH($G$1,Database!$E$1:$AY$1,0),FALSE)</f>
        <v>109.223</v>
      </c>
      <c r="H221" s="92">
        <f>(((Table134567891011121314151617343[[#This Row],[ITA]]-VLOOKUP($U$1,A:B,2,))/VLOOKUP($U$1,A:B,2,))*100)+100</f>
        <v>108.38811447332384</v>
      </c>
      <c r="I221" s="92">
        <f>(((Table134567891011121314151617343[[#This Row],[FRA]]-VLOOKUP($U$1,A:C,3,))/VLOOKUP($U$1,A:C,3,))*100)+100</f>
        <v>112.48782130582855</v>
      </c>
      <c r="J221" s="92">
        <f>(((Table134567891011121314151617343[[#This Row],[DEU]]-VLOOKUP($U$1,A:D,4,))/VLOOKUP($U$1,A:D,4,))*100)+100</f>
        <v>133.3776100746698</v>
      </c>
      <c r="K221" s="92">
        <f>(((Table134567891011121314151617343[[#This Row],[ESP]]-VLOOKUP($U$1,A:E,5,))/VLOOKUP($U$1,A:E,5,))*100)+100</f>
        <v>111.96522606175802</v>
      </c>
      <c r="L221" s="92">
        <f>(((Table134567891011121314151617343[[#This Row],[EA19]]-VLOOKUP($U$1,A:F,6,))/VLOOKUP($U$1,A:F,6,))*100)+100</f>
        <v>123.1543064783728</v>
      </c>
      <c r="M221" s="92">
        <f>(((Table134567891011121314151617343[[#This Row],[GBR]]-VLOOKUP($U$1,A:G,7,))/VLOOKUP($U$1,A:G,7,))*100)+100</f>
        <v>102.2351268450163</v>
      </c>
      <c r="N221" s="92">
        <f>VLOOKUP(A221,Database!$E:$AY,MATCH($N$1,Database!$E$1:$AY$1,0),FALSE)</f>
        <v>99.576409999999996</v>
      </c>
      <c r="O221" s="92">
        <f>(((Table134567891011121314151617343[[#This Row],[USA]]-VLOOKUP($U$1,A:N,14,))/VLOOKUP($U$1,A:N,14,))*100)+100</f>
        <v>115.36956958230377</v>
      </c>
      <c r="P221" s="92">
        <f>VLOOKUP(A221,Database!$E:$AY,MATCH($P$1,Database!$E$1:$AY$1,0),FALSE)</f>
        <v>117.7283</v>
      </c>
      <c r="Q221" s="92">
        <f>(((Table134567891011121314151617343[[#This Row],[JPN]]-VLOOKUP($U$1,A:Q,16,))/VLOOKUP($U$1,A:Q,16,))*100)+100</f>
        <v>118.19679664285329</v>
      </c>
    </row>
    <row r="222" spans="1:17" s="85" customFormat="1" x14ac:dyDescent="0.2">
      <c r="A222" s="22">
        <v>39569</v>
      </c>
      <c r="B222" s="92">
        <f>VLOOKUP(A222,Database!$E:$AY,MATCH($B$1,Database!$E$1:$AY$1,0),FALSE)</f>
        <v>127.18940000000001</v>
      </c>
      <c r="C222" s="92">
        <f>VLOOKUP(A222,Database!$E:$AY,MATCH($C$1,Database!$E$1:$AY$1,0),FALSE)</f>
        <v>110.12090000000001</v>
      </c>
      <c r="D222" s="92">
        <f>VLOOKUP(A222,Database!$E:$AY,MATCH($D$1,Database!$E$1:$AY$1,0),FALSE)</f>
        <v>98.291809999999998</v>
      </c>
      <c r="E222" s="92">
        <f>VLOOKUP(A222,Database!$E:$AY,MATCH($E$1,Database!$E$1:$AY$1,0),FALSE)</f>
        <v>128.71109999999999</v>
      </c>
      <c r="F222" s="92">
        <f>VLOOKUP(A222,Database!$E:$AY,MATCH($F$1,Database!$E$1:$AY$1,0),FALSE)</f>
        <v>106.8822</v>
      </c>
      <c r="G222" s="92">
        <f>VLOOKUP(A222,Database!$E:$AY,MATCH($G$1,Database!$E$1:$AY$1,0),FALSE)</f>
        <v>108.081</v>
      </c>
      <c r="H222" s="92">
        <f>(((Table134567891011121314151617343[[#This Row],[ITA]]-VLOOKUP($U$1,A:B,2,))/VLOOKUP($U$1,A:B,2,))*100)+100</f>
        <v>104.60523448082448</v>
      </c>
      <c r="I222" s="92">
        <f>(((Table134567891011121314151617343[[#This Row],[FRA]]-VLOOKUP($U$1,A:C,3,))/VLOOKUP($U$1,A:C,3,))*100)+100</f>
        <v>107.1831179209059</v>
      </c>
      <c r="J222" s="92">
        <f>(((Table134567891011121314151617343[[#This Row],[DEU]]-VLOOKUP($U$1,A:D,4,))/VLOOKUP($U$1,A:D,4,))*100)+100</f>
        <v>130.71809311760435</v>
      </c>
      <c r="K222" s="92">
        <f>(((Table134567891011121314151617343[[#This Row],[ESP]]-VLOOKUP($U$1,A:E,5,))/VLOOKUP($U$1,A:E,5,))*100)+100</f>
        <v>108.39368019126843</v>
      </c>
      <c r="L222" s="92">
        <f>(((Table134567891011121314151617343[[#This Row],[EA19]]-VLOOKUP($U$1,A:F,6,))/VLOOKUP($U$1,A:F,6,))*100)+100</f>
        <v>119.5749627174999</v>
      </c>
      <c r="M222" s="92">
        <f>(((Table134567891011121314151617343[[#This Row],[GBR]]-VLOOKUP($U$1,A:G,7,))/VLOOKUP($U$1,A:G,7,))*100)+100</f>
        <v>101.16618976347661</v>
      </c>
      <c r="N222" s="92">
        <f>VLOOKUP(A222,Database!$E:$AY,MATCH($N$1,Database!$E$1:$AY$1,0),FALSE)</f>
        <v>99.015370000000004</v>
      </c>
      <c r="O222" s="92">
        <f>(((Table134567891011121314151617343[[#This Row],[USA]]-VLOOKUP($U$1,A:N,14,))/VLOOKUP($U$1,A:N,14,))*100)+100</f>
        <v>114.71954671726519</v>
      </c>
      <c r="P222" s="92">
        <f>VLOOKUP(A222,Database!$E:$AY,MATCH($P$1,Database!$E$1:$AY$1,0),FALSE)</f>
        <v>118.3442</v>
      </c>
      <c r="Q222" s="92">
        <f>(((Table134567891011121314151617343[[#This Row],[JPN]]-VLOOKUP($U$1,A:Q,16,))/VLOOKUP($U$1,A:Q,16,))*100)+100</f>
        <v>118.81514760054428</v>
      </c>
    </row>
    <row r="223" spans="1:17" s="85" customFormat="1" x14ac:dyDescent="0.2">
      <c r="A223" s="22">
        <v>39600</v>
      </c>
      <c r="B223" s="92">
        <f>VLOOKUP(A223,Database!$E:$AY,MATCH($B$1,Database!$E$1:$AY$1,0),FALSE)</f>
        <v>128.58930000000001</v>
      </c>
      <c r="C223" s="92">
        <f>VLOOKUP(A223,Database!$E:$AY,MATCH($C$1,Database!$E$1:$AY$1,0),FALSE)</f>
        <v>109.8009</v>
      </c>
      <c r="D223" s="92">
        <f>VLOOKUP(A223,Database!$E:$AY,MATCH($D$1,Database!$E$1:$AY$1,0),FALSE)</f>
        <v>99.391720000000007</v>
      </c>
      <c r="E223" s="92">
        <f>VLOOKUP(A223,Database!$E:$AY,MATCH($E$1,Database!$E$1:$AY$1,0),FALSE)</f>
        <v>123.94110000000001</v>
      </c>
      <c r="F223" s="92">
        <f>VLOOKUP(A223,Database!$E:$AY,MATCH($F$1,Database!$E$1:$AY$1,0),FALSE)</f>
        <v>107.0822</v>
      </c>
      <c r="G223" s="92">
        <f>VLOOKUP(A223,Database!$E:$AY,MATCH($G$1,Database!$E$1:$AY$1,0),FALSE)</f>
        <v>107.14660000000001</v>
      </c>
      <c r="H223" s="92">
        <f>(((Table134567891011121314151617343[[#This Row],[ITA]]-VLOOKUP($U$1,A:B,2,))/VLOOKUP($U$1,A:B,2,))*100)+100</f>
        <v>105.7565636619489</v>
      </c>
      <c r="I223" s="92">
        <f>(((Table134567891011121314151617343[[#This Row],[FRA]]-VLOOKUP($U$1,A:C,3,))/VLOOKUP($U$1,A:C,3,))*100)+100</f>
        <v>106.87165481322434</v>
      </c>
      <c r="J223" s="92">
        <f>(((Table134567891011121314151617343[[#This Row],[DEU]]-VLOOKUP($U$1,A:D,4,))/VLOOKUP($U$1,A:D,4,))*100)+100</f>
        <v>132.18086135639237</v>
      </c>
      <c r="K223" s="92">
        <f>(((Table134567891011121314151617343[[#This Row],[ESP]]-VLOOKUP($U$1,A:E,5,))/VLOOKUP($U$1,A:E,5,))*100)+100</f>
        <v>104.37663850246034</v>
      </c>
      <c r="L223" s="92">
        <f>(((Table134567891011121314151617343[[#This Row],[EA19]]-VLOOKUP($U$1,A:F,6,))/VLOOKUP($U$1,A:F,6,))*100)+100</f>
        <v>119.79871365585541</v>
      </c>
      <c r="M223" s="92">
        <f>(((Table134567891011121314151617343[[#This Row],[GBR]]-VLOOKUP($U$1,A:G,7,))/VLOOKUP($U$1,A:G,7,))*100)+100</f>
        <v>100.29157084141823</v>
      </c>
      <c r="N223" s="92">
        <f>VLOOKUP(A223,Database!$E:$AY,MATCH($N$1,Database!$E$1:$AY$1,0),FALSE)</f>
        <v>98.783119999999997</v>
      </c>
      <c r="O223" s="92">
        <f>(((Table134567891011121314151617343[[#This Row],[USA]]-VLOOKUP($U$1,A:N,14,))/VLOOKUP($U$1,A:N,14,))*100)+100</f>
        <v>114.45046107202562</v>
      </c>
      <c r="P223" s="92">
        <f>VLOOKUP(A223,Database!$E:$AY,MATCH($P$1,Database!$E$1:$AY$1,0),FALSE)</f>
        <v>115.1623</v>
      </c>
      <c r="Q223" s="92">
        <f>(((Table134567891011121314151617343[[#This Row],[JPN]]-VLOOKUP($U$1,A:Q,16,))/VLOOKUP($U$1,A:Q,16,))*100)+100</f>
        <v>115.62058531400915</v>
      </c>
    </row>
    <row r="224" spans="1:17" s="85" customFormat="1" x14ac:dyDescent="0.2">
      <c r="A224" s="22">
        <v>39630</v>
      </c>
      <c r="B224" s="92">
        <f>VLOOKUP(A224,Database!$E:$AY,MATCH($B$1,Database!$E$1:$AY$1,0),FALSE)</f>
        <v>124.5896</v>
      </c>
      <c r="C224" s="92">
        <f>VLOOKUP(A224,Database!$E:$AY,MATCH($C$1,Database!$E$1:$AY$1,0),FALSE)</f>
        <v>110.6609</v>
      </c>
      <c r="D224" s="92">
        <f>VLOOKUP(A224,Database!$E:$AY,MATCH($D$1,Database!$E$1:$AY$1,0),FALSE)</f>
        <v>97.691860000000005</v>
      </c>
      <c r="E224" s="92">
        <f>VLOOKUP(A224,Database!$E:$AY,MATCH($E$1,Database!$E$1:$AY$1,0),FALSE)</f>
        <v>127.21510000000001</v>
      </c>
      <c r="F224" s="92">
        <f>VLOOKUP(A224,Database!$E:$AY,MATCH($F$1,Database!$E$1:$AY$1,0),FALSE)</f>
        <v>105.9823</v>
      </c>
      <c r="G224" s="92">
        <f>VLOOKUP(A224,Database!$E:$AY,MATCH($G$1,Database!$E$1:$AY$1,0),FALSE)</f>
        <v>106.8351</v>
      </c>
      <c r="H224" s="92">
        <f>(((Table134567891011121314151617343[[#This Row],[ITA]]-VLOOKUP($U$1,A:B,2,))/VLOOKUP($U$1,A:B,2,))*100)+100</f>
        <v>102.4670634649753</v>
      </c>
      <c r="I224" s="92">
        <f>(((Table134567891011121314151617343[[#This Row],[FRA]]-VLOOKUP($U$1,A:C,3,))/VLOOKUP($U$1,A:C,3,))*100)+100</f>
        <v>107.70871191511851</v>
      </c>
      <c r="J224" s="92">
        <f>(((Table134567891011121314151617343[[#This Row],[DEU]]-VLOOKUP($U$1,A:D,4,))/VLOOKUP($U$1,A:D,4,))*100)+100</f>
        <v>129.9202207418092</v>
      </c>
      <c r="K224" s="92">
        <f>(((Table134567891011121314151617343[[#This Row],[ESP]]-VLOOKUP($U$1,A:E,5,))/VLOOKUP($U$1,A:E,5,))*100)+100</f>
        <v>107.13382812282885</v>
      </c>
      <c r="L224" s="92">
        <f>(((Table134567891011121314151617343[[#This Row],[EA19]]-VLOOKUP($U$1,A:F,6,))/VLOOKUP($U$1,A:F,6,))*100)+100</f>
        <v>118.56819537036934</v>
      </c>
      <c r="M224" s="92">
        <f>(((Table134567891011121314151617343[[#This Row],[GBR]]-VLOOKUP($U$1,A:G,7,))/VLOOKUP($U$1,A:G,7,))*100)+100</f>
        <v>100</v>
      </c>
      <c r="N224" s="92">
        <f>VLOOKUP(A224,Database!$E:$AY,MATCH($N$1,Database!$E$1:$AY$1,0),FALSE)</f>
        <v>98.260310000000004</v>
      </c>
      <c r="O224" s="92">
        <f>(((Table134567891011121314151617343[[#This Row],[USA]]-VLOOKUP($U$1,A:N,14,))/VLOOKUP($U$1,A:N,14,))*100)+100</f>
        <v>113.84473161588913</v>
      </c>
      <c r="P224" s="92">
        <f>VLOOKUP(A224,Database!$E:$AY,MATCH($P$1,Database!$E$1:$AY$1,0),FALSE)</f>
        <v>115.1623</v>
      </c>
      <c r="Q224" s="92">
        <f>(((Table134567891011121314151617343[[#This Row],[JPN]]-VLOOKUP($U$1,A:Q,16,))/VLOOKUP($U$1,A:Q,16,))*100)+100</f>
        <v>115.62058531400915</v>
      </c>
    </row>
    <row r="225" spans="1:17" s="85" customFormat="1" x14ac:dyDescent="0.2">
      <c r="A225" s="22">
        <v>39661</v>
      </c>
      <c r="B225" s="92">
        <f>VLOOKUP(A225,Database!$E:$AY,MATCH($B$1,Database!$E$1:$AY$1,0),FALSE)</f>
        <v>121.18989999999999</v>
      </c>
      <c r="C225" s="92">
        <f>VLOOKUP(A225,Database!$E:$AY,MATCH($C$1,Database!$E$1:$AY$1,0),FALSE)</f>
        <v>109.1009</v>
      </c>
      <c r="D225" s="92">
        <f>VLOOKUP(A225,Database!$E:$AY,MATCH($D$1,Database!$E$1:$AY$1,0),FALSE)</f>
        <v>99.691699999999997</v>
      </c>
      <c r="E225" s="92">
        <f>VLOOKUP(A225,Database!$E:$AY,MATCH($E$1,Database!$E$1:$AY$1,0),FALSE)</f>
        <v>122.6981</v>
      </c>
      <c r="F225" s="92">
        <f>VLOOKUP(A225,Database!$E:$AY,MATCH($F$1,Database!$E$1:$AY$1,0),FALSE)</f>
        <v>105.58240000000001</v>
      </c>
      <c r="G225" s="92">
        <f>VLOOKUP(A225,Database!$E:$AY,MATCH($G$1,Database!$E$1:$AY$1,0),FALSE)</f>
        <v>107.6657</v>
      </c>
      <c r="H225" s="92">
        <f>(((Table134567891011121314151617343[[#This Row],[ITA]]-VLOOKUP($U$1,A:B,2,))/VLOOKUP($U$1,A:B,2,))*100)+100</f>
        <v>99.671025307200679</v>
      </c>
      <c r="I225" s="92">
        <f>(((Table134567891011121314151617343[[#This Row],[FRA]]-VLOOKUP($U$1,A:C,3,))/VLOOKUP($U$1,A:C,3,))*100)+100</f>
        <v>106.19032926517093</v>
      </c>
      <c r="J225" s="92">
        <f>(((Table134567891011121314151617343[[#This Row],[DEU]]-VLOOKUP($U$1,A:D,4,))/VLOOKUP($U$1,A:D,4,))*100)+100</f>
        <v>132.57980419378052</v>
      </c>
      <c r="K225" s="92">
        <f>(((Table134567891011121314151617343[[#This Row],[ESP]]-VLOOKUP($U$1,A:E,5,))/VLOOKUP($U$1,A:E,5,))*100)+100</f>
        <v>103.32984965147742</v>
      </c>
      <c r="L225" s="92">
        <f>(((Table134567891011121314151617343[[#This Row],[EA19]]-VLOOKUP($U$1,A:F,6,))/VLOOKUP($U$1,A:F,6,))*100)+100</f>
        <v>118.12080536912754</v>
      </c>
      <c r="M225" s="92">
        <f>(((Table134567891011121314151617343[[#This Row],[GBR]]-VLOOKUP($U$1,A:G,7,))/VLOOKUP($U$1,A:G,7,))*100)+100</f>
        <v>100.77745984231774</v>
      </c>
      <c r="N225" s="92">
        <f>VLOOKUP(A225,Database!$E:$AY,MATCH($N$1,Database!$E$1:$AY$1,0),FALSE)</f>
        <v>96.757220000000004</v>
      </c>
      <c r="O225" s="92">
        <f>(((Table134567891011121314151617343[[#This Row],[USA]]-VLOOKUP($U$1,A:N,14,))/VLOOKUP($U$1,A:N,14,))*100)+100</f>
        <v>112.1032463952082</v>
      </c>
      <c r="P225" s="92">
        <f>VLOOKUP(A225,Database!$E:$AY,MATCH($P$1,Database!$E$1:$AY$1,0),FALSE)</f>
        <v>110.9541</v>
      </c>
      <c r="Q225" s="92">
        <f>(((Table134567891011121314151617343[[#This Row],[JPN]]-VLOOKUP($U$1,A:Q,16,))/VLOOKUP($U$1,A:Q,16,))*100)+100</f>
        <v>111.39563889388369</v>
      </c>
    </row>
    <row r="226" spans="1:17" s="85" customFormat="1" x14ac:dyDescent="0.2">
      <c r="A226" s="22">
        <v>39692</v>
      </c>
      <c r="B226" s="92">
        <f>VLOOKUP(A226,Database!$E:$AY,MATCH($B$1,Database!$E$1:$AY$1,0),FALSE)</f>
        <v>120.39</v>
      </c>
      <c r="C226" s="92">
        <f>VLOOKUP(A226,Database!$E:$AY,MATCH($C$1,Database!$E$1:$AY$1,0),FALSE)</f>
        <v>108.6309</v>
      </c>
      <c r="D226" s="92">
        <f>VLOOKUP(A226,Database!$E:$AY,MATCH($D$1,Database!$E$1:$AY$1,0),FALSE)</f>
        <v>97.39188</v>
      </c>
      <c r="E226" s="92">
        <f>VLOOKUP(A226,Database!$E:$AY,MATCH($E$1,Database!$E$1:$AY$1,0),FALSE)</f>
        <v>121.83110000000001</v>
      </c>
      <c r="F226" s="92">
        <f>VLOOKUP(A226,Database!$E:$AY,MATCH($F$1,Database!$E$1:$AY$1,0),FALSE)</f>
        <v>104.7825</v>
      </c>
      <c r="G226" s="92">
        <f>VLOOKUP(A226,Database!$E:$AY,MATCH($G$1,Database!$E$1:$AY$1,0),FALSE)</f>
        <v>106.1083</v>
      </c>
      <c r="H226" s="92">
        <f>(((Table134567891011121314151617343[[#This Row],[ITA]]-VLOOKUP($U$1,A:B,2,))/VLOOKUP($U$1,A:B,2,))*100)+100</f>
        <v>99.013158165275243</v>
      </c>
      <c r="I226" s="92">
        <f>(((Table134567891011121314151617343[[#This Row],[FRA]]-VLOOKUP($U$1,A:C,3,))/VLOOKUP($U$1,A:C,3,))*100)+100</f>
        <v>105.73286782576365</v>
      </c>
      <c r="J226" s="92">
        <f>(((Table134567891011121314151617343[[#This Row],[DEU]]-VLOOKUP($U$1,A:D,4,))/VLOOKUP($U$1,A:D,4,))*100)+100</f>
        <v>129.52127790442103</v>
      </c>
      <c r="K226" s="92">
        <f>(((Table134567891011121314151617343[[#This Row],[ESP]]-VLOOKUP($U$1,A:E,5,))/VLOOKUP($U$1,A:E,5,))*100)+100</f>
        <v>102.59970811181356</v>
      </c>
      <c r="L226" s="92">
        <f>(((Table134567891011121314151617343[[#This Row],[EA19]]-VLOOKUP($U$1,A:F,6,))/VLOOKUP($U$1,A:F,6,))*100)+100</f>
        <v>117.22591349117471</v>
      </c>
      <c r="M226" s="92">
        <f>(((Table134567891011121314151617343[[#This Row],[GBR]]-VLOOKUP($U$1,A:G,7,))/VLOOKUP($U$1,A:G,7,))*100)+100</f>
        <v>99.31969923742291</v>
      </c>
      <c r="N226" s="92">
        <f>VLOOKUP(A226,Database!$E:$AY,MATCH($N$1,Database!$E$1:$AY$1,0),FALSE)</f>
        <v>92.561040000000006</v>
      </c>
      <c r="O226" s="92">
        <f>(((Table134567891011121314151617343[[#This Row],[USA]]-VLOOKUP($U$1,A:N,14,))/VLOOKUP($U$1,A:N,14,))*100)+100</f>
        <v>107.24153787920656</v>
      </c>
      <c r="P226" s="92">
        <f>VLOOKUP(A226,Database!$E:$AY,MATCH($P$1,Database!$E$1:$AY$1,0),FALSE)</f>
        <v>112.39100000000001</v>
      </c>
      <c r="Q226" s="92">
        <f>(((Table134567891011121314151617343[[#This Row],[JPN]]-VLOOKUP($U$1,A:Q,16,))/VLOOKUP($U$1,A:Q,16,))*100)+100</f>
        <v>112.83825699926801</v>
      </c>
    </row>
    <row r="227" spans="1:17" s="85" customFormat="1" x14ac:dyDescent="0.2">
      <c r="A227" s="22">
        <v>39722</v>
      </c>
      <c r="B227" s="92">
        <f>VLOOKUP(A227,Database!$E:$AY,MATCH($B$1,Database!$E$1:$AY$1,0),FALSE)</f>
        <v>117.89019999999999</v>
      </c>
      <c r="C227" s="92">
        <f>VLOOKUP(A227,Database!$E:$AY,MATCH($C$1,Database!$E$1:$AY$1,0),FALSE)</f>
        <v>106.6009</v>
      </c>
      <c r="D227" s="92">
        <f>VLOOKUP(A227,Database!$E:$AY,MATCH($D$1,Database!$E$1:$AY$1,0),FALSE)</f>
        <v>95.292060000000006</v>
      </c>
      <c r="E227" s="92">
        <f>VLOOKUP(A227,Database!$E:$AY,MATCH($E$1,Database!$E$1:$AY$1,0),FALSE)</f>
        <v>114.6391</v>
      </c>
      <c r="F227" s="92">
        <f>VLOOKUP(A227,Database!$E:$AY,MATCH($F$1,Database!$E$1:$AY$1,0),FALSE)</f>
        <v>102.083</v>
      </c>
      <c r="G227" s="92">
        <f>VLOOKUP(A227,Database!$E:$AY,MATCH($G$1,Database!$E$1:$AY$1,0),FALSE)</f>
        <v>105.1739</v>
      </c>
      <c r="H227" s="92">
        <f>(((Table134567891011121314151617343[[#This Row],[ITA]]-VLOOKUP($U$1,A:B,2,))/VLOOKUP($U$1,A:B,2,))*100)+100</f>
        <v>96.957230822625888</v>
      </c>
      <c r="I227" s="92">
        <f>(((Table134567891011121314151617343[[#This Row],[FRA]]-VLOOKUP($U$1,A:C,3,))/VLOOKUP($U$1,A:C,3,))*100)+100</f>
        <v>103.75702373640877</v>
      </c>
      <c r="J227" s="92">
        <f>(((Table134567891011121314151617343[[#This Row],[DEU]]-VLOOKUP($U$1,A:D,4,))/VLOOKUP($U$1,A:D,4,))*100)+100</f>
        <v>126.72873123862854</v>
      </c>
      <c r="K227" s="92">
        <f>(((Table134567891011121314151617343[[#This Row],[ESP]]-VLOOKUP($U$1,A:E,5,))/VLOOKUP($U$1,A:E,5,))*100)+100</f>
        <v>96.542986135732221</v>
      </c>
      <c r="L227" s="92">
        <f>(((Table134567891011121314151617343[[#This Row],[EA19]]-VLOOKUP($U$1,A:F,6,))/VLOOKUP($U$1,A:F,6,))*100)+100</f>
        <v>114.20583520072138</v>
      </c>
      <c r="M227" s="92">
        <f>(((Table134567891011121314151617343[[#This Row],[GBR]]-VLOOKUP($U$1,A:G,7,))/VLOOKUP($U$1,A:G,7,))*100)+100</f>
        <v>98.445080315364521</v>
      </c>
      <c r="N227" s="92">
        <f>VLOOKUP(A227,Database!$E:$AY,MATCH($N$1,Database!$E$1:$AY$1,0),FALSE)</f>
        <v>93.44144</v>
      </c>
      <c r="O227" s="92">
        <f>(((Table134567891011121314151617343[[#This Row],[USA]]-VLOOKUP($U$1,A:N,14,))/VLOOKUP($U$1,A:N,14,))*100)+100</f>
        <v>108.26157233375518</v>
      </c>
      <c r="P227" s="92">
        <f>VLOOKUP(A227,Database!$E:$AY,MATCH($P$1,Database!$E$1:$AY$1,0),FALSE)</f>
        <v>109.9277</v>
      </c>
      <c r="Q227" s="92">
        <f>(((Table134567891011121314151617343[[#This Row],[JPN]]-VLOOKUP($U$1,A:Q,16,))/VLOOKUP($U$1,A:Q,16,))*100)+100</f>
        <v>110.36515436234603</v>
      </c>
    </row>
    <row r="228" spans="1:17" s="85" customFormat="1" x14ac:dyDescent="0.2">
      <c r="A228" s="22">
        <v>39753</v>
      </c>
      <c r="B228" s="92">
        <f>VLOOKUP(A228,Database!$E:$AY,MATCH($B$1,Database!$E$1:$AY$1,0),FALSE)</f>
        <v>113.8905</v>
      </c>
      <c r="C228" s="92">
        <f>VLOOKUP(A228,Database!$E:$AY,MATCH($C$1,Database!$E$1:$AY$1,0),FALSE)</f>
        <v>101.2508</v>
      </c>
      <c r="D228" s="92">
        <f>VLOOKUP(A228,Database!$E:$AY,MATCH($D$1,Database!$E$1:$AY$1,0),FALSE)</f>
        <v>91.092410000000001</v>
      </c>
      <c r="E228" s="92">
        <f>VLOOKUP(A228,Database!$E:$AY,MATCH($E$1,Database!$E$1:$AY$1,0),FALSE)</f>
        <v>110.9341</v>
      </c>
      <c r="F228" s="92">
        <f>VLOOKUP(A228,Database!$E:$AY,MATCH($F$1,Database!$E$1:$AY$1,0),FALSE)</f>
        <v>98.383610000000004</v>
      </c>
      <c r="G228" s="92">
        <f>VLOOKUP(A228,Database!$E:$AY,MATCH($G$1,Database!$E$1:$AY$1,0),FALSE)</f>
        <v>101.8515</v>
      </c>
      <c r="H228" s="92">
        <f>(((Table134567891011121314151617343[[#This Row],[ITA]]-VLOOKUP($U$1,A:B,2,))/VLOOKUP($U$1,A:B,2,))*100)+100</f>
        <v>93.667730625652297</v>
      </c>
      <c r="I228" s="92">
        <f>(((Table134567891011121314151617343[[#This Row],[FRA]]-VLOOKUP($U$1,A:C,3,))/VLOOKUP($U$1,A:C,3,))*100)+100</f>
        <v>98.549652572636603</v>
      </c>
      <c r="J228" s="92">
        <f>(((Table134567891011121314151617343[[#This Row],[DEU]]-VLOOKUP($U$1,A:D,4,))/VLOOKUP($U$1,A:D,4,))*100)+100</f>
        <v>121.1436246080624</v>
      </c>
      <c r="K228" s="92">
        <f>(((Table134567891011121314151617343[[#This Row],[ESP]]-VLOOKUP($U$1,A:E,5,))/VLOOKUP($U$1,A:E,5,))*100)+100</f>
        <v>93.422831113293199</v>
      </c>
      <c r="L228" s="92">
        <f>(((Table134567891011121314151617343[[#This Row],[EA19]]-VLOOKUP($U$1,A:F,6,))/VLOOKUP($U$1,A:F,6,))*100)+100</f>
        <v>110.06712528150666</v>
      </c>
      <c r="M228" s="92">
        <f>(((Table134567891011121314151617343[[#This Row],[GBR]]-VLOOKUP($U$1,A:G,7,))/VLOOKUP($U$1,A:G,7,))*100)+100</f>
        <v>95.335240946093563</v>
      </c>
      <c r="N228" s="92">
        <f>VLOOKUP(A228,Database!$E:$AY,MATCH($N$1,Database!$E$1:$AY$1,0),FALSE)</f>
        <v>92.267030000000005</v>
      </c>
      <c r="O228" s="92">
        <f>(((Table134567891011121314151617343[[#This Row],[USA]]-VLOOKUP($U$1,A:N,14,))/VLOOKUP($U$1,A:N,14,))*100)+100</f>
        <v>106.90089688649661</v>
      </c>
      <c r="P228" s="92">
        <f>VLOOKUP(A228,Database!$E:$AY,MATCH($P$1,Database!$E$1:$AY$1,0),FALSE)</f>
        <v>102.8455</v>
      </c>
      <c r="Q228" s="92">
        <f>(((Table134567891011121314151617343[[#This Row],[JPN]]-VLOOKUP($U$1,A:Q,16,))/VLOOKUP($U$1,A:Q,16,))*100)+100</f>
        <v>103.25477093555727</v>
      </c>
    </row>
    <row r="229" spans="1:17" s="85" customFormat="1" x14ac:dyDescent="0.2">
      <c r="A229" s="22">
        <v>39783</v>
      </c>
      <c r="B229" s="92">
        <f>VLOOKUP(A229,Database!$E:$AY,MATCH($B$1,Database!$E$1:$AY$1,0),FALSE)</f>
        <v>109.29089999999999</v>
      </c>
      <c r="C229" s="92">
        <f>VLOOKUP(A229,Database!$E:$AY,MATCH($C$1,Database!$E$1:$AY$1,0),FALSE)</f>
        <v>99.850830000000002</v>
      </c>
      <c r="D229" s="92">
        <f>VLOOKUP(A229,Database!$E:$AY,MATCH($D$1,Database!$E$1:$AY$1,0),FALSE)</f>
        <v>87.692700000000002</v>
      </c>
      <c r="E229" s="92">
        <f>VLOOKUP(A229,Database!$E:$AY,MATCH($E$1,Database!$E$1:$AY$1,0),FALSE)</f>
        <v>107.19110000000001</v>
      </c>
      <c r="F229" s="92">
        <f>VLOOKUP(A229,Database!$E:$AY,MATCH($F$1,Database!$E$1:$AY$1,0),FALSE)</f>
        <v>94.984170000000006</v>
      </c>
      <c r="G229" s="92">
        <f>VLOOKUP(A229,Database!$E:$AY,MATCH($G$1,Database!$E$1:$AY$1,0),FALSE)</f>
        <v>100.5018</v>
      </c>
      <c r="H229" s="92">
        <f>(((Table134567891011121314151617343[[#This Row],[ITA]]-VLOOKUP($U$1,A:B,2,))/VLOOKUP($U$1,A:B,2,))*100)+100</f>
        <v>89.884850633152908</v>
      </c>
      <c r="I229" s="92">
        <f>(((Table134567891011121314151617343[[#This Row],[FRA]]-VLOOKUP($U$1,A:C,3,))/VLOOKUP($U$1,A:C,3,))*100)+100</f>
        <v>97.187030676196144</v>
      </c>
      <c r="J229" s="92">
        <f>(((Table134567891011121314151617343[[#This Row],[DEU]]-VLOOKUP($U$1,A:D,4,))/VLOOKUP($U$1,A:D,4,))*100)+100</f>
        <v>116.62235667787726</v>
      </c>
      <c r="K229" s="92">
        <f>(((Table134567891011121314151617343[[#This Row],[ESP]]-VLOOKUP($U$1,A:E,5,))/VLOOKUP($U$1,A:E,5,))*100)+100</f>
        <v>90.27067450088046</v>
      </c>
      <c r="L229" s="92">
        <f>(((Table134567891011121314151617343[[#This Row],[EA19]]-VLOOKUP($U$1,A:F,6,))/VLOOKUP($U$1,A:F,6,))*100)+100</f>
        <v>106.2639858320906</v>
      </c>
      <c r="M229" s="92">
        <f>(((Table134567891011121314151617343[[#This Row],[GBR]]-VLOOKUP($U$1,A:G,7,))/VLOOKUP($U$1,A:G,7,))*100)+100</f>
        <v>94.071892102876305</v>
      </c>
      <c r="N229" s="92">
        <f>VLOOKUP(A229,Database!$E:$AY,MATCH($N$1,Database!$E$1:$AY$1,0),FALSE)</f>
        <v>89.56953</v>
      </c>
      <c r="O229" s="92">
        <f>(((Table134567891011121314151617343[[#This Row],[USA]]-VLOOKUP($U$1,A:N,14,))/VLOOKUP($U$1,A:N,14,))*100)+100</f>
        <v>103.77556415007575</v>
      </c>
      <c r="P229" s="92">
        <f>VLOOKUP(A229,Database!$E:$AY,MATCH($P$1,Database!$E$1:$AY$1,0),FALSE)</f>
        <v>94.531649999999999</v>
      </c>
      <c r="Q229" s="92">
        <f>(((Table134567891011121314151617343[[#This Row],[JPN]]-VLOOKUP($U$1,A:Q,16,))/VLOOKUP($U$1,A:Q,16,))*100)+100</f>
        <v>94.90783619030752</v>
      </c>
    </row>
    <row r="230" spans="1:17" s="85" customFormat="1" x14ac:dyDescent="0.2">
      <c r="A230" s="22">
        <v>39814</v>
      </c>
      <c r="B230" s="92">
        <f>VLOOKUP(A230,Database!$E:$AY,MATCH($B$1,Database!$E$1:$AY$1,0),FALSE)</f>
        <v>104.99120000000001</v>
      </c>
      <c r="C230" s="92">
        <f>VLOOKUP(A230,Database!$E:$AY,MATCH($C$1,Database!$E$1:$AY$1,0),FALSE)</f>
        <v>96.180800000000005</v>
      </c>
      <c r="D230" s="92">
        <f>VLOOKUP(A230,Database!$E:$AY,MATCH($D$1,Database!$E$1:$AY$1,0),FALSE)</f>
        <v>80.693280000000001</v>
      </c>
      <c r="E230" s="92">
        <f>VLOOKUP(A230,Database!$E:$AY,MATCH($E$1,Database!$E$1:$AY$1,0),FALSE)</f>
        <v>106.6271</v>
      </c>
      <c r="F230" s="92">
        <f>VLOOKUP(A230,Database!$E:$AY,MATCH($F$1,Database!$E$1:$AY$1,0),FALSE)</f>
        <v>91.084819999999993</v>
      </c>
      <c r="G230" s="92">
        <f>VLOOKUP(A230,Database!$E:$AY,MATCH($G$1,Database!$E$1:$AY$1,0),FALSE)</f>
        <v>98.01003</v>
      </c>
      <c r="H230" s="92">
        <f>(((Table134567891011121314151617343[[#This Row],[ITA]]-VLOOKUP($U$1,A:B,2,))/VLOOKUP($U$1,A:B,2,))*100)+100</f>
        <v>86.348619416579837</v>
      </c>
      <c r="I230" s="92">
        <f>(((Table134567891011121314151617343[[#This Row],[FRA]]-VLOOKUP($U$1,A:C,3,))/VLOOKUP($U$1,A:C,3,))*100)+100</f>
        <v>93.614908960306963</v>
      </c>
      <c r="J230" s="92">
        <f>(((Table134567891011121314151617343[[#This Row],[DEU]]-VLOOKUP($U$1,A:D,4,))/VLOOKUP($U$1,A:D,4,))*100)+100</f>
        <v>107.31384119393998</v>
      </c>
      <c r="K230" s="92">
        <f>(((Table134567891011121314151617343[[#This Row],[ESP]]-VLOOKUP($U$1,A:E,5,))/VLOOKUP($U$1,A:E,5,))*100)+100</f>
        <v>89.795703533901886</v>
      </c>
      <c r="L230" s="92">
        <f>(((Table134567891011121314151617343[[#This Row],[EA19]]-VLOOKUP($U$1,A:F,6,))/VLOOKUP($U$1,A:F,6,))*100)+100</f>
        <v>101.90156972470803</v>
      </c>
      <c r="M230" s="92">
        <f>(((Table134567891011121314151617343[[#This Row],[GBR]]-VLOOKUP($U$1,A:G,7,))/VLOOKUP($U$1,A:G,7,))*100)+100</f>
        <v>91.739540656581966</v>
      </c>
      <c r="N230" s="92">
        <f>VLOOKUP(A230,Database!$E:$AY,MATCH($N$1,Database!$E$1:$AY$1,0),FALSE)</f>
        <v>87.442189999999997</v>
      </c>
      <c r="O230" s="92">
        <f>(((Table134567891011121314151617343[[#This Row],[USA]]-VLOOKUP($U$1,A:N,14,))/VLOOKUP($U$1,A:N,14,))*100)+100</f>
        <v>101.31082074192096</v>
      </c>
      <c r="P230" s="92">
        <f>VLOOKUP(A230,Database!$E:$AY,MATCH($P$1,Database!$E$1:$AY$1,0),FALSE)</f>
        <v>86.936269999999993</v>
      </c>
      <c r="Q230" s="92">
        <f>(((Table134567891011121314151617343[[#This Row],[JPN]]-VLOOKUP($U$1,A:Q,16,))/VLOOKUP($U$1,A:Q,16,))*100)+100</f>
        <v>87.282230577339391</v>
      </c>
    </row>
    <row r="231" spans="1:17" s="85" customFormat="1" x14ac:dyDescent="0.2">
      <c r="A231" s="22">
        <v>39845</v>
      </c>
      <c r="B231" s="92">
        <f>VLOOKUP(A231,Database!$E:$AY,MATCH($B$1,Database!$E$1:$AY$1,0),FALSE)</f>
        <v>101.2916</v>
      </c>
      <c r="C231" s="92">
        <f>VLOOKUP(A231,Database!$E:$AY,MATCH($C$1,Database!$E$1:$AY$1,0),FALSE)</f>
        <v>94.840789999999998</v>
      </c>
      <c r="D231" s="92">
        <f>VLOOKUP(A231,Database!$E:$AY,MATCH($D$1,Database!$E$1:$AY$1,0),FALSE)</f>
        <v>78.193479999999994</v>
      </c>
      <c r="E231" s="92">
        <f>VLOOKUP(A231,Database!$E:$AY,MATCH($E$1,Database!$E$1:$AY$1,0),FALSE)</f>
        <v>105.9551</v>
      </c>
      <c r="F231" s="92">
        <f>VLOOKUP(A231,Database!$E:$AY,MATCH($F$1,Database!$E$1:$AY$1,0),FALSE)</f>
        <v>88.985169999999997</v>
      </c>
      <c r="G231" s="92">
        <f>VLOOKUP(A231,Database!$E:$AY,MATCH($G$1,Database!$E$1:$AY$1,0),FALSE)</f>
        <v>98.01003</v>
      </c>
      <c r="H231" s="92">
        <f>(((Table134567891011121314151617343[[#This Row],[ITA]]-VLOOKUP($U$1,A:B,2,))/VLOOKUP($U$1,A:B,2,))*100)+100</f>
        <v>83.30593248287893</v>
      </c>
      <c r="I231" s="92">
        <f>(((Table134567891011121314151617343[[#This Row],[FRA]]-VLOOKUP($U$1,A:C,3,))/VLOOKUP($U$1,A:C,3,))*100)+100</f>
        <v>92.310647463668317</v>
      </c>
      <c r="J231" s="92">
        <f>(((Table134567891011121314151617343[[#This Row],[DEU]]-VLOOKUP($U$1,A:D,4,))/VLOOKUP($U$1,A:D,4,))*100)+100</f>
        <v>103.9893618789758</v>
      </c>
      <c r="K231" s="92">
        <f>(((Table134567891011121314151617343[[#This Row],[ESP]]-VLOOKUP($U$1,A:E,5,))/VLOOKUP($U$1,A:E,5,))*100)+100</f>
        <v>89.229780679629556</v>
      </c>
      <c r="L231" s="92">
        <f>(((Table134567891011121314151617343[[#This Row],[EA19]]-VLOOKUP($U$1,A:F,6,))/VLOOKUP($U$1,A:F,6,))*100)+100</f>
        <v>99.552576436117434</v>
      </c>
      <c r="M231" s="92">
        <f>(((Table134567891011121314151617343[[#This Row],[GBR]]-VLOOKUP($U$1,A:G,7,))/VLOOKUP($U$1,A:G,7,))*100)+100</f>
        <v>91.739540656581966</v>
      </c>
      <c r="N231" s="92">
        <f>VLOOKUP(A231,Database!$E:$AY,MATCH($N$1,Database!$E$1:$AY$1,0),FALSE)</f>
        <v>86.878280000000004</v>
      </c>
      <c r="O231" s="92">
        <f>(((Table134567891011121314151617343[[#This Row],[USA]]-VLOOKUP($U$1,A:N,14,))/VLOOKUP($U$1,A:N,14,))*100)+100</f>
        <v>100.65747268505532</v>
      </c>
      <c r="P231" s="92">
        <f>VLOOKUP(A231,Database!$E:$AY,MATCH($P$1,Database!$E$1:$AY$1,0),FALSE)</f>
        <v>79.648809999999997</v>
      </c>
      <c r="Q231" s="92">
        <f>(((Table134567891011121314151617343[[#This Row],[JPN]]-VLOOKUP($U$1,A:Q,16,))/VLOOKUP($U$1,A:Q,16,))*100)+100</f>
        <v>79.965770323832572</v>
      </c>
    </row>
    <row r="232" spans="1:17" s="85" customFormat="1" x14ac:dyDescent="0.2">
      <c r="A232" s="22">
        <v>39873</v>
      </c>
      <c r="B232" s="92">
        <f>VLOOKUP(A232,Database!$E:$AY,MATCH($B$1,Database!$E$1:$AY$1,0),FALSE)</f>
        <v>97.291889999999995</v>
      </c>
      <c r="C232" s="92">
        <f>VLOOKUP(A232,Database!$E:$AY,MATCH($C$1,Database!$E$1:$AY$1,0),FALSE)</f>
        <v>93.10078</v>
      </c>
      <c r="D232" s="92">
        <f>VLOOKUP(A232,Database!$E:$AY,MATCH($D$1,Database!$E$1:$AY$1,0),FALSE)</f>
        <v>78.493459999999999</v>
      </c>
      <c r="E232" s="92">
        <f>VLOOKUP(A232,Database!$E:$AY,MATCH($E$1,Database!$E$1:$AY$1,0),FALSE)</f>
        <v>102.8391</v>
      </c>
      <c r="F232" s="92">
        <f>VLOOKUP(A232,Database!$E:$AY,MATCH($F$1,Database!$E$1:$AY$1,0),FALSE)</f>
        <v>87.885350000000003</v>
      </c>
      <c r="G232" s="92">
        <f>VLOOKUP(A232,Database!$E:$AY,MATCH($G$1,Database!$E$1:$AY$1,0),FALSE)</f>
        <v>97.698560000000001</v>
      </c>
      <c r="H232" s="92">
        <f>(((Table134567891011121314151617343[[#This Row],[ITA]]-VLOOKUP($U$1,A:B,2,))/VLOOKUP($U$1,A:B,2,))*100)+100</f>
        <v>80.016424061538004</v>
      </c>
      <c r="I232" s="92">
        <f>(((Table134567891011121314151617343[[#This Row],[FRA]]-VLOOKUP($U$1,A:C,3,))/VLOOKUP($U$1,A:C,3,))*100)+100</f>
        <v>90.617057082427749</v>
      </c>
      <c r="J232" s="92">
        <f>(((Table134567891011121314151617343[[#This Row],[DEU]]-VLOOKUP($U$1,A:D,4,))/VLOOKUP($U$1,A:D,4,))*100)+100</f>
        <v>104.38830471636398</v>
      </c>
      <c r="K232" s="92">
        <f>(((Table134567891011121314151617343[[#This Row],[ESP]]-VLOOKUP($U$1,A:E,5,))/VLOOKUP($U$1,A:E,5,))*100)+100</f>
        <v>86.605650301783413</v>
      </c>
      <c r="L232" s="92">
        <f>(((Table134567891011121314151617343[[#This Row],[EA19]]-VLOOKUP($U$1,A:F,6,))/VLOOKUP($U$1,A:F,6,))*100)+100</f>
        <v>98.322147651006716</v>
      </c>
      <c r="M232" s="92">
        <f>(((Table134567891011121314151617343[[#This Row],[GBR]]-VLOOKUP($U$1,A:G,7,))/VLOOKUP($U$1,A:G,7,))*100)+100</f>
        <v>91.447997895822624</v>
      </c>
      <c r="N232" s="92">
        <f>VLOOKUP(A232,Database!$E:$AY,MATCH($N$1,Database!$E$1:$AY$1,0),FALSE)</f>
        <v>85.500720000000001</v>
      </c>
      <c r="O232" s="92">
        <f>(((Table134567891011121314151617343[[#This Row],[USA]]-VLOOKUP($U$1,A:N,14,))/VLOOKUP($U$1,A:N,14,))*100)+100</f>
        <v>99.061426952197522</v>
      </c>
      <c r="P232" s="92">
        <f>VLOOKUP(A232,Database!$E:$AY,MATCH($P$1,Database!$E$1:$AY$1,0),FALSE)</f>
        <v>80.367289999999997</v>
      </c>
      <c r="Q232" s="92">
        <f>(((Table134567891011121314151617343[[#This Row],[JPN]]-VLOOKUP($U$1,A:Q,16,))/VLOOKUP($U$1,A:Q,16,))*100)+100</f>
        <v>80.687109495908942</v>
      </c>
    </row>
    <row r="233" spans="1:17" s="85" customFormat="1" x14ac:dyDescent="0.2">
      <c r="A233" s="22">
        <v>39904</v>
      </c>
      <c r="B233" s="92">
        <f>VLOOKUP(A233,Database!$E:$AY,MATCH($B$1,Database!$E$1:$AY$1,0),FALSE)</f>
        <v>97.791849999999997</v>
      </c>
      <c r="C233" s="92">
        <f>VLOOKUP(A233,Database!$E:$AY,MATCH($C$1,Database!$E$1:$AY$1,0),FALSE)</f>
        <v>93.060779999999994</v>
      </c>
      <c r="D233" s="92">
        <f>VLOOKUP(A233,Database!$E:$AY,MATCH($D$1,Database!$E$1:$AY$1,0),FALSE)</f>
        <v>76.193650000000005</v>
      </c>
      <c r="E233" s="92">
        <f>VLOOKUP(A233,Database!$E:$AY,MATCH($E$1,Database!$E$1:$AY$1,0),FALSE)</f>
        <v>103.9871</v>
      </c>
      <c r="F233" s="92">
        <f>VLOOKUP(A233,Database!$E:$AY,MATCH($F$1,Database!$E$1:$AY$1,0),FALSE)</f>
        <v>86.685550000000006</v>
      </c>
      <c r="G233" s="92">
        <f>VLOOKUP(A233,Database!$E:$AY,MATCH($G$1,Database!$E$1:$AY$1,0),FALSE)</f>
        <v>99.255930000000006</v>
      </c>
      <c r="H233" s="92">
        <f>(((Table134567891011121314151617343[[#This Row],[ITA]]-VLOOKUP($U$1,A:B,2,))/VLOOKUP($U$1,A:B,2,))*100)+100</f>
        <v>80.427609530067869</v>
      </c>
      <c r="I233" s="92">
        <f>(((Table134567891011121314151617343[[#This Row],[FRA]]-VLOOKUP($U$1,A:C,3,))/VLOOKUP($U$1,A:C,3,))*100)+100</f>
        <v>90.57812419396754</v>
      </c>
      <c r="J233" s="92">
        <f>(((Table134567891011121314151617343[[#This Row],[DEU]]-VLOOKUP($U$1,A:D,4,))/VLOOKUP($U$1,A:D,4,))*100)+100</f>
        <v>101.32979172598567</v>
      </c>
      <c r="K233" s="92">
        <f>(((Table134567891011121314151617343[[#This Row],[ESP]]-VLOOKUP($U$1,A:E,5,))/VLOOKUP($U$1,A:E,5,))*100)+100</f>
        <v>87.572435177831991</v>
      </c>
      <c r="L233" s="92">
        <f>(((Table134567891011121314151617343[[#This Row],[EA19]]-VLOOKUP($U$1,A:F,6,))/VLOOKUP($U$1,A:F,6,))*100)+100</f>
        <v>96.979865771812101</v>
      </c>
      <c r="M233" s="92">
        <f>(((Table134567891011121314151617343[[#This Row],[GBR]]-VLOOKUP($U$1,A:G,7,))/VLOOKUP($U$1,A:G,7,))*100)+100</f>
        <v>92.905730420058589</v>
      </c>
      <c r="N233" s="92">
        <f>VLOOKUP(A233,Database!$E:$AY,MATCH($N$1,Database!$E$1:$AY$1,0),FALSE)</f>
        <v>84.818370000000002</v>
      </c>
      <c r="O233" s="92">
        <f>(((Table134567891011121314151617343[[#This Row],[USA]]-VLOOKUP($U$1,A:N,14,))/VLOOKUP($U$1,A:N,14,))*100)+100</f>
        <v>98.270853905785373</v>
      </c>
      <c r="P233" s="92">
        <f>VLOOKUP(A233,Database!$E:$AY,MATCH($P$1,Database!$E$1:$AY$1,0),FALSE)</f>
        <v>83.857060000000004</v>
      </c>
      <c r="Q233" s="92">
        <f>(((Table134567891011121314151617343[[#This Row],[JPN]]-VLOOKUP($U$1,A:Q,16,))/VLOOKUP($U$1,A:Q,16,))*100)+100</f>
        <v>84.190766942931702</v>
      </c>
    </row>
    <row r="234" spans="1:17" s="85" customFormat="1" x14ac:dyDescent="0.2">
      <c r="A234" s="22">
        <v>39934</v>
      </c>
      <c r="B234" s="92">
        <f>VLOOKUP(A234,Database!$E:$AY,MATCH($B$1,Database!$E$1:$AY$1,0),FALSE)</f>
        <v>99.491709999999998</v>
      </c>
      <c r="C234" s="92">
        <f>VLOOKUP(A234,Database!$E:$AY,MATCH($C$1,Database!$E$1:$AY$1,0),FALSE)</f>
        <v>94.160780000000003</v>
      </c>
      <c r="D234" s="92">
        <f>VLOOKUP(A234,Database!$E:$AY,MATCH($D$1,Database!$E$1:$AY$1,0),FALSE)</f>
        <v>79.693359999999998</v>
      </c>
      <c r="E234" s="92">
        <f>VLOOKUP(A234,Database!$E:$AY,MATCH($E$1,Database!$E$1:$AY$1,0),FALSE)</f>
        <v>103.0791</v>
      </c>
      <c r="F234" s="92">
        <f>VLOOKUP(A234,Database!$E:$AY,MATCH($F$1,Database!$E$1:$AY$1,0),FALSE)</f>
        <v>88.685220000000001</v>
      </c>
      <c r="G234" s="92">
        <f>VLOOKUP(A234,Database!$E:$AY,MATCH($G$1,Database!$E$1:$AY$1,0),FALSE)</f>
        <v>97.698560000000001</v>
      </c>
      <c r="H234" s="92">
        <f>(((Table134567891011121314151617343[[#This Row],[ITA]]-VLOOKUP($U$1,A:B,2,))/VLOOKUP($U$1,A:B,2,))*100)+100</f>
        <v>81.825636833322505</v>
      </c>
      <c r="I234" s="92">
        <f>(((Table134567891011121314151617343[[#This Row],[FRA]]-VLOOKUP($U$1,A:C,3,))/VLOOKUP($U$1,A:C,3,))*100)+100</f>
        <v>91.648778626622899</v>
      </c>
      <c r="J234" s="92">
        <f>(((Table134567891011121314151617343[[#This Row],[DEU]]-VLOOKUP($U$1,A:D,4,))/VLOOKUP($U$1,A:D,4,))*100)+100</f>
        <v>105.98404946795431</v>
      </c>
      <c r="K234" s="92">
        <f>(((Table134567891011121314151617343[[#This Row],[ESP]]-VLOOKUP($U$1,A:E,5,))/VLOOKUP($U$1,A:E,5,))*100)+100</f>
        <v>86.807765606880679</v>
      </c>
      <c r="L234" s="92">
        <f>(((Table134567891011121314151617343[[#This Row],[EA19]]-VLOOKUP($U$1,A:F,6,))/VLOOKUP($U$1,A:F,6,))*100)+100</f>
        <v>99.21700596631878</v>
      </c>
      <c r="M234" s="92">
        <f>(((Table134567891011121314151617343[[#This Row],[GBR]]-VLOOKUP($U$1,A:G,7,))/VLOOKUP($U$1,A:G,7,))*100)+100</f>
        <v>91.447997895822624</v>
      </c>
      <c r="N234" s="92">
        <f>VLOOKUP(A234,Database!$E:$AY,MATCH($N$1,Database!$E$1:$AY$1,0),FALSE)</f>
        <v>83.963419999999999</v>
      </c>
      <c r="O234" s="92">
        <f>(((Table134567891011121314151617343[[#This Row],[USA]]-VLOOKUP($U$1,A:N,14,))/VLOOKUP($U$1,A:N,14,))*100)+100</f>
        <v>97.280305908379262</v>
      </c>
      <c r="P234" s="92">
        <f>VLOOKUP(A234,Database!$E:$AY,MATCH($P$1,Database!$E$1:$AY$1,0),FALSE)</f>
        <v>86.936269999999993</v>
      </c>
      <c r="Q234" s="92">
        <f>(((Table134567891011121314151617343[[#This Row],[JPN]]-VLOOKUP($U$1,A:Q,16,))/VLOOKUP($U$1,A:Q,16,))*100)+100</f>
        <v>87.282230577339391</v>
      </c>
    </row>
    <row r="235" spans="1:17" s="85" customFormat="1" x14ac:dyDescent="0.2">
      <c r="A235" s="22">
        <v>39965</v>
      </c>
      <c r="B235" s="92">
        <f>VLOOKUP(A235,Database!$E:$AY,MATCH($B$1,Database!$E$1:$AY$1,0),FALSE)</f>
        <v>98.79177</v>
      </c>
      <c r="C235" s="92">
        <f>VLOOKUP(A235,Database!$E:$AY,MATCH($C$1,Database!$E$1:$AY$1,0),FALSE)</f>
        <v>95.390789999999996</v>
      </c>
      <c r="D235" s="92">
        <f>VLOOKUP(A235,Database!$E:$AY,MATCH($D$1,Database!$E$1:$AY$1,0),FALSE)</f>
        <v>80.293310000000005</v>
      </c>
      <c r="E235" s="92">
        <f>VLOOKUP(A235,Database!$E:$AY,MATCH($E$1,Database!$E$1:$AY$1,0),FALSE)</f>
        <v>103.8681</v>
      </c>
      <c r="F235" s="92">
        <f>VLOOKUP(A235,Database!$E:$AY,MATCH($F$1,Database!$E$1:$AY$1,0),FALSE)</f>
        <v>89.285120000000006</v>
      </c>
      <c r="G235" s="92">
        <f>VLOOKUP(A235,Database!$E:$AY,MATCH($G$1,Database!$E$1:$AY$1,0),FALSE)</f>
        <v>98.217680000000001</v>
      </c>
      <c r="H235" s="92">
        <f>(((Table134567891011121314151617343[[#This Row],[ITA]]-VLOOKUP($U$1,A:B,2,))/VLOOKUP($U$1,A:B,2,))*100)+100</f>
        <v>81.249980467127614</v>
      </c>
      <c r="I235" s="92">
        <f>(((Table134567891011121314151617343[[#This Row],[FRA]]-VLOOKUP($U$1,A:C,3,))/VLOOKUP($U$1,A:C,3,))*100)+100</f>
        <v>92.84597467999599</v>
      </c>
      <c r="J235" s="92">
        <f>(((Table134567891011121314151617343[[#This Row],[DEU]]-VLOOKUP($U$1,A:D,4,))/VLOOKUP($U$1,A:D,4,))*100)+100</f>
        <v>106.78192184374947</v>
      </c>
      <c r="K235" s="92">
        <f>(((Table134567891011121314151617343[[#This Row],[ESP]]-VLOOKUP($U$1,A:E,5,))/VLOOKUP($U$1,A:E,5,))*100)+100</f>
        <v>87.472219672387922</v>
      </c>
      <c r="L235" s="92">
        <f>(((Table134567891011121314151617343[[#This Row],[EA19]]-VLOOKUP($U$1,A:F,6,))/VLOOKUP($U$1,A:F,6,))*100)+100</f>
        <v>99.888146905916102</v>
      </c>
      <c r="M235" s="92">
        <f>(((Table134567891011121314151617343[[#This Row],[GBR]]-VLOOKUP($U$1,A:G,7,))/VLOOKUP($U$1,A:G,7,))*100)+100</f>
        <v>91.9339056171614</v>
      </c>
      <c r="N235" s="92">
        <f>VLOOKUP(A235,Database!$E:$AY,MATCH($N$1,Database!$E$1:$AY$1,0),FALSE)</f>
        <v>83.635599999999997</v>
      </c>
      <c r="O235" s="92">
        <f>(((Table134567891011121314151617343[[#This Row],[USA]]-VLOOKUP($U$1,A:N,14,))/VLOOKUP($U$1,A:N,14,))*100)+100</f>
        <v>96.900492533901598</v>
      </c>
      <c r="P235" s="92">
        <f>VLOOKUP(A235,Database!$E:$AY,MATCH($P$1,Database!$E$1:$AY$1,0),FALSE)</f>
        <v>88.373239999999996</v>
      </c>
      <c r="Q235" s="92">
        <f>(((Table134567891011121314151617343[[#This Row],[JPN]]-VLOOKUP($U$1,A:Q,16,))/VLOOKUP($U$1,A:Q,16,))*100)+100</f>
        <v>88.724918961286846</v>
      </c>
    </row>
    <row r="236" spans="1:17" s="85" customFormat="1" x14ac:dyDescent="0.2">
      <c r="A236" s="22">
        <v>39995</v>
      </c>
      <c r="B236" s="92">
        <f>VLOOKUP(A236,Database!$E:$AY,MATCH($B$1,Database!$E$1:$AY$1,0),FALSE)</f>
        <v>100.8916</v>
      </c>
      <c r="C236" s="92">
        <f>VLOOKUP(A236,Database!$E:$AY,MATCH($C$1,Database!$E$1:$AY$1,0),FALSE)</f>
        <v>95.01079</v>
      </c>
      <c r="D236" s="92">
        <f>VLOOKUP(A236,Database!$E:$AY,MATCH($D$1,Database!$E$1:$AY$1,0),FALSE)</f>
        <v>79.493380000000002</v>
      </c>
      <c r="E236" s="92">
        <f>VLOOKUP(A236,Database!$E:$AY,MATCH($E$1,Database!$E$1:$AY$1,0),FALSE)</f>
        <v>104.7851</v>
      </c>
      <c r="F236" s="92">
        <f>VLOOKUP(A236,Database!$E:$AY,MATCH($F$1,Database!$E$1:$AY$1,0),FALSE)</f>
        <v>89.385099999999994</v>
      </c>
      <c r="G236" s="92">
        <f>VLOOKUP(A236,Database!$E:$AY,MATCH($G$1,Database!$E$1:$AY$1,0),FALSE)</f>
        <v>99.463579999999993</v>
      </c>
      <c r="H236" s="92">
        <f>(((Table134567891011121314151617343[[#This Row],[ITA]]-VLOOKUP($U$1,A:B,2,))/VLOOKUP($U$1,A:B,2,))*100)+100</f>
        <v>82.976957790079595</v>
      </c>
      <c r="I236" s="92">
        <f>(((Table134567891011121314151617343[[#This Row],[FRA]]-VLOOKUP($U$1,A:C,3,))/VLOOKUP($U$1,A:C,3,))*100)+100</f>
        <v>92.476112239624143</v>
      </c>
      <c r="J236" s="92">
        <f>(((Table134567891011121314151617343[[#This Row],[DEU]]-VLOOKUP($U$1,A:D,4,))/VLOOKUP($U$1,A:D,4,))*100)+100</f>
        <v>105.71809644234965</v>
      </c>
      <c r="K236" s="92">
        <f>(((Table134567891011121314151617343[[#This Row],[ESP]]-VLOOKUP($U$1,A:E,5,))/VLOOKUP($U$1,A:E,5,))*100)+100</f>
        <v>88.244468567280393</v>
      </c>
      <c r="L236" s="92">
        <f>(((Table134567891011121314151617343[[#This Row],[EA19]]-VLOOKUP($U$1,A:F,6,))/VLOOKUP($U$1,A:F,6,))*100)+100</f>
        <v>100</v>
      </c>
      <c r="M236" s="92">
        <f>(((Table134567891011121314151617343[[#This Row],[GBR]]-VLOOKUP($U$1,A:G,7,))/VLOOKUP($U$1,A:G,7,))*100)+100</f>
        <v>93.10009538063801</v>
      </c>
      <c r="N236" s="92">
        <f>VLOOKUP(A236,Database!$E:$AY,MATCH($N$1,Database!$E$1:$AY$1,0),FALSE)</f>
        <v>84.555859999999996</v>
      </c>
      <c r="O236" s="92">
        <f>(((Table134567891011121314151617343[[#This Row],[USA]]-VLOOKUP($U$1,A:N,14,))/VLOOKUP($U$1,A:N,14,))*100)+100</f>
        <v>97.966708920933527</v>
      </c>
      <c r="P236" s="92">
        <f>VLOOKUP(A236,Database!$E:$AY,MATCH($P$1,Database!$E$1:$AY$1,0),FALSE)</f>
        <v>89.399640000000005</v>
      </c>
      <c r="Q236" s="92">
        <f>(((Table134567891011121314151617343[[#This Row],[JPN]]-VLOOKUP($U$1,A:Q,16,))/VLOOKUP($U$1,A:Q,16,))*100)+100</f>
        <v>89.755403492824513</v>
      </c>
    </row>
    <row r="237" spans="1:17" s="85" customFormat="1" x14ac:dyDescent="0.2">
      <c r="A237" s="22">
        <v>40026</v>
      </c>
      <c r="B237" s="92">
        <f>VLOOKUP(A237,Database!$E:$AY,MATCH($B$1,Database!$E$1:$AY$1,0),FALSE)</f>
        <v>98.59178</v>
      </c>
      <c r="C237" s="92">
        <f>VLOOKUP(A237,Database!$E:$AY,MATCH($C$1,Database!$E$1:$AY$1,0),FALSE)</f>
        <v>96.600809999999996</v>
      </c>
      <c r="D237" s="92">
        <f>VLOOKUP(A237,Database!$E:$AY,MATCH($D$1,Database!$E$1:$AY$1,0),FALSE)</f>
        <v>80.493290000000002</v>
      </c>
      <c r="E237" s="92">
        <f>VLOOKUP(A237,Database!$E:$AY,MATCH($E$1,Database!$E$1:$AY$1,0),FALSE)</f>
        <v>104.9461</v>
      </c>
      <c r="F237" s="92">
        <f>VLOOKUP(A237,Database!$E:$AY,MATCH($F$1,Database!$E$1:$AY$1,0),FALSE)</f>
        <v>89.385099999999994</v>
      </c>
      <c r="G237" s="92">
        <f>VLOOKUP(A237,Database!$E:$AY,MATCH($G$1,Database!$E$1:$AY$1,0),FALSE)</f>
        <v>96.971789999999999</v>
      </c>
      <c r="H237" s="92">
        <f>(((Table134567891011121314151617343[[#This Row],[ITA]]-VLOOKUP($U$1,A:B,2,))/VLOOKUP($U$1,A:B,2,))*100)+100</f>
        <v>81.085501345095281</v>
      </c>
      <c r="I237" s="92">
        <f>(((Table134567891011121314151617343[[#This Row],[FRA]]-VLOOKUP($U$1,A:C,3,))/VLOOKUP($U$1,A:C,3,))*100)+100</f>
        <v>94.023714022361105</v>
      </c>
      <c r="J237" s="92">
        <f>(((Table134567891011121314151617343[[#This Row],[DEU]]-VLOOKUP($U$1,A:D,4,))/VLOOKUP($U$1,A:D,4,))*100)+100</f>
        <v>107.04787486935413</v>
      </c>
      <c r="K237" s="92">
        <f>(((Table134567891011121314151617343[[#This Row],[ESP]]-VLOOKUP($U$1,A:E,5,))/VLOOKUP($U$1,A:E,5,))*100)+100</f>
        <v>88.380054251116476</v>
      </c>
      <c r="L237" s="92">
        <f>(((Table134567891011121314151617343[[#This Row],[EA19]]-VLOOKUP($U$1,A:F,6,))/VLOOKUP($U$1,A:F,6,))*100)+100</f>
        <v>100</v>
      </c>
      <c r="M237" s="92">
        <f>(((Table134567891011121314151617343[[#This Row],[GBR]]-VLOOKUP($U$1,A:G,7,))/VLOOKUP($U$1,A:G,7,))*100)+100</f>
        <v>90.767725213904413</v>
      </c>
      <c r="N237" s="92">
        <f>VLOOKUP(A237,Database!$E:$AY,MATCH($N$1,Database!$E$1:$AY$1,0),FALSE)</f>
        <v>85.503600000000006</v>
      </c>
      <c r="O237" s="92">
        <f>(((Table134567891011121314151617343[[#This Row],[USA]]-VLOOKUP($U$1,A:N,14,))/VLOOKUP($U$1,A:N,14,))*100)+100</f>
        <v>99.064763730058843</v>
      </c>
      <c r="P237" s="92">
        <f>VLOOKUP(A237,Database!$E:$AY,MATCH($P$1,Database!$E$1:$AY$1,0),FALSE)</f>
        <v>90.733959999999996</v>
      </c>
      <c r="Q237" s="92">
        <f>(((Table134567891011121314151617343[[#This Row],[JPN]]-VLOOKUP($U$1,A:Q,16,))/VLOOKUP($U$1,A:Q,16,))*100)+100</f>
        <v>91.095033383823463</v>
      </c>
    </row>
    <row r="238" spans="1:17" s="85" customFormat="1" x14ac:dyDescent="0.2">
      <c r="A238" s="22">
        <v>40057</v>
      </c>
      <c r="B238" s="92">
        <f>VLOOKUP(A238,Database!$E:$AY,MATCH($B$1,Database!$E$1:$AY$1,0),FALSE)</f>
        <v>101.5915</v>
      </c>
      <c r="C238" s="92">
        <f>VLOOKUP(A238,Database!$E:$AY,MATCH($C$1,Database!$E$1:$AY$1,0),FALSE)</f>
        <v>97.090810000000005</v>
      </c>
      <c r="D238" s="92">
        <f>VLOOKUP(A238,Database!$E:$AY,MATCH($D$1,Database!$E$1:$AY$1,0),FALSE)</f>
        <v>84.09299</v>
      </c>
      <c r="E238" s="92">
        <f>VLOOKUP(A238,Database!$E:$AY,MATCH($E$1,Database!$E$1:$AY$1,0),FALSE)</f>
        <v>106.01609999999999</v>
      </c>
      <c r="F238" s="92">
        <f>VLOOKUP(A238,Database!$E:$AY,MATCH($F$1,Database!$E$1:$AY$1,0),FALSE)</f>
        <v>91.584739999999996</v>
      </c>
      <c r="G238" s="92">
        <f>VLOOKUP(A238,Database!$E:$AY,MATCH($G$1,Database!$E$1:$AY$1,0),FALSE)</f>
        <v>98.113860000000003</v>
      </c>
      <c r="H238" s="92">
        <f>(((Table134567891011121314151617343[[#This Row],[ITA]]-VLOOKUP($U$1,A:B,2,))/VLOOKUP($U$1,A:B,2,))*100)+100</f>
        <v>83.552581258805219</v>
      </c>
      <c r="I238" s="92">
        <f>(((Table134567891011121314151617343[[#This Row],[FRA]]-VLOOKUP($U$1,A:C,3,))/VLOOKUP($U$1,A:C,3,))*100)+100</f>
        <v>94.500641905998492</v>
      </c>
      <c r="J238" s="92">
        <f>(((Table134567891011121314151617343[[#This Row],[DEU]]-VLOOKUP($U$1,A:D,4,))/VLOOKUP($U$1,A:D,4,))*100)+100</f>
        <v>111.83510912412511</v>
      </c>
      <c r="K238" s="92">
        <f>(((Table134567891011121314151617343[[#This Row],[ESP]]-VLOOKUP($U$1,A:E,5,))/VLOOKUP($U$1,A:E,5,))*100)+100</f>
        <v>89.281151653008436</v>
      </c>
      <c r="L238" s="92">
        <f>(((Table134567891011121314151617343[[#This Row],[EA19]]-VLOOKUP($U$1,A:F,6,))/VLOOKUP($U$1,A:F,6,))*100)+100</f>
        <v>102.46085757022144</v>
      </c>
      <c r="M238" s="92">
        <f>(((Table134567891011121314151617343[[#This Row],[GBR]]-VLOOKUP($U$1,A:G,7,))/VLOOKUP($U$1,A:G,7,))*100)+100</f>
        <v>91.836727816981508</v>
      </c>
      <c r="N238" s="92">
        <f>VLOOKUP(A238,Database!$E:$AY,MATCH($N$1,Database!$E$1:$AY$1,0),FALSE)</f>
        <v>86.150599999999997</v>
      </c>
      <c r="O238" s="92">
        <f>(((Table134567891011121314151617343[[#This Row],[USA]]-VLOOKUP($U$1,A:N,14,))/VLOOKUP($U$1,A:N,14,))*100)+100</f>
        <v>99.814380145430206</v>
      </c>
      <c r="P238" s="92">
        <f>VLOOKUP(A238,Database!$E:$AY,MATCH($P$1,Database!$E$1:$AY$1,0),FALSE)</f>
        <v>93.505250000000004</v>
      </c>
      <c r="Q238" s="92">
        <f>(((Table134567891011121314151617343[[#This Row],[JPN]]-VLOOKUP($U$1,A:Q,16,))/VLOOKUP($U$1,A:Q,16,))*100)+100</f>
        <v>93.877351658769868</v>
      </c>
    </row>
    <row r="239" spans="1:17" s="85" customFormat="1" x14ac:dyDescent="0.2">
      <c r="A239" s="22">
        <v>40087</v>
      </c>
      <c r="B239" s="92">
        <f>VLOOKUP(A239,Database!$E:$AY,MATCH($B$1,Database!$E$1:$AY$1,0),FALSE)</f>
        <v>103.1914</v>
      </c>
      <c r="C239" s="92">
        <f>VLOOKUP(A239,Database!$E:$AY,MATCH($C$1,Database!$E$1:$AY$1,0),FALSE)</f>
        <v>96.440799999999996</v>
      </c>
      <c r="D239" s="92">
        <f>VLOOKUP(A239,Database!$E:$AY,MATCH($D$1,Database!$E$1:$AY$1,0),FALSE)</f>
        <v>82.293139999999994</v>
      </c>
      <c r="E239" s="92">
        <f>VLOOKUP(A239,Database!$E:$AY,MATCH($E$1,Database!$E$1:$AY$1,0),FALSE)</f>
        <v>105.1631</v>
      </c>
      <c r="F239" s="92">
        <f>VLOOKUP(A239,Database!$E:$AY,MATCH($F$1,Database!$E$1:$AY$1,0),FALSE)</f>
        <v>91.184799999999996</v>
      </c>
      <c r="G239" s="92">
        <f>VLOOKUP(A239,Database!$E:$AY,MATCH($G$1,Database!$E$1:$AY$1,0),FALSE)</f>
        <v>98.529160000000005</v>
      </c>
      <c r="H239" s="92">
        <f>(((Table134567891011121314151617343[[#This Row],[ITA]]-VLOOKUP($U$1,A:B,2,))/VLOOKUP($U$1,A:B,2,))*100)+100</f>
        <v>84.868397786329297</v>
      </c>
      <c r="I239" s="92">
        <f>(((Table134567891011121314151617343[[#This Row],[FRA]]-VLOOKUP($U$1,A:C,3,))/VLOOKUP($U$1,A:C,3,))*100)+100</f>
        <v>93.86797273529821</v>
      </c>
      <c r="J239" s="92">
        <f>(((Table134567891011121314151617343[[#This Row],[DEU]]-VLOOKUP($U$1,A:D,4,))/VLOOKUP($U$1,A:D,4,))*100)+100</f>
        <v>109.44149199673961</v>
      </c>
      <c r="K239" s="92">
        <f>(((Table134567891011121314151617343[[#This Row],[ESP]]-VLOOKUP($U$1,A:E,5,))/VLOOKUP($U$1,A:E,5,))*100)+100</f>
        <v>88.562800172808579</v>
      </c>
      <c r="L239" s="92">
        <f>(((Table134567891011121314151617343[[#This Row],[EA19]]-VLOOKUP($U$1,A:F,6,))/VLOOKUP($U$1,A:F,6,))*100)+100</f>
        <v>102.01342281879195</v>
      </c>
      <c r="M239" s="92">
        <f>(((Table134567891011121314151617343[[#This Row],[GBR]]-VLOOKUP($U$1,A:G,7,))/VLOOKUP($U$1,A:G,7,))*100)+100</f>
        <v>92.225457738140378</v>
      </c>
      <c r="N239" s="92">
        <f>VLOOKUP(A239,Database!$E:$AY,MATCH($N$1,Database!$E$1:$AY$1,0),FALSE)</f>
        <v>86.426360000000003</v>
      </c>
      <c r="O239" s="92">
        <f>(((Table134567891011121314151617343[[#This Row],[USA]]-VLOOKUP($U$1,A:N,14,))/VLOOKUP($U$1,A:N,14,))*100)+100</f>
        <v>100.13387662565094</v>
      </c>
      <c r="P239" s="92">
        <f>VLOOKUP(A239,Database!$E:$AY,MATCH($P$1,Database!$E$1:$AY$1,0),FALSE)</f>
        <v>96.071250000000006</v>
      </c>
      <c r="Q239" s="92">
        <f>(((Table134567891011121314151617343[[#This Row],[JPN]]-VLOOKUP($U$1,A:Q,16,))/VLOOKUP($U$1,A:Q,16,))*100)+100</f>
        <v>96.453562987614021</v>
      </c>
    </row>
    <row r="240" spans="1:17" s="85" customFormat="1" x14ac:dyDescent="0.2">
      <c r="A240" s="22">
        <v>40118</v>
      </c>
      <c r="B240" s="92">
        <f>VLOOKUP(A240,Database!$E:$AY,MATCH($B$1,Database!$E$1:$AY$1,0),FALSE)</f>
        <v>103.4914</v>
      </c>
      <c r="C240" s="92">
        <f>VLOOKUP(A240,Database!$E:$AY,MATCH($C$1,Database!$E$1:$AY$1,0),FALSE)</f>
        <v>97.380809999999997</v>
      </c>
      <c r="D240" s="92">
        <f>VLOOKUP(A240,Database!$E:$AY,MATCH($D$1,Database!$E$1:$AY$1,0),FALSE)</f>
        <v>83.293059999999997</v>
      </c>
      <c r="E240" s="92">
        <f>VLOOKUP(A240,Database!$E:$AY,MATCH($E$1,Database!$E$1:$AY$1,0),FALSE)</f>
        <v>104.6491</v>
      </c>
      <c r="F240" s="92">
        <f>VLOOKUP(A240,Database!$E:$AY,MATCH($F$1,Database!$E$1:$AY$1,0),FALSE)</f>
        <v>91.384770000000003</v>
      </c>
      <c r="G240" s="92">
        <f>VLOOKUP(A240,Database!$E:$AY,MATCH($G$1,Database!$E$1:$AY$1,0),FALSE)</f>
        <v>99.255930000000006</v>
      </c>
      <c r="H240" s="92">
        <f>(((Table134567891011121314151617343[[#This Row],[ITA]]-VLOOKUP($U$1,A:B,2,))/VLOOKUP($U$1,A:B,2,))*100)+100</f>
        <v>85.115128805928777</v>
      </c>
      <c r="I240" s="92">
        <f>(((Table134567891011121314151617343[[#This Row],[FRA]]-VLOOKUP($U$1,A:C,3,))/VLOOKUP($U$1,A:C,3,))*100)+100</f>
        <v>94.782905347334903</v>
      </c>
      <c r="J240" s="92">
        <f>(((Table134567891011121314151617343[[#This Row],[DEU]]-VLOOKUP($U$1,A:D,4,))/VLOOKUP($U$1,A:D,4,))*100)+100</f>
        <v>110.77128372272529</v>
      </c>
      <c r="K240" s="92">
        <f>(((Table134567891011121314151617343[[#This Row],[ESP]]-VLOOKUP($U$1,A:E,5,))/VLOOKUP($U$1,A:E,5,))*100)+100</f>
        <v>88.129936561058614</v>
      </c>
      <c r="L240" s="92">
        <f>(((Table134567891011121314151617343[[#This Row],[EA19]]-VLOOKUP($U$1,A:F,6,))/VLOOKUP($U$1,A:F,6,))*100)+100</f>
        <v>102.23714019450671</v>
      </c>
      <c r="M240" s="92">
        <f>(((Table134567891011121314151617343[[#This Row],[GBR]]-VLOOKUP($U$1,A:G,7,))/VLOOKUP($U$1,A:G,7,))*100)+100</f>
        <v>92.905730420058589</v>
      </c>
      <c r="N240" s="92">
        <f>VLOOKUP(A240,Database!$E:$AY,MATCH($N$1,Database!$E$1:$AY$1,0),FALSE)</f>
        <v>86.770030000000006</v>
      </c>
      <c r="O240" s="92">
        <f>(((Table134567891011121314151617343[[#This Row],[USA]]-VLOOKUP($U$1,A:N,14,))/VLOOKUP($U$1,A:N,14,))*100)+100</f>
        <v>100.53205386440007</v>
      </c>
      <c r="P240" s="92">
        <f>VLOOKUP(A240,Database!$E:$AY,MATCH($P$1,Database!$E$1:$AY$1,0),FALSE)</f>
        <v>98.021420000000006</v>
      </c>
      <c r="Q240" s="92">
        <f>(((Table134567891011121314151617343[[#This Row],[JPN]]-VLOOKUP($U$1,A:Q,16,))/VLOOKUP($U$1,A:Q,16,))*100)+100</f>
        <v>98.411493637330295</v>
      </c>
    </row>
    <row r="241" spans="1:17" s="85" customFormat="1" x14ac:dyDescent="0.2">
      <c r="A241" s="22">
        <v>40148</v>
      </c>
      <c r="B241" s="92">
        <f>VLOOKUP(A241,Database!$E:$AY,MATCH($B$1,Database!$E$1:$AY$1,0),FALSE)</f>
        <v>102.0915</v>
      </c>
      <c r="C241" s="92">
        <f>VLOOKUP(A241,Database!$E:$AY,MATCH($C$1,Database!$E$1:$AY$1,0),FALSE)</f>
        <v>97.08081</v>
      </c>
      <c r="D241" s="92">
        <f>VLOOKUP(A241,Database!$E:$AY,MATCH($D$1,Database!$E$1:$AY$1,0),FALSE)</f>
        <v>83.293059999999997</v>
      </c>
      <c r="E241" s="92">
        <f>VLOOKUP(A241,Database!$E:$AY,MATCH($E$1,Database!$E$1:$AY$1,0),FALSE)</f>
        <v>105.6591</v>
      </c>
      <c r="F241" s="92">
        <f>VLOOKUP(A241,Database!$E:$AY,MATCH($F$1,Database!$E$1:$AY$1,0),FALSE)</f>
        <v>91.484750000000005</v>
      </c>
      <c r="G241" s="92">
        <f>VLOOKUP(A241,Database!$E:$AY,MATCH($G$1,Database!$E$1:$AY$1,0),FALSE)</f>
        <v>99.048280000000005</v>
      </c>
      <c r="H241" s="92">
        <f>(((Table134567891011121314151617343[[#This Row],[ITA]]-VLOOKUP($U$1,A:B,2,))/VLOOKUP($U$1,A:B,2,))*100)+100</f>
        <v>83.963799624804366</v>
      </c>
      <c r="I241" s="92">
        <f>(((Table134567891011121314151617343[[#This Row],[FRA]]-VLOOKUP($U$1,A:C,3,))/VLOOKUP($U$1,A:C,3,))*100)+100</f>
        <v>94.490908683883447</v>
      </c>
      <c r="J241" s="92">
        <f>(((Table134567891011121314151617343[[#This Row],[DEU]]-VLOOKUP($U$1,A:D,4,))/VLOOKUP($U$1,A:D,4,))*100)+100</f>
        <v>110.77128372272529</v>
      </c>
      <c r="K241" s="92">
        <f>(((Table134567891011121314151617343[[#This Row],[ESP]]-VLOOKUP($U$1,A:E,5,))/VLOOKUP($U$1,A:E,5,))*100)+100</f>
        <v>88.980505136676257</v>
      </c>
      <c r="L241" s="92">
        <f>(((Table134567891011121314151617343[[#This Row],[EA19]]-VLOOKUP($U$1,A:F,6,))/VLOOKUP($U$1,A:F,6,))*100)+100</f>
        <v>102.34899328859062</v>
      </c>
      <c r="M241" s="92">
        <f>(((Table134567891011121314151617343[[#This Row],[GBR]]-VLOOKUP($U$1,A:G,7,))/VLOOKUP($U$1,A:G,7,))*100)+100</f>
        <v>92.711365459479154</v>
      </c>
      <c r="N241" s="92">
        <f>VLOOKUP(A241,Database!$E:$AY,MATCH($N$1,Database!$E$1:$AY$1,0),FALSE)</f>
        <v>87.034840000000003</v>
      </c>
      <c r="O241" s="92">
        <f>(((Table134567891011121314151617343[[#This Row],[USA]]-VLOOKUP($U$1,A:N,14,))/VLOOKUP($U$1,A:N,14,))*100)+100</f>
        <v>100.83886363712726</v>
      </c>
      <c r="P241" s="92">
        <f>VLOOKUP(A241,Database!$E:$AY,MATCH($P$1,Database!$E$1:$AY$1,0),FALSE)</f>
        <v>98.84254</v>
      </c>
      <c r="Q241" s="92">
        <f>(((Table134567891011121314151617343[[#This Row],[JPN]]-VLOOKUP($U$1,A:Q,16,))/VLOOKUP($U$1,A:Q,16,))*100)+100</f>
        <v>99.235881262560412</v>
      </c>
    </row>
    <row r="242" spans="1:17" s="85" customFormat="1" x14ac:dyDescent="0.2">
      <c r="A242" s="22">
        <v>40179</v>
      </c>
      <c r="B242" s="92">
        <f>VLOOKUP(A242,Database!$E:$AY,MATCH($B$1,Database!$E$1:$AY$1,0),FALSE)</f>
        <v>105.69119999999999</v>
      </c>
      <c r="C242" s="92">
        <f>VLOOKUP(A242,Database!$E:$AY,MATCH($C$1,Database!$E$1:$AY$1,0),FALSE)</f>
        <v>98.120819999999995</v>
      </c>
      <c r="D242" s="92">
        <f>VLOOKUP(A242,Database!$E:$AY,MATCH($D$1,Database!$E$1:$AY$1,0),FALSE)</f>
        <v>84.09299</v>
      </c>
      <c r="E242" s="92">
        <f>VLOOKUP(A242,Database!$E:$AY,MATCH($E$1,Database!$E$1:$AY$1,0),FALSE)</f>
        <v>104.3121</v>
      </c>
      <c r="F242" s="92">
        <f>VLOOKUP(A242,Database!$E:$AY,MATCH($F$1,Database!$E$1:$AY$1,0),FALSE)</f>
        <v>93.084490000000002</v>
      </c>
      <c r="G242" s="92">
        <f>VLOOKUP(A242,Database!$E:$AY,MATCH($G$1,Database!$E$1:$AY$1,0),FALSE)</f>
        <v>99.463579999999993</v>
      </c>
      <c r="H242" s="92">
        <f>(((Table134567891011121314151617343[[#This Row],[ITA]]-VLOOKUP($U$1,A:B,2,))/VLOOKUP($U$1,A:B,2,))*100)+100</f>
        <v>86.924325128978637</v>
      </c>
      <c r="I242" s="92">
        <f>(((Table134567891011121314151617343[[#This Row],[FRA]]-VLOOKUP($U$1,A:C,3,))/VLOOKUP($U$1,A:C,3,))*100)+100</f>
        <v>95.503173517070607</v>
      </c>
      <c r="J242" s="92">
        <f>(((Table134567891011121314151617343[[#This Row],[DEU]]-VLOOKUP($U$1,A:D,4,))/VLOOKUP($U$1,A:D,4,))*100)+100</f>
        <v>111.83510912412511</v>
      </c>
      <c r="K242" s="92">
        <f>(((Table134567891011121314151617343[[#This Row],[ESP]]-VLOOKUP($U$1,A:E,5,))/VLOOKUP($U$1,A:E,5,))*100)+100</f>
        <v>87.846132986817864</v>
      </c>
      <c r="L242" s="92">
        <f>(((Table134567891011121314151617343[[#This Row],[EA19]]-VLOOKUP($U$1,A:F,6,))/VLOOKUP($U$1,A:F,6,))*100)+100</f>
        <v>104.13870991921473</v>
      </c>
      <c r="M242" s="92">
        <f>(((Table134567891011121314151617343[[#This Row],[GBR]]-VLOOKUP($U$1,A:G,7,))/VLOOKUP($U$1,A:G,7,))*100)+100</f>
        <v>93.10009538063801</v>
      </c>
      <c r="N242" s="92">
        <f>VLOOKUP(A242,Database!$E:$AY,MATCH($N$1,Database!$E$1:$AY$1,0),FALSE)</f>
        <v>88.044330000000002</v>
      </c>
      <c r="O242" s="92">
        <f>(((Table134567891011121314151617343[[#This Row],[USA]]-VLOOKUP($U$1,A:N,14,))/VLOOKUP($U$1,A:N,14,))*100)+100</f>
        <v>102.00846220768869</v>
      </c>
      <c r="P242" s="92">
        <f>VLOOKUP(A242,Database!$E:$AY,MATCH($P$1,Database!$E$1:$AY$1,0),FALSE)</f>
        <v>101.1006</v>
      </c>
      <c r="Q242" s="92">
        <f>(((Table134567891011121314151617343[[#This Row],[JPN]]-VLOOKUP($U$1,A:Q,16,))/VLOOKUP($U$1,A:Q,16,))*100)+100</f>
        <v>101.50292715235379</v>
      </c>
    </row>
    <row r="243" spans="1:17" s="85" customFormat="1" x14ac:dyDescent="0.2">
      <c r="A243" s="22">
        <v>40210</v>
      </c>
      <c r="B243" s="92">
        <f>VLOOKUP(A243,Database!$E:$AY,MATCH($B$1,Database!$E$1:$AY$1,0),FALSE)</f>
        <v>104.6913</v>
      </c>
      <c r="C243" s="92">
        <f>VLOOKUP(A243,Database!$E:$AY,MATCH($C$1,Database!$E$1:$AY$1,0),FALSE)</f>
        <v>97.500810000000001</v>
      </c>
      <c r="D243" s="92">
        <f>VLOOKUP(A243,Database!$E:$AY,MATCH($D$1,Database!$E$1:$AY$1,0),FALSE)</f>
        <v>83.293059999999997</v>
      </c>
      <c r="E243" s="92">
        <f>VLOOKUP(A243,Database!$E:$AY,MATCH($E$1,Database!$E$1:$AY$1,0),FALSE)</f>
        <v>104.1621</v>
      </c>
      <c r="F243" s="92">
        <f>VLOOKUP(A243,Database!$E:$AY,MATCH($F$1,Database!$E$1:$AY$1,0),FALSE)</f>
        <v>92.584569999999999</v>
      </c>
      <c r="G243" s="92">
        <f>VLOOKUP(A243,Database!$E:$AY,MATCH($G$1,Database!$E$1:$AY$1,0),FALSE)</f>
        <v>100.6056</v>
      </c>
      <c r="H243" s="92">
        <f>(((Table134567891011121314151617343[[#This Row],[ITA]]-VLOOKUP($U$1,A:B,2,))/VLOOKUP($U$1,A:B,2,))*100)+100</f>
        <v>86.101970640653533</v>
      </c>
      <c r="I243" s="92">
        <f>(((Table134567891011121314151617343[[#This Row],[FRA]]-VLOOKUP($U$1,A:C,3,))/VLOOKUP($U$1,A:C,3,))*100)+100</f>
        <v>94.899704012715489</v>
      </c>
      <c r="J243" s="92">
        <f>(((Table134567891011121314151617343[[#This Row],[DEU]]-VLOOKUP($U$1,A:D,4,))/VLOOKUP($U$1,A:D,4,))*100)+100</f>
        <v>110.77128372272529</v>
      </c>
      <c r="K243" s="92">
        <f>(((Table134567891011121314151617343[[#This Row],[ESP]]-VLOOKUP($U$1,A:E,5,))/VLOOKUP($U$1,A:E,5,))*100)+100</f>
        <v>87.71981092113208</v>
      </c>
      <c r="L243" s="92">
        <f>(((Table134567891011121314151617343[[#This Row],[EA19]]-VLOOKUP($U$1,A:F,6,))/VLOOKUP($U$1,A:F,6,))*100)+100</f>
        <v>103.57942207370132</v>
      </c>
      <c r="M243" s="92">
        <f>(((Table134567891011121314151617343[[#This Row],[GBR]]-VLOOKUP($U$1,A:G,7,))/VLOOKUP($U$1,A:G,7,))*100)+100</f>
        <v>94.169051182616954</v>
      </c>
      <c r="N243" s="92">
        <f>VLOOKUP(A243,Database!$E:$AY,MATCH($N$1,Database!$E$1:$AY$1,0),FALSE)</f>
        <v>88.361109999999996</v>
      </c>
      <c r="O243" s="92">
        <f>(((Table134567891011121314151617343[[#This Row],[USA]]-VLOOKUP($U$1,A:N,14,))/VLOOKUP($U$1,A:N,14,))*100)+100</f>
        <v>102.37548460036464</v>
      </c>
      <c r="P243" s="92">
        <f>VLOOKUP(A243,Database!$E:$AY,MATCH($P$1,Database!$E$1:$AY$1,0),FALSE)</f>
        <v>101.4085</v>
      </c>
      <c r="Q243" s="92">
        <f>(((Table134567891011121314151617343[[#This Row],[JPN]]-VLOOKUP($U$1,A:Q,16,))/VLOOKUP($U$1,A:Q,16,))*100)+100</f>
        <v>101.81205243222563</v>
      </c>
    </row>
    <row r="244" spans="1:17" s="85" customFormat="1" x14ac:dyDescent="0.2">
      <c r="A244" s="22">
        <v>40238</v>
      </c>
      <c r="B244" s="92">
        <f>VLOOKUP(A244,Database!$E:$AY,MATCH($B$1,Database!$E$1:$AY$1,0),FALSE)</f>
        <v>105.2912</v>
      </c>
      <c r="C244" s="92">
        <f>VLOOKUP(A244,Database!$E:$AY,MATCH($C$1,Database!$E$1:$AY$1,0),FALSE)</f>
        <v>99.420829999999995</v>
      </c>
      <c r="D244" s="92">
        <f>VLOOKUP(A244,Database!$E:$AY,MATCH($D$1,Database!$E$1:$AY$1,0),FALSE)</f>
        <v>86.092830000000006</v>
      </c>
      <c r="E244" s="92">
        <f>VLOOKUP(A244,Database!$E:$AY,MATCH($E$1,Database!$E$1:$AY$1,0),FALSE)</f>
        <v>106.89109999999999</v>
      </c>
      <c r="F244" s="92">
        <f>VLOOKUP(A244,Database!$E:$AY,MATCH($F$1,Database!$E$1:$AY$1,0),FALSE)</f>
        <v>94.284289999999999</v>
      </c>
      <c r="G244" s="92">
        <f>VLOOKUP(A244,Database!$E:$AY,MATCH($G$1,Database!$E$1:$AY$1,0),FALSE)</f>
        <v>102.163</v>
      </c>
      <c r="H244" s="92">
        <f>(((Table134567891011121314151617343[[#This Row],[ITA]]-VLOOKUP($U$1,A:B,2,))/VLOOKUP($U$1,A:B,2,))*100)+100</f>
        <v>86.595350436179331</v>
      </c>
      <c r="I244" s="92">
        <f>(((Table134567891011121314151617343[[#This Row],[FRA]]-VLOOKUP($U$1,A:C,3,))/VLOOKUP($U$1,A:C,3,))*100)+100</f>
        <v>96.768502125249043</v>
      </c>
      <c r="J244" s="92">
        <f>(((Table134567891011121314151617343[[#This Row],[DEU]]-VLOOKUP($U$1,A:D,4,))/VLOOKUP($U$1,A:D,4,))*100)+100</f>
        <v>114.49469257609644</v>
      </c>
      <c r="K244" s="92">
        <f>(((Table134567891011121314151617343[[#This Row],[ESP]]-VLOOKUP($U$1,A:E,5,))/VLOOKUP($U$1,A:E,5,))*100)+100</f>
        <v>90.018030369508878</v>
      </c>
      <c r="L244" s="92">
        <f>(((Table134567891011121314151617343[[#This Row],[EA19]]-VLOOKUP($U$1,A:F,6,))/VLOOKUP($U$1,A:F,6,))*100)+100</f>
        <v>105.48099179840936</v>
      </c>
      <c r="M244" s="92">
        <f>(((Table134567891011121314151617343[[#This Row],[GBR]]-VLOOKUP($U$1,A:G,7,))/VLOOKUP($U$1,A:G,7,))*100)+100</f>
        <v>95.626811787511784</v>
      </c>
      <c r="N244" s="92">
        <f>VLOOKUP(A244,Database!$E:$AY,MATCH($N$1,Database!$E$1:$AY$1,0),FALSE)</f>
        <v>88.942509999999999</v>
      </c>
      <c r="O244" s="92">
        <f>(((Table134567891011121314151617343[[#This Row],[USA]]-VLOOKUP($U$1,A:N,14,))/VLOOKUP($U$1,A:N,14,))*100)+100</f>
        <v>103.04909663111724</v>
      </c>
      <c r="P244" s="92">
        <f>VLOOKUP(A244,Database!$E:$AY,MATCH($P$1,Database!$E$1:$AY$1,0),FALSE)</f>
        <v>101.7165</v>
      </c>
      <c r="Q244" s="92">
        <f>(((Table134567891011121314151617343[[#This Row],[JPN]]-VLOOKUP($U$1,A:Q,16,))/VLOOKUP($U$1,A:Q,16,))*100)+100</f>
        <v>102.12127811004478</v>
      </c>
    </row>
    <row r="245" spans="1:17" s="85" customFormat="1" x14ac:dyDescent="0.2">
      <c r="A245" s="22">
        <v>40269</v>
      </c>
      <c r="B245" s="92">
        <f>VLOOKUP(A245,Database!$E:$AY,MATCH($B$1,Database!$E$1:$AY$1,0),FALSE)</f>
        <v>106.0912</v>
      </c>
      <c r="C245" s="92">
        <f>VLOOKUP(A245,Database!$E:$AY,MATCH($C$1,Database!$E$1:$AY$1,0),FALSE)</f>
        <v>99.040819999999997</v>
      </c>
      <c r="D245" s="92">
        <f>VLOOKUP(A245,Database!$E:$AY,MATCH($D$1,Database!$E$1:$AY$1,0),FALSE)</f>
        <v>87.692700000000002</v>
      </c>
      <c r="E245" s="92">
        <f>VLOOKUP(A245,Database!$E:$AY,MATCH($E$1,Database!$E$1:$AY$1,0),FALSE)</f>
        <v>106.8481</v>
      </c>
      <c r="F245" s="92">
        <f>VLOOKUP(A245,Database!$E:$AY,MATCH($F$1,Database!$E$1:$AY$1,0),FALSE)</f>
        <v>94.784199999999998</v>
      </c>
      <c r="G245" s="92">
        <f>VLOOKUP(A245,Database!$E:$AY,MATCH($G$1,Database!$E$1:$AY$1,0),FALSE)</f>
        <v>102.163</v>
      </c>
      <c r="H245" s="92">
        <f>(((Table134567891011121314151617343[[#This Row],[ITA]]-VLOOKUP($U$1,A:B,2,))/VLOOKUP($U$1,A:B,2,))*100)+100</f>
        <v>87.253299821777958</v>
      </c>
      <c r="I245" s="92">
        <f>(((Table134567891011121314151617343[[#This Row],[FRA]]-VLOOKUP($U$1,A:C,3,))/VLOOKUP($U$1,A:C,3,))*100)+100</f>
        <v>96.398629951655082</v>
      </c>
      <c r="J245" s="92">
        <f>(((Table134567891011121314151617343[[#This Row],[DEU]]-VLOOKUP($U$1,A:D,4,))/VLOOKUP($U$1,A:D,4,))*100)+100</f>
        <v>116.62235667787726</v>
      </c>
      <c r="K245" s="92">
        <f>(((Table134567891011121314151617343[[#This Row],[ESP]]-VLOOKUP($U$1,A:E,5,))/VLOOKUP($U$1,A:E,5,))*100)+100</f>
        <v>89.981818044012286</v>
      </c>
      <c r="L245" s="92">
        <f>(((Table134567891011121314151617343[[#This Row],[EA19]]-VLOOKUP($U$1,A:F,6,))/VLOOKUP($U$1,A:F,6,))*100)+100</f>
        <v>106.04026845637584</v>
      </c>
      <c r="M245" s="92">
        <f>(((Table134567891011121314151617343[[#This Row],[GBR]]-VLOOKUP($U$1,A:G,7,))/VLOOKUP($U$1,A:G,7,))*100)+100</f>
        <v>95.626811787511784</v>
      </c>
      <c r="N245" s="92">
        <f>VLOOKUP(A245,Database!$E:$AY,MATCH($N$1,Database!$E$1:$AY$1,0),FALSE)</f>
        <v>89.273219999999995</v>
      </c>
      <c r="O245" s="92">
        <f>(((Table134567891011121314151617343[[#This Row],[USA]]-VLOOKUP($U$1,A:N,14,))/VLOOKUP($U$1,A:N,14,))*100)+100</f>
        <v>103.43225836949044</v>
      </c>
      <c r="P245" s="92">
        <f>VLOOKUP(A245,Database!$E:$AY,MATCH($P$1,Database!$E$1:$AY$1,0),FALSE)</f>
        <v>102.9481</v>
      </c>
      <c r="Q245" s="92">
        <f>(((Table134567891011121314151617343[[#This Row],[JPN]]-VLOOKUP($U$1,A:Q,16,))/VLOOKUP($U$1,A:Q,16,))*100)+100</f>
        <v>103.3577792295321</v>
      </c>
    </row>
    <row r="246" spans="1:17" s="85" customFormat="1" x14ac:dyDescent="0.2">
      <c r="A246" s="22">
        <v>40299</v>
      </c>
      <c r="B246" s="92">
        <f>VLOOKUP(A246,Database!$E:$AY,MATCH($B$1,Database!$E$1:$AY$1,0),FALSE)</f>
        <v>106.5911</v>
      </c>
      <c r="C246" s="92">
        <f>VLOOKUP(A246,Database!$E:$AY,MATCH($C$1,Database!$E$1:$AY$1,0),FALSE)</f>
        <v>99.84084</v>
      </c>
      <c r="D246" s="92">
        <f>VLOOKUP(A246,Database!$E:$AY,MATCH($D$1,Database!$E$1:$AY$1,0),FALSE)</f>
        <v>90.39246</v>
      </c>
      <c r="E246" s="92">
        <f>VLOOKUP(A246,Database!$E:$AY,MATCH($E$1,Database!$E$1:$AY$1,0),FALSE)</f>
        <v>106.02809999999999</v>
      </c>
      <c r="F246" s="92">
        <f>VLOOKUP(A246,Database!$E:$AY,MATCH($F$1,Database!$E$1:$AY$1,0),FALSE)</f>
        <v>96.483919999999998</v>
      </c>
      <c r="G246" s="92">
        <f>VLOOKUP(A246,Database!$E:$AY,MATCH($G$1,Database!$E$1:$AY$1,0),FALSE)</f>
        <v>102.0592</v>
      </c>
      <c r="H246" s="92">
        <f>(((Table134567891011121314151617343[[#This Row],[ITA]]-VLOOKUP($U$1,A:B,2,))/VLOOKUP($U$1,A:B,2,))*100)+100</f>
        <v>87.6644359441039</v>
      </c>
      <c r="I246" s="92">
        <f>(((Table134567891011121314151617343[[#This Row],[FRA]]-VLOOKUP($U$1,A:C,3,))/VLOOKUP($U$1,A:C,3,))*100)+100</f>
        <v>97.177307187303214</v>
      </c>
      <c r="J246" s="92">
        <f>(((Table134567891011121314151617343[[#This Row],[DEU]]-VLOOKUP($U$1,A:D,4,))/VLOOKUP($U$1,A:D,4,))*100)+100</f>
        <v>120.21276242048373</v>
      </c>
      <c r="K246" s="92">
        <f>(((Table134567891011121314151617343[[#This Row],[ESP]]-VLOOKUP($U$1,A:E,5,))/VLOOKUP($U$1,A:E,5,))*100)+100</f>
        <v>89.291257418263299</v>
      </c>
      <c r="L246" s="92">
        <f>(((Table134567891011121314151617343[[#This Row],[EA19]]-VLOOKUP($U$1,A:F,6,))/VLOOKUP($U$1,A:F,6,))*100)+100</f>
        <v>107.94183818108388</v>
      </c>
      <c r="M246" s="92">
        <f>(((Table134567891011121314151617343[[#This Row],[GBR]]-VLOOKUP($U$1,A:G,7,))/VLOOKUP($U$1,A:G,7,))*100)+100</f>
        <v>95.529652707771135</v>
      </c>
      <c r="N246" s="92">
        <f>VLOOKUP(A246,Database!$E:$AY,MATCH($N$1,Database!$E$1:$AY$1,0),FALSE)</f>
        <v>90.575760000000002</v>
      </c>
      <c r="O246" s="92">
        <f>(((Table134567891011121314151617343[[#This Row],[USA]]-VLOOKUP($U$1,A:N,14,))/VLOOKUP($U$1,A:N,14,))*100)+100</f>
        <v>104.94138567347474</v>
      </c>
      <c r="P246" s="92">
        <f>VLOOKUP(A246,Database!$E:$AY,MATCH($P$1,Database!$E$1:$AY$1,0),FALSE)</f>
        <v>102.5376</v>
      </c>
      <c r="Q246" s="92">
        <f>(((Table134567891011121314151617343[[#This Row],[JPN]]-VLOOKUP($U$1,A:Q,16,))/VLOOKUP($U$1,A:Q,16,))*100)+100</f>
        <v>102.94564565568544</v>
      </c>
    </row>
    <row r="247" spans="1:17" s="85" customFormat="1" x14ac:dyDescent="0.2">
      <c r="A247" s="22">
        <v>40330</v>
      </c>
      <c r="B247" s="92">
        <f>VLOOKUP(A247,Database!$E:$AY,MATCH($B$1,Database!$E$1:$AY$1,0),FALSE)</f>
        <v>109.0909</v>
      </c>
      <c r="C247" s="92">
        <f>VLOOKUP(A247,Database!$E:$AY,MATCH($C$1,Database!$E$1:$AY$1,0),FALSE)</f>
        <v>99.420829999999995</v>
      </c>
      <c r="D247" s="92">
        <f>VLOOKUP(A247,Database!$E:$AY,MATCH($D$1,Database!$E$1:$AY$1,0),FALSE)</f>
        <v>90.092489999999998</v>
      </c>
      <c r="E247" s="92">
        <f>VLOOKUP(A247,Database!$E:$AY,MATCH($E$1,Database!$E$1:$AY$1,0),FALSE)</f>
        <v>106.51909999999999</v>
      </c>
      <c r="F247" s="92">
        <f>VLOOKUP(A247,Database!$E:$AY,MATCH($F$1,Database!$E$1:$AY$1,0),FALSE)</f>
        <v>96.5839</v>
      </c>
      <c r="G247" s="92">
        <f>VLOOKUP(A247,Database!$E:$AY,MATCH($G$1,Database!$E$1:$AY$1,0),FALSE)</f>
        <v>101.0209</v>
      </c>
      <c r="H247" s="92">
        <f>(((Table134567891011121314151617343[[#This Row],[ITA]]-VLOOKUP($U$1,A:B,2,))/VLOOKUP($U$1,A:B,2,))*100)+100</f>
        <v>89.720363286753269</v>
      </c>
      <c r="I247" s="92">
        <f>(((Table134567891011121314151617343[[#This Row],[FRA]]-VLOOKUP($U$1,A:C,3,))/VLOOKUP($U$1,A:C,3,))*100)+100</f>
        <v>96.768502125249043</v>
      </c>
      <c r="J247" s="92">
        <f>(((Table134567891011121314151617343[[#This Row],[DEU]]-VLOOKUP($U$1,A:D,4,))/VLOOKUP($U$1,A:D,4,))*100)+100</f>
        <v>119.81383288207672</v>
      </c>
      <c r="K247" s="92">
        <f>(((Table134567891011121314151617343[[#This Row],[ESP]]-VLOOKUP($U$1,A:E,5,))/VLOOKUP($U$1,A:E,5,))*100)+100</f>
        <v>89.704751646608116</v>
      </c>
      <c r="L247" s="92">
        <f>(((Table134567891011121314151617343[[#This Row],[EA19]]-VLOOKUP($U$1,A:F,6,))/VLOOKUP($U$1,A:F,6,))*100)+100</f>
        <v>108.05369127516779</v>
      </c>
      <c r="M247" s="92">
        <f>(((Table134567891011121314151617343[[#This Row],[GBR]]-VLOOKUP($U$1,A:G,7,))/VLOOKUP($U$1,A:G,7,))*100)+100</f>
        <v>94.557781103775824</v>
      </c>
      <c r="N247" s="92">
        <f>VLOOKUP(A247,Database!$E:$AY,MATCH($N$1,Database!$E$1:$AY$1,0),FALSE)</f>
        <v>90.710239999999999</v>
      </c>
      <c r="O247" s="92">
        <f>(((Table134567891011121314151617343[[#This Row],[USA]]-VLOOKUP($U$1,A:N,14,))/VLOOKUP($U$1,A:N,14,))*100)+100</f>
        <v>105.09719466194326</v>
      </c>
      <c r="P247" s="92">
        <f>VLOOKUP(A247,Database!$E:$AY,MATCH($P$1,Database!$E$1:$AY$1,0),FALSE)</f>
        <v>101.9217</v>
      </c>
      <c r="Q247" s="92">
        <f>(((Table134567891011121314151617343[[#This Row],[JPN]]-VLOOKUP($U$1,A:Q,16,))/VLOOKUP($U$1,A:Q,16,))*100)+100</f>
        <v>102.32729469799445</v>
      </c>
    </row>
    <row r="248" spans="1:17" s="85" customFormat="1" x14ac:dyDescent="0.2">
      <c r="A248" s="22">
        <v>40360</v>
      </c>
      <c r="B248" s="92">
        <f>VLOOKUP(A248,Database!$E:$AY,MATCH($B$1,Database!$E$1:$AY$1,0),FALSE)</f>
        <v>108.79089999999999</v>
      </c>
      <c r="C248" s="92">
        <f>VLOOKUP(A248,Database!$E:$AY,MATCH($C$1,Database!$E$1:$AY$1,0),FALSE)</f>
        <v>100.10080000000001</v>
      </c>
      <c r="D248" s="92">
        <f>VLOOKUP(A248,Database!$E:$AY,MATCH($D$1,Database!$E$1:$AY$1,0),FALSE)</f>
        <v>89.492549999999994</v>
      </c>
      <c r="E248" s="92">
        <f>VLOOKUP(A248,Database!$E:$AY,MATCH($E$1,Database!$E$1:$AY$1,0),FALSE)</f>
        <v>105.1951</v>
      </c>
      <c r="F248" s="92">
        <f>VLOOKUP(A248,Database!$E:$AY,MATCH($F$1,Database!$E$1:$AY$1,0),FALSE)</f>
        <v>96.183970000000002</v>
      </c>
      <c r="G248" s="92">
        <f>VLOOKUP(A248,Database!$E:$AY,MATCH($G$1,Database!$E$1:$AY$1,0),FALSE)</f>
        <v>101.2286</v>
      </c>
      <c r="H248" s="92">
        <f>(((Table134567891011121314151617343[[#This Row],[ITA]]-VLOOKUP($U$1,A:B,2,))/VLOOKUP($U$1,A:B,2,))*100)+100</f>
        <v>89.473632267153761</v>
      </c>
      <c r="I248" s="92">
        <f>(((Table134567891011121314151617343[[#This Row],[FRA]]-VLOOKUP($U$1,A:C,3,))/VLOOKUP($U$1,A:C,3,))*100)+100</f>
        <v>97.430332029406017</v>
      </c>
      <c r="J248" s="92">
        <f>(((Table134567891011121314151617343[[#This Row],[DEU]]-VLOOKUP($U$1,A:D,4,))/VLOOKUP($U$1,A:D,4,))*100)+100</f>
        <v>119.01597380526275</v>
      </c>
      <c r="K248" s="92">
        <f>(((Table134567891011121314151617343[[#This Row],[ESP]]-VLOOKUP($U$1,A:E,5,))/VLOOKUP($U$1,A:E,5,))*100)+100</f>
        <v>88.589748880154886</v>
      </c>
      <c r="L248" s="92">
        <f>(((Table134567891011121314151617343[[#This Row],[EA19]]-VLOOKUP($U$1,A:F,6,))/VLOOKUP($U$1,A:F,6,))*100)+100</f>
        <v>107.60626771128523</v>
      </c>
      <c r="M248" s="92">
        <f>(((Table134567891011121314151617343[[#This Row],[GBR]]-VLOOKUP($U$1,A:G,7,))/VLOOKUP($U$1,A:G,7,))*100)+100</f>
        <v>94.752192865453395</v>
      </c>
      <c r="N248" s="92">
        <f>VLOOKUP(A248,Database!$E:$AY,MATCH($N$1,Database!$E$1:$AY$1,0),FALSE)</f>
        <v>91.107789999999994</v>
      </c>
      <c r="O248" s="92">
        <f>(((Table134567891011121314151617343[[#This Row],[USA]]-VLOOKUP($U$1,A:N,14,))/VLOOKUP($U$1,A:N,14,))*100)+100</f>
        <v>105.55779745318111</v>
      </c>
      <c r="P248" s="92">
        <f>VLOOKUP(A248,Database!$E:$AY,MATCH($P$1,Database!$E$1:$AY$1,0),FALSE)</f>
        <v>103.1534</v>
      </c>
      <c r="Q248" s="92">
        <f>(((Table134567891011121314151617343[[#This Row],[JPN]]-VLOOKUP($U$1,A:Q,16,))/VLOOKUP($U$1,A:Q,16,))*100)+100</f>
        <v>103.56389621542911</v>
      </c>
    </row>
    <row r="249" spans="1:17" s="85" customFormat="1" x14ac:dyDescent="0.2">
      <c r="A249" s="22">
        <v>40391</v>
      </c>
      <c r="B249" s="92">
        <f>VLOOKUP(A249,Database!$E:$AY,MATCH($B$1,Database!$E$1:$AY$1,0),FALSE)</f>
        <v>112.39060000000001</v>
      </c>
      <c r="C249" s="92">
        <f>VLOOKUP(A249,Database!$E:$AY,MATCH($C$1,Database!$E$1:$AY$1,0),FALSE)</f>
        <v>99.080830000000006</v>
      </c>
      <c r="D249" s="92">
        <f>VLOOKUP(A249,Database!$E:$AY,MATCH($D$1,Database!$E$1:$AY$1,0),FALSE)</f>
        <v>90.992419999999996</v>
      </c>
      <c r="E249" s="92">
        <f>VLOOKUP(A249,Database!$E:$AY,MATCH($E$1,Database!$E$1:$AY$1,0),FALSE)</f>
        <v>104.2471</v>
      </c>
      <c r="F249" s="92">
        <f>VLOOKUP(A249,Database!$E:$AY,MATCH($F$1,Database!$E$1:$AY$1,0),FALSE)</f>
        <v>96.983829999999998</v>
      </c>
      <c r="G249" s="92">
        <f>VLOOKUP(A249,Database!$E:$AY,MATCH($G$1,Database!$E$1:$AY$1,0),FALSE)</f>
        <v>101.9554</v>
      </c>
      <c r="H249" s="92">
        <f>(((Table134567891011121314151617343[[#This Row],[ITA]]-VLOOKUP($U$1,A:B,2,))/VLOOKUP($U$1,A:B,2,))*100)+100</f>
        <v>92.434157771328046</v>
      </c>
      <c r="I249" s="92">
        <f>(((Table134567891011121314151617343[[#This Row],[FRA]]-VLOOKUP($U$1,A:C,3,))/VLOOKUP($U$1,A:C,3,))*100)+100</f>
        <v>96.437572573337405</v>
      </c>
      <c r="J249" s="92">
        <f>(((Table134567891011121314151617343[[#This Row],[DEU]]-VLOOKUP($U$1,A:D,4,))/VLOOKUP($U$1,A:D,4,))*100)+100</f>
        <v>121.01064809526007</v>
      </c>
      <c r="K249" s="92">
        <f>(((Table134567891011121314151617343[[#This Row],[ESP]]-VLOOKUP($U$1,A:E,5,))/VLOOKUP($U$1,A:E,5,))*100)+100</f>
        <v>87.791393425020701</v>
      </c>
      <c r="L249" s="92">
        <f>(((Table134567891011121314151617343[[#This Row],[EA19]]-VLOOKUP($U$1,A:F,6,))/VLOOKUP($U$1,A:F,6,))*100)+100</f>
        <v>108.50111483905036</v>
      </c>
      <c r="M249" s="92">
        <f>(((Table134567891011121314151617343[[#This Row],[GBR]]-VLOOKUP($U$1,A:G,7,))/VLOOKUP($U$1,A:G,7,))*100)+100</f>
        <v>95.432493628030485</v>
      </c>
      <c r="N249" s="92">
        <f>VLOOKUP(A249,Database!$E:$AY,MATCH($N$1,Database!$E$1:$AY$1,0),FALSE)</f>
        <v>91.38749</v>
      </c>
      <c r="O249" s="92">
        <f>(((Table134567891011121314151617343[[#This Row],[USA]]-VLOOKUP($U$1,A:N,14,))/VLOOKUP($U$1,A:N,14,))*100)+100</f>
        <v>105.88185883089267</v>
      </c>
      <c r="P249" s="92">
        <f>VLOOKUP(A249,Database!$E:$AY,MATCH($P$1,Database!$E$1:$AY$1,0),FALSE)</f>
        <v>103.6666</v>
      </c>
      <c r="Q249" s="92">
        <f>(((Table134567891011121314151617343[[#This Row],[JPN]]-VLOOKUP($U$1,A:Q,16,))/VLOOKUP($U$1,A:Q,16,))*100)+100</f>
        <v>104.07913848119793</v>
      </c>
    </row>
    <row r="250" spans="1:17" s="85" customFormat="1" x14ac:dyDescent="0.2">
      <c r="A250" s="22">
        <v>40422</v>
      </c>
      <c r="B250" s="92">
        <f>VLOOKUP(A250,Database!$E:$AY,MATCH($B$1,Database!$E$1:$AY$1,0),FALSE)</f>
        <v>108.09099999999999</v>
      </c>
      <c r="C250" s="92">
        <f>VLOOKUP(A250,Database!$E:$AY,MATCH($C$1,Database!$E$1:$AY$1,0),FALSE)</f>
        <v>100.2908</v>
      </c>
      <c r="D250" s="92">
        <f>VLOOKUP(A250,Database!$E:$AY,MATCH($D$1,Database!$E$1:$AY$1,0),FALSE)</f>
        <v>92.392300000000006</v>
      </c>
      <c r="E250" s="92">
        <f>VLOOKUP(A250,Database!$E:$AY,MATCH($E$1,Database!$E$1:$AY$1,0),FALSE)</f>
        <v>104.6011</v>
      </c>
      <c r="F250" s="92">
        <f>VLOOKUP(A250,Database!$E:$AY,MATCH($F$1,Database!$E$1:$AY$1,0),FALSE)</f>
        <v>97.183800000000005</v>
      </c>
      <c r="G250" s="92">
        <f>VLOOKUP(A250,Database!$E:$AY,MATCH($G$1,Database!$E$1:$AY$1,0),FALSE)</f>
        <v>102.163</v>
      </c>
      <c r="H250" s="92">
        <f>(((Table134567891011121314151617343[[#This Row],[ITA]]-VLOOKUP($U$1,A:B,2,))/VLOOKUP($U$1,A:B,2,))*100)+100</f>
        <v>88.898008798428151</v>
      </c>
      <c r="I250" s="92">
        <f>(((Table134567891011121314151617343[[#This Row],[FRA]]-VLOOKUP($U$1,A:C,3,))/VLOOKUP($U$1,A:C,3,))*100)+100</f>
        <v>97.615263249591948</v>
      </c>
      <c r="J250" s="92">
        <f>(((Table134567891011121314151617343[[#This Row],[DEU]]-VLOOKUP($U$1,A:D,4,))/VLOOKUP($U$1,A:D,4,))*100)+100</f>
        <v>122.87234587245506</v>
      </c>
      <c r="K250" s="92">
        <f>(((Table134567891011121314151617343[[#This Row],[ESP]]-VLOOKUP($U$1,A:E,5,))/VLOOKUP($U$1,A:E,5,))*100)+100</f>
        <v>88.08951350003916</v>
      </c>
      <c r="L250" s="92">
        <f>(((Table134567891011121314151617343[[#This Row],[EA19]]-VLOOKUP($U$1,A:F,6,))/VLOOKUP($U$1,A:F,6,))*100)+100</f>
        <v>108.72483221476512</v>
      </c>
      <c r="M250" s="92">
        <f>(((Table134567891011121314151617343[[#This Row],[GBR]]-VLOOKUP($U$1,A:G,7,))/VLOOKUP($U$1,A:G,7,))*100)+100</f>
        <v>95.626811787511784</v>
      </c>
      <c r="N250" s="92">
        <f>VLOOKUP(A250,Database!$E:$AY,MATCH($N$1,Database!$E$1:$AY$1,0),FALSE)</f>
        <v>91.597740000000002</v>
      </c>
      <c r="O250" s="92">
        <f>(((Table134567891011121314151617343[[#This Row],[USA]]-VLOOKUP($U$1,A:N,14,))/VLOOKUP($U$1,A:N,14,))*100)+100</f>
        <v>106.12545520080278</v>
      </c>
      <c r="P250" s="92">
        <f>VLOOKUP(A250,Database!$E:$AY,MATCH($P$1,Database!$E$1:$AY$1,0),FALSE)</f>
        <v>105.001</v>
      </c>
      <c r="Q250" s="92">
        <f>(((Table134567891011121314151617343[[#This Row],[JPN]]-VLOOKUP($U$1,A:Q,16,))/VLOOKUP($U$1,A:Q,16,))*100)+100</f>
        <v>105.41884869055477</v>
      </c>
    </row>
    <row r="251" spans="1:17" s="85" customFormat="1" x14ac:dyDescent="0.2">
      <c r="A251" s="22">
        <v>40452</v>
      </c>
      <c r="B251" s="92">
        <f>VLOOKUP(A251,Database!$E:$AY,MATCH($B$1,Database!$E$1:$AY$1,0),FALSE)</f>
        <v>108.491</v>
      </c>
      <c r="C251" s="92">
        <f>VLOOKUP(A251,Database!$E:$AY,MATCH($C$1,Database!$E$1:$AY$1,0),FALSE)</f>
        <v>100.1408</v>
      </c>
      <c r="D251" s="92">
        <f>VLOOKUP(A251,Database!$E:$AY,MATCH($D$1,Database!$E$1:$AY$1,0),FALSE)</f>
        <v>94.392139999999998</v>
      </c>
      <c r="E251" s="92">
        <f>VLOOKUP(A251,Database!$E:$AY,MATCH($E$1,Database!$E$1:$AY$1,0),FALSE)</f>
        <v>105.1641</v>
      </c>
      <c r="F251" s="92">
        <f>VLOOKUP(A251,Database!$E:$AY,MATCH($F$1,Database!$E$1:$AY$1,0),FALSE)</f>
        <v>97.983670000000004</v>
      </c>
      <c r="G251" s="92">
        <f>VLOOKUP(A251,Database!$E:$AY,MATCH($G$1,Database!$E$1:$AY$1,0),FALSE)</f>
        <v>102.7859</v>
      </c>
      <c r="H251" s="92">
        <f>(((Table134567891011121314151617343[[#This Row],[ITA]]-VLOOKUP($U$1,A:B,2,))/VLOOKUP($U$1,A:B,2,))*100)+100</f>
        <v>89.226983491227486</v>
      </c>
      <c r="I251" s="92">
        <f>(((Table134567891011121314151617343[[#This Row],[FRA]]-VLOOKUP($U$1,A:C,3,))/VLOOKUP($U$1,A:C,3,))*100)+100</f>
        <v>97.469264917866212</v>
      </c>
      <c r="J251" s="92">
        <f>(((Table134567891011121314151617343[[#This Row],[DEU]]-VLOOKUP($U$1,A:D,4,))/VLOOKUP($U$1,A:D,4,))*100)+100</f>
        <v>125.53192932442639</v>
      </c>
      <c r="K251" s="92">
        <f>(((Table134567891011121314151617343[[#This Row],[ESP]]-VLOOKUP($U$1,A:E,5,))/VLOOKUP($U$1,A:E,5,))*100)+100</f>
        <v>88.563642319913157</v>
      </c>
      <c r="L251" s="92">
        <f>(((Table134567891011121314151617343[[#This Row],[EA19]]-VLOOKUP($U$1,A:F,6,))/VLOOKUP($U$1,A:F,6,))*100)+100</f>
        <v>109.61969053007718</v>
      </c>
      <c r="M251" s="92">
        <f>(((Table134567891011121314151617343[[#This Row],[GBR]]-VLOOKUP($U$1,A:G,7,))/VLOOKUP($U$1,A:G,7,))*100)+100</f>
        <v>96.209859868151952</v>
      </c>
      <c r="N251" s="92">
        <f>VLOOKUP(A251,Database!$E:$AY,MATCH($N$1,Database!$E$1:$AY$1,0),FALSE)</f>
        <v>91.354929999999996</v>
      </c>
      <c r="O251" s="92">
        <f>(((Table134567891011121314151617343[[#This Row],[USA]]-VLOOKUP($U$1,A:N,14,))/VLOOKUP($U$1,A:N,14,))*100)+100</f>
        <v>105.84413470340505</v>
      </c>
      <c r="P251" s="92">
        <f>VLOOKUP(A251,Database!$E:$AY,MATCH($P$1,Database!$E$1:$AY$1,0),FALSE)</f>
        <v>102.0244</v>
      </c>
      <c r="Q251" s="92">
        <f>(((Table134567891011121314151617343[[#This Row],[JPN]]-VLOOKUP($U$1,A:Q,16,))/VLOOKUP($U$1,A:Q,16,))*100)+100</f>
        <v>102.43040338991662</v>
      </c>
    </row>
    <row r="252" spans="1:17" s="85" customFormat="1" x14ac:dyDescent="0.2">
      <c r="A252" s="22">
        <v>40483</v>
      </c>
      <c r="B252" s="92">
        <f>VLOOKUP(A252,Database!$E:$AY,MATCH($B$1,Database!$E$1:$AY$1,0),FALSE)</f>
        <v>109.0909</v>
      </c>
      <c r="C252" s="92">
        <f>VLOOKUP(A252,Database!$E:$AY,MATCH($C$1,Database!$E$1:$AY$1,0),FALSE)</f>
        <v>101.41079999999999</v>
      </c>
      <c r="D252" s="92">
        <f>VLOOKUP(A252,Database!$E:$AY,MATCH($D$1,Database!$E$1:$AY$1,0),FALSE)</f>
        <v>93.892169999999993</v>
      </c>
      <c r="E252" s="92">
        <f>VLOOKUP(A252,Database!$E:$AY,MATCH($E$1,Database!$E$1:$AY$1,0),FALSE)</f>
        <v>108.1271</v>
      </c>
      <c r="F252" s="92">
        <f>VLOOKUP(A252,Database!$E:$AY,MATCH($F$1,Database!$E$1:$AY$1,0),FALSE)</f>
        <v>98.883520000000004</v>
      </c>
      <c r="G252" s="92">
        <f>VLOOKUP(A252,Database!$E:$AY,MATCH($G$1,Database!$E$1:$AY$1,0),FALSE)</f>
        <v>102.9936</v>
      </c>
      <c r="H252" s="92">
        <f>(((Table134567891011121314151617343[[#This Row],[ITA]]-VLOOKUP($U$1,A:B,2,))/VLOOKUP($U$1,A:B,2,))*100)+100</f>
        <v>89.720363286753269</v>
      </c>
      <c r="I252" s="92">
        <f>(((Table134567891011121314151617343[[#This Row],[FRA]]-VLOOKUP($U$1,A:C,3,))/VLOOKUP($U$1,A:C,3,))*100)+100</f>
        <v>98.705384126477384</v>
      </c>
      <c r="J252" s="92">
        <f>(((Table134567891011121314151617343[[#This Row],[DEU]]-VLOOKUP($U$1,A:D,4,))/VLOOKUP($U$1,A:D,4,))*100)+100</f>
        <v>124.86702016245236</v>
      </c>
      <c r="K252" s="92">
        <f>(((Table134567891011121314151617343[[#This Row],[ESP]]-VLOOKUP($U$1,A:E,5,))/VLOOKUP($U$1,A:E,5,))*100)+100</f>
        <v>91.058924190759797</v>
      </c>
      <c r="L252" s="92">
        <f>(((Table134567891011121314151617343[[#This Row],[EA19]]-VLOOKUP($U$1,A:F,6,))/VLOOKUP($U$1,A:F,6,))*100)+100</f>
        <v>110.62640193947314</v>
      </c>
      <c r="M252" s="92">
        <f>(((Table134567891011121314151617343[[#This Row],[GBR]]-VLOOKUP($U$1,A:G,7,))/VLOOKUP($U$1,A:G,7,))*100)+100</f>
        <v>96.404271629829523</v>
      </c>
      <c r="N252" s="92">
        <f>VLOOKUP(A252,Database!$E:$AY,MATCH($N$1,Database!$E$1:$AY$1,0),FALSE)</f>
        <v>91.381240000000005</v>
      </c>
      <c r="O252" s="92">
        <f>(((Table134567891011121314151617343[[#This Row],[USA]]-VLOOKUP($U$1,A:N,14,))/VLOOKUP($U$1,A:N,14,))*100)+100</f>
        <v>105.87461755949226</v>
      </c>
      <c r="P252" s="92">
        <f>VLOOKUP(A252,Database!$E:$AY,MATCH($P$1,Database!$E$1:$AY$1,0),FALSE)</f>
        <v>103.7693</v>
      </c>
      <c r="Q252" s="92">
        <f>(((Table134567891011121314151617343[[#This Row],[JPN]]-VLOOKUP($U$1,A:Q,16,))/VLOOKUP($U$1,A:Q,16,))*100)+100</f>
        <v>104.1822471731201</v>
      </c>
    </row>
    <row r="253" spans="1:17" s="85" customFormat="1" x14ac:dyDescent="0.2">
      <c r="A253" s="22">
        <v>40513</v>
      </c>
      <c r="B253" s="92">
        <f>VLOOKUP(A253,Database!$E:$AY,MATCH($B$1,Database!$E$1:$AY$1,0),FALSE)</f>
        <v>109.99079999999999</v>
      </c>
      <c r="C253" s="92">
        <f>VLOOKUP(A253,Database!$E:$AY,MATCH($C$1,Database!$E$1:$AY$1,0),FALSE)</f>
        <v>102.7409</v>
      </c>
      <c r="D253" s="92">
        <f>VLOOKUP(A253,Database!$E:$AY,MATCH($D$1,Database!$E$1:$AY$1,0),FALSE)</f>
        <v>95.392049999999998</v>
      </c>
      <c r="E253" s="92">
        <f>VLOOKUP(A253,Database!$E:$AY,MATCH($E$1,Database!$E$1:$AY$1,0),FALSE)</f>
        <v>105.18210000000001</v>
      </c>
      <c r="F253" s="92">
        <f>VLOOKUP(A253,Database!$E:$AY,MATCH($F$1,Database!$E$1:$AY$1,0),FALSE)</f>
        <v>99.683390000000003</v>
      </c>
      <c r="G253" s="92">
        <f>VLOOKUP(A253,Database!$E:$AY,MATCH($G$1,Database!$E$1:$AY$1,0),FALSE)</f>
        <v>103.3051</v>
      </c>
      <c r="H253" s="92">
        <f>(((Table134567891011121314151617343[[#This Row],[ITA]]-VLOOKUP($U$1,A:B,2,))/VLOOKUP($U$1,A:B,2,))*100)+100</f>
        <v>90.460474101878518</v>
      </c>
      <c r="I253" s="92">
        <f>(((Table134567891011121314151617343[[#This Row],[FRA]]-VLOOKUP($U$1,A:C,3,))/VLOOKUP($U$1,A:C,3,))*100)+100</f>
        <v>100</v>
      </c>
      <c r="J253" s="92">
        <f>(((Table134567891011121314151617343[[#This Row],[DEU]]-VLOOKUP($U$1,A:D,4,))/VLOOKUP($U$1,A:D,4,))*100)+100</f>
        <v>126.86170775143086</v>
      </c>
      <c r="K253" s="92">
        <f>(((Table134567891011121314151617343[[#This Row],[ESP]]-VLOOKUP($U$1,A:E,5,))/VLOOKUP($U$1,A:E,5,))*100)+100</f>
        <v>88.578800967795459</v>
      </c>
      <c r="L253" s="92">
        <f>(((Table134567891011121314151617343[[#This Row],[EA19]]-VLOOKUP($U$1,A:F,6,))/VLOOKUP($U$1,A:F,6,))*100)+100</f>
        <v>111.5212602547852</v>
      </c>
      <c r="M253" s="92">
        <f>(((Table134567891011121314151617343[[#This Row],[GBR]]-VLOOKUP($U$1,A:G,7,))/VLOOKUP($U$1,A:G,7,))*100)+100</f>
        <v>96.695842471247744</v>
      </c>
      <c r="N253" s="92">
        <f>VLOOKUP(A253,Database!$E:$AY,MATCH($N$1,Database!$E$1:$AY$1,0),FALSE)</f>
        <v>92.266450000000006</v>
      </c>
      <c r="O253" s="92">
        <f>(((Table134567891011121314151617343[[#This Row],[USA]]-VLOOKUP($U$1,A:N,14,))/VLOOKUP($U$1,A:N,14,))*100)+100</f>
        <v>106.90022489651065</v>
      </c>
      <c r="P253" s="92">
        <f>VLOOKUP(A253,Database!$E:$AY,MATCH($P$1,Database!$E$1:$AY$1,0),FALSE)</f>
        <v>104.0772</v>
      </c>
      <c r="Q253" s="92">
        <f>(((Table134567891011121314151617343[[#This Row],[JPN]]-VLOOKUP($U$1,A:Q,16,))/VLOOKUP($U$1,A:Q,16,))*100)+100</f>
        <v>104.49137245299194</v>
      </c>
    </row>
    <row r="254" spans="1:17" s="85" customFormat="1" x14ac:dyDescent="0.2">
      <c r="A254" s="22">
        <v>40544</v>
      </c>
      <c r="B254" s="92">
        <f>VLOOKUP(A254,Database!$E:$AY,MATCH($B$1,Database!$E$1:$AY$1,0),FALSE)</f>
        <v>107.991</v>
      </c>
      <c r="C254" s="92">
        <f>VLOOKUP(A254,Database!$E:$AY,MATCH($C$1,Database!$E$1:$AY$1,0),FALSE)</f>
        <v>103.9709</v>
      </c>
      <c r="D254" s="92">
        <f>VLOOKUP(A254,Database!$E:$AY,MATCH($D$1,Database!$E$1:$AY$1,0),FALSE)</f>
        <v>95.192070000000001</v>
      </c>
      <c r="E254" s="92">
        <f>VLOOKUP(A254,Database!$E:$AY,MATCH($E$1,Database!$E$1:$AY$1,0),FALSE)</f>
        <v>105.75409999999999</v>
      </c>
      <c r="F254" s="92">
        <f>VLOOKUP(A254,Database!$E:$AY,MATCH($F$1,Database!$E$1:$AY$1,0),FALSE)</f>
        <v>99.18347</v>
      </c>
      <c r="G254" s="92">
        <f>VLOOKUP(A254,Database!$E:$AY,MATCH($G$1,Database!$E$1:$AY$1,0),FALSE)</f>
        <v>103.6165</v>
      </c>
      <c r="H254" s="92">
        <f>(((Table134567891011121314151617343[[#This Row],[ITA]]-VLOOKUP($U$1,A:B,2,))/VLOOKUP($U$1,A:B,2,))*100)+100</f>
        <v>88.815765125228324</v>
      </c>
      <c r="I254" s="92">
        <f>(((Table134567891011121314151617343[[#This Row],[FRA]]-VLOOKUP($U$1,A:C,3,))/VLOOKUP($U$1,A:C,3,))*100)+100</f>
        <v>101.19718632015099</v>
      </c>
      <c r="J254" s="92">
        <f>(((Table134567891011121314151617343[[#This Row],[DEU]]-VLOOKUP($U$1,A:D,4,))/VLOOKUP($U$1,A:D,4,))*100)+100</f>
        <v>126.59575472582621</v>
      </c>
      <c r="K254" s="92">
        <f>(((Table134567891011121314151617343[[#This Row],[ESP]]-VLOOKUP($U$1,A:E,5,))/VLOOKUP($U$1,A:E,5,))*100)+100</f>
        <v>89.060509111610585</v>
      </c>
      <c r="L254" s="92">
        <f>(((Table134567891011121314151617343[[#This Row],[EA19]]-VLOOKUP($U$1,A:F,6,))/VLOOKUP($U$1,A:F,6,))*100)+100</f>
        <v>110.96197240927179</v>
      </c>
      <c r="M254" s="92">
        <f>(((Table134567891011121314151617343[[#This Row],[GBR]]-VLOOKUP($U$1,A:G,7,))/VLOOKUP($U$1,A:G,7,))*100)+100</f>
        <v>96.987319710469691</v>
      </c>
      <c r="N254" s="92">
        <f>VLOOKUP(A254,Database!$E:$AY,MATCH($N$1,Database!$E$1:$AY$1,0),FALSE)</f>
        <v>92.147829999999999</v>
      </c>
      <c r="O254" s="92">
        <f>(((Table134567891011121314151617343[[#This Row],[USA]]-VLOOKUP($U$1,A:N,14,))/VLOOKUP($U$1,A:N,14,))*100)+100</f>
        <v>106.76279135834781</v>
      </c>
      <c r="P254" s="92">
        <f>VLOOKUP(A254,Database!$E:$AY,MATCH($P$1,Database!$E$1:$AY$1,0),FALSE)</f>
        <v>104.7957</v>
      </c>
      <c r="Q254" s="92">
        <f>(((Table134567891011121314151617343[[#This Row],[JPN]]-VLOOKUP($U$1,A:Q,16,))/VLOOKUP($U$1,A:Q,16,))*100)+100</f>
        <v>105.21273170465776</v>
      </c>
    </row>
    <row r="255" spans="1:17" s="85" customFormat="1" x14ac:dyDescent="0.2">
      <c r="A255" s="22">
        <v>40575</v>
      </c>
      <c r="B255" s="92">
        <f>VLOOKUP(A255,Database!$E:$AY,MATCH($B$1,Database!$E$1:$AY$1,0),FALSE)</f>
        <v>110.6908</v>
      </c>
      <c r="C255" s="92">
        <f>VLOOKUP(A255,Database!$E:$AY,MATCH($C$1,Database!$E$1:$AY$1,0),FALSE)</f>
        <v>104.3009</v>
      </c>
      <c r="D255" s="92">
        <f>VLOOKUP(A255,Database!$E:$AY,MATCH($D$1,Database!$E$1:$AY$1,0),FALSE)</f>
        <v>96.291979999999995</v>
      </c>
      <c r="E255" s="92">
        <f>VLOOKUP(A255,Database!$E:$AY,MATCH($E$1,Database!$E$1:$AY$1,0),FALSE)</f>
        <v>106.8121</v>
      </c>
      <c r="F255" s="92">
        <f>VLOOKUP(A255,Database!$E:$AY,MATCH($F$1,Database!$E$1:$AY$1,0),FALSE)</f>
        <v>100.08329999999999</v>
      </c>
      <c r="G255" s="92">
        <f>VLOOKUP(A255,Database!$E:$AY,MATCH($G$1,Database!$E$1:$AY$1,0),FALSE)</f>
        <v>102.2668</v>
      </c>
      <c r="H255" s="92">
        <f>(((Table134567891011121314151617343[[#This Row],[ITA]]-VLOOKUP($U$1,A:B,2,))/VLOOKUP($U$1,A:B,2,))*100)+100</f>
        <v>91.036179814277332</v>
      </c>
      <c r="I255" s="92">
        <f>(((Table134567891011121314151617343[[#This Row],[FRA]]-VLOOKUP($U$1,A:C,3,))/VLOOKUP($U$1,A:C,3,))*100)+100</f>
        <v>101.51838264994758</v>
      </c>
      <c r="J255" s="92">
        <f>(((Table134567891011121314151617343[[#This Row],[DEU]]-VLOOKUP($U$1,A:D,4,))/VLOOKUP($U$1,A:D,4,))*100)+100</f>
        <v>128.05852296461421</v>
      </c>
      <c r="K255" s="92">
        <f>(((Table134567891011121314151617343[[#This Row],[ESP]]-VLOOKUP($U$1,A:E,5,))/VLOOKUP($U$1,A:E,5,))*100)+100</f>
        <v>89.951500748247696</v>
      </c>
      <c r="L255" s="92">
        <f>(((Table134567891011121314151617343[[#This Row],[EA19]]-VLOOKUP($U$1,A:F,6,))/VLOOKUP($U$1,A:F,6,))*100)+100</f>
        <v>111.96866144357394</v>
      </c>
      <c r="M255" s="92">
        <f>(((Table134567891011121314151617343[[#This Row],[GBR]]-VLOOKUP($U$1,A:G,7,))/VLOOKUP($U$1,A:G,7,))*100)+100</f>
        <v>95.723970867252433</v>
      </c>
      <c r="N255" s="92">
        <f>VLOOKUP(A255,Database!$E:$AY,MATCH($N$1,Database!$E$1:$AY$1,0),FALSE)</f>
        <v>91.743449999999996</v>
      </c>
      <c r="O255" s="92">
        <f>(((Table134567891011121314151617343[[#This Row],[USA]]-VLOOKUP($U$1,A:N,14,))/VLOOKUP($U$1,A:N,14,))*100)+100</f>
        <v>106.29427530572357</v>
      </c>
      <c r="P255" s="92">
        <f>VLOOKUP(A255,Database!$E:$AY,MATCH($P$1,Database!$E$1:$AY$1,0),FALSE)</f>
        <v>105.2062</v>
      </c>
      <c r="Q255" s="92">
        <f>(((Table134567891011121314151617343[[#This Row],[JPN]]-VLOOKUP($U$1,A:Q,16,))/VLOOKUP($U$1,A:Q,16,))*100)+100</f>
        <v>105.6248652785044</v>
      </c>
    </row>
    <row r="256" spans="1:17" s="85" customFormat="1" x14ac:dyDescent="0.2">
      <c r="A256" s="22">
        <v>40603</v>
      </c>
      <c r="B256" s="92">
        <f>VLOOKUP(A256,Database!$E:$AY,MATCH($B$1,Database!$E$1:$AY$1,0),FALSE)</f>
        <v>110.8908</v>
      </c>
      <c r="C256" s="92">
        <f>VLOOKUP(A256,Database!$E:$AY,MATCH($C$1,Database!$E$1:$AY$1,0),FALSE)</f>
        <v>102.9909</v>
      </c>
      <c r="D256" s="92">
        <f>VLOOKUP(A256,Database!$E:$AY,MATCH($D$1,Database!$E$1:$AY$1,0),FALSE)</f>
        <v>96.891919999999999</v>
      </c>
      <c r="E256" s="92">
        <f>VLOOKUP(A256,Database!$E:$AY,MATCH($E$1,Database!$E$1:$AY$1,0),FALSE)</f>
        <v>105.50409999999999</v>
      </c>
      <c r="F256" s="92">
        <f>VLOOKUP(A256,Database!$E:$AY,MATCH($F$1,Database!$E$1:$AY$1,0),FALSE)</f>
        <v>100.1833</v>
      </c>
      <c r="G256" s="92">
        <f>VLOOKUP(A256,Database!$E:$AY,MATCH($G$1,Database!$E$1:$AY$1,0),FALSE)</f>
        <v>102.2668</v>
      </c>
      <c r="H256" s="92">
        <f>(((Table134567891011121314151617343[[#This Row],[ITA]]-VLOOKUP($U$1,A:B,2,))/VLOOKUP($U$1,A:B,2,))*100)+100</f>
        <v>91.200667160677</v>
      </c>
      <c r="I256" s="92">
        <f>(((Table134567891011121314151617343[[#This Row],[FRA]]-VLOOKUP($U$1,A:C,3,))/VLOOKUP($U$1,A:C,3,))*100)+100</f>
        <v>100.24333055287622</v>
      </c>
      <c r="J256" s="92">
        <f>(((Table134567891011121314151617343[[#This Row],[DEU]]-VLOOKUP($U$1,A:D,4,))/VLOOKUP($U$1,A:D,4,))*100)+100</f>
        <v>128.85638204142819</v>
      </c>
      <c r="K256" s="92">
        <f>(((Table134567891011121314151617343[[#This Row],[ESP]]-VLOOKUP($U$1,A:E,5,))/VLOOKUP($U$1,A:E,5,))*100)+100</f>
        <v>88.849972335467612</v>
      </c>
      <c r="L256" s="92">
        <f>(((Table134567891011121314151617343[[#This Row],[EA19]]-VLOOKUP($U$1,A:F,6,))/VLOOKUP($U$1,A:F,6,))*100)+100</f>
        <v>112.08053691275168</v>
      </c>
      <c r="M256" s="92">
        <f>(((Table134567891011121314151617343[[#This Row],[GBR]]-VLOOKUP($U$1,A:G,7,))/VLOOKUP($U$1,A:G,7,))*100)+100</f>
        <v>95.723970867252433</v>
      </c>
      <c r="N256" s="92">
        <f>VLOOKUP(A256,Database!$E:$AY,MATCH($N$1,Database!$E$1:$AY$1,0),FALSE)</f>
        <v>92.654880000000006</v>
      </c>
      <c r="O256" s="92">
        <f>(((Table134567891011121314151617343[[#This Row],[USA]]-VLOOKUP($U$1,A:N,14,))/VLOOKUP($U$1,A:N,14,))*100)+100</f>
        <v>107.35026122452101</v>
      </c>
      <c r="P256" s="92">
        <f>VLOOKUP(A256,Database!$E:$AY,MATCH($P$1,Database!$E$1:$AY$1,0),FALSE)</f>
        <v>88.578509999999994</v>
      </c>
      <c r="Q256" s="92">
        <f>(((Table134567891011121314151617343[[#This Row],[JPN]]-VLOOKUP($U$1,A:Q,16,))/VLOOKUP($U$1,A:Q,16,))*100)+100</f>
        <v>88.931005827799652</v>
      </c>
    </row>
    <row r="257" spans="1:17" s="85" customFormat="1" x14ac:dyDescent="0.2">
      <c r="A257" s="22">
        <v>40634</v>
      </c>
      <c r="B257" s="92">
        <f>VLOOKUP(A257,Database!$E:$AY,MATCH($B$1,Database!$E$1:$AY$1,0),FALSE)</f>
        <v>111.8907</v>
      </c>
      <c r="C257" s="92">
        <f>VLOOKUP(A257,Database!$E:$AY,MATCH($C$1,Database!$E$1:$AY$1,0),FALSE)</f>
        <v>101.2508</v>
      </c>
      <c r="D257" s="92">
        <f>VLOOKUP(A257,Database!$E:$AY,MATCH($D$1,Database!$E$1:$AY$1,0),FALSE)</f>
        <v>97.491870000000006</v>
      </c>
      <c r="E257" s="92">
        <f>VLOOKUP(A257,Database!$E:$AY,MATCH($E$1,Database!$E$1:$AY$1,0),FALSE)</f>
        <v>104.96210000000001</v>
      </c>
      <c r="F257" s="92">
        <f>VLOOKUP(A257,Database!$E:$AY,MATCH($F$1,Database!$E$1:$AY$1,0),FALSE)</f>
        <v>99.783370000000005</v>
      </c>
      <c r="G257" s="92">
        <f>VLOOKUP(A257,Database!$E:$AY,MATCH($G$1,Database!$E$1:$AY$1,0),FALSE)</f>
        <v>101.12479999999999</v>
      </c>
      <c r="H257" s="92">
        <f>(((Table134567891011121314151617343[[#This Row],[ITA]]-VLOOKUP($U$1,A:B,2,))/VLOOKUP($U$1,A:B,2,))*100)+100</f>
        <v>92.023021649002089</v>
      </c>
      <c r="I257" s="92">
        <f>(((Table134567891011121314151617343[[#This Row],[FRA]]-VLOOKUP($U$1,A:C,3,))/VLOOKUP($U$1,A:C,3,))*100)+100</f>
        <v>98.549652572636603</v>
      </c>
      <c r="J257" s="92">
        <f>(((Table134567891011121314151617343[[#This Row],[DEU]]-VLOOKUP($U$1,A:D,4,))/VLOOKUP($U$1,A:D,4,))*100)+100</f>
        <v>129.65425441722334</v>
      </c>
      <c r="K257" s="92">
        <f>(((Table134567891011121314151617343[[#This Row],[ESP]]-VLOOKUP($U$1,A:E,5,))/VLOOKUP($U$1,A:E,5,))*100)+100</f>
        <v>88.393528604789637</v>
      </c>
      <c r="L257" s="92">
        <f>(((Table134567891011121314151617343[[#This Row],[EA19]]-VLOOKUP($U$1,A:F,6,))/VLOOKUP($U$1,A:F,6,))*100)+100</f>
        <v>111.63311334886912</v>
      </c>
      <c r="M257" s="92">
        <f>(((Table134567891011121314151617343[[#This Row],[GBR]]-VLOOKUP($U$1,A:G,7,))/VLOOKUP($U$1,A:G,7,))*100)+100</f>
        <v>94.655033785712746</v>
      </c>
      <c r="N257" s="92">
        <f>VLOOKUP(A257,Database!$E:$AY,MATCH($N$1,Database!$E$1:$AY$1,0),FALSE)</f>
        <v>92.322929999999999</v>
      </c>
      <c r="O257" s="92">
        <f>(((Table134567891011121314151617343[[#This Row],[USA]]-VLOOKUP($U$1,A:N,14,))/VLOOKUP($U$1,A:N,14,))*100)+100</f>
        <v>106.96566281790194</v>
      </c>
      <c r="P257" s="92">
        <f>VLOOKUP(A257,Database!$E:$AY,MATCH($P$1,Database!$E$1:$AY$1,0),FALSE)</f>
        <v>90.220759999999999</v>
      </c>
      <c r="Q257" s="92">
        <f>(((Table134567891011121314151617343[[#This Row],[JPN]]-VLOOKUP($U$1,A:Q,16,))/VLOOKUP($U$1,A:Q,16,))*100)+100</f>
        <v>90.579791118054629</v>
      </c>
    </row>
    <row r="258" spans="1:17" s="85" customFormat="1" x14ac:dyDescent="0.2">
      <c r="A258" s="22">
        <v>40664</v>
      </c>
      <c r="B258" s="92">
        <f>VLOOKUP(A258,Database!$E:$AY,MATCH($B$1,Database!$E$1:$AY$1,0),FALSE)</f>
        <v>109.7908</v>
      </c>
      <c r="C258" s="92">
        <f>VLOOKUP(A258,Database!$E:$AY,MATCH($C$1,Database!$E$1:$AY$1,0),FALSE)</f>
        <v>104.5609</v>
      </c>
      <c r="D258" s="92">
        <f>VLOOKUP(A258,Database!$E:$AY,MATCH($D$1,Database!$E$1:$AY$1,0),FALSE)</f>
        <v>98.691770000000005</v>
      </c>
      <c r="E258" s="92">
        <f>VLOOKUP(A258,Database!$E:$AY,MATCH($E$1,Database!$E$1:$AY$1,0),FALSE)</f>
        <v>104.1491</v>
      </c>
      <c r="F258" s="92">
        <f>VLOOKUP(A258,Database!$E:$AY,MATCH($F$1,Database!$E$1:$AY$1,0),FALSE)</f>
        <v>100.38330000000001</v>
      </c>
      <c r="G258" s="92">
        <f>VLOOKUP(A258,Database!$E:$AY,MATCH($G$1,Database!$E$1:$AY$1,0),FALSE)</f>
        <v>102.0592</v>
      </c>
      <c r="H258" s="92">
        <f>(((Table134567891011121314151617343[[#This Row],[ITA]]-VLOOKUP($U$1,A:B,2,))/VLOOKUP($U$1,A:B,2,))*100)+100</f>
        <v>90.295986755478879</v>
      </c>
      <c r="I258" s="92">
        <f>(((Table134567891011121314151617343[[#This Row],[FRA]]-VLOOKUP($U$1,A:C,3,))/VLOOKUP($U$1,A:C,3,))*100)+100</f>
        <v>101.77144642493886</v>
      </c>
      <c r="J258" s="92">
        <f>(((Table134567891011121314151617343[[#This Row],[DEU]]-VLOOKUP($U$1,A:D,4,))/VLOOKUP($U$1,A:D,4,))*100)+100</f>
        <v>131.24999916881367</v>
      </c>
      <c r="K258" s="92">
        <f>(((Table134567891011121314151617343[[#This Row],[ESP]]-VLOOKUP($U$1,A:E,5,))/VLOOKUP($U$1,A:E,5,))*100)+100</f>
        <v>87.708863008772653</v>
      </c>
      <c r="L258" s="92">
        <f>(((Table134567891011121314151617343[[#This Row],[EA19]]-VLOOKUP($U$1,A:F,6,))/VLOOKUP($U$1,A:F,6,))*100)+100</f>
        <v>112.30428785110719</v>
      </c>
      <c r="M258" s="92">
        <f>(((Table134567891011121314151617343[[#This Row],[GBR]]-VLOOKUP($U$1,A:G,7,))/VLOOKUP($U$1,A:G,7,))*100)+100</f>
        <v>95.529652707771135</v>
      </c>
      <c r="N258" s="92">
        <f>VLOOKUP(A258,Database!$E:$AY,MATCH($N$1,Database!$E$1:$AY$1,0),FALSE)</f>
        <v>92.533280000000005</v>
      </c>
      <c r="O258" s="92">
        <f>(((Table134567891011121314151617343[[#This Row],[USA]]-VLOOKUP($U$1,A:N,14,))/VLOOKUP($U$1,A:N,14,))*100)+100</f>
        <v>107.20937504815446</v>
      </c>
      <c r="P258" s="92">
        <f>VLOOKUP(A258,Database!$E:$AY,MATCH($P$1,Database!$E$1:$AY$1,0),FALSE)</f>
        <v>96.17389</v>
      </c>
      <c r="Q258" s="92">
        <f>(((Table134567891011121314151617343[[#This Row],[JPN]]-VLOOKUP($U$1,A:Q,16,))/VLOOKUP($U$1,A:Q,16,))*100)+100</f>
        <v>96.556611440767782</v>
      </c>
    </row>
    <row r="259" spans="1:17" s="85" customFormat="1" x14ac:dyDescent="0.2">
      <c r="A259" s="22">
        <v>40695</v>
      </c>
      <c r="B259" s="92">
        <f>VLOOKUP(A259,Database!$E:$AY,MATCH($B$1,Database!$E$1:$AY$1,0),FALSE)</f>
        <v>108.8909</v>
      </c>
      <c r="C259" s="92">
        <f>VLOOKUP(A259,Database!$E:$AY,MATCH($C$1,Database!$E$1:$AY$1,0),FALSE)</f>
        <v>101.6908</v>
      </c>
      <c r="D259" s="92">
        <f>VLOOKUP(A259,Database!$E:$AY,MATCH($D$1,Database!$E$1:$AY$1,0),FALSE)</f>
        <v>97.091909999999999</v>
      </c>
      <c r="E259" s="92">
        <f>VLOOKUP(A259,Database!$E:$AY,MATCH($E$1,Database!$E$1:$AY$1,0),FALSE)</f>
        <v>104.4151</v>
      </c>
      <c r="F259" s="92">
        <f>VLOOKUP(A259,Database!$E:$AY,MATCH($F$1,Database!$E$1:$AY$1,0),FALSE)</f>
        <v>98.983509999999995</v>
      </c>
      <c r="G259" s="92">
        <f>VLOOKUP(A259,Database!$E:$AY,MATCH($G$1,Database!$E$1:$AY$1,0),FALSE)</f>
        <v>102.0592</v>
      </c>
      <c r="H259" s="92">
        <f>(((Table134567891011121314151617343[[#This Row],[ITA]]-VLOOKUP($U$1,A:B,2,))/VLOOKUP($U$1,A:B,2,))*100)+100</f>
        <v>89.555875940353602</v>
      </c>
      <c r="I259" s="92">
        <f>(((Table134567891011121314151617343[[#This Row],[FRA]]-VLOOKUP($U$1,A:C,3,))/VLOOKUP($U$1,A:C,3,))*100)+100</f>
        <v>98.977914345698736</v>
      </c>
      <c r="J259" s="92">
        <f>(((Table134567891011121314151617343[[#This Row],[DEU]]-VLOOKUP($U$1,A:D,4,))/VLOOKUP($U$1,A:D,4,))*100)+100</f>
        <v>129.12234836601402</v>
      </c>
      <c r="K259" s="92">
        <f>(((Table134567891011121314151617343[[#This Row],[ESP]]-VLOOKUP($U$1,A:E,5,))/VLOOKUP($U$1,A:E,5,))*100)+100</f>
        <v>87.932874138588772</v>
      </c>
      <c r="L259" s="92">
        <f>(((Table134567891011121314151617343[[#This Row],[EA19]]-VLOOKUP($U$1,A:F,6,))/VLOOKUP($U$1,A:F,6,))*100)+100</f>
        <v>110.73826622110397</v>
      </c>
      <c r="M259" s="92">
        <f>(((Table134567891011121314151617343[[#This Row],[GBR]]-VLOOKUP($U$1,A:G,7,))/VLOOKUP($U$1,A:G,7,))*100)+100</f>
        <v>95.529652707771135</v>
      </c>
      <c r="N259" s="92">
        <f>VLOOKUP(A259,Database!$E:$AY,MATCH($N$1,Database!$E$1:$AY$1,0),FALSE)</f>
        <v>92.80001</v>
      </c>
      <c r="O259" s="92">
        <f>(((Table134567891011121314151617343[[#This Row],[USA]]-VLOOKUP($U$1,A:N,14,))/VLOOKUP($U$1,A:N,14,))*100)+100</f>
        <v>107.51840933945586</v>
      </c>
      <c r="P259" s="92">
        <f>VLOOKUP(A259,Database!$E:$AY,MATCH($P$1,Database!$E$1:$AY$1,0),FALSE)</f>
        <v>100.0742</v>
      </c>
      <c r="Q259" s="92">
        <f>(((Table134567891011121314151617343[[#This Row],[JPN]]-VLOOKUP($U$1,A:Q,16,))/VLOOKUP($U$1,A:Q,16,))*100)+100</f>
        <v>100.47244262081614</v>
      </c>
    </row>
    <row r="260" spans="1:17" s="85" customFormat="1" x14ac:dyDescent="0.2">
      <c r="A260" s="22">
        <v>40725</v>
      </c>
      <c r="B260" s="92">
        <f>VLOOKUP(A260,Database!$E:$AY,MATCH($B$1,Database!$E$1:$AY$1,0),FALSE)</f>
        <v>108.491</v>
      </c>
      <c r="C260" s="92">
        <f>VLOOKUP(A260,Database!$E:$AY,MATCH($C$1,Database!$E$1:$AY$1,0),FALSE)</f>
        <v>102.8409</v>
      </c>
      <c r="D260" s="92">
        <f>VLOOKUP(A260,Database!$E:$AY,MATCH($D$1,Database!$E$1:$AY$1,0),FALSE)</f>
        <v>100.0917</v>
      </c>
      <c r="E260" s="92">
        <f>VLOOKUP(A260,Database!$E:$AY,MATCH($E$1,Database!$E$1:$AY$1,0),FALSE)</f>
        <v>104.55110000000001</v>
      </c>
      <c r="F260" s="92">
        <f>VLOOKUP(A260,Database!$E:$AY,MATCH($F$1,Database!$E$1:$AY$1,0),FALSE)</f>
        <v>99.983339999999998</v>
      </c>
      <c r="G260" s="92">
        <f>VLOOKUP(A260,Database!$E:$AY,MATCH($G$1,Database!$E$1:$AY$1,0),FALSE)</f>
        <v>101.8515</v>
      </c>
      <c r="H260" s="92">
        <f>(((Table134567891011121314151617343[[#This Row],[ITA]]-VLOOKUP($U$1,A:B,2,))/VLOOKUP($U$1,A:B,2,))*100)+100</f>
        <v>89.226983491227486</v>
      </c>
      <c r="I260" s="92">
        <f>(((Table134567891011121314151617343[[#This Row],[FRA]]-VLOOKUP($U$1,A:C,3,))/VLOOKUP($U$1,A:C,3,))*100)+100</f>
        <v>100.0973322211505</v>
      </c>
      <c r="J260" s="92">
        <f>(((Table134567891011121314151617343[[#This Row],[DEU]]-VLOOKUP($U$1,A:D,4,))/VLOOKUP($U$1,A:D,4,))*100)+100</f>
        <v>133.11176344091456</v>
      </c>
      <c r="K260" s="92">
        <f>(((Table134567891011121314151617343[[#This Row],[ESP]]-VLOOKUP($U$1,A:E,5,))/VLOOKUP($U$1,A:E,5,))*100)+100</f>
        <v>88.047406144810566</v>
      </c>
      <c r="L260" s="92">
        <f>(((Table134567891011121314151617343[[#This Row],[EA19]]-VLOOKUP($U$1,A:F,6,))/VLOOKUP($U$1,A:F,6,))*100)+100</f>
        <v>111.85683072458386</v>
      </c>
      <c r="M260" s="92">
        <f>(((Table134567891011121314151617343[[#This Row],[GBR]]-VLOOKUP($U$1,A:G,7,))/VLOOKUP($U$1,A:G,7,))*100)+100</f>
        <v>95.335240946093563</v>
      </c>
      <c r="N260" s="92">
        <f>VLOOKUP(A260,Database!$E:$AY,MATCH($N$1,Database!$E$1:$AY$1,0),FALSE)</f>
        <v>93.293530000000004</v>
      </c>
      <c r="O260" s="92">
        <f>(((Table134567891011121314151617343[[#This Row],[USA]]-VLOOKUP($U$1,A:N,14,))/VLOOKUP($U$1,A:N,14,))*100)+100</f>
        <v>108.09020330130143</v>
      </c>
      <c r="P260" s="92">
        <f>VLOOKUP(A260,Database!$E:$AY,MATCH($P$1,Database!$E$1:$AY$1,0),FALSE)</f>
        <v>100.998</v>
      </c>
      <c r="Q260" s="92">
        <f>(((Table134567891011121314151617343[[#This Row],[JPN]]-VLOOKUP($U$1,A:Q,16,))/VLOOKUP($U$1,A:Q,16,))*100)+100</f>
        <v>101.39991885837897</v>
      </c>
    </row>
    <row r="261" spans="1:17" s="85" customFormat="1" x14ac:dyDescent="0.2">
      <c r="A261" s="22">
        <v>40756</v>
      </c>
      <c r="B261" s="92">
        <f>VLOOKUP(A261,Database!$E:$AY,MATCH($B$1,Database!$E$1:$AY$1,0),FALSE)</f>
        <v>107.89100000000001</v>
      </c>
      <c r="C261" s="92">
        <f>VLOOKUP(A261,Database!$E:$AY,MATCH($C$1,Database!$E$1:$AY$1,0),FALSE)</f>
        <v>101.98090000000001</v>
      </c>
      <c r="D261" s="92">
        <f>VLOOKUP(A261,Database!$E:$AY,MATCH($D$1,Database!$E$1:$AY$1,0),FALSE)</f>
        <v>99.291730000000001</v>
      </c>
      <c r="E261" s="92">
        <f>VLOOKUP(A261,Database!$E:$AY,MATCH($E$1,Database!$E$1:$AY$1,0),FALSE)</f>
        <v>104.52209999999999</v>
      </c>
      <c r="F261" s="92">
        <f>VLOOKUP(A261,Database!$E:$AY,MATCH($F$1,Database!$E$1:$AY$1,0),FALSE)</f>
        <v>100.08329999999999</v>
      </c>
      <c r="G261" s="92">
        <f>VLOOKUP(A261,Database!$E:$AY,MATCH($G$1,Database!$E$1:$AY$1,0),FALSE)</f>
        <v>101.4362</v>
      </c>
      <c r="H261" s="92">
        <f>(((Table134567891011121314151617343[[#This Row],[ITA]]-VLOOKUP($U$1,A:B,2,))/VLOOKUP($U$1,A:B,2,))*100)+100</f>
        <v>88.733521452028498</v>
      </c>
      <c r="I261" s="92">
        <f>(((Table134567891011121314151617343[[#This Row],[FRA]]-VLOOKUP($U$1,A:C,3,))/VLOOKUP($U$1,A:C,3,))*100)+100</f>
        <v>99.260275119256306</v>
      </c>
      <c r="J261" s="92">
        <f>(((Table134567891011121314151617343[[#This Row],[DEU]]-VLOOKUP($U$1,A:D,4,))/VLOOKUP($U$1,A:D,4,))*100)+100</f>
        <v>132.04788484359</v>
      </c>
      <c r="K261" s="92">
        <f>(((Table134567891011121314151617343[[#This Row],[ESP]]-VLOOKUP($U$1,A:E,5,))/VLOOKUP($U$1,A:E,5,))*100)+100</f>
        <v>88.022983878777964</v>
      </c>
      <c r="L261" s="92">
        <f>(((Table134567891011121314151617343[[#This Row],[EA19]]-VLOOKUP($U$1,A:F,6,))/VLOOKUP($U$1,A:F,6,))*100)+100</f>
        <v>111.96866144357394</v>
      </c>
      <c r="M261" s="92">
        <f>(((Table134567891011121314151617343[[#This Row],[GBR]]-VLOOKUP($U$1,A:G,7,))/VLOOKUP($U$1,A:G,7,))*100)+100</f>
        <v>94.946511024934694</v>
      </c>
      <c r="N261" s="92">
        <f>VLOOKUP(A261,Database!$E:$AY,MATCH($N$1,Database!$E$1:$AY$1,0),FALSE)</f>
        <v>93.815939999999998</v>
      </c>
      <c r="O261" s="92">
        <f>(((Table134567891011121314151617343[[#This Row],[USA]]-VLOOKUP($U$1,A:N,14,))/VLOOKUP($U$1,A:N,14,))*100)+100</f>
        <v>108.69546931606828</v>
      </c>
      <c r="P261" s="92">
        <f>VLOOKUP(A261,Database!$E:$AY,MATCH($P$1,Database!$E$1:$AY$1,0),FALSE)</f>
        <v>102.5376</v>
      </c>
      <c r="Q261" s="92">
        <f>(((Table134567891011121314151617343[[#This Row],[JPN]]-VLOOKUP($U$1,A:Q,16,))/VLOOKUP($U$1,A:Q,16,))*100)+100</f>
        <v>102.94564565568544</v>
      </c>
    </row>
    <row r="262" spans="1:17" s="85" customFormat="1" x14ac:dyDescent="0.2">
      <c r="A262" s="22">
        <v>40787</v>
      </c>
      <c r="B262" s="92">
        <f>VLOOKUP(A262,Database!$E:$AY,MATCH($B$1,Database!$E$1:$AY$1,0),FALSE)</f>
        <v>107.39109999999999</v>
      </c>
      <c r="C262" s="92">
        <f>VLOOKUP(A262,Database!$E:$AY,MATCH($C$1,Database!$E$1:$AY$1,0),FALSE)</f>
        <v>101.21080000000001</v>
      </c>
      <c r="D262" s="92">
        <f>VLOOKUP(A262,Database!$E:$AY,MATCH($D$1,Database!$E$1:$AY$1,0),FALSE)</f>
        <v>97.791849999999997</v>
      </c>
      <c r="E262" s="92">
        <f>VLOOKUP(A262,Database!$E:$AY,MATCH($E$1,Database!$E$1:$AY$1,0),FALSE)</f>
        <v>103.2771</v>
      </c>
      <c r="F262" s="92">
        <f>VLOOKUP(A262,Database!$E:$AY,MATCH($F$1,Database!$E$1:$AY$1,0),FALSE)</f>
        <v>99.083489999999998</v>
      </c>
      <c r="G262" s="92">
        <f>VLOOKUP(A262,Database!$E:$AY,MATCH($G$1,Database!$E$1:$AY$1,0),FALSE)</f>
        <v>101.12479999999999</v>
      </c>
      <c r="H262" s="92">
        <f>(((Table134567891011121314151617343[[#This Row],[ITA]]-VLOOKUP($U$1,A:B,2,))/VLOOKUP($U$1,A:B,2,))*100)+100</f>
        <v>88.322385329702541</v>
      </c>
      <c r="I262" s="92">
        <f>(((Table134567891011121314151617343[[#This Row],[FRA]]-VLOOKUP($U$1,A:C,3,))/VLOOKUP($U$1,A:C,3,))*100)+100</f>
        <v>98.510719684176422</v>
      </c>
      <c r="J262" s="92">
        <f>(((Table134567891011121314151617343[[#This Row],[DEU]]-VLOOKUP($U$1,A:D,4,))/VLOOKUP($U$1,A:D,4,))*100)+100</f>
        <v>130.05319725461152</v>
      </c>
      <c r="K262" s="92">
        <f>(((Table134567891011121314151617343[[#This Row],[ESP]]-VLOOKUP($U$1,A:E,5,))/VLOOKUP($U$1,A:E,5,))*100)+100</f>
        <v>86.974510733585916</v>
      </c>
      <c r="L262" s="92">
        <f>(((Table134567891011121314151617343[[#This Row],[EA19]]-VLOOKUP($U$1,A:F,6,))/VLOOKUP($U$1,A:F,6,))*100)+100</f>
        <v>110.85011931518788</v>
      </c>
      <c r="M262" s="92">
        <f>(((Table134567891011121314151617343[[#This Row],[GBR]]-VLOOKUP($U$1,A:G,7,))/VLOOKUP($U$1,A:G,7,))*100)+100</f>
        <v>94.655033785712746</v>
      </c>
      <c r="N262" s="92">
        <f>VLOOKUP(A262,Database!$E:$AY,MATCH($N$1,Database!$E$1:$AY$1,0),FALSE)</f>
        <v>93.793180000000007</v>
      </c>
      <c r="O262" s="92">
        <f>(((Table134567891011121314151617343[[#This Row],[USA]]-VLOOKUP($U$1,A:N,14,))/VLOOKUP($U$1,A:N,14,))*100)+100</f>
        <v>108.66909950213653</v>
      </c>
      <c r="P262" s="92">
        <f>VLOOKUP(A262,Database!$E:$AY,MATCH($P$1,Database!$E$1:$AY$1,0),FALSE)</f>
        <v>101.9217</v>
      </c>
      <c r="Q262" s="92">
        <f>(((Table134567891011121314151617343[[#This Row],[JPN]]-VLOOKUP($U$1,A:Q,16,))/VLOOKUP($U$1,A:Q,16,))*100)+100</f>
        <v>102.32729469799445</v>
      </c>
    </row>
    <row r="263" spans="1:17" s="85" customFormat="1" x14ac:dyDescent="0.2">
      <c r="A263" s="22">
        <v>40817</v>
      </c>
      <c r="B263" s="92">
        <f>VLOOKUP(A263,Database!$E:$AY,MATCH($B$1,Database!$E$1:$AY$1,0),FALSE)</f>
        <v>106.0912</v>
      </c>
      <c r="C263" s="92">
        <f>VLOOKUP(A263,Database!$E:$AY,MATCH($C$1,Database!$E$1:$AY$1,0),FALSE)</f>
        <v>101.4508</v>
      </c>
      <c r="D263" s="92">
        <f>VLOOKUP(A263,Database!$E:$AY,MATCH($D$1,Database!$E$1:$AY$1,0),FALSE)</f>
        <v>98.891760000000005</v>
      </c>
      <c r="E263" s="92">
        <f>VLOOKUP(A263,Database!$E:$AY,MATCH($E$1,Database!$E$1:$AY$1,0),FALSE)</f>
        <v>101.29510000000001</v>
      </c>
      <c r="F263" s="92">
        <f>VLOOKUP(A263,Database!$E:$AY,MATCH($F$1,Database!$E$1:$AY$1,0),FALSE)</f>
        <v>98.783540000000002</v>
      </c>
      <c r="G263" s="92">
        <f>VLOOKUP(A263,Database!$E:$AY,MATCH($G$1,Database!$E$1:$AY$1,0),FALSE)</f>
        <v>101.12479999999999</v>
      </c>
      <c r="H263" s="92">
        <f>(((Table134567891011121314151617343[[#This Row],[ITA]]-VLOOKUP($U$1,A:B,2,))/VLOOKUP($U$1,A:B,2,))*100)+100</f>
        <v>87.253299821777958</v>
      </c>
      <c r="I263" s="92">
        <f>(((Table134567891011121314151617343[[#This Row],[FRA]]-VLOOKUP($U$1,A:C,3,))/VLOOKUP($U$1,A:C,3,))*100)+100</f>
        <v>98.744317014937579</v>
      </c>
      <c r="J263" s="92">
        <f>(((Table134567891011121314151617343[[#This Row],[DEU]]-VLOOKUP($U$1,A:D,4,))/VLOOKUP($U$1,A:D,4,))*100)+100</f>
        <v>131.51596549339951</v>
      </c>
      <c r="K263" s="92">
        <f>(((Table134567891011121314151617343[[#This Row],[ESP]]-VLOOKUP($U$1,A:E,5,))/VLOOKUP($U$1,A:E,5,))*100)+100</f>
        <v>85.305375172324347</v>
      </c>
      <c r="L263" s="92">
        <f>(((Table134567891011121314151617343[[#This Row],[EA19]]-VLOOKUP($U$1,A:F,6,))/VLOOKUP($U$1,A:F,6,))*100)+100</f>
        <v>110.51454884538923</v>
      </c>
      <c r="M263" s="92">
        <f>(((Table134567891011121314151617343[[#This Row],[GBR]]-VLOOKUP($U$1,A:G,7,))/VLOOKUP($U$1,A:G,7,))*100)+100</f>
        <v>94.655033785712746</v>
      </c>
      <c r="N263" s="92">
        <f>VLOOKUP(A263,Database!$E:$AY,MATCH($N$1,Database!$E$1:$AY$1,0),FALSE)</f>
        <v>94.439409999999995</v>
      </c>
      <c r="O263" s="92">
        <f>(((Table134567891011121314151617343[[#This Row],[USA]]-VLOOKUP($U$1,A:N,14,))/VLOOKUP($U$1,A:N,14,))*100)+100</f>
        <v>109.41782379287136</v>
      </c>
      <c r="P263" s="92">
        <f>VLOOKUP(A263,Database!$E:$AY,MATCH($P$1,Database!$E$1:$AY$1,0),FALSE)</f>
        <v>103.56399999999999</v>
      </c>
      <c r="Q263" s="92">
        <f>(((Table134567891011121314151617343[[#This Row],[JPN]]-VLOOKUP($U$1,A:Q,16,))/VLOOKUP($U$1,A:Q,16,))*100)+100</f>
        <v>103.97613018722309</v>
      </c>
    </row>
    <row r="264" spans="1:17" s="85" customFormat="1" x14ac:dyDescent="0.2">
      <c r="A264" s="22">
        <v>40848</v>
      </c>
      <c r="B264" s="92">
        <f>VLOOKUP(A264,Database!$E:$AY,MATCH($B$1,Database!$E$1:$AY$1,0),FALSE)</f>
        <v>106.89109999999999</v>
      </c>
      <c r="C264" s="92">
        <f>VLOOKUP(A264,Database!$E:$AY,MATCH($C$1,Database!$E$1:$AY$1,0),FALSE)</f>
        <v>103.62090000000001</v>
      </c>
      <c r="D264" s="92">
        <f>VLOOKUP(A264,Database!$E:$AY,MATCH($D$1,Database!$E$1:$AY$1,0),FALSE)</f>
        <v>98.191820000000007</v>
      </c>
      <c r="E264" s="92">
        <f>VLOOKUP(A264,Database!$E:$AY,MATCH($E$1,Database!$E$1:$AY$1,0),FALSE)</f>
        <v>100.87909999999999</v>
      </c>
      <c r="F264" s="92">
        <f>VLOOKUP(A264,Database!$E:$AY,MATCH($F$1,Database!$E$1:$AY$1,0),FALSE)</f>
        <v>99.083489999999998</v>
      </c>
      <c r="G264" s="92">
        <f>VLOOKUP(A264,Database!$E:$AY,MATCH($G$1,Database!$E$1:$AY$1,0),FALSE)</f>
        <v>100.8133</v>
      </c>
      <c r="H264" s="92">
        <f>(((Table134567891011121314151617343[[#This Row],[ITA]]-VLOOKUP($U$1,A:B,2,))/VLOOKUP($U$1,A:B,2,))*100)+100</f>
        <v>87.911166963703394</v>
      </c>
      <c r="I264" s="92">
        <f>(((Table134567891011121314151617343[[#This Row],[FRA]]-VLOOKUP($U$1,A:C,3,))/VLOOKUP($U$1,A:C,3,))*100)+100</f>
        <v>100.85652354612429</v>
      </c>
      <c r="J264" s="92">
        <f>(((Table134567891011121314151617343[[#This Row],[DEU]]-VLOOKUP($U$1,A:D,4,))/VLOOKUP($U$1,A:D,4,))*100)+100</f>
        <v>130.58511660480201</v>
      </c>
      <c r="K264" s="92">
        <f>(((Table134567891011121314151617343[[#This Row],[ESP]]-VLOOKUP($U$1,A:E,5,))/VLOOKUP($U$1,A:E,5,))*100)+100</f>
        <v>84.955041976822429</v>
      </c>
      <c r="L264" s="92">
        <f>(((Table134567891011121314151617343[[#This Row],[EA19]]-VLOOKUP($U$1,A:F,6,))/VLOOKUP($U$1,A:F,6,))*100)+100</f>
        <v>110.85011931518788</v>
      </c>
      <c r="M264" s="92">
        <f>(((Table134567891011121314151617343[[#This Row],[GBR]]-VLOOKUP($U$1,A:G,7,))/VLOOKUP($U$1,A:G,7,))*100)+100</f>
        <v>94.363462944294525</v>
      </c>
      <c r="N264" s="92">
        <f>VLOOKUP(A264,Database!$E:$AY,MATCH($N$1,Database!$E$1:$AY$1,0),FALSE)</f>
        <v>94.363619999999997</v>
      </c>
      <c r="O264" s="92">
        <f>(((Table134567891011121314151617343[[#This Row],[USA]]-VLOOKUP($U$1,A:N,14,))/VLOOKUP($U$1,A:N,14,))*100)+100</f>
        <v>109.33001323936132</v>
      </c>
      <c r="P264" s="92">
        <f>VLOOKUP(A264,Database!$E:$AY,MATCH($P$1,Database!$E$1:$AY$1,0),FALSE)</f>
        <v>101.5112</v>
      </c>
      <c r="Q264" s="92">
        <f>(((Table134567891011121314151617343[[#This Row],[JPN]]-VLOOKUP($U$1,A:Q,16,))/VLOOKUP($U$1,A:Q,16,))*100)+100</f>
        <v>101.91516112414779</v>
      </c>
    </row>
    <row r="265" spans="1:17" s="85" customFormat="1" x14ac:dyDescent="0.2">
      <c r="A265" s="22">
        <v>40878</v>
      </c>
      <c r="B265" s="92">
        <f>VLOOKUP(A265,Database!$E:$AY,MATCH($B$1,Database!$E$1:$AY$1,0),FALSE)</f>
        <v>107.691</v>
      </c>
      <c r="C265" s="92">
        <f>VLOOKUP(A265,Database!$E:$AY,MATCH($C$1,Database!$E$1:$AY$1,0),FALSE)</f>
        <v>101.4408</v>
      </c>
      <c r="D265" s="92">
        <f>VLOOKUP(A265,Database!$E:$AY,MATCH($D$1,Database!$E$1:$AY$1,0),FALSE)</f>
        <v>96.791929999999994</v>
      </c>
      <c r="E265" s="92">
        <f>VLOOKUP(A265,Database!$E:$AY,MATCH($E$1,Database!$E$1:$AY$1,0),FALSE)</f>
        <v>102.6071</v>
      </c>
      <c r="F265" s="92">
        <f>VLOOKUP(A265,Database!$E:$AY,MATCH($F$1,Database!$E$1:$AY$1,0),FALSE)</f>
        <v>98.483590000000007</v>
      </c>
      <c r="G265" s="92">
        <f>VLOOKUP(A265,Database!$E:$AY,MATCH($G$1,Database!$E$1:$AY$1,0),FALSE)</f>
        <v>100.70950000000001</v>
      </c>
      <c r="H265" s="92">
        <f>(((Table134567891011121314151617343[[#This Row],[ITA]]-VLOOKUP($U$1,A:B,2,))/VLOOKUP($U$1,A:B,2,))*100)+100</f>
        <v>88.569034105628845</v>
      </c>
      <c r="I265" s="92">
        <f>(((Table134567891011121314151617343[[#This Row],[FRA]]-VLOOKUP($U$1,A:C,3,))/VLOOKUP($U$1,A:C,3,))*100)+100</f>
        <v>98.734583792822534</v>
      </c>
      <c r="J265" s="92">
        <f>(((Table134567891011121314151617343[[#This Row],[DEU]]-VLOOKUP($U$1,A:D,4,))/VLOOKUP($U$1,A:D,4,))*100)+100</f>
        <v>128.72340552862585</v>
      </c>
      <c r="K265" s="92">
        <f>(((Table134567891011121314151617343[[#This Row],[ESP]]-VLOOKUP($U$1,A:E,5,))/VLOOKUP($U$1,A:E,5,))*100)+100</f>
        <v>86.410272173522728</v>
      </c>
      <c r="L265" s="92">
        <f>(((Table134567891011121314151617343[[#This Row],[EA19]]-VLOOKUP($U$1,A:F,6,))/VLOOKUP($U$1,A:F,6,))*100)+100</f>
        <v>110.17897837559057</v>
      </c>
      <c r="M265" s="92">
        <f>(((Table134567891011121314151617343[[#This Row],[GBR]]-VLOOKUP($U$1,A:G,7,))/VLOOKUP($U$1,A:G,7,))*100)+100</f>
        <v>94.26630386455389</v>
      </c>
      <c r="N265" s="92">
        <f>VLOOKUP(A265,Database!$E:$AY,MATCH($N$1,Database!$E$1:$AY$1,0),FALSE)</f>
        <v>94.886430000000004</v>
      </c>
      <c r="O265" s="92">
        <f>(((Table134567891011121314151617343[[#This Row],[USA]]-VLOOKUP($U$1,A:N,14,))/VLOOKUP($U$1,A:N,14,))*100)+100</f>
        <v>109.93574269549782</v>
      </c>
      <c r="P265" s="92">
        <f>VLOOKUP(A265,Database!$E:$AY,MATCH($P$1,Database!$E$1:$AY$1,0),FALSE)</f>
        <v>103.56399999999999</v>
      </c>
      <c r="Q265" s="92">
        <f>(((Table134567891011121314151617343[[#This Row],[JPN]]-VLOOKUP($U$1,A:Q,16,))/VLOOKUP($U$1,A:Q,16,))*100)+100</f>
        <v>103.97613018722309</v>
      </c>
    </row>
    <row r="266" spans="1:17" s="85" customFormat="1" x14ac:dyDescent="0.2">
      <c r="A266" s="22">
        <v>40909</v>
      </c>
      <c r="B266" s="92">
        <f>VLOOKUP(A266,Database!$E:$AY,MATCH($B$1,Database!$E$1:$AY$1,0),FALSE)</f>
        <v>103.6914</v>
      </c>
      <c r="C266" s="92">
        <f>VLOOKUP(A266,Database!$E:$AY,MATCH($C$1,Database!$E$1:$AY$1,0),FALSE)</f>
        <v>100.85080000000001</v>
      </c>
      <c r="D266" s="92">
        <f>VLOOKUP(A266,Database!$E:$AY,MATCH($D$1,Database!$E$1:$AY$1,0),FALSE)</f>
        <v>97.291889999999995</v>
      </c>
      <c r="E266" s="92">
        <f>VLOOKUP(A266,Database!$E:$AY,MATCH($E$1,Database!$E$1:$AY$1,0),FALSE)</f>
        <v>100.6901</v>
      </c>
      <c r="F266" s="92">
        <f>VLOOKUP(A266,Database!$E:$AY,MATCH($F$1,Database!$E$1:$AY$1,0),FALSE)</f>
        <v>97.783699999999996</v>
      </c>
      <c r="G266" s="92">
        <f>VLOOKUP(A266,Database!$E:$AY,MATCH($G$1,Database!$E$1:$AY$1,0),FALSE)</f>
        <v>100.8133</v>
      </c>
      <c r="H266" s="92">
        <f>(((Table134567891011121314151617343[[#This Row],[ITA]]-VLOOKUP($U$1,A:B,2,))/VLOOKUP($U$1,A:B,2,))*100)+100</f>
        <v>85.279616152328444</v>
      </c>
      <c r="I266" s="92">
        <f>(((Table134567891011121314151617343[[#This Row],[FRA]]-VLOOKUP($U$1,A:C,3,))/VLOOKUP($U$1,A:C,3,))*100)+100</f>
        <v>98.160323688034666</v>
      </c>
      <c r="J266" s="92">
        <f>(((Table134567891011121314151617343[[#This Row],[DEU]]-VLOOKUP($U$1,A:D,4,))/VLOOKUP($U$1,A:D,4,))*100)+100</f>
        <v>129.38830139161868</v>
      </c>
      <c r="K266" s="92">
        <f>(((Table134567891011121314151617343[[#This Row],[ESP]]-VLOOKUP($U$1,A:E,5,))/VLOOKUP($U$1,A:E,5,))*100)+100</f>
        <v>84.795876174058336</v>
      </c>
      <c r="L266" s="92">
        <f>(((Table134567891011121314151617343[[#This Row],[EA19]]-VLOOKUP($U$1,A:F,6,))/VLOOKUP($U$1,A:F,6,))*100)+100</f>
        <v>109.39597315436242</v>
      </c>
      <c r="M266" s="92">
        <f>(((Table134567891011121314151617343[[#This Row],[GBR]]-VLOOKUP($U$1,A:G,7,))/VLOOKUP($U$1,A:G,7,))*100)+100</f>
        <v>94.363462944294525</v>
      </c>
      <c r="N266" s="92">
        <f>VLOOKUP(A266,Database!$E:$AY,MATCH($N$1,Database!$E$1:$AY$1,0),FALSE)</f>
        <v>95.467449999999999</v>
      </c>
      <c r="O266" s="92">
        <f>(((Table134567891011121314151617343[[#This Row],[USA]]-VLOOKUP($U$1,A:N,14,))/VLOOKUP($U$1,A:N,14,))*100)+100</f>
        <v>110.60891445694925</v>
      </c>
      <c r="P266" s="92">
        <f>VLOOKUP(A266,Database!$E:$AY,MATCH($P$1,Database!$E$1:$AY$1,0),FALSE)</f>
        <v>103.8719</v>
      </c>
      <c r="Q266" s="92">
        <f>(((Table134567891011121314151617343[[#This Row],[JPN]]-VLOOKUP($U$1,A:Q,16,))/VLOOKUP($U$1,A:Q,16,))*100)+100</f>
        <v>104.28525546709493</v>
      </c>
    </row>
    <row r="267" spans="1:17" s="85" customFormat="1" x14ac:dyDescent="0.2">
      <c r="A267" s="22">
        <v>40940</v>
      </c>
      <c r="B267" s="92">
        <f>VLOOKUP(A267,Database!$E:$AY,MATCH($B$1,Database!$E$1:$AY$1,0),FALSE)</f>
        <v>103.8913</v>
      </c>
      <c r="C267" s="92">
        <f>VLOOKUP(A267,Database!$E:$AY,MATCH($C$1,Database!$E$1:$AY$1,0),FALSE)</f>
        <v>101.8109</v>
      </c>
      <c r="D267" s="92">
        <f>VLOOKUP(A267,Database!$E:$AY,MATCH($D$1,Database!$E$1:$AY$1,0),FALSE)</f>
        <v>97.191900000000004</v>
      </c>
      <c r="E267" s="92">
        <f>VLOOKUP(A267,Database!$E:$AY,MATCH($E$1,Database!$E$1:$AY$1,0),FALSE)</f>
        <v>99.318079999999995</v>
      </c>
      <c r="F267" s="92">
        <f>VLOOKUP(A267,Database!$E:$AY,MATCH($F$1,Database!$E$1:$AY$1,0),FALSE)</f>
        <v>98.383610000000004</v>
      </c>
      <c r="G267" s="92">
        <f>VLOOKUP(A267,Database!$E:$AY,MATCH($G$1,Database!$E$1:$AY$1,0),FALSE)</f>
        <v>100.5018</v>
      </c>
      <c r="H267" s="92">
        <f>(((Table134567891011121314151617343[[#This Row],[ITA]]-VLOOKUP($U$1,A:B,2,))/VLOOKUP($U$1,A:B,2,))*100)+100</f>
        <v>85.444021255054906</v>
      </c>
      <c r="I267" s="92">
        <f>(((Table134567891011121314151617343[[#This Row],[FRA]]-VLOOKUP($U$1,A:C,3,))/VLOOKUP($U$1,A:C,3,))*100)+100</f>
        <v>99.09481034330048</v>
      </c>
      <c r="J267" s="92">
        <f>(((Table134567891011121314151617343[[#This Row],[DEU]]-VLOOKUP($U$1,A:D,4,))/VLOOKUP($U$1,A:D,4,))*100)+100</f>
        <v>129.25532487881637</v>
      </c>
      <c r="K267" s="92">
        <f>(((Table134567891011121314151617343[[#This Row],[ESP]]-VLOOKUP($U$1,A:E,5,))/VLOOKUP($U$1,A:E,5,))*100)+100</f>
        <v>83.64043350364355</v>
      </c>
      <c r="L267" s="92">
        <f>(((Table134567891011121314151617343[[#This Row],[EA19]]-VLOOKUP($U$1,A:F,6,))/VLOOKUP($U$1,A:F,6,))*100)+100</f>
        <v>110.06712528150666</v>
      </c>
      <c r="M267" s="92">
        <f>(((Table134567891011121314151617343[[#This Row],[GBR]]-VLOOKUP($U$1,A:G,7,))/VLOOKUP($U$1,A:G,7,))*100)+100</f>
        <v>94.071892102876305</v>
      </c>
      <c r="N267" s="92">
        <f>VLOOKUP(A267,Database!$E:$AY,MATCH($N$1,Database!$E$1:$AY$1,0),FALSE)</f>
        <v>95.686250000000001</v>
      </c>
      <c r="O267" s="92">
        <f>(((Table134567891011121314151617343[[#This Row],[USA]]-VLOOKUP($U$1,A:N,14,))/VLOOKUP($U$1,A:N,14,))*100)+100</f>
        <v>110.86241688613512</v>
      </c>
      <c r="P267" s="92">
        <f>VLOOKUP(A267,Database!$E:$AY,MATCH($P$1,Database!$E$1:$AY$1,0),FALSE)</f>
        <v>103.6666</v>
      </c>
      <c r="Q267" s="92">
        <f>(((Table134567891011121314151617343[[#This Row],[JPN]]-VLOOKUP($U$1,A:Q,16,))/VLOOKUP($U$1,A:Q,16,))*100)+100</f>
        <v>104.07913848119793</v>
      </c>
    </row>
    <row r="268" spans="1:17" s="85" customFormat="1" x14ac:dyDescent="0.2">
      <c r="A268" s="22">
        <v>40969</v>
      </c>
      <c r="B268" s="92">
        <f>VLOOKUP(A268,Database!$E:$AY,MATCH($B$1,Database!$E$1:$AY$1,0),FALSE)</f>
        <v>104.3913</v>
      </c>
      <c r="C268" s="92">
        <f>VLOOKUP(A268,Database!$E:$AY,MATCH($C$1,Database!$E$1:$AY$1,0),FALSE)</f>
        <v>101.0008</v>
      </c>
      <c r="D268" s="92">
        <f>VLOOKUP(A268,Database!$E:$AY,MATCH($D$1,Database!$E$1:$AY$1,0),FALSE)</f>
        <v>98.391800000000003</v>
      </c>
      <c r="E268" s="92">
        <f>VLOOKUP(A268,Database!$E:$AY,MATCH($E$1,Database!$E$1:$AY$1,0),FALSE)</f>
        <v>98.030079999999998</v>
      </c>
      <c r="F268" s="92">
        <f>VLOOKUP(A268,Database!$E:$AY,MATCH($F$1,Database!$E$1:$AY$1,0),FALSE)</f>
        <v>98.283619999999999</v>
      </c>
      <c r="G268" s="92">
        <f>VLOOKUP(A268,Database!$E:$AY,MATCH($G$1,Database!$E$1:$AY$1,0),FALSE)</f>
        <v>99.567400000000006</v>
      </c>
      <c r="H268" s="92">
        <f>(((Table134567891011121314151617343[[#This Row],[ITA]]-VLOOKUP($U$1,A:B,2,))/VLOOKUP($U$1,A:B,2,))*100)+100</f>
        <v>85.855239621054054</v>
      </c>
      <c r="I268" s="92">
        <f>(((Table134567891011121314151617343[[#This Row],[FRA]]-VLOOKUP($U$1,A:C,3,))/VLOOKUP($U$1,A:C,3,))*100)+100</f>
        <v>98.306322019760387</v>
      </c>
      <c r="J268" s="92">
        <f>(((Table134567891011121314151617343[[#This Row],[DEU]]-VLOOKUP($U$1,A:D,4,))/VLOOKUP($U$1,A:D,4,))*100)+100</f>
        <v>130.8510696304067</v>
      </c>
      <c r="K268" s="92">
        <f>(((Table134567891011121314151617343[[#This Row],[ESP]]-VLOOKUP($U$1,A:E,5,))/VLOOKUP($U$1,A:E,5,))*100)+100</f>
        <v>82.555748032954895</v>
      </c>
      <c r="L268" s="92">
        <f>(((Table134567891011121314151617343[[#This Row],[EA19]]-VLOOKUP($U$1,A:F,6,))/VLOOKUP($U$1,A:F,6,))*100)+100</f>
        <v>109.95526099987582</v>
      </c>
      <c r="M268" s="92">
        <f>(((Table134567891011121314151617343[[#This Row],[GBR]]-VLOOKUP($U$1,A:G,7,))/VLOOKUP($U$1,A:G,7,))*100)+100</f>
        <v>93.197273180817916</v>
      </c>
      <c r="N268" s="92">
        <f>VLOOKUP(A268,Database!$E:$AY,MATCH($N$1,Database!$E$1:$AY$1,0),FALSE)</f>
        <v>95.239419999999996</v>
      </c>
      <c r="O268" s="92">
        <f>(((Table134567891011121314151617343[[#This Row],[USA]]-VLOOKUP($U$1,A:N,14,))/VLOOKUP($U$1,A:N,14,))*100)+100</f>
        <v>110.34471811815924</v>
      </c>
      <c r="P268" s="92">
        <f>VLOOKUP(A268,Database!$E:$AY,MATCH($P$1,Database!$E$1:$AY$1,0),FALSE)</f>
        <v>103.46129999999999</v>
      </c>
      <c r="Q268" s="92">
        <f>(((Table134567891011121314151617343[[#This Row],[JPN]]-VLOOKUP($U$1,A:Q,16,))/VLOOKUP($U$1,A:Q,16,))*100)+100</f>
        <v>103.87302149530092</v>
      </c>
    </row>
    <row r="269" spans="1:17" s="85" customFormat="1" x14ac:dyDescent="0.2">
      <c r="A269" s="22">
        <v>41000</v>
      </c>
      <c r="B269" s="92">
        <f>VLOOKUP(A269,Database!$E:$AY,MATCH($B$1,Database!$E$1:$AY$1,0),FALSE)</f>
        <v>102.8914</v>
      </c>
      <c r="C269" s="92">
        <f>VLOOKUP(A269,Database!$E:$AY,MATCH($C$1,Database!$E$1:$AY$1,0),FALSE)</f>
        <v>101.2308</v>
      </c>
      <c r="D269" s="92">
        <f>VLOOKUP(A269,Database!$E:$AY,MATCH($D$1,Database!$E$1:$AY$1,0),FALSE)</f>
        <v>96.591949999999997</v>
      </c>
      <c r="E269" s="92">
        <f>VLOOKUP(A269,Database!$E:$AY,MATCH($E$1,Database!$E$1:$AY$1,0),FALSE)</f>
        <v>97.113079999999997</v>
      </c>
      <c r="F269" s="92">
        <f>VLOOKUP(A269,Database!$E:$AY,MATCH($F$1,Database!$E$1:$AY$1,0),FALSE)</f>
        <v>97.483750000000001</v>
      </c>
      <c r="G269" s="92">
        <f>VLOOKUP(A269,Database!$E:$AY,MATCH($G$1,Database!$E$1:$AY$1,0),FALSE)</f>
        <v>99.775049999999993</v>
      </c>
      <c r="H269" s="92">
        <f>(((Table134567891011121314151617343[[#This Row],[ITA]]-VLOOKUP($U$1,A:B,2,))/VLOOKUP($U$1,A:B,2,))*100)+100</f>
        <v>84.621666766729803</v>
      </c>
      <c r="I269" s="92">
        <f>(((Table134567891011121314151617343[[#This Row],[FRA]]-VLOOKUP($U$1,A:C,3,))/VLOOKUP($U$1,A:C,3,))*100)+100</f>
        <v>98.530186128406513</v>
      </c>
      <c r="J269" s="92">
        <f>(((Table134567891011121314151617343[[#This Row],[DEU]]-VLOOKUP($U$1,A:D,4,))/VLOOKUP($U$1,A:D,4,))*100)+100</f>
        <v>128.45745250302119</v>
      </c>
      <c r="K269" s="92">
        <f>(((Table134567891011121314151617343[[#This Row],[ESP]]-VLOOKUP($U$1,A:E,5,))/VLOOKUP($U$1,A:E,5,))*100)+100</f>
        <v>81.783499138062439</v>
      </c>
      <c r="L269" s="92">
        <f>(((Table134567891011121314151617343[[#This Row],[EA19]]-VLOOKUP($U$1,A:F,6,))/VLOOKUP($U$1,A:F,6,))*100)+100</f>
        <v>109.06040268456377</v>
      </c>
      <c r="M269" s="92">
        <f>(((Table134567891011121314151617343[[#This Row],[GBR]]-VLOOKUP($U$1,A:G,7,))/VLOOKUP($U$1,A:G,7,))*100)+100</f>
        <v>93.391638141397351</v>
      </c>
      <c r="N269" s="92">
        <f>VLOOKUP(A269,Database!$E:$AY,MATCH($N$1,Database!$E$1:$AY$1,0),FALSE)</f>
        <v>95.955470000000005</v>
      </c>
      <c r="O269" s="92">
        <f>(((Table134567891011121314151617343[[#This Row],[USA]]-VLOOKUP($U$1,A:N,14,))/VLOOKUP($U$1,A:N,14,))*100)+100</f>
        <v>111.17433609996245</v>
      </c>
      <c r="P269" s="92">
        <f>VLOOKUP(A269,Database!$E:$AY,MATCH($P$1,Database!$E$1:$AY$1,0),FALSE)</f>
        <v>102.9481</v>
      </c>
      <c r="Q269" s="92">
        <f>(((Table134567891011121314151617343[[#This Row],[JPN]]-VLOOKUP($U$1,A:Q,16,))/VLOOKUP($U$1,A:Q,16,))*100)+100</f>
        <v>103.3577792295321</v>
      </c>
    </row>
    <row r="270" spans="1:17" s="85" customFormat="1" x14ac:dyDescent="0.2">
      <c r="A270" s="22">
        <v>41030</v>
      </c>
      <c r="B270" s="92">
        <f>VLOOKUP(A270,Database!$E:$AY,MATCH($B$1,Database!$E$1:$AY$1,0),FALSE)</f>
        <v>104.29130000000001</v>
      </c>
      <c r="C270" s="92">
        <f>VLOOKUP(A270,Database!$E:$AY,MATCH($C$1,Database!$E$1:$AY$1,0),FALSE)</f>
        <v>99.780829999999995</v>
      </c>
      <c r="D270" s="92">
        <f>VLOOKUP(A270,Database!$E:$AY,MATCH($D$1,Database!$E$1:$AY$1,0),FALSE)</f>
        <v>98.491789999999995</v>
      </c>
      <c r="E270" s="92">
        <f>VLOOKUP(A270,Database!$E:$AY,MATCH($E$1,Database!$E$1:$AY$1,0),FALSE)</f>
        <v>98.014080000000007</v>
      </c>
      <c r="F270" s="92">
        <f>VLOOKUP(A270,Database!$E:$AY,MATCH($F$1,Database!$E$1:$AY$1,0),FALSE)</f>
        <v>98.183639999999997</v>
      </c>
      <c r="G270" s="92">
        <f>VLOOKUP(A270,Database!$E:$AY,MATCH($G$1,Database!$E$1:$AY$1,0),FALSE)</f>
        <v>100.2942</v>
      </c>
      <c r="H270" s="92">
        <f>(((Table134567891011121314151617343[[#This Row],[ITA]]-VLOOKUP($U$1,A:B,2,))/VLOOKUP($U$1,A:B,2,))*100)+100</f>
        <v>85.772995947854227</v>
      </c>
      <c r="I270" s="92">
        <f>(((Table134567891011121314151617343[[#This Row],[FRA]]-VLOOKUP($U$1,A:C,3,))/VLOOKUP($U$1,A:C,3,))*100)+100</f>
        <v>97.118898121390799</v>
      </c>
      <c r="J270" s="92">
        <f>(((Table134567891011121314151617343[[#This Row],[DEU]]-VLOOKUP($U$1,A:D,4,))/VLOOKUP($U$1,A:D,4,))*100)+100</f>
        <v>130.98404614320901</v>
      </c>
      <c r="K270" s="92">
        <f>(((Table134567891011121314151617343[[#This Row],[ESP]]-VLOOKUP($U$1,A:E,5,))/VLOOKUP($U$1,A:E,5,))*100)+100</f>
        <v>82.542273679281749</v>
      </c>
      <c r="L270" s="92">
        <f>(((Table134567891011121314151617343[[#This Row],[EA19]]-VLOOKUP($U$1,A:F,6,))/VLOOKUP($U$1,A:F,6,))*100)+100</f>
        <v>109.84340790579191</v>
      </c>
      <c r="M270" s="92">
        <f>(((Table134567891011121314151617343[[#This Row],[GBR]]-VLOOKUP($U$1,A:G,7,))/VLOOKUP($U$1,A:G,7,))*100)+100</f>
        <v>93.877573943395021</v>
      </c>
      <c r="N270" s="92">
        <f>VLOOKUP(A270,Database!$E:$AY,MATCH($N$1,Database!$E$1:$AY$1,0),FALSE)</f>
        <v>96.139700000000005</v>
      </c>
      <c r="O270" s="92">
        <f>(((Table134567891011121314151617343[[#This Row],[USA]]-VLOOKUP($U$1,A:N,14,))/VLOOKUP($U$1,A:N,14,))*100)+100</f>
        <v>111.38778560877833</v>
      </c>
      <c r="P270" s="92">
        <f>VLOOKUP(A270,Database!$E:$AY,MATCH($P$1,Database!$E$1:$AY$1,0),FALSE)</f>
        <v>101.1006</v>
      </c>
      <c r="Q270" s="92">
        <f>(((Table134567891011121314151617343[[#This Row],[JPN]]-VLOOKUP($U$1,A:Q,16,))/VLOOKUP($U$1,A:Q,16,))*100)+100</f>
        <v>101.50292715235379</v>
      </c>
    </row>
    <row r="271" spans="1:17" s="85" customFormat="1" x14ac:dyDescent="0.2">
      <c r="A271" s="22">
        <v>41061</v>
      </c>
      <c r="B271" s="92">
        <f>VLOOKUP(A271,Database!$E:$AY,MATCH($B$1,Database!$E$1:$AY$1,0),FALSE)</f>
        <v>102.1915</v>
      </c>
      <c r="C271" s="92">
        <f>VLOOKUP(A271,Database!$E:$AY,MATCH($C$1,Database!$E$1:$AY$1,0),FALSE)</f>
        <v>99.180819999999997</v>
      </c>
      <c r="D271" s="92">
        <f>VLOOKUP(A271,Database!$E:$AY,MATCH($D$1,Database!$E$1:$AY$1,0),FALSE)</f>
        <v>97.291889999999995</v>
      </c>
      <c r="E271" s="92">
        <f>VLOOKUP(A271,Database!$E:$AY,MATCH($E$1,Database!$E$1:$AY$1,0),FALSE)</f>
        <v>97.527079999999998</v>
      </c>
      <c r="F271" s="92">
        <f>VLOOKUP(A271,Database!$E:$AY,MATCH($F$1,Database!$E$1:$AY$1,0),FALSE)</f>
        <v>97.383769999999998</v>
      </c>
      <c r="G271" s="92">
        <f>VLOOKUP(A271,Database!$E:$AY,MATCH($G$1,Database!$E$1:$AY$1,0),FALSE)</f>
        <v>98.217680000000001</v>
      </c>
      <c r="H271" s="92">
        <f>(((Table134567891011121314151617343[[#This Row],[ITA]]-VLOOKUP($U$1,A:B,2,))/VLOOKUP($U$1,A:B,2,))*100)+100</f>
        <v>84.046043298004193</v>
      </c>
      <c r="I271" s="92">
        <f>(((Table134567891011121314151617343[[#This Row],[FRA]]-VLOOKUP($U$1,A:C,3,))/VLOOKUP($U$1,A:C,3,))*100)+100</f>
        <v>96.534895061265772</v>
      </c>
      <c r="J271" s="92">
        <f>(((Table134567891011121314151617343[[#This Row],[DEU]]-VLOOKUP($U$1,A:D,4,))/VLOOKUP($U$1,A:D,4,))*100)+100</f>
        <v>129.38830139161868</v>
      </c>
      <c r="K271" s="92">
        <f>(((Table134567891011121314151617343[[#This Row],[ESP]]-VLOOKUP($U$1,A:E,5,))/VLOOKUP($U$1,A:E,5,))*100)+100</f>
        <v>82.132148039355215</v>
      </c>
      <c r="L271" s="92">
        <f>(((Table134567891011121314151617343[[#This Row],[EA19]]-VLOOKUP($U$1,A:F,6,))/VLOOKUP($U$1,A:F,6,))*100)+100</f>
        <v>108.94854959047984</v>
      </c>
      <c r="M271" s="92">
        <f>(((Table134567891011121314151617343[[#This Row],[GBR]]-VLOOKUP($U$1,A:G,7,))/VLOOKUP($U$1,A:G,7,))*100)+100</f>
        <v>91.9339056171614</v>
      </c>
      <c r="N271" s="92">
        <f>VLOOKUP(A271,Database!$E:$AY,MATCH($N$1,Database!$E$1:$AY$1,0),FALSE)</f>
        <v>96.12088</v>
      </c>
      <c r="O271" s="92">
        <f>(((Table134567891011121314151617343[[#This Row],[USA]]-VLOOKUP($U$1,A:N,14,))/VLOOKUP($U$1,A:N,14,))*100)+100</f>
        <v>111.36598069233737</v>
      </c>
      <c r="P271" s="92">
        <f>VLOOKUP(A271,Database!$E:$AY,MATCH($P$1,Database!$E$1:$AY$1,0),FALSE)</f>
        <v>100.38209999999999</v>
      </c>
      <c r="Q271" s="92">
        <f>(((Table134567891011121314151617343[[#This Row],[JPN]]-VLOOKUP($U$1,A:Q,16,))/VLOOKUP($U$1,A:Q,16,))*100)+100</f>
        <v>100.78156790068796</v>
      </c>
    </row>
    <row r="272" spans="1:17" s="85" customFormat="1" x14ac:dyDescent="0.2">
      <c r="A272" s="22">
        <v>41091</v>
      </c>
      <c r="B272" s="92">
        <f>VLOOKUP(A272,Database!$E:$AY,MATCH($B$1,Database!$E$1:$AY$1,0),FALSE)</f>
        <v>103.1914</v>
      </c>
      <c r="C272" s="92">
        <f>VLOOKUP(A272,Database!$E:$AY,MATCH($C$1,Database!$E$1:$AY$1,0),FALSE)</f>
        <v>99.750829999999993</v>
      </c>
      <c r="D272" s="92">
        <f>VLOOKUP(A272,Database!$E:$AY,MATCH($D$1,Database!$E$1:$AY$1,0),FALSE)</f>
        <v>98.391800000000003</v>
      </c>
      <c r="E272" s="92">
        <f>VLOOKUP(A272,Database!$E:$AY,MATCH($E$1,Database!$E$1:$AY$1,0),FALSE)</f>
        <v>96.731080000000006</v>
      </c>
      <c r="F272" s="92">
        <f>VLOOKUP(A272,Database!$E:$AY,MATCH($F$1,Database!$E$1:$AY$1,0),FALSE)</f>
        <v>97.683719999999994</v>
      </c>
      <c r="G272" s="92">
        <f>VLOOKUP(A272,Database!$E:$AY,MATCH($G$1,Database!$E$1:$AY$1,0),FALSE)</f>
        <v>101.0209</v>
      </c>
      <c r="H272" s="92">
        <f>(((Table134567891011121314151617343[[#This Row],[ITA]]-VLOOKUP($U$1,A:B,2,))/VLOOKUP($U$1,A:B,2,))*100)+100</f>
        <v>84.868397786329297</v>
      </c>
      <c r="I272" s="92">
        <f>(((Table134567891011121314151617343[[#This Row],[FRA]]-VLOOKUP($U$1,A:C,3,))/VLOOKUP($U$1,A:C,3,))*100)+100</f>
        <v>97.089698455045649</v>
      </c>
      <c r="J272" s="92">
        <f>(((Table134567891011121314151617343[[#This Row],[DEU]]-VLOOKUP($U$1,A:D,4,))/VLOOKUP($U$1,A:D,4,))*100)+100</f>
        <v>130.8510696304067</v>
      </c>
      <c r="K272" s="92">
        <f>(((Table134567891011121314151617343[[#This Row],[ESP]]-VLOOKUP($U$1,A:E,5,))/VLOOKUP($U$1,A:E,5,))*100)+100</f>
        <v>81.461798944115969</v>
      </c>
      <c r="L272" s="92">
        <f>(((Table134567891011121314151617343[[#This Row],[EA19]]-VLOOKUP($U$1,A:F,6,))/VLOOKUP($U$1,A:F,6,))*100)+100</f>
        <v>109.2841200602785</v>
      </c>
      <c r="M272" s="92">
        <f>(((Table134567891011121314151617343[[#This Row],[GBR]]-VLOOKUP($U$1,A:G,7,))/VLOOKUP($U$1,A:G,7,))*100)+100</f>
        <v>94.557781103775824</v>
      </c>
      <c r="N272" s="92">
        <f>VLOOKUP(A272,Database!$E:$AY,MATCH($N$1,Database!$E$1:$AY$1,0),FALSE)</f>
        <v>96.373109999999997</v>
      </c>
      <c r="O272" s="92">
        <f>(((Table134567891011121314151617343[[#This Row],[USA]]-VLOOKUP($U$1,A:N,14,))/VLOOKUP($U$1,A:N,14,))*100)+100</f>
        <v>111.65821523398981</v>
      </c>
      <c r="P272" s="92">
        <f>VLOOKUP(A272,Database!$E:$AY,MATCH($P$1,Database!$E$1:$AY$1,0),FALSE)</f>
        <v>99.868939999999995</v>
      </c>
      <c r="Q272" s="92">
        <f>(((Table134567891011121314151617343[[#This Row],[JPN]]-VLOOKUP($U$1,A:Q,16,))/VLOOKUP($U$1,A:Q,16,))*100)+100</f>
        <v>100.26636579409806</v>
      </c>
    </row>
    <row r="273" spans="1:17" s="85" customFormat="1" x14ac:dyDescent="0.2">
      <c r="A273" s="22">
        <v>41122</v>
      </c>
      <c r="B273" s="92">
        <f>VLOOKUP(A273,Database!$E:$AY,MATCH($B$1,Database!$E$1:$AY$1,0),FALSE)</f>
        <v>102.6914</v>
      </c>
      <c r="C273" s="92">
        <f>VLOOKUP(A273,Database!$E:$AY,MATCH($C$1,Database!$E$1:$AY$1,0),FALSE)</f>
        <v>101.74079999999999</v>
      </c>
      <c r="D273" s="92">
        <f>VLOOKUP(A273,Database!$E:$AY,MATCH($D$1,Database!$E$1:$AY$1,0),FALSE)</f>
        <v>98.391800000000003</v>
      </c>
      <c r="E273" s="92">
        <f>VLOOKUP(A273,Database!$E:$AY,MATCH($E$1,Database!$E$1:$AY$1,0),FALSE)</f>
        <v>98.984089999999995</v>
      </c>
      <c r="F273" s="92">
        <f>VLOOKUP(A273,Database!$E:$AY,MATCH($F$1,Database!$E$1:$AY$1,0),FALSE)</f>
        <v>98.383610000000004</v>
      </c>
      <c r="G273" s="92">
        <f>VLOOKUP(A273,Database!$E:$AY,MATCH($G$1,Database!$E$1:$AY$1,0),FALSE)</f>
        <v>100.398</v>
      </c>
      <c r="H273" s="92">
        <f>(((Table134567891011121314151617343[[#This Row],[ITA]]-VLOOKUP($U$1,A:B,2,))/VLOOKUP($U$1,A:B,2,))*100)+100</f>
        <v>84.457179420330149</v>
      </c>
      <c r="I273" s="92">
        <f>(((Table134567891011121314151617343[[#This Row],[FRA]]-VLOOKUP($U$1,A:C,3,))/VLOOKUP($U$1,A:C,3,))*100)+100</f>
        <v>99.026580456273976</v>
      </c>
      <c r="J273" s="92">
        <f>(((Table134567891011121314151617343[[#This Row],[DEU]]-VLOOKUP($U$1,A:D,4,))/VLOOKUP($U$1,A:D,4,))*100)+100</f>
        <v>130.8510696304067</v>
      </c>
      <c r="K273" s="92">
        <f>(((Table134567891011121314151617343[[#This Row],[ESP]]-VLOOKUP($U$1,A:E,5,))/VLOOKUP($U$1,A:E,5,))*100)+100</f>
        <v>83.359164792187556</v>
      </c>
      <c r="L273" s="92">
        <f>(((Table134567891011121314151617343[[#This Row],[EA19]]-VLOOKUP($U$1,A:F,6,))/VLOOKUP($U$1,A:F,6,))*100)+100</f>
        <v>110.06712528150666</v>
      </c>
      <c r="M273" s="92">
        <f>(((Table134567891011121314151617343[[#This Row],[GBR]]-VLOOKUP($U$1,A:G,7,))/VLOOKUP($U$1,A:G,7,))*100)+100</f>
        <v>93.974733023135656</v>
      </c>
      <c r="N273" s="92">
        <f>VLOOKUP(A273,Database!$E:$AY,MATCH($N$1,Database!$E$1:$AY$1,0),FALSE)</f>
        <v>95.912639999999996</v>
      </c>
      <c r="O273" s="92">
        <f>(((Table134567891011121314151617343[[#This Row],[USA]]-VLOOKUP($U$1,A:N,14,))/VLOOKUP($U$1,A:N,14,))*100)+100</f>
        <v>111.12471311530965</v>
      </c>
      <c r="P273" s="92">
        <f>VLOOKUP(A273,Database!$E:$AY,MATCH($P$1,Database!$E$1:$AY$1,0),FALSE)</f>
        <v>98.637259999999998</v>
      </c>
      <c r="Q273" s="92">
        <f>(((Table134567891011121314151617343[[#This Row],[JPN]]-VLOOKUP($U$1,A:Q,16,))/VLOOKUP($U$1,A:Q,16,))*100)+100</f>
        <v>99.029784356252875</v>
      </c>
    </row>
    <row r="274" spans="1:17" s="85" customFormat="1" x14ac:dyDescent="0.2">
      <c r="A274" s="22">
        <v>41153</v>
      </c>
      <c r="B274" s="92">
        <f>VLOOKUP(A274,Database!$E:$AY,MATCH($B$1,Database!$E$1:$AY$1,0),FALSE)</f>
        <v>102.39149999999999</v>
      </c>
      <c r="C274" s="92">
        <f>VLOOKUP(A274,Database!$E:$AY,MATCH($C$1,Database!$E$1:$AY$1,0),FALSE)</f>
        <v>99.960830000000001</v>
      </c>
      <c r="D274" s="92">
        <f>VLOOKUP(A274,Database!$E:$AY,MATCH($D$1,Database!$E$1:$AY$1,0),FALSE)</f>
        <v>97.091909999999999</v>
      </c>
      <c r="E274" s="92">
        <f>VLOOKUP(A274,Database!$E:$AY,MATCH($E$1,Database!$E$1:$AY$1,0),FALSE)</f>
        <v>95.504080000000002</v>
      </c>
      <c r="F274" s="92">
        <f>VLOOKUP(A274,Database!$E:$AY,MATCH($F$1,Database!$E$1:$AY$1,0),FALSE)</f>
        <v>96.483919999999998</v>
      </c>
      <c r="G274" s="92">
        <f>VLOOKUP(A274,Database!$E:$AY,MATCH($G$1,Database!$E$1:$AY$1,0),FALSE)</f>
        <v>97.17944</v>
      </c>
      <c r="H274" s="92">
        <f>(((Table134567891011121314151617343[[#This Row],[ITA]]-VLOOKUP($U$1,A:B,2,))/VLOOKUP($U$1,A:B,2,))*100)+100</f>
        <v>84.210530644403846</v>
      </c>
      <c r="I274" s="92">
        <f>(((Table134567891011121314151617343[[#This Row],[FRA]]-VLOOKUP($U$1,A:C,3,))/VLOOKUP($U$1,A:C,3,))*100)+100</f>
        <v>97.294096119461685</v>
      </c>
      <c r="J274" s="92">
        <f>(((Table134567891011121314151617343[[#This Row],[DEU]]-VLOOKUP($U$1,A:D,4,))/VLOOKUP($U$1,A:D,4,))*100)+100</f>
        <v>129.12234836601402</v>
      </c>
      <c r="K274" s="92">
        <f>(((Table134567891011121314151617343[[#This Row],[ESP]]-VLOOKUP($U$1,A:E,5,))/VLOOKUP($U$1,A:E,5,))*100)+100</f>
        <v>80.428484446806195</v>
      </c>
      <c r="L274" s="92">
        <f>(((Table134567891011121314151617343[[#This Row],[EA19]]-VLOOKUP($U$1,A:F,6,))/VLOOKUP($U$1,A:F,6,))*100)+100</f>
        <v>107.94183818108388</v>
      </c>
      <c r="M274" s="92">
        <f>(((Table134567891011121314151617343[[#This Row],[GBR]]-VLOOKUP($U$1,A:G,7,))/VLOOKUP($U$1,A:G,7,))*100)+100</f>
        <v>90.962090174483862</v>
      </c>
      <c r="N274" s="92">
        <f>VLOOKUP(A274,Database!$E:$AY,MATCH($N$1,Database!$E$1:$AY$1,0),FALSE)</f>
        <v>95.959609999999998</v>
      </c>
      <c r="O274" s="92">
        <f>(((Table134567891011121314151617343[[#This Row],[USA]]-VLOOKUP($U$1,A:N,14,))/VLOOKUP($U$1,A:N,14,))*100)+100</f>
        <v>111.17913271813808</v>
      </c>
      <c r="P274" s="92">
        <f>VLOOKUP(A274,Database!$E:$AY,MATCH($P$1,Database!$E$1:$AY$1,0),FALSE)</f>
        <v>96.481809999999996</v>
      </c>
      <c r="Q274" s="92">
        <f>(((Table134567891011121314151617343[[#This Row],[JPN]]-VLOOKUP($U$1,A:Q,16,))/VLOOKUP($U$1,A:Q,16,))*100)+100</f>
        <v>96.865756800229065</v>
      </c>
    </row>
    <row r="275" spans="1:17" s="85" customFormat="1" x14ac:dyDescent="0.2">
      <c r="A275" s="22">
        <v>41183</v>
      </c>
      <c r="B275" s="92">
        <f>VLOOKUP(A275,Database!$E:$AY,MATCH($B$1,Database!$E$1:$AY$1,0),FALSE)</f>
        <v>100.5916</v>
      </c>
      <c r="C275" s="92">
        <f>VLOOKUP(A275,Database!$E:$AY,MATCH($C$1,Database!$E$1:$AY$1,0),FALSE)</f>
        <v>98.190820000000002</v>
      </c>
      <c r="D275" s="92">
        <f>VLOOKUP(A275,Database!$E:$AY,MATCH($D$1,Database!$E$1:$AY$1,0),FALSE)</f>
        <v>95.792019999999994</v>
      </c>
      <c r="E275" s="92">
        <f>VLOOKUP(A275,Database!$E:$AY,MATCH($E$1,Database!$E$1:$AY$1,0),FALSE)</f>
        <v>96.34308</v>
      </c>
      <c r="F275" s="92">
        <f>VLOOKUP(A275,Database!$E:$AY,MATCH($F$1,Database!$E$1:$AY$1,0),FALSE)</f>
        <v>95.784030000000001</v>
      </c>
      <c r="G275" s="92">
        <f>VLOOKUP(A275,Database!$E:$AY,MATCH($G$1,Database!$E$1:$AY$1,0),FALSE)</f>
        <v>97.075609999999998</v>
      </c>
      <c r="H275" s="92">
        <f>(((Table134567891011121314151617343[[#This Row],[ITA]]-VLOOKUP($U$1,A:B,2,))/VLOOKUP($U$1,A:B,2,))*100)+100</f>
        <v>82.730226770480115</v>
      </c>
      <c r="I275" s="92">
        <f>(((Table134567891011121314151617343[[#This Row],[FRA]]-VLOOKUP($U$1,A:C,3,))/VLOOKUP($U$1,A:C,3,))*100)+100</f>
        <v>95.571306071875952</v>
      </c>
      <c r="J275" s="92">
        <f>(((Table134567891011121314151617343[[#This Row],[DEU]]-VLOOKUP($U$1,A:D,4,))/VLOOKUP($U$1,A:D,4,))*100)+100</f>
        <v>127.39362710162136</v>
      </c>
      <c r="K275" s="92">
        <f>(((Table134567891011121314151617343[[#This Row],[ESP]]-VLOOKUP($U$1,A:E,5,))/VLOOKUP($U$1,A:E,5,))*100)+100</f>
        <v>81.135045867542047</v>
      </c>
      <c r="L275" s="92">
        <f>(((Table134567891011121314151617343[[#This Row],[EA19]]-VLOOKUP($U$1,A:F,6,))/VLOOKUP($U$1,A:F,6,))*100)+100</f>
        <v>107.15883295985573</v>
      </c>
      <c r="M275" s="92">
        <f>(((Table134567891011121314151617343[[#This Row],[GBR]]-VLOOKUP($U$1,A:G,7,))/VLOOKUP($U$1,A:G,7,))*100)+100</f>
        <v>90.864903014084319</v>
      </c>
      <c r="N275" s="92">
        <f>VLOOKUP(A275,Database!$E:$AY,MATCH($N$1,Database!$E$1:$AY$1,0),FALSE)</f>
        <v>96.163049999999998</v>
      </c>
      <c r="O275" s="92">
        <f>(((Table134567891011121314151617343[[#This Row],[USA]]-VLOOKUP($U$1,A:N,14,))/VLOOKUP($U$1,A:N,14,))*100)+100</f>
        <v>111.41483899873027</v>
      </c>
      <c r="P275" s="92">
        <f>VLOOKUP(A275,Database!$E:$AY,MATCH($P$1,Database!$E$1:$AY$1,0),FALSE)</f>
        <v>96.789730000000006</v>
      </c>
      <c r="Q275" s="92">
        <f>(((Table134567891011121314151617343[[#This Row],[JPN]]-VLOOKUP($U$1,A:Q,16,))/VLOOKUP($U$1,A:Q,16,))*100)+100</f>
        <v>97.174902159690376</v>
      </c>
    </row>
    <row r="276" spans="1:17" s="85" customFormat="1" x14ac:dyDescent="0.2">
      <c r="A276" s="22">
        <v>41214</v>
      </c>
      <c r="B276" s="92">
        <f>VLOOKUP(A276,Database!$E:$AY,MATCH($B$1,Database!$E$1:$AY$1,0),FALSE)</f>
        <v>99.191730000000007</v>
      </c>
      <c r="C276" s="92">
        <f>VLOOKUP(A276,Database!$E:$AY,MATCH($C$1,Database!$E$1:$AY$1,0),FALSE)</f>
        <v>98.180819999999997</v>
      </c>
      <c r="D276" s="92">
        <f>VLOOKUP(A276,Database!$E:$AY,MATCH($D$1,Database!$E$1:$AY$1,0),FALSE)</f>
        <v>95.092079999999996</v>
      </c>
      <c r="E276" s="92">
        <f>VLOOKUP(A276,Database!$E:$AY,MATCH($E$1,Database!$E$1:$AY$1,0),FALSE)</f>
        <v>93.982079999999996</v>
      </c>
      <c r="F276" s="92">
        <f>VLOOKUP(A276,Database!$E:$AY,MATCH($F$1,Database!$E$1:$AY$1,0),FALSE)</f>
        <v>95.084149999999994</v>
      </c>
      <c r="G276" s="92">
        <f>VLOOKUP(A276,Database!$E:$AY,MATCH($G$1,Database!$E$1:$AY$1,0),FALSE)</f>
        <v>97.698560000000001</v>
      </c>
      <c r="H276" s="92">
        <f>(((Table134567891011121314151617343[[#This Row],[ITA]]-VLOOKUP($U$1,A:B,2,))/VLOOKUP($U$1,A:B,2,))*100)+100</f>
        <v>81.578922262457667</v>
      </c>
      <c r="I276" s="92">
        <f>(((Table134567891011121314151617343[[#This Row],[FRA]]-VLOOKUP($U$1,A:C,3,))/VLOOKUP($U$1,A:C,3,))*100)+100</f>
        <v>95.561572849760907</v>
      </c>
      <c r="J276" s="92">
        <f>(((Table134567891011121314151617343[[#This Row],[DEU]]-VLOOKUP($U$1,A:D,4,))/VLOOKUP($U$1,A:D,4,))*100)+100</f>
        <v>126.46277821302387</v>
      </c>
      <c r="K276" s="92">
        <f>(((Table134567891011121314151617343[[#This Row],[ESP]]-VLOOKUP($U$1,A:E,5,))/VLOOKUP($U$1,A:E,5,))*100)+100</f>
        <v>79.146736553647713</v>
      </c>
      <c r="L276" s="92">
        <f>(((Table134567891011121314151617343[[#This Row],[EA19]]-VLOOKUP($U$1,A:F,6,))/VLOOKUP($U$1,A:F,6,))*100)+100</f>
        <v>106.3758389261745</v>
      </c>
      <c r="M276" s="92">
        <f>(((Table134567891011121314151617343[[#This Row],[GBR]]-VLOOKUP($U$1,A:G,7,))/VLOOKUP($U$1,A:G,7,))*100)+100</f>
        <v>91.447997895822624</v>
      </c>
      <c r="N276" s="92">
        <f>VLOOKUP(A276,Database!$E:$AY,MATCH($N$1,Database!$E$1:$AY$1,0),FALSE)</f>
        <v>96.626400000000004</v>
      </c>
      <c r="O276" s="92">
        <f>(((Table134567891011121314151617343[[#This Row],[USA]]-VLOOKUP($U$1,A:N,14,))/VLOOKUP($U$1,A:N,14,))*100)+100</f>
        <v>111.95167789527176</v>
      </c>
      <c r="P276" s="92">
        <f>VLOOKUP(A276,Database!$E:$AY,MATCH($P$1,Database!$E$1:$AY$1,0),FALSE)</f>
        <v>96.071250000000006</v>
      </c>
      <c r="Q276" s="92">
        <f>(((Table134567891011121314151617343[[#This Row],[JPN]]-VLOOKUP($U$1,A:Q,16,))/VLOOKUP($U$1,A:Q,16,))*100)+100</f>
        <v>96.453562987614021</v>
      </c>
    </row>
    <row r="277" spans="1:17" s="85" customFormat="1" x14ac:dyDescent="0.2">
      <c r="A277" s="22">
        <v>41244</v>
      </c>
      <c r="B277" s="92">
        <f>VLOOKUP(A277,Database!$E:$AY,MATCH($B$1,Database!$E$1:$AY$1,0),FALSE)</f>
        <v>99.891679999999994</v>
      </c>
      <c r="C277" s="92">
        <f>VLOOKUP(A277,Database!$E:$AY,MATCH($C$1,Database!$E$1:$AY$1,0),FALSE)</f>
        <v>99.490830000000003</v>
      </c>
      <c r="D277" s="92">
        <f>VLOOKUP(A277,Database!$E:$AY,MATCH($D$1,Database!$E$1:$AY$1,0),FALSE)</f>
        <v>95.892009999999999</v>
      </c>
      <c r="E277" s="92">
        <f>VLOOKUP(A277,Database!$E:$AY,MATCH($E$1,Database!$E$1:$AY$1,0),FALSE)</f>
        <v>94.354079999999996</v>
      </c>
      <c r="F277" s="92">
        <f>VLOOKUP(A277,Database!$E:$AY,MATCH($F$1,Database!$E$1:$AY$1,0),FALSE)</f>
        <v>95.584069999999997</v>
      </c>
      <c r="G277" s="92">
        <f>VLOOKUP(A277,Database!$E:$AY,MATCH($G$1,Database!$E$1:$AY$1,0),FALSE)</f>
        <v>98.425330000000002</v>
      </c>
      <c r="H277" s="92">
        <f>(((Table134567891011121314151617343[[#This Row],[ITA]]-VLOOKUP($U$1,A:B,2,))/VLOOKUP($U$1,A:B,2,))*100)+100</f>
        <v>82.15458685301985</v>
      </c>
      <c r="I277" s="92">
        <f>(((Table134567891011121314151617343[[#This Row],[FRA]]-VLOOKUP($U$1,A:C,3,))/VLOOKUP($U$1,A:C,3,))*100)+100</f>
        <v>96.836634680054402</v>
      </c>
      <c r="J277" s="92">
        <f>(((Table134567891011121314151617343[[#This Row],[DEU]]-VLOOKUP($U$1,A:D,4,))/VLOOKUP($U$1,A:D,4,))*100)+100</f>
        <v>127.52660361442369</v>
      </c>
      <c r="K277" s="92">
        <f>(((Table134567891011121314151617343[[#This Row],[ESP]]-VLOOKUP($U$1,A:E,5,))/VLOOKUP($U$1,A:E,5,))*100)+100</f>
        <v>79.460015276548475</v>
      </c>
      <c r="L277" s="92">
        <f>(((Table134567891011121314151617343[[#This Row],[EA19]]-VLOOKUP($U$1,A:F,6,))/VLOOKUP($U$1,A:F,6,))*100)+100</f>
        <v>106.93512677168791</v>
      </c>
      <c r="M277" s="92">
        <f>(((Table134567891011121314151617343[[#This Row],[GBR]]-VLOOKUP($U$1,A:G,7,))/VLOOKUP($U$1,A:G,7,))*100)+100</f>
        <v>92.128270577740835</v>
      </c>
      <c r="N277" s="92">
        <f>VLOOKUP(A277,Database!$E:$AY,MATCH($N$1,Database!$E$1:$AY$1,0),FALSE)</f>
        <v>96.967470000000006</v>
      </c>
      <c r="O277" s="92">
        <f>(((Table134567891011121314151617343[[#This Row],[USA]]-VLOOKUP($U$1,A:N,14,))/VLOOKUP($U$1,A:N,14,))*100)+100</f>
        <v>112.3468427651183</v>
      </c>
      <c r="P277" s="92">
        <f>VLOOKUP(A277,Database!$E:$AY,MATCH($P$1,Database!$E$1:$AY$1,0),FALSE)</f>
        <v>97.405569999999997</v>
      </c>
      <c r="Q277" s="92">
        <f>(((Table134567891011121314151617343[[#This Row],[JPN]]-VLOOKUP($U$1,A:Q,16,))/VLOOKUP($U$1,A:Q,16,))*100)+100</f>
        <v>97.793192878612956</v>
      </c>
    </row>
    <row r="278" spans="1:17" s="85" customFormat="1" x14ac:dyDescent="0.2">
      <c r="A278" s="22">
        <v>41275</v>
      </c>
      <c r="B278" s="92">
        <f>VLOOKUP(A278,Database!$E:$AY,MATCH($B$1,Database!$E$1:$AY$1,0),FALSE)</f>
        <v>99.991669999999999</v>
      </c>
      <c r="C278" s="92">
        <f>VLOOKUP(A278,Database!$E:$AY,MATCH($C$1,Database!$E$1:$AY$1,0),FALSE)</f>
        <v>98.560820000000007</v>
      </c>
      <c r="D278" s="92">
        <f>VLOOKUP(A278,Database!$E:$AY,MATCH($D$1,Database!$E$1:$AY$1,0),FALSE)</f>
        <v>94.69211</v>
      </c>
      <c r="E278" s="92">
        <f>VLOOKUP(A278,Database!$E:$AY,MATCH($E$1,Database!$E$1:$AY$1,0),FALSE)</f>
        <v>95.382080000000002</v>
      </c>
      <c r="F278" s="92">
        <f>VLOOKUP(A278,Database!$E:$AY,MATCH($F$1,Database!$E$1:$AY$1,0),FALSE)</f>
        <v>95.184139999999999</v>
      </c>
      <c r="G278" s="92">
        <f>VLOOKUP(A278,Database!$E:$AY,MATCH($G$1,Database!$E$1:$AY$1,0),FALSE)</f>
        <v>97.49091</v>
      </c>
      <c r="H278" s="92">
        <f>(((Table134567891011121314151617343[[#This Row],[ITA]]-VLOOKUP($U$1,A:B,2,))/VLOOKUP($U$1,A:B,2,))*100)+100</f>
        <v>82.236822301852371</v>
      </c>
      <c r="I278" s="92">
        <f>(((Table134567891011121314151617343[[#This Row],[FRA]]-VLOOKUP($U$1,A:C,3,))/VLOOKUP($U$1,A:C,3,))*100)+100</f>
        <v>95.931435290132754</v>
      </c>
      <c r="J278" s="92">
        <f>(((Table134567891011121314151617343[[#This Row],[DEU]]-VLOOKUP($U$1,A:D,4,))/VLOOKUP($U$1,A:D,4,))*100)+100</f>
        <v>125.93085886283338</v>
      </c>
      <c r="K278" s="92">
        <f>(((Table134567891011121314151617343[[#This Row],[ESP]]-VLOOKUP($U$1,A:E,5,))/VLOOKUP($U$1,A:E,5,))*100)+100</f>
        <v>80.32574250004842</v>
      </c>
      <c r="L278" s="92">
        <f>(((Table134567891011121314151617343[[#This Row],[EA19]]-VLOOKUP($U$1,A:F,6,))/VLOOKUP($U$1,A:F,6,))*100)+100</f>
        <v>106.48770320780534</v>
      </c>
      <c r="M278" s="92">
        <f>(((Table134567891011121314151617343[[#This Row],[GBR]]-VLOOKUP($U$1,A:G,7,))/VLOOKUP($U$1,A:G,7,))*100)+100</f>
        <v>91.253632935243189</v>
      </c>
      <c r="N278" s="92">
        <f>VLOOKUP(A278,Database!$E:$AY,MATCH($N$1,Database!$E$1:$AY$1,0),FALSE)</f>
        <v>96.83896</v>
      </c>
      <c r="O278" s="92">
        <f>(((Table134567891011121314151617343[[#This Row],[USA]]-VLOOKUP($U$1,A:N,14,))/VLOOKUP($U$1,A:N,14,))*100)+100</f>
        <v>112.19795063909143</v>
      </c>
      <c r="P278" s="92">
        <f>VLOOKUP(A278,Database!$E:$AY,MATCH($P$1,Database!$E$1:$AY$1,0),FALSE)</f>
        <v>95.392049999999998</v>
      </c>
      <c r="Q278" s="92">
        <f>(((Table134567891011121314151617343[[#This Row],[JPN]]-VLOOKUP($U$1,A:Q,16,))/VLOOKUP($U$1,A:Q,16,))*100)+100</f>
        <v>95.771660129254329</v>
      </c>
    </row>
    <row r="279" spans="1:17" s="85" customFormat="1" x14ac:dyDescent="0.2">
      <c r="A279" s="22">
        <v>41306</v>
      </c>
      <c r="B279" s="92">
        <f>VLOOKUP(A279,Database!$E:$AY,MATCH($B$1,Database!$E$1:$AY$1,0),FALSE)</f>
        <v>99.391720000000007</v>
      </c>
      <c r="C279" s="92">
        <f>VLOOKUP(A279,Database!$E:$AY,MATCH($C$1,Database!$E$1:$AY$1,0),FALSE)</f>
        <v>99.68083</v>
      </c>
      <c r="D279" s="92">
        <f>VLOOKUP(A279,Database!$E:$AY,MATCH($D$1,Database!$E$1:$AY$1,0),FALSE)</f>
        <v>95.492040000000003</v>
      </c>
      <c r="E279" s="92">
        <f>VLOOKUP(A279,Database!$E:$AY,MATCH($E$1,Database!$E$1:$AY$1,0),FALSE)</f>
        <v>94.619079999999997</v>
      </c>
      <c r="F279" s="92">
        <f>VLOOKUP(A279,Database!$E:$AY,MATCH($F$1,Database!$E$1:$AY$1,0),FALSE)</f>
        <v>95.384100000000004</v>
      </c>
      <c r="G279" s="92">
        <f>VLOOKUP(A279,Database!$E:$AY,MATCH($G$1,Database!$E$1:$AY$1,0),FALSE)</f>
        <v>97.387090000000001</v>
      </c>
      <c r="H279" s="92">
        <f>(((Table134567891011121314151617343[[#This Row],[ITA]]-VLOOKUP($U$1,A:B,2,))/VLOOKUP($U$1,A:B,2,))*100)+100</f>
        <v>81.743401384489999</v>
      </c>
      <c r="I279" s="92">
        <f>(((Table134567891011121314151617343[[#This Row],[FRA]]-VLOOKUP($U$1,A:C,3,))/VLOOKUP($U$1,A:C,3,))*100)+100</f>
        <v>97.021565900240319</v>
      </c>
      <c r="J279" s="92">
        <f>(((Table134567891011121314151617343[[#This Row],[DEU]]-VLOOKUP($U$1,A:D,4,))/VLOOKUP($U$1,A:D,4,))*100)+100</f>
        <v>126.9946842642332</v>
      </c>
      <c r="K279" s="92">
        <f>(((Table134567891011121314151617343[[#This Row],[ESP]]-VLOOKUP($U$1,A:E,5,))/VLOOKUP($U$1,A:E,5,))*100)+100</f>
        <v>79.683184259260031</v>
      </c>
      <c r="L279" s="92">
        <f>(((Table134567891011121314151617343[[#This Row],[EA19]]-VLOOKUP($U$1,A:F,6,))/VLOOKUP($U$1,A:F,6,))*100)+100</f>
        <v>106.71140939597316</v>
      </c>
      <c r="M279" s="92">
        <f>(((Table134567891011121314151617343[[#This Row],[GBR]]-VLOOKUP($U$1,A:G,7,))/VLOOKUP($U$1,A:G,7,))*100)+100</f>
        <v>91.156455135063297</v>
      </c>
      <c r="N279" s="92">
        <f>VLOOKUP(A279,Database!$E:$AY,MATCH($N$1,Database!$E$1:$AY$1,0),FALSE)</f>
        <v>97.395189999999999</v>
      </c>
      <c r="O279" s="92">
        <f>(((Table134567891011121314151617343[[#This Row],[USA]]-VLOOKUP($U$1,A:N,14,))/VLOOKUP($U$1,A:N,14,))*100)+100</f>
        <v>112.84240062166025</v>
      </c>
      <c r="P279" s="92">
        <f>VLOOKUP(A279,Database!$E:$AY,MATCH($P$1,Database!$E$1:$AY$1,0),FALSE)</f>
        <v>96.991919999999993</v>
      </c>
      <c r="Q279" s="92">
        <f>(((Table134567891011121314151617343[[#This Row],[JPN]]-VLOOKUP($U$1,A:Q,16,))/VLOOKUP($U$1,A:Q,16,))*100)+100</f>
        <v>97.377896769424964</v>
      </c>
    </row>
    <row r="280" spans="1:17" s="85" customFormat="1" x14ac:dyDescent="0.2">
      <c r="A280" s="22">
        <v>41334</v>
      </c>
      <c r="B280" s="92">
        <f>VLOOKUP(A280,Database!$E:$AY,MATCH($B$1,Database!$E$1:$AY$1,0),FALSE)</f>
        <v>98.891760000000005</v>
      </c>
      <c r="C280" s="92">
        <f>VLOOKUP(A280,Database!$E:$AY,MATCH($C$1,Database!$E$1:$AY$1,0),FALSE)</f>
        <v>99.810829999999996</v>
      </c>
      <c r="D280" s="92">
        <f>VLOOKUP(A280,Database!$E:$AY,MATCH($D$1,Database!$E$1:$AY$1,0),FALSE)</f>
        <v>96.791929999999994</v>
      </c>
      <c r="E280" s="92">
        <f>VLOOKUP(A280,Database!$E:$AY,MATCH($E$1,Database!$E$1:$AY$1,0),FALSE)</f>
        <v>95.573080000000004</v>
      </c>
      <c r="F280" s="92">
        <f>VLOOKUP(A280,Database!$E:$AY,MATCH($F$1,Database!$E$1:$AY$1,0),FALSE)</f>
        <v>96.383930000000007</v>
      </c>
      <c r="G280" s="92">
        <f>VLOOKUP(A280,Database!$E:$AY,MATCH($G$1,Database!$E$1:$AY$1,0),FALSE)</f>
        <v>97.906210000000002</v>
      </c>
      <c r="H280" s="92">
        <f>(((Table134567891011121314151617343[[#This Row],[ITA]]-VLOOKUP($U$1,A:B,2,))/VLOOKUP($U$1,A:B,2,))*100)+100</f>
        <v>81.332215915960134</v>
      </c>
      <c r="I280" s="92">
        <f>(((Table134567891011121314151617343[[#This Row],[FRA]]-VLOOKUP($U$1,A:C,3,))/VLOOKUP($U$1,A:C,3,))*100)+100</f>
        <v>97.148097787735949</v>
      </c>
      <c r="J280" s="92">
        <f>(((Table134567891011121314151617343[[#This Row],[DEU]]-VLOOKUP($U$1,A:D,4,))/VLOOKUP($U$1,A:D,4,))*100)+100</f>
        <v>128.72340552862585</v>
      </c>
      <c r="K280" s="92">
        <f>(((Table134567891011121314151617343[[#This Row],[ESP]]-VLOOKUP($U$1,A:E,5,))/VLOOKUP($U$1,A:E,5,))*100)+100</f>
        <v>80.486592597021655</v>
      </c>
      <c r="L280" s="92">
        <f>(((Table134567891011121314151617343[[#This Row],[EA19]]-VLOOKUP($U$1,A:F,6,))/VLOOKUP($U$1,A:F,6,))*100)+100</f>
        <v>107.82997389945305</v>
      </c>
      <c r="M280" s="92">
        <f>(((Table134567891011121314151617343[[#This Row],[GBR]]-VLOOKUP($U$1,A:G,7,))/VLOOKUP($U$1,A:G,7,))*100)+100</f>
        <v>91.642362856402059</v>
      </c>
      <c r="N280" s="92">
        <f>VLOOKUP(A280,Database!$E:$AY,MATCH($N$1,Database!$E$1:$AY$1,0),FALSE)</f>
        <v>97.790819999999997</v>
      </c>
      <c r="O280" s="92">
        <f>(((Table134567891011121314151617343[[#This Row],[USA]]-VLOOKUP($U$1,A:N,14,))/VLOOKUP($U$1,A:N,14,))*100)+100</f>
        <v>113.30077889432388</v>
      </c>
      <c r="P280" s="92">
        <f>VLOOKUP(A280,Database!$E:$AY,MATCH($P$1,Database!$E$1:$AY$1,0),FALSE)</f>
        <v>97.891850000000005</v>
      </c>
      <c r="Q280" s="92">
        <f>(((Table134567891011121314151617343[[#This Row],[JPN]]-VLOOKUP($U$1,A:Q,16,))/VLOOKUP($U$1,A:Q,16,))*100)+100</f>
        <v>98.281408016956817</v>
      </c>
    </row>
    <row r="281" spans="1:17" s="85" customFormat="1" x14ac:dyDescent="0.2">
      <c r="A281" s="22">
        <v>41365</v>
      </c>
      <c r="B281" s="92">
        <f>VLOOKUP(A281,Database!$E:$AY,MATCH($B$1,Database!$E$1:$AY$1,0),FALSE)</f>
        <v>98.091830000000002</v>
      </c>
      <c r="C281" s="92">
        <f>VLOOKUP(A281,Database!$E:$AY,MATCH($C$1,Database!$E$1:$AY$1,0),FALSE)</f>
        <v>101.4008</v>
      </c>
      <c r="D281" s="92">
        <f>VLOOKUP(A281,Database!$E:$AY,MATCH($D$1,Database!$E$1:$AY$1,0),FALSE)</f>
        <v>97.091909999999999</v>
      </c>
      <c r="E281" s="92">
        <f>VLOOKUP(A281,Database!$E:$AY,MATCH($E$1,Database!$E$1:$AY$1,0),FALSE)</f>
        <v>94.347080000000005</v>
      </c>
      <c r="F281" s="92">
        <f>VLOOKUP(A281,Database!$E:$AY,MATCH($F$1,Database!$E$1:$AY$1,0),FALSE)</f>
        <v>96.5839</v>
      </c>
      <c r="G281" s="92">
        <f>VLOOKUP(A281,Database!$E:$AY,MATCH($G$1,Database!$E$1:$AY$1,0),FALSE)</f>
        <v>97.17944</v>
      </c>
      <c r="H281" s="92">
        <f>(((Table134567891011121314151617343[[#This Row],[ITA]]-VLOOKUP($U$1,A:B,2,))/VLOOKUP($U$1,A:B,2,))*100)+100</f>
        <v>80.674324100932722</v>
      </c>
      <c r="I281" s="92">
        <f>(((Table134567891011121314151617343[[#This Row],[FRA]]-VLOOKUP($U$1,A:C,3,))/VLOOKUP($U$1,A:C,3,))*100)+100</f>
        <v>98.695650904362338</v>
      </c>
      <c r="J281" s="92">
        <f>(((Table134567891011121314151617343[[#This Row],[DEU]]-VLOOKUP($U$1,A:D,4,))/VLOOKUP($U$1,A:D,4,))*100)+100</f>
        <v>129.12234836601402</v>
      </c>
      <c r="K281" s="92">
        <f>(((Table134567891011121314151617343[[#This Row],[ESP]]-VLOOKUP($U$1,A:E,5,))/VLOOKUP($U$1,A:E,5,))*100)+100</f>
        <v>79.454120246816473</v>
      </c>
      <c r="L281" s="92">
        <f>(((Table134567891011121314151617343[[#This Row],[EA19]]-VLOOKUP($U$1,A:F,6,))/VLOOKUP($U$1,A:F,6,))*100)+100</f>
        <v>108.05369127516779</v>
      </c>
      <c r="M281" s="92">
        <f>(((Table134567891011121314151617343[[#This Row],[GBR]]-VLOOKUP($U$1,A:G,7,))/VLOOKUP($U$1,A:G,7,))*100)+100</f>
        <v>90.962090174483862</v>
      </c>
      <c r="N281" s="92">
        <f>VLOOKUP(A281,Database!$E:$AY,MATCH($N$1,Database!$E$1:$AY$1,0),FALSE)</f>
        <v>97.622730000000004</v>
      </c>
      <c r="O281" s="92">
        <f>(((Table134567891011121314151617343[[#This Row],[USA]]-VLOOKUP($U$1,A:N,14,))/VLOOKUP($U$1,A:N,14,))*100)+100</f>
        <v>113.10602924477247</v>
      </c>
      <c r="P281" s="92">
        <f>VLOOKUP(A281,Database!$E:$AY,MATCH($P$1,Database!$E$1:$AY$1,0),FALSE)</f>
        <v>98.091830000000002</v>
      </c>
      <c r="Q281" s="92">
        <f>(((Table134567891011121314151617343[[#This Row],[JPN]]-VLOOKUP($U$1,A:Q,16,))/VLOOKUP($U$1,A:Q,16,))*100)+100</f>
        <v>98.482183832055128</v>
      </c>
    </row>
    <row r="282" spans="1:17" s="85" customFormat="1" x14ac:dyDescent="0.2">
      <c r="A282" s="22">
        <v>41395</v>
      </c>
      <c r="B282" s="92">
        <f>VLOOKUP(A282,Database!$E:$AY,MATCH($B$1,Database!$E$1:$AY$1,0),FALSE)</f>
        <v>99.891679999999994</v>
      </c>
      <c r="C282" s="92">
        <f>VLOOKUP(A282,Database!$E:$AY,MATCH($C$1,Database!$E$1:$AY$1,0),FALSE)</f>
        <v>101.0608</v>
      </c>
      <c r="D282" s="92">
        <f>VLOOKUP(A282,Database!$E:$AY,MATCH($D$1,Database!$E$1:$AY$1,0),FALSE)</f>
        <v>96.491960000000006</v>
      </c>
      <c r="E282" s="92">
        <f>VLOOKUP(A282,Database!$E:$AY,MATCH($E$1,Database!$E$1:$AY$1,0),FALSE)</f>
        <v>94.94708</v>
      </c>
      <c r="F282" s="92">
        <f>VLOOKUP(A282,Database!$E:$AY,MATCH($F$1,Database!$E$1:$AY$1,0),FALSE)</f>
        <v>96.783869999999993</v>
      </c>
      <c r="G282" s="92">
        <f>VLOOKUP(A282,Database!$E:$AY,MATCH($G$1,Database!$E$1:$AY$1,0),FALSE)</f>
        <v>97.802390000000003</v>
      </c>
      <c r="H282" s="92">
        <f>(((Table134567891011121314151617343[[#This Row],[ITA]]-VLOOKUP($U$1,A:B,2,))/VLOOKUP($U$1,A:B,2,))*100)+100</f>
        <v>82.15458685301985</v>
      </c>
      <c r="I282" s="92">
        <f>(((Table134567891011121314151617343[[#This Row],[FRA]]-VLOOKUP($U$1,A:C,3,))/VLOOKUP($U$1,A:C,3,))*100)+100</f>
        <v>98.364721352450687</v>
      </c>
      <c r="J282" s="92">
        <f>(((Table134567891011121314151617343[[#This Row],[DEU]]-VLOOKUP($U$1,A:D,4,))/VLOOKUP($U$1,A:D,4,))*100)+100</f>
        <v>128.32447599021887</v>
      </c>
      <c r="K282" s="92">
        <f>(((Table134567891011121314151617343[[#This Row],[ESP]]-VLOOKUP($U$1,A:E,5,))/VLOOKUP($U$1,A:E,5,))*100)+100</f>
        <v>79.959408509559637</v>
      </c>
      <c r="L282" s="92">
        <f>(((Table134567891011121314151617343[[#This Row],[EA19]]-VLOOKUP($U$1,A:F,6,))/VLOOKUP($U$1,A:F,6,))*100)+100</f>
        <v>108.27740865088253</v>
      </c>
      <c r="M282" s="92">
        <f>(((Table134567891011121314151617343[[#This Row],[GBR]]-VLOOKUP($U$1,A:G,7,))/VLOOKUP($U$1,A:G,7,))*100)+100</f>
        <v>91.545185056222167</v>
      </c>
      <c r="N282" s="92">
        <f>VLOOKUP(A282,Database!$E:$AY,MATCH($N$1,Database!$E$1:$AY$1,0),FALSE)</f>
        <v>97.72954</v>
      </c>
      <c r="O282" s="92">
        <f>(((Table134567891011121314151617343[[#This Row],[USA]]-VLOOKUP($U$1,A:N,14,))/VLOOKUP($U$1,A:N,14,))*100)+100</f>
        <v>113.22977967649706</v>
      </c>
      <c r="P282" s="92">
        <f>VLOOKUP(A282,Database!$E:$AY,MATCH($P$1,Database!$E$1:$AY$1,0),FALSE)</f>
        <v>99.591700000000003</v>
      </c>
      <c r="Q282" s="92">
        <f>(((Table134567891011121314151617343[[#This Row],[JPN]]-VLOOKUP($U$1,A:Q,16,))/VLOOKUP($U$1,A:Q,16,))*100)+100</f>
        <v>99.988022524881885</v>
      </c>
    </row>
    <row r="283" spans="1:17" s="85" customFormat="1" x14ac:dyDescent="0.2">
      <c r="A283" s="22">
        <v>41426</v>
      </c>
      <c r="B283" s="92">
        <f>VLOOKUP(A283,Database!$E:$AY,MATCH($B$1,Database!$E$1:$AY$1,0),FALSE)</f>
        <v>99.691699999999997</v>
      </c>
      <c r="C283" s="92">
        <f>VLOOKUP(A283,Database!$E:$AY,MATCH($C$1,Database!$E$1:$AY$1,0),FALSE)</f>
        <v>99.860830000000007</v>
      </c>
      <c r="D283" s="92">
        <f>VLOOKUP(A283,Database!$E:$AY,MATCH($D$1,Database!$E$1:$AY$1,0),FALSE)</f>
        <v>98.191820000000007</v>
      </c>
      <c r="E283" s="92">
        <f>VLOOKUP(A283,Database!$E:$AY,MATCH($E$1,Database!$E$1:$AY$1,0),FALSE)</f>
        <v>95.918080000000003</v>
      </c>
      <c r="F283" s="92">
        <f>VLOOKUP(A283,Database!$E:$AY,MATCH($F$1,Database!$E$1:$AY$1,0),FALSE)</f>
        <v>96.783869999999993</v>
      </c>
      <c r="G283" s="92">
        <f>VLOOKUP(A283,Database!$E:$AY,MATCH($G$1,Database!$E$1:$AY$1,0),FALSE)</f>
        <v>98.321510000000004</v>
      </c>
      <c r="H283" s="92">
        <f>(((Table134567891011121314151617343[[#This Row],[ITA]]-VLOOKUP($U$1,A:B,2,))/VLOOKUP($U$1,A:B,2,))*100)+100</f>
        <v>81.990115955354838</v>
      </c>
      <c r="I283" s="92">
        <f>(((Table134567891011121314151617343[[#This Row],[FRA]]-VLOOKUP($U$1,A:C,3,))/VLOOKUP($U$1,A:C,3,))*100)+100</f>
        <v>97.196763898311204</v>
      </c>
      <c r="J283" s="92">
        <f>(((Table134567891011121314151617343[[#This Row],[DEU]]-VLOOKUP($U$1,A:D,4,))/VLOOKUP($U$1,A:D,4,))*100)+100</f>
        <v>130.58511660480201</v>
      </c>
      <c r="K283" s="92">
        <f>(((Table134567891011121314151617343[[#This Row],[ESP]]-VLOOKUP($U$1,A:E,5,))/VLOOKUP($U$1,A:E,5,))*100)+100</f>
        <v>80.777133348098985</v>
      </c>
      <c r="L283" s="92">
        <f>(((Table134567891011121314151617343[[#This Row],[EA19]]-VLOOKUP($U$1,A:F,6,))/VLOOKUP($U$1,A:F,6,))*100)+100</f>
        <v>108.27740865088253</v>
      </c>
      <c r="M283" s="92">
        <f>(((Table134567891011121314151617343[[#This Row],[GBR]]-VLOOKUP($U$1,A:G,7,))/VLOOKUP($U$1,A:G,7,))*100)+100</f>
        <v>92.031092777560943</v>
      </c>
      <c r="N283" s="92">
        <f>VLOOKUP(A283,Database!$E:$AY,MATCH($N$1,Database!$E$1:$AY$1,0),FALSE)</f>
        <v>97.928650000000005</v>
      </c>
      <c r="O283" s="92">
        <f>(((Table134567891011121314151617343[[#This Row],[USA]]-VLOOKUP($U$1,A:N,14,))/VLOOKUP($U$1,A:N,14,))*100)+100</f>
        <v>113.46046920426306</v>
      </c>
      <c r="P283" s="92">
        <f>VLOOKUP(A283,Database!$E:$AY,MATCH($P$1,Database!$E$1:$AY$1,0),FALSE)</f>
        <v>98.59178</v>
      </c>
      <c r="Q283" s="92">
        <f>(((Table134567891011121314151617343[[#This Row],[JPN]]-VLOOKUP($U$1,A:Q,16,))/VLOOKUP($U$1,A:Q,16,))*100)+100</f>
        <v>98.984123369800884</v>
      </c>
    </row>
    <row r="284" spans="1:17" s="85" customFormat="1" x14ac:dyDescent="0.2">
      <c r="A284" s="22">
        <v>41456</v>
      </c>
      <c r="B284" s="92">
        <f>VLOOKUP(A284,Database!$E:$AY,MATCH($B$1,Database!$E$1:$AY$1,0),FALSE)</f>
        <v>99.491709999999998</v>
      </c>
      <c r="C284" s="92">
        <f>VLOOKUP(A284,Database!$E:$AY,MATCH($C$1,Database!$E$1:$AY$1,0),FALSE)</f>
        <v>99.090829999999997</v>
      </c>
      <c r="D284" s="92">
        <f>VLOOKUP(A284,Database!$E:$AY,MATCH($D$1,Database!$E$1:$AY$1,0),FALSE)</f>
        <v>96.491960000000006</v>
      </c>
      <c r="E284" s="92">
        <f>VLOOKUP(A284,Database!$E:$AY,MATCH($E$1,Database!$E$1:$AY$1,0),FALSE)</f>
        <v>95.660079999999994</v>
      </c>
      <c r="F284" s="92">
        <f>VLOOKUP(A284,Database!$E:$AY,MATCH($F$1,Database!$E$1:$AY$1,0),FALSE)</f>
        <v>95.983999999999995</v>
      </c>
      <c r="G284" s="92">
        <f>VLOOKUP(A284,Database!$E:$AY,MATCH($G$1,Database!$E$1:$AY$1,0),FALSE)</f>
        <v>98.529160000000005</v>
      </c>
      <c r="H284" s="92">
        <f>(((Table134567891011121314151617343[[#This Row],[ITA]]-VLOOKUP($U$1,A:B,2,))/VLOOKUP($U$1,A:B,2,))*100)+100</f>
        <v>81.825636833322505</v>
      </c>
      <c r="I284" s="92">
        <f>(((Table134567891011121314151617343[[#This Row],[FRA]]-VLOOKUP($U$1,A:C,3,))/VLOOKUP($U$1,A:C,3,))*100)+100</f>
        <v>96.447305795452451</v>
      </c>
      <c r="J284" s="92">
        <f>(((Table134567891011121314151617343[[#This Row],[DEU]]-VLOOKUP($U$1,A:D,4,))/VLOOKUP($U$1,A:D,4,))*100)+100</f>
        <v>128.32447599021887</v>
      </c>
      <c r="K284" s="92">
        <f>(((Table134567891011121314151617343[[#This Row],[ESP]]-VLOOKUP($U$1,A:E,5,))/VLOOKUP($U$1,A:E,5,))*100)+100</f>
        <v>80.559859395119418</v>
      </c>
      <c r="L284" s="92">
        <f>(((Table134567891011121314151617343[[#This Row],[EA19]]-VLOOKUP($U$1,A:F,6,))/VLOOKUP($U$1,A:F,6,))*100)+100</f>
        <v>107.38255033557047</v>
      </c>
      <c r="M284" s="92">
        <f>(((Table134567891011121314151617343[[#This Row],[GBR]]-VLOOKUP($U$1,A:G,7,))/VLOOKUP($U$1,A:G,7,))*100)+100</f>
        <v>92.225457738140378</v>
      </c>
      <c r="N284" s="92">
        <f>VLOOKUP(A284,Database!$E:$AY,MATCH($N$1,Database!$E$1:$AY$1,0),FALSE)</f>
        <v>97.511309999999995</v>
      </c>
      <c r="O284" s="92">
        <f>(((Table134567891011121314151617343[[#This Row],[USA]]-VLOOKUP($U$1,A:N,14,))/VLOOKUP($U$1,A:N,14,))*100)+100</f>
        <v>112.9769376512629</v>
      </c>
      <c r="P284" s="92">
        <f>VLOOKUP(A284,Database!$E:$AY,MATCH($P$1,Database!$E$1:$AY$1,0),FALSE)</f>
        <v>100.0917</v>
      </c>
      <c r="Q284" s="92">
        <f>(((Table134567891011121314151617343[[#This Row],[JPN]]-VLOOKUP($U$1,A:Q,16,))/VLOOKUP($U$1,A:Q,16,))*100)+100</f>
        <v>100.49001226160132</v>
      </c>
    </row>
    <row r="285" spans="1:17" s="85" customFormat="1" x14ac:dyDescent="0.2">
      <c r="A285" s="22">
        <v>41487</v>
      </c>
      <c r="B285" s="92">
        <f>VLOOKUP(A285,Database!$E:$AY,MATCH($B$1,Database!$E$1:$AY$1,0),FALSE)</f>
        <v>97.991839999999996</v>
      </c>
      <c r="C285" s="92">
        <f>VLOOKUP(A285,Database!$E:$AY,MATCH($C$1,Database!$E$1:$AY$1,0),FALSE)</f>
        <v>98.580820000000003</v>
      </c>
      <c r="D285" s="92">
        <f>VLOOKUP(A285,Database!$E:$AY,MATCH($D$1,Database!$E$1:$AY$1,0),FALSE)</f>
        <v>98.691770000000005</v>
      </c>
      <c r="E285" s="92">
        <f>VLOOKUP(A285,Database!$E:$AY,MATCH($E$1,Database!$E$1:$AY$1,0),FALSE)</f>
        <v>96.636080000000007</v>
      </c>
      <c r="F285" s="92">
        <f>VLOOKUP(A285,Database!$E:$AY,MATCH($F$1,Database!$E$1:$AY$1,0),FALSE)</f>
        <v>96.483919999999998</v>
      </c>
      <c r="G285" s="92">
        <f>VLOOKUP(A285,Database!$E:$AY,MATCH($G$1,Database!$E$1:$AY$1,0),FALSE)</f>
        <v>98.01003</v>
      </c>
      <c r="H285" s="92">
        <f>(((Table134567891011121314151617343[[#This Row],[ITA]]-VLOOKUP($U$1,A:B,2,))/VLOOKUP($U$1,A:B,2,))*100)+100</f>
        <v>80.592088652100216</v>
      </c>
      <c r="I285" s="92">
        <f>(((Table134567891011121314151617343[[#This Row],[FRA]]-VLOOKUP($U$1,A:C,3,))/VLOOKUP($U$1,A:C,3,))*100)+100</f>
        <v>95.950901734362859</v>
      </c>
      <c r="J285" s="92">
        <f>(((Table134567891011121314151617343[[#This Row],[DEU]]-VLOOKUP($U$1,A:D,4,))/VLOOKUP($U$1,A:D,4,))*100)+100</f>
        <v>131.24999916881367</v>
      </c>
      <c r="K285" s="92">
        <f>(((Table134567891011121314151617343[[#This Row],[ESP]]-VLOOKUP($U$1,A:E,5,))/VLOOKUP($U$1,A:E,5,))*100)+100</f>
        <v>81.381794969181627</v>
      </c>
      <c r="L285" s="92">
        <f>(((Table134567891011121314151617343[[#This Row],[EA19]]-VLOOKUP($U$1,A:F,6,))/VLOOKUP($U$1,A:F,6,))*100)+100</f>
        <v>107.94183818108388</v>
      </c>
      <c r="M285" s="92">
        <f>(((Table134567891011121314151617343[[#This Row],[GBR]]-VLOOKUP($U$1,A:G,7,))/VLOOKUP($U$1,A:G,7,))*100)+100</f>
        <v>91.739540656581966</v>
      </c>
      <c r="N285" s="92">
        <f>VLOOKUP(A285,Database!$E:$AY,MATCH($N$1,Database!$E$1:$AY$1,0),FALSE)</f>
        <v>98.155140000000003</v>
      </c>
      <c r="O285" s="92">
        <f>(((Table134567891011121314151617343[[#This Row],[USA]]-VLOOKUP($U$1,A:N,14,))/VLOOKUP($U$1,A:N,14,))*100)+100</f>
        <v>113.72288129378001</v>
      </c>
      <c r="P285" s="92">
        <f>VLOOKUP(A285,Database!$E:$AY,MATCH($P$1,Database!$E$1:$AY$1,0),FALSE)</f>
        <v>100.3916</v>
      </c>
      <c r="Q285" s="92">
        <f>(((Table134567891011121314151617343[[#This Row],[JPN]]-VLOOKUP($U$1,A:Q,16,))/VLOOKUP($U$1,A:Q,16,))*100)+100</f>
        <v>100.79110570568562</v>
      </c>
    </row>
    <row r="286" spans="1:17" s="85" customFormat="1" x14ac:dyDescent="0.2">
      <c r="A286" s="22">
        <v>41518</v>
      </c>
      <c r="B286" s="92">
        <f>VLOOKUP(A286,Database!$E:$AY,MATCH($B$1,Database!$E$1:$AY$1,0),FALSE)</f>
        <v>99.691699999999997</v>
      </c>
      <c r="C286" s="92">
        <f>VLOOKUP(A286,Database!$E:$AY,MATCH($C$1,Database!$E$1:$AY$1,0),FALSE)</f>
        <v>98.900829999999999</v>
      </c>
      <c r="D286" s="92">
        <f>VLOOKUP(A286,Database!$E:$AY,MATCH($D$1,Database!$E$1:$AY$1,0),FALSE)</f>
        <v>98.191820000000007</v>
      </c>
      <c r="E286" s="92">
        <f>VLOOKUP(A286,Database!$E:$AY,MATCH($E$1,Database!$E$1:$AY$1,0),FALSE)</f>
        <v>96.376080000000002</v>
      </c>
      <c r="F286" s="92">
        <f>VLOOKUP(A286,Database!$E:$AY,MATCH($F$1,Database!$E$1:$AY$1,0),FALSE)</f>
        <v>96.5839</v>
      </c>
      <c r="G286" s="92">
        <f>VLOOKUP(A286,Database!$E:$AY,MATCH($G$1,Database!$E$1:$AY$1,0),FALSE)</f>
        <v>99.152100000000004</v>
      </c>
      <c r="H286" s="92">
        <f>(((Table134567891011121314151617343[[#This Row],[ITA]]-VLOOKUP($U$1,A:B,2,))/VLOOKUP($U$1,A:B,2,))*100)+100</f>
        <v>81.990115955354838</v>
      </c>
      <c r="I286" s="92">
        <f>(((Table134567891011121314151617343[[#This Row],[FRA]]-VLOOKUP($U$1,A:C,3,))/VLOOKUP($U$1,A:C,3,))*100)+100</f>
        <v>96.26237457526652</v>
      </c>
      <c r="J286" s="92">
        <f>(((Table134567891011121314151617343[[#This Row],[DEU]]-VLOOKUP($U$1,A:D,4,))/VLOOKUP($U$1,A:D,4,))*100)+100</f>
        <v>130.58511660480201</v>
      </c>
      <c r="K286" s="92">
        <f>(((Table134567891011121314151617343[[#This Row],[ESP]]-VLOOKUP($U$1,A:E,5,))/VLOOKUP($U$1,A:E,5,))*100)+100</f>
        <v>81.162836721992932</v>
      </c>
      <c r="L286" s="92">
        <f>(((Table134567891011121314151617343[[#This Row],[EA19]]-VLOOKUP($U$1,A:F,6,))/VLOOKUP($U$1,A:F,6,))*100)+100</f>
        <v>108.05369127516779</v>
      </c>
      <c r="M286" s="92">
        <f>(((Table134567891011121314151617343[[#This Row],[GBR]]-VLOOKUP($U$1,A:G,7,))/VLOOKUP($U$1,A:G,7,))*100)+100</f>
        <v>92.808543259659046</v>
      </c>
      <c r="N286" s="92">
        <f>VLOOKUP(A286,Database!$E:$AY,MATCH($N$1,Database!$E$1:$AY$1,0),FALSE)</f>
        <v>98.660659999999993</v>
      </c>
      <c r="O286" s="92">
        <f>(((Table134567891011121314151617343[[#This Row],[USA]]-VLOOKUP($U$1,A:N,14,))/VLOOKUP($U$1,A:N,14,))*100)+100</f>
        <v>114.30857849671436</v>
      </c>
      <c r="P286" s="92">
        <f>VLOOKUP(A286,Database!$E:$AY,MATCH($P$1,Database!$E$1:$AY$1,0),FALSE)</f>
        <v>101.19159999999999</v>
      </c>
      <c r="Q286" s="92">
        <f>(((Table134567891011121314151617343[[#This Row],[JPN]]-VLOOKUP($U$1,A:Q,16,))/VLOOKUP($U$1,A:Q,16,))*100)+100</f>
        <v>101.59428928443673</v>
      </c>
    </row>
    <row r="287" spans="1:17" s="85" customFormat="1" x14ac:dyDescent="0.2">
      <c r="A287" s="22">
        <v>41548</v>
      </c>
      <c r="B287" s="92">
        <f>VLOOKUP(A287,Database!$E:$AY,MATCH($B$1,Database!$E$1:$AY$1,0),FALSE)</f>
        <v>100.1917</v>
      </c>
      <c r="C287" s="92">
        <f>VLOOKUP(A287,Database!$E:$AY,MATCH($C$1,Database!$E$1:$AY$1,0),FALSE)</f>
        <v>99.010829999999999</v>
      </c>
      <c r="D287" s="92">
        <f>VLOOKUP(A287,Database!$E:$AY,MATCH($D$1,Database!$E$1:$AY$1,0),FALSE)</f>
        <v>97.491870000000006</v>
      </c>
      <c r="E287" s="92">
        <f>VLOOKUP(A287,Database!$E:$AY,MATCH($E$1,Database!$E$1:$AY$1,0),FALSE)</f>
        <v>95.421080000000003</v>
      </c>
      <c r="F287" s="92">
        <f>VLOOKUP(A287,Database!$E:$AY,MATCH($F$1,Database!$E$1:$AY$1,0),FALSE)</f>
        <v>96.083979999999997</v>
      </c>
      <c r="G287" s="92">
        <f>VLOOKUP(A287,Database!$E:$AY,MATCH($G$1,Database!$E$1:$AY$1,0),FALSE)</f>
        <v>98.944450000000003</v>
      </c>
      <c r="H287" s="92">
        <f>(((Table134567891011121314151617343[[#This Row],[ITA]]-VLOOKUP($U$1,A:B,2,))/VLOOKUP($U$1,A:B,2,))*100)+100</f>
        <v>82.401334321354</v>
      </c>
      <c r="I287" s="92">
        <f>(((Table134567891011121314151617343[[#This Row],[FRA]]-VLOOKUP($U$1,A:C,3,))/VLOOKUP($U$1,A:C,3,))*100)+100</f>
        <v>96.36944001853206</v>
      </c>
      <c r="J287" s="92">
        <f>(((Table134567891011121314151617343[[#This Row],[DEU]]-VLOOKUP($U$1,A:D,4,))/VLOOKUP($U$1,A:D,4,))*100)+100</f>
        <v>129.65425441722334</v>
      </c>
      <c r="K287" s="92">
        <f>(((Table134567891011121314151617343[[#This Row],[ESP]]-VLOOKUP($U$1,A:E,5,))/VLOOKUP($U$1,A:E,5,))*100)+100</f>
        <v>80.35858623712673</v>
      </c>
      <c r="L287" s="92">
        <f>(((Table134567891011121314151617343[[#This Row],[EA19]]-VLOOKUP($U$1,A:F,6,))/VLOOKUP($U$1,A:F,6,))*100)+100</f>
        <v>107.49440342965438</v>
      </c>
      <c r="M287" s="92">
        <f>(((Table134567891011121314151617343[[#This Row],[GBR]]-VLOOKUP($U$1,A:G,7,))/VLOOKUP($U$1,A:G,7,))*100)+100</f>
        <v>92.614178299079612</v>
      </c>
      <c r="N287" s="92">
        <f>VLOOKUP(A287,Database!$E:$AY,MATCH($N$1,Database!$E$1:$AY$1,0),FALSE)</f>
        <v>98.487859999999998</v>
      </c>
      <c r="O287" s="92">
        <f>(((Table134567891011121314151617343[[#This Row],[USA]]-VLOOKUP($U$1,A:N,14,))/VLOOKUP($U$1,A:N,14,))*100)+100</f>
        <v>114.10837182503558</v>
      </c>
      <c r="P287" s="92">
        <f>VLOOKUP(A287,Database!$E:$AY,MATCH($P$1,Database!$E$1:$AY$1,0),FALSE)</f>
        <v>101.4915</v>
      </c>
      <c r="Q287" s="92">
        <f>(((Table134567891011121314151617343[[#This Row],[JPN]]-VLOOKUP($U$1,A:Q,16,))/VLOOKUP($U$1,A:Q,16,))*100)+100</f>
        <v>101.89538272852104</v>
      </c>
    </row>
    <row r="288" spans="1:17" s="85" customFormat="1" x14ac:dyDescent="0.2">
      <c r="A288" s="22">
        <v>41579</v>
      </c>
      <c r="B288" s="92">
        <f>VLOOKUP(A288,Database!$E:$AY,MATCH($B$1,Database!$E$1:$AY$1,0),FALSE)</f>
        <v>99.791690000000003</v>
      </c>
      <c r="C288" s="92">
        <f>VLOOKUP(A288,Database!$E:$AY,MATCH($C$1,Database!$E$1:$AY$1,0),FALSE)</f>
        <v>100.7908</v>
      </c>
      <c r="D288" s="92">
        <f>VLOOKUP(A288,Database!$E:$AY,MATCH($D$1,Database!$E$1:$AY$1,0),FALSE)</f>
        <v>99.691699999999997</v>
      </c>
      <c r="E288" s="92">
        <f>VLOOKUP(A288,Database!$E:$AY,MATCH($E$1,Database!$E$1:$AY$1,0),FALSE)</f>
        <v>96.58108</v>
      </c>
      <c r="F288" s="92">
        <f>VLOOKUP(A288,Database!$E:$AY,MATCH($F$1,Database!$E$1:$AY$1,0),FALSE)</f>
        <v>97.383769999999998</v>
      </c>
      <c r="G288" s="92">
        <f>VLOOKUP(A288,Database!$E:$AY,MATCH($G$1,Database!$E$1:$AY$1,0),FALSE)</f>
        <v>98.944450000000003</v>
      </c>
      <c r="H288" s="92">
        <f>(((Table134567891011121314151617343[[#This Row],[ITA]]-VLOOKUP($U$1,A:B,2,))/VLOOKUP($U$1,A:B,2,))*100)+100</f>
        <v>82.072351404187359</v>
      </c>
      <c r="I288" s="92">
        <f>(((Table134567891011121314151617343[[#This Row],[FRA]]-VLOOKUP($U$1,A:C,3,))/VLOOKUP($U$1,A:C,3,))*100)+100</f>
        <v>98.10192435534438</v>
      </c>
      <c r="J288" s="92">
        <f>(((Table134567891011121314151617343[[#This Row],[DEU]]-VLOOKUP($U$1,A:D,4,))/VLOOKUP($U$1,A:D,4,))*100)+100</f>
        <v>132.57980419378052</v>
      </c>
      <c r="K288" s="92">
        <f>(((Table134567891011121314151617343[[#This Row],[ESP]]-VLOOKUP($U$1,A:E,5,))/VLOOKUP($U$1,A:E,5,))*100)+100</f>
        <v>81.335476878430171</v>
      </c>
      <c r="L288" s="92">
        <f>(((Table134567891011121314151617343[[#This Row],[EA19]]-VLOOKUP($U$1,A:F,6,))/VLOOKUP($U$1,A:F,6,))*100)+100</f>
        <v>108.94854959047984</v>
      </c>
      <c r="M288" s="92">
        <f>(((Table134567891011121314151617343[[#This Row],[GBR]]-VLOOKUP($U$1,A:G,7,))/VLOOKUP($U$1,A:G,7,))*100)+100</f>
        <v>92.614178299079612</v>
      </c>
      <c r="N288" s="92">
        <f>VLOOKUP(A288,Database!$E:$AY,MATCH($N$1,Database!$E$1:$AY$1,0),FALSE)</f>
        <v>98.776790000000005</v>
      </c>
      <c r="O288" s="92">
        <f>(((Table134567891011121314151617343[[#This Row],[USA]]-VLOOKUP($U$1,A:N,14,))/VLOOKUP($U$1,A:N,14,))*100)+100</f>
        <v>114.44312711235128</v>
      </c>
      <c r="P288" s="92">
        <f>VLOOKUP(A288,Database!$E:$AY,MATCH($P$1,Database!$E$1:$AY$1,0),FALSE)</f>
        <v>101.89149999999999</v>
      </c>
      <c r="Q288" s="92">
        <f>(((Table134567891011121314151617343[[#This Row],[JPN]]-VLOOKUP($U$1,A:Q,16,))/VLOOKUP($U$1,A:Q,16,))*100)+100</f>
        <v>102.29697451789659</v>
      </c>
    </row>
    <row r="289" spans="1:17" s="85" customFormat="1" x14ac:dyDescent="0.2">
      <c r="A289" s="22">
        <v>41609</v>
      </c>
      <c r="B289" s="92">
        <f>VLOOKUP(A289,Database!$E:$AY,MATCH($B$1,Database!$E$1:$AY$1,0),FALSE)</f>
        <v>98.691770000000005</v>
      </c>
      <c r="C289" s="92">
        <f>VLOOKUP(A289,Database!$E:$AY,MATCH($C$1,Database!$E$1:$AY$1,0),FALSE)</f>
        <v>99.520830000000004</v>
      </c>
      <c r="D289" s="92">
        <f>VLOOKUP(A289,Database!$E:$AY,MATCH($D$1,Database!$E$1:$AY$1,0),FALSE)</f>
        <v>99.791690000000003</v>
      </c>
      <c r="E289" s="92">
        <f>VLOOKUP(A289,Database!$E:$AY,MATCH($E$1,Database!$E$1:$AY$1,0),FALSE)</f>
        <v>96.754080000000002</v>
      </c>
      <c r="F289" s="92">
        <f>VLOOKUP(A289,Database!$E:$AY,MATCH($F$1,Database!$E$1:$AY$1,0),FALSE)</f>
        <v>97.183800000000005</v>
      </c>
      <c r="G289" s="92">
        <f>VLOOKUP(A289,Database!$E:$AY,MATCH($G$1,Database!$E$1:$AY$1,0),FALSE)</f>
        <v>98.944450000000003</v>
      </c>
      <c r="H289" s="92">
        <f>(((Table134567891011121314151617343[[#This Row],[ITA]]-VLOOKUP($U$1,A:B,2,))/VLOOKUP($U$1,A:B,2,))*100)+100</f>
        <v>81.167736793927787</v>
      </c>
      <c r="I289" s="92">
        <f>(((Table134567891011121314151617343[[#This Row],[FRA]]-VLOOKUP($U$1,A:C,3,))/VLOOKUP($U$1,A:C,3,))*100)+100</f>
        <v>96.865834346399538</v>
      </c>
      <c r="J289" s="92">
        <f>(((Table134567891011121314151617343[[#This Row],[DEU]]-VLOOKUP($U$1,A:D,4,))/VLOOKUP($U$1,A:D,4,))*100)+100</f>
        <v>132.71278070658286</v>
      </c>
      <c r="K289" s="92">
        <f>(((Table134567891011121314151617343[[#This Row],[ESP]]-VLOOKUP($U$1,A:E,5,))/VLOOKUP($U$1,A:E,5,))*100)+100</f>
        <v>81.481168327521118</v>
      </c>
      <c r="L289" s="92">
        <f>(((Table134567891011121314151617343[[#This Row],[EA19]]-VLOOKUP($U$1,A:F,6,))/VLOOKUP($U$1,A:F,6,))*100)+100</f>
        <v>108.72483221476512</v>
      </c>
      <c r="M289" s="92">
        <f>(((Table134567891011121314151617343[[#This Row],[GBR]]-VLOOKUP($U$1,A:G,7,))/VLOOKUP($U$1,A:G,7,))*100)+100</f>
        <v>92.614178299079612</v>
      </c>
      <c r="N289" s="92">
        <f>VLOOKUP(A289,Database!$E:$AY,MATCH($N$1,Database!$E$1:$AY$1,0),FALSE)</f>
        <v>99.076939999999993</v>
      </c>
      <c r="O289" s="92">
        <f>(((Table134567891011121314151617343[[#This Row],[USA]]-VLOOKUP($U$1,A:N,14,))/VLOOKUP($U$1,A:N,14,))*100)+100</f>
        <v>114.79088193008499</v>
      </c>
      <c r="P289" s="92">
        <f>VLOOKUP(A289,Database!$E:$AY,MATCH($P$1,Database!$E$1:$AY$1,0),FALSE)</f>
        <v>101.89149999999999</v>
      </c>
      <c r="Q289" s="92">
        <f>(((Table134567891011121314151617343[[#This Row],[JPN]]-VLOOKUP($U$1,A:Q,16,))/VLOOKUP($U$1,A:Q,16,))*100)+100</f>
        <v>102.29697451789659</v>
      </c>
    </row>
    <row r="290" spans="1:17" s="85" customFormat="1" x14ac:dyDescent="0.2">
      <c r="A290" s="22">
        <v>41640</v>
      </c>
      <c r="B290" s="92">
        <f>VLOOKUP(A290,Database!$E:$AY,MATCH($B$1,Database!$E$1:$AY$1,0),FALSE)</f>
        <v>100.3916</v>
      </c>
      <c r="C290" s="92">
        <f>VLOOKUP(A290,Database!$E:$AY,MATCH($C$1,Database!$E$1:$AY$1,0),FALSE)</f>
        <v>97.920810000000003</v>
      </c>
      <c r="D290" s="92">
        <f>VLOOKUP(A290,Database!$E:$AY,MATCH($D$1,Database!$E$1:$AY$1,0),FALSE)</f>
        <v>99.291730000000001</v>
      </c>
      <c r="E290" s="92">
        <f>VLOOKUP(A290,Database!$E:$AY,MATCH($E$1,Database!$E$1:$AY$1,0),FALSE)</f>
        <v>96.532079999999993</v>
      </c>
      <c r="F290" s="92">
        <f>VLOOKUP(A290,Database!$E:$AY,MATCH($F$1,Database!$E$1:$AY$1,0),FALSE)</f>
        <v>96.883849999999995</v>
      </c>
      <c r="G290" s="92">
        <f>VLOOKUP(A290,Database!$E:$AY,MATCH($G$1,Database!$E$1:$AY$1,0),FALSE)</f>
        <v>99.255930000000006</v>
      </c>
      <c r="H290" s="92">
        <f>(((Table134567891011121314151617343[[#This Row],[ITA]]-VLOOKUP($U$1,A:B,2,))/VLOOKUP($U$1,A:B,2,))*100)+100</f>
        <v>82.565739424080448</v>
      </c>
      <c r="I290" s="92">
        <f>(((Table134567891011121314151617343[[#This Row],[FRA]]-VLOOKUP($U$1,A:C,3,))/VLOOKUP($U$1,A:C,3,))*100)+100</f>
        <v>95.308499341547531</v>
      </c>
      <c r="J290" s="92">
        <f>(((Table134567891011121314151617343[[#This Row],[DEU]]-VLOOKUP($U$1,A:D,4,))/VLOOKUP($U$1,A:D,4,))*100)+100</f>
        <v>132.04788484359</v>
      </c>
      <c r="K290" s="92">
        <f>(((Table134567891011121314151617343[[#This Row],[ESP]]-VLOOKUP($U$1,A:E,5,))/VLOOKUP($U$1,A:E,5,))*100)+100</f>
        <v>81.29421167030614</v>
      </c>
      <c r="L290" s="92">
        <f>(((Table134567891011121314151617343[[#This Row],[EA19]]-VLOOKUP($U$1,A:F,6,))/VLOOKUP($U$1,A:F,6,))*100)+100</f>
        <v>108.38926174496645</v>
      </c>
      <c r="M290" s="92">
        <f>(((Table134567891011121314151617343[[#This Row],[GBR]]-VLOOKUP($U$1,A:G,7,))/VLOOKUP($U$1,A:G,7,))*100)+100</f>
        <v>92.905730420058589</v>
      </c>
      <c r="N290" s="92">
        <f>VLOOKUP(A290,Database!$E:$AY,MATCH($N$1,Database!$E$1:$AY$1,0),FALSE)</f>
        <v>98.665080000000003</v>
      </c>
      <c r="O290" s="92">
        <f>(((Table134567891011121314151617343[[#This Row],[USA]]-VLOOKUP($U$1,A:N,14,))/VLOOKUP($U$1,A:N,14,))*100)+100</f>
        <v>114.31369952384875</v>
      </c>
      <c r="P290" s="92">
        <f>VLOOKUP(A290,Database!$E:$AY,MATCH($P$1,Database!$E$1:$AY$1,0),FALSE)</f>
        <v>103.59139999999999</v>
      </c>
      <c r="Q290" s="92">
        <f>(((Table134567891011121314151617343[[#This Row],[JPN]]-VLOOKUP($U$1,A:Q,16,))/VLOOKUP($U$1,A:Q,16,))*100)+100</f>
        <v>104.00363922479532</v>
      </c>
    </row>
    <row r="291" spans="1:17" s="85" customFormat="1" x14ac:dyDescent="0.2">
      <c r="A291" s="22">
        <v>41671</v>
      </c>
      <c r="B291" s="92">
        <f>VLOOKUP(A291,Database!$E:$AY,MATCH($B$1,Database!$E$1:$AY$1,0),FALSE)</f>
        <v>99.591700000000003</v>
      </c>
      <c r="C291" s="92">
        <f>VLOOKUP(A291,Database!$E:$AY,MATCH($C$1,Database!$E$1:$AY$1,0),FALSE)</f>
        <v>99.450829999999996</v>
      </c>
      <c r="D291" s="92">
        <f>VLOOKUP(A291,Database!$E:$AY,MATCH($D$1,Database!$E$1:$AY$1,0),FALSE)</f>
        <v>99.391720000000007</v>
      </c>
      <c r="E291" s="92">
        <f>VLOOKUP(A291,Database!$E:$AY,MATCH($E$1,Database!$E$1:$AY$1,0),FALSE)</f>
        <v>97.236080000000001</v>
      </c>
      <c r="F291" s="92">
        <f>VLOOKUP(A291,Database!$E:$AY,MATCH($F$1,Database!$E$1:$AY$1,0),FALSE)</f>
        <v>97.583730000000003</v>
      </c>
      <c r="G291" s="92">
        <f>VLOOKUP(A291,Database!$E:$AY,MATCH($G$1,Database!$E$1:$AY$1,0),FALSE)</f>
        <v>99.671229999999994</v>
      </c>
      <c r="H291" s="92">
        <f>(((Table134567891011121314151617343[[#This Row],[ITA]]-VLOOKUP($U$1,A:B,2,))/VLOOKUP($U$1,A:B,2,))*100)+100</f>
        <v>81.907872282155012</v>
      </c>
      <c r="I291" s="92">
        <f>(((Table134567891011121314151617343[[#This Row],[FRA]]-VLOOKUP($U$1,A:C,3,))/VLOOKUP($U$1,A:C,3,))*100)+100</f>
        <v>96.797701791594193</v>
      </c>
      <c r="J291" s="92">
        <f>(((Table134567891011121314151617343[[#This Row],[DEU]]-VLOOKUP($U$1,A:D,4,))/VLOOKUP($U$1,A:D,4,))*100)+100</f>
        <v>132.18086135639237</v>
      </c>
      <c r="K291" s="92">
        <f>(((Table134567891011121314151617343[[#This Row],[ESP]]-VLOOKUP($U$1,A:E,5,))/VLOOKUP($U$1,A:E,5,))*100)+100</f>
        <v>81.887083231924777</v>
      </c>
      <c r="L291" s="92">
        <f>(((Table134567891011121314151617343[[#This Row],[EA19]]-VLOOKUP($U$1,A:F,6,))/VLOOKUP($U$1,A:F,6,))*100)+100</f>
        <v>109.17225577864768</v>
      </c>
      <c r="M291" s="92">
        <f>(((Table134567891011121314151617343[[#This Row],[GBR]]-VLOOKUP($U$1,A:G,7,))/VLOOKUP($U$1,A:G,7,))*100)+100</f>
        <v>93.294460341217444</v>
      </c>
      <c r="N291" s="92">
        <f>VLOOKUP(A291,Database!$E:$AY,MATCH($N$1,Database!$E$1:$AY$1,0),FALSE)</f>
        <v>99.500820000000004</v>
      </c>
      <c r="O291" s="92">
        <f>(((Table134567891011121314151617343[[#This Row],[USA]]-VLOOKUP($U$1,A:N,14,))/VLOOKUP($U$1,A:N,14,))*100)+100</f>
        <v>115.28199074947854</v>
      </c>
      <c r="P291" s="92">
        <f>VLOOKUP(A291,Database!$E:$AY,MATCH($P$1,Database!$E$1:$AY$1,0),FALSE)</f>
        <v>102.8914</v>
      </c>
      <c r="Q291" s="92">
        <f>(((Table134567891011121314151617343[[#This Row],[JPN]]-VLOOKUP($U$1,A:Q,16,))/VLOOKUP($U$1,A:Q,16,))*100)+100</f>
        <v>103.30085359338813</v>
      </c>
    </row>
    <row r="292" spans="1:17" s="85" customFormat="1" x14ac:dyDescent="0.2">
      <c r="A292" s="22">
        <v>41699</v>
      </c>
      <c r="B292" s="92">
        <f>VLOOKUP(A292,Database!$E:$AY,MATCH($B$1,Database!$E$1:$AY$1,0),FALSE)</f>
        <v>98.491789999999995</v>
      </c>
      <c r="C292" s="92">
        <f>VLOOKUP(A292,Database!$E:$AY,MATCH($C$1,Database!$E$1:$AY$1,0),FALSE)</f>
        <v>98.720830000000007</v>
      </c>
      <c r="D292" s="92">
        <f>VLOOKUP(A292,Database!$E:$AY,MATCH($D$1,Database!$E$1:$AY$1,0),FALSE)</f>
        <v>99.791690000000003</v>
      </c>
      <c r="E292" s="92">
        <f>VLOOKUP(A292,Database!$E:$AY,MATCH($E$1,Database!$E$1:$AY$1,0),FALSE)</f>
        <v>96.286079999999998</v>
      </c>
      <c r="F292" s="92">
        <f>VLOOKUP(A292,Database!$E:$AY,MATCH($F$1,Database!$E$1:$AY$1,0),FALSE)</f>
        <v>96.983829999999998</v>
      </c>
      <c r="G292" s="92">
        <f>VLOOKUP(A292,Database!$E:$AY,MATCH($G$1,Database!$E$1:$AY$1,0),FALSE)</f>
        <v>99.359750000000005</v>
      </c>
      <c r="H292" s="92">
        <f>(((Table134567891011121314151617343[[#This Row],[ITA]]-VLOOKUP($U$1,A:B,2,))/VLOOKUP($U$1,A:B,2,))*100)+100</f>
        <v>81.003265896262761</v>
      </c>
      <c r="I292" s="92">
        <f>(((Table134567891011121314151617343[[#This Row],[FRA]]-VLOOKUP($U$1,A:C,3,))/VLOOKUP($U$1,A:C,3,))*100)+100</f>
        <v>96.087176577195649</v>
      </c>
      <c r="J292" s="92">
        <f>(((Table134567891011121314151617343[[#This Row],[DEU]]-VLOOKUP($U$1,A:D,4,))/VLOOKUP($U$1,A:D,4,))*100)+100</f>
        <v>132.71278070658286</v>
      </c>
      <c r="K292" s="92">
        <f>(((Table134567891011121314151617343[[#This Row],[ESP]]-VLOOKUP($U$1,A:E,5,))/VLOOKUP($U$1,A:E,5,))*100)+100</f>
        <v>81.08704348258145</v>
      </c>
      <c r="L292" s="92">
        <f>(((Table134567891011121314151617343[[#This Row],[EA19]]-VLOOKUP($U$1,A:F,6,))/VLOOKUP($U$1,A:F,6,))*100)+100</f>
        <v>108.50111483905036</v>
      </c>
      <c r="M292" s="92">
        <f>(((Table134567891011121314151617343[[#This Row],[GBR]]-VLOOKUP($U$1,A:G,7,))/VLOOKUP($U$1,A:G,7,))*100)+100</f>
        <v>93.002908220238481</v>
      </c>
      <c r="N292" s="92">
        <f>VLOOKUP(A292,Database!$E:$AY,MATCH($N$1,Database!$E$1:$AY$1,0),FALSE)</f>
        <v>100.4586</v>
      </c>
      <c r="O292" s="92">
        <f>(((Table134567891011121314151617343[[#This Row],[USA]]-VLOOKUP($U$1,A:N,14,))/VLOOKUP($U$1,A:N,14,))*100)+100</f>
        <v>116.39167793698147</v>
      </c>
      <c r="P292" s="92">
        <f>VLOOKUP(A292,Database!$E:$AY,MATCH($P$1,Database!$E$1:$AY$1,0),FALSE)</f>
        <v>104.29130000000001</v>
      </c>
      <c r="Q292" s="92">
        <f>(((Table134567891011121314151617343[[#This Row],[JPN]]-VLOOKUP($U$1,A:Q,16,))/VLOOKUP($U$1,A:Q,16,))*100)+100</f>
        <v>104.7063244582552</v>
      </c>
    </row>
    <row r="293" spans="1:17" s="85" customFormat="1" x14ac:dyDescent="0.2">
      <c r="A293" s="22">
        <v>41730</v>
      </c>
      <c r="B293" s="92">
        <f>VLOOKUP(A293,Database!$E:$AY,MATCH($B$1,Database!$E$1:$AY$1,0),FALSE)</f>
        <v>99.491709999999998</v>
      </c>
      <c r="C293" s="92">
        <f>VLOOKUP(A293,Database!$E:$AY,MATCH($C$1,Database!$E$1:$AY$1,0),FALSE)</f>
        <v>99.070819999999998</v>
      </c>
      <c r="D293" s="92">
        <f>VLOOKUP(A293,Database!$E:$AY,MATCH($D$1,Database!$E$1:$AY$1,0),FALSE)</f>
        <v>99.391720000000007</v>
      </c>
      <c r="E293" s="92">
        <f>VLOOKUP(A293,Database!$E:$AY,MATCH($E$1,Database!$E$1:$AY$1,0),FALSE)</f>
        <v>97.585080000000005</v>
      </c>
      <c r="F293" s="92">
        <f>VLOOKUP(A293,Database!$E:$AY,MATCH($F$1,Database!$E$1:$AY$1,0),FALSE)</f>
        <v>98.583569999999995</v>
      </c>
      <c r="G293" s="92">
        <f>VLOOKUP(A293,Database!$E:$AY,MATCH($G$1,Database!$E$1:$AY$1,0),FALSE)</f>
        <v>99.775049999999993</v>
      </c>
      <c r="H293" s="92">
        <f>(((Table134567891011121314151617343[[#This Row],[ITA]]-VLOOKUP($U$1,A:B,2,))/VLOOKUP($U$1,A:B,2,))*100)+100</f>
        <v>81.825636833322505</v>
      </c>
      <c r="I293" s="92">
        <f>(((Table134567891011121314151617343[[#This Row],[FRA]]-VLOOKUP($U$1,A:C,3,))/VLOOKUP($U$1,A:C,3,))*100)+100</f>
        <v>96.427829618000231</v>
      </c>
      <c r="J293" s="92">
        <f>(((Table134567891011121314151617343[[#This Row],[DEU]]-VLOOKUP($U$1,A:D,4,))/VLOOKUP($U$1,A:D,4,))*100)+100</f>
        <v>132.18086135639237</v>
      </c>
      <c r="K293" s="92">
        <f>(((Table134567891011121314151617343[[#This Row],[ESP]]-VLOOKUP($U$1,A:E,5,))/VLOOKUP($U$1,A:E,5,))*100)+100</f>
        <v>82.18099257142039</v>
      </c>
      <c r="L293" s="92">
        <f>(((Table134567891011121314151617343[[#This Row],[EA19]]-VLOOKUP($U$1,A:F,6,))/VLOOKUP($U$1,A:F,6,))*100)+100</f>
        <v>110.29083146967447</v>
      </c>
      <c r="M293" s="92">
        <f>(((Table134567891011121314151617343[[#This Row],[GBR]]-VLOOKUP($U$1,A:G,7,))/VLOOKUP($U$1,A:G,7,))*100)+100</f>
        <v>93.391638141397351</v>
      </c>
      <c r="N293" s="92">
        <f>VLOOKUP(A293,Database!$E:$AY,MATCH($N$1,Database!$E$1:$AY$1,0),FALSE)</f>
        <v>100.50490000000001</v>
      </c>
      <c r="O293" s="92">
        <f>(((Table134567891011121314151617343[[#This Row],[USA]]-VLOOKUP($U$1,A:N,14,))/VLOOKUP($U$1,A:N,14,))*100)+100</f>
        <v>116.44532127551578</v>
      </c>
      <c r="P293" s="92">
        <f>VLOOKUP(A293,Database!$E:$AY,MATCH($P$1,Database!$E$1:$AY$1,0),FALSE)</f>
        <v>99.791690000000003</v>
      </c>
      <c r="Q293" s="92">
        <f>(((Table134567891011121314151617343[[#This Row],[JPN]]-VLOOKUP($U$1,A:Q,16,))/VLOOKUP($U$1,A:Q,16,))*100)+100</f>
        <v>100.18880837977493</v>
      </c>
    </row>
    <row r="294" spans="1:17" s="85" customFormat="1" x14ac:dyDescent="0.2">
      <c r="A294" s="22">
        <v>41760</v>
      </c>
      <c r="B294" s="92">
        <f>VLOOKUP(A294,Database!$E:$AY,MATCH($B$1,Database!$E$1:$AY$1,0),FALSE)</f>
        <v>97.991839999999996</v>
      </c>
      <c r="C294" s="92">
        <f>VLOOKUP(A294,Database!$E:$AY,MATCH($C$1,Database!$E$1:$AY$1,0),FALSE)</f>
        <v>96.860810000000001</v>
      </c>
      <c r="D294" s="92">
        <f>VLOOKUP(A294,Database!$E:$AY,MATCH($D$1,Database!$E$1:$AY$1,0),FALSE)</f>
        <v>98.691770000000005</v>
      </c>
      <c r="E294" s="92">
        <f>VLOOKUP(A294,Database!$E:$AY,MATCH($E$1,Database!$E$1:$AY$1,0),FALSE)</f>
        <v>97.230080000000001</v>
      </c>
      <c r="F294" s="92">
        <f>VLOOKUP(A294,Database!$E:$AY,MATCH($F$1,Database!$E$1:$AY$1,0),FALSE)</f>
        <v>97.783699999999996</v>
      </c>
      <c r="G294" s="92">
        <f>VLOOKUP(A294,Database!$E:$AY,MATCH($G$1,Database!$E$1:$AY$1,0),FALSE)</f>
        <v>99.463579999999993</v>
      </c>
      <c r="H294" s="92">
        <f>(((Table134567891011121314151617343[[#This Row],[ITA]]-VLOOKUP($U$1,A:B,2,))/VLOOKUP($U$1,A:B,2,))*100)+100</f>
        <v>80.592088652100216</v>
      </c>
      <c r="I294" s="92">
        <f>(((Table134567891011121314151617343[[#This Row],[FRA]]-VLOOKUP($U$1,A:C,3,))/VLOOKUP($U$1,A:C,3,))*100)+100</f>
        <v>94.276777797352366</v>
      </c>
      <c r="J294" s="92">
        <f>(((Table134567891011121314151617343[[#This Row],[DEU]]-VLOOKUP($U$1,A:D,4,))/VLOOKUP($U$1,A:D,4,))*100)+100</f>
        <v>131.24999916881367</v>
      </c>
      <c r="K294" s="92">
        <f>(((Table134567891011121314151617343[[#This Row],[ESP]]-VLOOKUP($U$1,A:E,5,))/VLOOKUP($U$1,A:E,5,))*100)+100</f>
        <v>81.882030349297352</v>
      </c>
      <c r="L294" s="92">
        <f>(((Table134567891011121314151617343[[#This Row],[EA19]]-VLOOKUP($U$1,A:F,6,))/VLOOKUP($U$1,A:F,6,))*100)+100</f>
        <v>109.39597315436242</v>
      </c>
      <c r="M294" s="92">
        <f>(((Table134567891011121314151617343[[#This Row],[GBR]]-VLOOKUP($U$1,A:G,7,))/VLOOKUP($U$1,A:G,7,))*100)+100</f>
        <v>93.10009538063801</v>
      </c>
      <c r="N294" s="92">
        <f>VLOOKUP(A294,Database!$E:$AY,MATCH($N$1,Database!$E$1:$AY$1,0),FALSE)</f>
        <v>100.8681</v>
      </c>
      <c r="O294" s="92">
        <f>(((Table134567891011121314151617343[[#This Row],[USA]]-VLOOKUP($U$1,A:N,14,))/VLOOKUP($U$1,A:N,14,))*100)+100</f>
        <v>116.86612603913693</v>
      </c>
      <c r="P294" s="92">
        <f>VLOOKUP(A294,Database!$E:$AY,MATCH($P$1,Database!$E$1:$AY$1,0),FALSE)</f>
        <v>101.89149999999999</v>
      </c>
      <c r="Q294" s="92">
        <f>(((Table134567891011121314151617343[[#This Row],[JPN]]-VLOOKUP($U$1,A:Q,16,))/VLOOKUP($U$1,A:Q,16,))*100)+100</f>
        <v>102.29697451789659</v>
      </c>
    </row>
    <row r="295" spans="1:17" s="85" customFormat="1" x14ac:dyDescent="0.2">
      <c r="A295" s="22">
        <v>41791</v>
      </c>
      <c r="B295" s="92">
        <f>VLOOKUP(A295,Database!$E:$AY,MATCH($B$1,Database!$E$1:$AY$1,0),FALSE)</f>
        <v>99.891679999999994</v>
      </c>
      <c r="C295" s="92">
        <f>VLOOKUP(A295,Database!$E:$AY,MATCH($C$1,Database!$E$1:$AY$1,0),FALSE)</f>
        <v>99.100819999999999</v>
      </c>
      <c r="D295" s="92">
        <f>VLOOKUP(A295,Database!$E:$AY,MATCH($D$1,Database!$E$1:$AY$1,0),FALSE)</f>
        <v>98.79177</v>
      </c>
      <c r="E295" s="92">
        <f>VLOOKUP(A295,Database!$E:$AY,MATCH($E$1,Database!$E$1:$AY$1,0),FALSE)</f>
        <v>96.517080000000007</v>
      </c>
      <c r="F295" s="92">
        <f>VLOOKUP(A295,Database!$E:$AY,MATCH($F$1,Database!$E$1:$AY$1,0),FALSE)</f>
        <v>97.283779999999993</v>
      </c>
      <c r="G295" s="92">
        <f>VLOOKUP(A295,Database!$E:$AY,MATCH($G$1,Database!$E$1:$AY$1,0),FALSE)</f>
        <v>99.671229999999994</v>
      </c>
      <c r="H295" s="92">
        <f>(((Table134567891011121314151617343[[#This Row],[ITA]]-VLOOKUP($U$1,A:B,2,))/VLOOKUP($U$1,A:B,2,))*100)+100</f>
        <v>82.15458685301985</v>
      </c>
      <c r="I295" s="92">
        <f>(((Table134567891011121314151617343[[#This Row],[FRA]]-VLOOKUP($U$1,A:C,3,))/VLOOKUP($U$1,A:C,3,))*100)+100</f>
        <v>96.457029284345381</v>
      </c>
      <c r="J295" s="92">
        <f>(((Table134567891011121314151617343[[#This Row],[DEU]]-VLOOKUP($U$1,A:D,4,))/VLOOKUP($U$1,A:D,4,))*100)+100</f>
        <v>131.38298898059719</v>
      </c>
      <c r="K295" s="92">
        <f>(((Table134567891011121314151617343[[#This Row],[ESP]]-VLOOKUP($U$1,A:E,5,))/VLOOKUP($U$1,A:E,5,))*100)+100</f>
        <v>81.281579463737572</v>
      </c>
      <c r="L295" s="92">
        <f>(((Table134567891011121314151617343[[#This Row],[EA19]]-VLOOKUP($U$1,A:F,6,))/VLOOKUP($U$1,A:F,6,))*100)+100</f>
        <v>108.83668530884901</v>
      </c>
      <c r="M295" s="92">
        <f>(((Table134567891011121314151617343[[#This Row],[GBR]]-VLOOKUP($U$1,A:G,7,))/VLOOKUP($U$1,A:G,7,))*100)+100</f>
        <v>93.294460341217444</v>
      </c>
      <c r="N295" s="92">
        <f>VLOOKUP(A295,Database!$E:$AY,MATCH($N$1,Database!$E$1:$AY$1,0),FALSE)</f>
        <v>101.24550000000001</v>
      </c>
      <c r="O295" s="92">
        <f>(((Table134567891011121314151617343[[#This Row],[USA]]-VLOOKUP($U$1,A:N,14,))/VLOOKUP($U$1,A:N,14,))*100)+100</f>
        <v>117.30338297137983</v>
      </c>
      <c r="P295" s="92">
        <f>VLOOKUP(A295,Database!$E:$AY,MATCH($P$1,Database!$E$1:$AY$1,0),FALSE)</f>
        <v>100.5916</v>
      </c>
      <c r="Q295" s="92">
        <f>(((Table134567891011121314151617343[[#This Row],[JPN]]-VLOOKUP($U$1,A:Q,16,))/VLOOKUP($U$1,A:Q,16,))*100)+100</f>
        <v>100.99190160037341</v>
      </c>
    </row>
    <row r="296" spans="1:17" s="85" customFormat="1" x14ac:dyDescent="0.2">
      <c r="A296" s="22">
        <v>41821</v>
      </c>
      <c r="B296" s="92">
        <f>VLOOKUP(A296,Database!$E:$AY,MATCH($B$1,Database!$E$1:$AY$1,0),FALSE)</f>
        <v>98.491789999999995</v>
      </c>
      <c r="C296" s="92">
        <f>VLOOKUP(A296,Database!$E:$AY,MATCH($C$1,Database!$E$1:$AY$1,0),FALSE)</f>
        <v>100.3308</v>
      </c>
      <c r="D296" s="92">
        <f>VLOOKUP(A296,Database!$E:$AY,MATCH($D$1,Database!$E$1:$AY$1,0),FALSE)</f>
        <v>100.8916</v>
      </c>
      <c r="E296" s="92">
        <f>VLOOKUP(A296,Database!$E:$AY,MATCH($E$1,Database!$E$1:$AY$1,0),FALSE)</f>
        <v>96.515079999999998</v>
      </c>
      <c r="F296" s="92">
        <f>VLOOKUP(A296,Database!$E:$AY,MATCH($F$1,Database!$E$1:$AY$1,0),FALSE)</f>
        <v>98.083659999999995</v>
      </c>
      <c r="G296" s="92">
        <f>VLOOKUP(A296,Database!$E:$AY,MATCH($G$1,Database!$E$1:$AY$1,0),FALSE)</f>
        <v>100.19029999999999</v>
      </c>
      <c r="H296" s="92">
        <f>(((Table134567891011121314151617343[[#This Row],[ITA]]-VLOOKUP($U$1,A:B,2,))/VLOOKUP($U$1,A:B,2,))*100)+100</f>
        <v>81.003265896262761</v>
      </c>
      <c r="I296" s="92">
        <f>(((Table134567891011121314151617343[[#This Row],[FRA]]-VLOOKUP($U$1,A:C,3,))/VLOOKUP($U$1,A:C,3,))*100)+100</f>
        <v>97.654196138052129</v>
      </c>
      <c r="J296" s="92">
        <f>(((Table134567891011121314151617343[[#This Row],[DEU]]-VLOOKUP($U$1,A:D,4,))/VLOOKUP($U$1,A:D,4,))*100)+100</f>
        <v>134.17554894537085</v>
      </c>
      <c r="K296" s="92">
        <f>(((Table134567891011121314151617343[[#This Row],[ESP]]-VLOOKUP($U$1,A:E,5,))/VLOOKUP($U$1,A:E,5,))*100)+100</f>
        <v>81.279895169528416</v>
      </c>
      <c r="L296" s="92">
        <f>(((Table134567891011121314151617343[[#This Row],[EA19]]-VLOOKUP($U$1,A:F,6,))/VLOOKUP($U$1,A:F,6,))*100)+100</f>
        <v>109.73155481170799</v>
      </c>
      <c r="M296" s="92">
        <f>(((Table134567891011121314151617343[[#This Row],[GBR]]-VLOOKUP($U$1,A:G,7,))/VLOOKUP($U$1,A:G,7,))*100)+100</f>
        <v>93.78032126145807</v>
      </c>
      <c r="N296" s="92">
        <f>VLOOKUP(A296,Database!$E:$AY,MATCH($N$1,Database!$E$1:$AY$1,0),FALSE)</f>
        <v>101.4449</v>
      </c>
      <c r="O296" s="92">
        <f>(((Table134567891011121314151617343[[#This Row],[USA]]-VLOOKUP($U$1,A:N,14,))/VLOOKUP($U$1,A:N,14,))*100)+100</f>
        <v>117.5344084941388</v>
      </c>
      <c r="P296" s="92">
        <f>VLOOKUP(A296,Database!$E:$AY,MATCH($P$1,Database!$E$1:$AY$1,0),FALSE)</f>
        <v>100.3916</v>
      </c>
      <c r="Q296" s="92">
        <f>(((Table134567891011121314151617343[[#This Row],[JPN]]-VLOOKUP($U$1,A:Q,16,))/VLOOKUP($U$1,A:Q,16,))*100)+100</f>
        <v>100.79110570568562</v>
      </c>
    </row>
    <row r="297" spans="1:17" s="85" customFormat="1" x14ac:dyDescent="0.2">
      <c r="A297" s="22">
        <v>41852</v>
      </c>
      <c r="B297" s="92">
        <f>VLOOKUP(A297,Database!$E:$AY,MATCH($B$1,Database!$E$1:$AY$1,0),FALSE)</f>
        <v>97.39188</v>
      </c>
      <c r="C297" s="92">
        <f>VLOOKUP(A297,Database!$E:$AY,MATCH($C$1,Database!$E$1:$AY$1,0),FALSE)</f>
        <v>98.360820000000004</v>
      </c>
      <c r="D297" s="92">
        <f>VLOOKUP(A297,Database!$E:$AY,MATCH($D$1,Database!$E$1:$AY$1,0),FALSE)</f>
        <v>96.691940000000002</v>
      </c>
      <c r="E297" s="92">
        <f>VLOOKUP(A297,Database!$E:$AY,MATCH($E$1,Database!$E$1:$AY$1,0),FALSE)</f>
        <v>97.013080000000002</v>
      </c>
      <c r="F297" s="92">
        <f>VLOOKUP(A297,Database!$E:$AY,MATCH($F$1,Database!$E$1:$AY$1,0),FALSE)</f>
        <v>96.383930000000007</v>
      </c>
      <c r="G297" s="92">
        <f>VLOOKUP(A297,Database!$E:$AY,MATCH($G$1,Database!$E$1:$AY$1,0),FALSE)</f>
        <v>99.463579999999993</v>
      </c>
      <c r="H297" s="92">
        <f>(((Table134567891011121314151617343[[#This Row],[ITA]]-VLOOKUP($U$1,A:B,2,))/VLOOKUP($U$1,A:B,2,))*100)+100</f>
        <v>80.09865951037051</v>
      </c>
      <c r="I297" s="92">
        <f>(((Table134567891011121314151617343[[#This Row],[FRA]]-VLOOKUP($U$1,A:C,3,))/VLOOKUP($U$1,A:C,3,))*100)+100</f>
        <v>95.736770847831792</v>
      </c>
      <c r="J297" s="92">
        <f>(((Table134567891011121314151617343[[#This Row],[DEU]]-VLOOKUP($U$1,A:D,4,))/VLOOKUP($U$1,A:D,4,))*100)+100</f>
        <v>128.59042901582353</v>
      </c>
      <c r="K297" s="92">
        <f>(((Table134567891011121314151617343[[#This Row],[ESP]]-VLOOKUP($U$1,A:E,5,))/VLOOKUP($U$1,A:E,5,))*100)+100</f>
        <v>81.699284427605249</v>
      </c>
      <c r="L297" s="92">
        <f>(((Table134567891011121314151617343[[#This Row],[EA19]]-VLOOKUP($U$1,A:F,6,))/VLOOKUP($U$1,A:F,6,))*100)+100</f>
        <v>107.82997389945305</v>
      </c>
      <c r="M297" s="92">
        <f>(((Table134567891011121314151617343[[#This Row],[GBR]]-VLOOKUP($U$1,A:G,7,))/VLOOKUP($U$1,A:G,7,))*100)+100</f>
        <v>93.10009538063801</v>
      </c>
      <c r="N297" s="92">
        <f>VLOOKUP(A297,Database!$E:$AY,MATCH($N$1,Database!$E$1:$AY$1,0),FALSE)</f>
        <v>101.33240000000001</v>
      </c>
      <c r="O297" s="92">
        <f>(((Table134567891011121314151617343[[#This Row],[USA]]-VLOOKUP($U$1,A:N,14,))/VLOOKUP($U$1,A:N,14,))*100)+100</f>
        <v>117.40406560893126</v>
      </c>
      <c r="P297" s="92">
        <f>VLOOKUP(A297,Database!$E:$AY,MATCH($P$1,Database!$E$1:$AY$1,0),FALSE)</f>
        <v>99.491709999999998</v>
      </c>
      <c r="Q297" s="92">
        <f>(((Table134567891011121314151617343[[#This Row],[JPN]]-VLOOKUP($U$1,A:Q,16,))/VLOOKUP($U$1,A:Q,16,))*100)+100</f>
        <v>99.887634617332722</v>
      </c>
    </row>
    <row r="298" spans="1:17" s="85" customFormat="1" x14ac:dyDescent="0.2">
      <c r="A298" s="22">
        <v>41883</v>
      </c>
      <c r="B298" s="92">
        <f>VLOOKUP(A298,Database!$E:$AY,MATCH($B$1,Database!$E$1:$AY$1,0),FALSE)</f>
        <v>97.991839999999996</v>
      </c>
      <c r="C298" s="92">
        <f>VLOOKUP(A298,Database!$E:$AY,MATCH($C$1,Database!$E$1:$AY$1,0),FALSE)</f>
        <v>99.120829999999998</v>
      </c>
      <c r="D298" s="92">
        <f>VLOOKUP(A298,Database!$E:$AY,MATCH($D$1,Database!$E$1:$AY$1,0),FALSE)</f>
        <v>99.091740000000001</v>
      </c>
      <c r="E298" s="92">
        <f>VLOOKUP(A298,Database!$E:$AY,MATCH($E$1,Database!$E$1:$AY$1,0),FALSE)</f>
        <v>97.34008</v>
      </c>
      <c r="F298" s="92">
        <f>VLOOKUP(A298,Database!$E:$AY,MATCH($F$1,Database!$E$1:$AY$1,0),FALSE)</f>
        <v>97.383769999999998</v>
      </c>
      <c r="G298" s="92">
        <f>VLOOKUP(A298,Database!$E:$AY,MATCH($G$1,Database!$E$1:$AY$1,0),FALSE)</f>
        <v>99.982699999999994</v>
      </c>
      <c r="H298" s="92">
        <f>(((Table134567891011121314151617343[[#This Row],[ITA]]-VLOOKUP($U$1,A:B,2,))/VLOOKUP($U$1,A:B,2,))*100)+100</f>
        <v>80.592088652100216</v>
      </c>
      <c r="I298" s="92">
        <f>(((Table134567891011121314151617343[[#This Row],[FRA]]-VLOOKUP($U$1,A:C,3,))/VLOOKUP($U$1,A:C,3,))*100)+100</f>
        <v>96.476505461797586</v>
      </c>
      <c r="J298" s="92">
        <f>(((Table134567891011121314151617343[[#This Row],[DEU]]-VLOOKUP($U$1,A:D,4,))/VLOOKUP($U$1,A:D,4,))*100)+100</f>
        <v>131.78191851900417</v>
      </c>
      <c r="K298" s="92">
        <f>(((Table134567891011121314151617343[[#This Row],[ESP]]-VLOOKUP($U$1,A:E,5,))/VLOOKUP($U$1,A:E,5,))*100)+100</f>
        <v>81.974666530800263</v>
      </c>
      <c r="L298" s="92">
        <f>(((Table134567891011121314151617343[[#This Row],[EA19]]-VLOOKUP($U$1,A:F,6,))/VLOOKUP($U$1,A:F,6,))*100)+100</f>
        <v>108.94854959047984</v>
      </c>
      <c r="M298" s="92">
        <f>(((Table134567891011121314151617343[[#This Row],[GBR]]-VLOOKUP($U$1,A:G,7,))/VLOOKUP($U$1,A:G,7,))*100)+100</f>
        <v>93.586003101976786</v>
      </c>
      <c r="N298" s="92">
        <f>VLOOKUP(A298,Database!$E:$AY,MATCH($N$1,Database!$E$1:$AY$1,0),FALSE)</f>
        <v>101.6352</v>
      </c>
      <c r="O298" s="92">
        <f>(((Table134567891011121314151617343[[#This Row],[USA]]-VLOOKUP($U$1,A:N,14,))/VLOOKUP($U$1,A:N,14,))*100)+100</f>
        <v>117.75489072573875</v>
      </c>
      <c r="P298" s="92">
        <f>VLOOKUP(A298,Database!$E:$AY,MATCH($P$1,Database!$E$1:$AY$1,0),FALSE)</f>
        <v>100.5916</v>
      </c>
      <c r="Q298" s="92">
        <f>(((Table134567891011121314151617343[[#This Row],[JPN]]-VLOOKUP($U$1,A:Q,16,))/VLOOKUP($U$1,A:Q,16,))*100)+100</f>
        <v>100.99190160037341</v>
      </c>
    </row>
    <row r="299" spans="1:17" s="85" customFormat="1" x14ac:dyDescent="0.2">
      <c r="A299" s="22">
        <v>41913</v>
      </c>
      <c r="B299" s="92">
        <f>VLOOKUP(A299,Database!$E:$AY,MATCH($B$1,Database!$E$1:$AY$1,0),FALSE)</f>
        <v>97.791849999999997</v>
      </c>
      <c r="C299" s="92">
        <f>VLOOKUP(A299,Database!$E:$AY,MATCH($C$1,Database!$E$1:$AY$1,0),FALSE)</f>
        <v>97.590810000000005</v>
      </c>
      <c r="D299" s="92">
        <f>VLOOKUP(A299,Database!$E:$AY,MATCH($D$1,Database!$E$1:$AY$1,0),FALSE)</f>
        <v>99.291730000000001</v>
      </c>
      <c r="E299" s="92">
        <f>VLOOKUP(A299,Database!$E:$AY,MATCH($E$1,Database!$E$1:$AY$1,0),FALSE)</f>
        <v>96.845079999999996</v>
      </c>
      <c r="F299" s="92">
        <f>VLOOKUP(A299,Database!$E:$AY,MATCH($F$1,Database!$E$1:$AY$1,0),FALSE)</f>
        <v>97.083820000000003</v>
      </c>
      <c r="G299" s="92">
        <f>VLOOKUP(A299,Database!$E:$AY,MATCH($G$1,Database!$E$1:$AY$1,0),FALSE)</f>
        <v>99.567400000000006</v>
      </c>
      <c r="H299" s="92">
        <f>(((Table134567891011121314151617343[[#This Row],[ITA]]-VLOOKUP($U$1,A:B,2,))/VLOOKUP($U$1,A:B,2,))*100)+100</f>
        <v>80.427609530067869</v>
      </c>
      <c r="I299" s="92">
        <f>(((Table134567891011121314151617343[[#This Row],[FRA]]-VLOOKUP($U$1,A:C,3,))/VLOOKUP($U$1,A:C,3,))*100)+100</f>
        <v>94.987303011750924</v>
      </c>
      <c r="J299" s="92">
        <f>(((Table134567891011121314151617343[[#This Row],[DEU]]-VLOOKUP($U$1,A:D,4,))/VLOOKUP($U$1,A:D,4,))*100)+100</f>
        <v>132.04788484359</v>
      </c>
      <c r="K299" s="92">
        <f>(((Table134567891011121314151617343[[#This Row],[ESP]]-VLOOKUP($U$1,A:E,5,))/VLOOKUP($U$1,A:E,5,))*100)+100</f>
        <v>81.557803714037163</v>
      </c>
      <c r="L299" s="92">
        <f>(((Table134567891011121314151617343[[#This Row],[EA19]]-VLOOKUP($U$1,A:F,6,))/VLOOKUP($U$1,A:F,6,))*100)+100</f>
        <v>108.6129791206812</v>
      </c>
      <c r="M299" s="92">
        <f>(((Table134567891011121314151617343[[#This Row],[GBR]]-VLOOKUP($U$1,A:G,7,))/VLOOKUP($U$1,A:G,7,))*100)+100</f>
        <v>93.197273180817916</v>
      </c>
      <c r="N299" s="92">
        <f>VLOOKUP(A299,Database!$E:$AY,MATCH($N$1,Database!$E$1:$AY$1,0),FALSE)</f>
        <v>101.6562</v>
      </c>
      <c r="O299" s="92">
        <f>(((Table134567891011121314151617343[[#This Row],[USA]]-VLOOKUP($U$1,A:N,14,))/VLOOKUP($U$1,A:N,14,))*100)+100</f>
        <v>117.77922139764416</v>
      </c>
      <c r="P299" s="92">
        <f>VLOOKUP(A299,Database!$E:$AY,MATCH($P$1,Database!$E$1:$AY$1,0),FALSE)</f>
        <v>100.5916</v>
      </c>
      <c r="Q299" s="92">
        <f>(((Table134567891011121314151617343[[#This Row],[JPN]]-VLOOKUP($U$1,A:Q,16,))/VLOOKUP($U$1,A:Q,16,))*100)+100</f>
        <v>100.99190160037341</v>
      </c>
    </row>
    <row r="300" spans="1:17" s="85" customFormat="1" x14ac:dyDescent="0.2">
      <c r="A300" s="22">
        <v>41944</v>
      </c>
      <c r="B300" s="92">
        <f>VLOOKUP(A300,Database!$E:$AY,MATCH($B$1,Database!$E$1:$AY$1,0),FALSE)</f>
        <v>97.791849999999997</v>
      </c>
      <c r="C300" s="92">
        <f>VLOOKUP(A300,Database!$E:$AY,MATCH($C$1,Database!$E$1:$AY$1,0),FALSE)</f>
        <v>96.670810000000003</v>
      </c>
      <c r="D300" s="92">
        <f>VLOOKUP(A300,Database!$E:$AY,MATCH($D$1,Database!$E$1:$AY$1,0),FALSE)</f>
        <v>99.391720000000007</v>
      </c>
      <c r="E300" s="92">
        <f>VLOOKUP(A300,Database!$E:$AY,MATCH($E$1,Database!$E$1:$AY$1,0),FALSE)</f>
        <v>96.495080000000002</v>
      </c>
      <c r="F300" s="92">
        <f>VLOOKUP(A300,Database!$E:$AY,MATCH($F$1,Database!$E$1:$AY$1,0),FALSE)</f>
        <v>96.783869999999993</v>
      </c>
      <c r="G300" s="92">
        <f>VLOOKUP(A300,Database!$E:$AY,MATCH($G$1,Database!$E$1:$AY$1,0),FALSE)</f>
        <v>99.671229999999994</v>
      </c>
      <c r="H300" s="92">
        <f>(((Table134567891011121314151617343[[#This Row],[ITA]]-VLOOKUP($U$1,A:B,2,))/VLOOKUP($U$1,A:B,2,))*100)+100</f>
        <v>80.427609530067869</v>
      </c>
      <c r="I300" s="92">
        <f>(((Table134567891011121314151617343[[#This Row],[FRA]]-VLOOKUP($U$1,A:C,3,))/VLOOKUP($U$1,A:C,3,))*100)+100</f>
        <v>94.09184657716645</v>
      </c>
      <c r="J300" s="92">
        <f>(((Table134567891011121314151617343[[#This Row],[DEU]]-VLOOKUP($U$1,A:D,4,))/VLOOKUP($U$1,A:D,4,))*100)+100</f>
        <v>132.18086135639237</v>
      </c>
      <c r="K300" s="92">
        <f>(((Table134567891011121314151617343[[#This Row],[ESP]]-VLOOKUP($U$1,A:E,5,))/VLOOKUP($U$1,A:E,5,))*100)+100</f>
        <v>81.263052227436987</v>
      </c>
      <c r="L300" s="92">
        <f>(((Table134567891011121314151617343[[#This Row],[EA19]]-VLOOKUP($U$1,A:F,6,))/VLOOKUP($U$1,A:F,6,))*100)+100</f>
        <v>108.27740865088253</v>
      </c>
      <c r="M300" s="92">
        <f>(((Table134567891011121314151617343[[#This Row],[GBR]]-VLOOKUP($U$1,A:G,7,))/VLOOKUP($U$1,A:G,7,))*100)+100</f>
        <v>93.294460341217444</v>
      </c>
      <c r="N300" s="92">
        <f>VLOOKUP(A300,Database!$E:$AY,MATCH($N$1,Database!$E$1:$AY$1,0),FALSE)</f>
        <v>102.4512</v>
      </c>
      <c r="O300" s="92">
        <f>(((Table134567891011121314151617343[[#This Row],[USA]]-VLOOKUP($U$1,A:N,14,))/VLOOKUP($U$1,A:N,14,))*100)+100</f>
        <v>118.70031111977747</v>
      </c>
      <c r="P300" s="92">
        <f>VLOOKUP(A300,Database!$E:$AY,MATCH($P$1,Database!$E$1:$AY$1,0),FALSE)</f>
        <v>100.5916</v>
      </c>
      <c r="Q300" s="92">
        <f>(((Table134567891011121314151617343[[#This Row],[JPN]]-VLOOKUP($U$1,A:Q,16,))/VLOOKUP($U$1,A:Q,16,))*100)+100</f>
        <v>100.99190160037341</v>
      </c>
    </row>
    <row r="301" spans="1:17" s="85" customFormat="1" x14ac:dyDescent="0.2">
      <c r="A301" s="22">
        <v>41974</v>
      </c>
      <c r="B301" s="92">
        <f>VLOOKUP(A301,Database!$E:$AY,MATCH($B$1,Database!$E$1:$AY$1,0),FALSE)</f>
        <v>98.79177</v>
      </c>
      <c r="C301" s="92">
        <f>VLOOKUP(A301,Database!$E:$AY,MATCH($C$1,Database!$E$1:$AY$1,0),FALSE)</f>
        <v>99.350830000000002</v>
      </c>
      <c r="D301" s="92">
        <f>VLOOKUP(A301,Database!$E:$AY,MATCH($D$1,Database!$E$1:$AY$1,0),FALSE)</f>
        <v>101.0916</v>
      </c>
      <c r="E301" s="92">
        <f>VLOOKUP(A301,Database!$E:$AY,MATCH($E$1,Database!$E$1:$AY$1,0),FALSE)</f>
        <v>96.832080000000005</v>
      </c>
      <c r="F301" s="92">
        <f>VLOOKUP(A301,Database!$E:$AY,MATCH($F$1,Database!$E$1:$AY$1,0),FALSE)</f>
        <v>98.083659999999995</v>
      </c>
      <c r="G301" s="92">
        <f>VLOOKUP(A301,Database!$E:$AY,MATCH($G$1,Database!$E$1:$AY$1,0),FALSE)</f>
        <v>99.878870000000006</v>
      </c>
      <c r="H301" s="92">
        <f>(((Table134567891011121314151617343[[#This Row],[ITA]]-VLOOKUP($U$1,A:B,2,))/VLOOKUP($U$1,A:B,2,))*100)+100</f>
        <v>81.249980467127614</v>
      </c>
      <c r="I301" s="92">
        <f>(((Table134567891011121314151617343[[#This Row],[FRA]]-VLOOKUP($U$1,A:C,3,))/VLOOKUP($U$1,A:C,3,))*100)+100</f>
        <v>96.700369570443712</v>
      </c>
      <c r="J301" s="92">
        <f>(((Table134567891011121314151617343[[#This Row],[DEU]]-VLOOKUP($U$1,A:D,4,))/VLOOKUP($U$1,A:D,4,))*100)+100</f>
        <v>134.44152856893785</v>
      </c>
      <c r="K301" s="92">
        <f>(((Table134567891011121314151617343[[#This Row],[ESP]]-VLOOKUP($U$1,A:E,5,))/VLOOKUP($U$1,A:E,5,))*100)+100</f>
        <v>81.546855801677737</v>
      </c>
      <c r="L301" s="92">
        <f>(((Table134567891011121314151617343[[#This Row],[EA19]]-VLOOKUP($U$1,A:F,6,))/VLOOKUP($U$1,A:F,6,))*100)+100</f>
        <v>109.73155481170799</v>
      </c>
      <c r="M301" s="92">
        <f>(((Table134567891011121314151617343[[#This Row],[GBR]]-VLOOKUP($U$1,A:G,7,))/VLOOKUP($U$1,A:G,7,))*100)+100</f>
        <v>93.488815941577258</v>
      </c>
      <c r="N301" s="92">
        <f>VLOOKUP(A301,Database!$E:$AY,MATCH($N$1,Database!$E$1:$AY$1,0),FALSE)</f>
        <v>102.30240000000001</v>
      </c>
      <c r="O301" s="92">
        <f>(((Table134567891011121314151617343[[#This Row],[USA]]-VLOOKUP($U$1,A:N,14,))/VLOOKUP($U$1,A:N,14,))*100)+100</f>
        <v>118.52791093027629</v>
      </c>
      <c r="P301" s="92">
        <f>VLOOKUP(A301,Database!$E:$AY,MATCH($P$1,Database!$E$1:$AY$1,0),FALSE)</f>
        <v>100.1917</v>
      </c>
      <c r="Q301" s="92">
        <f>(((Table134567891011121314151617343[[#This Row],[JPN]]-VLOOKUP($U$1,A:Q,16,))/VLOOKUP($U$1,A:Q,16,))*100)+100</f>
        <v>100.5904102089452</v>
      </c>
    </row>
    <row r="302" spans="1:17" s="85" customFormat="1" x14ac:dyDescent="0.2">
      <c r="A302" s="22">
        <v>42005</v>
      </c>
      <c r="B302" s="92">
        <f>VLOOKUP(A302,Database!$E:$AY,MATCH($B$1,Database!$E$1:$AY$1,0),FALSE)</f>
        <v>98.291809999999998</v>
      </c>
      <c r="C302" s="92">
        <f>VLOOKUP(A302,Database!$E:$AY,MATCH($C$1,Database!$E$1:$AY$1,0),FALSE)</f>
        <v>99.510829999999999</v>
      </c>
      <c r="D302" s="92">
        <f>VLOOKUP(A302,Database!$E:$AY,MATCH($D$1,Database!$E$1:$AY$1,0),FALSE)</f>
        <v>98.891760000000005</v>
      </c>
      <c r="E302" s="92">
        <f>VLOOKUP(A302,Database!$E:$AY,MATCH($E$1,Database!$E$1:$AY$1,0),FALSE)</f>
        <v>96.851079999999996</v>
      </c>
      <c r="F302" s="92">
        <f>VLOOKUP(A302,Database!$E:$AY,MATCH($F$1,Database!$E$1:$AY$1,0),FALSE)</f>
        <v>97.783699999999996</v>
      </c>
      <c r="G302" s="92">
        <f>VLOOKUP(A302,Database!$E:$AY,MATCH($G$1,Database!$E$1:$AY$1,0),FALSE)</f>
        <v>99.359750000000005</v>
      </c>
      <c r="H302" s="92">
        <f>(((Table134567891011121314151617343[[#This Row],[ITA]]-VLOOKUP($U$1,A:B,2,))/VLOOKUP($U$1,A:B,2,))*100)+100</f>
        <v>80.838794998597749</v>
      </c>
      <c r="I302" s="92">
        <f>(((Table134567891011121314151617343[[#This Row],[FRA]]-VLOOKUP($U$1,A:C,3,))/VLOOKUP($U$1,A:C,3,))*100)+100</f>
        <v>96.856101124284493</v>
      </c>
      <c r="J302" s="92">
        <f>(((Table134567891011121314151617343[[#This Row],[DEU]]-VLOOKUP($U$1,A:D,4,))/VLOOKUP($U$1,A:D,4,))*100)+100</f>
        <v>131.51596549339951</v>
      </c>
      <c r="K302" s="92">
        <f>(((Table134567891011121314151617343[[#This Row],[ESP]]-VLOOKUP($U$1,A:E,5,))/VLOOKUP($U$1,A:E,5,))*100)+100</f>
        <v>81.562856596664588</v>
      </c>
      <c r="L302" s="92">
        <f>(((Table134567891011121314151617343[[#This Row],[EA19]]-VLOOKUP($U$1,A:F,6,))/VLOOKUP($U$1,A:F,6,))*100)+100</f>
        <v>109.39597315436242</v>
      </c>
      <c r="M302" s="92">
        <f>(((Table134567891011121314151617343[[#This Row],[GBR]]-VLOOKUP($U$1,A:G,7,))/VLOOKUP($U$1,A:G,7,))*100)+100</f>
        <v>93.002908220238481</v>
      </c>
      <c r="N302" s="92">
        <f>VLOOKUP(A302,Database!$E:$AY,MATCH($N$1,Database!$E$1:$AY$1,0),FALSE)</f>
        <v>101.7954</v>
      </c>
      <c r="O302" s="92">
        <f>(((Table134567891011121314151617343[[#This Row],[USA]]-VLOOKUP($U$1,A:N,14,))/VLOOKUP($U$1,A:N,14,))*100)+100</f>
        <v>117.94049899427429</v>
      </c>
      <c r="P302" s="92">
        <f>VLOOKUP(A302,Database!$E:$AY,MATCH($P$1,Database!$E$1:$AY$1,0),FALSE)</f>
        <v>102.6914</v>
      </c>
      <c r="Q302" s="92">
        <f>(((Table134567891011121314151617343[[#This Row],[JPN]]-VLOOKUP($U$1,A:Q,16,))/VLOOKUP($U$1,A:Q,16,))*100)+100</f>
        <v>103.10005769870034</v>
      </c>
    </row>
    <row r="303" spans="1:17" s="85" customFormat="1" x14ac:dyDescent="0.2">
      <c r="A303" s="22">
        <v>42036</v>
      </c>
      <c r="B303" s="92">
        <f>VLOOKUP(A303,Database!$E:$AY,MATCH($B$1,Database!$E$1:$AY$1,0),FALSE)</f>
        <v>99.191730000000007</v>
      </c>
      <c r="C303" s="92">
        <f>VLOOKUP(A303,Database!$E:$AY,MATCH($C$1,Database!$E$1:$AY$1,0),FALSE)</f>
        <v>100.07080000000001</v>
      </c>
      <c r="D303" s="92">
        <f>VLOOKUP(A303,Database!$E:$AY,MATCH($D$1,Database!$E$1:$AY$1,0),FALSE)</f>
        <v>99.391720000000007</v>
      </c>
      <c r="E303" s="92">
        <f>VLOOKUP(A303,Database!$E:$AY,MATCH($E$1,Database!$E$1:$AY$1,0),FALSE)</f>
        <v>98.272080000000003</v>
      </c>
      <c r="F303" s="92">
        <f>VLOOKUP(A303,Database!$E:$AY,MATCH($F$1,Database!$E$1:$AY$1,0),FALSE)</f>
        <v>100.1833</v>
      </c>
      <c r="G303" s="92">
        <f>VLOOKUP(A303,Database!$E:$AY,MATCH($G$1,Database!$E$1:$AY$1,0),FALSE)</f>
        <v>99.982699999999994</v>
      </c>
      <c r="H303" s="92">
        <f>(((Table134567891011121314151617343[[#This Row],[ITA]]-VLOOKUP($U$1,A:B,2,))/VLOOKUP($U$1,A:B,2,))*100)+100</f>
        <v>81.578922262457667</v>
      </c>
      <c r="I303" s="92">
        <f>(((Table134567891011121314151617343[[#This Row],[FRA]]-VLOOKUP($U$1,A:C,3,))/VLOOKUP($U$1,A:C,3,))*100)+100</f>
        <v>97.401132363060867</v>
      </c>
      <c r="J303" s="92">
        <f>(((Table134567891011121314151617343[[#This Row],[DEU]]-VLOOKUP($U$1,A:D,4,))/VLOOKUP($U$1,A:D,4,))*100)+100</f>
        <v>132.18086135639237</v>
      </c>
      <c r="K303" s="92">
        <f>(((Table134567891011121314151617343[[#This Row],[ESP]]-VLOOKUP($U$1,A:E,5,))/VLOOKUP($U$1,A:E,5,))*100)+100</f>
        <v>82.759547632261302</v>
      </c>
      <c r="L303" s="92">
        <f>(((Table134567891011121314151617343[[#This Row],[EA19]]-VLOOKUP($U$1,A:F,6,))/VLOOKUP($U$1,A:F,6,))*100)+100</f>
        <v>112.08053691275168</v>
      </c>
      <c r="M303" s="92">
        <f>(((Table134567891011121314151617343[[#This Row],[GBR]]-VLOOKUP($U$1,A:G,7,))/VLOOKUP($U$1,A:G,7,))*100)+100</f>
        <v>93.586003101976786</v>
      </c>
      <c r="N303" s="92">
        <f>VLOOKUP(A303,Database!$E:$AY,MATCH($N$1,Database!$E$1:$AY$1,0),FALSE)</f>
        <v>101.27849999999999</v>
      </c>
      <c r="O303" s="92">
        <f>(((Table134567891011121314151617343[[#This Row],[USA]]-VLOOKUP($U$1,A:N,14,))/VLOOKUP($U$1,A:N,14,))*100)+100</f>
        <v>117.34161688437403</v>
      </c>
      <c r="P303" s="92">
        <f>VLOOKUP(A303,Database!$E:$AY,MATCH($P$1,Database!$E$1:$AY$1,0),FALSE)</f>
        <v>99.791690000000003</v>
      </c>
      <c r="Q303" s="92">
        <f>(((Table134567891011121314151617343[[#This Row],[JPN]]-VLOOKUP($U$1,A:Q,16,))/VLOOKUP($U$1,A:Q,16,))*100)+100</f>
        <v>100.18880837977493</v>
      </c>
    </row>
    <row r="304" spans="1:17" s="85" customFormat="1" x14ac:dyDescent="0.2">
      <c r="A304" s="22">
        <v>42064</v>
      </c>
      <c r="B304" s="92">
        <f>VLOOKUP(A304,Database!$E:$AY,MATCH($B$1,Database!$E$1:$AY$1,0),FALSE)</f>
        <v>99.491709999999998</v>
      </c>
      <c r="C304" s="92">
        <f>VLOOKUP(A304,Database!$E:$AY,MATCH($C$1,Database!$E$1:$AY$1,0),FALSE)</f>
        <v>99.820830000000001</v>
      </c>
      <c r="D304" s="92">
        <f>VLOOKUP(A304,Database!$E:$AY,MATCH($D$1,Database!$E$1:$AY$1,0),FALSE)</f>
        <v>99.391720000000007</v>
      </c>
      <c r="E304" s="92">
        <f>VLOOKUP(A304,Database!$E:$AY,MATCH($E$1,Database!$E$1:$AY$1,0),FALSE)</f>
        <v>98.797079999999994</v>
      </c>
      <c r="F304" s="92">
        <f>VLOOKUP(A304,Database!$E:$AY,MATCH($F$1,Database!$E$1:$AY$1,0),FALSE)</f>
        <v>100.6832</v>
      </c>
      <c r="G304" s="92">
        <f>VLOOKUP(A304,Database!$E:$AY,MATCH($G$1,Database!$E$1:$AY$1,0),FALSE)</f>
        <v>100.5018</v>
      </c>
      <c r="H304" s="92">
        <f>(((Table134567891011121314151617343[[#This Row],[ITA]]-VLOOKUP($U$1,A:B,2,))/VLOOKUP($U$1,A:B,2,))*100)+100</f>
        <v>81.825636833322505</v>
      </c>
      <c r="I304" s="92">
        <f>(((Table134567891011121314151617343[[#This Row],[FRA]]-VLOOKUP($U$1,A:C,3,))/VLOOKUP($U$1,A:C,3,))*100)+100</f>
        <v>97.157831009850995</v>
      </c>
      <c r="J304" s="92">
        <f>(((Table134567891011121314151617343[[#This Row],[DEU]]-VLOOKUP($U$1,A:D,4,))/VLOOKUP($U$1,A:D,4,))*100)+100</f>
        <v>132.18086135639237</v>
      </c>
      <c r="K304" s="92">
        <f>(((Table134567891011121314151617343[[#This Row],[ESP]]-VLOOKUP($U$1,A:E,5,))/VLOOKUP($U$1,A:E,5,))*100)+100</f>
        <v>83.201674862161568</v>
      </c>
      <c r="L304" s="92">
        <f>(((Table134567891011121314151617343[[#This Row],[EA19]]-VLOOKUP($U$1,A:F,6,))/VLOOKUP($U$1,A:F,6,))*100)+100</f>
        <v>112.63980238317126</v>
      </c>
      <c r="M304" s="92">
        <f>(((Table134567891011121314151617343[[#This Row],[GBR]]-VLOOKUP($U$1,A:G,7,))/VLOOKUP($U$1,A:G,7,))*100)+100</f>
        <v>94.071892102876305</v>
      </c>
      <c r="N304" s="92">
        <f>VLOOKUP(A304,Database!$E:$AY,MATCH($N$1,Database!$E$1:$AY$1,0),FALSE)</f>
        <v>100.9941</v>
      </c>
      <c r="O304" s="92">
        <f>(((Table134567891011121314151617343[[#This Row],[USA]]-VLOOKUP($U$1,A:N,14,))/VLOOKUP($U$1,A:N,14,))*100)+100</f>
        <v>117.01211007056938</v>
      </c>
      <c r="P304" s="92">
        <f>VLOOKUP(A304,Database!$E:$AY,MATCH($P$1,Database!$E$1:$AY$1,0),FALSE)</f>
        <v>99.291730000000001</v>
      </c>
      <c r="Q304" s="92">
        <f>(((Table134567891011121314151617343[[#This Row],[JPN]]-VLOOKUP($U$1,A:Q,16,))/VLOOKUP($U$1,A:Q,16,))*100)+100</f>
        <v>99.686858802234426</v>
      </c>
    </row>
    <row r="305" spans="1:17" s="85" customFormat="1" x14ac:dyDescent="0.2">
      <c r="A305" s="22">
        <v>42095</v>
      </c>
      <c r="B305" s="92">
        <f>VLOOKUP(A305,Database!$E:$AY,MATCH($B$1,Database!$E$1:$AY$1,0),FALSE)</f>
        <v>99.691699999999997</v>
      </c>
      <c r="C305" s="92">
        <f>VLOOKUP(A305,Database!$E:$AY,MATCH($C$1,Database!$E$1:$AY$1,0),FALSE)</f>
        <v>99.360820000000004</v>
      </c>
      <c r="D305" s="92">
        <f>VLOOKUP(A305,Database!$E:$AY,MATCH($D$1,Database!$E$1:$AY$1,0),FALSE)</f>
        <v>99.991669999999999</v>
      </c>
      <c r="E305" s="92">
        <f>VLOOKUP(A305,Database!$E:$AY,MATCH($E$1,Database!$E$1:$AY$1,0),FALSE)</f>
        <v>99.716080000000005</v>
      </c>
      <c r="F305" s="92">
        <f>VLOOKUP(A305,Database!$E:$AY,MATCH($F$1,Database!$E$1:$AY$1,0),FALSE)</f>
        <v>99.783370000000005</v>
      </c>
      <c r="G305" s="92">
        <f>VLOOKUP(A305,Database!$E:$AY,MATCH($G$1,Database!$E$1:$AY$1,0),FALSE)</f>
        <v>100.70950000000001</v>
      </c>
      <c r="H305" s="92">
        <f>(((Table134567891011121314151617343[[#This Row],[ITA]]-VLOOKUP($U$1,A:B,2,))/VLOOKUP($U$1,A:B,2,))*100)+100</f>
        <v>81.990115955354838</v>
      </c>
      <c r="I305" s="92">
        <f>(((Table134567891011121314151617343[[#This Row],[FRA]]-VLOOKUP($U$1,A:C,3,))/VLOOKUP($U$1,A:C,3,))*100)+100</f>
        <v>96.710093059336643</v>
      </c>
      <c r="J305" s="92">
        <f>(((Table134567891011121314151617343[[#This Row],[DEU]]-VLOOKUP($U$1,A:D,4,))/VLOOKUP($U$1,A:D,4,))*100)+100</f>
        <v>132.97873373218749</v>
      </c>
      <c r="K305" s="92">
        <f>(((Table134567891011121314151617343[[#This Row],[ESP]]-VLOOKUP($U$1,A:E,5,))/VLOOKUP($U$1,A:E,5,))*100)+100</f>
        <v>83.97560805126318</v>
      </c>
      <c r="L305" s="92">
        <f>(((Table134567891011121314151617343[[#This Row],[EA19]]-VLOOKUP($U$1,A:F,6,))/VLOOKUP($U$1,A:F,6,))*100)+100</f>
        <v>111.63311334886912</v>
      </c>
      <c r="M305" s="92">
        <f>(((Table134567891011121314151617343[[#This Row],[GBR]]-VLOOKUP($U$1,A:G,7,))/VLOOKUP($U$1,A:G,7,))*100)+100</f>
        <v>94.26630386455389</v>
      </c>
      <c r="N305" s="92">
        <f>VLOOKUP(A305,Database!$E:$AY,MATCH($N$1,Database!$E$1:$AY$1,0),FALSE)</f>
        <v>100.3994</v>
      </c>
      <c r="O305" s="92">
        <f>(((Table134567891011121314151617343[[#This Row],[USA]]-VLOOKUP($U$1,A:N,14,))/VLOOKUP($U$1,A:N,14,))*100)+100</f>
        <v>116.3230886142767</v>
      </c>
      <c r="P305" s="92">
        <f>VLOOKUP(A305,Database!$E:$AY,MATCH($P$1,Database!$E$1:$AY$1,0),FALSE)</f>
        <v>99.691699999999997</v>
      </c>
      <c r="Q305" s="92">
        <f>(((Table134567891011121314151617343[[#This Row],[JPN]]-VLOOKUP($U$1,A:Q,16,))/VLOOKUP($U$1,A:Q,16,))*100)+100</f>
        <v>100.08842047222576</v>
      </c>
    </row>
    <row r="306" spans="1:17" s="85" customFormat="1" x14ac:dyDescent="0.2">
      <c r="A306" s="22">
        <v>42125</v>
      </c>
      <c r="B306" s="92">
        <f>VLOOKUP(A306,Database!$E:$AY,MATCH($B$1,Database!$E$1:$AY$1,0),FALSE)</f>
        <v>100.49160000000001</v>
      </c>
      <c r="C306" s="92">
        <f>VLOOKUP(A306,Database!$E:$AY,MATCH($C$1,Database!$E$1:$AY$1,0),FALSE)</f>
        <v>100.2808</v>
      </c>
      <c r="D306" s="92">
        <f>VLOOKUP(A306,Database!$E:$AY,MATCH($D$1,Database!$E$1:$AY$1,0),FALSE)</f>
        <v>100.0917</v>
      </c>
      <c r="E306" s="92">
        <f>VLOOKUP(A306,Database!$E:$AY,MATCH($E$1,Database!$E$1:$AY$1,0),FALSE)</f>
        <v>100.6871</v>
      </c>
      <c r="F306" s="92">
        <f>VLOOKUP(A306,Database!$E:$AY,MATCH($F$1,Database!$E$1:$AY$1,0),FALSE)</f>
        <v>99.983339999999998</v>
      </c>
      <c r="G306" s="92">
        <f>VLOOKUP(A306,Database!$E:$AY,MATCH($G$1,Database!$E$1:$AY$1,0),FALSE)</f>
        <v>100.6056</v>
      </c>
      <c r="H306" s="92">
        <f>(((Table134567891011121314151617343[[#This Row],[ITA]]-VLOOKUP($U$1,A:B,2,))/VLOOKUP($U$1,A:B,2,))*100)+100</f>
        <v>82.647983097280289</v>
      </c>
      <c r="I306" s="92">
        <f>(((Table134567891011121314151617343[[#This Row],[FRA]]-VLOOKUP($U$1,A:C,3,))/VLOOKUP($U$1,A:C,3,))*100)+100</f>
        <v>97.605530027476888</v>
      </c>
      <c r="J306" s="92">
        <f>(((Table134567891011121314151617343[[#This Row],[DEU]]-VLOOKUP($U$1,A:D,4,))/VLOOKUP($U$1,A:D,4,))*100)+100</f>
        <v>133.11176344091456</v>
      </c>
      <c r="K306" s="92">
        <f>(((Table134567891011121314151617343[[#This Row],[ESP]]-VLOOKUP($U$1,A:E,5,))/VLOOKUP($U$1,A:E,5,))*100)+100</f>
        <v>84.793349732744616</v>
      </c>
      <c r="L306" s="92">
        <f>(((Table134567891011121314151617343[[#This Row],[EA19]]-VLOOKUP($U$1,A:F,6,))/VLOOKUP($U$1,A:F,6,))*100)+100</f>
        <v>111.85683072458386</v>
      </c>
      <c r="M306" s="92">
        <f>(((Table134567891011121314151617343[[#This Row],[GBR]]-VLOOKUP($U$1,A:G,7,))/VLOOKUP($U$1,A:G,7,))*100)+100</f>
        <v>94.169051182616954</v>
      </c>
      <c r="N306" s="92">
        <f>VLOOKUP(A306,Database!$E:$AY,MATCH($N$1,Database!$E$1:$AY$1,0),FALSE)</f>
        <v>99.964259999999996</v>
      </c>
      <c r="O306" s="92">
        <f>(((Table134567891011121314151617343[[#This Row],[USA]]-VLOOKUP($U$1,A:N,14,))/VLOOKUP($U$1,A:N,14,))*100)+100</f>
        <v>115.81893392032816</v>
      </c>
      <c r="P306" s="92">
        <f>VLOOKUP(A306,Database!$E:$AY,MATCH($P$1,Database!$E$1:$AY$1,0),FALSE)</f>
        <v>99.691699999999997</v>
      </c>
      <c r="Q306" s="92">
        <f>(((Table134567891011121314151617343[[#This Row],[JPN]]-VLOOKUP($U$1,A:Q,16,))/VLOOKUP($U$1,A:Q,16,))*100)+100</f>
        <v>100.08842047222576</v>
      </c>
    </row>
    <row r="307" spans="1:17" s="85" customFormat="1" x14ac:dyDescent="0.2">
      <c r="A307" s="22">
        <v>42156</v>
      </c>
      <c r="B307" s="92">
        <f>VLOOKUP(A307,Database!$E:$AY,MATCH($B$1,Database!$E$1:$AY$1,0),FALSE)</f>
        <v>99.991669999999999</v>
      </c>
      <c r="C307" s="92">
        <f>VLOOKUP(A307,Database!$E:$AY,MATCH($C$1,Database!$E$1:$AY$1,0),FALSE)</f>
        <v>100.1508</v>
      </c>
      <c r="D307" s="92">
        <f>VLOOKUP(A307,Database!$E:$AY,MATCH($D$1,Database!$E$1:$AY$1,0),FALSE)</f>
        <v>99.991669999999999</v>
      </c>
      <c r="E307" s="92">
        <f>VLOOKUP(A307,Database!$E:$AY,MATCH($E$1,Database!$E$1:$AY$1,0),FALSE)</f>
        <v>101.1891</v>
      </c>
      <c r="F307" s="92">
        <f>VLOOKUP(A307,Database!$E:$AY,MATCH($F$1,Database!$E$1:$AY$1,0),FALSE)</f>
        <v>100.2833</v>
      </c>
      <c r="G307" s="92">
        <f>VLOOKUP(A307,Database!$E:$AY,MATCH($G$1,Database!$E$1:$AY$1,0),FALSE)</f>
        <v>100.70950000000001</v>
      </c>
      <c r="H307" s="92">
        <f>(((Table134567891011121314151617343[[#This Row],[ITA]]-VLOOKUP($U$1,A:B,2,))/VLOOKUP($U$1,A:B,2,))*100)+100</f>
        <v>82.236822301852371</v>
      </c>
      <c r="I307" s="92">
        <f>(((Table134567891011121314151617343[[#This Row],[FRA]]-VLOOKUP($U$1,A:C,3,))/VLOOKUP($U$1,A:C,3,))*100)+100</f>
        <v>97.478998139981258</v>
      </c>
      <c r="J307" s="92">
        <f>(((Table134567891011121314151617343[[#This Row],[DEU]]-VLOOKUP($U$1,A:D,4,))/VLOOKUP($U$1,A:D,4,))*100)+100</f>
        <v>132.97873373218749</v>
      </c>
      <c r="K307" s="92">
        <f>(((Table134567891011121314151617343[[#This Row],[ESP]]-VLOOKUP($U$1,A:E,5,))/VLOOKUP($U$1,A:E,5,))*100)+100</f>
        <v>85.216107579239718</v>
      </c>
      <c r="L307" s="92">
        <f>(((Table134567891011121314151617343[[#This Row],[EA19]]-VLOOKUP($U$1,A:F,6,))/VLOOKUP($U$1,A:F,6,))*100)+100</f>
        <v>112.19241238192943</v>
      </c>
      <c r="M307" s="92">
        <f>(((Table134567891011121314151617343[[#This Row],[GBR]]-VLOOKUP($U$1,A:G,7,))/VLOOKUP($U$1,A:G,7,))*100)+100</f>
        <v>94.26630386455389</v>
      </c>
      <c r="N307" s="92">
        <f>VLOOKUP(A307,Database!$E:$AY,MATCH($N$1,Database!$E$1:$AY$1,0),FALSE)</f>
        <v>99.621549999999999</v>
      </c>
      <c r="O307" s="92">
        <f>(((Table134567891011121314151617343[[#This Row],[USA]]-VLOOKUP($U$1,A:N,14,))/VLOOKUP($U$1,A:N,14,))*100)+100</f>
        <v>115.42186894086615</v>
      </c>
      <c r="P307" s="92">
        <f>VLOOKUP(A307,Database!$E:$AY,MATCH($P$1,Database!$E$1:$AY$1,0),FALSE)</f>
        <v>100.49160000000001</v>
      </c>
      <c r="Q307" s="92">
        <f>(((Table134567891011121314151617343[[#This Row],[JPN]]-VLOOKUP($U$1,A:Q,16,))/VLOOKUP($U$1,A:Q,16,))*100)+100</f>
        <v>100.89150365302952</v>
      </c>
    </row>
    <row r="308" spans="1:17" s="85" customFormat="1" x14ac:dyDescent="0.2">
      <c r="A308" s="22">
        <v>42186</v>
      </c>
      <c r="B308" s="92">
        <f>VLOOKUP(A308,Database!$E:$AY,MATCH($B$1,Database!$E$1:$AY$1,0),FALSE)</f>
        <v>100.99160000000001</v>
      </c>
      <c r="C308" s="92">
        <f>VLOOKUP(A308,Database!$E:$AY,MATCH($C$1,Database!$E$1:$AY$1,0),FALSE)</f>
        <v>99.140820000000005</v>
      </c>
      <c r="D308" s="92">
        <f>VLOOKUP(A308,Database!$E:$AY,MATCH($D$1,Database!$E$1:$AY$1,0),FALSE)</f>
        <v>101.39149999999999</v>
      </c>
      <c r="E308" s="92">
        <f>VLOOKUP(A308,Database!$E:$AY,MATCH($E$1,Database!$E$1:$AY$1,0),FALSE)</f>
        <v>102.3001</v>
      </c>
      <c r="F308" s="92">
        <f>VLOOKUP(A308,Database!$E:$AY,MATCH($F$1,Database!$E$1:$AY$1,0),FALSE)</f>
        <v>100.8832</v>
      </c>
      <c r="G308" s="92">
        <f>VLOOKUP(A308,Database!$E:$AY,MATCH($G$1,Database!$E$1:$AY$1,0),FALSE)</f>
        <v>99.567400000000006</v>
      </c>
      <c r="H308" s="92">
        <f>(((Table134567891011121314151617343[[#This Row],[ITA]]-VLOOKUP($U$1,A:B,2,))/VLOOKUP($U$1,A:B,2,))*100)+100</f>
        <v>83.059201463279436</v>
      </c>
      <c r="I308" s="92">
        <f>(((Table134567891011121314151617343[[#This Row],[FRA]]-VLOOKUP($U$1,A:C,3,))/VLOOKUP($U$1,A:C,3,))*100)+100</f>
        <v>96.495962172805577</v>
      </c>
      <c r="J308" s="92">
        <f>(((Table134567891011121314151617343[[#This Row],[DEU]]-VLOOKUP($U$1,A:D,4,))/VLOOKUP($U$1,A:D,4,))*100)+100</f>
        <v>134.84036501447659</v>
      </c>
      <c r="K308" s="92">
        <f>(((Table134567891011121314151617343[[#This Row],[ESP]]-VLOOKUP($U$1,A:E,5,))/VLOOKUP($U$1,A:E,5,))*100)+100</f>
        <v>86.151733012419143</v>
      </c>
      <c r="L308" s="92">
        <f>(((Table134567891011121314151617343[[#This Row],[EA19]]-VLOOKUP($U$1,A:F,6,))/VLOOKUP($U$1,A:F,6,))*100)+100</f>
        <v>112.86355332152675</v>
      </c>
      <c r="M308" s="92">
        <f>(((Table134567891011121314151617343[[#This Row],[GBR]]-VLOOKUP($U$1,A:G,7,))/VLOOKUP($U$1,A:G,7,))*100)+100</f>
        <v>93.197273180817916</v>
      </c>
      <c r="N308" s="92">
        <f>VLOOKUP(A308,Database!$E:$AY,MATCH($N$1,Database!$E$1:$AY$1,0),FALSE)</f>
        <v>100.2045</v>
      </c>
      <c r="O308" s="92">
        <f>(((Table134567891011121314151617343[[#This Row],[USA]]-VLOOKUP($U$1,A:N,14,))/VLOOKUP($U$1,A:N,14,))*100)+100</f>
        <v>116.09727680692603</v>
      </c>
      <c r="P308" s="92">
        <f>VLOOKUP(A308,Database!$E:$AY,MATCH($P$1,Database!$E$1:$AY$1,0),FALSE)</f>
        <v>100.3916</v>
      </c>
      <c r="Q308" s="92">
        <f>(((Table134567891011121314151617343[[#This Row],[JPN]]-VLOOKUP($U$1,A:Q,16,))/VLOOKUP($U$1,A:Q,16,))*100)+100</f>
        <v>100.79110570568562</v>
      </c>
    </row>
    <row r="309" spans="1:17" s="85" customFormat="1" x14ac:dyDescent="0.2">
      <c r="A309" s="22">
        <v>42217</v>
      </c>
      <c r="B309" s="92">
        <f>VLOOKUP(A309,Database!$E:$AY,MATCH($B$1,Database!$E$1:$AY$1,0),FALSE)</f>
        <v>98.891760000000005</v>
      </c>
      <c r="C309" s="92">
        <f>VLOOKUP(A309,Database!$E:$AY,MATCH($C$1,Database!$E$1:$AY$1,0),FALSE)</f>
        <v>99.960830000000001</v>
      </c>
      <c r="D309" s="92">
        <f>VLOOKUP(A309,Database!$E:$AY,MATCH($D$1,Database!$E$1:$AY$1,0),FALSE)</f>
        <v>98.691770000000005</v>
      </c>
      <c r="E309" s="92">
        <f>VLOOKUP(A309,Database!$E:$AY,MATCH($E$1,Database!$E$1:$AY$1,0),FALSE)</f>
        <v>99.452079999999995</v>
      </c>
      <c r="F309" s="92">
        <f>VLOOKUP(A309,Database!$E:$AY,MATCH($F$1,Database!$E$1:$AY$1,0),FALSE)</f>
        <v>99.883349999999993</v>
      </c>
      <c r="G309" s="92">
        <f>VLOOKUP(A309,Database!$E:$AY,MATCH($G$1,Database!$E$1:$AY$1,0),FALSE)</f>
        <v>99.878870000000006</v>
      </c>
      <c r="H309" s="92">
        <f>(((Table134567891011121314151617343[[#This Row],[ITA]]-VLOOKUP($U$1,A:B,2,))/VLOOKUP($U$1,A:B,2,))*100)+100</f>
        <v>81.332215915960134</v>
      </c>
      <c r="I309" s="92">
        <f>(((Table134567891011121314151617343[[#This Row],[FRA]]-VLOOKUP($U$1,A:C,3,))/VLOOKUP($U$1,A:C,3,))*100)+100</f>
        <v>97.294096119461685</v>
      </c>
      <c r="J309" s="92">
        <f>(((Table134567891011121314151617343[[#This Row],[DEU]]-VLOOKUP($U$1,A:D,4,))/VLOOKUP($U$1,A:D,4,))*100)+100</f>
        <v>131.24999916881367</v>
      </c>
      <c r="K309" s="92">
        <f>(((Table134567891011121314151617343[[#This Row],[ESP]]-VLOOKUP($U$1,A:E,5,))/VLOOKUP($U$1,A:E,5,))*100)+100</f>
        <v>83.753281215656187</v>
      </c>
      <c r="L309" s="92">
        <f>(((Table134567891011121314151617343[[#This Row],[EA19]]-VLOOKUP($U$1,A:F,6,))/VLOOKUP($U$1,A:F,6,))*100)+100</f>
        <v>111.74496644295301</v>
      </c>
      <c r="M309" s="92">
        <f>(((Table134567891011121314151617343[[#This Row],[GBR]]-VLOOKUP($U$1,A:G,7,))/VLOOKUP($U$1,A:G,7,))*100)+100</f>
        <v>93.488815941577258</v>
      </c>
      <c r="N309" s="92">
        <f>VLOOKUP(A309,Database!$E:$AY,MATCH($N$1,Database!$E$1:$AY$1,0),FALSE)</f>
        <v>100.0487</v>
      </c>
      <c r="O309" s="92">
        <f>(((Table134567891011121314151617343[[#This Row],[USA]]-VLOOKUP($U$1,A:N,14,))/VLOOKUP($U$1,A:N,14,))*100)+100</f>
        <v>115.91676639345638</v>
      </c>
      <c r="P309" s="92">
        <f>VLOOKUP(A309,Database!$E:$AY,MATCH($P$1,Database!$E$1:$AY$1,0),FALSE)</f>
        <v>98.79177</v>
      </c>
      <c r="Q309" s="92">
        <f>(((Table134567891011121314151617343[[#This Row],[JPN]]-VLOOKUP($U$1,A:Q,16,))/VLOOKUP($U$1,A:Q,16,))*100)+100</f>
        <v>99.184909224693925</v>
      </c>
    </row>
    <row r="310" spans="1:17" s="85" customFormat="1" x14ac:dyDescent="0.2">
      <c r="A310" s="22">
        <v>42248</v>
      </c>
      <c r="B310" s="92">
        <f>VLOOKUP(A310,Database!$E:$AY,MATCH($B$1,Database!$E$1:$AY$1,0),FALSE)</f>
        <v>99.891679999999994</v>
      </c>
      <c r="C310" s="92">
        <f>VLOOKUP(A310,Database!$E:$AY,MATCH($C$1,Database!$E$1:$AY$1,0),FALSE)</f>
        <v>101.1508</v>
      </c>
      <c r="D310" s="92">
        <f>VLOOKUP(A310,Database!$E:$AY,MATCH($D$1,Database!$E$1:$AY$1,0),FALSE)</f>
        <v>99.291730000000001</v>
      </c>
      <c r="E310" s="92">
        <f>VLOOKUP(A310,Database!$E:$AY,MATCH($E$1,Database!$E$1:$AY$1,0),FALSE)</f>
        <v>101.2561</v>
      </c>
      <c r="F310" s="92">
        <f>VLOOKUP(A310,Database!$E:$AY,MATCH($F$1,Database!$E$1:$AY$1,0),FALSE)</f>
        <v>100.1833</v>
      </c>
      <c r="G310" s="92">
        <f>VLOOKUP(A310,Database!$E:$AY,MATCH($G$1,Database!$E$1:$AY$1,0),FALSE)</f>
        <v>100.5018</v>
      </c>
      <c r="H310" s="92">
        <f>(((Table134567891011121314151617343[[#This Row],[ITA]]-VLOOKUP($U$1,A:B,2,))/VLOOKUP($U$1,A:B,2,))*100)+100</f>
        <v>82.15458685301985</v>
      </c>
      <c r="I310" s="92">
        <f>(((Table134567891011121314151617343[[#This Row],[FRA]]-VLOOKUP($U$1,A:C,3,))/VLOOKUP($U$1,A:C,3,))*100)+100</f>
        <v>98.452320351486122</v>
      </c>
      <c r="J310" s="92">
        <f>(((Table134567891011121314151617343[[#This Row],[DEU]]-VLOOKUP($U$1,A:D,4,))/VLOOKUP($U$1,A:D,4,))*100)+100</f>
        <v>132.04788484359</v>
      </c>
      <c r="K310" s="92">
        <f>(((Table134567891011121314151617343[[#This Row],[ESP]]-VLOOKUP($U$1,A:E,5,))/VLOOKUP($U$1,A:E,5,))*100)+100</f>
        <v>85.272531435246052</v>
      </c>
      <c r="L310" s="92">
        <f>(((Table134567891011121314151617343[[#This Row],[EA19]]-VLOOKUP($U$1,A:F,6,))/VLOOKUP($U$1,A:F,6,))*100)+100</f>
        <v>112.08053691275168</v>
      </c>
      <c r="M310" s="92">
        <f>(((Table134567891011121314151617343[[#This Row],[GBR]]-VLOOKUP($U$1,A:G,7,))/VLOOKUP($U$1,A:G,7,))*100)+100</f>
        <v>94.071892102876305</v>
      </c>
      <c r="N310" s="92">
        <f>VLOOKUP(A310,Database!$E:$AY,MATCH($N$1,Database!$E$1:$AY$1,0),FALSE)</f>
        <v>99.678600000000003</v>
      </c>
      <c r="O310" s="92">
        <f>(((Table134567891011121314151617343[[#This Row],[USA]]-VLOOKUP($U$1,A:N,14,))/VLOOKUP($U$1,A:N,14,))*100)+100</f>
        <v>115.48796726620918</v>
      </c>
      <c r="P310" s="92">
        <f>VLOOKUP(A310,Database!$E:$AY,MATCH($P$1,Database!$E$1:$AY$1,0),FALSE)</f>
        <v>100.49160000000001</v>
      </c>
      <c r="Q310" s="92">
        <f>(((Table134567891011121314151617343[[#This Row],[JPN]]-VLOOKUP($U$1,A:Q,16,))/VLOOKUP($U$1,A:Q,16,))*100)+100</f>
        <v>100.89150365302952</v>
      </c>
    </row>
    <row r="311" spans="1:17" s="85" customFormat="1" x14ac:dyDescent="0.2">
      <c r="A311" s="22">
        <v>42278</v>
      </c>
      <c r="B311" s="92">
        <f>VLOOKUP(A311,Database!$E:$AY,MATCH($B$1,Database!$E$1:$AY$1,0),FALSE)</f>
        <v>99.991669999999999</v>
      </c>
      <c r="C311" s="92">
        <f>VLOOKUP(A311,Database!$E:$AY,MATCH($C$1,Database!$E$1:$AY$1,0),FALSE)</f>
        <v>101.5608</v>
      </c>
      <c r="D311" s="92">
        <f>VLOOKUP(A311,Database!$E:$AY,MATCH($D$1,Database!$E$1:$AY$1,0),FALSE)</f>
        <v>100.1917</v>
      </c>
      <c r="E311" s="92">
        <f>VLOOKUP(A311,Database!$E:$AY,MATCH($E$1,Database!$E$1:$AY$1,0),FALSE)</f>
        <v>100.87909999999999</v>
      </c>
      <c r="F311" s="92">
        <f>VLOOKUP(A311,Database!$E:$AY,MATCH($F$1,Database!$E$1:$AY$1,0),FALSE)</f>
        <v>100.2833</v>
      </c>
      <c r="G311" s="92">
        <f>VLOOKUP(A311,Database!$E:$AY,MATCH($G$1,Database!$E$1:$AY$1,0),FALSE)</f>
        <v>100.19029999999999</v>
      </c>
      <c r="H311" s="92">
        <f>(((Table134567891011121314151617343[[#This Row],[ITA]]-VLOOKUP($U$1,A:B,2,))/VLOOKUP($U$1,A:B,2,))*100)+100</f>
        <v>82.236822301852371</v>
      </c>
      <c r="I311" s="92">
        <f>(((Table134567891011121314151617343[[#This Row],[FRA]]-VLOOKUP($U$1,A:C,3,))/VLOOKUP($U$1,A:C,3,))*100)+100</f>
        <v>98.851382458203119</v>
      </c>
      <c r="J311" s="92">
        <f>(((Table134567891011121314151617343[[#This Row],[DEU]]-VLOOKUP($U$1,A:D,4,))/VLOOKUP($U$1,A:D,4,))*100)+100</f>
        <v>133.24475325269805</v>
      </c>
      <c r="K311" s="92">
        <f>(((Table134567891011121314151617343[[#This Row],[ESP]]-VLOOKUP($U$1,A:E,5,))/VLOOKUP($U$1,A:E,5,))*100)+100</f>
        <v>84.955041976822429</v>
      </c>
      <c r="L311" s="92">
        <f>(((Table134567891011121314151617343[[#This Row],[EA19]]-VLOOKUP($U$1,A:F,6,))/VLOOKUP($U$1,A:F,6,))*100)+100</f>
        <v>112.19241238192943</v>
      </c>
      <c r="M311" s="92">
        <f>(((Table134567891011121314151617343[[#This Row],[GBR]]-VLOOKUP($U$1,A:G,7,))/VLOOKUP($U$1,A:G,7,))*100)+100</f>
        <v>93.78032126145807</v>
      </c>
      <c r="N311" s="92">
        <f>VLOOKUP(A311,Database!$E:$AY,MATCH($N$1,Database!$E$1:$AY$1,0),FALSE)</f>
        <v>99.31438</v>
      </c>
      <c r="O311" s="92">
        <f>(((Table134567891011121314151617343[[#This Row],[USA]]-VLOOKUP($U$1,A:N,14,))/VLOOKUP($U$1,A:N,14,))*100)+100</f>
        <v>115.06598072709548</v>
      </c>
      <c r="P311" s="92">
        <f>VLOOKUP(A311,Database!$E:$AY,MATCH($P$1,Database!$E$1:$AY$1,0),FALSE)</f>
        <v>100.5916</v>
      </c>
      <c r="Q311" s="92">
        <f>(((Table134567891011121314151617343[[#This Row],[JPN]]-VLOOKUP($U$1,A:Q,16,))/VLOOKUP($U$1,A:Q,16,))*100)+100</f>
        <v>100.99190160037341</v>
      </c>
    </row>
    <row r="312" spans="1:17" s="85" customFormat="1" x14ac:dyDescent="0.2">
      <c r="A312" s="22">
        <v>42309</v>
      </c>
      <c r="B312" s="92">
        <f>VLOOKUP(A312,Database!$E:$AY,MATCH($B$1,Database!$E$1:$AY$1,0),FALSE)</f>
        <v>100.5916</v>
      </c>
      <c r="C312" s="92">
        <f>VLOOKUP(A312,Database!$E:$AY,MATCH($C$1,Database!$E$1:$AY$1,0),FALSE)</f>
        <v>99.360820000000004</v>
      </c>
      <c r="D312" s="92">
        <f>VLOOKUP(A312,Database!$E:$AY,MATCH($D$1,Database!$E$1:$AY$1,0),FALSE)</f>
        <v>99.291730000000001</v>
      </c>
      <c r="E312" s="92">
        <f>VLOOKUP(A312,Database!$E:$AY,MATCH($E$1,Database!$E$1:$AY$1,0),FALSE)</f>
        <v>100.2771</v>
      </c>
      <c r="F312" s="92">
        <f>VLOOKUP(A312,Database!$E:$AY,MATCH($F$1,Database!$E$1:$AY$1,0),FALSE)</f>
        <v>99.783370000000005</v>
      </c>
      <c r="G312" s="92">
        <f>VLOOKUP(A312,Database!$E:$AY,MATCH($G$1,Database!$E$1:$AY$1,0),FALSE)</f>
        <v>99.255930000000006</v>
      </c>
      <c r="H312" s="92">
        <f>(((Table134567891011121314151617343[[#This Row],[ITA]]-VLOOKUP($U$1,A:B,2,))/VLOOKUP($U$1,A:B,2,))*100)+100</f>
        <v>82.730226770480115</v>
      </c>
      <c r="I312" s="92">
        <f>(((Table134567891011121314151617343[[#This Row],[FRA]]-VLOOKUP($U$1,A:C,3,))/VLOOKUP($U$1,A:C,3,))*100)+100</f>
        <v>96.710093059336643</v>
      </c>
      <c r="J312" s="92">
        <f>(((Table134567891011121314151617343[[#This Row],[DEU]]-VLOOKUP($U$1,A:D,4,))/VLOOKUP($U$1,A:D,4,))*100)+100</f>
        <v>132.04788484359</v>
      </c>
      <c r="K312" s="92">
        <f>(((Table134567891011121314151617343[[#This Row],[ESP]]-VLOOKUP($U$1,A:E,5,))/VLOOKUP($U$1,A:E,5,))*100)+100</f>
        <v>84.448069419870123</v>
      </c>
      <c r="L312" s="92">
        <f>(((Table134567891011121314151617343[[#This Row],[EA19]]-VLOOKUP($U$1,A:F,6,))/VLOOKUP($U$1,A:F,6,))*100)+100</f>
        <v>111.63311334886912</v>
      </c>
      <c r="M312" s="92">
        <f>(((Table134567891011121314151617343[[#This Row],[GBR]]-VLOOKUP($U$1,A:G,7,))/VLOOKUP($U$1,A:G,7,))*100)+100</f>
        <v>92.905730420058589</v>
      </c>
      <c r="N312" s="92">
        <f>VLOOKUP(A312,Database!$E:$AY,MATCH($N$1,Database!$E$1:$AY$1,0),FALSE)</f>
        <v>98.631450000000001</v>
      </c>
      <c r="O312" s="92">
        <f>(((Table134567891011121314151617343[[#This Row],[USA]]-VLOOKUP($U$1,A:N,14,))/VLOOKUP($U$1,A:N,14,))*100)+100</f>
        <v>114.27473569069737</v>
      </c>
      <c r="P312" s="92">
        <f>VLOOKUP(A312,Database!$E:$AY,MATCH($P$1,Database!$E$1:$AY$1,0),FALSE)</f>
        <v>99.991669999999999</v>
      </c>
      <c r="Q312" s="92">
        <f>(((Table134567891011121314151617343[[#This Row],[JPN]]-VLOOKUP($U$1,A:Q,16,))/VLOOKUP($U$1,A:Q,16,))*100)+100</f>
        <v>100.38958419487322</v>
      </c>
    </row>
    <row r="313" spans="1:17" s="85" customFormat="1" x14ac:dyDescent="0.2">
      <c r="A313" s="22">
        <v>42339</v>
      </c>
      <c r="B313" s="92">
        <f>VLOOKUP(A313,Database!$E:$AY,MATCH($B$1,Database!$E$1:$AY$1,0),FALSE)</f>
        <v>98.691770000000005</v>
      </c>
      <c r="C313" s="92">
        <f>VLOOKUP(A313,Database!$E:$AY,MATCH($C$1,Database!$E$1:$AY$1,0),FALSE)</f>
        <v>99.650829999999999</v>
      </c>
      <c r="D313" s="92">
        <f>VLOOKUP(A313,Database!$E:$AY,MATCH($D$1,Database!$E$1:$AY$1,0),FALSE)</f>
        <v>100.0917</v>
      </c>
      <c r="E313" s="92">
        <f>VLOOKUP(A313,Database!$E:$AY,MATCH($E$1,Database!$E$1:$AY$1,0),FALSE)</f>
        <v>100.32510000000001</v>
      </c>
      <c r="F313" s="92">
        <f>VLOOKUP(A313,Database!$E:$AY,MATCH($F$1,Database!$E$1:$AY$1,0),FALSE)</f>
        <v>99.883349999999993</v>
      </c>
      <c r="G313" s="92">
        <f>VLOOKUP(A313,Database!$E:$AY,MATCH($G$1,Database!$E$1:$AY$1,0),FALSE)</f>
        <v>98.632980000000003</v>
      </c>
      <c r="H313" s="92">
        <f>(((Table134567891011121314151617343[[#This Row],[ITA]]-VLOOKUP($U$1,A:B,2,))/VLOOKUP($U$1,A:B,2,))*100)+100</f>
        <v>81.167736793927787</v>
      </c>
      <c r="I313" s="92">
        <f>(((Table134567891011121314151617343[[#This Row],[FRA]]-VLOOKUP($U$1,A:C,3,))/VLOOKUP($U$1,A:C,3,))*100)+100</f>
        <v>96.992366233895169</v>
      </c>
      <c r="J313" s="92">
        <f>(((Table134567891011121314151617343[[#This Row],[DEU]]-VLOOKUP($U$1,A:D,4,))/VLOOKUP($U$1,A:D,4,))*100)+100</f>
        <v>133.11176344091456</v>
      </c>
      <c r="K313" s="92">
        <f>(((Table134567891011121314151617343[[#This Row],[ESP]]-VLOOKUP($U$1,A:E,5,))/VLOOKUP($U$1,A:E,5,))*100)+100</f>
        <v>84.488492480889576</v>
      </c>
      <c r="L313" s="92">
        <f>(((Table134567891011121314151617343[[#This Row],[EA19]]-VLOOKUP($U$1,A:F,6,))/VLOOKUP($U$1,A:F,6,))*100)+100</f>
        <v>111.74496644295301</v>
      </c>
      <c r="M313" s="92">
        <f>(((Table134567891011121314151617343[[#This Row],[GBR]]-VLOOKUP($U$1,A:G,7,))/VLOOKUP($U$1,A:G,7,))*100)+100</f>
        <v>92.32263553832027</v>
      </c>
      <c r="N313" s="92">
        <f>VLOOKUP(A313,Database!$E:$AY,MATCH($N$1,Database!$E$1:$AY$1,0),FALSE)</f>
        <v>98.069370000000006</v>
      </c>
      <c r="O313" s="92">
        <f>(((Table134567891011121314151617343[[#This Row],[USA]]-VLOOKUP($U$1,A:N,14,))/VLOOKUP($U$1,A:N,14,))*100)+100</f>
        <v>113.62350787809777</v>
      </c>
      <c r="P313" s="92">
        <f>VLOOKUP(A313,Database!$E:$AY,MATCH($P$1,Database!$E$1:$AY$1,0),FALSE)</f>
        <v>98.091830000000002</v>
      </c>
      <c r="Q313" s="92">
        <f>(((Table134567891011121314151617343[[#This Row],[JPN]]-VLOOKUP($U$1,A:Q,16,))/VLOOKUP($U$1,A:Q,16,))*100)+100</f>
        <v>98.482183832055128</v>
      </c>
    </row>
    <row r="314" spans="1:17" s="85" customFormat="1" x14ac:dyDescent="0.2">
      <c r="A314" s="22">
        <v>42370</v>
      </c>
      <c r="B314" s="92">
        <f>VLOOKUP(A314,Database!$E:$AY,MATCH($B$1,Database!$E$1:$AY$1,0),FALSE)</f>
        <v>101.6915</v>
      </c>
      <c r="C314" s="92">
        <f>VLOOKUP(A314,Database!$E:$AY,MATCH($C$1,Database!$E$1:$AY$1,0),FALSE)</f>
        <v>101.71080000000001</v>
      </c>
      <c r="D314" s="92">
        <f>VLOOKUP(A314,Database!$E:$AY,MATCH($D$1,Database!$E$1:$AY$1,0),FALSE)</f>
        <v>101.9915</v>
      </c>
      <c r="E314" s="92">
        <f>VLOOKUP(A314,Database!$E:$AY,MATCH($E$1,Database!$E$1:$AY$1,0),FALSE)</f>
        <v>101.9911</v>
      </c>
      <c r="F314" s="92">
        <f>VLOOKUP(A314,Database!$E:$AY,MATCH($F$1,Database!$E$1:$AY$1,0),FALSE)</f>
        <v>102.88290000000001</v>
      </c>
      <c r="G314" s="92">
        <f>VLOOKUP(A314,Database!$E:$AY,MATCH($G$1,Database!$E$1:$AY$1,0),FALSE)</f>
        <v>99.463579999999993</v>
      </c>
      <c r="H314" s="92">
        <f>(((Table134567891011121314151617343[[#This Row],[ITA]]-VLOOKUP($U$1,A:B,2,))/VLOOKUP($U$1,A:B,2,))*100)+100</f>
        <v>83.634824932005046</v>
      </c>
      <c r="I314" s="92">
        <f>(((Table134567891011121314151617343[[#This Row],[FRA]]-VLOOKUP($U$1,A:C,3,))/VLOOKUP($U$1,A:C,3,))*100)+100</f>
        <v>98.997380789928854</v>
      </c>
      <c r="J314" s="92">
        <f>(((Table134567891011121314151617343[[#This Row],[DEU]]-VLOOKUP($U$1,A:D,4,))/VLOOKUP($U$1,A:D,4,))*100)+100</f>
        <v>135.63830388517766</v>
      </c>
      <c r="K314" s="92">
        <f>(((Table134567891011121314151617343[[#This Row],[ESP]]-VLOOKUP($U$1,A:E,5,))/VLOOKUP($U$1,A:E,5,))*100)+100</f>
        <v>85.891509557106417</v>
      </c>
      <c r="L314" s="92">
        <f>(((Table134567891011121314151617343[[#This Row],[EA19]]-VLOOKUP($U$1,A:F,6,))/VLOOKUP($U$1,A:F,6,))*100)+100</f>
        <v>115.1007270786742</v>
      </c>
      <c r="M314" s="92">
        <f>(((Table134567891011121314151617343[[#This Row],[GBR]]-VLOOKUP($U$1,A:G,7,))/VLOOKUP($U$1,A:G,7,))*100)+100</f>
        <v>93.10009538063801</v>
      </c>
      <c r="N314" s="92">
        <f>VLOOKUP(A314,Database!$E:$AY,MATCH($N$1,Database!$E$1:$AY$1,0),FALSE)</f>
        <v>98.886859999999999</v>
      </c>
      <c r="O314" s="92">
        <f>(((Table134567891011121314151617343[[#This Row],[USA]]-VLOOKUP($U$1,A:N,14,))/VLOOKUP($U$1,A:N,14,))*100)+100</f>
        <v>114.57065459123834</v>
      </c>
      <c r="P314" s="92">
        <f>VLOOKUP(A314,Database!$E:$AY,MATCH($P$1,Database!$E$1:$AY$1,0),FALSE)</f>
        <v>100.2916</v>
      </c>
      <c r="Q314" s="92">
        <f>(((Table134567891011121314151617343[[#This Row],[JPN]]-VLOOKUP($U$1,A:Q,16,))/VLOOKUP($U$1,A:Q,16,))*100)+100</f>
        <v>100.69070775834174</v>
      </c>
    </row>
    <row r="315" spans="1:17" s="85" customFormat="1" x14ac:dyDescent="0.2">
      <c r="A315" s="22">
        <v>42401</v>
      </c>
      <c r="B315" s="92">
        <f>VLOOKUP(A315,Database!$E:$AY,MATCH($B$1,Database!$E$1:$AY$1,0),FALSE)</f>
        <v>100.49160000000001</v>
      </c>
      <c r="C315" s="92">
        <f>VLOOKUP(A315,Database!$E:$AY,MATCH($C$1,Database!$E$1:$AY$1,0),FALSE)</f>
        <v>100.60080000000001</v>
      </c>
      <c r="D315" s="92">
        <f>VLOOKUP(A315,Database!$E:$AY,MATCH($D$1,Database!$E$1:$AY$1,0),FALSE)</f>
        <v>101.6915</v>
      </c>
      <c r="E315" s="92">
        <f>VLOOKUP(A315,Database!$E:$AY,MATCH($E$1,Database!$E$1:$AY$1,0),FALSE)</f>
        <v>100.8991</v>
      </c>
      <c r="F315" s="92">
        <f>VLOOKUP(A315,Database!$E:$AY,MATCH($F$1,Database!$E$1:$AY$1,0),FALSE)</f>
        <v>100.8832</v>
      </c>
      <c r="G315" s="92">
        <f>VLOOKUP(A315,Database!$E:$AY,MATCH($G$1,Database!$E$1:$AY$1,0),FALSE)</f>
        <v>98.944450000000003</v>
      </c>
      <c r="H315" s="92">
        <f>(((Table134567891011121314151617343[[#This Row],[ITA]]-VLOOKUP($U$1,A:B,2,))/VLOOKUP($U$1,A:B,2,))*100)+100</f>
        <v>82.647983097280289</v>
      </c>
      <c r="I315" s="92">
        <f>(((Table134567891011121314151617343[[#This Row],[FRA]]-VLOOKUP($U$1,A:C,3,))/VLOOKUP($U$1,A:C,3,))*100)+100</f>
        <v>97.916993135158449</v>
      </c>
      <c r="J315" s="92">
        <f>(((Table134567891011121314151617343[[#This Row],[DEU]]-VLOOKUP($U$1,A:D,4,))/VLOOKUP($U$1,A:D,4,))*100)+100</f>
        <v>135.23933444982714</v>
      </c>
      <c r="K315" s="92">
        <f>(((Table134567891011121314151617343[[#This Row],[ESP]]-VLOOKUP($U$1,A:E,5,))/VLOOKUP($U$1,A:E,5,))*100)+100</f>
        <v>84.971884918913872</v>
      </c>
      <c r="L315" s="92">
        <f>(((Table134567891011121314151617343[[#This Row],[EA19]]-VLOOKUP($U$1,A:F,6,))/VLOOKUP($U$1,A:F,6,))*100)+100</f>
        <v>112.86355332152675</v>
      </c>
      <c r="M315" s="92">
        <f>(((Table134567891011121314151617343[[#This Row],[GBR]]-VLOOKUP($U$1,A:G,7,))/VLOOKUP($U$1,A:G,7,))*100)+100</f>
        <v>92.614178299079612</v>
      </c>
      <c r="N315" s="92">
        <f>VLOOKUP(A315,Database!$E:$AY,MATCH($N$1,Database!$E$1:$AY$1,0),FALSE)</f>
        <v>98.185680000000005</v>
      </c>
      <c r="O315" s="92">
        <f>(((Table134567891011121314151617343[[#This Row],[USA]]-VLOOKUP($U$1,A:N,14,))/VLOOKUP($U$1,A:N,14,))*100)+100</f>
        <v>113.75826504235101</v>
      </c>
      <c r="P315" s="92">
        <f>VLOOKUP(A315,Database!$E:$AY,MATCH($P$1,Database!$E$1:$AY$1,0),FALSE)</f>
        <v>99.491709999999998</v>
      </c>
      <c r="Q315" s="92">
        <f>(((Table134567891011121314151617343[[#This Row],[JPN]]-VLOOKUP($U$1,A:Q,16,))/VLOOKUP($U$1,A:Q,16,))*100)+100</f>
        <v>99.887634617332722</v>
      </c>
    </row>
    <row r="316" spans="1:17" s="85" customFormat="1" x14ac:dyDescent="0.2">
      <c r="A316" s="22">
        <v>42430</v>
      </c>
      <c r="B316" s="92">
        <f>VLOOKUP(A316,Database!$E:$AY,MATCH($B$1,Database!$E$1:$AY$1,0),FALSE)</f>
        <v>100.5916</v>
      </c>
      <c r="C316" s="92">
        <f>VLOOKUP(A316,Database!$E:$AY,MATCH($C$1,Database!$E$1:$AY$1,0),FALSE)</f>
        <v>100.1208</v>
      </c>
      <c r="D316" s="92">
        <f>VLOOKUP(A316,Database!$E:$AY,MATCH($D$1,Database!$E$1:$AY$1,0),FALSE)</f>
        <v>100.49160000000001</v>
      </c>
      <c r="E316" s="92">
        <f>VLOOKUP(A316,Database!$E:$AY,MATCH($E$1,Database!$E$1:$AY$1,0),FALSE)</f>
        <v>102.2761</v>
      </c>
      <c r="F316" s="92">
        <f>VLOOKUP(A316,Database!$E:$AY,MATCH($F$1,Database!$E$1:$AY$1,0),FALSE)</f>
        <v>100.4833</v>
      </c>
      <c r="G316" s="92">
        <f>VLOOKUP(A316,Database!$E:$AY,MATCH($G$1,Database!$E$1:$AY$1,0),FALSE)</f>
        <v>99.878870000000006</v>
      </c>
      <c r="H316" s="92">
        <f>(((Table134567891011121314151617343[[#This Row],[ITA]]-VLOOKUP($U$1,A:B,2,))/VLOOKUP($U$1,A:B,2,))*100)+100</f>
        <v>82.730226770480115</v>
      </c>
      <c r="I316" s="92">
        <f>(((Table134567891011121314151617343[[#This Row],[FRA]]-VLOOKUP($U$1,A:C,3,))/VLOOKUP($U$1,A:C,3,))*100)+100</f>
        <v>97.449798473636108</v>
      </c>
      <c r="J316" s="92">
        <f>(((Table134567891011121314151617343[[#This Row],[DEU]]-VLOOKUP($U$1,A:D,4,))/VLOOKUP($U$1,A:D,4,))*100)+100</f>
        <v>133.64358969823681</v>
      </c>
      <c r="K316" s="92">
        <f>(((Table134567891011121314151617343[[#This Row],[ESP]]-VLOOKUP($U$1,A:E,5,))/VLOOKUP($U$1,A:E,5,))*100)+100</f>
        <v>86.131521481909417</v>
      </c>
      <c r="L316" s="92">
        <f>(((Table134567891011121314151617343[[#This Row],[EA19]]-VLOOKUP($U$1,A:F,6,))/VLOOKUP($U$1,A:F,6,))*100)+100</f>
        <v>112.41616332028494</v>
      </c>
      <c r="M316" s="92">
        <f>(((Table134567891011121314151617343[[#This Row],[GBR]]-VLOOKUP($U$1,A:G,7,))/VLOOKUP($U$1,A:G,7,))*100)+100</f>
        <v>93.488815941577258</v>
      </c>
      <c r="N316" s="92">
        <f>VLOOKUP(A316,Database!$E:$AY,MATCH($N$1,Database!$E$1:$AY$1,0),FALSE)</f>
        <v>97.410550000000001</v>
      </c>
      <c r="O316" s="92">
        <f>(((Table134567891011121314151617343[[#This Row],[USA]]-VLOOKUP($U$1,A:N,14,))/VLOOKUP($U$1,A:N,14,))*100)+100</f>
        <v>112.86019677025392</v>
      </c>
      <c r="P316" s="92">
        <f>VLOOKUP(A316,Database!$E:$AY,MATCH($P$1,Database!$E$1:$AY$1,0),FALSE)</f>
        <v>99.891679999999994</v>
      </c>
      <c r="Q316" s="92">
        <f>(((Table134567891011121314151617343[[#This Row],[JPN]]-VLOOKUP($U$1,A:Q,16,))/VLOOKUP($U$1,A:Q,16,))*100)+100</f>
        <v>100.28919628732406</v>
      </c>
    </row>
    <row r="317" spans="1:17" s="85" customFormat="1" x14ac:dyDescent="0.2">
      <c r="A317" s="22">
        <v>42461</v>
      </c>
      <c r="B317" s="92">
        <f>VLOOKUP(A317,Database!$E:$AY,MATCH($B$1,Database!$E$1:$AY$1,0),FALSE)</f>
        <v>102.1915</v>
      </c>
      <c r="C317" s="92">
        <f>VLOOKUP(A317,Database!$E:$AY,MATCH($C$1,Database!$E$1:$AY$1,0),FALSE)</f>
        <v>101.1708</v>
      </c>
      <c r="D317" s="92">
        <f>VLOOKUP(A317,Database!$E:$AY,MATCH($D$1,Database!$E$1:$AY$1,0),FALSE)</f>
        <v>101.19159999999999</v>
      </c>
      <c r="E317" s="92">
        <f>VLOOKUP(A317,Database!$E:$AY,MATCH($E$1,Database!$E$1:$AY$1,0),FALSE)</f>
        <v>102.8321</v>
      </c>
      <c r="F317" s="92">
        <f>VLOOKUP(A317,Database!$E:$AY,MATCH($F$1,Database!$E$1:$AY$1,0),FALSE)</f>
        <v>101.5831</v>
      </c>
      <c r="G317" s="92">
        <f>VLOOKUP(A317,Database!$E:$AY,MATCH($G$1,Database!$E$1:$AY$1,0),FALSE)</f>
        <v>102.7859</v>
      </c>
      <c r="H317" s="92">
        <f>(((Table134567891011121314151617343[[#This Row],[ITA]]-VLOOKUP($U$1,A:B,2,))/VLOOKUP($U$1,A:B,2,))*100)+100</f>
        <v>84.046043298004193</v>
      </c>
      <c r="I317" s="92">
        <f>(((Table134567891011121314151617343[[#This Row],[FRA]]-VLOOKUP($U$1,A:C,3,))/VLOOKUP($U$1,A:C,3,))*100)+100</f>
        <v>98.471786795716213</v>
      </c>
      <c r="J317" s="92">
        <f>(((Table134567891011121314151617343[[#This Row],[DEU]]-VLOOKUP($U$1,A:D,4,))/VLOOKUP($U$1,A:D,4,))*100)+100</f>
        <v>134.57451838072137</v>
      </c>
      <c r="K317" s="92">
        <f>(((Table134567891011121314151617343[[#This Row],[ESP]]-VLOOKUP($U$1,A:E,5,))/VLOOKUP($U$1,A:E,5,))*100)+100</f>
        <v>86.599755272051411</v>
      </c>
      <c r="L317" s="92">
        <f>(((Table134567891011121314151617343[[#This Row],[EA19]]-VLOOKUP($U$1,A:F,6,))/VLOOKUP($U$1,A:F,6,))*100)+100</f>
        <v>113.64656973030182</v>
      </c>
      <c r="M317" s="92">
        <f>(((Table134567891011121314151617343[[#This Row],[GBR]]-VLOOKUP($U$1,A:G,7,))/VLOOKUP($U$1,A:G,7,))*100)+100</f>
        <v>96.209859868151952</v>
      </c>
      <c r="N317" s="92">
        <f>VLOOKUP(A317,Database!$E:$AY,MATCH($N$1,Database!$E$1:$AY$1,0),FALSE)</f>
        <v>97.507760000000005</v>
      </c>
      <c r="O317" s="92">
        <f>(((Table134567891011121314151617343[[#This Row],[USA]]-VLOOKUP($U$1,A:N,14,))/VLOOKUP($U$1,A:N,14,))*100)+100</f>
        <v>112.97282460910748</v>
      </c>
      <c r="P317" s="92">
        <f>VLOOKUP(A317,Database!$E:$AY,MATCH($P$1,Database!$E$1:$AY$1,0),FALSE)</f>
        <v>99.191730000000007</v>
      </c>
      <c r="Q317" s="92">
        <f>(((Table134567891011121314151617343[[#This Row],[JPN]]-VLOOKUP($U$1,A:Q,16,))/VLOOKUP($U$1,A:Q,16,))*100)+100</f>
        <v>99.586460854890547</v>
      </c>
    </row>
    <row r="318" spans="1:17" s="85" customFormat="1" x14ac:dyDescent="0.2">
      <c r="A318" s="22">
        <v>42491</v>
      </c>
      <c r="B318" s="92">
        <f>VLOOKUP(A318,Database!$E:$AY,MATCH($B$1,Database!$E$1:$AY$1,0),FALSE)</f>
        <v>100.49160000000001</v>
      </c>
      <c r="C318" s="92">
        <f>VLOOKUP(A318,Database!$E:$AY,MATCH($C$1,Database!$E$1:$AY$1,0),FALSE)</f>
        <v>99.630830000000003</v>
      </c>
      <c r="D318" s="92">
        <f>VLOOKUP(A318,Database!$E:$AY,MATCH($D$1,Database!$E$1:$AY$1,0),FALSE)</f>
        <v>99.291730000000001</v>
      </c>
      <c r="E318" s="92">
        <f>VLOOKUP(A318,Database!$E:$AY,MATCH($E$1,Database!$E$1:$AY$1,0),FALSE)</f>
        <v>100.19410000000001</v>
      </c>
      <c r="F318" s="92">
        <f>VLOOKUP(A318,Database!$E:$AY,MATCH($F$1,Database!$E$1:$AY$1,0),FALSE)</f>
        <v>100.1833</v>
      </c>
      <c r="G318" s="92">
        <f>VLOOKUP(A318,Database!$E:$AY,MATCH($G$1,Database!$E$1:$AY$1,0),FALSE)</f>
        <v>101.8515</v>
      </c>
      <c r="H318" s="92">
        <f>(((Table134567891011121314151617343[[#This Row],[ITA]]-VLOOKUP($U$1,A:B,2,))/VLOOKUP($U$1,A:B,2,))*100)+100</f>
        <v>82.647983097280289</v>
      </c>
      <c r="I318" s="92">
        <f>(((Table134567891011121314151617343[[#This Row],[FRA]]-VLOOKUP($U$1,A:C,3,))/VLOOKUP($U$1,A:C,3,))*100)+100</f>
        <v>96.972899789665078</v>
      </c>
      <c r="J318" s="92">
        <f>(((Table134567891011121314151617343[[#This Row],[DEU]]-VLOOKUP($U$1,A:D,4,))/VLOOKUP($U$1,A:D,4,))*100)+100</f>
        <v>132.04788484359</v>
      </c>
      <c r="K318" s="92">
        <f>(((Table134567891011121314151617343[[#This Row],[ESP]]-VLOOKUP($U$1,A:E,5,))/VLOOKUP($U$1,A:E,5,))*100)+100</f>
        <v>84.378171210190658</v>
      </c>
      <c r="L318" s="92">
        <f>(((Table134567891011121314151617343[[#This Row],[EA19]]-VLOOKUP($U$1,A:F,6,))/VLOOKUP($U$1,A:F,6,))*100)+100</f>
        <v>112.08053691275168</v>
      </c>
      <c r="M318" s="92">
        <f>(((Table134567891011121314151617343[[#This Row],[GBR]]-VLOOKUP($U$1,A:G,7,))/VLOOKUP($U$1,A:G,7,))*100)+100</f>
        <v>95.335240946093563</v>
      </c>
      <c r="N318" s="92">
        <f>VLOOKUP(A318,Database!$E:$AY,MATCH($N$1,Database!$E$1:$AY$1,0),FALSE)</f>
        <v>97.424289999999999</v>
      </c>
      <c r="O318" s="92">
        <f>(((Table134567891011121314151617343[[#This Row],[USA]]-VLOOKUP($U$1,A:N,14,))/VLOOKUP($U$1,A:N,14,))*100)+100</f>
        <v>112.8761159813006</v>
      </c>
      <c r="P318" s="92">
        <f>VLOOKUP(A318,Database!$E:$AY,MATCH($P$1,Database!$E$1:$AY$1,0),FALSE)</f>
        <v>98.691770000000005</v>
      </c>
      <c r="Q318" s="92">
        <f>(((Table134567891011121314151617343[[#This Row],[JPN]]-VLOOKUP($U$1,A:Q,16,))/VLOOKUP($U$1,A:Q,16,))*100)+100</f>
        <v>99.084511277350046</v>
      </c>
    </row>
    <row r="319" spans="1:17" s="85" customFormat="1" x14ac:dyDescent="0.2">
      <c r="A319" s="22">
        <v>42522</v>
      </c>
      <c r="B319" s="92">
        <f>VLOOKUP(A319,Database!$E:$AY,MATCH($B$1,Database!$E$1:$AY$1,0),FALSE)</f>
        <v>99.391720000000007</v>
      </c>
      <c r="C319" s="92">
        <f>VLOOKUP(A319,Database!$E:$AY,MATCH($C$1,Database!$E$1:$AY$1,0),FALSE)</f>
        <v>99.270830000000004</v>
      </c>
      <c r="D319" s="92">
        <f>VLOOKUP(A319,Database!$E:$AY,MATCH($D$1,Database!$E$1:$AY$1,0),FALSE)</f>
        <v>101.4915</v>
      </c>
      <c r="E319" s="92">
        <f>VLOOKUP(A319,Database!$E:$AY,MATCH($E$1,Database!$E$1:$AY$1,0),FALSE)</f>
        <v>100.7071</v>
      </c>
      <c r="F319" s="92">
        <f>VLOOKUP(A319,Database!$E:$AY,MATCH($F$1,Database!$E$1:$AY$1,0),FALSE)</f>
        <v>100.9832</v>
      </c>
      <c r="G319" s="92">
        <f>VLOOKUP(A319,Database!$E:$AY,MATCH($G$1,Database!$E$1:$AY$1,0),FALSE)</f>
        <v>101.2286</v>
      </c>
      <c r="H319" s="92">
        <f>(((Table134567891011121314151617343[[#This Row],[ITA]]-VLOOKUP($U$1,A:B,2,))/VLOOKUP($U$1,A:B,2,))*100)+100</f>
        <v>81.743401384489999</v>
      </c>
      <c r="I319" s="92">
        <f>(((Table134567891011121314151617343[[#This Row],[FRA]]-VLOOKUP($U$1,A:C,3,))/VLOOKUP($U$1,A:C,3,))*100)+100</f>
        <v>96.622503793523322</v>
      </c>
      <c r="J319" s="92">
        <f>(((Table134567891011121314151617343[[#This Row],[DEU]]-VLOOKUP($U$1,A:D,4,))/VLOOKUP($U$1,A:D,4,))*100)+100</f>
        <v>134.97335482626011</v>
      </c>
      <c r="K319" s="92">
        <f>(((Table134567891011121314151617343[[#This Row],[ESP]]-VLOOKUP($U$1,A:E,5,))/VLOOKUP($U$1,A:E,5,))*100)+100</f>
        <v>84.810192674836046</v>
      </c>
      <c r="L319" s="92">
        <f>(((Table134567891011121314151617343[[#This Row],[EA19]]-VLOOKUP($U$1,A:F,6,))/VLOOKUP($U$1,A:F,6,))*100)+100</f>
        <v>112.9754287907045</v>
      </c>
      <c r="M319" s="92">
        <f>(((Table134567891011121314151617343[[#This Row],[GBR]]-VLOOKUP($U$1,A:G,7,))/VLOOKUP($U$1,A:G,7,))*100)+100</f>
        <v>94.752192865453395</v>
      </c>
      <c r="N319" s="92">
        <f>VLOOKUP(A319,Database!$E:$AY,MATCH($N$1,Database!$E$1:$AY$1,0),FALSE)</f>
        <v>97.851619999999997</v>
      </c>
      <c r="O319" s="92">
        <f>(((Table134567891011121314151617343[[#This Row],[USA]]-VLOOKUP($U$1,A:N,14,))/VLOOKUP($U$1,A:N,14,))*100)+100</f>
        <v>113.37122198250717</v>
      </c>
      <c r="P319" s="92">
        <f>VLOOKUP(A319,Database!$E:$AY,MATCH($P$1,Database!$E$1:$AY$1,0),FALSE)</f>
        <v>99.191730000000007</v>
      </c>
      <c r="Q319" s="92">
        <f>(((Table134567891011121314151617343[[#This Row],[JPN]]-VLOOKUP($U$1,A:Q,16,))/VLOOKUP($U$1,A:Q,16,))*100)+100</f>
        <v>99.586460854890547</v>
      </c>
    </row>
    <row r="320" spans="1:17" s="85" customFormat="1" x14ac:dyDescent="0.2">
      <c r="A320" s="22">
        <v>42552</v>
      </c>
      <c r="B320" s="92">
        <f>VLOOKUP(A320,Database!$E:$AY,MATCH($B$1,Database!$E$1:$AY$1,0),FALSE)</f>
        <v>101.2916</v>
      </c>
      <c r="C320" s="92">
        <f>VLOOKUP(A320,Database!$E:$AY,MATCH($C$1,Database!$E$1:$AY$1,0),FALSE)</f>
        <v>99.130830000000003</v>
      </c>
      <c r="D320" s="92">
        <f>VLOOKUP(A320,Database!$E:$AY,MATCH($D$1,Database!$E$1:$AY$1,0),FALSE)</f>
        <v>99.991669999999999</v>
      </c>
      <c r="E320" s="92">
        <f>VLOOKUP(A320,Database!$E:$AY,MATCH($E$1,Database!$E$1:$AY$1,0),FALSE)</f>
        <v>101.0791</v>
      </c>
      <c r="F320" s="92">
        <f>VLOOKUP(A320,Database!$E:$AY,MATCH($F$1,Database!$E$1:$AY$1,0),FALSE)</f>
        <v>101.08320000000001</v>
      </c>
      <c r="G320" s="92">
        <f>VLOOKUP(A320,Database!$E:$AY,MATCH($G$1,Database!$E$1:$AY$1,0),FALSE)</f>
        <v>101.0209</v>
      </c>
      <c r="H320" s="92">
        <f>(((Table134567891011121314151617343[[#This Row],[ITA]]-VLOOKUP($U$1,A:B,2,))/VLOOKUP($U$1,A:B,2,))*100)+100</f>
        <v>83.30593248287893</v>
      </c>
      <c r="I320" s="92">
        <f>(((Table134567891011121314151617343[[#This Row],[FRA]]-VLOOKUP($U$1,A:C,3,))/VLOOKUP($U$1,A:C,3,))*100)+100</f>
        <v>96.486238683912646</v>
      </c>
      <c r="J320" s="92">
        <f>(((Table134567891011121314151617343[[#This Row],[DEU]]-VLOOKUP($U$1,A:D,4,))/VLOOKUP($U$1,A:D,4,))*100)+100</f>
        <v>132.97873373218749</v>
      </c>
      <c r="K320" s="92">
        <f>(((Table134567891011121314151617343[[#This Row],[ESP]]-VLOOKUP($U$1,A:E,5,))/VLOOKUP($U$1,A:E,5,))*100)+100</f>
        <v>85.123471397736807</v>
      </c>
      <c r="L320" s="92">
        <f>(((Table134567891011121314151617343[[#This Row],[EA19]]-VLOOKUP($U$1,A:F,6,))/VLOOKUP($U$1,A:F,6,))*100)+100</f>
        <v>113.08730425988226</v>
      </c>
      <c r="M320" s="92">
        <f>(((Table134567891011121314151617343[[#This Row],[GBR]]-VLOOKUP($U$1,A:G,7,))/VLOOKUP($U$1,A:G,7,))*100)+100</f>
        <v>94.557781103775824</v>
      </c>
      <c r="N320" s="92">
        <f>VLOOKUP(A320,Database!$E:$AY,MATCH($N$1,Database!$E$1:$AY$1,0),FALSE)</f>
        <v>98.099239999999995</v>
      </c>
      <c r="O320" s="92">
        <f>(((Table134567891011121314151617343[[#This Row],[USA]]-VLOOKUP($U$1,A:N,14,))/VLOOKUP($U$1,A:N,14,))*100)+100</f>
        <v>113.65811536237464</v>
      </c>
      <c r="P320" s="92">
        <f>VLOOKUP(A320,Database!$E:$AY,MATCH($P$1,Database!$E$1:$AY$1,0),FALSE)</f>
        <v>99.691699999999997</v>
      </c>
      <c r="Q320" s="92">
        <f>(((Table134567891011121314151617343[[#This Row],[JPN]]-VLOOKUP($U$1,A:Q,16,))/VLOOKUP($U$1,A:Q,16,))*100)+100</f>
        <v>100.08842047222576</v>
      </c>
    </row>
    <row r="321" spans="1:17" s="85" customFormat="1" x14ac:dyDescent="0.2">
      <c r="A321" s="22">
        <v>42583</v>
      </c>
      <c r="B321" s="92">
        <f>VLOOKUP(A321,Database!$E:$AY,MATCH($B$1,Database!$E$1:$AY$1,0),FALSE)</f>
        <v>102.1915</v>
      </c>
      <c r="C321" s="92">
        <f>VLOOKUP(A321,Database!$E:$AY,MATCH($C$1,Database!$E$1:$AY$1,0),FALSE)</f>
        <v>101.0408</v>
      </c>
      <c r="D321" s="92">
        <f>VLOOKUP(A321,Database!$E:$AY,MATCH($D$1,Database!$E$1:$AY$1,0),FALSE)</f>
        <v>101.5915</v>
      </c>
      <c r="E321" s="92">
        <f>VLOOKUP(A321,Database!$E:$AY,MATCH($E$1,Database!$E$1:$AY$1,0),FALSE)</f>
        <v>102.43210000000001</v>
      </c>
      <c r="F321" s="92">
        <f>VLOOKUP(A321,Database!$E:$AY,MATCH($F$1,Database!$E$1:$AY$1,0),FALSE)</f>
        <v>101.2831</v>
      </c>
      <c r="G321" s="92">
        <f>VLOOKUP(A321,Database!$E:$AY,MATCH($G$1,Database!$E$1:$AY$1,0),FALSE)</f>
        <v>100.9171</v>
      </c>
      <c r="H321" s="92">
        <f>(((Table134567891011121314151617343[[#This Row],[ITA]]-VLOOKUP($U$1,A:B,2,))/VLOOKUP($U$1,A:B,2,))*100)+100</f>
        <v>84.046043298004193</v>
      </c>
      <c r="I321" s="92">
        <f>(((Table134567891011121314151617343[[#This Row],[FRA]]-VLOOKUP($U$1,A:C,3,))/VLOOKUP($U$1,A:C,3,))*100)+100</f>
        <v>98.345254908220596</v>
      </c>
      <c r="J321" s="92">
        <f>(((Table134567891011121314151617343[[#This Row],[DEU]]-VLOOKUP($U$1,A:D,4,))/VLOOKUP($U$1,A:D,4,))*100)+100</f>
        <v>135.10634463804362</v>
      </c>
      <c r="K321" s="92">
        <f>(((Table134567891011121314151617343[[#This Row],[ESP]]-VLOOKUP($U$1,A:E,5,))/VLOOKUP($U$1,A:E,5,))*100)+100</f>
        <v>86.262896430222639</v>
      </c>
      <c r="L321" s="92">
        <f>(((Table134567891011121314151617343[[#This Row],[EA19]]-VLOOKUP($U$1,A:F,6,))/VLOOKUP($U$1,A:F,6,))*100)+100</f>
        <v>113.31094332276857</v>
      </c>
      <c r="M321" s="92">
        <f>(((Table134567891011121314151617343[[#This Row],[GBR]]-VLOOKUP($U$1,A:G,7,))/VLOOKUP($U$1,A:G,7,))*100)+100</f>
        <v>94.460622024035175</v>
      </c>
      <c r="N321" s="92">
        <f>VLOOKUP(A321,Database!$E:$AY,MATCH($N$1,Database!$E$1:$AY$1,0),FALSE)</f>
        <v>98.011060000000001</v>
      </c>
      <c r="O321" s="92">
        <f>(((Table134567891011121314151617343[[#This Row],[USA]]-VLOOKUP($U$1,A:N,14,))/VLOOKUP($U$1,A:N,14,))*100)+100</f>
        <v>113.55594971244042</v>
      </c>
      <c r="P321" s="92">
        <f>VLOOKUP(A321,Database!$E:$AY,MATCH($P$1,Database!$E$1:$AY$1,0),FALSE)</f>
        <v>100.5916</v>
      </c>
      <c r="Q321" s="92">
        <f>(((Table134567891011121314151617343[[#This Row],[JPN]]-VLOOKUP($U$1,A:Q,16,))/VLOOKUP($U$1,A:Q,16,))*100)+100</f>
        <v>100.99190160037341</v>
      </c>
    </row>
    <row r="322" spans="1:17" s="85" customFormat="1" x14ac:dyDescent="0.2">
      <c r="A322" s="22">
        <v>42614</v>
      </c>
      <c r="B322" s="92">
        <f>VLOOKUP(A322,Database!$E:$AY,MATCH($B$1,Database!$E$1:$AY$1,0),FALSE)</f>
        <v>101.9915</v>
      </c>
      <c r="C322" s="92">
        <f>VLOOKUP(A322,Database!$E:$AY,MATCH($C$1,Database!$E$1:$AY$1,0),FALSE)</f>
        <v>100.02079999999999</v>
      </c>
      <c r="D322" s="92">
        <f>VLOOKUP(A322,Database!$E:$AY,MATCH($D$1,Database!$E$1:$AY$1,0),FALSE)</f>
        <v>101.4915</v>
      </c>
      <c r="E322" s="92">
        <f>VLOOKUP(A322,Database!$E:$AY,MATCH($E$1,Database!$E$1:$AY$1,0),FALSE)</f>
        <v>101.8631</v>
      </c>
      <c r="F322" s="92">
        <f>VLOOKUP(A322,Database!$E:$AY,MATCH($F$1,Database!$E$1:$AY$1,0),FALSE)</f>
        <v>101.3831</v>
      </c>
      <c r="G322" s="92">
        <f>VLOOKUP(A322,Database!$E:$AY,MATCH($G$1,Database!$E$1:$AY$1,0),FALSE)</f>
        <v>101.4362</v>
      </c>
      <c r="H322" s="92">
        <f>(((Table134567891011121314151617343[[#This Row],[ITA]]-VLOOKUP($U$1,A:B,2,))/VLOOKUP($U$1,A:B,2,))*100)+100</f>
        <v>83.881555951604525</v>
      </c>
      <c r="I322" s="92">
        <f>(((Table134567891011121314151617343[[#This Row],[FRA]]-VLOOKUP($U$1,A:C,3,))/VLOOKUP($U$1,A:C,3,))*100)+100</f>
        <v>97.352466252485613</v>
      </c>
      <c r="J322" s="92">
        <f>(((Table134567891011121314151617343[[#This Row],[DEU]]-VLOOKUP($U$1,A:D,4,))/VLOOKUP($U$1,A:D,4,))*100)+100</f>
        <v>134.97335482626011</v>
      </c>
      <c r="K322" s="92">
        <f>(((Table134567891011121314151617343[[#This Row],[ESP]]-VLOOKUP($U$1,A:E,5,))/VLOOKUP($U$1,A:E,5,))*100)+100</f>
        <v>85.783714727721204</v>
      </c>
      <c r="L322" s="92">
        <f>(((Table134567891011121314151617343[[#This Row],[EA19]]-VLOOKUP($U$1,A:F,6,))/VLOOKUP($U$1,A:F,6,))*100)+100</f>
        <v>113.42281879194631</v>
      </c>
      <c r="M322" s="92">
        <f>(((Table134567891011121314151617343[[#This Row],[GBR]]-VLOOKUP($U$1,A:G,7,))/VLOOKUP($U$1,A:G,7,))*100)+100</f>
        <v>94.946511024934694</v>
      </c>
      <c r="N322" s="92">
        <f>VLOOKUP(A322,Database!$E:$AY,MATCH($N$1,Database!$E$1:$AY$1,0),FALSE)</f>
        <v>98.017790000000005</v>
      </c>
      <c r="O322" s="92">
        <f>(((Table134567891011121314151617343[[#This Row],[USA]]-VLOOKUP($U$1,A:N,14,))/VLOOKUP($U$1,A:N,14,))*100)+100</f>
        <v>113.5637471134844</v>
      </c>
      <c r="P322" s="92">
        <f>VLOOKUP(A322,Database!$E:$AY,MATCH($P$1,Database!$E$1:$AY$1,0),FALSE)</f>
        <v>100.99160000000001</v>
      </c>
      <c r="Q322" s="92">
        <f>(((Table134567891011121314151617343[[#This Row],[JPN]]-VLOOKUP($U$1,A:Q,16,))/VLOOKUP($U$1,A:Q,16,))*100)+100</f>
        <v>101.39349338974895</v>
      </c>
    </row>
    <row r="323" spans="1:17" s="85" customFormat="1" x14ac:dyDescent="0.2">
      <c r="A323" s="22">
        <v>42644</v>
      </c>
      <c r="B323" s="92">
        <f>VLOOKUP(A323,Database!$E:$AY,MATCH($B$1,Database!$E$1:$AY$1,0),FALSE)</f>
        <v>102.39149999999999</v>
      </c>
      <c r="C323" s="92">
        <f>VLOOKUP(A323,Database!$E:$AY,MATCH($C$1,Database!$E$1:$AY$1,0),FALSE)</f>
        <v>99.660830000000004</v>
      </c>
      <c r="D323" s="92">
        <f>VLOOKUP(A323,Database!$E:$AY,MATCH($D$1,Database!$E$1:$AY$1,0),FALSE)</f>
        <v>102.1915</v>
      </c>
      <c r="E323" s="92">
        <f>VLOOKUP(A323,Database!$E:$AY,MATCH($E$1,Database!$E$1:$AY$1,0),FALSE)</f>
        <v>102.0231</v>
      </c>
      <c r="F323" s="92">
        <f>VLOOKUP(A323,Database!$E:$AY,MATCH($F$1,Database!$E$1:$AY$1,0),FALSE)</f>
        <v>102.4829</v>
      </c>
      <c r="G323" s="92">
        <f>VLOOKUP(A323,Database!$E:$AY,MATCH($G$1,Database!$E$1:$AY$1,0),FALSE)</f>
        <v>100.19029999999999</v>
      </c>
      <c r="H323" s="92">
        <f>(((Table134567891011121314151617343[[#This Row],[ITA]]-VLOOKUP($U$1,A:B,2,))/VLOOKUP($U$1,A:B,2,))*100)+100</f>
        <v>84.210530644403846</v>
      </c>
      <c r="I323" s="92">
        <f>(((Table134567891011121314151617343[[#This Row],[FRA]]-VLOOKUP($U$1,A:C,3,))/VLOOKUP($U$1,A:C,3,))*100)+100</f>
        <v>97.002099456010228</v>
      </c>
      <c r="J323" s="92">
        <f>(((Table134567891011121314151617343[[#This Row],[DEU]]-VLOOKUP($U$1,A:D,4,))/VLOOKUP($U$1,A:D,4,))*100)+100</f>
        <v>135.9042835087447</v>
      </c>
      <c r="K323" s="92">
        <f>(((Table134567891011121314151617343[[#This Row],[ESP]]-VLOOKUP($U$1,A:E,5,))/VLOOKUP($U$1,A:E,5,))*100)+100</f>
        <v>85.91845826445271</v>
      </c>
      <c r="L323" s="92">
        <f>(((Table134567891011121314151617343[[#This Row],[EA19]]-VLOOKUP($U$1,A:F,6,))/VLOOKUP($U$1,A:F,6,))*100)+100</f>
        <v>114.6532252019632</v>
      </c>
      <c r="M323" s="92">
        <f>(((Table134567891011121314151617343[[#This Row],[GBR]]-VLOOKUP($U$1,A:G,7,))/VLOOKUP($U$1,A:G,7,))*100)+100</f>
        <v>93.78032126145807</v>
      </c>
      <c r="N323" s="92">
        <f>VLOOKUP(A323,Database!$E:$AY,MATCH($N$1,Database!$E$1:$AY$1,0),FALSE)</f>
        <v>98.210660000000004</v>
      </c>
      <c r="O323" s="92">
        <f>(((Table134567891011121314151617343[[#This Row],[USA]]-VLOOKUP($U$1,A:N,14,))/VLOOKUP($U$1,A:N,14,))*100)+100</f>
        <v>113.7872069558842</v>
      </c>
      <c r="P323" s="92">
        <f>VLOOKUP(A323,Database!$E:$AY,MATCH($P$1,Database!$E$1:$AY$1,0),FALSE)</f>
        <v>101.0916</v>
      </c>
      <c r="Q323" s="92">
        <f>(((Table134567891011121314151617343[[#This Row],[JPN]]-VLOOKUP($U$1,A:Q,16,))/VLOOKUP($U$1,A:Q,16,))*100)+100</f>
        <v>101.49389133709283</v>
      </c>
    </row>
    <row r="324" spans="1:17" s="85" customFormat="1" x14ac:dyDescent="0.2">
      <c r="A324" s="22">
        <v>42675</v>
      </c>
      <c r="B324" s="92">
        <f>VLOOKUP(A324,Database!$E:$AY,MATCH($B$1,Database!$E$1:$AY$1,0),FALSE)</f>
        <v>103.2914</v>
      </c>
      <c r="C324" s="92">
        <f>VLOOKUP(A324,Database!$E:$AY,MATCH($C$1,Database!$E$1:$AY$1,0),FALSE)</f>
        <v>102.2509</v>
      </c>
      <c r="D324" s="92">
        <f>VLOOKUP(A324,Database!$E:$AY,MATCH($D$1,Database!$E$1:$AY$1,0),FALSE)</f>
        <v>101.89149999999999</v>
      </c>
      <c r="E324" s="92">
        <f>VLOOKUP(A324,Database!$E:$AY,MATCH($E$1,Database!$E$1:$AY$1,0),FALSE)</f>
        <v>103.2381</v>
      </c>
      <c r="F324" s="92">
        <f>VLOOKUP(A324,Database!$E:$AY,MATCH($F$1,Database!$E$1:$AY$1,0),FALSE)</f>
        <v>102.7829</v>
      </c>
      <c r="G324" s="92">
        <f>VLOOKUP(A324,Database!$E:$AY,MATCH($G$1,Database!$E$1:$AY$1,0),FALSE)</f>
        <v>101.74769999999999</v>
      </c>
      <c r="H324" s="92">
        <f>(((Table134567891011121314151617343[[#This Row],[ITA]]-VLOOKUP($U$1,A:B,2,))/VLOOKUP($U$1,A:B,2,))*100)+100</f>
        <v>84.950641459529123</v>
      </c>
      <c r="I324" s="92">
        <f>(((Table134567891011121314151617343[[#This Row],[FRA]]-VLOOKUP($U$1,A:C,3,))/VLOOKUP($U$1,A:C,3,))*100)+100</f>
        <v>99.523072116362627</v>
      </c>
      <c r="J324" s="92">
        <f>(((Table134567891011121314151617343[[#This Row],[DEU]]-VLOOKUP($U$1,A:D,4,))/VLOOKUP($U$1,A:D,4,))*100)+100</f>
        <v>135.50531407339415</v>
      </c>
      <c r="K324" s="92">
        <f>(((Table134567891011121314151617343[[#This Row],[ESP]]-VLOOKUP($U$1,A:E,5,))/VLOOKUP($U$1,A:E,5,))*100)+100</f>
        <v>86.941666996507621</v>
      </c>
      <c r="L324" s="92">
        <f>(((Table134567891011121314151617343[[#This Row],[EA19]]-VLOOKUP($U$1,A:F,6,))/VLOOKUP($U$1,A:F,6,))*100)+100</f>
        <v>114.98885160949644</v>
      </c>
      <c r="M324" s="92">
        <f>(((Table134567891011121314151617343[[#This Row],[GBR]]-VLOOKUP($U$1,A:G,7,))/VLOOKUP($U$1,A:G,7,))*100)+100</f>
        <v>95.238081866352914</v>
      </c>
      <c r="N324" s="92">
        <f>VLOOKUP(A324,Database!$E:$AY,MATCH($N$1,Database!$E$1:$AY$1,0),FALSE)</f>
        <v>98.020669999999996</v>
      </c>
      <c r="O324" s="92">
        <f>(((Table134567891011121314151617343[[#This Row],[USA]]-VLOOKUP($U$1,A:N,14,))/VLOOKUP($U$1,A:N,14,))*100)+100</f>
        <v>113.5670838913457</v>
      </c>
      <c r="P324" s="92">
        <f>VLOOKUP(A324,Database!$E:$AY,MATCH($P$1,Database!$E$1:$AY$1,0),FALSE)</f>
        <v>102.0915</v>
      </c>
      <c r="Q324" s="92">
        <f>(((Table134567891011121314151617343[[#This Row],[JPN]]-VLOOKUP($U$1,A:Q,16,))/VLOOKUP($U$1,A:Q,16,))*100)+100</f>
        <v>102.49777041258436</v>
      </c>
    </row>
    <row r="325" spans="1:17" s="85" customFormat="1" x14ac:dyDescent="0.2">
      <c r="A325" s="22">
        <v>42705</v>
      </c>
      <c r="B325" s="92">
        <f>VLOOKUP(A325,Database!$E:$AY,MATCH($B$1,Database!$E$1:$AY$1,0),FALSE)</f>
        <v>104.79130000000001</v>
      </c>
      <c r="C325" s="92">
        <f>VLOOKUP(A325,Database!$E:$AY,MATCH($C$1,Database!$E$1:$AY$1,0),FALSE)</f>
        <v>100.77079999999999</v>
      </c>
      <c r="D325" s="92">
        <f>VLOOKUP(A325,Database!$E:$AY,MATCH($D$1,Database!$E$1:$AY$1,0),FALSE)</f>
        <v>100.2916</v>
      </c>
      <c r="E325" s="92">
        <f>VLOOKUP(A325,Database!$E:$AY,MATCH($E$1,Database!$E$1:$AY$1,0),FALSE)</f>
        <v>103.0231</v>
      </c>
      <c r="F325" s="92">
        <f>VLOOKUP(A325,Database!$E:$AY,MATCH($F$1,Database!$E$1:$AY$1,0),FALSE)</f>
        <v>102.38290000000001</v>
      </c>
      <c r="G325" s="92">
        <f>VLOOKUP(A325,Database!$E:$AY,MATCH($G$1,Database!$E$1:$AY$1,0),FALSE)</f>
        <v>103.3051</v>
      </c>
      <c r="H325" s="92">
        <f>(((Table134567891011121314151617343[[#This Row],[ITA]]-VLOOKUP($U$1,A:B,2,))/VLOOKUP($U$1,A:B,2,))*100)+100</f>
        <v>86.184214313853374</v>
      </c>
      <c r="I325" s="92">
        <f>(((Table134567891011121314151617343[[#This Row],[FRA]]-VLOOKUP($U$1,A:C,3,))/VLOOKUP($U$1,A:C,3,))*100)+100</f>
        <v>98.082457911114261</v>
      </c>
      <c r="J325" s="92">
        <f>(((Table134567891011121314151617343[[#This Row],[DEU]]-VLOOKUP($U$1,A:D,4,))/VLOOKUP($U$1,A:D,4,))*100)+100</f>
        <v>133.3776100746698</v>
      </c>
      <c r="K325" s="92">
        <f>(((Table134567891011121314151617343[[#This Row],[ESP]]-VLOOKUP($U$1,A:E,5,))/VLOOKUP($U$1,A:E,5,))*100)+100</f>
        <v>86.760605369024645</v>
      </c>
      <c r="L325" s="92">
        <f>(((Table134567891011121314151617343[[#This Row],[EA19]]-VLOOKUP($U$1,A:F,6,))/VLOOKUP($U$1,A:F,6,))*100)+100</f>
        <v>114.54134973278545</v>
      </c>
      <c r="M325" s="92">
        <f>(((Table134567891011121314151617343[[#This Row],[GBR]]-VLOOKUP($U$1,A:G,7,))/VLOOKUP($U$1,A:G,7,))*100)+100</f>
        <v>96.695842471247744</v>
      </c>
      <c r="N325" s="92">
        <f>VLOOKUP(A325,Database!$E:$AY,MATCH($N$1,Database!$E$1:$AY$1,0),FALSE)</f>
        <v>98.863420000000005</v>
      </c>
      <c r="O325" s="92">
        <f>(((Table134567891011121314151617343[[#This Row],[USA]]-VLOOKUP($U$1,A:N,14,))/VLOOKUP($U$1,A:N,14,))*100)+100</f>
        <v>114.54349692697821</v>
      </c>
      <c r="P325" s="92">
        <f>VLOOKUP(A325,Database!$E:$AY,MATCH($P$1,Database!$E$1:$AY$1,0),FALSE)</f>
        <v>101.4915</v>
      </c>
      <c r="Q325" s="92">
        <f>(((Table134567891011121314151617343[[#This Row],[JPN]]-VLOOKUP($U$1,A:Q,16,))/VLOOKUP($U$1,A:Q,16,))*100)+100</f>
        <v>101.89538272852104</v>
      </c>
    </row>
    <row r="326" spans="1:17" s="85" customFormat="1" x14ac:dyDescent="0.2">
      <c r="A326" s="22">
        <v>42736</v>
      </c>
      <c r="B326" s="92">
        <f>VLOOKUP(A326,Database!$E:$AY,MATCH($B$1,Database!$E$1:$AY$1,0),FALSE)</f>
        <v>101.9915</v>
      </c>
      <c r="C326" s="92">
        <f>VLOOKUP(A326,Database!$E:$AY,MATCH($C$1,Database!$E$1:$AY$1,0),FALSE)</f>
        <v>101.38079999999999</v>
      </c>
      <c r="D326" s="92">
        <f>VLOOKUP(A326,Database!$E:$AY,MATCH($D$1,Database!$E$1:$AY$1,0),FALSE)</f>
        <v>101.7915</v>
      </c>
      <c r="E326" s="92">
        <f>VLOOKUP(A326,Database!$E:$AY,MATCH($E$1,Database!$E$1:$AY$1,0),FALSE)</f>
        <v>104.12909999999999</v>
      </c>
      <c r="F326" s="92">
        <f>VLOOKUP(A326,Database!$E:$AY,MATCH($F$1,Database!$E$1:$AY$1,0),FALSE)</f>
        <v>102.18300000000001</v>
      </c>
      <c r="G326" s="92">
        <f>VLOOKUP(A326,Database!$E:$AY,MATCH($G$1,Database!$E$1:$AY$1,0),FALSE)</f>
        <v>103.4089</v>
      </c>
      <c r="H326" s="92">
        <f>(((Table134567891011121314151617343[[#This Row],[ITA]]-VLOOKUP($U$1,A:B,2,))/VLOOKUP($U$1,A:B,2,))*100)+100</f>
        <v>83.881555951604525</v>
      </c>
      <c r="I326" s="92">
        <f>(((Table134567891011121314151617343[[#This Row],[FRA]]-VLOOKUP($U$1,A:C,3,))/VLOOKUP($U$1,A:C,3,))*100)+100</f>
        <v>98.676184460132234</v>
      </c>
      <c r="J326" s="92">
        <f>(((Table134567891011121314151617343[[#This Row],[DEU]]-VLOOKUP($U$1,A:D,4,))/VLOOKUP($U$1,A:D,4,))*100)+100</f>
        <v>135.37232426161063</v>
      </c>
      <c r="K326" s="92">
        <f>(((Table134567891011121314151617343[[#This Row],[ESP]]-VLOOKUP($U$1,A:E,5,))/VLOOKUP($U$1,A:E,5,))*100)+100</f>
        <v>87.692020066681195</v>
      </c>
      <c r="L326" s="92">
        <f>(((Table134567891011121314151617343[[#This Row],[EA19]]-VLOOKUP($U$1,A:F,6,))/VLOOKUP($U$1,A:F,6,))*100)+100</f>
        <v>114.31771066989914</v>
      </c>
      <c r="M326" s="92">
        <f>(((Table134567891011121314151617343[[#This Row],[GBR]]-VLOOKUP($U$1,A:G,7,))/VLOOKUP($U$1,A:G,7,))*100)+100</f>
        <v>96.793001550988393</v>
      </c>
      <c r="N326" s="92">
        <f>VLOOKUP(A326,Database!$E:$AY,MATCH($N$1,Database!$E$1:$AY$1,0),FALSE)</f>
        <v>98.967640000000003</v>
      </c>
      <c r="O326" s="92">
        <f>(((Table134567891011121314151617343[[#This Row],[USA]]-VLOOKUP($U$1,A:N,14,))/VLOOKUP($U$1,A:N,14,))*100)+100</f>
        <v>114.66424657583448</v>
      </c>
      <c r="P326" s="92">
        <f>VLOOKUP(A326,Database!$E:$AY,MATCH($P$1,Database!$E$1:$AY$1,0),FALSE)</f>
        <v>100.69159999999999</v>
      </c>
      <c r="Q326" s="92">
        <f>(((Table134567891011121314151617343[[#This Row],[JPN]]-VLOOKUP($U$1,A:Q,16,))/VLOOKUP($U$1,A:Q,16,))*100)+100</f>
        <v>101.09229954771729</v>
      </c>
    </row>
    <row r="327" spans="1:17" s="85" customFormat="1" x14ac:dyDescent="0.2">
      <c r="A327" s="22">
        <v>42767</v>
      </c>
      <c r="B327" s="92">
        <f>VLOOKUP(A327,Database!$E:$AY,MATCH($B$1,Database!$E$1:$AY$1,0),FALSE)</f>
        <v>103.1914</v>
      </c>
      <c r="C327" s="92">
        <f>VLOOKUP(A327,Database!$E:$AY,MATCH($C$1,Database!$E$1:$AY$1,0),FALSE)</f>
        <v>100.0908</v>
      </c>
      <c r="D327" s="92">
        <f>VLOOKUP(A327,Database!$E:$AY,MATCH($D$1,Database!$E$1:$AY$1,0),FALSE)</f>
        <v>102.7914</v>
      </c>
      <c r="E327" s="92">
        <f>VLOOKUP(A327,Database!$E:$AY,MATCH($E$1,Database!$E$1:$AY$1,0),FALSE)</f>
        <v>103.5271</v>
      </c>
      <c r="F327" s="92">
        <f>VLOOKUP(A327,Database!$E:$AY,MATCH($F$1,Database!$E$1:$AY$1,0),FALSE)</f>
        <v>102.88290000000001</v>
      </c>
      <c r="G327" s="92">
        <f>VLOOKUP(A327,Database!$E:$AY,MATCH($G$1,Database!$E$1:$AY$1,0),FALSE)</f>
        <v>102.163</v>
      </c>
      <c r="H327" s="92">
        <f>(((Table134567891011121314151617343[[#This Row],[ITA]]-VLOOKUP($U$1,A:B,2,))/VLOOKUP($U$1,A:B,2,))*100)+100</f>
        <v>84.868397786329297</v>
      </c>
      <c r="I327" s="92">
        <f>(((Table134567891011121314151617343[[#This Row],[FRA]]-VLOOKUP($U$1,A:C,3,))/VLOOKUP($U$1,A:C,3,))*100)+100</f>
        <v>97.420598807290972</v>
      </c>
      <c r="J327" s="92">
        <f>(((Table134567891011121314151617343[[#This Row],[DEU]]-VLOOKUP($U$1,A:D,4,))/VLOOKUP($U$1,A:D,4,))*100)+100</f>
        <v>136.70208938963395</v>
      </c>
      <c r="K327" s="92">
        <f>(((Table134567891011121314151617343[[#This Row],[ESP]]-VLOOKUP($U$1,A:E,5,))/VLOOKUP($U$1,A:E,5,))*100)+100</f>
        <v>87.185047509728903</v>
      </c>
      <c r="L327" s="92">
        <f>(((Table134567891011121314151617343[[#This Row],[EA19]]-VLOOKUP($U$1,A:F,6,))/VLOOKUP($U$1,A:F,6,))*100)+100</f>
        <v>115.1007270786742</v>
      </c>
      <c r="M327" s="92">
        <f>(((Table134567891011121314151617343[[#This Row],[GBR]]-VLOOKUP($U$1,A:G,7,))/VLOOKUP($U$1,A:G,7,))*100)+100</f>
        <v>95.626811787511784</v>
      </c>
      <c r="N327" s="92">
        <f>VLOOKUP(A327,Database!$E:$AY,MATCH($N$1,Database!$E$1:$AY$1,0),FALSE)</f>
        <v>98.594279999999998</v>
      </c>
      <c r="O327" s="92">
        <f>(((Table134567891011121314151617343[[#This Row],[USA]]-VLOOKUP($U$1,A:N,14,))/VLOOKUP($U$1,A:N,14,))*100)+100</f>
        <v>114.23167040142479</v>
      </c>
      <c r="P327" s="92">
        <f>VLOOKUP(A327,Database!$E:$AY,MATCH($P$1,Database!$E$1:$AY$1,0),FALSE)</f>
        <v>101.39149999999999</v>
      </c>
      <c r="Q327" s="92">
        <f>(((Table134567891011121314151617343[[#This Row],[JPN]]-VLOOKUP($U$1,A:Q,16,))/VLOOKUP($U$1,A:Q,16,))*100)+100</f>
        <v>101.79498478117715</v>
      </c>
    </row>
    <row r="328" spans="1:17" s="85" customFormat="1" x14ac:dyDescent="0.2">
      <c r="A328" s="22">
        <v>42795</v>
      </c>
      <c r="B328" s="92">
        <f>VLOOKUP(A328,Database!$E:$AY,MATCH($B$1,Database!$E$1:$AY$1,0),FALSE)</f>
        <v>103.9913</v>
      </c>
      <c r="C328" s="92">
        <f>VLOOKUP(A328,Database!$E:$AY,MATCH($C$1,Database!$E$1:$AY$1,0),FALSE)</f>
        <v>101.2008</v>
      </c>
      <c r="D328" s="92">
        <f>VLOOKUP(A328,Database!$E:$AY,MATCH($D$1,Database!$E$1:$AY$1,0),FALSE)</f>
        <v>102.2915</v>
      </c>
      <c r="E328" s="92">
        <f>VLOOKUP(A328,Database!$E:$AY,MATCH($E$1,Database!$E$1:$AY$1,0),FALSE)</f>
        <v>103.0201</v>
      </c>
      <c r="F328" s="92">
        <f>VLOOKUP(A328,Database!$E:$AY,MATCH($F$1,Database!$E$1:$AY$1,0),FALSE)</f>
        <v>102.6829</v>
      </c>
      <c r="G328" s="92">
        <f>VLOOKUP(A328,Database!$E:$AY,MATCH($G$1,Database!$E$1:$AY$1,0),FALSE)</f>
        <v>101.5401</v>
      </c>
      <c r="H328" s="92">
        <f>(((Table134567891011121314151617343[[#This Row],[ITA]]-VLOOKUP($U$1,A:B,2,))/VLOOKUP($U$1,A:B,2,))*100)+100</f>
        <v>85.526264928254733</v>
      </c>
      <c r="I328" s="92">
        <f>(((Table134567891011121314151617343[[#This Row],[FRA]]-VLOOKUP($U$1,A:C,3,))/VLOOKUP($U$1,A:C,3,))*100)+100</f>
        <v>98.500986462061363</v>
      </c>
      <c r="J328" s="92">
        <f>(((Table134567891011121314151617343[[#This Row],[DEU]]-VLOOKUP($U$1,A:D,4,))/VLOOKUP($U$1,A:D,4,))*100)+100</f>
        <v>136.03727332052819</v>
      </c>
      <c r="K328" s="92">
        <f>(((Table134567891011121314151617343[[#This Row],[ESP]]-VLOOKUP($U$1,A:E,5,))/VLOOKUP($U$1,A:E,5,))*100)+100</f>
        <v>86.758078927710926</v>
      </c>
      <c r="L328" s="92">
        <f>(((Table134567891011121314151617343[[#This Row],[EA19]]-VLOOKUP($U$1,A:F,6,))/VLOOKUP($U$1,A:F,6,))*100)+100</f>
        <v>114.8769761403187</v>
      </c>
      <c r="M328" s="92">
        <f>(((Table134567891011121314151617343[[#This Row],[GBR]]-VLOOKUP($U$1,A:G,7,))/VLOOKUP($U$1,A:G,7,))*100)+100</f>
        <v>95.043763706871616</v>
      </c>
      <c r="N328" s="92">
        <f>VLOOKUP(A328,Database!$E:$AY,MATCH($N$1,Database!$E$1:$AY$1,0),FALSE)</f>
        <v>99.261939999999996</v>
      </c>
      <c r="O328" s="92">
        <f>(((Table134567891011121314151617343[[#This Row],[USA]]-VLOOKUP($U$1,A:N,14,))/VLOOKUP($U$1,A:N,14,))*100)+100</f>
        <v>115.0052235635374</v>
      </c>
      <c r="P328" s="92">
        <f>VLOOKUP(A328,Database!$E:$AY,MATCH($P$1,Database!$E$1:$AY$1,0),FALSE)</f>
        <v>101.4915</v>
      </c>
      <c r="Q328" s="92">
        <f>(((Table134567891011121314151617343[[#This Row],[JPN]]-VLOOKUP($U$1,A:Q,16,))/VLOOKUP($U$1,A:Q,16,))*100)+100</f>
        <v>101.89538272852104</v>
      </c>
    </row>
    <row r="329" spans="1:17" s="85" customFormat="1" x14ac:dyDescent="0.2">
      <c r="A329" s="22">
        <v>42826</v>
      </c>
      <c r="B329" s="92">
        <f>VLOOKUP(A329,Database!$E:$AY,MATCH($B$1,Database!$E$1:$AY$1,0),FALSE)</f>
        <v>103.8913</v>
      </c>
      <c r="C329" s="92">
        <f>VLOOKUP(A329,Database!$E:$AY,MATCH($C$1,Database!$E$1:$AY$1,0),FALSE)</f>
        <v>101.1408</v>
      </c>
      <c r="D329" s="92">
        <f>VLOOKUP(A329,Database!$E:$AY,MATCH($D$1,Database!$E$1:$AY$1,0),FALSE)</f>
        <v>103.59139999999999</v>
      </c>
      <c r="E329" s="92">
        <f>VLOOKUP(A329,Database!$E:$AY,MATCH($E$1,Database!$E$1:$AY$1,0),FALSE)</f>
        <v>103.2821</v>
      </c>
      <c r="F329" s="92">
        <f>VLOOKUP(A329,Database!$E:$AY,MATCH($F$1,Database!$E$1:$AY$1,0),FALSE)</f>
        <v>103.5827</v>
      </c>
      <c r="G329" s="92">
        <f>VLOOKUP(A329,Database!$E:$AY,MATCH($G$1,Database!$E$1:$AY$1,0),FALSE)</f>
        <v>101.6439</v>
      </c>
      <c r="H329" s="92">
        <f>(((Table134567891011121314151617343[[#This Row],[ITA]]-VLOOKUP($U$1,A:B,2,))/VLOOKUP($U$1,A:B,2,))*100)+100</f>
        <v>85.444021255054906</v>
      </c>
      <c r="I329" s="92">
        <f>(((Table134567891011121314151617343[[#This Row],[FRA]]-VLOOKUP($U$1,A:C,3,))/VLOOKUP($U$1,A:C,3,))*100)+100</f>
        <v>98.442587129371077</v>
      </c>
      <c r="J329" s="92">
        <f>(((Table134567891011121314151617343[[#This Row],[DEU]]-VLOOKUP($U$1,A:D,4,))/VLOOKUP($U$1,A:D,4,))*100)+100</f>
        <v>137.76600788390201</v>
      </c>
      <c r="K329" s="92">
        <f>(((Table134567891011121314151617343[[#This Row],[ESP]]-VLOOKUP($U$1,A:E,5,))/VLOOKUP($U$1,A:E,5,))*100)+100</f>
        <v>86.978721469108777</v>
      </c>
      <c r="L329" s="92">
        <f>(((Table134567891011121314151617343[[#This Row],[EA19]]-VLOOKUP($U$1,A:F,6,))/VLOOKUP($U$1,A:F,6,))*100)+100</f>
        <v>115.88363161198008</v>
      </c>
      <c r="M329" s="92">
        <f>(((Table134567891011121314151617343[[#This Row],[GBR]]-VLOOKUP($U$1,A:G,7,))/VLOOKUP($U$1,A:G,7,))*100)+100</f>
        <v>95.140922786612265</v>
      </c>
      <c r="N329" s="92">
        <f>VLOOKUP(A329,Database!$E:$AY,MATCH($N$1,Database!$E$1:$AY$1,0),FALSE)</f>
        <v>100.15430000000001</v>
      </c>
      <c r="O329" s="92">
        <f>(((Table134567891011121314151617343[[#This Row],[USA]]-VLOOKUP($U$1,A:N,14,))/VLOOKUP($U$1,A:N,14,))*100)+100</f>
        <v>116.03911491503787</v>
      </c>
      <c r="P329" s="92">
        <f>VLOOKUP(A329,Database!$E:$AY,MATCH($P$1,Database!$E$1:$AY$1,0),FALSE)</f>
        <v>103.7914</v>
      </c>
      <c r="Q329" s="92">
        <f>(((Table134567891011121314151617343[[#This Row],[JPN]]-VLOOKUP($U$1,A:Q,16,))/VLOOKUP($U$1,A:Q,16,))*100)+100</f>
        <v>104.20443511948309</v>
      </c>
    </row>
    <row r="330" spans="1:17" s="85" customFormat="1" x14ac:dyDescent="0.2">
      <c r="A330" s="22">
        <v>42856</v>
      </c>
      <c r="B330" s="92">
        <f>VLOOKUP(A330,Database!$E:$AY,MATCH($B$1,Database!$E$1:$AY$1,0),FALSE)</f>
        <v>104.3913</v>
      </c>
      <c r="C330" s="92">
        <f>VLOOKUP(A330,Database!$E:$AY,MATCH($C$1,Database!$E$1:$AY$1,0),FALSE)</f>
        <v>103.29089999999999</v>
      </c>
      <c r="D330" s="92">
        <f>VLOOKUP(A330,Database!$E:$AY,MATCH($D$1,Database!$E$1:$AY$1,0),FALSE)</f>
        <v>103.9913</v>
      </c>
      <c r="E330" s="92">
        <f>VLOOKUP(A330,Database!$E:$AY,MATCH($E$1,Database!$E$1:$AY$1,0),FALSE)</f>
        <v>104.7131</v>
      </c>
      <c r="F330" s="92">
        <f>VLOOKUP(A330,Database!$E:$AY,MATCH($F$1,Database!$E$1:$AY$1,0),FALSE)</f>
        <v>103.78270000000001</v>
      </c>
      <c r="G330" s="92">
        <f>VLOOKUP(A330,Database!$E:$AY,MATCH($G$1,Database!$E$1:$AY$1,0),FALSE)</f>
        <v>102.163</v>
      </c>
      <c r="H330" s="92">
        <f>(((Table134567891011121314151617343[[#This Row],[ITA]]-VLOOKUP($U$1,A:B,2,))/VLOOKUP($U$1,A:B,2,))*100)+100</f>
        <v>85.855239621054054</v>
      </c>
      <c r="I330" s="92">
        <f>(((Table134567891011121314151617343[[#This Row],[FRA]]-VLOOKUP($U$1,A:C,3,))/VLOOKUP($U$1,A:C,3,))*100)+100</f>
        <v>100.53532721632767</v>
      </c>
      <c r="J330" s="92">
        <f>(((Table134567891011121314151617343[[#This Row],[DEU]]-VLOOKUP($U$1,A:D,4,))/VLOOKUP($U$1,A:D,4,))*100)+100</f>
        <v>138.29783414122426</v>
      </c>
      <c r="K330" s="92">
        <f>(((Table134567891011121314151617343[[#This Row],[ESP]]-VLOOKUP($U$1,A:E,5,))/VLOOKUP($U$1,A:E,5,))*100)+100</f>
        <v>88.183833975751213</v>
      </c>
      <c r="L330" s="92">
        <f>(((Table134567891011121314151617343[[#This Row],[EA19]]-VLOOKUP($U$1,A:F,6,))/VLOOKUP($U$1,A:F,6,))*100)+100</f>
        <v>116.10738255033559</v>
      </c>
      <c r="M330" s="92">
        <f>(((Table134567891011121314151617343[[#This Row],[GBR]]-VLOOKUP($U$1,A:G,7,))/VLOOKUP($U$1,A:G,7,))*100)+100</f>
        <v>95.626811787511784</v>
      </c>
      <c r="N330" s="92">
        <f>VLOOKUP(A330,Database!$E:$AY,MATCH($N$1,Database!$E$1:$AY$1,0),FALSE)</f>
        <v>100.28959999999999</v>
      </c>
      <c r="O330" s="92">
        <f>(((Table134567891011121314151617343[[#This Row],[USA]]-VLOOKUP($U$1,A:N,14,))/VLOOKUP($U$1,A:N,14,))*100)+100</f>
        <v>116.19587395831414</v>
      </c>
      <c r="P330" s="92">
        <f>VLOOKUP(A330,Database!$E:$AY,MATCH($P$1,Database!$E$1:$AY$1,0),FALSE)</f>
        <v>102.1915</v>
      </c>
      <c r="Q330" s="92">
        <f>(((Table134567891011121314151617343[[#This Row],[JPN]]-VLOOKUP($U$1,A:Q,16,))/VLOOKUP($U$1,A:Q,16,))*100)+100</f>
        <v>102.59816835992825</v>
      </c>
    </row>
    <row r="331" spans="1:17" s="85" customFormat="1" x14ac:dyDescent="0.2">
      <c r="A331" s="22">
        <v>42887</v>
      </c>
      <c r="B331" s="92">
        <f>VLOOKUP(A331,Database!$E:$AY,MATCH($B$1,Database!$E$1:$AY$1,0),FALSE)</f>
        <v>105.69119999999999</v>
      </c>
      <c r="C331" s="92">
        <f>VLOOKUP(A331,Database!$E:$AY,MATCH($C$1,Database!$E$1:$AY$1,0),FALSE)</f>
        <v>102.1508</v>
      </c>
      <c r="D331" s="92">
        <f>VLOOKUP(A331,Database!$E:$AY,MATCH($D$1,Database!$E$1:$AY$1,0),FALSE)</f>
        <v>103.8913</v>
      </c>
      <c r="E331" s="92">
        <f>VLOOKUP(A331,Database!$E:$AY,MATCH($E$1,Database!$E$1:$AY$1,0),FALSE)</f>
        <v>104.8471</v>
      </c>
      <c r="F331" s="92">
        <f>VLOOKUP(A331,Database!$E:$AY,MATCH($F$1,Database!$E$1:$AY$1,0),FALSE)</f>
        <v>103.3828</v>
      </c>
      <c r="G331" s="92">
        <f>VLOOKUP(A331,Database!$E:$AY,MATCH($G$1,Database!$E$1:$AY$1,0),FALSE)</f>
        <v>102.47450000000001</v>
      </c>
      <c r="H331" s="92">
        <f>(((Table134567891011121314151617343[[#This Row],[ITA]]-VLOOKUP($U$1,A:B,2,))/VLOOKUP($U$1,A:B,2,))*100)+100</f>
        <v>86.924325128978637</v>
      </c>
      <c r="I331" s="92">
        <f>(((Table134567891011121314151617343[[#This Row],[FRA]]-VLOOKUP($U$1,A:C,3,))/VLOOKUP($U$1,A:C,3,))*100)+100</f>
        <v>99.425642562990987</v>
      </c>
      <c r="J331" s="92">
        <f>(((Table134567891011121314151617343[[#This Row],[DEU]]-VLOOKUP($U$1,A:D,4,))/VLOOKUP($U$1,A:D,4,))*100)+100</f>
        <v>138.16484432944077</v>
      </c>
      <c r="K331" s="92">
        <f>(((Table134567891011121314151617343[[#This Row],[ESP]]-VLOOKUP($U$1,A:E,5,))/VLOOKUP($U$1,A:E,5,))*100)+100</f>
        <v>88.296681687763851</v>
      </c>
      <c r="L331" s="92">
        <f>(((Table134567891011121314151617343[[#This Row],[EA19]]-VLOOKUP($U$1,A:F,6,))/VLOOKUP($U$1,A:F,6,))*100)+100</f>
        <v>115.65999254909376</v>
      </c>
      <c r="M331" s="92">
        <f>(((Table134567891011121314151617343[[#This Row],[GBR]]-VLOOKUP($U$1,A:G,7,))/VLOOKUP($U$1,A:G,7,))*100)+100</f>
        <v>95.918382628930019</v>
      </c>
      <c r="N331" s="92">
        <f>VLOOKUP(A331,Database!$E:$AY,MATCH($N$1,Database!$E$1:$AY$1,0),FALSE)</f>
        <v>100.45480000000001</v>
      </c>
      <c r="O331" s="92">
        <f>(((Table134567891011121314151617343[[#This Row],[USA]]-VLOOKUP($U$1,A:N,14,))/VLOOKUP($U$1,A:N,14,))*100)+100</f>
        <v>116.38727524397002</v>
      </c>
      <c r="P331" s="92">
        <f>VLOOKUP(A331,Database!$E:$AY,MATCH($P$1,Database!$E$1:$AY$1,0),FALSE)</f>
        <v>102.9914</v>
      </c>
      <c r="Q331" s="92">
        <f>(((Table134567891011121314151617343[[#This Row],[JPN]]-VLOOKUP($U$1,A:Q,16,))/VLOOKUP($U$1,A:Q,16,))*100)+100</f>
        <v>103.40125154073201</v>
      </c>
    </row>
    <row r="332" spans="1:17" s="85" customFormat="1" x14ac:dyDescent="0.2">
      <c r="A332" s="22">
        <v>42917</v>
      </c>
      <c r="B332" s="92">
        <f>VLOOKUP(A332,Database!$E:$AY,MATCH($B$1,Database!$E$1:$AY$1,0),FALSE)</f>
        <v>106.4911</v>
      </c>
      <c r="C332" s="92">
        <f>VLOOKUP(A332,Database!$E:$AY,MATCH($C$1,Database!$E$1:$AY$1,0),FALSE)</f>
        <v>102.7209</v>
      </c>
      <c r="D332" s="92">
        <f>VLOOKUP(A332,Database!$E:$AY,MATCH($D$1,Database!$E$1:$AY$1,0),FALSE)</f>
        <v>104.6913</v>
      </c>
      <c r="E332" s="92">
        <f>VLOOKUP(A332,Database!$E:$AY,MATCH($E$1,Database!$E$1:$AY$1,0),FALSE)</f>
        <v>104.5081</v>
      </c>
      <c r="F332" s="92">
        <f>VLOOKUP(A332,Database!$E:$AY,MATCH($F$1,Database!$E$1:$AY$1,0),FALSE)</f>
        <v>105.0825</v>
      </c>
      <c r="G332" s="92">
        <f>VLOOKUP(A332,Database!$E:$AY,MATCH($G$1,Database!$E$1:$AY$1,0),FALSE)</f>
        <v>102.5783</v>
      </c>
      <c r="H332" s="92">
        <f>(((Table134567891011121314151617343[[#This Row],[ITA]]-VLOOKUP($U$1,A:B,2,))/VLOOKUP($U$1,A:B,2,))*100)+100</f>
        <v>87.582192270904088</v>
      </c>
      <c r="I332" s="92">
        <f>(((Table134567891011121314151617343[[#This Row],[FRA]]-VLOOKUP($U$1,A:C,3,))/VLOOKUP($U$1,A:C,3,))*100)+100</f>
        <v>99.98053355576991</v>
      </c>
      <c r="J332" s="92">
        <f>(((Table134567891011121314151617343[[#This Row],[DEU]]-VLOOKUP($U$1,A:D,4,))/VLOOKUP($U$1,A:D,4,))*100)+100</f>
        <v>139.22876282370885</v>
      </c>
      <c r="K332" s="92">
        <f>(((Table134567891011121314151617343[[#This Row],[ESP]]-VLOOKUP($U$1,A:E,5,))/VLOOKUP($U$1,A:E,5,))*100)+100</f>
        <v>88.011193819313974</v>
      </c>
      <c r="L332" s="92">
        <f>(((Table134567891011121314151617343[[#This Row],[EA19]]-VLOOKUP($U$1,A:F,6,))/VLOOKUP($U$1,A:F,6,))*100)+100</f>
        <v>117.56153989870795</v>
      </c>
      <c r="M332" s="92">
        <f>(((Table134567891011121314151617343[[#This Row],[GBR]]-VLOOKUP($U$1,A:G,7,))/VLOOKUP($U$1,A:G,7,))*100)+100</f>
        <v>96.015541708670654</v>
      </c>
      <c r="N332" s="92">
        <f>VLOOKUP(A332,Database!$E:$AY,MATCH($N$1,Database!$E$1:$AY$1,0),FALSE)</f>
        <v>100.4143</v>
      </c>
      <c r="O332" s="92">
        <f>(((Table134567891011121314151617343[[#This Row],[USA]]-VLOOKUP($U$1,A:N,14,))/VLOOKUP($U$1,A:N,14,))*100)+100</f>
        <v>116.3403518052953</v>
      </c>
      <c r="P332" s="92">
        <f>VLOOKUP(A332,Database!$E:$AY,MATCH($P$1,Database!$E$1:$AY$1,0),FALSE)</f>
        <v>102.4915</v>
      </c>
      <c r="Q332" s="92">
        <f>(((Table134567891011121314151617343[[#This Row],[JPN]]-VLOOKUP($U$1,A:Q,16,))/VLOOKUP($U$1,A:Q,16,))*100)+100</f>
        <v>102.89936220195992</v>
      </c>
    </row>
    <row r="333" spans="1:17" s="85" customFormat="1" x14ac:dyDescent="0.2">
      <c r="A333" s="22">
        <v>42948</v>
      </c>
      <c r="B333" s="92">
        <f>VLOOKUP(A333,Database!$E:$AY,MATCH($B$1,Database!$E$1:$AY$1,0),FALSE)</f>
        <v>108.291</v>
      </c>
      <c r="C333" s="92">
        <f>VLOOKUP(A333,Database!$E:$AY,MATCH($C$1,Database!$E$1:$AY$1,0),FALSE)</f>
        <v>102.9209</v>
      </c>
      <c r="D333" s="92">
        <f>VLOOKUP(A333,Database!$E:$AY,MATCH($D$1,Database!$E$1:$AY$1,0),FALSE)</f>
        <v>106.7911</v>
      </c>
      <c r="E333" s="92">
        <f>VLOOKUP(A333,Database!$E:$AY,MATCH($E$1,Database!$E$1:$AY$1,0),FALSE)</f>
        <v>104.9691</v>
      </c>
      <c r="F333" s="92">
        <f>VLOOKUP(A333,Database!$E:$AY,MATCH($F$1,Database!$E$1:$AY$1,0),FALSE)</f>
        <v>105.6824</v>
      </c>
      <c r="G333" s="92">
        <f>VLOOKUP(A333,Database!$E:$AY,MATCH($G$1,Database!$E$1:$AY$1,0),FALSE)</f>
        <v>102.47450000000001</v>
      </c>
      <c r="H333" s="92">
        <f>(((Table134567891011121314151617343[[#This Row],[ITA]]-VLOOKUP($U$1,A:B,2,))/VLOOKUP($U$1,A:B,2,))*100)+100</f>
        <v>89.062496144827819</v>
      </c>
      <c r="I333" s="92">
        <f>(((Table134567891011121314151617343[[#This Row],[FRA]]-VLOOKUP($U$1,A:C,3,))/VLOOKUP($U$1,A:C,3,))*100)+100</f>
        <v>100.17519799807089</v>
      </c>
      <c r="J333" s="92">
        <f>(((Table134567891011121314151617343[[#This Row],[DEU]]-VLOOKUP($U$1,A:D,4,))/VLOOKUP($U$1,A:D,4,))*100)+100</f>
        <v>142.02128289153896</v>
      </c>
      <c r="K333" s="92">
        <f>(((Table134567891011121314151617343[[#This Row],[ESP]]-VLOOKUP($U$1,A:E,5,))/VLOOKUP($U$1,A:E,5,))*100)+100</f>
        <v>88.399423634521625</v>
      </c>
      <c r="L333" s="92">
        <f>(((Table134567891011121314151617343[[#This Row],[EA19]]-VLOOKUP($U$1,A:F,6,))/VLOOKUP($U$1,A:F,6,))*100)+100</f>
        <v>118.23268083830527</v>
      </c>
      <c r="M333" s="92">
        <f>(((Table134567891011121314151617343[[#This Row],[GBR]]-VLOOKUP($U$1,A:G,7,))/VLOOKUP($U$1,A:G,7,))*100)+100</f>
        <v>95.918382628930019</v>
      </c>
      <c r="N333" s="92">
        <f>VLOOKUP(A333,Database!$E:$AY,MATCH($N$1,Database!$E$1:$AY$1,0),FALSE)</f>
        <v>99.938609999999997</v>
      </c>
      <c r="O333" s="92">
        <f>(((Table134567891011121314151617343[[#This Row],[USA]]-VLOOKUP($U$1,A:N,14,))/VLOOKUP($U$1,A:N,14,))*100)+100</f>
        <v>115.78921574250084</v>
      </c>
      <c r="P333" s="92">
        <f>VLOOKUP(A333,Database!$E:$AY,MATCH($P$1,Database!$E$1:$AY$1,0),FALSE)</f>
        <v>103.7914</v>
      </c>
      <c r="Q333" s="92">
        <f>(((Table134567891011121314151617343[[#This Row],[JPN]]-VLOOKUP($U$1,A:Q,16,))/VLOOKUP($U$1,A:Q,16,))*100)+100</f>
        <v>104.20443511948309</v>
      </c>
    </row>
    <row r="334" spans="1:17" s="85" customFormat="1" x14ac:dyDescent="0.2">
      <c r="A334" s="22">
        <v>42979</v>
      </c>
      <c r="B334" s="92">
        <f>VLOOKUP(A334,Database!$E:$AY,MATCH($B$1,Database!$E$1:$AY$1,0),FALSE)</f>
        <v>105.2912</v>
      </c>
      <c r="C334" s="92">
        <f>VLOOKUP(A334,Database!$E:$AY,MATCH($C$1,Database!$E$1:$AY$1,0),FALSE)</f>
        <v>103.79089999999999</v>
      </c>
      <c r="D334" s="92">
        <f>VLOOKUP(A334,Database!$E:$AY,MATCH($D$1,Database!$E$1:$AY$1,0),FALSE)</f>
        <v>106.0912</v>
      </c>
      <c r="E334" s="92">
        <f>VLOOKUP(A334,Database!$E:$AY,MATCH($E$1,Database!$E$1:$AY$1,0),FALSE)</f>
        <v>105.5681</v>
      </c>
      <c r="F334" s="92">
        <f>VLOOKUP(A334,Database!$E:$AY,MATCH($F$1,Database!$E$1:$AY$1,0),FALSE)</f>
        <v>105.2825</v>
      </c>
      <c r="G334" s="92">
        <f>VLOOKUP(A334,Database!$E:$AY,MATCH($G$1,Database!$E$1:$AY$1,0),FALSE)</f>
        <v>104.1357</v>
      </c>
      <c r="H334" s="92">
        <f>(((Table134567891011121314151617343[[#This Row],[ITA]]-VLOOKUP($U$1,A:B,2,))/VLOOKUP($U$1,A:B,2,))*100)+100</f>
        <v>86.595350436179331</v>
      </c>
      <c r="I334" s="92">
        <f>(((Table134567891011121314151617343[[#This Row],[FRA]]-VLOOKUP($U$1,A:C,3,))/VLOOKUP($U$1,A:C,3,))*100)+100</f>
        <v>101.02198832208011</v>
      </c>
      <c r="J334" s="92">
        <f>(((Table134567891011121314151617343[[#This Row],[DEU]]-VLOOKUP($U$1,A:D,4,))/VLOOKUP($U$1,A:D,4,))*100)+100</f>
        <v>141.09048719886619</v>
      </c>
      <c r="K334" s="92">
        <f>(((Table134567891011121314151617343[[#This Row],[ESP]]-VLOOKUP($U$1,A:E,5,))/VLOOKUP($U$1,A:E,5,))*100)+100</f>
        <v>88.903869750160212</v>
      </c>
      <c r="L334" s="92">
        <f>(((Table134567891011121314151617343[[#This Row],[EA19]]-VLOOKUP($U$1,A:F,6,))/VLOOKUP($U$1,A:F,6,))*100)+100</f>
        <v>117.78529083706346</v>
      </c>
      <c r="M334" s="92">
        <f>(((Table134567891011121314151617343[[#This Row],[GBR]]-VLOOKUP($U$1,A:G,7,))/VLOOKUP($U$1,A:G,7,))*100)+100</f>
        <v>97.473302313565483</v>
      </c>
      <c r="N334" s="92">
        <f>VLOOKUP(A334,Database!$E:$AY,MATCH($N$1,Database!$E$1:$AY$1,0),FALSE)</f>
        <v>99.941209999999998</v>
      </c>
      <c r="O334" s="92">
        <f>(((Table134567891011121314151617343[[#This Row],[USA]]-VLOOKUP($U$1,A:N,14,))/VLOOKUP($U$1,A:N,14,))*100)+100</f>
        <v>115.79222811140342</v>
      </c>
      <c r="P334" s="92">
        <f>VLOOKUP(A334,Database!$E:$AY,MATCH($P$1,Database!$E$1:$AY$1,0),FALSE)</f>
        <v>102.5915</v>
      </c>
      <c r="Q334" s="92">
        <f>(((Table134567891011121314151617343[[#This Row],[JPN]]-VLOOKUP($U$1,A:Q,16,))/VLOOKUP($U$1,A:Q,16,))*100)+100</f>
        <v>102.9997601493038</v>
      </c>
    </row>
    <row r="335" spans="1:17" s="85" customFormat="1" x14ac:dyDescent="0.2">
      <c r="A335" s="22">
        <v>43009</v>
      </c>
      <c r="B335" s="92">
        <f>VLOOKUP(A335,Database!$E:$AY,MATCH($B$1,Database!$E$1:$AY$1,0),FALSE)</f>
        <v>105.5912</v>
      </c>
      <c r="C335" s="92">
        <f>VLOOKUP(A335,Database!$E:$AY,MATCH($C$1,Database!$E$1:$AY$1,0),FALSE)</f>
        <v>104.23090000000001</v>
      </c>
      <c r="D335" s="92">
        <f>VLOOKUP(A335,Database!$E:$AY,MATCH($D$1,Database!$E$1:$AY$1,0),FALSE)</f>
        <v>104.3913</v>
      </c>
      <c r="E335" s="92">
        <f>VLOOKUP(A335,Database!$E:$AY,MATCH($E$1,Database!$E$1:$AY$1,0),FALSE)</f>
        <v>105.77809999999999</v>
      </c>
      <c r="F335" s="92">
        <f>VLOOKUP(A335,Database!$E:$AY,MATCH($F$1,Database!$E$1:$AY$1,0),FALSE)</f>
        <v>104.9825</v>
      </c>
      <c r="G335" s="92">
        <f>VLOOKUP(A335,Database!$E:$AY,MATCH($G$1,Database!$E$1:$AY$1,0),FALSE)</f>
        <v>103.928</v>
      </c>
      <c r="H335" s="92">
        <f>(((Table134567891011121314151617343[[#This Row],[ITA]]-VLOOKUP($U$1,A:B,2,))/VLOOKUP($U$1,A:B,2,))*100)+100</f>
        <v>86.842081455778811</v>
      </c>
      <c r="I335" s="92">
        <f>(((Table134567891011121314151617343[[#This Row],[FRA]]-VLOOKUP($U$1,A:C,3,))/VLOOKUP($U$1,A:C,3,))*100)+100</f>
        <v>101.45025009514225</v>
      </c>
      <c r="J335" s="92">
        <f>(((Table134567891011121314151617343[[#This Row],[DEU]]-VLOOKUP($U$1,A:D,4,))/VLOOKUP($U$1,A:D,4,))*100)+100</f>
        <v>138.82979338835833</v>
      </c>
      <c r="K335" s="92">
        <f>(((Table134567891011121314151617343[[#This Row],[ESP]]-VLOOKUP($U$1,A:E,5,))/VLOOKUP($U$1,A:E,5,))*100)+100</f>
        <v>89.080720642120312</v>
      </c>
      <c r="L335" s="92">
        <f>(((Table134567891011121314151617343[[#This Row],[EA19]]-VLOOKUP($U$1,A:F,6,))/VLOOKUP($U$1,A:F,6,))*100)+100</f>
        <v>117.4496644295302</v>
      </c>
      <c r="M335" s="92">
        <f>(((Table134567891011121314151617343[[#This Row],[GBR]]-VLOOKUP($U$1,A:G,7,))/VLOOKUP($U$1,A:G,7,))*100)+100</f>
        <v>97.278890551887912</v>
      </c>
      <c r="N335" s="92">
        <f>VLOOKUP(A335,Database!$E:$AY,MATCH($N$1,Database!$E$1:$AY$1,0),FALSE)</f>
        <v>101.45740000000001</v>
      </c>
      <c r="O335" s="92">
        <f>(((Table134567891011121314151617343[[#This Row],[USA]]-VLOOKUP($U$1,A:N,14,))/VLOOKUP($U$1,A:N,14,))*100)+100</f>
        <v>117.54889103693964</v>
      </c>
      <c r="P335" s="92">
        <f>VLOOKUP(A335,Database!$E:$AY,MATCH($P$1,Database!$E$1:$AY$1,0),FALSE)</f>
        <v>103.1914</v>
      </c>
      <c r="Q335" s="92">
        <f>(((Table134567891011121314151617343[[#This Row],[JPN]]-VLOOKUP($U$1,A:Q,16,))/VLOOKUP($U$1,A:Q,16,))*100)+100</f>
        <v>103.60204743541978</v>
      </c>
    </row>
    <row r="336" spans="1:17" s="85" customFormat="1" x14ac:dyDescent="0.2">
      <c r="A336" s="22">
        <v>43040</v>
      </c>
      <c r="B336" s="92">
        <f>VLOOKUP(A336,Database!$E:$AY,MATCH($B$1,Database!$E$1:$AY$1,0),FALSE)</f>
        <v>107.2911</v>
      </c>
      <c r="C336" s="92">
        <f>VLOOKUP(A336,Database!$E:$AY,MATCH($C$1,Database!$E$1:$AY$1,0),FALSE)</f>
        <v>104.6609</v>
      </c>
      <c r="D336" s="92">
        <f>VLOOKUP(A336,Database!$E:$AY,MATCH($D$1,Database!$E$1:$AY$1,0),FALSE)</f>
        <v>108.59099999999999</v>
      </c>
      <c r="E336" s="92">
        <f>VLOOKUP(A336,Database!$E:$AY,MATCH($E$1,Database!$E$1:$AY$1,0),FALSE)</f>
        <v>107.5271</v>
      </c>
      <c r="F336" s="92">
        <f>VLOOKUP(A336,Database!$E:$AY,MATCH($F$1,Database!$E$1:$AY$1,0),FALSE)</f>
        <v>107.4821</v>
      </c>
      <c r="G336" s="92">
        <f>VLOOKUP(A336,Database!$E:$AY,MATCH($G$1,Database!$E$1:$AY$1,0),FALSE)</f>
        <v>104.1357</v>
      </c>
      <c r="H336" s="92">
        <f>(((Table134567891011121314151617343[[#This Row],[ITA]]-VLOOKUP($U$1,A:B,2,))/VLOOKUP($U$1,A:B,2,))*100)+100</f>
        <v>88.240141656502715</v>
      </c>
      <c r="I336" s="92">
        <f>(((Table134567891011121314151617343[[#This Row],[FRA]]-VLOOKUP($U$1,A:C,3,))/VLOOKUP($U$1,A:C,3,))*100)+100</f>
        <v>101.86877864608934</v>
      </c>
      <c r="J336" s="92">
        <f>(((Table134567891011121314151617343[[#This Row],[DEU]]-VLOOKUP($U$1,A:D,4,))/VLOOKUP($U$1,A:D,4,))*100)+100</f>
        <v>144.41496651383034</v>
      </c>
      <c r="K336" s="92">
        <f>(((Table134567891011121314151617343[[#This Row],[ESP]]-VLOOKUP($U$1,A:E,5,))/VLOOKUP($U$1,A:E,5,))*100)+100</f>
        <v>90.553635928016632</v>
      </c>
      <c r="L336" s="92">
        <f>(((Table134567891011121314151617343[[#This Row],[EA19]]-VLOOKUP($U$1,A:F,6,))/VLOOKUP($U$1,A:F,6,))*100)+100</f>
        <v>120.24610365709722</v>
      </c>
      <c r="M336" s="92">
        <f>(((Table134567891011121314151617343[[#This Row],[GBR]]-VLOOKUP($U$1,A:G,7,))/VLOOKUP($U$1,A:G,7,))*100)+100</f>
        <v>97.473302313565483</v>
      </c>
      <c r="N336" s="92">
        <f>VLOOKUP(A336,Database!$E:$AY,MATCH($N$1,Database!$E$1:$AY$1,0),FALSE)</f>
        <v>101.99939999999999</v>
      </c>
      <c r="O336" s="92">
        <f>(((Table134567891011121314151617343[[#This Row],[USA]]-VLOOKUP($U$1,A:N,14,))/VLOOKUP($U$1,A:N,14,))*100)+100</f>
        <v>118.17685409278397</v>
      </c>
      <c r="P336" s="92">
        <f>VLOOKUP(A336,Database!$E:$AY,MATCH($P$1,Database!$E$1:$AY$1,0),FALSE)</f>
        <v>103.9913</v>
      </c>
      <c r="Q336" s="92">
        <f>(((Table134567891011121314151617343[[#This Row],[JPN]]-VLOOKUP($U$1,A:Q,16,))/VLOOKUP($U$1,A:Q,16,))*100)+100</f>
        <v>104.40513061622353</v>
      </c>
    </row>
    <row r="337" spans="1:17" s="85" customFormat="1" x14ac:dyDescent="0.2">
      <c r="A337" s="22">
        <v>43070</v>
      </c>
      <c r="B337" s="92">
        <f>VLOOKUP(A337,Database!$E:$AY,MATCH($B$1,Database!$E$1:$AY$1,0),FALSE)</f>
        <v>110.2908</v>
      </c>
      <c r="C337" s="92">
        <f>VLOOKUP(A337,Database!$E:$AY,MATCH($C$1,Database!$E$1:$AY$1,0),FALSE)</f>
        <v>105.7009</v>
      </c>
      <c r="D337" s="92">
        <f>VLOOKUP(A337,Database!$E:$AY,MATCH($D$1,Database!$E$1:$AY$1,0),FALSE)</f>
        <v>108.191</v>
      </c>
      <c r="E337" s="92">
        <f>VLOOKUP(A337,Database!$E:$AY,MATCH($E$1,Database!$E$1:$AY$1,0),FALSE)</f>
        <v>109.7471</v>
      </c>
      <c r="F337" s="92">
        <f>VLOOKUP(A337,Database!$E:$AY,MATCH($F$1,Database!$E$1:$AY$1,0),FALSE)</f>
        <v>107.88200000000001</v>
      </c>
      <c r="G337" s="92">
        <f>VLOOKUP(A337,Database!$E:$AY,MATCH($G$1,Database!$E$1:$AY$1,0),FALSE)</f>
        <v>103.7204</v>
      </c>
      <c r="H337" s="92">
        <f>(((Table134567891011121314151617343[[#This Row],[ITA]]-VLOOKUP($U$1,A:B,2,))/VLOOKUP($U$1,A:B,2,))*100)+100</f>
        <v>90.707205121478026</v>
      </c>
      <c r="I337" s="92">
        <f>(((Table134567891011121314151617343[[#This Row],[FRA]]-VLOOKUP($U$1,A:C,3,))/VLOOKUP($U$1,A:C,3,))*100)+100</f>
        <v>102.8810337460544</v>
      </c>
      <c r="J337" s="92">
        <f>(((Table134567891011121314151617343[[#This Row],[DEU]]-VLOOKUP($U$1,A:D,4,))/VLOOKUP($U$1,A:D,4,))*100)+100</f>
        <v>143.8830072666963</v>
      </c>
      <c r="K337" s="92">
        <f>(((Table134567891011121314151617343[[#This Row],[ESP]]-VLOOKUP($U$1,A:E,5,))/VLOOKUP($U$1,A:E,5,))*100)+100</f>
        <v>92.423202500166326</v>
      </c>
      <c r="L337" s="92">
        <f>(((Table134567891011121314151617343[[#This Row],[EA19]]-VLOOKUP($U$1,A:F,6,))/VLOOKUP($U$1,A:F,6,))*100)+100</f>
        <v>120.69349365833904</v>
      </c>
      <c r="M337" s="92">
        <f>(((Table134567891011121314151617343[[#This Row],[GBR]]-VLOOKUP($U$1,A:G,7,))/VLOOKUP($U$1,A:G,7,))*100)+100</f>
        <v>97.084572392406614</v>
      </c>
      <c r="N337" s="92">
        <f>VLOOKUP(A337,Database!$E:$AY,MATCH($N$1,Database!$E$1:$AY$1,0),FALSE)</f>
        <v>102.3288</v>
      </c>
      <c r="O337" s="92">
        <f>(((Table134567891011121314151617343[[#This Row],[USA]]-VLOOKUP($U$1,A:N,14,))/VLOOKUP($U$1,A:N,14,))*100)+100</f>
        <v>118.55849806067165</v>
      </c>
      <c r="P337" s="92">
        <f>VLOOKUP(A337,Database!$E:$AY,MATCH($P$1,Database!$E$1:$AY$1,0),FALSE)</f>
        <v>105.49120000000001</v>
      </c>
      <c r="Q337" s="92">
        <f>(((Table134567891011121314151617343[[#This Row],[JPN]]-VLOOKUP($U$1,A:Q,16,))/VLOOKUP($U$1,A:Q,16,))*100)+100</f>
        <v>105.91099942843449</v>
      </c>
    </row>
    <row r="338" spans="1:17" s="85" customFormat="1" x14ac:dyDescent="0.2">
      <c r="A338" s="22">
        <v>43101</v>
      </c>
      <c r="B338" s="92">
        <f>VLOOKUP(A338,Database!$E:$AY,MATCH($B$1,Database!$E$1:$AY$1,0),FALSE)</f>
        <v>106.19119999999999</v>
      </c>
      <c r="C338" s="92">
        <f>VLOOKUP(A338,Database!$E:$AY,MATCH($C$1,Database!$E$1:$AY$1,0),FALSE)</f>
        <v>102.0209</v>
      </c>
      <c r="D338" s="92">
        <f>VLOOKUP(A338,Database!$E:$AY,MATCH($D$1,Database!$E$1:$AY$1,0),FALSE)</f>
        <v>107.2911</v>
      </c>
      <c r="E338" s="92">
        <f>VLOOKUP(A338,Database!$E:$AY,MATCH($E$1,Database!$E$1:$AY$1,0),FALSE)</f>
        <v>104.2681</v>
      </c>
      <c r="F338" s="92">
        <f>VLOOKUP(A338,Database!$E:$AY,MATCH($F$1,Database!$E$1:$AY$1,0),FALSE)</f>
        <v>105.8824</v>
      </c>
      <c r="G338" s="92">
        <f>VLOOKUP(A338,Database!$E:$AY,MATCH($G$1,Database!$E$1:$AY$1,0),FALSE)</f>
        <v>104.3433</v>
      </c>
      <c r="H338" s="92">
        <f>(((Table134567891011121314151617343[[#This Row],[ITA]]-VLOOKUP($U$1,A:B,2,))/VLOOKUP($U$1,A:B,2,))*100)+100</f>
        <v>87.335543494977784</v>
      </c>
      <c r="I338" s="92">
        <f>(((Table134567891011121314151617343[[#This Row],[FRA]]-VLOOKUP($U$1,A:C,3,))/VLOOKUP($U$1,A:C,3,))*100)+100</f>
        <v>99.299208007716501</v>
      </c>
      <c r="J338" s="92">
        <f>(((Table134567891011121314151617343[[#This Row],[DEU]]-VLOOKUP($U$1,A:D,4,))/VLOOKUP($U$1,A:D,4,))*100)+100</f>
        <v>142.68623195045649</v>
      </c>
      <c r="K338" s="92">
        <f>(((Table134567891011121314151617343[[#This Row],[ESP]]-VLOOKUP($U$1,A:E,5,))/VLOOKUP($U$1,A:E,5,))*100)+100</f>
        <v>87.809078514216708</v>
      </c>
      <c r="L338" s="92">
        <f>(((Table134567891011121314151617343[[#This Row],[EA19]]-VLOOKUP($U$1,A:F,6,))/VLOOKUP($U$1,A:F,6,))*100)+100</f>
        <v>118.45643177666078</v>
      </c>
      <c r="M338" s="92">
        <f>(((Table134567891011121314151617343[[#This Row],[GBR]]-VLOOKUP($U$1,A:G,7,))/VLOOKUP($U$1,A:G,7,))*100)+100</f>
        <v>97.667620473046782</v>
      </c>
      <c r="N338" s="92">
        <f>VLOOKUP(A338,Database!$E:$AY,MATCH($N$1,Database!$E$1:$AY$1,0),FALSE)</f>
        <v>102.069</v>
      </c>
      <c r="O338" s="92">
        <f>(((Table134567891011121314151617343[[#This Row],[USA]]-VLOOKUP($U$1,A:N,14,))/VLOOKUP($U$1,A:N,14,))*100)+100</f>
        <v>118.25749289109905</v>
      </c>
      <c r="P338" s="92">
        <f>VLOOKUP(A338,Database!$E:$AY,MATCH($P$1,Database!$E$1:$AY$1,0),FALSE)</f>
        <v>101.2916</v>
      </c>
      <c r="Q338" s="92">
        <f>(((Table134567891011121314151617343[[#This Row],[JPN]]-VLOOKUP($U$1,A:Q,16,))/VLOOKUP($U$1,A:Q,16,))*100)+100</f>
        <v>101.69468723178062</v>
      </c>
    </row>
    <row r="339" spans="1:17" s="85" customFormat="1" x14ac:dyDescent="0.2">
      <c r="A339" s="22">
        <v>43132</v>
      </c>
      <c r="B339" s="92">
        <f>VLOOKUP(A339,Database!$E:$AY,MATCH($B$1,Database!$E$1:$AY$1,0),FALSE)</f>
        <v>105.7912</v>
      </c>
      <c r="C339" s="92">
        <f>VLOOKUP(A339,Database!$E:$AY,MATCH($C$1,Database!$E$1:$AY$1,0),FALSE)</f>
        <v>103.15089999999999</v>
      </c>
      <c r="D339" s="92">
        <f>VLOOKUP(A339,Database!$E:$AY,MATCH($D$1,Database!$E$1:$AY$1,0),FALSE)</f>
        <v>105.2912</v>
      </c>
      <c r="E339" s="92">
        <f>VLOOKUP(A339,Database!$E:$AY,MATCH($E$1,Database!$E$1:$AY$1,0),FALSE)</f>
        <v>106.1961</v>
      </c>
      <c r="F339" s="92">
        <f>VLOOKUP(A339,Database!$E:$AY,MATCH($F$1,Database!$E$1:$AY$1,0),FALSE)</f>
        <v>105.0825</v>
      </c>
      <c r="G339" s="92">
        <f>VLOOKUP(A339,Database!$E:$AY,MATCH($G$1,Database!$E$1:$AY$1,0),FALSE)</f>
        <v>104.3433</v>
      </c>
      <c r="H339" s="92">
        <f>(((Table134567891011121314151617343[[#This Row],[ITA]]-VLOOKUP($U$1,A:B,2,))/VLOOKUP($U$1,A:B,2,))*100)+100</f>
        <v>87.006568802178478</v>
      </c>
      <c r="I339" s="92">
        <f>(((Table134567891011121314151617343[[#This Row],[FRA]]-VLOOKUP($U$1,A:C,3,))/VLOOKUP($U$1,A:C,3,))*100)+100</f>
        <v>100.399062106717</v>
      </c>
      <c r="J339" s="92">
        <f>(((Table134567891011121314151617343[[#This Row],[DEU]]-VLOOKUP($U$1,A:D,4,))/VLOOKUP($U$1,A:D,4,))*100)+100</f>
        <v>140.02656870459811</v>
      </c>
      <c r="K339" s="92">
        <f>(((Table134567891011121314151617343[[#This Row],[ESP]]-VLOOKUP($U$1,A:E,5,))/VLOOKUP($U$1,A:E,5,))*100)+100</f>
        <v>89.432738131831385</v>
      </c>
      <c r="L339" s="92">
        <f>(((Table134567891011121314151617343[[#This Row],[EA19]]-VLOOKUP($U$1,A:F,6,))/VLOOKUP($U$1,A:F,6,))*100)+100</f>
        <v>117.56153989870795</v>
      </c>
      <c r="M339" s="92">
        <f>(((Table134567891011121314151617343[[#This Row],[GBR]]-VLOOKUP($U$1,A:G,7,))/VLOOKUP($U$1,A:G,7,))*100)+100</f>
        <v>97.667620473046782</v>
      </c>
      <c r="N339" s="92">
        <f>VLOOKUP(A339,Database!$E:$AY,MATCH($N$1,Database!$E$1:$AY$1,0),FALSE)</f>
        <v>102.4306</v>
      </c>
      <c r="O339" s="92">
        <f>(((Table134567891011121314151617343[[#This Row],[USA]]-VLOOKUP($U$1,A:N,14,))/VLOOKUP($U$1,A:N,14,))*100)+100</f>
        <v>118.67644388924168</v>
      </c>
      <c r="P339" s="92">
        <f>VLOOKUP(A339,Database!$E:$AY,MATCH($P$1,Database!$E$1:$AY$1,0),FALSE)</f>
        <v>103.7914</v>
      </c>
      <c r="Q339" s="92">
        <f>(((Table134567891011121314151617343[[#This Row],[JPN]]-VLOOKUP($U$1,A:Q,16,))/VLOOKUP($U$1,A:Q,16,))*100)+100</f>
        <v>104.20443511948309</v>
      </c>
    </row>
    <row r="340" spans="1:17" s="85" customFormat="1" x14ac:dyDescent="0.2">
      <c r="A340" s="22">
        <v>43160</v>
      </c>
      <c r="B340" s="92">
        <f>VLOOKUP(A340,Database!$E:$AY,MATCH($B$1,Database!$E$1:$AY$1,0),FALSE)</f>
        <v>107.2911</v>
      </c>
      <c r="C340" s="92">
        <f>VLOOKUP(A340,Database!$E:$AY,MATCH($C$1,Database!$E$1:$AY$1,0),FALSE)</f>
        <v>103.90089999999999</v>
      </c>
      <c r="D340" s="92">
        <f>VLOOKUP(A340,Database!$E:$AY,MATCH($D$1,Database!$E$1:$AY$1,0),FALSE)</f>
        <v>106.5911</v>
      </c>
      <c r="E340" s="92">
        <f>VLOOKUP(A340,Database!$E:$AY,MATCH($E$1,Database!$E$1:$AY$1,0),FALSE)</f>
        <v>108.0001</v>
      </c>
      <c r="F340" s="92">
        <f>VLOOKUP(A340,Database!$E:$AY,MATCH($F$1,Database!$E$1:$AY$1,0),FALSE)</f>
        <v>105.1825</v>
      </c>
      <c r="G340" s="92">
        <f>VLOOKUP(A340,Database!$E:$AY,MATCH($G$1,Database!$E$1:$AY$1,0),FALSE)</f>
        <v>104.0318</v>
      </c>
      <c r="H340" s="92">
        <f>(((Table134567891011121314151617343[[#This Row],[ITA]]-VLOOKUP($U$1,A:B,2,))/VLOOKUP($U$1,A:B,2,))*100)+100</f>
        <v>88.240141656502715</v>
      </c>
      <c r="I340" s="92">
        <f>(((Table134567891011121314151617343[[#This Row],[FRA]]-VLOOKUP($U$1,A:C,3,))/VLOOKUP($U$1,A:C,3,))*100)+100</f>
        <v>101.12905376534563</v>
      </c>
      <c r="J340" s="92">
        <f>(((Table134567891011121314151617343[[#This Row],[DEU]]-VLOOKUP($U$1,A:D,4,))/VLOOKUP($U$1,A:D,4,))*100)+100</f>
        <v>141.75530326797195</v>
      </c>
      <c r="K340" s="92">
        <f>(((Table134567891011121314151617343[[#This Row],[ESP]]-VLOOKUP($U$1,A:E,5,))/VLOOKUP($U$1,A:E,5,))*100)+100</f>
        <v>90.951971508479161</v>
      </c>
      <c r="L340" s="92">
        <f>(((Table134567891011121314151617343[[#This Row],[EA19]]-VLOOKUP($U$1,A:F,6,))/VLOOKUP($U$1,A:F,6,))*100)+100</f>
        <v>117.67341536788571</v>
      </c>
      <c r="M340" s="92">
        <f>(((Table134567891011121314151617343[[#This Row],[GBR]]-VLOOKUP($U$1,A:G,7,))/VLOOKUP($U$1,A:G,7,))*100)+100</f>
        <v>97.376049631628561</v>
      </c>
      <c r="N340" s="92">
        <f>VLOOKUP(A340,Database!$E:$AY,MATCH($N$1,Database!$E$1:$AY$1,0),FALSE)</f>
        <v>103.01649999999999</v>
      </c>
      <c r="O340" s="92">
        <f>(((Table134567891011121314151617343[[#This Row],[USA]]-VLOOKUP($U$1,A:N,14,))/VLOOKUP($U$1,A:N,14,))*100)+100</f>
        <v>119.35526963540255</v>
      </c>
      <c r="P340" s="92">
        <f>VLOOKUP(A340,Database!$E:$AY,MATCH($P$1,Database!$E$1:$AY$1,0),FALSE)</f>
        <v>104.8913</v>
      </c>
      <c r="Q340" s="92">
        <f>(((Table134567891011121314151617343[[#This Row],[JPN]]-VLOOKUP($U$1,A:Q,16,))/VLOOKUP($U$1,A:Q,16,))*100)+100</f>
        <v>105.30871214231851</v>
      </c>
    </row>
    <row r="341" spans="1:17" s="85" customFormat="1" x14ac:dyDescent="0.2">
      <c r="A341" s="22">
        <v>43191</v>
      </c>
      <c r="B341" s="92">
        <f>VLOOKUP(A341,Database!$E:$AY,MATCH($B$1,Database!$E$1:$AY$1,0),FALSE)</f>
        <v>106.2911</v>
      </c>
      <c r="C341" s="92">
        <f>VLOOKUP(A341,Database!$E:$AY,MATCH($C$1,Database!$E$1:$AY$1,0),FALSE)</f>
        <v>102.6409</v>
      </c>
      <c r="D341" s="92">
        <f>VLOOKUP(A341,Database!$E:$AY,MATCH($D$1,Database!$E$1:$AY$1,0),FALSE)</f>
        <v>106.0912</v>
      </c>
      <c r="E341" s="92">
        <f>VLOOKUP(A341,Database!$E:$AY,MATCH($E$1,Database!$E$1:$AY$1,0),FALSE)</f>
        <v>105.0941</v>
      </c>
      <c r="F341" s="92">
        <f>VLOOKUP(A341,Database!$E:$AY,MATCH($F$1,Database!$E$1:$AY$1,0),FALSE)</f>
        <v>105.1825</v>
      </c>
      <c r="G341" s="92">
        <f>VLOOKUP(A341,Database!$E:$AY,MATCH($G$1,Database!$E$1:$AY$1,0),FALSE)</f>
        <v>104.3433</v>
      </c>
      <c r="H341" s="92">
        <f>(((Table134567891011121314151617343[[#This Row],[ITA]]-VLOOKUP($U$1,A:B,2,))/VLOOKUP($U$1,A:B,2,))*100)+100</f>
        <v>87.41770492450442</v>
      </c>
      <c r="I341" s="92">
        <f>(((Table134567891011121314151617343[[#This Row],[FRA]]-VLOOKUP($U$1,A:C,3,))/VLOOKUP($U$1,A:C,3,))*100)+100</f>
        <v>99.902667778849519</v>
      </c>
      <c r="J341" s="92">
        <f>(((Table134567891011121314151617343[[#This Row],[DEU]]-VLOOKUP($U$1,A:D,4,))/VLOOKUP($U$1,A:D,4,))*100)+100</f>
        <v>141.09048719886619</v>
      </c>
      <c r="K341" s="92">
        <f>(((Table134567891011121314151617343[[#This Row],[ESP]]-VLOOKUP($U$1,A:E,5,))/VLOOKUP($U$1,A:E,5,))*100)+100</f>
        <v>88.504692022593119</v>
      </c>
      <c r="L341" s="92">
        <f>(((Table134567891011121314151617343[[#This Row],[EA19]]-VLOOKUP($U$1,A:F,6,))/VLOOKUP($U$1,A:F,6,))*100)+100</f>
        <v>117.67341536788571</v>
      </c>
      <c r="M341" s="92">
        <f>(((Table134567891011121314151617343[[#This Row],[GBR]]-VLOOKUP($U$1,A:G,7,))/VLOOKUP($U$1,A:G,7,))*100)+100</f>
        <v>97.667620473046782</v>
      </c>
      <c r="N341" s="92">
        <f>VLOOKUP(A341,Database!$E:$AY,MATCH($N$1,Database!$E$1:$AY$1,0),FALSE)</f>
        <v>103.9485</v>
      </c>
      <c r="O341" s="92">
        <f>(((Table134567891011121314151617343[[#This Row],[USA]]-VLOOKUP($U$1,A:N,14,))/VLOOKUP($U$1,A:N,14,))*100)+100</f>
        <v>120.43508802663304</v>
      </c>
      <c r="P341" s="92">
        <f>VLOOKUP(A341,Database!$E:$AY,MATCH($P$1,Database!$E$1:$AY$1,0),FALSE)</f>
        <v>104.29130000000001</v>
      </c>
      <c r="Q341" s="92">
        <f>(((Table134567891011121314151617343[[#This Row],[JPN]]-VLOOKUP($U$1,A:Q,16,))/VLOOKUP($U$1,A:Q,16,))*100)+100</f>
        <v>104.7063244582552</v>
      </c>
    </row>
    <row r="342" spans="1:17" s="85" customFormat="1" x14ac:dyDescent="0.2">
      <c r="A342" s="22">
        <v>43221</v>
      </c>
      <c r="B342" s="92">
        <f>VLOOKUP(A342,Database!$E:$AY,MATCH($B$1,Database!$E$1:$AY$1,0),FALSE)</f>
        <v>106.4911</v>
      </c>
      <c r="C342" s="92">
        <f>VLOOKUP(A342,Database!$E:$AY,MATCH($C$1,Database!$E$1:$AY$1,0),FALSE)</f>
        <v>101.7008</v>
      </c>
      <c r="D342" s="92">
        <f>VLOOKUP(A342,Database!$E:$AY,MATCH($D$1,Database!$E$1:$AY$1,0),FALSE)</f>
        <v>107.791</v>
      </c>
      <c r="E342" s="92">
        <f>VLOOKUP(A342,Database!$E:$AY,MATCH($E$1,Database!$E$1:$AY$1,0),FALSE)</f>
        <v>105.7231</v>
      </c>
      <c r="F342" s="92">
        <f>VLOOKUP(A342,Database!$E:$AY,MATCH($F$1,Database!$E$1:$AY$1,0),FALSE)</f>
        <v>106.1823</v>
      </c>
      <c r="G342" s="92">
        <f>VLOOKUP(A342,Database!$E:$AY,MATCH($G$1,Database!$E$1:$AY$1,0),FALSE)</f>
        <v>103.3051</v>
      </c>
      <c r="H342" s="92">
        <f>(((Table134567891011121314151617343[[#This Row],[ITA]]-VLOOKUP($U$1,A:B,2,))/VLOOKUP($U$1,A:B,2,))*100)+100</f>
        <v>87.582192270904088</v>
      </c>
      <c r="I342" s="92">
        <f>(((Table134567891011121314151617343[[#This Row],[FRA]]-VLOOKUP($U$1,A:C,3,))/VLOOKUP($U$1,A:C,3,))*100)+100</f>
        <v>98.987647567813795</v>
      </c>
      <c r="J342" s="92">
        <f>(((Table134567891011121314151617343[[#This Row],[DEU]]-VLOOKUP($U$1,A:D,4,))/VLOOKUP($U$1,A:D,4,))*100)+100</f>
        <v>143.35104801956226</v>
      </c>
      <c r="K342" s="92">
        <f>(((Table134567891011121314151617343[[#This Row],[ESP]]-VLOOKUP($U$1,A:E,5,))/VLOOKUP($U$1,A:E,5,))*100)+100</f>
        <v>89.034402551368871</v>
      </c>
      <c r="L342" s="92">
        <f>(((Table134567891011121314151617343[[#This Row],[EA19]]-VLOOKUP($U$1,A:F,6,))/VLOOKUP($U$1,A:F,6,))*100)+100</f>
        <v>118.79194630872485</v>
      </c>
      <c r="M342" s="92">
        <f>(((Table134567891011121314151617343[[#This Row],[GBR]]-VLOOKUP($U$1,A:G,7,))/VLOOKUP($U$1,A:G,7,))*100)+100</f>
        <v>96.695842471247744</v>
      </c>
      <c r="N342" s="92">
        <f>VLOOKUP(A342,Database!$E:$AY,MATCH($N$1,Database!$E$1:$AY$1,0),FALSE)</f>
        <v>103.124</v>
      </c>
      <c r="O342" s="92">
        <f>(((Table134567891011121314151617343[[#This Row],[USA]]-VLOOKUP($U$1,A:N,14,))/VLOOKUP($U$1,A:N,14,))*100)+100</f>
        <v>119.47981950348976</v>
      </c>
      <c r="P342" s="92">
        <f>VLOOKUP(A342,Database!$E:$AY,MATCH($P$1,Database!$E$1:$AY$1,0),FALSE)</f>
        <v>104.5913</v>
      </c>
      <c r="Q342" s="92">
        <f>(((Table134567891011121314151617343[[#This Row],[JPN]]-VLOOKUP($U$1,A:Q,16,))/VLOOKUP($U$1,A:Q,16,))*100)+100</f>
        <v>105.00751830028686</v>
      </c>
    </row>
    <row r="343" spans="1:17" s="85" customFormat="1" x14ac:dyDescent="0.2">
      <c r="A343" s="22">
        <v>43252</v>
      </c>
      <c r="B343" s="92">
        <f>VLOOKUP(A343,Database!$E:$AY,MATCH($B$1,Database!$E$1:$AY$1,0),FALSE)</f>
        <v>106.89109999999999</v>
      </c>
      <c r="C343" s="92">
        <f>VLOOKUP(A343,Database!$E:$AY,MATCH($C$1,Database!$E$1:$AY$1,0),FALSE)</f>
        <v>103.48090000000001</v>
      </c>
      <c r="D343" s="92">
        <f>VLOOKUP(A343,Database!$E:$AY,MATCH($D$1,Database!$E$1:$AY$1,0),FALSE)</f>
        <v>107.491</v>
      </c>
      <c r="E343" s="92">
        <f>VLOOKUP(A343,Database!$E:$AY,MATCH($E$1,Database!$E$1:$AY$1,0),FALSE)</f>
        <v>105.1831</v>
      </c>
      <c r="F343" s="92">
        <f>VLOOKUP(A343,Database!$E:$AY,MATCH($F$1,Database!$E$1:$AY$1,0),FALSE)</f>
        <v>106.1823</v>
      </c>
      <c r="G343" s="92">
        <f>VLOOKUP(A343,Database!$E:$AY,MATCH($G$1,Database!$E$1:$AY$1,0),FALSE)</f>
        <v>104.0318</v>
      </c>
      <c r="H343" s="92">
        <f>(((Table134567891011121314151617343[[#This Row],[ITA]]-VLOOKUP($U$1,A:B,2,))/VLOOKUP($U$1,A:B,2,))*100)+100</f>
        <v>87.911166963703394</v>
      </c>
      <c r="I343" s="92">
        <f>(((Table134567891011121314151617343[[#This Row],[FRA]]-VLOOKUP($U$1,A:C,3,))/VLOOKUP($U$1,A:C,3,))*100)+100</f>
        <v>100.7202584365136</v>
      </c>
      <c r="J343" s="92">
        <f>(((Table134567891011121314151617343[[#This Row],[DEU]]-VLOOKUP($U$1,A:D,4,))/VLOOKUP($U$1,A:D,4,))*100)+100</f>
        <v>142.95207858421173</v>
      </c>
      <c r="K343" s="92">
        <f>(((Table134567891011121314151617343[[#This Row],[ESP]]-VLOOKUP($U$1,A:E,5,))/VLOOKUP($U$1,A:E,5,))*100)+100</f>
        <v>88.579643114900023</v>
      </c>
      <c r="L343" s="92">
        <f>(((Table134567891011121314151617343[[#This Row],[EA19]]-VLOOKUP($U$1,A:F,6,))/VLOOKUP($U$1,A:F,6,))*100)+100</f>
        <v>118.79194630872485</v>
      </c>
      <c r="M343" s="92">
        <f>(((Table134567891011121314151617343[[#This Row],[GBR]]-VLOOKUP($U$1,A:G,7,))/VLOOKUP($U$1,A:G,7,))*100)+100</f>
        <v>97.376049631628561</v>
      </c>
      <c r="N343" s="92">
        <f>VLOOKUP(A343,Database!$E:$AY,MATCH($N$1,Database!$E$1:$AY$1,0),FALSE)</f>
        <v>103.899</v>
      </c>
      <c r="O343" s="92">
        <f>(((Table134567891011121314151617343[[#This Row],[USA]]-VLOOKUP($U$1,A:N,14,))/VLOOKUP($U$1,A:N,14,))*100)+100</f>
        <v>120.37773715714172</v>
      </c>
      <c r="P343" s="92">
        <f>VLOOKUP(A343,Database!$E:$AY,MATCH($P$1,Database!$E$1:$AY$1,0),FALSE)</f>
        <v>103.59139999999999</v>
      </c>
      <c r="Q343" s="92">
        <f>(((Table134567891011121314151617343[[#This Row],[JPN]]-VLOOKUP($U$1,A:Q,16,))/VLOOKUP($U$1,A:Q,16,))*100)+100</f>
        <v>104.00363922479532</v>
      </c>
    </row>
    <row r="344" spans="1:17" s="85" customFormat="1" x14ac:dyDescent="0.2">
      <c r="A344" s="22">
        <v>43282</v>
      </c>
      <c r="B344" s="92">
        <f>VLOOKUP(A344,Database!$E:$AY,MATCH($B$1,Database!$E$1:$AY$1,0),FALSE)</f>
        <v>105.99120000000001</v>
      </c>
      <c r="C344" s="92">
        <f>VLOOKUP(A344,Database!$E:$AY,MATCH($C$1,Database!$E$1:$AY$1,0),FALSE)</f>
        <v>103.43089999999999</v>
      </c>
      <c r="D344" s="92">
        <f>VLOOKUP(A344,Database!$E:$AY,MATCH($D$1,Database!$E$1:$AY$1,0),FALSE)</f>
        <v>105.49120000000001</v>
      </c>
      <c r="E344" s="92">
        <f>VLOOKUP(A344,Database!$E:$AY,MATCH($E$1,Database!$E$1:$AY$1,0),FALSE)</f>
        <v>105.5911</v>
      </c>
      <c r="F344" s="92">
        <f>VLOOKUP(A344,Database!$E:$AY,MATCH($F$1,Database!$E$1:$AY$1,0),FALSE)</f>
        <v>105.0825</v>
      </c>
      <c r="G344" s="92">
        <f>VLOOKUP(A344,Database!$E:$AY,MATCH($G$1,Database!$E$1:$AY$1,0),FALSE)</f>
        <v>104.44710000000001</v>
      </c>
      <c r="H344" s="92">
        <f>(((Table134567891011121314151617343[[#This Row],[ITA]]-VLOOKUP($U$1,A:B,2,))/VLOOKUP($U$1,A:B,2,))*100)+100</f>
        <v>87.171056148578131</v>
      </c>
      <c r="I344" s="92">
        <f>(((Table134567891011121314151617343[[#This Row],[FRA]]-VLOOKUP($U$1,A:C,3,))/VLOOKUP($U$1,A:C,3,))*100)+100</f>
        <v>100.67159232593835</v>
      </c>
      <c r="J344" s="92">
        <f>(((Table134567891011121314151617343[[#This Row],[DEU]]-VLOOKUP($U$1,A:D,4,))/VLOOKUP($U$1,A:D,4,))*100)+100</f>
        <v>140.29254832816514</v>
      </c>
      <c r="K344" s="92">
        <f>(((Table134567891011121314151617343[[#This Row],[ESP]]-VLOOKUP($U$1,A:E,5,))/VLOOKUP($U$1,A:E,5,))*100)+100</f>
        <v>88.923239133565374</v>
      </c>
      <c r="L344" s="92">
        <f>(((Table134567891011121314151617343[[#This Row],[EA19]]-VLOOKUP($U$1,A:F,6,))/VLOOKUP($U$1,A:F,6,))*100)+100</f>
        <v>117.56153989870795</v>
      </c>
      <c r="M344" s="92">
        <f>(((Table134567891011121314151617343[[#This Row],[GBR]]-VLOOKUP($U$1,A:G,7,))/VLOOKUP($U$1,A:G,7,))*100)+100</f>
        <v>97.764779552787431</v>
      </c>
      <c r="N344" s="92">
        <f>VLOOKUP(A344,Database!$E:$AY,MATCH($N$1,Database!$E$1:$AY$1,0),FALSE)</f>
        <v>104.3613</v>
      </c>
      <c r="O344" s="92">
        <f>(((Table134567891011121314151617343[[#This Row],[USA]]-VLOOKUP($U$1,A:N,14,))/VLOOKUP($U$1,A:N,14,))*100)+100</f>
        <v>120.91335952008792</v>
      </c>
      <c r="P344" s="92">
        <f>VLOOKUP(A344,Database!$E:$AY,MATCH($P$1,Database!$E$1:$AY$1,0),FALSE)</f>
        <v>103.7914</v>
      </c>
      <c r="Q344" s="92">
        <f>(((Table134567891011121314151617343[[#This Row],[JPN]]-VLOOKUP($U$1,A:Q,16,))/VLOOKUP($U$1,A:Q,16,))*100)+100</f>
        <v>104.20443511948309</v>
      </c>
    </row>
    <row r="345" spans="1:17" s="85" customFormat="1" x14ac:dyDescent="0.2">
      <c r="A345" s="22">
        <v>43313</v>
      </c>
      <c r="B345" s="92">
        <f>VLOOKUP(A345,Database!$E:$AY,MATCH($B$1,Database!$E$1:$AY$1,0),FALSE)</f>
        <v>106.7911</v>
      </c>
      <c r="C345" s="92">
        <f>VLOOKUP(A345,Database!$E:$AY,MATCH($C$1,Database!$E$1:$AY$1,0),FALSE)</f>
        <v>104.15089999999999</v>
      </c>
      <c r="D345" s="92">
        <f>VLOOKUP(A345,Database!$E:$AY,MATCH($D$1,Database!$E$1:$AY$1,0),FALSE)</f>
        <v>105.5912</v>
      </c>
      <c r="E345" s="92">
        <f>VLOOKUP(A345,Database!$E:$AY,MATCH($E$1,Database!$E$1:$AY$1,0),FALSE)</f>
        <v>105.8121</v>
      </c>
      <c r="F345" s="92">
        <f>VLOOKUP(A345,Database!$E:$AY,MATCH($F$1,Database!$E$1:$AY$1,0),FALSE)</f>
        <v>106.0823</v>
      </c>
      <c r="G345" s="92">
        <f>VLOOKUP(A345,Database!$E:$AY,MATCH($G$1,Database!$E$1:$AY$1,0),FALSE)</f>
        <v>104.0318</v>
      </c>
      <c r="H345" s="92">
        <f>(((Table134567891011121314151617343[[#This Row],[ITA]]-VLOOKUP($U$1,A:B,2,))/VLOOKUP($U$1,A:B,2,))*100)+100</f>
        <v>87.828923290503568</v>
      </c>
      <c r="I345" s="92">
        <f>(((Table134567891011121314151617343[[#This Row],[FRA]]-VLOOKUP($U$1,A:C,3,))/VLOOKUP($U$1,A:C,3,))*100)+100</f>
        <v>101.37238431822185</v>
      </c>
      <c r="J345" s="92">
        <f>(((Table134567891011121314151617343[[#This Row],[DEU]]-VLOOKUP($U$1,A:D,4,))/VLOOKUP($U$1,A:D,4,))*100)+100</f>
        <v>140.42553813994863</v>
      </c>
      <c r="K345" s="92">
        <f>(((Table134567891011121314151617343[[#This Row],[ESP]]-VLOOKUP($U$1,A:E,5,))/VLOOKUP($U$1,A:E,5,))*100)+100</f>
        <v>89.109353643675774</v>
      </c>
      <c r="L345" s="92">
        <f>(((Table134567891011121314151617343[[#This Row],[EA19]]-VLOOKUP($U$1,A:F,6,))/VLOOKUP($U$1,A:F,6,))*100)+100</f>
        <v>118.6800708395471</v>
      </c>
      <c r="M345" s="92">
        <f>(((Table134567891011121314151617343[[#This Row],[GBR]]-VLOOKUP($U$1,A:G,7,))/VLOOKUP($U$1,A:G,7,))*100)+100</f>
        <v>97.376049631628561</v>
      </c>
      <c r="N345" s="92">
        <f>VLOOKUP(A345,Database!$E:$AY,MATCH($N$1,Database!$E$1:$AY$1,0),FALSE)</f>
        <v>105.1994</v>
      </c>
      <c r="O345" s="92">
        <f>(((Table134567891011121314151617343[[#This Row],[USA]]-VLOOKUP($U$1,A:N,14,))/VLOOKUP($U$1,A:N,14,))*100)+100</f>
        <v>121.88438504979851</v>
      </c>
      <c r="P345" s="92">
        <f>VLOOKUP(A345,Database!$E:$AY,MATCH($P$1,Database!$E$1:$AY$1,0),FALSE)</f>
        <v>103.59139999999999</v>
      </c>
      <c r="Q345" s="92">
        <f>(((Table134567891011121314151617343[[#This Row],[JPN]]-VLOOKUP($U$1,A:Q,16,))/VLOOKUP($U$1,A:Q,16,))*100)+100</f>
        <v>104.00363922479532</v>
      </c>
    </row>
    <row r="346" spans="1:17" s="85" customFormat="1" x14ac:dyDescent="0.2">
      <c r="A346" s="22">
        <v>43344</v>
      </c>
      <c r="B346" s="92">
        <f>VLOOKUP(A346,Database!$E:$AY,MATCH($B$1,Database!$E$1:$AY$1,0),FALSE)</f>
        <v>106.7911</v>
      </c>
      <c r="C346" s="92">
        <f>VLOOKUP(A346,Database!$E:$AY,MATCH($C$1,Database!$E$1:$AY$1,0),FALSE)</f>
        <v>102.8909</v>
      </c>
      <c r="D346" s="92">
        <f>VLOOKUP(A346,Database!$E:$AY,MATCH($D$1,Database!$E$1:$AY$1,0),FALSE)</f>
        <v>105.69119999999999</v>
      </c>
      <c r="E346" s="92">
        <f>VLOOKUP(A346,Database!$E:$AY,MATCH($E$1,Database!$E$1:$AY$1,0),FALSE)</f>
        <v>105.2251</v>
      </c>
      <c r="F346" s="92">
        <f>VLOOKUP(A346,Database!$E:$AY,MATCH($F$1,Database!$E$1:$AY$1,0),FALSE)</f>
        <v>105.4824</v>
      </c>
      <c r="G346" s="92">
        <f>VLOOKUP(A346,Database!$E:$AY,MATCH($G$1,Database!$E$1:$AY$1,0),FALSE)</f>
        <v>104.23950000000001</v>
      </c>
      <c r="H346" s="92">
        <f>(((Table134567891011121314151617343[[#This Row],[ITA]]-VLOOKUP($U$1,A:B,2,))/VLOOKUP($U$1,A:B,2,))*100)+100</f>
        <v>87.828923290503568</v>
      </c>
      <c r="I346" s="92">
        <f>(((Table134567891011121314151617343[[#This Row],[FRA]]-VLOOKUP($U$1,A:C,3,))/VLOOKUP($U$1,A:C,3,))*100)+100</f>
        <v>100.14599833172574</v>
      </c>
      <c r="J346" s="92">
        <f>(((Table134567891011121314151617343[[#This Row],[DEU]]-VLOOKUP($U$1,A:D,4,))/VLOOKUP($U$1,A:D,4,))*100)+100</f>
        <v>140.55852795173215</v>
      </c>
      <c r="K346" s="92">
        <f>(((Table134567891011121314151617343[[#This Row],[ESP]]-VLOOKUP($U$1,A:E,5,))/VLOOKUP($U$1,A:E,5,))*100)+100</f>
        <v>88.615013293292037</v>
      </c>
      <c r="L346" s="92">
        <f>(((Table134567891011121314151617343[[#This Row],[EA19]]-VLOOKUP($U$1,A:F,6,))/VLOOKUP($U$1,A:F,6,))*100)+100</f>
        <v>118.00892989994978</v>
      </c>
      <c r="M346" s="92">
        <f>(((Table134567891011121314151617343[[#This Row],[GBR]]-VLOOKUP($U$1,A:G,7,))/VLOOKUP($U$1,A:G,7,))*100)+100</f>
        <v>97.570461393306147</v>
      </c>
      <c r="N346" s="92">
        <f>VLOOKUP(A346,Database!$E:$AY,MATCH($N$1,Database!$E$1:$AY$1,0),FALSE)</f>
        <v>105.3438</v>
      </c>
      <c r="O346" s="92">
        <f>(((Table134567891011121314151617343[[#This Row],[USA]]-VLOOKUP($U$1,A:N,14,))/VLOOKUP($U$1,A:N,14,))*100)+100</f>
        <v>122.05168738423379</v>
      </c>
      <c r="P346" s="92">
        <f>VLOOKUP(A346,Database!$E:$AY,MATCH($P$1,Database!$E$1:$AY$1,0),FALSE)</f>
        <v>103.2914</v>
      </c>
      <c r="Q346" s="92">
        <f>(((Table134567891011121314151617343[[#This Row],[JPN]]-VLOOKUP($U$1,A:Q,16,))/VLOOKUP($U$1,A:Q,16,))*100)+100</f>
        <v>103.70244538276366</v>
      </c>
    </row>
    <row r="347" spans="1:17" s="85" customFormat="1" x14ac:dyDescent="0.2">
      <c r="A347" s="22">
        <v>43374</v>
      </c>
      <c r="B347" s="92">
        <f>VLOOKUP(A347,Database!$E:$AY,MATCH($B$1,Database!$E$1:$AY$1,0),FALSE)</f>
        <v>106.4911</v>
      </c>
      <c r="C347" s="92">
        <f>VLOOKUP(A347,Database!$E:$AY,MATCH($C$1,Database!$E$1:$AY$1,0),FALSE)</f>
        <v>103.65089999999999</v>
      </c>
      <c r="D347" s="92">
        <f>VLOOKUP(A347,Database!$E:$AY,MATCH($D$1,Database!$E$1:$AY$1,0),FALSE)</f>
        <v>105.49120000000001</v>
      </c>
      <c r="E347" s="92">
        <f>VLOOKUP(A347,Database!$E:$AY,MATCH($E$1,Database!$E$1:$AY$1,0),FALSE)</f>
        <v>106.45910000000001</v>
      </c>
      <c r="F347" s="92">
        <f>VLOOKUP(A347,Database!$E:$AY,MATCH($F$1,Database!$E$1:$AY$1,0),FALSE)</f>
        <v>105.3824</v>
      </c>
      <c r="G347" s="92">
        <f>VLOOKUP(A347,Database!$E:$AY,MATCH($G$1,Database!$E$1:$AY$1,0),FALSE)</f>
        <v>103.3051</v>
      </c>
      <c r="H347" s="92">
        <f>(((Table134567891011121314151617343[[#This Row],[ITA]]-VLOOKUP($U$1,A:B,2,))/VLOOKUP($U$1,A:B,2,))*100)+100</f>
        <v>87.582192270904088</v>
      </c>
      <c r="I347" s="92">
        <f>(((Table134567891011121314151617343[[#This Row],[FRA]]-VLOOKUP($U$1,A:C,3,))/VLOOKUP($U$1,A:C,3,))*100)+100</f>
        <v>100.88572321246943</v>
      </c>
      <c r="J347" s="92">
        <f>(((Table134567891011121314151617343[[#This Row],[DEU]]-VLOOKUP($U$1,A:D,4,))/VLOOKUP($U$1,A:D,4,))*100)+100</f>
        <v>140.29254832816514</v>
      </c>
      <c r="K347" s="92">
        <f>(((Table134567891011121314151617343[[#This Row],[ESP]]-VLOOKUP($U$1,A:E,5,))/VLOOKUP($U$1,A:E,5,))*100)+100</f>
        <v>89.654222820333814</v>
      </c>
      <c r="L347" s="92">
        <f>(((Table134567891011121314151617343[[#This Row],[EA19]]-VLOOKUP($U$1,A:F,6,))/VLOOKUP($U$1,A:F,6,))*100)+100</f>
        <v>117.89705443077203</v>
      </c>
      <c r="M347" s="92">
        <f>(((Table134567891011121314151617343[[#This Row],[GBR]]-VLOOKUP($U$1,A:G,7,))/VLOOKUP($U$1,A:G,7,))*100)+100</f>
        <v>96.695842471247744</v>
      </c>
      <c r="N347" s="92">
        <f>VLOOKUP(A347,Database!$E:$AY,MATCH($N$1,Database!$E$1:$AY$1,0),FALSE)</f>
        <v>105.5758</v>
      </c>
      <c r="O347" s="92">
        <f>(((Table134567891011121314151617343[[#This Row],[USA]]-VLOOKUP($U$1,A:N,14,))/VLOOKUP($U$1,A:N,14,))*100)+100</f>
        <v>122.32048337861735</v>
      </c>
      <c r="P347" s="92">
        <f>VLOOKUP(A347,Database!$E:$AY,MATCH($P$1,Database!$E$1:$AY$1,0),FALSE)</f>
        <v>105.2912</v>
      </c>
      <c r="Q347" s="92">
        <f>(((Table134567891011121314151617343[[#This Row],[JPN]]-VLOOKUP($U$1,A:Q,16,))/VLOOKUP($U$1,A:Q,16,))*100)+100</f>
        <v>105.71020353374672</v>
      </c>
    </row>
    <row r="348" spans="1:17" s="85" customFormat="1" x14ac:dyDescent="0.2">
      <c r="A348" s="22">
        <v>43405</v>
      </c>
      <c r="B348" s="92">
        <f>VLOOKUP(A348,Database!$E:$AY,MATCH($B$1,Database!$E$1:$AY$1,0),FALSE)</f>
        <v>104.5913</v>
      </c>
      <c r="C348" s="92">
        <f>VLOOKUP(A348,Database!$E:$AY,MATCH($C$1,Database!$E$1:$AY$1,0),FALSE)</f>
        <v>102.79089999999999</v>
      </c>
      <c r="D348" s="92">
        <f>VLOOKUP(A348,Database!$E:$AY,MATCH($D$1,Database!$E$1:$AY$1,0),FALSE)</f>
        <v>103.7914</v>
      </c>
      <c r="E348" s="92">
        <f>VLOOKUP(A348,Database!$E:$AY,MATCH($E$1,Database!$E$1:$AY$1,0),FALSE)</f>
        <v>104.1551</v>
      </c>
      <c r="F348" s="92">
        <f>VLOOKUP(A348,Database!$E:$AY,MATCH($F$1,Database!$E$1:$AY$1,0),FALSE)</f>
        <v>104.2826</v>
      </c>
      <c r="G348" s="92">
        <f>VLOOKUP(A348,Database!$E:$AY,MATCH($G$1,Database!$E$1:$AY$1,0),FALSE)</f>
        <v>102.68210000000001</v>
      </c>
      <c r="H348" s="92">
        <f>(((Table134567891011121314151617343[[#This Row],[ITA]]-VLOOKUP($U$1,A:B,2,))/VLOOKUP($U$1,A:B,2,))*100)+100</f>
        <v>86.019726967453721</v>
      </c>
      <c r="I348" s="92">
        <f>(((Table134567891011121314151617343[[#This Row],[FRA]]-VLOOKUP($U$1,A:C,3,))/VLOOKUP($U$1,A:C,3,))*100)+100</f>
        <v>100.04866611057524</v>
      </c>
      <c r="J348" s="92">
        <f>(((Table134567891011121314151617343[[#This Row],[DEU]]-VLOOKUP($U$1,A:D,4,))/VLOOKUP($U$1,A:D,4,))*100)+100</f>
        <v>138.03198750746901</v>
      </c>
      <c r="K348" s="92">
        <f>(((Table134567891011121314151617343[[#This Row],[ESP]]-VLOOKUP($U$1,A:E,5,))/VLOOKUP($U$1,A:E,5,))*100)+100</f>
        <v>87.713915891400077</v>
      </c>
      <c r="L348" s="92">
        <f>(((Table134567891011121314151617343[[#This Row],[EA19]]-VLOOKUP($U$1,A:F,6,))/VLOOKUP($U$1,A:F,6,))*100)+100</f>
        <v>116.66664802075515</v>
      </c>
      <c r="M348" s="92">
        <f>(((Table134567891011121314151617343[[#This Row],[GBR]]-VLOOKUP($U$1,A:G,7,))/VLOOKUP($U$1,A:G,7,))*100)+100</f>
        <v>96.112700788411303</v>
      </c>
      <c r="N348" s="92">
        <f>VLOOKUP(A348,Database!$E:$AY,MATCH($N$1,Database!$E$1:$AY$1,0),FALSE)</f>
        <v>106.1427</v>
      </c>
      <c r="O348" s="92">
        <f>(((Table134567891011121314151617343[[#This Row],[USA]]-VLOOKUP($U$1,A:N,14,))/VLOOKUP($U$1,A:N,14,))*100)+100</f>
        <v>122.97729565972095</v>
      </c>
      <c r="P348" s="92">
        <f>VLOOKUP(A348,Database!$E:$AY,MATCH($P$1,Database!$E$1:$AY$1,0),FALSE)</f>
        <v>104.0913</v>
      </c>
      <c r="Q348" s="92">
        <f>(((Table134567891011121314151617343[[#This Row],[JPN]]-VLOOKUP($U$1,A:Q,16,))/VLOOKUP($U$1,A:Q,16,))*100)+100</f>
        <v>104.50552856356742</v>
      </c>
    </row>
    <row r="349" spans="1:17" s="85" customFormat="1" x14ac:dyDescent="0.2">
      <c r="A349" s="22">
        <v>43435</v>
      </c>
      <c r="B349" s="92">
        <f>VLOOKUP(A349,Database!$E:$AY,MATCH($B$1,Database!$E$1:$AY$1,0),FALSE)</f>
        <v>104.99120000000001</v>
      </c>
      <c r="C349" s="92">
        <f>VLOOKUP(A349,Database!$E:$AY,MATCH($C$1,Database!$E$1:$AY$1,0),FALSE)</f>
        <v>103.7009</v>
      </c>
      <c r="D349" s="92">
        <f>VLOOKUP(A349,Database!$E:$AY,MATCH($D$1,Database!$E$1:$AY$1,0),FALSE)</f>
        <v>104.8913</v>
      </c>
      <c r="E349" s="92">
        <f>VLOOKUP(A349,Database!$E:$AY,MATCH($E$1,Database!$E$1:$AY$1,0),FALSE)</f>
        <v>103.5211</v>
      </c>
      <c r="F349" s="92">
        <f>VLOOKUP(A349,Database!$E:$AY,MATCH($F$1,Database!$E$1:$AY$1,0),FALSE)</f>
        <v>104.0826</v>
      </c>
      <c r="G349" s="92">
        <f>VLOOKUP(A349,Database!$E:$AY,MATCH($G$1,Database!$E$1:$AY$1,0),FALSE)</f>
        <v>102.68210000000001</v>
      </c>
      <c r="H349" s="92">
        <f>(((Table134567891011121314151617343[[#This Row],[ITA]]-VLOOKUP($U$1,A:B,2,))/VLOOKUP($U$1,A:B,2,))*100)+100</f>
        <v>86.348619416579837</v>
      </c>
      <c r="I349" s="92">
        <f>(((Table134567891011121314151617343[[#This Row],[FRA]]-VLOOKUP($U$1,A:C,3,))/VLOOKUP($U$1,A:C,3,))*100)+100</f>
        <v>100.93438932304467</v>
      </c>
      <c r="J349" s="92">
        <f>(((Table134567891011121314151617343[[#This Row],[DEU]]-VLOOKUP($U$1,A:D,4,))/VLOOKUP($U$1,A:D,4,))*100)+100</f>
        <v>139.49474244727585</v>
      </c>
      <c r="K349" s="92">
        <f>(((Table134567891011121314151617343[[#This Row],[ESP]]-VLOOKUP($U$1,A:E,5,))/VLOOKUP($U$1,A:E,5,))*100)+100</f>
        <v>87.179994627101479</v>
      </c>
      <c r="L349" s="92">
        <f>(((Table134567891011121314151617343[[#This Row],[EA19]]-VLOOKUP($U$1,A:F,6,))/VLOOKUP($U$1,A:F,6,))*100)+100</f>
        <v>116.44289708239964</v>
      </c>
      <c r="M349" s="92">
        <f>(((Table134567891011121314151617343[[#This Row],[GBR]]-VLOOKUP($U$1,A:G,7,))/VLOOKUP($U$1,A:G,7,))*100)+100</f>
        <v>96.112700788411303</v>
      </c>
      <c r="N349" s="92">
        <f>VLOOKUP(A349,Database!$E:$AY,MATCH($N$1,Database!$E$1:$AY$1,0),FALSE)</f>
        <v>106.1859</v>
      </c>
      <c r="O349" s="92">
        <f>(((Table134567891011121314151617343[[#This Row],[USA]]-VLOOKUP($U$1,A:N,14,))/VLOOKUP($U$1,A:N,14,))*100)+100</f>
        <v>123.02734732764065</v>
      </c>
      <c r="P349" s="92">
        <f>VLOOKUP(A349,Database!$E:$AY,MATCH($P$1,Database!$E$1:$AY$1,0),FALSE)</f>
        <v>104.3913</v>
      </c>
      <c r="Q349" s="92">
        <f>(((Table134567891011121314151617343[[#This Row],[JPN]]-VLOOKUP($U$1,A:Q,16,))/VLOOKUP($U$1,A:Q,16,))*100)+100</f>
        <v>104.80672240559907</v>
      </c>
    </row>
    <row r="350" spans="1:17" s="85" customFormat="1" x14ac:dyDescent="0.2">
      <c r="A350" s="22">
        <v>43466</v>
      </c>
      <c r="B350" s="92">
        <f>VLOOKUP(A350,Database!$E:$AY,MATCH($B$1,Database!$E$1:$AY$1,0),FALSE)</f>
        <v>105.69119999999999</v>
      </c>
      <c r="C350" s="92">
        <f>VLOOKUP(A350,Database!$E:$AY,MATCH($C$1,Database!$E$1:$AY$1,0),FALSE)</f>
        <v>104.7709</v>
      </c>
      <c r="D350" s="92">
        <f>VLOOKUP(A350,Database!$E:$AY,MATCH($D$1,Database!$E$1:$AY$1,0),FALSE)</f>
        <v>103.7914</v>
      </c>
      <c r="E350" s="92">
        <f>VLOOKUP(A350,Database!$E:$AY,MATCH($E$1,Database!$E$1:$AY$1,0),FALSE)</f>
        <v>107.1521</v>
      </c>
      <c r="F350" s="92">
        <f>VLOOKUP(A350,Database!$E:$AY,MATCH($F$1,Database!$E$1:$AY$1,0),FALSE)</f>
        <v>105.2825</v>
      </c>
      <c r="G350" s="92">
        <f>VLOOKUP(A350,Database!$E:$AY,MATCH($G$1,Database!$E$1:$AY$1,0),FALSE)</f>
        <v>103.2012</v>
      </c>
      <c r="H350" s="92">
        <f>(((Table134567891011121314151617343[[#This Row],[ITA]]-VLOOKUP($U$1,A:B,2,))/VLOOKUP($U$1,A:B,2,))*100)+100</f>
        <v>86.924325128978637</v>
      </c>
      <c r="I350" s="92">
        <f>(((Table134567891011121314151617343[[#This Row],[FRA]]-VLOOKUP($U$1,A:C,3,))/VLOOKUP($U$1,A:C,3,))*100)+100</f>
        <v>101.97584408935488</v>
      </c>
      <c r="J350" s="92">
        <f>(((Table134567891011121314151617343[[#This Row],[DEU]]-VLOOKUP($U$1,A:D,4,))/VLOOKUP($U$1,A:D,4,))*100)+100</f>
        <v>138.03198750746901</v>
      </c>
      <c r="K350" s="92">
        <f>(((Table134567891011121314151617343[[#This Row],[ESP]]-VLOOKUP($U$1,A:E,5,))/VLOOKUP($U$1,A:E,5,))*100)+100</f>
        <v>90.237830763802165</v>
      </c>
      <c r="L350" s="92">
        <f>(((Table134567891011121314151617343[[#This Row],[EA19]]-VLOOKUP($U$1,A:F,6,))/VLOOKUP($U$1,A:F,6,))*100)+100</f>
        <v>117.78529083706346</v>
      </c>
      <c r="M350" s="92">
        <f>(((Table134567891011121314151617343[[#This Row],[GBR]]-VLOOKUP($U$1,A:G,7,))/VLOOKUP($U$1,A:G,7,))*100)+100</f>
        <v>96.598589789310822</v>
      </c>
      <c r="N350" s="92">
        <f>VLOOKUP(A350,Database!$E:$AY,MATCH($N$1,Database!$E$1:$AY$1,0),FALSE)</f>
        <v>105.76990000000001</v>
      </c>
      <c r="O350" s="92">
        <f>(((Table134567891011121314151617343[[#This Row],[USA]]-VLOOKUP($U$1,A:N,14,))/VLOOKUP($U$1,A:N,14,))*100)+100</f>
        <v>122.54536830322877</v>
      </c>
      <c r="P350" s="92">
        <f>VLOOKUP(A350,Database!$E:$AY,MATCH($P$1,Database!$E$1:$AY$1,0),FALSE)</f>
        <v>102.39149999999999</v>
      </c>
      <c r="Q350" s="92">
        <f>(((Table134567891011121314151617343[[#This Row],[JPN]]-VLOOKUP($U$1,A:Q,16,))/VLOOKUP($U$1,A:Q,16,))*100)+100</f>
        <v>102.79896425461602</v>
      </c>
    </row>
    <row r="351" spans="1:17" s="85" customFormat="1" x14ac:dyDescent="0.2">
      <c r="A351" s="22">
        <v>43497</v>
      </c>
      <c r="B351" s="92">
        <f>VLOOKUP(A351,Database!$E:$AY,MATCH($B$1,Database!$E$1:$AY$1,0),FALSE)</f>
        <v>106.4911</v>
      </c>
      <c r="C351" s="92">
        <f>VLOOKUP(A351,Database!$E:$AY,MATCH($C$1,Database!$E$1:$AY$1,0),FALSE)</f>
        <v>104.2809</v>
      </c>
      <c r="D351" s="92">
        <f>VLOOKUP(A351,Database!$E:$AY,MATCH($D$1,Database!$E$1:$AY$1,0),FALSE)</f>
        <v>103.6914</v>
      </c>
      <c r="E351" s="92">
        <f>VLOOKUP(A351,Database!$E:$AY,MATCH($E$1,Database!$E$1:$AY$1,0),FALSE)</f>
        <v>106.0741</v>
      </c>
      <c r="F351" s="92">
        <f>VLOOKUP(A351,Database!$E:$AY,MATCH($F$1,Database!$E$1:$AY$1,0),FALSE)</f>
        <v>105.1825</v>
      </c>
      <c r="G351" s="92">
        <f>VLOOKUP(A351,Database!$E:$AY,MATCH($G$1,Database!$E$1:$AY$1,0),FALSE)</f>
        <v>103.6165</v>
      </c>
      <c r="H351" s="92">
        <f>(((Table134567891011121314151617343[[#This Row],[ITA]]-VLOOKUP($U$1,A:B,2,))/VLOOKUP($U$1,A:B,2,))*100)+100</f>
        <v>87.582192270904088</v>
      </c>
      <c r="I351" s="92">
        <f>(((Table134567891011121314151617343[[#This Row],[FRA]]-VLOOKUP($U$1,A:C,3,))/VLOOKUP($U$1,A:C,3,))*100)+100</f>
        <v>101.49891620571749</v>
      </c>
      <c r="J351" s="92">
        <f>(((Table134567891011121314151617343[[#This Row],[DEU]]-VLOOKUP($U$1,A:D,4,))/VLOOKUP($U$1,A:D,4,))*100)+100</f>
        <v>137.89899769568552</v>
      </c>
      <c r="K351" s="92">
        <f>(((Table134567891011121314151617343[[#This Row],[ESP]]-VLOOKUP($U$1,A:E,5,))/VLOOKUP($U$1,A:E,5,))*100)+100</f>
        <v>89.329996185073611</v>
      </c>
      <c r="L351" s="92">
        <f>(((Table134567891011121314151617343[[#This Row],[EA19]]-VLOOKUP($U$1,A:F,6,))/VLOOKUP($U$1,A:F,6,))*100)+100</f>
        <v>117.67341536788571</v>
      </c>
      <c r="M351" s="92">
        <f>(((Table134567891011121314151617343[[#This Row],[GBR]]-VLOOKUP($U$1,A:G,7,))/VLOOKUP($U$1,A:G,7,))*100)+100</f>
        <v>96.987319710469691</v>
      </c>
      <c r="N351" s="92">
        <f>VLOOKUP(A351,Database!$E:$AY,MATCH($N$1,Database!$E$1:$AY$1,0),FALSE)</f>
        <v>105.2364</v>
      </c>
      <c r="O351" s="92">
        <f>(((Table134567891011121314151617343[[#This Row],[USA]]-VLOOKUP($U$1,A:N,14,))/VLOOKUP($U$1,A:N,14,))*100)+100</f>
        <v>121.92725337648899</v>
      </c>
      <c r="P351" s="92">
        <f>VLOOKUP(A351,Database!$E:$AY,MATCH($P$1,Database!$E$1:$AY$1,0),FALSE)</f>
        <v>102.8914</v>
      </c>
      <c r="Q351" s="92">
        <f>(((Table134567891011121314151617343[[#This Row],[JPN]]-VLOOKUP($U$1,A:Q,16,))/VLOOKUP($U$1,A:Q,16,))*100)+100</f>
        <v>103.30085359338813</v>
      </c>
    </row>
    <row r="352" spans="1:17" s="85" customFormat="1" x14ac:dyDescent="0.2">
      <c r="A352" s="22">
        <v>43525</v>
      </c>
      <c r="B352" s="92">
        <f>VLOOKUP(A352,Database!$E:$AY,MATCH($B$1,Database!$E$1:$AY$1,0),FALSE)</f>
        <v>105.69119999999999</v>
      </c>
      <c r="C352" s="92">
        <f>VLOOKUP(A352,Database!$E:$AY,MATCH($C$1,Database!$E$1:$AY$1,0),FALSE)</f>
        <v>103.6309</v>
      </c>
      <c r="D352" s="92">
        <f>VLOOKUP(A352,Database!$E:$AY,MATCH($D$1,Database!$E$1:$AY$1,0),FALSE)</f>
        <v>104.4913</v>
      </c>
      <c r="E352" s="92">
        <f>VLOOKUP(A352,Database!$E:$AY,MATCH($E$1,Database!$E$1:$AY$1,0),FALSE)</f>
        <v>105.07810000000001</v>
      </c>
      <c r="F352" s="92">
        <f>VLOOKUP(A352,Database!$E:$AY,MATCH($F$1,Database!$E$1:$AY$1,0),FALSE)</f>
        <v>104.88249999999999</v>
      </c>
      <c r="G352" s="92">
        <f>VLOOKUP(A352,Database!$E:$AY,MATCH($G$1,Database!$E$1:$AY$1,0),FALSE)</f>
        <v>105.1739</v>
      </c>
      <c r="H352" s="92">
        <f>(((Table134567891011121314151617343[[#This Row],[ITA]]-VLOOKUP($U$1,A:B,2,))/VLOOKUP($U$1,A:B,2,))*100)+100</f>
        <v>86.924325128978637</v>
      </c>
      <c r="I352" s="92">
        <f>(((Table134567891011121314151617343[[#This Row],[FRA]]-VLOOKUP($U$1,A:C,3,))/VLOOKUP($U$1,A:C,3,))*100)+100</f>
        <v>100.86625676823932</v>
      </c>
      <c r="J352" s="92">
        <f>(((Table134567891011121314151617343[[#This Row],[DEU]]-VLOOKUP($U$1,A:D,4,))/VLOOKUP($U$1,A:D,4,))*100)+100</f>
        <v>138.96278320014181</v>
      </c>
      <c r="K352" s="92">
        <f>(((Table134567891011121314151617343[[#This Row],[ESP]]-VLOOKUP($U$1,A:E,5,))/VLOOKUP($U$1,A:E,5,))*100)+100</f>
        <v>88.491217668919973</v>
      </c>
      <c r="L352" s="92">
        <f>(((Table134567891011121314151617343[[#This Row],[EA19]]-VLOOKUP($U$1,A:F,6,))/VLOOKUP($U$1,A:F,6,))*100)+100</f>
        <v>117.33778896035246</v>
      </c>
      <c r="M352" s="92">
        <f>(((Table134567891011121314151617343[[#This Row],[GBR]]-VLOOKUP($U$1,A:G,7,))/VLOOKUP($U$1,A:G,7,))*100)+100</f>
        <v>98.445080315364521</v>
      </c>
      <c r="N352" s="92">
        <f>VLOOKUP(A352,Database!$E:$AY,MATCH($N$1,Database!$E$1:$AY$1,0),FALSE)</f>
        <v>105.3497</v>
      </c>
      <c r="O352" s="92">
        <f>(((Table134567891011121314151617343[[#This Row],[USA]]-VLOOKUP($U$1,A:N,14,))/VLOOKUP($U$1,A:N,14,))*100)+100</f>
        <v>122.05852314443578</v>
      </c>
      <c r="P352" s="92">
        <f>VLOOKUP(A352,Database!$E:$AY,MATCH($P$1,Database!$E$1:$AY$1,0),FALSE)</f>
        <v>102.4915</v>
      </c>
      <c r="Q352" s="92">
        <f>(((Table134567891011121314151617343[[#This Row],[JPN]]-VLOOKUP($U$1,A:Q,16,))/VLOOKUP($U$1,A:Q,16,))*100)+100</f>
        <v>102.89936220195992</v>
      </c>
    </row>
    <row r="353" spans="1:17" s="85" customFormat="1" x14ac:dyDescent="0.2">
      <c r="A353" s="22">
        <v>43556</v>
      </c>
      <c r="B353" s="92">
        <f>VLOOKUP(A353,Database!$E:$AY,MATCH($B$1,Database!$E$1:$AY$1,0),FALSE)</f>
        <v>105.19119999999999</v>
      </c>
      <c r="C353" s="92">
        <f>VLOOKUP(A353,Database!$E:$AY,MATCH($C$1,Database!$E$1:$AY$1,0),FALSE)</f>
        <v>104.0809</v>
      </c>
      <c r="D353" s="92">
        <f>VLOOKUP(A353,Database!$E:$AY,MATCH($D$1,Database!$E$1:$AY$1,0),FALSE)</f>
        <v>101.7915</v>
      </c>
      <c r="E353" s="92">
        <f>VLOOKUP(A353,Database!$E:$AY,MATCH($E$1,Database!$E$1:$AY$1,0),FALSE)</f>
        <v>106.9421</v>
      </c>
      <c r="F353" s="92">
        <f>VLOOKUP(A353,Database!$E:$AY,MATCH($F$1,Database!$E$1:$AY$1,0),FALSE)</f>
        <v>104.2826</v>
      </c>
      <c r="G353" s="92">
        <f>VLOOKUP(A353,Database!$E:$AY,MATCH($G$1,Database!$E$1:$AY$1,0),FALSE)</f>
        <v>101.8515</v>
      </c>
      <c r="H353" s="92">
        <f>(((Table134567891011121314151617343[[#This Row],[ITA]]-VLOOKUP($U$1,A:B,2,))/VLOOKUP($U$1,A:B,2,))*100)+100</f>
        <v>86.51310676297949</v>
      </c>
      <c r="I353" s="92">
        <f>(((Table134567891011121314151617343[[#This Row],[FRA]]-VLOOKUP($U$1,A:C,3,))/VLOOKUP($U$1,A:C,3,))*100)+100</f>
        <v>101.30425176341652</v>
      </c>
      <c r="J353" s="92">
        <f>(((Table134567891011121314151617343[[#This Row],[DEU]]-VLOOKUP($U$1,A:D,4,))/VLOOKUP($U$1,A:D,4,))*100)+100</f>
        <v>135.37232426161063</v>
      </c>
      <c r="K353" s="92">
        <f>(((Table134567891011121314151617343[[#This Row],[ESP]]-VLOOKUP($U$1,A:E,5,))/VLOOKUP($U$1,A:E,5,))*100)+100</f>
        <v>90.060979871842051</v>
      </c>
      <c r="L353" s="92">
        <f>(((Table134567891011121314151617343[[#This Row],[EA19]]-VLOOKUP($U$1,A:F,6,))/VLOOKUP($U$1,A:F,6,))*100)+100</f>
        <v>116.66664802075515</v>
      </c>
      <c r="M353" s="92">
        <f>(((Table134567891011121314151617343[[#This Row],[GBR]]-VLOOKUP($U$1,A:G,7,))/VLOOKUP($U$1,A:G,7,))*100)+100</f>
        <v>95.335240946093563</v>
      </c>
      <c r="N353" s="92">
        <f>VLOOKUP(A353,Database!$E:$AY,MATCH($N$1,Database!$E$1:$AY$1,0),FALSE)</f>
        <v>104.6848</v>
      </c>
      <c r="O353" s="92">
        <f>(((Table134567891011121314151617343[[#This Row],[USA]]-VLOOKUP($U$1,A:N,14,))/VLOOKUP($U$1,A:N,14,))*100)+100</f>
        <v>121.2881677277736</v>
      </c>
      <c r="P353" s="92">
        <f>VLOOKUP(A353,Database!$E:$AY,MATCH($P$1,Database!$E$1:$AY$1,0),FALSE)</f>
        <v>102.6914</v>
      </c>
      <c r="Q353" s="92">
        <f>(((Table134567891011121314151617343[[#This Row],[JPN]]-VLOOKUP($U$1,A:Q,16,))/VLOOKUP($U$1,A:Q,16,))*100)+100</f>
        <v>103.10005769870034</v>
      </c>
    </row>
    <row r="354" spans="1:17" s="85" customFormat="1" x14ac:dyDescent="0.2">
      <c r="A354" s="22">
        <v>43586</v>
      </c>
      <c r="B354" s="92">
        <f>VLOOKUP(A354,Database!$E:$AY,MATCH($B$1,Database!$E$1:$AY$1,0),FALSE)</f>
        <v>106.0912</v>
      </c>
      <c r="C354" s="92">
        <f>VLOOKUP(A354,Database!$E:$AY,MATCH($C$1,Database!$E$1:$AY$1,0),FALSE)</f>
        <v>105.8109</v>
      </c>
      <c r="D354" s="92">
        <f>VLOOKUP(A354,Database!$E:$AY,MATCH($D$1,Database!$E$1:$AY$1,0),FALSE)</f>
        <v>102.6914</v>
      </c>
      <c r="E354" s="92">
        <f>VLOOKUP(A354,Database!$E:$AY,MATCH($E$1,Database!$E$1:$AY$1,0),FALSE)</f>
        <v>107.05110000000001</v>
      </c>
      <c r="F354" s="92">
        <f>VLOOKUP(A354,Database!$E:$AY,MATCH($F$1,Database!$E$1:$AY$1,0),FALSE)</f>
        <v>105.0825</v>
      </c>
      <c r="G354" s="92">
        <f>VLOOKUP(A354,Database!$E:$AY,MATCH($G$1,Database!$E$1:$AY$1,0),FALSE)</f>
        <v>103.09739999999999</v>
      </c>
      <c r="H354" s="92">
        <f>(((Table134567891011121314151617343[[#This Row],[ITA]]-VLOOKUP($U$1,A:B,2,))/VLOOKUP($U$1,A:B,2,))*100)+100</f>
        <v>87.253299821777958</v>
      </c>
      <c r="I354" s="92">
        <f>(((Table134567891011121314151617343[[#This Row],[FRA]]-VLOOKUP($U$1,A:C,3,))/VLOOKUP($U$1,A:C,3,))*100)+100</f>
        <v>102.98809918931994</v>
      </c>
      <c r="J354" s="92">
        <f>(((Table134567891011121314151617343[[#This Row],[DEU]]-VLOOKUP($U$1,A:D,4,))/VLOOKUP($U$1,A:D,4,))*100)+100</f>
        <v>136.56909957785044</v>
      </c>
      <c r="K354" s="92">
        <f>(((Table134567891011121314151617343[[#This Row],[ESP]]-VLOOKUP($U$1,A:E,5,))/VLOOKUP($U$1,A:E,5,))*100)+100</f>
        <v>90.152773906240398</v>
      </c>
      <c r="L354" s="92">
        <f>(((Table134567891011121314151617343[[#This Row],[EA19]]-VLOOKUP($U$1,A:F,6,))/VLOOKUP($U$1,A:F,6,))*100)+100</f>
        <v>117.56153989870795</v>
      </c>
      <c r="M354" s="92">
        <f>(((Table134567891011121314151617343[[#This Row],[GBR]]-VLOOKUP($U$1,A:G,7,))/VLOOKUP($U$1,A:G,7,))*100)+100</f>
        <v>96.501430709570172</v>
      </c>
      <c r="N354" s="92">
        <f>VLOOKUP(A354,Database!$E:$AY,MATCH($N$1,Database!$E$1:$AY$1,0),FALSE)</f>
        <v>104.913</v>
      </c>
      <c r="O354" s="92">
        <f>(((Table134567891011121314151617343[[#This Row],[USA]]-VLOOKUP($U$1,A:N,14,))/VLOOKUP($U$1,A:N,14,))*100)+100</f>
        <v>121.55256102914571</v>
      </c>
      <c r="P354" s="92">
        <f>VLOOKUP(A354,Database!$E:$AY,MATCH($P$1,Database!$E$1:$AY$1,0),FALSE)</f>
        <v>103.8913</v>
      </c>
      <c r="Q354" s="92">
        <f>(((Table134567891011121314151617343[[#This Row],[JPN]]-VLOOKUP($U$1,A:Q,16,))/VLOOKUP($U$1,A:Q,16,))*100)+100</f>
        <v>104.30473266887964</v>
      </c>
    </row>
    <row r="355" spans="1:17" s="85" customFormat="1" x14ac:dyDescent="0.2">
      <c r="A355" s="22">
        <v>43617</v>
      </c>
      <c r="B355" s="92">
        <f>VLOOKUP(A355,Database!$E:$AY,MATCH($B$1,Database!$E$1:$AY$1,0),FALSE)</f>
        <v>105.7912</v>
      </c>
      <c r="C355" s="92">
        <f>VLOOKUP(A355,Database!$E:$AY,MATCH($C$1,Database!$E$1:$AY$1,0),FALSE)</f>
        <v>103.3509</v>
      </c>
      <c r="D355" s="92">
        <f>VLOOKUP(A355,Database!$E:$AY,MATCH($D$1,Database!$E$1:$AY$1,0),FALSE)</f>
        <v>101.4915</v>
      </c>
      <c r="E355" s="92">
        <f>VLOOKUP(A355,Database!$E:$AY,MATCH($E$1,Database!$E$1:$AY$1,0),FALSE)</f>
        <v>106.9241</v>
      </c>
      <c r="F355" s="92">
        <f>VLOOKUP(A355,Database!$E:$AY,MATCH($F$1,Database!$E$1:$AY$1,0),FALSE)</f>
        <v>103.8827</v>
      </c>
      <c r="G355" s="92">
        <f>VLOOKUP(A355,Database!$E:$AY,MATCH($G$1,Database!$E$1:$AY$1,0),FALSE)</f>
        <v>102.68210000000001</v>
      </c>
      <c r="H355" s="92">
        <f>(((Table134567891011121314151617343[[#This Row],[ITA]]-VLOOKUP($U$1,A:B,2,))/VLOOKUP($U$1,A:B,2,))*100)+100</f>
        <v>87.006568802178478</v>
      </c>
      <c r="I355" s="92">
        <f>(((Table134567891011121314151617343[[#This Row],[FRA]]-VLOOKUP($U$1,A:C,3,))/VLOOKUP($U$1,A:C,3,))*100)+100</f>
        <v>100.59372654901797</v>
      </c>
      <c r="J355" s="92">
        <f>(((Table134567891011121314151617343[[#This Row],[DEU]]-VLOOKUP($U$1,A:D,4,))/VLOOKUP($U$1,A:D,4,))*100)+100</f>
        <v>134.97335482626011</v>
      </c>
      <c r="K355" s="92">
        <f>(((Table134567891011121314151617343[[#This Row],[ESP]]-VLOOKUP($U$1,A:E,5,))/VLOOKUP($U$1,A:E,5,))*100)+100</f>
        <v>90.045821223959749</v>
      </c>
      <c r="L355" s="92">
        <f>(((Table134567891011121314151617343[[#This Row],[EA19]]-VLOOKUP($U$1,A:F,6,))/VLOOKUP($U$1,A:F,6,))*100)+100</f>
        <v>116.21925801951332</v>
      </c>
      <c r="M355" s="92">
        <f>(((Table134567891011121314151617343[[#This Row],[GBR]]-VLOOKUP($U$1,A:G,7,))/VLOOKUP($U$1,A:G,7,))*100)+100</f>
        <v>96.112700788411303</v>
      </c>
      <c r="N355" s="92">
        <f>VLOOKUP(A355,Database!$E:$AY,MATCH($N$1,Database!$E$1:$AY$1,0),FALSE)</f>
        <v>104.962</v>
      </c>
      <c r="O355" s="92">
        <f>(((Table134567891011121314151617343[[#This Row],[USA]]-VLOOKUP($U$1,A:N,14,))/VLOOKUP($U$1,A:N,14,))*100)+100</f>
        <v>121.609332596925</v>
      </c>
      <c r="P355" s="92">
        <f>VLOOKUP(A355,Database!$E:$AY,MATCH($P$1,Database!$E$1:$AY$1,0),FALSE)</f>
        <v>101.39149999999999</v>
      </c>
      <c r="Q355" s="92">
        <f>(((Table134567891011121314151617343[[#This Row],[JPN]]-VLOOKUP($U$1,A:Q,16,))/VLOOKUP($U$1,A:Q,16,))*100)+100</f>
        <v>101.79498478117715</v>
      </c>
    </row>
    <row r="356" spans="1:17" s="85" customFormat="1" x14ac:dyDescent="0.2">
      <c r="A356" s="22">
        <v>43647</v>
      </c>
      <c r="B356" s="92">
        <f>VLOOKUP(A356,Database!$E:$AY,MATCH($B$1,Database!$E$1:$AY$1,0),FALSE)</f>
        <v>106.19119999999999</v>
      </c>
      <c r="C356" s="92">
        <f>VLOOKUP(A356,Database!$E:$AY,MATCH($C$1,Database!$E$1:$AY$1,0),FALSE)</f>
        <v>103.6709</v>
      </c>
      <c r="D356" s="92">
        <f>VLOOKUP(A356,Database!$E:$AY,MATCH($D$1,Database!$E$1:$AY$1,0),FALSE)</f>
        <v>101.2916</v>
      </c>
      <c r="E356" s="92">
        <f>VLOOKUP(A356,Database!$E:$AY,MATCH($E$1,Database!$E$1:$AY$1,0),FALSE)</f>
        <v>107.1981</v>
      </c>
      <c r="F356" s="92">
        <f>VLOOKUP(A356,Database!$E:$AY,MATCH($F$1,Database!$E$1:$AY$1,0),FALSE)</f>
        <v>103.78270000000001</v>
      </c>
      <c r="G356" s="92">
        <f>VLOOKUP(A356,Database!$E:$AY,MATCH($G$1,Database!$E$1:$AY$1,0),FALSE)</f>
        <v>102.47450000000001</v>
      </c>
      <c r="H356" s="92">
        <f>(((Table134567891011121314151617343[[#This Row],[ITA]]-VLOOKUP($U$1,A:B,2,))/VLOOKUP($U$1,A:B,2,))*100)+100</f>
        <v>87.335543494977784</v>
      </c>
      <c r="I356" s="92">
        <f>(((Table134567891011121314151617343[[#This Row],[FRA]]-VLOOKUP($U$1,A:C,3,))/VLOOKUP($U$1,A:C,3,))*100)+100</f>
        <v>100.90518965669953</v>
      </c>
      <c r="J356" s="92">
        <f>(((Table134567891011121314151617343[[#This Row],[DEU]]-VLOOKUP($U$1,A:D,4,))/VLOOKUP($U$1,A:D,4,))*100)+100</f>
        <v>134.70750819250489</v>
      </c>
      <c r="K356" s="92">
        <f>(((Table134567891011121314151617343[[#This Row],[ESP]]-VLOOKUP($U$1,A:E,5,))/VLOOKUP($U$1,A:E,5,))*100)+100</f>
        <v>90.276569530612463</v>
      </c>
      <c r="L356" s="92">
        <f>(((Table134567891011121314151617343[[#This Row],[EA19]]-VLOOKUP($U$1,A:F,6,))/VLOOKUP($U$1,A:F,6,))*100)+100</f>
        <v>116.10738255033559</v>
      </c>
      <c r="M356" s="92">
        <f>(((Table134567891011121314151617343[[#This Row],[GBR]]-VLOOKUP($U$1,A:G,7,))/VLOOKUP($U$1,A:G,7,))*100)+100</f>
        <v>95.918382628930019</v>
      </c>
      <c r="N356" s="92">
        <f>VLOOKUP(A356,Database!$E:$AY,MATCH($N$1,Database!$E$1:$AY$1,0),FALSE)</f>
        <v>104.7774</v>
      </c>
      <c r="O356" s="92">
        <f>(((Table134567891011121314151617343[[#This Row],[USA]]-VLOOKUP($U$1,A:N,14,))/VLOOKUP($U$1,A:N,14,))*100)+100</f>
        <v>121.39545440484221</v>
      </c>
      <c r="P356" s="92">
        <f>VLOOKUP(A356,Database!$E:$AY,MATCH($P$1,Database!$E$1:$AY$1,0),FALSE)</f>
        <v>101.7915</v>
      </c>
      <c r="Q356" s="92">
        <f>(((Table134567891011121314151617343[[#This Row],[JPN]]-VLOOKUP($U$1,A:Q,16,))/VLOOKUP($U$1,A:Q,16,))*100)+100</f>
        <v>102.19657657055271</v>
      </c>
    </row>
    <row r="357" spans="1:17" s="85" customFormat="1" x14ac:dyDescent="0.2">
      <c r="A357" s="22">
        <v>43678</v>
      </c>
      <c r="B357" s="92">
        <f>VLOOKUP(A357,Database!$E:$AY,MATCH($B$1,Database!$E$1:$AY$1,0),FALSE)</f>
        <v>105.2912</v>
      </c>
      <c r="C357" s="92">
        <f>VLOOKUP(A357,Database!$E:$AY,MATCH($C$1,Database!$E$1:$AY$1,0),FALSE)</f>
        <v>102.62090000000001</v>
      </c>
      <c r="D357" s="92">
        <f>VLOOKUP(A357,Database!$E:$AY,MATCH($D$1,Database!$E$1:$AY$1,0),FALSE)</f>
        <v>101.4915</v>
      </c>
      <c r="E357" s="92">
        <f>VLOOKUP(A357,Database!$E:$AY,MATCH($E$1,Database!$E$1:$AY$1,0),FALSE)</f>
        <v>107.21510000000001</v>
      </c>
      <c r="F357" s="92">
        <f>VLOOKUP(A357,Database!$E:$AY,MATCH($F$1,Database!$E$1:$AY$1,0),FALSE)</f>
        <v>103.8827</v>
      </c>
      <c r="G357" s="92">
        <f>VLOOKUP(A357,Database!$E:$AY,MATCH($G$1,Database!$E$1:$AY$1,0),FALSE)</f>
        <v>101.6439</v>
      </c>
      <c r="H357" s="92">
        <f>(((Table134567891011121314151617343[[#This Row],[ITA]]-VLOOKUP($U$1,A:B,2,))/VLOOKUP($U$1,A:B,2,))*100)+100</f>
        <v>86.595350436179331</v>
      </c>
      <c r="I357" s="92">
        <f>(((Table134567891011121314151617343[[#This Row],[FRA]]-VLOOKUP($U$1,A:C,3,))/VLOOKUP($U$1,A:C,3,))*100)+100</f>
        <v>99.883201334619429</v>
      </c>
      <c r="J357" s="92">
        <f>(((Table134567891011121314151617343[[#This Row],[DEU]]-VLOOKUP($U$1,A:D,4,))/VLOOKUP($U$1,A:D,4,))*100)+100</f>
        <v>134.97335482626011</v>
      </c>
      <c r="K357" s="92">
        <f>(((Table134567891011121314151617343[[#This Row],[ESP]]-VLOOKUP($U$1,A:E,5,))/VLOOKUP($U$1,A:E,5,))*100)+100</f>
        <v>90.290886031390187</v>
      </c>
      <c r="L357" s="92">
        <f>(((Table134567891011121314151617343[[#This Row],[EA19]]-VLOOKUP($U$1,A:F,6,))/VLOOKUP($U$1,A:F,6,))*100)+100</f>
        <v>116.21925801951332</v>
      </c>
      <c r="M357" s="92">
        <f>(((Table134567891011121314151617343[[#This Row],[GBR]]-VLOOKUP($U$1,A:G,7,))/VLOOKUP($U$1,A:G,7,))*100)+100</f>
        <v>95.140922786612265</v>
      </c>
      <c r="N357" s="92">
        <f>VLOOKUP(A357,Database!$E:$AY,MATCH($N$1,Database!$E$1:$AY$1,0),FALSE)</f>
        <v>105.51609999999999</v>
      </c>
      <c r="O357" s="92">
        <f>(((Table134567891011121314151617343[[#This Row],[USA]]-VLOOKUP($U$1,A:N,14,))/VLOOKUP($U$1,A:N,14,))*100)+100</f>
        <v>122.25131475420054</v>
      </c>
      <c r="P357" s="92">
        <f>VLOOKUP(A357,Database!$E:$AY,MATCH($P$1,Database!$E$1:$AY$1,0),FALSE)</f>
        <v>100.49160000000001</v>
      </c>
      <c r="Q357" s="92">
        <f>(((Table134567891011121314151617343[[#This Row],[JPN]]-VLOOKUP($U$1,A:Q,16,))/VLOOKUP($U$1,A:Q,16,))*100)+100</f>
        <v>100.89150365302952</v>
      </c>
    </row>
    <row r="358" spans="1:17" s="85" customFormat="1" x14ac:dyDescent="0.2">
      <c r="A358" s="16"/>
      <c r="C358" s="36"/>
      <c r="D358" s="37"/>
    </row>
    <row r="359" spans="1:17" s="85" customFormat="1" x14ac:dyDescent="0.2">
      <c r="A359" s="16"/>
      <c r="C359" s="36"/>
      <c r="D359" s="37"/>
    </row>
    <row r="360" spans="1:17" s="85" customFormat="1" x14ac:dyDescent="0.2">
      <c r="A360" s="16"/>
      <c r="C360" s="36"/>
      <c r="D360" s="37"/>
    </row>
    <row r="361" spans="1:17" s="85" customFormat="1" x14ac:dyDescent="0.2">
      <c r="A361" s="16"/>
      <c r="C361" s="36"/>
      <c r="D361" s="37"/>
    </row>
    <row r="362" spans="1:17" s="85" customFormat="1" x14ac:dyDescent="0.2">
      <c r="A362" s="16"/>
      <c r="C362" s="36"/>
      <c r="D362" s="37"/>
    </row>
    <row r="363" spans="1:17" s="85" customFormat="1" x14ac:dyDescent="0.2">
      <c r="A363" s="16"/>
      <c r="C363" s="36"/>
      <c r="D363" s="37"/>
    </row>
    <row r="364" spans="1:17" s="85" customFormat="1" x14ac:dyDescent="0.2">
      <c r="A364" s="16"/>
      <c r="C364" s="36"/>
      <c r="D364" s="37"/>
    </row>
    <row r="365" spans="1:17" s="85" customFormat="1" x14ac:dyDescent="0.2">
      <c r="A365" s="16"/>
      <c r="C365" s="36"/>
      <c r="D365" s="37"/>
    </row>
    <row r="366" spans="1:17" s="85" customFormat="1" x14ac:dyDescent="0.2">
      <c r="A366" s="16"/>
      <c r="C366" s="36"/>
      <c r="D366" s="37"/>
    </row>
    <row r="367" spans="1:17" s="85" customFormat="1" x14ac:dyDescent="0.2">
      <c r="A367" s="16"/>
      <c r="C367" s="36"/>
      <c r="D367" s="37"/>
    </row>
    <row r="368" spans="1:17" s="85" customFormat="1" x14ac:dyDescent="0.2">
      <c r="A368" s="16"/>
      <c r="C368" s="36"/>
      <c r="D368" s="37"/>
    </row>
    <row r="369" spans="1:4" s="85" customFormat="1" x14ac:dyDescent="0.2">
      <c r="A369" s="16"/>
      <c r="C369" s="36"/>
      <c r="D369" s="37"/>
    </row>
    <row r="370" spans="1:4" s="85" customFormat="1" x14ac:dyDescent="0.2">
      <c r="A370" s="16"/>
      <c r="C370" s="36"/>
      <c r="D370" s="37"/>
    </row>
    <row r="371" spans="1:4" s="85" customFormat="1" x14ac:dyDescent="0.2">
      <c r="A371" s="16"/>
      <c r="C371" s="36"/>
      <c r="D371" s="37"/>
    </row>
    <row r="372" spans="1:4" s="85" customFormat="1" x14ac:dyDescent="0.2">
      <c r="A372" s="16"/>
      <c r="C372" s="36"/>
      <c r="D372" s="37"/>
    </row>
    <row r="373" spans="1:4" s="85" customFormat="1" x14ac:dyDescent="0.2">
      <c r="A373" s="16"/>
      <c r="C373" s="36"/>
      <c r="D373" s="37"/>
    </row>
    <row r="374" spans="1:4" s="85" customFormat="1" x14ac:dyDescent="0.2">
      <c r="A374" s="16"/>
      <c r="C374" s="36"/>
      <c r="D374" s="37"/>
    </row>
    <row r="375" spans="1:4" s="85" customFormat="1" x14ac:dyDescent="0.2">
      <c r="A375" s="16"/>
      <c r="C375" s="36"/>
      <c r="D375" s="37"/>
    </row>
    <row r="376" spans="1:4" s="85" customFormat="1" x14ac:dyDescent="0.2">
      <c r="A376" s="16"/>
      <c r="C376" s="36"/>
      <c r="D376" s="37"/>
    </row>
    <row r="377" spans="1:4" s="85" customFormat="1" x14ac:dyDescent="0.2">
      <c r="A377" s="16"/>
      <c r="C377" s="36"/>
      <c r="D377" s="37"/>
    </row>
    <row r="378" spans="1:4" s="85" customFormat="1" x14ac:dyDescent="0.2">
      <c r="A378" s="16"/>
      <c r="C378" s="36"/>
      <c r="D378" s="37"/>
    </row>
    <row r="379" spans="1:4" s="85" customFormat="1" x14ac:dyDescent="0.2">
      <c r="A379" s="16"/>
      <c r="C379" s="36"/>
      <c r="D379" s="37"/>
    </row>
    <row r="380" spans="1:4" s="85" customFormat="1" x14ac:dyDescent="0.2">
      <c r="A380" s="16"/>
      <c r="C380" s="36"/>
      <c r="D380" s="37"/>
    </row>
    <row r="381" spans="1:4" s="85" customFormat="1" x14ac:dyDescent="0.2">
      <c r="A381" s="16"/>
      <c r="C381" s="36"/>
      <c r="D381" s="37"/>
    </row>
    <row r="382" spans="1:4" s="85" customFormat="1" x14ac:dyDescent="0.2">
      <c r="A382" s="16"/>
      <c r="C382" s="36"/>
      <c r="D382" s="37"/>
    </row>
    <row r="383" spans="1:4" s="85" customFormat="1" x14ac:dyDescent="0.2">
      <c r="A383" s="16"/>
      <c r="C383" s="36"/>
      <c r="D383" s="37"/>
    </row>
    <row r="384" spans="1:4" s="85" customFormat="1" x14ac:dyDescent="0.2">
      <c r="A384" s="16"/>
      <c r="C384" s="36"/>
      <c r="D384" s="37"/>
    </row>
    <row r="385" spans="1:4" s="85" customFormat="1" x14ac:dyDescent="0.2">
      <c r="A385" s="16"/>
      <c r="C385" s="36"/>
      <c r="D385" s="37"/>
    </row>
    <row r="386" spans="1:4" s="85" customFormat="1" x14ac:dyDescent="0.2">
      <c r="A386" s="16"/>
      <c r="C386" s="36"/>
      <c r="D386" s="37"/>
    </row>
    <row r="387" spans="1:4" s="85" customFormat="1" x14ac:dyDescent="0.2">
      <c r="A387" s="16"/>
      <c r="C387" s="36"/>
      <c r="D387" s="37"/>
    </row>
    <row r="388" spans="1:4" s="85" customFormat="1" x14ac:dyDescent="0.2">
      <c r="A388" s="16"/>
      <c r="C388" s="36"/>
      <c r="D388" s="37"/>
    </row>
    <row r="389" spans="1:4" s="85" customFormat="1" x14ac:dyDescent="0.2">
      <c r="A389" s="16"/>
      <c r="C389" s="36"/>
      <c r="D389" s="37"/>
    </row>
    <row r="390" spans="1:4" s="85" customFormat="1" x14ac:dyDescent="0.2">
      <c r="A390" s="16"/>
      <c r="C390" s="36"/>
      <c r="D390" s="37"/>
    </row>
    <row r="391" spans="1:4" s="85" customFormat="1" x14ac:dyDescent="0.2">
      <c r="A391" s="16"/>
      <c r="C391" s="36"/>
      <c r="D391" s="37"/>
    </row>
    <row r="392" spans="1:4" s="85" customFormat="1" x14ac:dyDescent="0.2">
      <c r="A392" s="16"/>
      <c r="C392" s="36"/>
      <c r="D392" s="37"/>
    </row>
    <row r="393" spans="1:4" s="85" customFormat="1" x14ac:dyDescent="0.2">
      <c r="A393" s="16"/>
      <c r="C393" s="36"/>
      <c r="D393" s="37"/>
    </row>
    <row r="394" spans="1:4" s="85" customFormat="1" x14ac:dyDescent="0.2">
      <c r="A394" s="16"/>
      <c r="C394" s="36"/>
      <c r="D394" s="37"/>
    </row>
    <row r="395" spans="1:4" s="85" customFormat="1" x14ac:dyDescent="0.2">
      <c r="A395" s="16"/>
      <c r="C395" s="36"/>
      <c r="D395" s="37"/>
    </row>
    <row r="396" spans="1:4" s="85" customFormat="1" x14ac:dyDescent="0.2">
      <c r="A396" s="16"/>
      <c r="C396" s="36"/>
      <c r="D396" s="37"/>
    </row>
    <row r="397" spans="1:4" s="85" customFormat="1" x14ac:dyDescent="0.2">
      <c r="A397" s="16"/>
      <c r="C397" s="36"/>
      <c r="D397" s="37"/>
    </row>
    <row r="398" spans="1:4" s="85" customFormat="1" x14ac:dyDescent="0.2">
      <c r="A398" s="16"/>
      <c r="C398" s="36"/>
      <c r="D398" s="37"/>
    </row>
    <row r="399" spans="1:4" s="85" customFormat="1" x14ac:dyDescent="0.2">
      <c r="A399" s="16"/>
      <c r="C399" s="36"/>
      <c r="D399" s="37"/>
    </row>
    <row r="400" spans="1:4" s="85" customFormat="1" x14ac:dyDescent="0.2">
      <c r="A400" s="16"/>
      <c r="C400" s="36"/>
      <c r="D400" s="37"/>
    </row>
    <row r="401" spans="1:4" s="85" customFormat="1" x14ac:dyDescent="0.2">
      <c r="A401" s="16"/>
      <c r="C401" s="36"/>
      <c r="D401" s="37"/>
    </row>
    <row r="402" spans="1:4" s="85" customFormat="1" x14ac:dyDescent="0.2">
      <c r="A402" s="16"/>
      <c r="C402" s="36"/>
      <c r="D402" s="37"/>
    </row>
    <row r="403" spans="1:4" s="85" customFormat="1" x14ac:dyDescent="0.2">
      <c r="A403" s="16"/>
      <c r="C403" s="36"/>
      <c r="D403" s="37"/>
    </row>
    <row r="404" spans="1:4" s="85" customFormat="1" x14ac:dyDescent="0.2">
      <c r="A404" s="16"/>
      <c r="C404" s="36"/>
      <c r="D404" s="37"/>
    </row>
    <row r="405" spans="1:4" s="85" customFormat="1" x14ac:dyDescent="0.2">
      <c r="A405" s="16"/>
      <c r="C405" s="36"/>
      <c r="D405" s="37"/>
    </row>
    <row r="406" spans="1:4" s="85" customFormat="1" x14ac:dyDescent="0.2">
      <c r="A406" s="16"/>
      <c r="C406" s="36"/>
      <c r="D406" s="37"/>
    </row>
    <row r="407" spans="1:4" s="85" customFormat="1" x14ac:dyDescent="0.2">
      <c r="A407" s="16"/>
      <c r="C407" s="36"/>
      <c r="D407" s="37"/>
    </row>
    <row r="408" spans="1:4" s="85" customFormat="1" x14ac:dyDescent="0.2">
      <c r="A408" s="16"/>
      <c r="C408" s="36"/>
      <c r="D408" s="37"/>
    </row>
    <row r="409" spans="1:4" s="85" customFormat="1" x14ac:dyDescent="0.2">
      <c r="A409" s="16"/>
      <c r="C409" s="36"/>
      <c r="D409" s="37"/>
    </row>
    <row r="410" spans="1:4" s="85" customFormat="1" x14ac:dyDescent="0.2">
      <c r="A410" s="16"/>
      <c r="C410" s="36"/>
      <c r="D410" s="37"/>
    </row>
    <row r="411" spans="1:4" s="85" customFormat="1" x14ac:dyDescent="0.2">
      <c r="A411" s="16"/>
      <c r="C411" s="36"/>
      <c r="D411" s="37"/>
    </row>
    <row r="412" spans="1:4" s="85" customFormat="1" x14ac:dyDescent="0.2">
      <c r="A412" s="16"/>
      <c r="C412" s="36"/>
      <c r="D412" s="37"/>
    </row>
    <row r="413" spans="1:4" s="85" customFormat="1" x14ac:dyDescent="0.2">
      <c r="A413" s="16"/>
      <c r="C413" s="36"/>
      <c r="D413" s="37"/>
    </row>
    <row r="414" spans="1:4" s="85" customFormat="1" x14ac:dyDescent="0.2">
      <c r="A414" s="16"/>
      <c r="C414" s="36"/>
      <c r="D414" s="37"/>
    </row>
    <row r="415" spans="1:4" s="85" customFormat="1" x14ac:dyDescent="0.2">
      <c r="A415" s="16"/>
      <c r="C415" s="36"/>
      <c r="D415" s="37"/>
    </row>
    <row r="416" spans="1:4" s="85" customFormat="1" x14ac:dyDescent="0.2">
      <c r="A416" s="16"/>
      <c r="C416" s="36"/>
      <c r="D416" s="37"/>
    </row>
    <row r="417" spans="1:4" s="85" customFormat="1" x14ac:dyDescent="0.2">
      <c r="A417" s="16"/>
      <c r="C417" s="36"/>
      <c r="D417" s="37"/>
    </row>
    <row r="418" spans="1:4" s="85" customFormat="1" x14ac:dyDescent="0.2">
      <c r="A418" s="16"/>
      <c r="C418" s="36"/>
      <c r="D418" s="37"/>
    </row>
    <row r="419" spans="1:4" s="85" customFormat="1" x14ac:dyDescent="0.2">
      <c r="A419" s="16"/>
      <c r="C419" s="36"/>
      <c r="D419" s="37"/>
    </row>
    <row r="420" spans="1:4" s="85" customFormat="1" x14ac:dyDescent="0.2">
      <c r="A420" s="16"/>
      <c r="C420" s="36"/>
      <c r="D420" s="37"/>
    </row>
    <row r="421" spans="1:4" s="85" customFormat="1" x14ac:dyDescent="0.2">
      <c r="A421" s="16"/>
      <c r="C421" s="36"/>
      <c r="D421" s="37"/>
    </row>
    <row r="422" spans="1:4" s="85" customFormat="1" x14ac:dyDescent="0.2">
      <c r="A422" s="16"/>
      <c r="C422" s="36"/>
      <c r="D422" s="37"/>
    </row>
    <row r="423" spans="1:4" s="85" customFormat="1" x14ac:dyDescent="0.2">
      <c r="A423" s="16"/>
      <c r="C423" s="36"/>
      <c r="D423" s="37"/>
    </row>
    <row r="424" spans="1:4" s="85" customFormat="1" x14ac:dyDescent="0.2">
      <c r="A424" s="16"/>
      <c r="C424" s="36"/>
      <c r="D424" s="37"/>
    </row>
    <row r="425" spans="1:4" s="85" customFormat="1" x14ac:dyDescent="0.2">
      <c r="A425" s="16"/>
      <c r="C425" s="36"/>
      <c r="D425" s="37"/>
    </row>
    <row r="426" spans="1:4" s="85" customFormat="1" x14ac:dyDescent="0.2">
      <c r="A426" s="16"/>
      <c r="C426" s="36"/>
      <c r="D426" s="37"/>
    </row>
    <row r="427" spans="1:4" s="85" customFormat="1" x14ac:dyDescent="0.2">
      <c r="A427" s="16"/>
      <c r="C427" s="36"/>
      <c r="D427" s="37"/>
    </row>
    <row r="428" spans="1:4" s="85" customFormat="1" x14ac:dyDescent="0.2">
      <c r="A428" s="16"/>
      <c r="C428" s="36"/>
      <c r="D428" s="37"/>
    </row>
    <row r="429" spans="1:4" s="85" customFormat="1" x14ac:dyDescent="0.2">
      <c r="A429" s="16"/>
      <c r="C429" s="36"/>
      <c r="D429" s="37"/>
    </row>
    <row r="430" spans="1:4" s="85" customFormat="1" x14ac:dyDescent="0.2">
      <c r="A430" s="16"/>
      <c r="C430" s="36"/>
      <c r="D430" s="37"/>
    </row>
    <row r="431" spans="1:4" s="85" customFormat="1" x14ac:dyDescent="0.2">
      <c r="A431" s="16"/>
      <c r="C431" s="36"/>
      <c r="D431" s="37"/>
    </row>
    <row r="432" spans="1:4" s="85" customFormat="1" x14ac:dyDescent="0.2">
      <c r="A432" s="16"/>
      <c r="C432" s="36"/>
      <c r="D432" s="37"/>
    </row>
    <row r="433" spans="1:4" s="85" customFormat="1" x14ac:dyDescent="0.2">
      <c r="A433" s="16"/>
      <c r="C433" s="36"/>
      <c r="D433" s="37"/>
    </row>
    <row r="434" spans="1:4" s="85" customFormat="1" x14ac:dyDescent="0.2">
      <c r="A434" s="16"/>
      <c r="C434" s="36"/>
      <c r="D434" s="37"/>
    </row>
    <row r="435" spans="1:4" s="85" customFormat="1" x14ac:dyDescent="0.2">
      <c r="A435" s="16"/>
      <c r="C435" s="36"/>
      <c r="D435" s="37"/>
    </row>
    <row r="436" spans="1:4" s="85" customFormat="1" x14ac:dyDescent="0.2">
      <c r="A436" s="16"/>
      <c r="C436" s="36"/>
      <c r="D436" s="37"/>
    </row>
    <row r="437" spans="1:4" s="85" customFormat="1" x14ac:dyDescent="0.2">
      <c r="A437" s="16"/>
      <c r="C437" s="36"/>
      <c r="D437" s="37"/>
    </row>
    <row r="438" spans="1:4" s="85" customFormat="1" x14ac:dyDescent="0.2">
      <c r="A438" s="16"/>
      <c r="C438" s="36"/>
      <c r="D438" s="37"/>
    </row>
    <row r="439" spans="1:4" s="85" customFormat="1" x14ac:dyDescent="0.2">
      <c r="A439" s="16"/>
      <c r="C439" s="36"/>
      <c r="D439" s="37"/>
    </row>
    <row r="440" spans="1:4" s="85" customFormat="1" x14ac:dyDescent="0.2">
      <c r="A440" s="16"/>
      <c r="C440" s="36"/>
      <c r="D440" s="37"/>
    </row>
    <row r="441" spans="1:4" s="85" customFormat="1" x14ac:dyDescent="0.2">
      <c r="A441" s="16"/>
      <c r="C441" s="36"/>
      <c r="D441" s="37"/>
    </row>
    <row r="442" spans="1:4" s="85" customFormat="1" x14ac:dyDescent="0.2">
      <c r="A442" s="16"/>
      <c r="C442" s="36"/>
      <c r="D442" s="37"/>
    </row>
    <row r="443" spans="1:4" s="85" customFormat="1" x14ac:dyDescent="0.2">
      <c r="A443" s="16"/>
      <c r="C443" s="36"/>
      <c r="D443" s="37"/>
    </row>
    <row r="444" spans="1:4" s="85" customFormat="1" x14ac:dyDescent="0.2">
      <c r="A444" s="16"/>
      <c r="C444" s="36"/>
      <c r="D444" s="37"/>
    </row>
    <row r="445" spans="1:4" s="85" customFormat="1" x14ac:dyDescent="0.2">
      <c r="A445" s="16"/>
      <c r="C445" s="36"/>
      <c r="D445" s="37"/>
    </row>
    <row r="446" spans="1:4" s="85" customFormat="1" x14ac:dyDescent="0.2">
      <c r="A446" s="16"/>
      <c r="C446" s="36"/>
      <c r="D446" s="37"/>
    </row>
    <row r="447" spans="1:4" s="85" customFormat="1" x14ac:dyDescent="0.2">
      <c r="A447" s="16"/>
      <c r="C447" s="36"/>
      <c r="D447" s="37"/>
    </row>
    <row r="448" spans="1:4" s="85" customFormat="1" x14ac:dyDescent="0.2">
      <c r="A448" s="16"/>
      <c r="C448" s="36"/>
      <c r="D448" s="37"/>
    </row>
    <row r="449" spans="1:4" s="85" customFormat="1" x14ac:dyDescent="0.2">
      <c r="A449" s="16"/>
      <c r="C449" s="36"/>
      <c r="D449" s="37"/>
    </row>
    <row r="450" spans="1:4" s="85" customFormat="1" x14ac:dyDescent="0.2">
      <c r="A450" s="16"/>
      <c r="C450" s="36"/>
      <c r="D450" s="37"/>
    </row>
    <row r="451" spans="1:4" s="85" customFormat="1" x14ac:dyDescent="0.2">
      <c r="A451" s="16"/>
      <c r="C451" s="36"/>
      <c r="D451" s="37"/>
    </row>
    <row r="452" spans="1:4" s="85" customFormat="1" x14ac:dyDescent="0.2">
      <c r="A452" s="16"/>
      <c r="C452" s="36"/>
      <c r="D452" s="37"/>
    </row>
    <row r="453" spans="1:4" s="85" customFormat="1" x14ac:dyDescent="0.2">
      <c r="A453" s="16"/>
      <c r="C453" s="36"/>
      <c r="D453" s="37"/>
    </row>
    <row r="454" spans="1:4" s="85" customFormat="1" x14ac:dyDescent="0.2">
      <c r="A454" s="16"/>
      <c r="C454" s="36"/>
      <c r="D454" s="37"/>
    </row>
    <row r="455" spans="1:4" s="85" customFormat="1" x14ac:dyDescent="0.2">
      <c r="A455" s="16"/>
      <c r="C455" s="36"/>
      <c r="D455" s="37"/>
    </row>
    <row r="456" spans="1:4" s="85" customFormat="1" x14ac:dyDescent="0.2">
      <c r="A456" s="16"/>
      <c r="C456" s="36"/>
      <c r="D456" s="37"/>
    </row>
    <row r="457" spans="1:4" s="85" customFormat="1" x14ac:dyDescent="0.2">
      <c r="A457" s="16"/>
      <c r="C457" s="36"/>
      <c r="D457" s="37"/>
    </row>
    <row r="458" spans="1:4" s="85" customFormat="1" x14ac:dyDescent="0.2">
      <c r="A458" s="16"/>
      <c r="C458" s="36"/>
      <c r="D458" s="37"/>
    </row>
    <row r="459" spans="1:4" s="85" customFormat="1" x14ac:dyDescent="0.2">
      <c r="A459" s="16"/>
      <c r="C459" s="36"/>
      <c r="D459" s="37"/>
    </row>
    <row r="460" spans="1:4" s="85" customFormat="1" x14ac:dyDescent="0.2">
      <c r="A460" s="16"/>
      <c r="C460" s="36"/>
      <c r="D460" s="37"/>
    </row>
    <row r="461" spans="1:4" s="85" customFormat="1" x14ac:dyDescent="0.2">
      <c r="A461" s="16"/>
      <c r="C461" s="36"/>
      <c r="D461" s="37"/>
    </row>
    <row r="462" spans="1:4" s="85" customFormat="1" x14ac:dyDescent="0.2">
      <c r="A462" s="16"/>
      <c r="C462" s="36"/>
      <c r="D462" s="37"/>
    </row>
    <row r="463" spans="1:4" s="85" customFormat="1" x14ac:dyDescent="0.2">
      <c r="A463" s="16"/>
      <c r="C463" s="36"/>
      <c r="D463" s="37"/>
    </row>
    <row r="464" spans="1:4" s="85" customFormat="1" x14ac:dyDescent="0.2">
      <c r="A464" s="16"/>
      <c r="C464" s="36"/>
      <c r="D464" s="37"/>
    </row>
    <row r="465" spans="1:4" s="85" customFormat="1" x14ac:dyDescent="0.2">
      <c r="A465" s="16"/>
      <c r="C465" s="36"/>
      <c r="D465" s="37"/>
    </row>
    <row r="466" spans="1:4" s="85" customFormat="1" x14ac:dyDescent="0.2">
      <c r="A466" s="16"/>
      <c r="C466" s="36"/>
      <c r="D466" s="37"/>
    </row>
    <row r="467" spans="1:4" s="85" customFormat="1" x14ac:dyDescent="0.2">
      <c r="A467" s="16"/>
      <c r="C467" s="36"/>
      <c r="D467" s="37"/>
    </row>
    <row r="468" spans="1:4" s="85" customFormat="1" x14ac:dyDescent="0.2">
      <c r="A468" s="16"/>
      <c r="C468" s="36"/>
      <c r="D468" s="37"/>
    </row>
    <row r="469" spans="1:4" s="85" customFormat="1" x14ac:dyDescent="0.2">
      <c r="A469" s="16"/>
      <c r="C469" s="36"/>
      <c r="D469" s="37"/>
    </row>
    <row r="470" spans="1:4" s="85" customFormat="1" x14ac:dyDescent="0.2">
      <c r="A470" s="16"/>
      <c r="C470" s="36"/>
      <c r="D470" s="37"/>
    </row>
    <row r="471" spans="1:4" s="85" customFormat="1" x14ac:dyDescent="0.2">
      <c r="A471" s="16"/>
      <c r="C471" s="36"/>
      <c r="D471" s="37"/>
    </row>
    <row r="472" spans="1:4" s="85" customFormat="1" x14ac:dyDescent="0.2">
      <c r="A472" s="16"/>
      <c r="C472" s="36"/>
      <c r="D472" s="37"/>
    </row>
    <row r="473" spans="1:4" s="85" customFormat="1" x14ac:dyDescent="0.2">
      <c r="A473" s="16"/>
      <c r="C473" s="36"/>
      <c r="D473" s="37"/>
    </row>
    <row r="474" spans="1:4" s="85" customFormat="1" x14ac:dyDescent="0.2">
      <c r="A474" s="16"/>
      <c r="C474" s="36"/>
      <c r="D474" s="37"/>
    </row>
    <row r="475" spans="1:4" s="85" customFormat="1" x14ac:dyDescent="0.2">
      <c r="A475" s="16"/>
      <c r="C475" s="36"/>
      <c r="D475" s="37"/>
    </row>
    <row r="476" spans="1:4" s="85" customFormat="1" x14ac:dyDescent="0.2">
      <c r="A476" s="16"/>
      <c r="C476" s="36"/>
      <c r="D476" s="37"/>
    </row>
    <row r="477" spans="1:4" s="85" customFormat="1" x14ac:dyDescent="0.2">
      <c r="A477" s="16"/>
      <c r="C477" s="36"/>
      <c r="D477" s="37"/>
    </row>
    <row r="478" spans="1:4" s="85" customFormat="1" x14ac:dyDescent="0.2">
      <c r="A478" s="16"/>
      <c r="C478" s="36"/>
      <c r="D478" s="37"/>
    </row>
    <row r="479" spans="1:4" s="85" customFormat="1" x14ac:dyDescent="0.2">
      <c r="A479" s="16"/>
      <c r="C479" s="36"/>
      <c r="D479" s="37"/>
    </row>
    <row r="480" spans="1:4" s="85" customFormat="1" x14ac:dyDescent="0.2">
      <c r="A480" s="16"/>
      <c r="C480" s="36"/>
      <c r="D480" s="37"/>
    </row>
    <row r="481" spans="1:4" s="85" customFormat="1" x14ac:dyDescent="0.2">
      <c r="A481" s="16"/>
      <c r="C481" s="36"/>
      <c r="D481" s="37"/>
    </row>
    <row r="482" spans="1:4" s="85" customFormat="1" x14ac:dyDescent="0.2">
      <c r="A482" s="16"/>
      <c r="C482" s="36"/>
      <c r="D482" s="37"/>
    </row>
    <row r="483" spans="1:4" s="85" customFormat="1" x14ac:dyDescent="0.2">
      <c r="A483" s="16"/>
      <c r="C483" s="36"/>
      <c r="D483" s="37"/>
    </row>
    <row r="484" spans="1:4" s="85" customFormat="1" x14ac:dyDescent="0.2">
      <c r="A484" s="16"/>
      <c r="C484" s="36"/>
      <c r="D484" s="37"/>
    </row>
    <row r="485" spans="1:4" s="85" customFormat="1" x14ac:dyDescent="0.2">
      <c r="A485" s="16"/>
      <c r="C485" s="36"/>
      <c r="D485" s="37"/>
    </row>
    <row r="486" spans="1:4" s="85" customFormat="1" x14ac:dyDescent="0.2">
      <c r="A486" s="16"/>
      <c r="C486" s="36"/>
      <c r="D486" s="37"/>
    </row>
    <row r="487" spans="1:4" s="85" customFormat="1" x14ac:dyDescent="0.2">
      <c r="A487" s="16"/>
      <c r="C487" s="36"/>
      <c r="D487" s="37"/>
    </row>
    <row r="488" spans="1:4" s="85" customFormat="1" x14ac:dyDescent="0.2">
      <c r="A488" s="16"/>
      <c r="C488" s="36"/>
      <c r="D488" s="37"/>
    </row>
    <row r="489" spans="1:4" s="85" customFormat="1" x14ac:dyDescent="0.2">
      <c r="A489" s="16"/>
      <c r="C489" s="36"/>
      <c r="D489" s="37"/>
    </row>
    <row r="490" spans="1:4" s="85" customFormat="1" x14ac:dyDescent="0.2">
      <c r="A490" s="16"/>
      <c r="C490" s="36"/>
      <c r="D490" s="37"/>
    </row>
    <row r="491" spans="1:4" s="85" customFormat="1" x14ac:dyDescent="0.2">
      <c r="A491" s="16"/>
      <c r="C491" s="36"/>
      <c r="D491" s="37"/>
    </row>
    <row r="492" spans="1:4" s="85" customFormat="1" x14ac:dyDescent="0.2">
      <c r="A492" s="16"/>
      <c r="C492" s="36"/>
      <c r="D492" s="37"/>
    </row>
    <row r="493" spans="1:4" s="85" customFormat="1" x14ac:dyDescent="0.2">
      <c r="A493" s="16"/>
      <c r="C493" s="36"/>
      <c r="D493" s="37"/>
    </row>
    <row r="494" spans="1:4" s="85" customFormat="1" x14ac:dyDescent="0.2">
      <c r="A494" s="16"/>
      <c r="C494" s="36"/>
      <c r="D494" s="37"/>
    </row>
    <row r="495" spans="1:4" s="85" customFormat="1" x14ac:dyDescent="0.2">
      <c r="A495" s="16"/>
      <c r="C495" s="36"/>
      <c r="D495" s="37"/>
    </row>
    <row r="496" spans="1:4" s="85" customFormat="1" x14ac:dyDescent="0.2">
      <c r="A496" s="16"/>
      <c r="C496" s="36"/>
      <c r="D496" s="37"/>
    </row>
    <row r="497" spans="1:4" s="85" customFormat="1" x14ac:dyDescent="0.2">
      <c r="A497" s="16"/>
      <c r="C497" s="36"/>
      <c r="D497" s="37"/>
    </row>
    <row r="498" spans="1:4" s="85" customFormat="1" x14ac:dyDescent="0.2">
      <c r="A498" s="16"/>
      <c r="C498" s="36"/>
      <c r="D498" s="37"/>
    </row>
    <row r="499" spans="1:4" s="85" customFormat="1" x14ac:dyDescent="0.2">
      <c r="A499" s="16"/>
      <c r="C499" s="36"/>
      <c r="D499" s="37"/>
    </row>
    <row r="500" spans="1:4" s="85" customFormat="1" x14ac:dyDescent="0.2">
      <c r="A500" s="16"/>
      <c r="C500" s="36"/>
      <c r="D500" s="37"/>
    </row>
    <row r="501" spans="1:4" s="85" customFormat="1" x14ac:dyDescent="0.2">
      <c r="A501" s="16"/>
      <c r="C501" s="36"/>
      <c r="D501" s="37"/>
    </row>
    <row r="502" spans="1:4" s="85" customFormat="1" x14ac:dyDescent="0.2">
      <c r="A502" s="16"/>
      <c r="C502" s="36"/>
      <c r="D502" s="37"/>
    </row>
    <row r="503" spans="1:4" s="85" customFormat="1" x14ac:dyDescent="0.2">
      <c r="A503" s="16"/>
      <c r="C503" s="36"/>
      <c r="D503" s="37"/>
    </row>
    <row r="504" spans="1:4" s="85" customFormat="1" x14ac:dyDescent="0.2">
      <c r="A504" s="16"/>
      <c r="C504" s="36"/>
      <c r="D504" s="37"/>
    </row>
    <row r="505" spans="1:4" s="85" customFormat="1" x14ac:dyDescent="0.2">
      <c r="A505" s="16"/>
      <c r="C505" s="36"/>
      <c r="D505" s="37"/>
    </row>
    <row r="506" spans="1:4" s="85" customFormat="1" x14ac:dyDescent="0.2">
      <c r="A506" s="16"/>
      <c r="C506" s="36"/>
      <c r="D506" s="37"/>
    </row>
    <row r="507" spans="1:4" s="85" customFormat="1" x14ac:dyDescent="0.2">
      <c r="A507" s="16"/>
      <c r="C507" s="36"/>
      <c r="D507" s="37"/>
    </row>
    <row r="508" spans="1:4" s="85" customFormat="1" x14ac:dyDescent="0.2">
      <c r="A508" s="16"/>
      <c r="C508" s="36"/>
      <c r="D508" s="37"/>
    </row>
    <row r="509" spans="1:4" s="85" customFormat="1" x14ac:dyDescent="0.2">
      <c r="A509" s="16"/>
      <c r="C509" s="36"/>
      <c r="D509" s="37"/>
    </row>
    <row r="510" spans="1:4" s="85" customFormat="1" x14ac:dyDescent="0.2">
      <c r="A510" s="16"/>
      <c r="C510" s="36"/>
      <c r="D510" s="37"/>
    </row>
    <row r="511" spans="1:4" s="85" customFormat="1" x14ac:dyDescent="0.2">
      <c r="A511" s="16"/>
      <c r="C511" s="36"/>
      <c r="D511" s="37"/>
    </row>
    <row r="512" spans="1:4" s="85" customFormat="1" x14ac:dyDescent="0.2">
      <c r="A512" s="16"/>
      <c r="C512" s="36"/>
      <c r="D512" s="37"/>
    </row>
    <row r="513" spans="1:4" s="85" customFormat="1" x14ac:dyDescent="0.2">
      <c r="A513" s="16"/>
      <c r="C513" s="36"/>
      <c r="D513" s="37"/>
    </row>
    <row r="514" spans="1:4" s="85" customFormat="1" x14ac:dyDescent="0.2">
      <c r="A514" s="16"/>
      <c r="C514" s="36"/>
      <c r="D514" s="37"/>
    </row>
    <row r="515" spans="1:4" s="85" customFormat="1" x14ac:dyDescent="0.2">
      <c r="A515" s="16"/>
      <c r="C515" s="36"/>
      <c r="D515" s="37"/>
    </row>
    <row r="516" spans="1:4" s="85" customFormat="1" x14ac:dyDescent="0.2">
      <c r="A516" s="16"/>
      <c r="C516" s="36"/>
      <c r="D516" s="37"/>
    </row>
    <row r="517" spans="1:4" s="85" customFormat="1" x14ac:dyDescent="0.2">
      <c r="A517" s="16"/>
      <c r="C517" s="36"/>
      <c r="D517" s="37"/>
    </row>
    <row r="518" spans="1:4" s="85" customFormat="1" x14ac:dyDescent="0.2">
      <c r="A518" s="16"/>
      <c r="C518" s="36"/>
      <c r="D518" s="37"/>
    </row>
    <row r="519" spans="1:4" s="85" customFormat="1" x14ac:dyDescent="0.2">
      <c r="A519" s="16"/>
      <c r="C519" s="36"/>
      <c r="D519" s="37"/>
    </row>
    <row r="520" spans="1:4" s="85" customFormat="1" x14ac:dyDescent="0.2">
      <c r="A520" s="16"/>
      <c r="C520" s="36"/>
      <c r="D520" s="37"/>
    </row>
    <row r="521" spans="1:4" s="85" customFormat="1" x14ac:dyDescent="0.2">
      <c r="A521" s="16"/>
      <c r="C521" s="36"/>
      <c r="D521" s="37"/>
    </row>
    <row r="522" spans="1:4" s="85" customFormat="1" x14ac:dyDescent="0.2">
      <c r="A522" s="16"/>
      <c r="C522" s="36"/>
      <c r="D522" s="37"/>
    </row>
    <row r="523" spans="1:4" s="85" customFormat="1" x14ac:dyDescent="0.2">
      <c r="A523" s="16"/>
      <c r="C523" s="36"/>
      <c r="D523" s="37"/>
    </row>
    <row r="524" spans="1:4" s="85" customFormat="1" x14ac:dyDescent="0.2">
      <c r="A524" s="16"/>
      <c r="C524" s="36"/>
      <c r="D524" s="37"/>
    </row>
    <row r="525" spans="1:4" s="85" customFormat="1" x14ac:dyDescent="0.2">
      <c r="A525" s="16"/>
      <c r="C525" s="36"/>
      <c r="D525" s="37"/>
    </row>
    <row r="526" spans="1:4" s="85" customFormat="1" x14ac:dyDescent="0.2">
      <c r="A526" s="16"/>
      <c r="C526" s="36"/>
      <c r="D526" s="37"/>
    </row>
    <row r="527" spans="1:4" s="85" customFormat="1" x14ac:dyDescent="0.2">
      <c r="A527" s="16"/>
      <c r="C527" s="36"/>
      <c r="D527" s="37"/>
    </row>
    <row r="528" spans="1:4" s="85" customFormat="1" x14ac:dyDescent="0.2">
      <c r="A528" s="16"/>
      <c r="C528" s="36"/>
      <c r="D528" s="37"/>
    </row>
    <row r="529" spans="1:4" s="85" customFormat="1" x14ac:dyDescent="0.2">
      <c r="A529" s="16"/>
      <c r="C529" s="36"/>
      <c r="D529" s="37"/>
    </row>
    <row r="530" spans="1:4" s="85" customFormat="1" x14ac:dyDescent="0.2">
      <c r="A530" s="16"/>
      <c r="C530" s="36"/>
      <c r="D530" s="37"/>
    </row>
    <row r="531" spans="1:4" s="85" customFormat="1" x14ac:dyDescent="0.2">
      <c r="A531" s="16"/>
      <c r="C531" s="36"/>
      <c r="D531" s="37"/>
    </row>
    <row r="532" spans="1:4" s="85" customFormat="1" x14ac:dyDescent="0.2">
      <c r="A532" s="16"/>
      <c r="C532" s="36"/>
      <c r="D532" s="37"/>
    </row>
    <row r="533" spans="1:4" s="85" customFormat="1" x14ac:dyDescent="0.2">
      <c r="A533" s="16"/>
      <c r="C533" s="36"/>
      <c r="D533" s="37"/>
    </row>
    <row r="534" spans="1:4" s="85" customFormat="1" x14ac:dyDescent="0.2">
      <c r="A534" s="16"/>
      <c r="C534" s="36"/>
      <c r="D534" s="37"/>
    </row>
    <row r="535" spans="1:4" s="85" customFormat="1" x14ac:dyDescent="0.2">
      <c r="A535" s="16"/>
      <c r="C535" s="36"/>
      <c r="D535" s="37"/>
    </row>
    <row r="536" spans="1:4" s="85" customFormat="1" x14ac:dyDescent="0.2">
      <c r="A536" s="16"/>
      <c r="C536" s="36"/>
      <c r="D536" s="37"/>
    </row>
    <row r="537" spans="1:4" s="85" customFormat="1" x14ac:dyDescent="0.2">
      <c r="A537" s="16"/>
      <c r="C537" s="36"/>
      <c r="D537" s="37"/>
    </row>
    <row r="538" spans="1:4" s="85" customFormat="1" x14ac:dyDescent="0.2">
      <c r="A538" s="16"/>
      <c r="C538" s="36"/>
      <c r="D538" s="37"/>
    </row>
    <row r="539" spans="1:4" s="85" customFormat="1" x14ac:dyDescent="0.2">
      <c r="A539" s="16"/>
      <c r="C539" s="36"/>
      <c r="D539" s="37"/>
    </row>
    <row r="540" spans="1:4" s="85" customFormat="1" x14ac:dyDescent="0.2">
      <c r="A540" s="16"/>
      <c r="C540" s="36"/>
      <c r="D540" s="37"/>
    </row>
    <row r="541" spans="1:4" s="85" customFormat="1" x14ac:dyDescent="0.2">
      <c r="A541" s="16"/>
      <c r="C541" s="36"/>
      <c r="D541" s="37"/>
    </row>
    <row r="542" spans="1:4" s="85" customFormat="1" x14ac:dyDescent="0.2">
      <c r="A542" s="16"/>
      <c r="C542" s="36"/>
      <c r="D542" s="37"/>
    </row>
    <row r="543" spans="1:4" s="85" customFormat="1" x14ac:dyDescent="0.2">
      <c r="A543" s="16"/>
      <c r="C543" s="36"/>
      <c r="D543" s="37"/>
    </row>
    <row r="544" spans="1:4" s="85" customFormat="1" x14ac:dyDescent="0.2">
      <c r="A544" s="16"/>
      <c r="C544" s="36"/>
      <c r="D544" s="37"/>
    </row>
    <row r="545" spans="1:4" s="85" customFormat="1" x14ac:dyDescent="0.2">
      <c r="A545" s="16"/>
      <c r="C545" s="36"/>
      <c r="D545" s="37"/>
    </row>
    <row r="546" spans="1:4" s="85" customFormat="1" x14ac:dyDescent="0.2">
      <c r="A546" s="16"/>
      <c r="C546" s="36"/>
      <c r="D546" s="37"/>
    </row>
    <row r="547" spans="1:4" s="85" customFormat="1" x14ac:dyDescent="0.2">
      <c r="A547" s="16"/>
      <c r="C547" s="36"/>
      <c r="D547" s="37"/>
    </row>
    <row r="548" spans="1:4" s="85" customFormat="1" x14ac:dyDescent="0.2">
      <c r="A548" s="16"/>
      <c r="C548" s="36"/>
      <c r="D548" s="37"/>
    </row>
    <row r="549" spans="1:4" s="85" customFormat="1" x14ac:dyDescent="0.2">
      <c r="A549" s="16"/>
      <c r="C549" s="36"/>
      <c r="D549" s="37"/>
    </row>
    <row r="550" spans="1:4" s="85" customFormat="1" x14ac:dyDescent="0.2">
      <c r="A550" s="16"/>
      <c r="C550" s="36"/>
      <c r="D550" s="37"/>
    </row>
    <row r="551" spans="1:4" s="85" customFormat="1" x14ac:dyDescent="0.2">
      <c r="A551" s="16"/>
      <c r="C551" s="36"/>
      <c r="D551" s="37"/>
    </row>
    <row r="552" spans="1:4" s="85" customFormat="1" x14ac:dyDescent="0.2">
      <c r="A552" s="16"/>
      <c r="C552" s="36"/>
      <c r="D552" s="37"/>
    </row>
    <row r="553" spans="1:4" s="85" customFormat="1" x14ac:dyDescent="0.2">
      <c r="A553" s="16"/>
      <c r="C553" s="36"/>
      <c r="D553" s="37"/>
    </row>
    <row r="554" spans="1:4" s="85" customFormat="1" x14ac:dyDescent="0.2">
      <c r="A554" s="16"/>
      <c r="C554" s="36"/>
      <c r="D554" s="37"/>
    </row>
    <row r="555" spans="1:4" s="85" customFormat="1" x14ac:dyDescent="0.2">
      <c r="A555" s="16"/>
      <c r="C555" s="36"/>
      <c r="D555" s="37"/>
    </row>
    <row r="556" spans="1:4" s="85" customFormat="1" x14ac:dyDescent="0.2">
      <c r="A556" s="16"/>
      <c r="C556" s="36"/>
      <c r="D556" s="37"/>
    </row>
    <row r="557" spans="1:4" s="85" customFormat="1" x14ac:dyDescent="0.2">
      <c r="A557" s="16"/>
      <c r="C557" s="36"/>
      <c r="D557" s="37"/>
    </row>
    <row r="558" spans="1:4" s="85" customFormat="1" x14ac:dyDescent="0.2">
      <c r="A558" s="16"/>
      <c r="C558" s="36"/>
      <c r="D558" s="37"/>
    </row>
    <row r="559" spans="1:4" s="85" customFormat="1" x14ac:dyDescent="0.2">
      <c r="A559" s="16"/>
      <c r="C559" s="36"/>
      <c r="D559" s="37"/>
    </row>
    <row r="560" spans="1:4" s="85" customFormat="1" x14ac:dyDescent="0.2">
      <c r="A560" s="16"/>
      <c r="C560" s="36"/>
      <c r="D560" s="37"/>
    </row>
    <row r="561" spans="1:4" s="85" customFormat="1" x14ac:dyDescent="0.2">
      <c r="A561" s="16"/>
      <c r="C561" s="36"/>
      <c r="D561" s="37"/>
    </row>
    <row r="562" spans="1:4" s="85" customFormat="1" x14ac:dyDescent="0.2">
      <c r="A562" s="16"/>
      <c r="C562" s="36"/>
      <c r="D562" s="37"/>
    </row>
    <row r="563" spans="1:4" s="85" customFormat="1" x14ac:dyDescent="0.2">
      <c r="A563" s="16"/>
      <c r="C563" s="36"/>
      <c r="D563" s="37"/>
    </row>
    <row r="564" spans="1:4" s="85" customFormat="1" x14ac:dyDescent="0.2">
      <c r="A564" s="16"/>
      <c r="C564" s="36"/>
      <c r="D564" s="37"/>
    </row>
    <row r="565" spans="1:4" s="85" customFormat="1" x14ac:dyDescent="0.2">
      <c r="A565" s="16"/>
      <c r="C565" s="36"/>
      <c r="D565" s="37"/>
    </row>
    <row r="566" spans="1:4" s="85" customFormat="1" x14ac:dyDescent="0.2">
      <c r="A566" s="16"/>
      <c r="C566" s="36"/>
      <c r="D566" s="37"/>
    </row>
    <row r="567" spans="1:4" s="85" customFormat="1" x14ac:dyDescent="0.2">
      <c r="A567" s="16"/>
      <c r="C567" s="36"/>
      <c r="D567" s="37"/>
    </row>
    <row r="568" spans="1:4" s="85" customFormat="1" x14ac:dyDescent="0.2">
      <c r="A568" s="16"/>
      <c r="C568" s="36"/>
      <c r="D568" s="37"/>
    </row>
    <row r="569" spans="1:4" s="85" customFormat="1" x14ac:dyDescent="0.2">
      <c r="A569" s="16"/>
      <c r="C569" s="36"/>
      <c r="D569" s="37"/>
    </row>
    <row r="570" spans="1:4" s="85" customFormat="1" x14ac:dyDescent="0.2">
      <c r="A570" s="16"/>
      <c r="C570" s="36"/>
      <c r="D570" s="37"/>
    </row>
    <row r="571" spans="1:4" s="85" customFormat="1" x14ac:dyDescent="0.2">
      <c r="A571" s="16"/>
      <c r="C571" s="36"/>
      <c r="D571" s="37"/>
    </row>
    <row r="572" spans="1:4" s="85" customFormat="1" x14ac:dyDescent="0.2">
      <c r="A572" s="16"/>
      <c r="C572" s="36"/>
      <c r="D572" s="37"/>
    </row>
    <row r="573" spans="1:4" s="85" customFormat="1" x14ac:dyDescent="0.2">
      <c r="A573" s="16"/>
      <c r="C573" s="36"/>
      <c r="D573" s="37"/>
    </row>
    <row r="574" spans="1:4" s="85" customFormat="1" x14ac:dyDescent="0.2">
      <c r="A574" s="16"/>
      <c r="C574" s="36"/>
      <c r="D574" s="37"/>
    </row>
    <row r="575" spans="1:4" s="85" customFormat="1" x14ac:dyDescent="0.2">
      <c r="A575" s="16"/>
      <c r="C575" s="36"/>
      <c r="D575" s="37"/>
    </row>
    <row r="576" spans="1:4" s="85" customFormat="1" x14ac:dyDescent="0.2">
      <c r="A576" s="16"/>
      <c r="C576" s="36"/>
      <c r="D576" s="37"/>
    </row>
    <row r="577" spans="1:4" s="85" customFormat="1" x14ac:dyDescent="0.2">
      <c r="A577" s="16"/>
      <c r="C577" s="36"/>
      <c r="D577" s="37"/>
    </row>
    <row r="578" spans="1:4" s="85" customFormat="1" x14ac:dyDescent="0.2">
      <c r="A578" s="16"/>
      <c r="C578" s="36"/>
      <c r="D578" s="37"/>
    </row>
    <row r="579" spans="1:4" s="85" customFormat="1" x14ac:dyDescent="0.2">
      <c r="A579" s="16"/>
      <c r="C579" s="36"/>
      <c r="D579" s="37"/>
    </row>
    <row r="580" spans="1:4" s="85" customFormat="1" x14ac:dyDescent="0.2">
      <c r="A580" s="16"/>
      <c r="C580" s="36"/>
      <c r="D580" s="37"/>
    </row>
    <row r="581" spans="1:4" s="85" customFormat="1" x14ac:dyDescent="0.2">
      <c r="A581" s="16"/>
      <c r="C581" s="36"/>
      <c r="D581" s="37"/>
    </row>
    <row r="582" spans="1:4" s="85" customFormat="1" x14ac:dyDescent="0.2">
      <c r="A582" s="16"/>
      <c r="C582" s="36"/>
      <c r="D582" s="37"/>
    </row>
    <row r="583" spans="1:4" s="85" customFormat="1" x14ac:dyDescent="0.2">
      <c r="A583" s="16"/>
      <c r="C583" s="36"/>
      <c r="D583" s="37"/>
    </row>
    <row r="584" spans="1:4" s="85" customFormat="1" x14ac:dyDescent="0.2">
      <c r="A584" s="16"/>
      <c r="C584" s="36"/>
      <c r="D584" s="37"/>
    </row>
    <row r="585" spans="1:4" s="85" customFormat="1" x14ac:dyDescent="0.2">
      <c r="A585" s="16"/>
      <c r="C585" s="36"/>
      <c r="D585" s="37"/>
    </row>
    <row r="586" spans="1:4" s="85" customFormat="1" x14ac:dyDescent="0.2">
      <c r="A586" s="16"/>
      <c r="C586" s="36"/>
      <c r="D586" s="37"/>
    </row>
    <row r="587" spans="1:4" s="85" customFormat="1" x14ac:dyDescent="0.2">
      <c r="A587" s="16"/>
      <c r="C587" s="36"/>
      <c r="D587" s="37"/>
    </row>
    <row r="588" spans="1:4" s="85" customFormat="1" x14ac:dyDescent="0.2">
      <c r="A588" s="16"/>
      <c r="C588" s="36"/>
      <c r="D588" s="37"/>
    </row>
    <row r="589" spans="1:4" s="85" customFormat="1" x14ac:dyDescent="0.2">
      <c r="A589" s="16"/>
      <c r="C589" s="36"/>
      <c r="D589" s="37"/>
    </row>
    <row r="590" spans="1:4" s="85" customFormat="1" x14ac:dyDescent="0.2">
      <c r="A590" s="16"/>
      <c r="C590" s="36"/>
      <c r="D590" s="37"/>
    </row>
    <row r="591" spans="1:4" s="85" customFormat="1" x14ac:dyDescent="0.2">
      <c r="A591" s="16"/>
      <c r="C591" s="36"/>
      <c r="D591" s="37"/>
    </row>
    <row r="592" spans="1:4" s="85" customFormat="1" x14ac:dyDescent="0.2">
      <c r="A592" s="16"/>
      <c r="C592" s="36"/>
      <c r="D592" s="37"/>
    </row>
    <row r="593" spans="1:4" s="85" customFormat="1" x14ac:dyDescent="0.2">
      <c r="A593" s="16"/>
      <c r="C593" s="36"/>
      <c r="D593" s="37"/>
    </row>
    <row r="594" spans="1:4" s="85" customFormat="1" x14ac:dyDescent="0.2">
      <c r="A594" s="16"/>
      <c r="C594" s="36"/>
      <c r="D594" s="37"/>
    </row>
    <row r="595" spans="1:4" s="85" customFormat="1" x14ac:dyDescent="0.2">
      <c r="A595" s="16"/>
      <c r="C595" s="36"/>
      <c r="D595" s="37"/>
    </row>
    <row r="596" spans="1:4" s="85" customFormat="1" x14ac:dyDescent="0.2">
      <c r="A596" s="16"/>
      <c r="C596" s="36"/>
      <c r="D596" s="37"/>
    </row>
    <row r="597" spans="1:4" s="85" customFormat="1" x14ac:dyDescent="0.2">
      <c r="A597" s="16"/>
      <c r="C597" s="36"/>
      <c r="D597" s="37"/>
    </row>
    <row r="598" spans="1:4" s="85" customFormat="1" x14ac:dyDescent="0.2">
      <c r="A598" s="16"/>
      <c r="C598" s="36"/>
      <c r="D598" s="37"/>
    </row>
    <row r="599" spans="1:4" s="85" customFormat="1" x14ac:dyDescent="0.2">
      <c r="A599" s="16"/>
      <c r="C599" s="36"/>
      <c r="D599" s="37"/>
    </row>
    <row r="600" spans="1:4" s="85" customFormat="1" x14ac:dyDescent="0.2">
      <c r="A600" s="16"/>
      <c r="C600" s="36"/>
      <c r="D600" s="37"/>
    </row>
    <row r="601" spans="1:4" s="85" customFormat="1" x14ac:dyDescent="0.2">
      <c r="A601" s="16"/>
      <c r="C601" s="36"/>
      <c r="D601" s="37"/>
    </row>
    <row r="602" spans="1:4" s="85" customFormat="1" x14ac:dyDescent="0.2">
      <c r="A602" s="16"/>
      <c r="C602" s="36"/>
      <c r="D602" s="37"/>
    </row>
    <row r="603" spans="1:4" s="85" customFormat="1" x14ac:dyDescent="0.2">
      <c r="A603" s="16"/>
      <c r="C603" s="36"/>
      <c r="D603" s="37"/>
    </row>
    <row r="604" spans="1:4" s="85" customFormat="1" x14ac:dyDescent="0.2">
      <c r="A604" s="16"/>
      <c r="C604" s="36"/>
      <c r="D604" s="37"/>
    </row>
    <row r="605" spans="1:4" s="85" customFormat="1" x14ac:dyDescent="0.2">
      <c r="A605" s="16"/>
      <c r="C605" s="36"/>
      <c r="D605" s="37"/>
    </row>
    <row r="606" spans="1:4" s="85" customFormat="1" x14ac:dyDescent="0.2">
      <c r="A606" s="16"/>
      <c r="C606" s="36"/>
      <c r="D606" s="37"/>
    </row>
    <row r="607" spans="1:4" s="85" customFormat="1" x14ac:dyDescent="0.2">
      <c r="A607" s="16"/>
      <c r="C607" s="36"/>
      <c r="D607" s="37"/>
    </row>
    <row r="608" spans="1:4" s="85" customFormat="1" x14ac:dyDescent="0.2">
      <c r="A608" s="16"/>
      <c r="C608" s="36"/>
      <c r="D608" s="37"/>
    </row>
    <row r="609" spans="1:4" s="85" customFormat="1" x14ac:dyDescent="0.2">
      <c r="A609" s="16"/>
      <c r="C609" s="36"/>
      <c r="D609" s="37"/>
    </row>
    <row r="610" spans="1:4" s="85" customFormat="1" x14ac:dyDescent="0.2">
      <c r="A610" s="16"/>
      <c r="C610" s="36"/>
      <c r="D610" s="37"/>
    </row>
    <row r="611" spans="1:4" s="85" customFormat="1" x14ac:dyDescent="0.2">
      <c r="A611" s="16"/>
      <c r="C611" s="36"/>
      <c r="D611" s="37"/>
    </row>
    <row r="612" spans="1:4" s="85" customFormat="1" x14ac:dyDescent="0.2">
      <c r="A612" s="16"/>
      <c r="C612" s="36"/>
      <c r="D612" s="37"/>
    </row>
    <row r="613" spans="1:4" s="85" customFormat="1" x14ac:dyDescent="0.2">
      <c r="A613" s="16"/>
      <c r="C613" s="36"/>
      <c r="D613" s="37"/>
    </row>
    <row r="614" spans="1:4" s="85" customFormat="1" x14ac:dyDescent="0.2">
      <c r="A614" s="16"/>
      <c r="C614" s="36"/>
      <c r="D614" s="37"/>
    </row>
    <row r="615" spans="1:4" s="85" customFormat="1" x14ac:dyDescent="0.2">
      <c r="A615" s="16"/>
      <c r="C615" s="36"/>
      <c r="D615" s="37"/>
    </row>
    <row r="616" spans="1:4" s="85" customFormat="1" x14ac:dyDescent="0.2">
      <c r="A616" s="16"/>
      <c r="C616" s="36"/>
      <c r="D616" s="37"/>
    </row>
    <row r="617" spans="1:4" s="85" customFormat="1" x14ac:dyDescent="0.2">
      <c r="A617" s="16"/>
      <c r="C617" s="36"/>
      <c r="D617" s="37"/>
    </row>
    <row r="618" spans="1:4" s="85" customFormat="1" x14ac:dyDescent="0.2">
      <c r="A618" s="16"/>
      <c r="C618" s="36"/>
      <c r="D618" s="37"/>
    </row>
    <row r="619" spans="1:4" s="85" customFormat="1" x14ac:dyDescent="0.2">
      <c r="A619" s="16"/>
      <c r="C619" s="36"/>
      <c r="D619" s="37"/>
    </row>
    <row r="620" spans="1:4" s="85" customFormat="1" x14ac:dyDescent="0.2">
      <c r="A620" s="16"/>
      <c r="C620" s="36"/>
      <c r="D620" s="37"/>
    </row>
    <row r="621" spans="1:4" s="85" customFormat="1" x14ac:dyDescent="0.2">
      <c r="A621" s="16"/>
      <c r="C621" s="36"/>
      <c r="D621" s="37"/>
    </row>
    <row r="622" spans="1:4" s="85" customFormat="1" x14ac:dyDescent="0.2">
      <c r="A622" s="16"/>
      <c r="C622" s="36"/>
      <c r="D622" s="37"/>
    </row>
    <row r="623" spans="1:4" s="85" customFormat="1" x14ac:dyDescent="0.2">
      <c r="A623" s="16"/>
      <c r="C623" s="36"/>
      <c r="D623" s="37"/>
    </row>
    <row r="624" spans="1:4" s="85" customFormat="1" x14ac:dyDescent="0.2">
      <c r="A624" s="16"/>
      <c r="C624" s="36"/>
      <c r="D624" s="37"/>
    </row>
    <row r="625" spans="1:4" s="85" customFormat="1" x14ac:dyDescent="0.2">
      <c r="A625" s="16"/>
      <c r="C625" s="36"/>
      <c r="D625" s="37"/>
    </row>
    <row r="626" spans="1:4" s="85" customFormat="1" x14ac:dyDescent="0.2">
      <c r="A626" s="16"/>
      <c r="C626" s="36"/>
      <c r="D626" s="37"/>
    </row>
    <row r="627" spans="1:4" s="85" customFormat="1" x14ac:dyDescent="0.2">
      <c r="A627" s="16"/>
      <c r="C627" s="36"/>
      <c r="D627" s="37"/>
    </row>
    <row r="628" spans="1:4" s="85" customFormat="1" x14ac:dyDescent="0.2">
      <c r="A628" s="16"/>
      <c r="C628" s="36"/>
      <c r="D628" s="37"/>
    </row>
    <row r="629" spans="1:4" s="85" customFormat="1" x14ac:dyDescent="0.2">
      <c r="A629" s="16"/>
      <c r="C629" s="36"/>
      <c r="D629" s="37"/>
    </row>
    <row r="630" spans="1:4" s="85" customFormat="1" x14ac:dyDescent="0.2">
      <c r="A630" s="16"/>
      <c r="C630" s="36"/>
      <c r="D630" s="37"/>
    </row>
    <row r="631" spans="1:4" s="85" customFormat="1" x14ac:dyDescent="0.2">
      <c r="A631" s="16"/>
      <c r="C631" s="36"/>
      <c r="D631" s="37"/>
    </row>
    <row r="632" spans="1:4" s="85" customFormat="1" x14ac:dyDescent="0.2">
      <c r="A632" s="16"/>
      <c r="C632" s="36"/>
      <c r="D632" s="37"/>
    </row>
    <row r="633" spans="1:4" s="85" customFormat="1" x14ac:dyDescent="0.2">
      <c r="A633" s="16"/>
      <c r="C633" s="36"/>
      <c r="D633" s="37"/>
    </row>
    <row r="634" spans="1:4" s="85" customFormat="1" x14ac:dyDescent="0.2">
      <c r="A634" s="16"/>
      <c r="C634" s="36"/>
      <c r="D634" s="37"/>
    </row>
    <row r="635" spans="1:4" s="85" customFormat="1" x14ac:dyDescent="0.2">
      <c r="A635" s="16"/>
      <c r="C635" s="36"/>
      <c r="D635" s="37"/>
    </row>
    <row r="636" spans="1:4" s="85" customFormat="1" x14ac:dyDescent="0.2">
      <c r="A636" s="16"/>
      <c r="C636" s="36"/>
      <c r="D636" s="37"/>
    </row>
    <row r="637" spans="1:4" s="85" customFormat="1" x14ac:dyDescent="0.2">
      <c r="A637" s="16"/>
      <c r="C637" s="36"/>
      <c r="D637" s="37"/>
    </row>
    <row r="638" spans="1:4" s="85" customFormat="1" x14ac:dyDescent="0.2">
      <c r="A638" s="16"/>
      <c r="C638" s="36"/>
      <c r="D638" s="37"/>
    </row>
    <row r="639" spans="1:4" s="85" customFormat="1" x14ac:dyDescent="0.2">
      <c r="A639" s="16"/>
      <c r="C639" s="36"/>
      <c r="D639" s="37"/>
    </row>
    <row r="640" spans="1:4" s="85" customFormat="1" x14ac:dyDescent="0.2">
      <c r="A640" s="16"/>
      <c r="C640" s="36"/>
      <c r="D640" s="37"/>
    </row>
    <row r="641" spans="1:4" s="85" customFormat="1" x14ac:dyDescent="0.2">
      <c r="A641" s="16"/>
      <c r="C641" s="36"/>
      <c r="D641" s="37"/>
    </row>
    <row r="642" spans="1:4" s="85" customFormat="1" x14ac:dyDescent="0.2">
      <c r="A642" s="16"/>
      <c r="C642" s="36"/>
      <c r="D642" s="37"/>
    </row>
    <row r="643" spans="1:4" s="85" customFormat="1" x14ac:dyDescent="0.2">
      <c r="A643" s="16"/>
      <c r="C643" s="36"/>
      <c r="D643" s="37"/>
    </row>
    <row r="644" spans="1:4" s="85" customFormat="1" x14ac:dyDescent="0.2">
      <c r="A644" s="16"/>
      <c r="C644" s="36"/>
      <c r="D644" s="37"/>
    </row>
    <row r="645" spans="1:4" s="85" customFormat="1" x14ac:dyDescent="0.2">
      <c r="A645" s="16"/>
      <c r="C645" s="36"/>
      <c r="D645" s="37"/>
    </row>
    <row r="646" spans="1:4" s="85" customFormat="1" x14ac:dyDescent="0.2">
      <c r="A646" s="16"/>
      <c r="C646" s="36"/>
      <c r="D646" s="37"/>
    </row>
    <row r="647" spans="1:4" s="85" customFormat="1" x14ac:dyDescent="0.2">
      <c r="A647" s="16"/>
      <c r="C647" s="36"/>
      <c r="D647" s="37"/>
    </row>
    <row r="648" spans="1:4" s="85" customFormat="1" x14ac:dyDescent="0.2">
      <c r="A648" s="16"/>
      <c r="C648" s="36"/>
      <c r="D648" s="37"/>
    </row>
    <row r="649" spans="1:4" s="85" customFormat="1" x14ac:dyDescent="0.2">
      <c r="A649" s="16"/>
      <c r="C649" s="36"/>
      <c r="D649" s="37"/>
    </row>
    <row r="650" spans="1:4" s="85" customFormat="1" x14ac:dyDescent="0.2">
      <c r="A650" s="16"/>
      <c r="C650" s="36"/>
      <c r="D650" s="37"/>
    </row>
    <row r="651" spans="1:4" s="85" customFormat="1" x14ac:dyDescent="0.2">
      <c r="A651" s="16"/>
      <c r="C651" s="36"/>
      <c r="D651" s="37"/>
    </row>
    <row r="652" spans="1:4" s="85" customFormat="1" x14ac:dyDescent="0.2">
      <c r="A652" s="16"/>
      <c r="C652" s="36"/>
      <c r="D652" s="37"/>
    </row>
    <row r="653" spans="1:4" s="85" customFormat="1" x14ac:dyDescent="0.2">
      <c r="A653" s="16"/>
      <c r="C653" s="36"/>
      <c r="D653" s="37"/>
    </row>
    <row r="654" spans="1:4" s="85" customFormat="1" x14ac:dyDescent="0.2">
      <c r="A654" s="16"/>
      <c r="C654" s="36"/>
      <c r="D654" s="37"/>
    </row>
    <row r="655" spans="1:4" s="85" customFormat="1" x14ac:dyDescent="0.2">
      <c r="A655" s="16"/>
      <c r="C655" s="36"/>
      <c r="D655" s="37"/>
    </row>
    <row r="656" spans="1:4" s="85" customFormat="1" x14ac:dyDescent="0.2">
      <c r="A656" s="16"/>
      <c r="C656" s="36"/>
      <c r="D656" s="37"/>
    </row>
    <row r="657" spans="1:4" s="85" customFormat="1" x14ac:dyDescent="0.2">
      <c r="A657" s="16"/>
      <c r="C657" s="36"/>
      <c r="D657" s="37"/>
    </row>
    <row r="658" spans="1:4" s="85" customFormat="1" x14ac:dyDescent="0.2">
      <c r="A658" s="16"/>
      <c r="C658" s="36"/>
      <c r="D658" s="37"/>
    </row>
    <row r="659" spans="1:4" s="85" customFormat="1" x14ac:dyDescent="0.2">
      <c r="A659" s="16"/>
      <c r="C659" s="36"/>
      <c r="D659" s="37"/>
    </row>
    <row r="660" spans="1:4" s="85" customFormat="1" x14ac:dyDescent="0.2">
      <c r="A660" s="16"/>
      <c r="C660" s="36"/>
      <c r="D660" s="37"/>
    </row>
    <row r="661" spans="1:4" s="85" customFormat="1" x14ac:dyDescent="0.2">
      <c r="A661" s="16"/>
      <c r="C661" s="36"/>
      <c r="D661" s="37"/>
    </row>
    <row r="662" spans="1:4" s="85" customFormat="1" x14ac:dyDescent="0.2">
      <c r="A662" s="16"/>
      <c r="C662" s="36"/>
      <c r="D662" s="37"/>
    </row>
    <row r="663" spans="1:4" s="85" customFormat="1" x14ac:dyDescent="0.2">
      <c r="A663" s="16"/>
      <c r="C663" s="36"/>
      <c r="D663" s="37"/>
    </row>
    <row r="664" spans="1:4" s="85" customFormat="1" x14ac:dyDescent="0.2">
      <c r="A664" s="16"/>
      <c r="C664" s="36"/>
      <c r="D664" s="37"/>
    </row>
    <row r="665" spans="1:4" s="85" customFormat="1" x14ac:dyDescent="0.2">
      <c r="A665" s="16"/>
      <c r="C665" s="36"/>
      <c r="D665" s="37"/>
    </row>
    <row r="666" spans="1:4" s="85" customFormat="1" x14ac:dyDescent="0.2">
      <c r="A666" s="16"/>
      <c r="C666" s="36"/>
      <c r="D666" s="37"/>
    </row>
    <row r="667" spans="1:4" s="85" customFormat="1" x14ac:dyDescent="0.2">
      <c r="A667" s="16"/>
      <c r="C667" s="36"/>
      <c r="D667" s="37"/>
    </row>
    <row r="668" spans="1:4" s="85" customFormat="1" x14ac:dyDescent="0.2">
      <c r="A668" s="16"/>
      <c r="C668" s="36"/>
      <c r="D668" s="37"/>
    </row>
    <row r="669" spans="1:4" s="85" customFormat="1" x14ac:dyDescent="0.2">
      <c r="A669" s="16"/>
      <c r="C669" s="36"/>
      <c r="D669" s="37"/>
    </row>
    <row r="670" spans="1:4" s="85" customFormat="1" x14ac:dyDescent="0.2">
      <c r="A670" s="16"/>
      <c r="C670" s="36"/>
      <c r="D670" s="37"/>
    </row>
    <row r="671" spans="1:4" s="85" customFormat="1" x14ac:dyDescent="0.2">
      <c r="A671" s="16"/>
      <c r="C671" s="36"/>
      <c r="D671" s="37"/>
    </row>
    <row r="672" spans="1:4" s="85" customFormat="1" x14ac:dyDescent="0.2">
      <c r="A672" s="16"/>
      <c r="C672" s="36"/>
      <c r="D672" s="37"/>
    </row>
    <row r="673" spans="1:4" s="85" customFormat="1" x14ac:dyDescent="0.2">
      <c r="A673" s="16"/>
      <c r="C673" s="36"/>
      <c r="D673" s="37"/>
    </row>
    <row r="674" spans="1:4" s="85" customFormat="1" x14ac:dyDescent="0.2">
      <c r="A674" s="16"/>
      <c r="C674" s="36"/>
      <c r="D674" s="37"/>
    </row>
    <row r="675" spans="1:4" s="85" customFormat="1" x14ac:dyDescent="0.2">
      <c r="A675" s="16"/>
      <c r="C675" s="36"/>
      <c r="D675" s="37"/>
    </row>
    <row r="676" spans="1:4" s="85" customFormat="1" x14ac:dyDescent="0.2">
      <c r="A676" s="16"/>
      <c r="C676" s="36"/>
      <c r="D676" s="37"/>
    </row>
    <row r="677" spans="1:4" s="85" customFormat="1" x14ac:dyDescent="0.2">
      <c r="A677" s="16"/>
      <c r="C677" s="36"/>
      <c r="D677" s="37"/>
    </row>
    <row r="678" spans="1:4" s="85" customFormat="1" x14ac:dyDescent="0.2">
      <c r="A678" s="16"/>
      <c r="C678" s="36"/>
      <c r="D678" s="37"/>
    </row>
    <row r="679" spans="1:4" s="85" customFormat="1" x14ac:dyDescent="0.2">
      <c r="A679" s="16"/>
      <c r="C679" s="36"/>
      <c r="D679" s="37"/>
    </row>
    <row r="680" spans="1:4" s="85" customFormat="1" x14ac:dyDescent="0.2">
      <c r="A680" s="16"/>
      <c r="C680" s="36"/>
      <c r="D680" s="37"/>
    </row>
    <row r="681" spans="1:4" s="85" customFormat="1" x14ac:dyDescent="0.2">
      <c r="A681" s="16"/>
      <c r="C681" s="36"/>
      <c r="D681" s="37"/>
    </row>
    <row r="682" spans="1:4" s="85" customFormat="1" x14ac:dyDescent="0.2">
      <c r="A682" s="16"/>
      <c r="C682" s="36"/>
      <c r="D682" s="37"/>
    </row>
    <row r="683" spans="1:4" s="85" customFormat="1" x14ac:dyDescent="0.2">
      <c r="A683" s="16"/>
      <c r="C683" s="36"/>
      <c r="D683" s="37"/>
    </row>
    <row r="684" spans="1:4" s="85" customFormat="1" x14ac:dyDescent="0.2">
      <c r="A684" s="16"/>
      <c r="C684" s="36"/>
      <c r="D684" s="37"/>
    </row>
    <row r="685" spans="1:4" s="85" customFormat="1" x14ac:dyDescent="0.2">
      <c r="A685" s="16"/>
      <c r="C685" s="36"/>
      <c r="D685" s="37"/>
    </row>
    <row r="686" spans="1:4" s="85" customFormat="1" x14ac:dyDescent="0.2">
      <c r="A686" s="16"/>
      <c r="C686" s="36"/>
      <c r="D686" s="37"/>
    </row>
    <row r="687" spans="1:4" s="85" customFormat="1" x14ac:dyDescent="0.2">
      <c r="A687" s="16"/>
      <c r="C687" s="36"/>
      <c r="D687" s="37"/>
    </row>
    <row r="688" spans="1:4" s="85" customFormat="1" x14ac:dyDescent="0.2">
      <c r="A688" s="16"/>
      <c r="C688" s="36"/>
      <c r="D688" s="37"/>
    </row>
    <row r="689" spans="1:4" s="85" customFormat="1" x14ac:dyDescent="0.2">
      <c r="A689" s="16"/>
      <c r="C689" s="36"/>
      <c r="D689" s="37"/>
    </row>
    <row r="690" spans="1:4" s="85" customFormat="1" x14ac:dyDescent="0.2">
      <c r="A690" s="16"/>
      <c r="C690" s="36"/>
      <c r="D690" s="37"/>
    </row>
    <row r="691" spans="1:4" s="85" customFormat="1" x14ac:dyDescent="0.2">
      <c r="A691" s="16"/>
      <c r="C691" s="36"/>
      <c r="D691" s="37"/>
    </row>
    <row r="692" spans="1:4" s="85" customFormat="1" x14ac:dyDescent="0.2">
      <c r="A692" s="16"/>
      <c r="C692" s="36"/>
      <c r="D692" s="37"/>
    </row>
    <row r="693" spans="1:4" s="85" customFormat="1" x14ac:dyDescent="0.2">
      <c r="A693" s="16"/>
      <c r="C693" s="36"/>
      <c r="D693" s="37"/>
    </row>
    <row r="694" spans="1:4" s="85" customFormat="1" x14ac:dyDescent="0.2">
      <c r="A694" s="16"/>
      <c r="C694" s="36"/>
      <c r="D694" s="37"/>
    </row>
    <row r="695" spans="1:4" s="85" customFormat="1" x14ac:dyDescent="0.2">
      <c r="A695" s="16"/>
      <c r="C695" s="36"/>
      <c r="D695" s="37"/>
    </row>
    <row r="696" spans="1:4" s="85" customFormat="1" x14ac:dyDescent="0.2">
      <c r="A696" s="16"/>
      <c r="C696" s="36"/>
      <c r="D696" s="37"/>
    </row>
    <row r="697" spans="1:4" s="85" customFormat="1" x14ac:dyDescent="0.2">
      <c r="A697" s="16"/>
      <c r="C697" s="36"/>
      <c r="D697" s="37"/>
    </row>
    <row r="698" spans="1:4" s="85" customFormat="1" x14ac:dyDescent="0.2">
      <c r="A698" s="16"/>
      <c r="C698" s="36"/>
      <c r="D698" s="37"/>
    </row>
    <row r="699" spans="1:4" s="85" customFormat="1" x14ac:dyDescent="0.2">
      <c r="A699" s="16"/>
      <c r="C699" s="36"/>
      <c r="D699" s="37"/>
    </row>
    <row r="700" spans="1:4" s="85" customFormat="1" x14ac:dyDescent="0.2">
      <c r="A700" s="16"/>
      <c r="C700" s="36"/>
      <c r="D700" s="37"/>
    </row>
    <row r="701" spans="1:4" s="85" customFormat="1" x14ac:dyDescent="0.2">
      <c r="A701" s="16"/>
      <c r="C701" s="36"/>
      <c r="D701" s="37"/>
    </row>
    <row r="702" spans="1:4" s="85" customFormat="1" x14ac:dyDescent="0.2">
      <c r="A702" s="16"/>
      <c r="C702" s="36"/>
      <c r="D702" s="37"/>
    </row>
    <row r="703" spans="1:4" s="85" customFormat="1" x14ac:dyDescent="0.2">
      <c r="A703" s="16"/>
      <c r="C703" s="36"/>
      <c r="D703" s="37"/>
    </row>
    <row r="704" spans="1:4" s="85" customFormat="1" x14ac:dyDescent="0.2">
      <c r="A704" s="16"/>
      <c r="C704" s="36"/>
      <c r="D704" s="37"/>
    </row>
    <row r="705" spans="1:4" s="85" customFormat="1" x14ac:dyDescent="0.2">
      <c r="A705" s="16"/>
      <c r="C705" s="36"/>
      <c r="D705" s="37"/>
    </row>
    <row r="706" spans="1:4" s="85" customFormat="1" x14ac:dyDescent="0.2">
      <c r="A706" s="16"/>
      <c r="C706" s="36"/>
      <c r="D706" s="37"/>
    </row>
    <row r="707" spans="1:4" s="85" customFormat="1" x14ac:dyDescent="0.2">
      <c r="A707" s="16"/>
      <c r="C707" s="36"/>
      <c r="D707" s="37"/>
    </row>
    <row r="708" spans="1:4" s="85" customFormat="1" x14ac:dyDescent="0.2">
      <c r="A708" s="16"/>
      <c r="C708" s="36"/>
      <c r="D708" s="37"/>
    </row>
    <row r="709" spans="1:4" s="85" customFormat="1" x14ac:dyDescent="0.2">
      <c r="A709" s="16"/>
      <c r="C709" s="36"/>
      <c r="D709" s="37"/>
    </row>
    <row r="710" spans="1:4" s="85" customFormat="1" x14ac:dyDescent="0.2">
      <c r="A710" s="16"/>
      <c r="C710" s="36"/>
      <c r="D710" s="37"/>
    </row>
    <row r="711" spans="1:4" s="85" customFormat="1" x14ac:dyDescent="0.2">
      <c r="A711" s="16"/>
      <c r="C711" s="36"/>
      <c r="D711" s="37"/>
    </row>
    <row r="712" spans="1:4" s="85" customFormat="1" x14ac:dyDescent="0.2">
      <c r="A712" s="16"/>
      <c r="C712" s="36"/>
      <c r="D712" s="37"/>
    </row>
    <row r="713" spans="1:4" s="85" customFormat="1" x14ac:dyDescent="0.2">
      <c r="A713" s="16"/>
      <c r="C713" s="36"/>
      <c r="D713" s="37"/>
    </row>
    <row r="714" spans="1:4" s="85" customFormat="1" x14ac:dyDescent="0.2">
      <c r="A714" s="16"/>
      <c r="C714" s="36"/>
      <c r="D714" s="37"/>
    </row>
    <row r="715" spans="1:4" s="85" customFormat="1" x14ac:dyDescent="0.2">
      <c r="A715" s="16"/>
      <c r="C715" s="36"/>
      <c r="D715" s="37"/>
    </row>
    <row r="716" spans="1:4" s="85" customFormat="1" x14ac:dyDescent="0.2">
      <c r="A716" s="16"/>
      <c r="C716" s="36"/>
      <c r="D716" s="37"/>
    </row>
    <row r="717" spans="1:4" s="85" customFormat="1" x14ac:dyDescent="0.2">
      <c r="A717" s="16"/>
      <c r="C717" s="36"/>
      <c r="D717" s="37"/>
    </row>
    <row r="718" spans="1:4" s="85" customFormat="1" x14ac:dyDescent="0.2">
      <c r="A718" s="16"/>
      <c r="C718" s="36"/>
      <c r="D718" s="37"/>
    </row>
    <row r="719" spans="1:4" s="85" customFormat="1" x14ac:dyDescent="0.2">
      <c r="A719" s="16"/>
      <c r="C719" s="36"/>
      <c r="D719" s="37"/>
    </row>
    <row r="720" spans="1:4" s="85" customFormat="1" x14ac:dyDescent="0.2">
      <c r="A720" s="16"/>
      <c r="C720" s="36"/>
      <c r="D720" s="37"/>
    </row>
    <row r="721" spans="1:4" s="85" customFormat="1" x14ac:dyDescent="0.2">
      <c r="A721" s="16"/>
      <c r="C721" s="36"/>
      <c r="D721" s="37"/>
    </row>
    <row r="722" spans="1:4" s="85" customFormat="1" x14ac:dyDescent="0.2">
      <c r="A722" s="16"/>
      <c r="C722" s="36"/>
      <c r="D722" s="37"/>
    </row>
    <row r="723" spans="1:4" s="85" customFormat="1" x14ac:dyDescent="0.2">
      <c r="A723" s="16"/>
      <c r="C723" s="36"/>
      <c r="D723" s="37"/>
    </row>
    <row r="724" spans="1:4" s="85" customFormat="1" x14ac:dyDescent="0.2">
      <c r="A724" s="16"/>
      <c r="C724" s="36"/>
      <c r="D724" s="37"/>
    </row>
    <row r="725" spans="1:4" s="85" customFormat="1" x14ac:dyDescent="0.2">
      <c r="A725" s="16"/>
      <c r="C725" s="36"/>
      <c r="D725" s="37"/>
    </row>
    <row r="726" spans="1:4" s="85" customFormat="1" x14ac:dyDescent="0.2">
      <c r="A726" s="16"/>
      <c r="C726" s="36"/>
      <c r="D726" s="37"/>
    </row>
    <row r="727" spans="1:4" s="85" customFormat="1" x14ac:dyDescent="0.2">
      <c r="A727" s="16"/>
      <c r="C727" s="36"/>
      <c r="D727" s="37"/>
    </row>
    <row r="728" spans="1:4" s="85" customFormat="1" x14ac:dyDescent="0.2">
      <c r="A728" s="16"/>
      <c r="C728" s="36"/>
      <c r="D728" s="37"/>
    </row>
    <row r="729" spans="1:4" s="85" customFormat="1" x14ac:dyDescent="0.2">
      <c r="A729" s="16"/>
      <c r="C729" s="36"/>
      <c r="D729" s="37"/>
    </row>
    <row r="730" spans="1:4" s="85" customFormat="1" x14ac:dyDescent="0.2">
      <c r="A730" s="16"/>
      <c r="C730" s="36"/>
      <c r="D730" s="37"/>
    </row>
    <row r="731" spans="1:4" s="85" customFormat="1" x14ac:dyDescent="0.2">
      <c r="A731" s="16"/>
      <c r="C731" s="36"/>
      <c r="D731" s="37"/>
    </row>
    <row r="732" spans="1:4" s="85" customFormat="1" x14ac:dyDescent="0.2">
      <c r="A732" s="16"/>
      <c r="C732" s="36"/>
      <c r="D732" s="37"/>
    </row>
    <row r="733" spans="1:4" s="85" customFormat="1" x14ac:dyDescent="0.2">
      <c r="A733" s="16"/>
      <c r="C733" s="36"/>
      <c r="D733" s="37"/>
    </row>
    <row r="734" spans="1:4" s="85" customFormat="1" x14ac:dyDescent="0.2">
      <c r="A734" s="16"/>
      <c r="C734" s="36"/>
      <c r="D734" s="37"/>
    </row>
    <row r="735" spans="1:4" s="85" customFormat="1" x14ac:dyDescent="0.2">
      <c r="A735" s="16"/>
      <c r="C735" s="36"/>
      <c r="D735" s="37"/>
    </row>
    <row r="736" spans="1:4" s="85" customFormat="1" x14ac:dyDescent="0.2">
      <c r="A736" s="16"/>
      <c r="C736" s="36"/>
      <c r="D736" s="37"/>
    </row>
    <row r="737" spans="1:4" s="85" customFormat="1" x14ac:dyDescent="0.2">
      <c r="A737" s="16"/>
      <c r="C737" s="36"/>
      <c r="D737" s="37"/>
    </row>
    <row r="738" spans="1:4" s="85" customFormat="1" x14ac:dyDescent="0.2">
      <c r="A738" s="16"/>
      <c r="C738" s="36"/>
      <c r="D738" s="37"/>
    </row>
    <row r="739" spans="1:4" s="85" customFormat="1" x14ac:dyDescent="0.2">
      <c r="A739" s="16"/>
      <c r="C739" s="36"/>
      <c r="D739" s="37"/>
    </row>
    <row r="740" spans="1:4" s="85" customFormat="1" x14ac:dyDescent="0.2">
      <c r="A740" s="16"/>
      <c r="C740" s="36"/>
      <c r="D740" s="37"/>
    </row>
    <row r="741" spans="1:4" s="85" customFormat="1" x14ac:dyDescent="0.2">
      <c r="A741" s="16"/>
      <c r="C741" s="36"/>
      <c r="D741" s="37"/>
    </row>
    <row r="742" spans="1:4" s="85" customFormat="1" x14ac:dyDescent="0.2">
      <c r="A742" s="16"/>
      <c r="C742" s="36"/>
      <c r="D742" s="37"/>
    </row>
    <row r="743" spans="1:4" s="85" customFormat="1" x14ac:dyDescent="0.2">
      <c r="A743" s="16"/>
      <c r="C743" s="36"/>
      <c r="D743" s="37"/>
    </row>
    <row r="744" spans="1:4" s="85" customFormat="1" x14ac:dyDescent="0.2">
      <c r="A744" s="16"/>
      <c r="C744" s="36"/>
      <c r="D744" s="37"/>
    </row>
    <row r="745" spans="1:4" s="85" customFormat="1" x14ac:dyDescent="0.2">
      <c r="A745" s="16"/>
      <c r="C745" s="36"/>
      <c r="D745" s="37"/>
    </row>
    <row r="746" spans="1:4" s="85" customFormat="1" x14ac:dyDescent="0.2">
      <c r="A746" s="16"/>
      <c r="C746" s="36"/>
      <c r="D746" s="37"/>
    </row>
    <row r="747" spans="1:4" s="85" customFormat="1" x14ac:dyDescent="0.2">
      <c r="A747" s="16"/>
      <c r="C747" s="36"/>
      <c r="D747" s="37"/>
    </row>
    <row r="748" spans="1:4" s="85" customFormat="1" x14ac:dyDescent="0.2">
      <c r="A748" s="16"/>
      <c r="C748" s="36"/>
      <c r="D748" s="37"/>
    </row>
    <row r="749" spans="1:4" s="85" customFormat="1" x14ac:dyDescent="0.2">
      <c r="A749" s="16"/>
      <c r="C749" s="36"/>
      <c r="D749" s="37"/>
    </row>
    <row r="750" spans="1:4" s="85" customFormat="1" x14ac:dyDescent="0.2">
      <c r="A750" s="16"/>
      <c r="C750" s="36"/>
      <c r="D750" s="37"/>
    </row>
    <row r="751" spans="1:4" s="85" customFormat="1" x14ac:dyDescent="0.2">
      <c r="A751" s="16"/>
      <c r="C751" s="36"/>
      <c r="D751" s="37"/>
    </row>
    <row r="752" spans="1:4" s="85" customFormat="1" x14ac:dyDescent="0.2">
      <c r="A752" s="16"/>
      <c r="C752" s="36"/>
      <c r="D752" s="37"/>
    </row>
    <row r="753" spans="1:4" s="85" customFormat="1" x14ac:dyDescent="0.2">
      <c r="A753" s="16"/>
      <c r="C753" s="36"/>
      <c r="D753" s="37"/>
    </row>
    <row r="754" spans="1:4" s="85" customFormat="1" x14ac:dyDescent="0.2">
      <c r="A754" s="16"/>
      <c r="C754" s="36"/>
      <c r="D754" s="37"/>
    </row>
    <row r="755" spans="1:4" s="85" customFormat="1" x14ac:dyDescent="0.2">
      <c r="A755" s="16"/>
      <c r="C755" s="36"/>
      <c r="D755" s="37"/>
    </row>
    <row r="756" spans="1:4" s="85" customFormat="1" x14ac:dyDescent="0.2">
      <c r="A756" s="16"/>
      <c r="C756" s="36"/>
      <c r="D756" s="37"/>
    </row>
    <row r="757" spans="1:4" s="85" customFormat="1" x14ac:dyDescent="0.2">
      <c r="A757" s="16"/>
      <c r="C757" s="36"/>
      <c r="D757" s="37"/>
    </row>
    <row r="758" spans="1:4" s="85" customFormat="1" x14ac:dyDescent="0.2">
      <c r="A758" s="16"/>
      <c r="C758" s="36"/>
      <c r="D758" s="37"/>
    </row>
    <row r="759" spans="1:4" s="85" customFormat="1" x14ac:dyDescent="0.2">
      <c r="A759" s="16"/>
      <c r="C759" s="36"/>
      <c r="D759" s="37"/>
    </row>
    <row r="760" spans="1:4" s="85" customFormat="1" x14ac:dyDescent="0.2">
      <c r="A760" s="16"/>
      <c r="C760" s="36"/>
      <c r="D760" s="37"/>
    </row>
    <row r="761" spans="1:4" s="85" customFormat="1" x14ac:dyDescent="0.2">
      <c r="A761" s="16"/>
      <c r="C761" s="36"/>
      <c r="D761" s="37"/>
    </row>
    <row r="762" spans="1:4" s="85" customFormat="1" x14ac:dyDescent="0.2">
      <c r="A762" s="16"/>
      <c r="C762" s="36"/>
      <c r="D762" s="37"/>
    </row>
    <row r="763" spans="1:4" s="85" customFormat="1" x14ac:dyDescent="0.2">
      <c r="A763" s="16"/>
      <c r="C763" s="36"/>
      <c r="D763" s="37"/>
    </row>
    <row r="764" spans="1:4" s="85" customFormat="1" x14ac:dyDescent="0.2">
      <c r="A764" s="16"/>
      <c r="C764" s="36"/>
      <c r="D764" s="37"/>
    </row>
    <row r="765" spans="1:4" s="85" customFormat="1" x14ac:dyDescent="0.2">
      <c r="A765" s="16"/>
      <c r="C765" s="36"/>
      <c r="D765" s="37"/>
    </row>
    <row r="766" spans="1:4" s="85" customFormat="1" x14ac:dyDescent="0.2">
      <c r="A766" s="16"/>
      <c r="C766" s="36"/>
      <c r="D766" s="37"/>
    </row>
    <row r="767" spans="1:4" s="85" customFormat="1" x14ac:dyDescent="0.2">
      <c r="A767" s="16"/>
      <c r="C767" s="36"/>
      <c r="D767" s="37"/>
    </row>
    <row r="768" spans="1:4" s="85" customFormat="1" x14ac:dyDescent="0.2">
      <c r="A768" s="16"/>
      <c r="C768" s="36"/>
      <c r="D768" s="37"/>
    </row>
    <row r="769" spans="1:4" s="85" customFormat="1" x14ac:dyDescent="0.2">
      <c r="A769" s="16"/>
      <c r="C769" s="36"/>
      <c r="D769" s="37"/>
    </row>
    <row r="770" spans="1:4" s="85" customFormat="1" x14ac:dyDescent="0.2">
      <c r="A770" s="16"/>
      <c r="C770" s="36"/>
      <c r="D770" s="37"/>
    </row>
    <row r="771" spans="1:4" s="85" customFormat="1" x14ac:dyDescent="0.2">
      <c r="A771" s="16"/>
      <c r="C771" s="36"/>
      <c r="D771" s="37"/>
    </row>
    <row r="772" spans="1:4" s="85" customFormat="1" x14ac:dyDescent="0.2">
      <c r="A772" s="16"/>
      <c r="C772" s="36"/>
      <c r="D772" s="37"/>
    </row>
    <row r="773" spans="1:4" s="85" customFormat="1" x14ac:dyDescent="0.2">
      <c r="A773" s="16"/>
      <c r="C773" s="36"/>
      <c r="D773" s="37"/>
    </row>
    <row r="774" spans="1:4" s="85" customFormat="1" x14ac:dyDescent="0.2">
      <c r="A774" s="16"/>
      <c r="C774" s="36"/>
      <c r="D774" s="37"/>
    </row>
    <row r="775" spans="1:4" s="85" customFormat="1" x14ac:dyDescent="0.2">
      <c r="A775" s="16"/>
      <c r="C775" s="36"/>
      <c r="D775" s="37"/>
    </row>
    <row r="776" spans="1:4" s="85" customFormat="1" x14ac:dyDescent="0.2">
      <c r="A776" s="16"/>
      <c r="C776" s="36"/>
      <c r="D776" s="37"/>
    </row>
    <row r="777" spans="1:4" s="85" customFormat="1" x14ac:dyDescent="0.2">
      <c r="A777" s="16"/>
      <c r="C777" s="36"/>
      <c r="D777" s="37"/>
    </row>
    <row r="778" spans="1:4" s="85" customFormat="1" x14ac:dyDescent="0.2">
      <c r="A778" s="16"/>
      <c r="C778" s="36"/>
      <c r="D778" s="37"/>
    </row>
    <row r="779" spans="1:4" s="85" customFormat="1" x14ac:dyDescent="0.2">
      <c r="A779" s="16"/>
      <c r="C779" s="36"/>
      <c r="D779" s="37"/>
    </row>
    <row r="780" spans="1:4" s="85" customFormat="1" x14ac:dyDescent="0.2">
      <c r="A780" s="16"/>
      <c r="C780" s="36"/>
      <c r="D780" s="37"/>
    </row>
    <row r="781" spans="1:4" s="85" customFormat="1" x14ac:dyDescent="0.2">
      <c r="A781" s="16"/>
      <c r="C781" s="36"/>
      <c r="D781" s="37"/>
    </row>
    <row r="782" spans="1:4" s="85" customFormat="1" x14ac:dyDescent="0.2">
      <c r="A782" s="16"/>
      <c r="C782" s="36"/>
      <c r="D782" s="37"/>
    </row>
    <row r="783" spans="1:4" s="85" customFormat="1" x14ac:dyDescent="0.2">
      <c r="A783" s="16"/>
      <c r="C783" s="36"/>
      <c r="D783" s="37"/>
    </row>
    <row r="784" spans="1:4" s="85" customFormat="1" x14ac:dyDescent="0.2">
      <c r="A784" s="16"/>
      <c r="C784" s="36"/>
      <c r="D784" s="37"/>
    </row>
    <row r="785" spans="1:4" s="85" customFormat="1" x14ac:dyDescent="0.2">
      <c r="A785" s="16"/>
      <c r="C785" s="36"/>
      <c r="D785" s="37"/>
    </row>
    <row r="786" spans="1:4" s="85" customFormat="1" x14ac:dyDescent="0.2">
      <c r="A786" s="16"/>
      <c r="C786" s="36"/>
      <c r="D786" s="37"/>
    </row>
    <row r="787" spans="1:4" s="85" customFormat="1" x14ac:dyDescent="0.2">
      <c r="A787" s="16"/>
      <c r="C787" s="36"/>
      <c r="D787" s="37"/>
    </row>
    <row r="788" spans="1:4" s="85" customFormat="1" x14ac:dyDescent="0.2">
      <c r="A788" s="16"/>
      <c r="C788" s="36"/>
      <c r="D788" s="37"/>
    </row>
    <row r="789" spans="1:4" s="85" customFormat="1" x14ac:dyDescent="0.2">
      <c r="A789" s="16"/>
      <c r="C789" s="36"/>
      <c r="D789" s="37"/>
    </row>
    <row r="790" spans="1:4" s="85" customFormat="1" x14ac:dyDescent="0.2">
      <c r="A790" s="16"/>
      <c r="C790" s="36"/>
      <c r="D790" s="37"/>
    </row>
    <row r="791" spans="1:4" s="85" customFormat="1" x14ac:dyDescent="0.2">
      <c r="A791" s="16"/>
      <c r="C791" s="36"/>
      <c r="D791" s="37"/>
    </row>
    <row r="792" spans="1:4" s="85" customFormat="1" x14ac:dyDescent="0.2">
      <c r="A792" s="16"/>
      <c r="C792" s="36"/>
      <c r="D792" s="37"/>
    </row>
    <row r="793" spans="1:4" s="85" customFormat="1" x14ac:dyDescent="0.2">
      <c r="A793" s="16"/>
      <c r="C793" s="36"/>
      <c r="D793" s="37"/>
    </row>
    <row r="794" spans="1:4" s="85" customFormat="1" x14ac:dyDescent="0.2">
      <c r="A794" s="16"/>
      <c r="C794" s="36"/>
      <c r="D794" s="37"/>
    </row>
    <row r="795" spans="1:4" s="85" customFormat="1" x14ac:dyDescent="0.2">
      <c r="A795" s="16"/>
      <c r="C795" s="36"/>
      <c r="D795" s="37"/>
    </row>
    <row r="796" spans="1:4" s="85" customFormat="1" x14ac:dyDescent="0.2">
      <c r="A796" s="16"/>
      <c r="C796" s="36"/>
      <c r="D796" s="37"/>
    </row>
    <row r="797" spans="1:4" s="85" customFormat="1" x14ac:dyDescent="0.2">
      <c r="A797" s="16"/>
      <c r="C797" s="36"/>
      <c r="D797" s="37"/>
    </row>
    <row r="798" spans="1:4" s="85" customFormat="1" x14ac:dyDescent="0.2">
      <c r="A798" s="16"/>
      <c r="C798" s="36"/>
      <c r="D798" s="37"/>
    </row>
    <row r="799" spans="1:4" s="85" customFormat="1" x14ac:dyDescent="0.2">
      <c r="A799" s="16"/>
      <c r="C799" s="36"/>
      <c r="D799" s="37"/>
    </row>
    <row r="800" spans="1:4" s="85" customFormat="1" x14ac:dyDescent="0.2">
      <c r="A800" s="16"/>
      <c r="C800" s="36"/>
      <c r="D800" s="37"/>
    </row>
    <row r="801" spans="1:17" s="85" customFormat="1" x14ac:dyDescent="0.2">
      <c r="A801" s="16"/>
      <c r="C801" s="36"/>
      <c r="D801" s="37"/>
    </row>
    <row r="802" spans="1:17" s="85" customFormat="1" x14ac:dyDescent="0.2">
      <c r="A802" s="16"/>
      <c r="C802" s="36"/>
      <c r="D802" s="37"/>
    </row>
    <row r="803" spans="1:17" s="85" customFormat="1" x14ac:dyDescent="0.2">
      <c r="A803" s="16"/>
      <c r="C803" s="36"/>
      <c r="D803" s="37"/>
    </row>
    <row r="804" spans="1:17" s="85" customFormat="1" x14ac:dyDescent="0.2">
      <c r="A804" s="16"/>
      <c r="C804" s="36"/>
      <c r="D804" s="37"/>
    </row>
    <row r="805" spans="1:17" s="85" customFormat="1" x14ac:dyDescent="0.2">
      <c r="A805" s="16"/>
      <c r="C805" s="36"/>
      <c r="D805" s="37"/>
    </row>
    <row r="806" spans="1:17" s="85" customFormat="1" x14ac:dyDescent="0.2">
      <c r="A806" s="16"/>
      <c r="C806" s="36"/>
      <c r="D806" s="37"/>
    </row>
    <row r="807" spans="1:17" s="85" customFormat="1" x14ac:dyDescent="0.2">
      <c r="A807" s="16"/>
      <c r="C807" s="36"/>
      <c r="D807" s="37"/>
    </row>
    <row r="808" spans="1:17" s="85" customFormat="1" x14ac:dyDescent="0.2">
      <c r="A808" s="16"/>
      <c r="C808" s="36"/>
      <c r="D808" s="37"/>
    </row>
    <row r="809" spans="1:17" s="85" customFormat="1" x14ac:dyDescent="0.2">
      <c r="A809" s="16"/>
      <c r="C809" s="36"/>
      <c r="D809" s="37"/>
    </row>
    <row r="810" spans="1:17" s="85" customFormat="1" x14ac:dyDescent="0.2">
      <c r="A810" s="16"/>
      <c r="C810" s="36"/>
      <c r="D810" s="37"/>
    </row>
    <row r="811" spans="1:17" s="85" customFormat="1" x14ac:dyDescent="0.2">
      <c r="A811" s="16"/>
      <c r="C811" s="36"/>
      <c r="D811" s="37"/>
    </row>
    <row r="812" spans="1:17" s="85" customFormat="1" x14ac:dyDescent="0.2">
      <c r="A812" s="16"/>
      <c r="C812" s="36"/>
      <c r="D812" s="37"/>
    </row>
    <row r="813" spans="1:17" s="85" customFormat="1" x14ac:dyDescent="0.2">
      <c r="A813" s="16"/>
      <c r="C813" s="36"/>
      <c r="D813" s="37"/>
    </row>
    <row r="814" spans="1:17" s="85" customFormat="1" x14ac:dyDescent="0.2">
      <c r="A814" s="16"/>
      <c r="C814" s="36"/>
      <c r="D814" s="37"/>
    </row>
    <row r="815" spans="1:17" s="85" customFormat="1" x14ac:dyDescent="0.2">
      <c r="A815" s="16"/>
      <c r="C815" s="36"/>
      <c r="D815" s="37"/>
    </row>
    <row r="816" spans="1:17" x14ac:dyDescent="0.2">
      <c r="A816" s="16"/>
      <c r="B816" s="85"/>
      <c r="C816" s="36"/>
      <c r="D816" s="37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</row>
    <row r="817" spans="1:17" x14ac:dyDescent="0.2">
      <c r="A817" s="16"/>
      <c r="B817" s="85"/>
      <c r="C817" s="36"/>
      <c r="D817" s="37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</row>
    <row r="818" spans="1:17" x14ac:dyDescent="0.2">
      <c r="A818" s="16"/>
      <c r="B818" s="85"/>
      <c r="C818" s="36"/>
      <c r="D818" s="37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</row>
    <row r="819" spans="1:17" x14ac:dyDescent="0.2">
      <c r="A819" s="16"/>
      <c r="B819" s="85"/>
      <c r="C819" s="36"/>
      <c r="D819" s="37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</row>
    <row r="820" spans="1:17" x14ac:dyDescent="0.2">
      <c r="A820" s="16"/>
      <c r="B820" s="85"/>
      <c r="C820" s="36"/>
      <c r="D820" s="37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</row>
    <row r="821" spans="1:17" x14ac:dyDescent="0.2">
      <c r="A821" s="16"/>
      <c r="B821" s="85"/>
      <c r="C821" s="36"/>
      <c r="D821" s="37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</row>
    <row r="822" spans="1:17" x14ac:dyDescent="0.2">
      <c r="A822" s="16"/>
      <c r="B822" s="85"/>
      <c r="C822" s="36"/>
      <c r="D822" s="37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</row>
    <row r="823" spans="1:17" x14ac:dyDescent="0.2">
      <c r="A823" s="16"/>
      <c r="B823" s="85"/>
      <c r="C823" s="36"/>
      <c r="D823" s="37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</row>
    <row r="824" spans="1:17" x14ac:dyDescent="0.2">
      <c r="A824" s="16"/>
      <c r="B824" s="85"/>
      <c r="C824" s="36"/>
      <c r="D824" s="37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</row>
    <row r="825" spans="1:17" x14ac:dyDescent="0.2">
      <c r="A825" s="16"/>
      <c r="B825" s="85"/>
      <c r="C825" s="36"/>
      <c r="D825" s="37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</row>
    <row r="826" spans="1:17" x14ac:dyDescent="0.2">
      <c r="A826" s="16"/>
      <c r="B826" s="85"/>
      <c r="C826" s="36"/>
      <c r="D826" s="37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</row>
    <row r="827" spans="1:17" x14ac:dyDescent="0.2">
      <c r="A827" s="16"/>
      <c r="B827" s="85"/>
      <c r="C827" s="36"/>
      <c r="D827" s="37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</row>
    <row r="828" spans="1:17" x14ac:dyDescent="0.2">
      <c r="A828" s="16"/>
      <c r="B828" s="85"/>
      <c r="C828" s="36"/>
      <c r="D828" s="37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</row>
    <row r="829" spans="1:17" x14ac:dyDescent="0.2">
      <c r="A829" s="16"/>
      <c r="B829" s="85"/>
      <c r="C829" s="36"/>
      <c r="D829" s="37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</row>
    <row r="830" spans="1:17" x14ac:dyDescent="0.2">
      <c r="A830" s="16"/>
      <c r="B830" s="85"/>
      <c r="C830" s="36"/>
      <c r="D830" s="37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</row>
    <row r="831" spans="1:17" x14ac:dyDescent="0.2">
      <c r="A831" s="16"/>
      <c r="B831" s="85"/>
      <c r="C831" s="36"/>
      <c r="D831" s="37"/>
      <c r="E831" s="85"/>
      <c r="F831" s="85"/>
      <c r="G831" s="85"/>
      <c r="H831" s="85"/>
      <c r="I831" s="85"/>
      <c r="J831" s="85"/>
      <c r="K831" s="85"/>
      <c r="L831" s="85"/>
      <c r="M831" s="85"/>
      <c r="N831" s="85"/>
      <c r="O831" s="85"/>
      <c r="P831" s="85"/>
      <c r="Q831" s="85"/>
    </row>
    <row r="832" spans="1:17" x14ac:dyDescent="0.2">
      <c r="A832" s="16"/>
      <c r="B832" s="85"/>
      <c r="C832" s="36"/>
      <c r="D832" s="37"/>
      <c r="E832" s="85"/>
      <c r="F832" s="85"/>
      <c r="G832" s="85"/>
      <c r="H832" s="85"/>
      <c r="I832" s="85"/>
      <c r="J832" s="85"/>
      <c r="K832" s="85"/>
      <c r="L832" s="85"/>
      <c r="M832" s="85"/>
      <c r="N832" s="85"/>
      <c r="O832" s="85"/>
      <c r="P832" s="85"/>
      <c r="Q832" s="85"/>
    </row>
    <row r="833" spans="1:17" x14ac:dyDescent="0.2">
      <c r="A833" s="16"/>
      <c r="B833" s="85"/>
      <c r="C833" s="36"/>
      <c r="D833" s="37"/>
      <c r="E833" s="85"/>
      <c r="F833" s="85"/>
      <c r="G833" s="85"/>
      <c r="H833" s="85"/>
      <c r="I833" s="85"/>
      <c r="J833" s="85"/>
      <c r="K833" s="85"/>
      <c r="L833" s="85"/>
      <c r="M833" s="85"/>
      <c r="N833" s="85"/>
      <c r="O833" s="85"/>
      <c r="P833" s="85"/>
      <c r="Q833" s="85"/>
    </row>
    <row r="834" spans="1:17" x14ac:dyDescent="0.2">
      <c r="A834" s="16"/>
      <c r="B834" s="85"/>
      <c r="C834" s="36"/>
      <c r="D834" s="37"/>
      <c r="E834" s="85"/>
      <c r="F834" s="85"/>
      <c r="G834" s="85"/>
      <c r="H834" s="85"/>
      <c r="I834" s="85"/>
      <c r="J834" s="85"/>
      <c r="K834" s="85"/>
      <c r="L834" s="85"/>
      <c r="M834" s="85"/>
      <c r="N834" s="85"/>
      <c r="O834" s="85"/>
      <c r="P834" s="85"/>
      <c r="Q834" s="8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DY1001"/>
  <sheetViews>
    <sheetView zoomScale="130" zoomScaleNormal="130" workbookViewId="0">
      <pane ySplit="4" topLeftCell="A305" activePane="bottomLeft" state="frozen"/>
      <selection pane="bottomLeft" activeCell="F351" sqref="F351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4" bestFit="1" customWidth="1"/>
    <col min="3" max="4" width="11.6640625" style="9" customWidth="1"/>
    <col min="5" max="129" width="9.1640625" style="85" customWidth="1"/>
  </cols>
  <sheetData>
    <row r="1" spans="1:129" s="27" customFormat="1" x14ac:dyDescent="0.2">
      <c r="A1" s="35" t="s">
        <v>1793</v>
      </c>
      <c r="C1" s="31"/>
      <c r="D1" s="31"/>
      <c r="E1" s="28"/>
      <c r="F1" s="28"/>
      <c r="G1" s="30" t="str">
        <f>VLOOKUP(O1,Note!O:P,2,)</f>
        <v>France</v>
      </c>
      <c r="H1" s="28"/>
      <c r="I1" s="28"/>
      <c r="J1" s="28"/>
      <c r="K1" s="28"/>
      <c r="L1" s="28"/>
      <c r="M1" s="28"/>
      <c r="N1" s="28"/>
      <c r="O1" s="32" t="str">
        <f>Table13456789101112131415161734[[#Headers],[FRA]]</f>
        <v>FRA</v>
      </c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</row>
    <row r="2" spans="1:129" s="27" customFormat="1" x14ac:dyDescent="0.2">
      <c r="A2" s="34" t="s">
        <v>1794</v>
      </c>
      <c r="B2" s="30"/>
      <c r="C2" s="31"/>
      <c r="D2" s="31"/>
      <c r="E2" s="28"/>
      <c r="F2" s="28"/>
      <c r="G2" s="30" t="str">
        <f>G1&amp;" Industrial Production mom"</f>
        <v>France Industrial Production mom</v>
      </c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</row>
    <row r="3" spans="1:129" s="27" customFormat="1" x14ac:dyDescent="0.2">
      <c r="A3" s="29"/>
      <c r="B3" s="30"/>
      <c r="C3" s="31"/>
      <c r="D3" s="31"/>
      <c r="E3" s="28"/>
      <c r="F3" s="28"/>
      <c r="G3" s="30" t="str">
        <f>G1&amp;" Industrial Production yoy"</f>
        <v>France Industrial Production yoy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</row>
    <row r="4" spans="1:129" x14ac:dyDescent="0.2">
      <c r="A4" s="25" t="s">
        <v>515</v>
      </c>
      <c r="B4" s="33" t="s">
        <v>158</v>
      </c>
      <c r="C4" s="26" t="s">
        <v>1795</v>
      </c>
      <c r="D4" s="26" t="s">
        <v>1796</v>
      </c>
      <c r="G4" s="30" t="str">
        <f>G1&amp;" Industrial Production"</f>
        <v>France Industrial Production</v>
      </c>
    </row>
    <row r="5" spans="1:129" x14ac:dyDescent="0.2">
      <c r="A5" s="22">
        <v>33208</v>
      </c>
      <c r="B5" s="92">
        <f>VLOOKUP(A5,Database!$E:$AY,MATCH($B$4,Database!$E$1:$AY$1,0),FALSE)</f>
        <v>91.870769999999993</v>
      </c>
      <c r="C5" s="23"/>
      <c r="D5" s="24"/>
    </row>
    <row r="6" spans="1:129" x14ac:dyDescent="0.2">
      <c r="A6" s="22">
        <v>33239</v>
      </c>
      <c r="B6" s="92">
        <f>VLOOKUP(A6,Database!$E:$AY,MATCH($B$4,Database!$E$1:$AY$1,0),FALSE)</f>
        <v>93.070779999999999</v>
      </c>
      <c r="C6" s="23">
        <f>(Table13456789101112131415161734[[#This Row],[FRA]]-B5)/B5</f>
        <v>1.3061934715470505E-2</v>
      </c>
      <c r="D6" s="24"/>
    </row>
    <row r="7" spans="1:129" x14ac:dyDescent="0.2">
      <c r="A7" s="22">
        <v>33270</v>
      </c>
      <c r="B7" s="92">
        <f>VLOOKUP(A7,Database!$E:$AY,MATCH($B$4,Database!$E$1:$AY$1,0),FALSE)</f>
        <v>92.660769999999999</v>
      </c>
      <c r="C7" s="23">
        <f>(Table13456789101112131415161734[[#This Row],[FRA]]-B6)/B6</f>
        <v>-4.4053568692558479E-3</v>
      </c>
      <c r="D7" s="24"/>
    </row>
    <row r="8" spans="1:129" x14ac:dyDescent="0.2">
      <c r="A8" s="22">
        <v>33298</v>
      </c>
      <c r="B8" s="92">
        <f>VLOOKUP(A8,Database!$E:$AY,MATCH($B$4,Database!$E$1:$AY$1,0),FALSE)</f>
        <v>91.520759999999996</v>
      </c>
      <c r="C8" s="23">
        <f>(Table13456789101112131415161734[[#This Row],[FRA]]-B7)/B7</f>
        <v>-1.2303049068122397E-2</v>
      </c>
      <c r="D8" s="24"/>
    </row>
    <row r="9" spans="1:129" x14ac:dyDescent="0.2">
      <c r="A9" s="22">
        <v>33329</v>
      </c>
      <c r="B9" s="92">
        <f>VLOOKUP(A9,Database!$E:$AY,MATCH($B$4,Database!$E$1:$AY$1,0),FALSE)</f>
        <v>91.50076</v>
      </c>
      <c r="C9" s="23">
        <f>(Table13456789101112131415161734[[#This Row],[FRA]]-B8)/B8</f>
        <v>-2.1852965381839073E-4</v>
      </c>
      <c r="D9" s="24"/>
    </row>
    <row r="10" spans="1:129" x14ac:dyDescent="0.2">
      <c r="A10" s="22">
        <v>33359</v>
      </c>
      <c r="B10" s="92">
        <f>VLOOKUP(A10,Database!$E:$AY,MATCH($B$4,Database!$E$1:$AY$1,0),FALSE)</f>
        <v>91.610759999999999</v>
      </c>
      <c r="C10" s="23">
        <f>(Table13456789101112131415161734[[#This Row],[FRA]]-B9)/B9</f>
        <v>1.2021758070643286E-3</v>
      </c>
      <c r="D10" s="24"/>
    </row>
    <row r="11" spans="1:129" x14ac:dyDescent="0.2">
      <c r="A11" s="22">
        <v>33390</v>
      </c>
      <c r="B11" s="92">
        <f>VLOOKUP(A11,Database!$E:$AY,MATCH($B$4,Database!$E$1:$AY$1,0),FALSE)</f>
        <v>91.970759999999999</v>
      </c>
      <c r="C11" s="23">
        <f>(Table13456789101112131415161734[[#This Row],[FRA]]-B10)/B10</f>
        <v>3.9296693969136315E-3</v>
      </c>
      <c r="D11" s="24"/>
    </row>
    <row r="12" spans="1:129" x14ac:dyDescent="0.2">
      <c r="A12" s="22">
        <v>33420</v>
      </c>
      <c r="B12" s="92">
        <f>VLOOKUP(A12,Database!$E:$AY,MATCH($B$4,Database!$E$1:$AY$1,0),FALSE)</f>
        <v>90.430760000000006</v>
      </c>
      <c r="C12" s="23">
        <f>(Table13456789101112131415161734[[#This Row],[FRA]]-B11)/B11</f>
        <v>-1.6744452258522079E-2</v>
      </c>
      <c r="D12" s="24"/>
    </row>
    <row r="13" spans="1:129" x14ac:dyDescent="0.2">
      <c r="A13" s="22">
        <v>33451</v>
      </c>
      <c r="B13" s="92">
        <f>VLOOKUP(A13,Database!$E:$AY,MATCH($B$4,Database!$E$1:$AY$1,0),FALSE)</f>
        <v>91.380759999999995</v>
      </c>
      <c r="C13" s="23">
        <f>(Table13456789101112131415161734[[#This Row],[FRA]]-B12)/B12</f>
        <v>1.0505274975019435E-2</v>
      </c>
      <c r="D13" s="24"/>
    </row>
    <row r="14" spans="1:129" x14ac:dyDescent="0.2">
      <c r="A14" s="22">
        <v>33482</v>
      </c>
      <c r="B14" s="92">
        <f>VLOOKUP(A14,Database!$E:$AY,MATCH($B$4,Database!$E$1:$AY$1,0),FALSE)</f>
        <v>91.690770000000001</v>
      </c>
      <c r="C14" s="23">
        <f>(Table13456789101112131415161734[[#This Row],[FRA]]-B13)/B13</f>
        <v>3.3925084448849568E-3</v>
      </c>
      <c r="D14" s="24"/>
    </row>
    <row r="15" spans="1:129" x14ac:dyDescent="0.2">
      <c r="A15" s="22">
        <v>33512</v>
      </c>
      <c r="B15" s="92">
        <f>VLOOKUP(A15,Database!$E:$AY,MATCH($B$4,Database!$E$1:$AY$1,0),FALSE)</f>
        <v>91.260760000000005</v>
      </c>
      <c r="C15" s="23">
        <f>(Table13456789101112131415161734[[#This Row],[FRA]]-B14)/B14</f>
        <v>-4.6897850241632366E-3</v>
      </c>
      <c r="D15" s="24"/>
    </row>
    <row r="16" spans="1:129" x14ac:dyDescent="0.2">
      <c r="A16" s="22">
        <v>33543</v>
      </c>
      <c r="B16" s="92">
        <f>VLOOKUP(A16,Database!$E:$AY,MATCH($B$4,Database!$E$1:$AY$1,0),FALSE)</f>
        <v>92.720770000000002</v>
      </c>
      <c r="C16" s="23">
        <f>(Table13456789101112131415161734[[#This Row],[FRA]]-B15)/B15</f>
        <v>1.5998223113636099E-2</v>
      </c>
      <c r="D16" s="24"/>
    </row>
    <row r="17" spans="1:4" x14ac:dyDescent="0.2">
      <c r="A17" s="22">
        <v>33573</v>
      </c>
      <c r="B17" s="92">
        <f>VLOOKUP(A17,Database!$E:$AY,MATCH($B$4,Database!$E$1:$AY$1,0),FALSE)</f>
        <v>91.89076</v>
      </c>
      <c r="C17" s="23">
        <f>(Table13456789101112131415161734[[#This Row],[FRA]]-B16)/B16</f>
        <v>-8.9517159963188563E-3</v>
      </c>
      <c r="D17" s="24">
        <f>(Table13456789101112131415161734[[#This Row],[FRA]]-B5)/B5</f>
        <v>2.175882492332116E-4</v>
      </c>
    </row>
    <row r="18" spans="1:4" x14ac:dyDescent="0.2">
      <c r="A18" s="22">
        <v>33604</v>
      </c>
      <c r="B18" s="92">
        <f>VLOOKUP(A18,Database!$E:$AY,MATCH($B$4,Database!$E$1:$AY$1,0),FALSE)</f>
        <v>92.140770000000003</v>
      </c>
      <c r="C18" s="23">
        <f>(Table13456789101112131415161734[[#This Row],[FRA]]-B17)/B17</f>
        <v>2.7207305718224897E-3</v>
      </c>
      <c r="D18" s="24">
        <f>(Table13456789101112131415161734[[#This Row],[FRA]]-B6)/B6</f>
        <v>-9.9925024803702717E-3</v>
      </c>
    </row>
    <row r="19" spans="1:4" x14ac:dyDescent="0.2">
      <c r="A19" s="22">
        <v>33635</v>
      </c>
      <c r="B19" s="92">
        <f>VLOOKUP(A19,Database!$E:$AY,MATCH($B$4,Database!$E$1:$AY$1,0),FALSE)</f>
        <v>91.450760000000002</v>
      </c>
      <c r="C19" s="23">
        <f>(Table13456789101112131415161734[[#This Row],[FRA]]-B18)/B18</f>
        <v>-7.4886502467908711E-3</v>
      </c>
      <c r="D19" s="24">
        <f>(Table13456789101112131415161734[[#This Row],[FRA]]-B7)/B7</f>
        <v>-1.3058492822798655E-2</v>
      </c>
    </row>
    <row r="20" spans="1:4" x14ac:dyDescent="0.2">
      <c r="A20" s="22">
        <v>33664</v>
      </c>
      <c r="B20" s="92">
        <f>VLOOKUP(A20,Database!$E:$AY,MATCH($B$4,Database!$E$1:$AY$1,0),FALSE)</f>
        <v>92.340770000000006</v>
      </c>
      <c r="C20" s="23">
        <f>(Table13456789101112131415161734[[#This Row],[FRA]]-B19)/B19</f>
        <v>9.7321225105182693E-3</v>
      </c>
      <c r="D20" s="24">
        <f>(Table13456789101112131415161734[[#This Row],[FRA]]-B8)/B8</f>
        <v>8.9598250713828279E-3</v>
      </c>
    </row>
    <row r="21" spans="1:4" x14ac:dyDescent="0.2">
      <c r="A21" s="22">
        <v>33695</v>
      </c>
      <c r="B21" s="92">
        <f>VLOOKUP(A21,Database!$E:$AY,MATCH($B$4,Database!$E$1:$AY$1,0),FALSE)</f>
        <v>91.690770000000001</v>
      </c>
      <c r="C21" s="23">
        <f>(Table13456789101112131415161734[[#This Row],[FRA]]-B20)/B20</f>
        <v>-7.0391442479849978E-3</v>
      </c>
      <c r="D21" s="24">
        <f>(Table13456789101112131415161734[[#This Row],[FRA]]-B9)/B9</f>
        <v>2.0765947736390484E-3</v>
      </c>
    </row>
    <row r="22" spans="1:4" x14ac:dyDescent="0.2">
      <c r="A22" s="22">
        <v>33725</v>
      </c>
      <c r="B22" s="92">
        <f>VLOOKUP(A22,Database!$E:$AY,MATCH($B$4,Database!$E$1:$AY$1,0),FALSE)</f>
        <v>91.720759999999999</v>
      </c>
      <c r="C22" s="23">
        <f>(Table13456789101112131415161734[[#This Row],[FRA]]-B21)/B21</f>
        <v>3.2707763278678938E-4</v>
      </c>
      <c r="D22" s="24">
        <f>(Table13456789101112131415161734[[#This Row],[FRA]]-B10)/B10</f>
        <v>1.2007323157236054E-3</v>
      </c>
    </row>
    <row r="23" spans="1:4" x14ac:dyDescent="0.2">
      <c r="A23" s="22">
        <v>33756</v>
      </c>
      <c r="B23" s="92">
        <f>VLOOKUP(A23,Database!$E:$AY,MATCH($B$4,Database!$E$1:$AY$1,0),FALSE)</f>
        <v>90.630750000000006</v>
      </c>
      <c r="C23" s="23">
        <f>(Table13456789101112131415161734[[#This Row],[FRA]]-B22)/B22</f>
        <v>-1.1884005322241032E-2</v>
      </c>
      <c r="D23" s="24">
        <f>(Table13456789101112131415161734[[#This Row],[FRA]]-B11)/B11</f>
        <v>-1.456995679931309E-2</v>
      </c>
    </row>
    <row r="24" spans="1:4" x14ac:dyDescent="0.2">
      <c r="A24" s="22">
        <v>33786</v>
      </c>
      <c r="B24" s="92">
        <f>VLOOKUP(A24,Database!$E:$AY,MATCH($B$4,Database!$E$1:$AY$1,0),FALSE)</f>
        <v>90.280749999999998</v>
      </c>
      <c r="C24" s="23">
        <f>(Table13456789101112131415161734[[#This Row],[FRA]]-B23)/B23</f>
        <v>-3.8618239394466944E-3</v>
      </c>
      <c r="D24" s="24">
        <f>(Table13456789101112131415161734[[#This Row],[FRA]]-B12)/B12</f>
        <v>-1.6588382094766079E-3</v>
      </c>
    </row>
    <row r="25" spans="1:4" x14ac:dyDescent="0.2">
      <c r="A25" s="22">
        <v>33817</v>
      </c>
      <c r="B25" s="92">
        <f>VLOOKUP(A25,Database!$E:$AY,MATCH($B$4,Database!$E$1:$AY$1,0),FALSE)</f>
        <v>90.560749999999999</v>
      </c>
      <c r="C25" s="23">
        <f>(Table13456789101112131415161734[[#This Row],[FRA]]-B24)/B24</f>
        <v>3.1014363527108618E-3</v>
      </c>
      <c r="D25" s="24">
        <f>(Table13456789101112131415161734[[#This Row],[FRA]]-B13)/B13</f>
        <v>-8.9735519818394636E-3</v>
      </c>
    </row>
    <row r="26" spans="1:4" x14ac:dyDescent="0.2">
      <c r="A26" s="22">
        <v>33848</v>
      </c>
      <c r="B26" s="92">
        <f>VLOOKUP(A26,Database!$E:$AY,MATCH($B$4,Database!$E$1:$AY$1,0),FALSE)</f>
        <v>89.29074</v>
      </c>
      <c r="C26" s="23">
        <f>(Table13456789101112131415161734[[#This Row],[FRA]]-B25)/B25</f>
        <v>-1.4023845871417796E-2</v>
      </c>
      <c r="D26" s="24">
        <f>(Table13456789101112131415161734[[#This Row],[FRA]]-B14)/B14</f>
        <v>-2.6175262788173781E-2</v>
      </c>
    </row>
    <row r="27" spans="1:4" x14ac:dyDescent="0.2">
      <c r="A27" s="22">
        <v>33878</v>
      </c>
      <c r="B27" s="92">
        <f>VLOOKUP(A27,Database!$E:$AY,MATCH($B$4,Database!$E$1:$AY$1,0),FALSE)</f>
        <v>90.240750000000006</v>
      </c>
      <c r="C27" s="23">
        <f>(Table13456789101112131415161734[[#This Row],[FRA]]-B26)/B26</f>
        <v>1.0639513123085396E-2</v>
      </c>
      <c r="D27" s="24">
        <f>(Table13456789101112131415161734[[#This Row],[FRA]]-B15)/B15</f>
        <v>-1.1176873828357326E-2</v>
      </c>
    </row>
    <row r="28" spans="1:4" x14ac:dyDescent="0.2">
      <c r="A28" s="22">
        <v>33909</v>
      </c>
      <c r="B28" s="92">
        <f>VLOOKUP(A28,Database!$E:$AY,MATCH($B$4,Database!$E$1:$AY$1,0),FALSE)</f>
        <v>89.070740000000001</v>
      </c>
      <c r="C28" s="23">
        <f>(Table13456789101112131415161734[[#This Row],[FRA]]-B27)/B27</f>
        <v>-1.2965428589633893E-2</v>
      </c>
      <c r="D28" s="24">
        <f>(Table13456789101112131415161734[[#This Row],[FRA]]-B16)/B16</f>
        <v>-3.936582925271221E-2</v>
      </c>
    </row>
    <row r="29" spans="1:4" x14ac:dyDescent="0.2">
      <c r="A29" s="22">
        <v>33939</v>
      </c>
      <c r="B29" s="92">
        <f>VLOOKUP(A29,Database!$E:$AY,MATCH($B$4,Database!$E$1:$AY$1,0),FALSE)</f>
        <v>87.88073</v>
      </c>
      <c r="C29" s="23">
        <f>(Table13456789101112131415161734[[#This Row],[FRA]]-B28)/B28</f>
        <v>-1.3360279705770951E-2</v>
      </c>
      <c r="D29" s="24">
        <f>(Table13456789101112131415161734[[#This Row],[FRA]]-B17)/B17</f>
        <v>-4.3639099295728977E-2</v>
      </c>
    </row>
    <row r="30" spans="1:4" x14ac:dyDescent="0.2">
      <c r="A30" s="22">
        <v>33970</v>
      </c>
      <c r="B30" s="92">
        <f>VLOOKUP(A30,Database!$E:$AY,MATCH($B$4,Database!$E$1:$AY$1,0),FALSE)</f>
        <v>87.790729999999996</v>
      </c>
      <c r="C30" s="23">
        <f>(Table13456789101112131415161734[[#This Row],[FRA]]-B29)/B29</f>
        <v>-1.0241152980864339E-3</v>
      </c>
      <c r="D30" s="24">
        <f>(Table13456789101112131415161734[[#This Row],[FRA]]-B18)/B18</f>
        <v>-4.7210805813756571E-2</v>
      </c>
    </row>
    <row r="31" spans="1:4" x14ac:dyDescent="0.2">
      <c r="A31" s="22">
        <v>34001</v>
      </c>
      <c r="B31" s="92">
        <f>VLOOKUP(A31,Database!$E:$AY,MATCH($B$4,Database!$E$1:$AY$1,0),FALSE)</f>
        <v>87.930729999999997</v>
      </c>
      <c r="C31" s="23">
        <f>(Table13456789101112131415161734[[#This Row],[FRA]]-B30)/B30</f>
        <v>1.5947013995669084E-3</v>
      </c>
      <c r="D31" s="24">
        <f>(Table13456789101112131415161734[[#This Row],[FRA]]-B19)/B19</f>
        <v>-3.8490986843630448E-2</v>
      </c>
    </row>
    <row r="32" spans="1:4" x14ac:dyDescent="0.2">
      <c r="A32" s="22">
        <v>34029</v>
      </c>
      <c r="B32" s="92">
        <f>VLOOKUP(A32,Database!$E:$AY,MATCH($B$4,Database!$E$1:$AY$1,0),FALSE)</f>
        <v>87.490729999999999</v>
      </c>
      <c r="C32" s="23">
        <f>(Table13456789101112131415161734[[#This Row],[FRA]]-B31)/B31</f>
        <v>-5.0039388959923084E-3</v>
      </c>
      <c r="D32" s="24">
        <f>(Table13456789101112131415161734[[#This Row],[FRA]]-B20)/B20</f>
        <v>-5.2523278720764476E-2</v>
      </c>
    </row>
    <row r="33" spans="1:4" x14ac:dyDescent="0.2">
      <c r="A33" s="22">
        <v>34060</v>
      </c>
      <c r="B33" s="92">
        <f>VLOOKUP(A33,Database!$E:$AY,MATCH($B$4,Database!$E$1:$AY$1,0),FALSE)</f>
        <v>86.900729999999996</v>
      </c>
      <c r="C33" s="23">
        <f>(Table13456789101112131415161734[[#This Row],[FRA]]-B32)/B32</f>
        <v>-6.7435715760973012E-3</v>
      </c>
      <c r="D33" s="24">
        <f>(Table13456789101112131415161734[[#This Row],[FRA]]-B21)/B21</f>
        <v>-5.2241245220211417E-2</v>
      </c>
    </row>
    <row r="34" spans="1:4" x14ac:dyDescent="0.2">
      <c r="A34" s="22">
        <v>34090</v>
      </c>
      <c r="B34" s="92">
        <f>VLOOKUP(A34,Database!$E:$AY,MATCH($B$4,Database!$E$1:$AY$1,0),FALSE)</f>
        <v>86.830730000000003</v>
      </c>
      <c r="C34" s="23">
        <f>(Table13456789101112131415161734[[#This Row],[FRA]]-B33)/B33</f>
        <v>-8.0551682362154135E-4</v>
      </c>
      <c r="D34" s="24">
        <f>(Table13456789101112131415161734[[#This Row],[FRA]]-B22)/B22</f>
        <v>-5.3314320552947839E-2</v>
      </c>
    </row>
    <row r="35" spans="1:4" x14ac:dyDescent="0.2">
      <c r="A35" s="22">
        <v>34121</v>
      </c>
      <c r="B35" s="92">
        <f>VLOOKUP(A35,Database!$E:$AY,MATCH($B$4,Database!$E$1:$AY$1,0),FALSE)</f>
        <v>86.160719999999998</v>
      </c>
      <c r="C35" s="23">
        <f>(Table13456789101112131415161734[[#This Row],[FRA]]-B34)/B34</f>
        <v>-7.7162774054762044E-3</v>
      </c>
      <c r="D35" s="24">
        <f>(Table13456789101112131415161734[[#This Row],[FRA]]-B23)/B23</f>
        <v>-4.932133961155577E-2</v>
      </c>
    </row>
    <row r="36" spans="1:4" x14ac:dyDescent="0.2">
      <c r="A36" s="22">
        <v>34151</v>
      </c>
      <c r="B36" s="92">
        <f>VLOOKUP(A36,Database!$E:$AY,MATCH($B$4,Database!$E$1:$AY$1,0),FALSE)</f>
        <v>87.330730000000003</v>
      </c>
      <c r="C36" s="23">
        <f>(Table13456789101112131415161734[[#This Row],[FRA]]-B35)/B35</f>
        <v>1.3579389772973171E-2</v>
      </c>
      <c r="D36" s="24">
        <f>(Table13456789101112131415161734[[#This Row],[FRA]]-B24)/B24</f>
        <v>-3.2676068818657297E-2</v>
      </c>
    </row>
    <row r="37" spans="1:4" x14ac:dyDescent="0.2">
      <c r="A37" s="22">
        <v>34182</v>
      </c>
      <c r="B37" s="92">
        <f>VLOOKUP(A37,Database!$E:$AY,MATCH($B$4,Database!$E$1:$AY$1,0),FALSE)</f>
        <v>86.700720000000004</v>
      </c>
      <c r="C37" s="23">
        <f>(Table13456789101112131415161734[[#This Row],[FRA]]-B36)/B36</f>
        <v>-7.2140700072013441E-3</v>
      </c>
      <c r="D37" s="24">
        <f>(Table13456789101112131415161734[[#This Row],[FRA]]-B25)/B25</f>
        <v>-4.2623653183084226E-2</v>
      </c>
    </row>
    <row r="38" spans="1:4" x14ac:dyDescent="0.2">
      <c r="A38" s="22">
        <v>34213</v>
      </c>
      <c r="B38" s="92">
        <f>VLOOKUP(A38,Database!$E:$AY,MATCH($B$4,Database!$E$1:$AY$1,0),FALSE)</f>
        <v>87.280720000000002</v>
      </c>
      <c r="C38" s="23">
        <f>(Table13456789101112131415161734[[#This Row],[FRA]]-B37)/B37</f>
        <v>6.6896791629873229E-3</v>
      </c>
      <c r="D38" s="24">
        <f>(Table13456789101112131415161734[[#This Row],[FRA]]-B26)/B26</f>
        <v>-2.2510956903257797E-2</v>
      </c>
    </row>
    <row r="39" spans="1:4" x14ac:dyDescent="0.2">
      <c r="A39" s="22">
        <v>34243</v>
      </c>
      <c r="B39" s="92">
        <f>VLOOKUP(A39,Database!$E:$AY,MATCH($B$4,Database!$E$1:$AY$1,0),FALSE)</f>
        <v>87.670730000000006</v>
      </c>
      <c r="C39" s="23">
        <f>(Table13456789101112131415161734[[#This Row],[FRA]]-B38)/B38</f>
        <v>4.4684553472978195E-3</v>
      </c>
      <c r="D39" s="24">
        <f>(Table13456789101112131415161734[[#This Row],[FRA]]-B27)/B27</f>
        <v>-2.8479594861523197E-2</v>
      </c>
    </row>
    <row r="40" spans="1:4" x14ac:dyDescent="0.2">
      <c r="A40" s="22">
        <v>34274</v>
      </c>
      <c r="B40" s="92">
        <f>VLOOKUP(A40,Database!$E:$AY,MATCH($B$4,Database!$E$1:$AY$1,0),FALSE)</f>
        <v>87.050730000000001</v>
      </c>
      <c r="C40" s="23">
        <f>(Table13456789101112131415161734[[#This Row],[FRA]]-B39)/B39</f>
        <v>-7.0719155640657323E-3</v>
      </c>
      <c r="D40" s="24">
        <f>(Table13456789101112131415161734[[#This Row],[FRA]]-B28)/B28</f>
        <v>-2.2678715816215281E-2</v>
      </c>
    </row>
    <row r="41" spans="1:4" x14ac:dyDescent="0.2">
      <c r="A41" s="22">
        <v>34304</v>
      </c>
      <c r="B41" s="92">
        <f>VLOOKUP(A41,Database!$E:$AY,MATCH($B$4,Database!$E$1:$AY$1,0),FALSE)</f>
        <v>86.270719999999997</v>
      </c>
      <c r="C41" s="23">
        <f>(Table13456789101112131415161734[[#This Row],[FRA]]-B40)/B40</f>
        <v>-8.9604073394904827E-3</v>
      </c>
      <c r="D41" s="24">
        <f>(Table13456789101112131415161734[[#This Row],[FRA]]-B29)/B29</f>
        <v>-1.832039856746755E-2</v>
      </c>
    </row>
    <row r="42" spans="1:4" x14ac:dyDescent="0.2">
      <c r="A42" s="22">
        <v>34335</v>
      </c>
      <c r="B42" s="92">
        <f>VLOOKUP(A42,Database!$E:$AY,MATCH($B$4,Database!$E$1:$AY$1,0),FALSE)</f>
        <v>87.88073</v>
      </c>
      <c r="C42" s="23">
        <f>(Table13456789101112131415161734[[#This Row],[FRA]]-B41)/B41</f>
        <v>1.8662299329366937E-2</v>
      </c>
      <c r="D42" s="24">
        <f>(Table13456789101112131415161734[[#This Row],[FRA]]-B30)/B30</f>
        <v>1.0251651854359045E-3</v>
      </c>
    </row>
    <row r="43" spans="1:4" x14ac:dyDescent="0.2">
      <c r="A43" s="22">
        <v>34366</v>
      </c>
      <c r="B43" s="92">
        <f>VLOOKUP(A43,Database!$E:$AY,MATCH($B$4,Database!$E$1:$AY$1,0),FALSE)</f>
        <v>87.610730000000004</v>
      </c>
      <c r="C43" s="23">
        <f>(Table13456789101112131415161734[[#This Row],[FRA]]-B42)/B42</f>
        <v>-3.07234589425914E-3</v>
      </c>
      <c r="D43" s="24">
        <f>(Table13456789101112131415161734[[#This Row],[FRA]]-B31)/B31</f>
        <v>-3.6392282879943471E-3</v>
      </c>
    </row>
    <row r="44" spans="1:4" x14ac:dyDescent="0.2">
      <c r="A44" s="22">
        <v>34394</v>
      </c>
      <c r="B44" s="92">
        <f>VLOOKUP(A44,Database!$E:$AY,MATCH($B$4,Database!$E$1:$AY$1,0),FALSE)</f>
        <v>87.550730000000001</v>
      </c>
      <c r="C44" s="23">
        <f>(Table13456789101112131415161734[[#This Row],[FRA]]-B43)/B43</f>
        <v>-6.8484762083368409E-4</v>
      </c>
      <c r="D44" s="24">
        <f>(Table13456789101112131415161734[[#This Row],[FRA]]-B32)/B32</f>
        <v>6.8578693994212042E-4</v>
      </c>
    </row>
    <row r="45" spans="1:4" x14ac:dyDescent="0.2">
      <c r="A45" s="22">
        <v>34425</v>
      </c>
      <c r="B45" s="92">
        <f>VLOOKUP(A45,Database!$E:$AY,MATCH($B$4,Database!$E$1:$AY$1,0),FALSE)</f>
        <v>90.010750000000002</v>
      </c>
      <c r="C45" s="23">
        <f>(Table13456789101112131415161734[[#This Row],[FRA]]-B44)/B44</f>
        <v>2.8098223738397154E-2</v>
      </c>
      <c r="D45" s="24">
        <f>(Table13456789101112131415161734[[#This Row],[FRA]]-B33)/B33</f>
        <v>3.5788191882853065E-2</v>
      </c>
    </row>
    <row r="46" spans="1:4" x14ac:dyDescent="0.2">
      <c r="A46" s="22">
        <v>34455</v>
      </c>
      <c r="B46" s="92">
        <f>VLOOKUP(A46,Database!$E:$AY,MATCH($B$4,Database!$E$1:$AY$1,0),FALSE)</f>
        <v>89.910749999999993</v>
      </c>
      <c r="C46" s="23">
        <f>(Table13456789101112131415161734[[#This Row],[FRA]]-B45)/B45</f>
        <v>-1.1109784109121247E-3</v>
      </c>
      <c r="D46" s="24">
        <f>(Table13456789101112131415161734[[#This Row],[FRA]]-B34)/B34</f>
        <v>3.5471543311912615E-2</v>
      </c>
    </row>
    <row r="47" spans="1:4" x14ac:dyDescent="0.2">
      <c r="A47" s="22">
        <v>34486</v>
      </c>
      <c r="B47" s="92">
        <f>VLOOKUP(A47,Database!$E:$AY,MATCH($B$4,Database!$E$1:$AY$1,0),FALSE)</f>
        <v>90.420749999999998</v>
      </c>
      <c r="C47" s="23">
        <f>(Table13456789101112131415161734[[#This Row],[FRA]]-B46)/B46</f>
        <v>5.6722916892585724E-3</v>
      </c>
      <c r="D47" s="24">
        <f>(Table13456789101112131415161734[[#This Row],[FRA]]-B35)/B35</f>
        <v>4.9442831954050533E-2</v>
      </c>
    </row>
    <row r="48" spans="1:4" x14ac:dyDescent="0.2">
      <c r="A48" s="22">
        <v>34516</v>
      </c>
      <c r="B48" s="92">
        <f>VLOOKUP(A48,Database!$E:$AY,MATCH($B$4,Database!$E$1:$AY$1,0),FALSE)</f>
        <v>91.210759999999993</v>
      </c>
      <c r="C48" s="23">
        <f>(Table13456789101112131415161734[[#This Row],[FRA]]-B47)/B47</f>
        <v>8.7370432118733278E-3</v>
      </c>
      <c r="D48" s="24">
        <f>(Table13456789101112131415161734[[#This Row],[FRA]]-B36)/B36</f>
        <v>4.4429148823100305E-2</v>
      </c>
    </row>
    <row r="49" spans="1:4" x14ac:dyDescent="0.2">
      <c r="A49" s="22">
        <v>34547</v>
      </c>
      <c r="B49" s="92">
        <f>VLOOKUP(A49,Database!$E:$AY,MATCH($B$4,Database!$E$1:$AY$1,0),FALSE)</f>
        <v>91.710759999999993</v>
      </c>
      <c r="C49" s="23">
        <f>(Table13456789101112131415161734[[#This Row],[FRA]]-B48)/B48</f>
        <v>5.481809383015776E-3</v>
      </c>
      <c r="D49" s="24">
        <f>(Table13456789101112131415161734[[#This Row],[FRA]]-B37)/B37</f>
        <v>5.7785448609884542E-2</v>
      </c>
    </row>
    <row r="50" spans="1:4" x14ac:dyDescent="0.2">
      <c r="A50" s="22">
        <v>34578</v>
      </c>
      <c r="B50" s="92">
        <f>VLOOKUP(A50,Database!$E:$AY,MATCH($B$4,Database!$E$1:$AY$1,0),FALSE)</f>
        <v>91.400760000000005</v>
      </c>
      <c r="C50" s="23">
        <f>(Table13456789101112131415161734[[#This Row],[FRA]]-B49)/B49</f>
        <v>-3.3801922478887765E-3</v>
      </c>
      <c r="D50" s="24">
        <f>(Table13456789101112131415161734[[#This Row],[FRA]]-B38)/B38</f>
        <v>4.7204468524091034E-2</v>
      </c>
    </row>
    <row r="51" spans="1:4" x14ac:dyDescent="0.2">
      <c r="A51" s="22">
        <v>34608</v>
      </c>
      <c r="B51" s="92">
        <f>VLOOKUP(A51,Database!$E:$AY,MATCH($B$4,Database!$E$1:$AY$1,0),FALSE)</f>
        <v>92.290769999999995</v>
      </c>
      <c r="C51" s="23">
        <f>(Table13456789101112131415161734[[#This Row],[FRA]]-B50)/B50</f>
        <v>9.7374463844719615E-3</v>
      </c>
      <c r="D51" s="24">
        <f>(Table13456789101112131415161734[[#This Row],[FRA]]-B39)/B39</f>
        <v>5.2697633520332139E-2</v>
      </c>
    </row>
    <row r="52" spans="1:4" x14ac:dyDescent="0.2">
      <c r="A52" s="22">
        <v>34639</v>
      </c>
      <c r="B52" s="92">
        <f>VLOOKUP(A52,Database!$E:$AY,MATCH($B$4,Database!$E$1:$AY$1,0),FALSE)</f>
        <v>93.10078</v>
      </c>
      <c r="C52" s="23">
        <f>(Table13456789101112131415161734[[#This Row],[FRA]]-B51)/B51</f>
        <v>8.7767173250370058E-3</v>
      </c>
      <c r="D52" s="24">
        <f>(Table13456789101112131415161734[[#This Row],[FRA]]-B40)/B40</f>
        <v>6.9500278745508501E-2</v>
      </c>
    </row>
    <row r="53" spans="1:4" x14ac:dyDescent="0.2">
      <c r="A53" s="22">
        <v>34669</v>
      </c>
      <c r="B53" s="92">
        <f>VLOOKUP(A53,Database!$E:$AY,MATCH($B$4,Database!$E$1:$AY$1,0),FALSE)</f>
        <v>92.96078</v>
      </c>
      <c r="C53" s="23">
        <f>(Table13456789101112131415161734[[#This Row],[FRA]]-B52)/B52</f>
        <v>-1.5037467999731106E-3</v>
      </c>
      <c r="D53" s="24">
        <f>(Table13456789101112131415161734[[#This Row],[FRA]]-B41)/B41</f>
        <v>7.7547283713408244E-2</v>
      </c>
    </row>
    <row r="54" spans="1:4" x14ac:dyDescent="0.2">
      <c r="A54" s="22">
        <v>34700</v>
      </c>
      <c r="B54" s="92">
        <f>VLOOKUP(A54,Database!$E:$AY,MATCH($B$4,Database!$E$1:$AY$1,0),FALSE)</f>
        <v>93.630780000000001</v>
      </c>
      <c r="C54" s="23">
        <f>(Table13456789101112131415161734[[#This Row],[FRA]]-B53)/B53</f>
        <v>7.2073405580288987E-3</v>
      </c>
      <c r="D54" s="24">
        <f>(Table13456789101112131415161734[[#This Row],[FRA]]-B42)/B42</f>
        <v>6.5430157441796422E-2</v>
      </c>
    </row>
    <row r="55" spans="1:4" x14ac:dyDescent="0.2">
      <c r="A55" s="22">
        <v>34731</v>
      </c>
      <c r="B55" s="92">
        <f>VLOOKUP(A55,Database!$E:$AY,MATCH($B$4,Database!$E$1:$AY$1,0),FALSE)</f>
        <v>93.000780000000006</v>
      </c>
      <c r="C55" s="23">
        <f>(Table13456789101112131415161734[[#This Row],[FRA]]-B54)/B54</f>
        <v>-6.7285565708199314E-3</v>
      </c>
      <c r="D55" s="24">
        <f>(Table13456789101112131415161734[[#This Row],[FRA]]-B43)/B43</f>
        <v>6.1522715311241011E-2</v>
      </c>
    </row>
    <row r="56" spans="1:4" x14ac:dyDescent="0.2">
      <c r="A56" s="22">
        <v>34759</v>
      </c>
      <c r="B56" s="92">
        <f>VLOOKUP(A56,Database!$E:$AY,MATCH($B$4,Database!$E$1:$AY$1,0),FALSE)</f>
        <v>93.780779999999993</v>
      </c>
      <c r="C56" s="23">
        <f>(Table13456789101112131415161734[[#This Row],[FRA]]-B55)/B55</f>
        <v>8.3870264313910797E-3</v>
      </c>
      <c r="D56" s="24">
        <f>(Table13456789101112131415161734[[#This Row],[FRA]]-B44)/B44</f>
        <v>7.1159315290689085E-2</v>
      </c>
    </row>
    <row r="57" spans="1:4" x14ac:dyDescent="0.2">
      <c r="A57" s="22">
        <v>34790</v>
      </c>
      <c r="B57" s="92">
        <f>VLOOKUP(A57,Database!$E:$AY,MATCH($B$4,Database!$E$1:$AY$1,0),FALSE)</f>
        <v>93.820790000000002</v>
      </c>
      <c r="C57" s="23">
        <f>(Table13456789101112131415161734[[#This Row],[FRA]]-B56)/B56</f>
        <v>4.2663326110114921E-4</v>
      </c>
      <c r="D57" s="24">
        <f>(Table13456789101112131415161734[[#This Row],[FRA]]-B45)/B45</f>
        <v>4.2328721847112713E-2</v>
      </c>
    </row>
    <row r="58" spans="1:4" x14ac:dyDescent="0.2">
      <c r="A58" s="22">
        <v>34820</v>
      </c>
      <c r="B58" s="92">
        <f>VLOOKUP(A58,Database!$E:$AY,MATCH($B$4,Database!$E$1:$AY$1,0),FALSE)</f>
        <v>93.360780000000005</v>
      </c>
      <c r="C58" s="23">
        <f>(Table13456789101112131415161734[[#This Row],[FRA]]-B57)/B57</f>
        <v>-4.9030710570652511E-3</v>
      </c>
      <c r="D58" s="24">
        <f>(Table13456789101112131415161734[[#This Row],[FRA]]-B46)/B46</f>
        <v>3.8371718620965931E-2</v>
      </c>
    </row>
    <row r="59" spans="1:4" x14ac:dyDescent="0.2">
      <c r="A59" s="22">
        <v>34851</v>
      </c>
      <c r="B59" s="92">
        <f>VLOOKUP(A59,Database!$E:$AY,MATCH($B$4,Database!$E$1:$AY$1,0),FALSE)</f>
        <v>93.970780000000005</v>
      </c>
      <c r="C59" s="23">
        <f>(Table13456789101112131415161734[[#This Row],[FRA]]-B58)/B58</f>
        <v>6.5337928839069191E-3</v>
      </c>
      <c r="D59" s="24">
        <f>(Table13456789101112131415161734[[#This Row],[FRA]]-B47)/B47</f>
        <v>3.9261231520419888E-2</v>
      </c>
    </row>
    <row r="60" spans="1:4" x14ac:dyDescent="0.2">
      <c r="A60" s="22">
        <v>34881</v>
      </c>
      <c r="B60" s="92">
        <f>VLOOKUP(A60,Database!$E:$AY,MATCH($B$4,Database!$E$1:$AY$1,0),FALSE)</f>
        <v>94.410790000000006</v>
      </c>
      <c r="C60" s="23">
        <f>(Table13456789101112131415161734[[#This Row],[FRA]]-B59)/B59</f>
        <v>4.6824129798646013E-3</v>
      </c>
      <c r="D60" s="24">
        <f>(Table13456789101112131415161734[[#This Row],[FRA]]-B48)/B48</f>
        <v>3.5083908959864081E-2</v>
      </c>
    </row>
    <row r="61" spans="1:4" x14ac:dyDescent="0.2">
      <c r="A61" s="22">
        <v>34912</v>
      </c>
      <c r="B61" s="92">
        <f>VLOOKUP(A61,Database!$E:$AY,MATCH($B$4,Database!$E$1:$AY$1,0),FALSE)</f>
        <v>93.840779999999995</v>
      </c>
      <c r="C61" s="23">
        <f>(Table13456789101112131415161734[[#This Row],[FRA]]-B60)/B60</f>
        <v>-6.0375514281790308E-3</v>
      </c>
      <c r="D61" s="24">
        <f>(Table13456789101112131415161734[[#This Row],[FRA]]-B49)/B49</f>
        <v>2.3225409973704307E-2</v>
      </c>
    </row>
    <row r="62" spans="1:4" x14ac:dyDescent="0.2">
      <c r="A62" s="22">
        <v>34943</v>
      </c>
      <c r="B62" s="92">
        <f>VLOOKUP(A62,Database!$E:$AY,MATCH($B$4,Database!$E$1:$AY$1,0),FALSE)</f>
        <v>93.980779999999996</v>
      </c>
      <c r="C62" s="23">
        <f>(Table13456789101112131415161734[[#This Row],[FRA]]-B61)/B61</f>
        <v>1.4918887076599383E-3</v>
      </c>
      <c r="D62" s="24">
        <f>(Table13456789101112131415161734[[#This Row],[FRA]]-B50)/B50</f>
        <v>2.822755521945321E-2</v>
      </c>
    </row>
    <row r="63" spans="1:4" x14ac:dyDescent="0.2">
      <c r="A63" s="22">
        <v>34973</v>
      </c>
      <c r="B63" s="92">
        <f>VLOOKUP(A63,Database!$E:$AY,MATCH($B$4,Database!$E$1:$AY$1,0),FALSE)</f>
        <v>92.170770000000005</v>
      </c>
      <c r="C63" s="23">
        <f>(Table13456789101112131415161734[[#This Row],[FRA]]-B62)/B62</f>
        <v>-1.9259363457081239E-2</v>
      </c>
      <c r="D63" s="24">
        <f>(Table13456789101112131415161734[[#This Row],[FRA]]-B51)/B51</f>
        <v>-1.3002383661983787E-3</v>
      </c>
    </row>
    <row r="64" spans="1:4" x14ac:dyDescent="0.2">
      <c r="A64" s="22">
        <v>35004</v>
      </c>
      <c r="B64" s="92">
        <f>VLOOKUP(A64,Database!$E:$AY,MATCH($B$4,Database!$E$1:$AY$1,0),FALSE)</f>
        <v>92.130769999999998</v>
      </c>
      <c r="C64" s="23">
        <f>(Table13456789101112131415161734[[#This Row],[FRA]]-B63)/B63</f>
        <v>-4.3397706235942534E-4</v>
      </c>
      <c r="D64" s="24">
        <f>(Table13456789101112131415161734[[#This Row],[FRA]]-B52)/B52</f>
        <v>-1.0418924524585101E-2</v>
      </c>
    </row>
    <row r="65" spans="1:4" x14ac:dyDescent="0.2">
      <c r="A65" s="22">
        <v>35034</v>
      </c>
      <c r="B65" s="92">
        <f>VLOOKUP(A65,Database!$E:$AY,MATCH($B$4,Database!$E$1:$AY$1,0),FALSE)</f>
        <v>94.090779999999995</v>
      </c>
      <c r="C65" s="23">
        <f>(Table13456789101112131415161734[[#This Row],[FRA]]-B64)/B64</f>
        <v>2.1274217072103023E-2</v>
      </c>
      <c r="D65" s="24">
        <f>(Table13456789101112131415161734[[#This Row],[FRA]]-B53)/B53</f>
        <v>1.2155663926227765E-2</v>
      </c>
    </row>
    <row r="66" spans="1:4" x14ac:dyDescent="0.2">
      <c r="A66" s="22">
        <v>35065</v>
      </c>
      <c r="B66" s="92">
        <f>VLOOKUP(A66,Database!$E:$AY,MATCH($B$4,Database!$E$1:$AY$1,0),FALSE)</f>
        <v>93.260779999999997</v>
      </c>
      <c r="C66" s="23">
        <f>(Table13456789101112131415161734[[#This Row],[FRA]]-B65)/B65</f>
        <v>-8.8212681412567565E-3</v>
      </c>
      <c r="D66" s="24">
        <f>(Table13456789101112131415161734[[#This Row],[FRA]]-B54)/B54</f>
        <v>-3.9516919542911481E-3</v>
      </c>
    </row>
    <row r="67" spans="1:4" x14ac:dyDescent="0.2">
      <c r="A67" s="22">
        <v>35096</v>
      </c>
      <c r="B67" s="92">
        <f>VLOOKUP(A67,Database!$E:$AY,MATCH($B$4,Database!$E$1:$AY$1,0),FALSE)</f>
        <v>93.530779999999993</v>
      </c>
      <c r="C67" s="23">
        <f>(Table13456789101112131415161734[[#This Row],[FRA]]-B66)/B66</f>
        <v>2.8951076754879816E-3</v>
      </c>
      <c r="D67" s="24">
        <f>(Table13456789101112131415161734[[#This Row],[FRA]]-B55)/B55</f>
        <v>5.6988769341503034E-3</v>
      </c>
    </row>
    <row r="68" spans="1:4" x14ac:dyDescent="0.2">
      <c r="A68" s="22">
        <v>35125</v>
      </c>
      <c r="B68" s="92">
        <f>VLOOKUP(A68,Database!$E:$AY,MATCH($B$4,Database!$E$1:$AY$1,0),FALSE)</f>
        <v>94.180790000000002</v>
      </c>
      <c r="C68" s="23">
        <f>(Table13456789101112131415161734[[#This Row],[FRA]]-B67)/B67</f>
        <v>6.9496907862845675E-3</v>
      </c>
      <c r="D68" s="24">
        <f>(Table13456789101112131415161734[[#This Row],[FRA]]-B56)/B56</f>
        <v>4.2653729260943331E-3</v>
      </c>
    </row>
    <row r="69" spans="1:4" x14ac:dyDescent="0.2">
      <c r="A69" s="22">
        <v>35156</v>
      </c>
      <c r="B69" s="92">
        <f>VLOOKUP(A69,Database!$E:$AY,MATCH($B$4,Database!$E$1:$AY$1,0),FALSE)</f>
        <v>93.260779999999997</v>
      </c>
      <c r="C69" s="23">
        <f>(Table13456789101112131415161734[[#This Row],[FRA]]-B68)/B68</f>
        <v>-9.7685525891214632E-3</v>
      </c>
      <c r="D69" s="24">
        <f>(Table13456789101112131415161734[[#This Row],[FRA]]-B57)/B57</f>
        <v>-5.9689328985612407E-3</v>
      </c>
    </row>
    <row r="70" spans="1:4" x14ac:dyDescent="0.2">
      <c r="A70" s="22">
        <v>35186</v>
      </c>
      <c r="B70" s="92">
        <f>VLOOKUP(A70,Database!$E:$AY,MATCH($B$4,Database!$E$1:$AY$1,0),FALSE)</f>
        <v>95.110789999999994</v>
      </c>
      <c r="C70" s="23">
        <f>(Table13456789101112131415161734[[#This Row],[FRA]]-B69)/B69</f>
        <v>1.9836956113813305E-2</v>
      </c>
      <c r="D70" s="24">
        <f>(Table13456789101112131415161734[[#This Row],[FRA]]-B58)/B58</f>
        <v>1.8744594893058828E-2</v>
      </c>
    </row>
    <row r="71" spans="1:4" x14ac:dyDescent="0.2">
      <c r="A71" s="22">
        <v>35217</v>
      </c>
      <c r="B71" s="92">
        <f>VLOOKUP(A71,Database!$E:$AY,MATCH($B$4,Database!$E$1:$AY$1,0),FALSE)</f>
        <v>94.35078</v>
      </c>
      <c r="C71" s="23">
        <f>(Table13456789101112131415161734[[#This Row],[FRA]]-B70)/B70</f>
        <v>-7.9907863240332045E-3</v>
      </c>
      <c r="D71" s="24">
        <f>(Table13456789101112131415161734[[#This Row],[FRA]]-B59)/B59</f>
        <v>4.0438102141963214E-3</v>
      </c>
    </row>
    <row r="72" spans="1:4" x14ac:dyDescent="0.2">
      <c r="A72" s="22">
        <v>35247</v>
      </c>
      <c r="B72" s="92">
        <f>VLOOKUP(A72,Database!$E:$AY,MATCH($B$4,Database!$E$1:$AY$1,0),FALSE)</f>
        <v>92.700779999999995</v>
      </c>
      <c r="C72" s="23">
        <f>(Table13456789101112131415161734[[#This Row],[FRA]]-B71)/B71</f>
        <v>-1.7487931737289353E-2</v>
      </c>
      <c r="D72" s="24">
        <f>(Table13456789101112131415161734[[#This Row],[FRA]]-B60)/B60</f>
        <v>-1.8112442444343606E-2</v>
      </c>
    </row>
    <row r="73" spans="1:4" x14ac:dyDescent="0.2">
      <c r="A73" s="22">
        <v>35278</v>
      </c>
      <c r="B73" s="92">
        <f>VLOOKUP(A73,Database!$E:$AY,MATCH($B$4,Database!$E$1:$AY$1,0),FALSE)</f>
        <v>94.750789999999995</v>
      </c>
      <c r="C73" s="23">
        <f>(Table13456789101112131415161734[[#This Row],[FRA]]-B72)/B72</f>
        <v>2.2114269157174304E-2</v>
      </c>
      <c r="D73" s="24">
        <f>(Table13456789101112131415161734[[#This Row],[FRA]]-B61)/B61</f>
        <v>9.697383163268675E-3</v>
      </c>
    </row>
    <row r="74" spans="1:4" x14ac:dyDescent="0.2">
      <c r="A74" s="22">
        <v>35309</v>
      </c>
      <c r="B74" s="92">
        <f>VLOOKUP(A74,Database!$E:$AY,MATCH($B$4,Database!$E$1:$AY$1,0),FALSE)</f>
        <v>94.840789999999998</v>
      </c>
      <c r="C74" s="23">
        <f>(Table13456789101112131415161734[[#This Row],[FRA]]-B73)/B73</f>
        <v>9.4986015420033345E-4</v>
      </c>
      <c r="D74" s="24">
        <f>(Table13456789101112131415161734[[#This Row],[FRA]]-B62)/B62</f>
        <v>9.1509136229769809E-3</v>
      </c>
    </row>
    <row r="75" spans="1:4" x14ac:dyDescent="0.2">
      <c r="A75" s="22">
        <v>35339</v>
      </c>
      <c r="B75" s="92">
        <f>VLOOKUP(A75,Database!$E:$AY,MATCH($B$4,Database!$E$1:$AY$1,0),FALSE)</f>
        <v>93.870779999999996</v>
      </c>
      <c r="C75" s="23">
        <f>(Table13456789101112131415161734[[#This Row],[FRA]]-B74)/B74</f>
        <v>-1.0227772248628485E-2</v>
      </c>
      <c r="D75" s="24">
        <f>(Table13456789101112131415161734[[#This Row],[FRA]]-B63)/B63</f>
        <v>1.8444133644538195E-2</v>
      </c>
    </row>
    <row r="76" spans="1:4" x14ac:dyDescent="0.2">
      <c r="A76" s="22">
        <v>35370</v>
      </c>
      <c r="B76" s="92">
        <f>VLOOKUP(A76,Database!$E:$AY,MATCH($B$4,Database!$E$1:$AY$1,0),FALSE)</f>
        <v>95.040790000000001</v>
      </c>
      <c r="C76" s="23">
        <f>(Table13456789101112131415161734[[#This Row],[FRA]]-B75)/B75</f>
        <v>1.2464048983080837E-2</v>
      </c>
      <c r="D76" s="24">
        <f>(Table13456789101112131415161734[[#This Row],[FRA]]-B64)/B64</f>
        <v>3.158575576867536E-2</v>
      </c>
    </row>
    <row r="77" spans="1:4" x14ac:dyDescent="0.2">
      <c r="A77" s="22">
        <v>35400</v>
      </c>
      <c r="B77" s="92">
        <f>VLOOKUP(A77,Database!$E:$AY,MATCH($B$4,Database!$E$1:$AY$1,0),FALSE)</f>
        <v>95.190799999999996</v>
      </c>
      <c r="C77" s="23">
        <f>(Table13456789101112131415161734[[#This Row],[FRA]]-B76)/B76</f>
        <v>1.5783749272285578E-3</v>
      </c>
      <c r="D77" s="24">
        <f>(Table13456789101112131415161734[[#This Row],[FRA]]-B65)/B65</f>
        <v>1.1691049856319618E-2</v>
      </c>
    </row>
    <row r="78" spans="1:4" x14ac:dyDescent="0.2">
      <c r="A78" s="22">
        <v>35431</v>
      </c>
      <c r="B78" s="92">
        <f>VLOOKUP(A78,Database!$E:$AY,MATCH($B$4,Database!$E$1:$AY$1,0),FALSE)</f>
        <v>94.330789999999993</v>
      </c>
      <c r="C78" s="23">
        <f>(Table13456789101112131415161734[[#This Row],[FRA]]-B77)/B77</f>
        <v>-9.0345915781777503E-3</v>
      </c>
      <c r="D78" s="24">
        <f>(Table13456789101112131415161734[[#This Row],[FRA]]-B66)/B66</f>
        <v>1.1473311717959001E-2</v>
      </c>
    </row>
    <row r="79" spans="1:4" x14ac:dyDescent="0.2">
      <c r="A79" s="22">
        <v>35462</v>
      </c>
      <c r="B79" s="92">
        <f>VLOOKUP(A79,Database!$E:$AY,MATCH($B$4,Database!$E$1:$AY$1,0),FALSE)</f>
        <v>95.090789999999998</v>
      </c>
      <c r="C79" s="23">
        <f>(Table13456789101112131415161734[[#This Row],[FRA]]-B78)/B78</f>
        <v>8.0567543216801766E-3</v>
      </c>
      <c r="D79" s="24">
        <f>(Table13456789101112131415161734[[#This Row],[FRA]]-B67)/B67</f>
        <v>1.667910820373791E-2</v>
      </c>
    </row>
    <row r="80" spans="1:4" x14ac:dyDescent="0.2">
      <c r="A80" s="22">
        <v>35490</v>
      </c>
      <c r="B80" s="92">
        <f>VLOOKUP(A80,Database!$E:$AY,MATCH($B$4,Database!$E$1:$AY$1,0),FALSE)</f>
        <v>95.420789999999997</v>
      </c>
      <c r="C80" s="23">
        <f>(Table13456789101112131415161734[[#This Row],[FRA]]-B79)/B79</f>
        <v>3.4703676349728328E-3</v>
      </c>
      <c r="D80" s="24">
        <f>(Table13456789101112131415161734[[#This Row],[FRA]]-B68)/B68</f>
        <v>1.3166166900914664E-2</v>
      </c>
    </row>
    <row r="81" spans="1:4" x14ac:dyDescent="0.2">
      <c r="A81" s="22">
        <v>35521</v>
      </c>
      <c r="B81" s="92">
        <f>VLOOKUP(A81,Database!$E:$AY,MATCH($B$4,Database!$E$1:$AY$1,0),FALSE)</f>
        <v>98.770820000000001</v>
      </c>
      <c r="C81" s="23">
        <f>(Table13456789101112131415161734[[#This Row],[FRA]]-B80)/B80</f>
        <v>3.5107967561366908E-2</v>
      </c>
      <c r="D81" s="24">
        <f>(Table13456789101112131415161734[[#This Row],[FRA]]-B69)/B69</f>
        <v>5.9082070726837195E-2</v>
      </c>
    </row>
    <row r="82" spans="1:4" x14ac:dyDescent="0.2">
      <c r="A82" s="22">
        <v>35551</v>
      </c>
      <c r="B82" s="92">
        <f>VLOOKUP(A82,Database!$E:$AY,MATCH($B$4,Database!$E$1:$AY$1,0),FALSE)</f>
        <v>96.930809999999994</v>
      </c>
      <c r="C82" s="23">
        <f>(Table13456789101112131415161734[[#This Row],[FRA]]-B81)/B81</f>
        <v>-1.8629084986841321E-2</v>
      </c>
      <c r="D82" s="24">
        <f>(Table13456789101112131415161734[[#This Row],[FRA]]-B70)/B70</f>
        <v>1.9135788904707865E-2</v>
      </c>
    </row>
    <row r="83" spans="1:4" x14ac:dyDescent="0.2">
      <c r="A83" s="22">
        <v>35582</v>
      </c>
      <c r="B83" s="92">
        <f>VLOOKUP(A83,Database!$E:$AY,MATCH($B$4,Database!$E$1:$AY$1,0),FALSE)</f>
        <v>97.650810000000007</v>
      </c>
      <c r="C83" s="23">
        <f>(Table13456789101112131415161734[[#This Row],[FRA]]-B82)/B82</f>
        <v>7.4279787819787448E-3</v>
      </c>
      <c r="D83" s="24">
        <f>(Table13456789101112131415161734[[#This Row],[FRA]]-B71)/B71</f>
        <v>3.4976181436973883E-2</v>
      </c>
    </row>
    <row r="84" spans="1:4" x14ac:dyDescent="0.2">
      <c r="A84" s="22">
        <v>35612</v>
      </c>
      <c r="B84" s="92">
        <f>VLOOKUP(A84,Database!$E:$AY,MATCH($B$4,Database!$E$1:$AY$1,0),FALSE)</f>
        <v>97.820819999999998</v>
      </c>
      <c r="C84" s="23">
        <f>(Table13456789101112131415161734[[#This Row],[FRA]]-B83)/B83</f>
        <v>1.7409993834151571E-3</v>
      </c>
      <c r="D84" s="24">
        <f>(Table13456789101112131415161734[[#This Row],[FRA]]-B72)/B72</f>
        <v>5.5231897725132449E-2</v>
      </c>
    </row>
    <row r="85" spans="1:4" x14ac:dyDescent="0.2">
      <c r="A85" s="22">
        <v>35643</v>
      </c>
      <c r="B85" s="92">
        <f>VLOOKUP(A85,Database!$E:$AY,MATCH($B$4,Database!$E$1:$AY$1,0),FALSE)</f>
        <v>101.6108</v>
      </c>
      <c r="C85" s="23">
        <f>(Table13456789101112131415161734[[#This Row],[FRA]]-B84)/B84</f>
        <v>3.8744103760324236E-2</v>
      </c>
      <c r="D85" s="24">
        <f>(Table13456789101112131415161734[[#This Row],[FRA]]-B73)/B73</f>
        <v>7.2400557293506501E-2</v>
      </c>
    </row>
    <row r="86" spans="1:4" x14ac:dyDescent="0.2">
      <c r="A86" s="22">
        <v>35674</v>
      </c>
      <c r="B86" s="92">
        <f>VLOOKUP(A86,Database!$E:$AY,MATCH($B$4,Database!$E$1:$AY$1,0),FALSE)</f>
        <v>99.230829999999997</v>
      </c>
      <c r="C86" s="23">
        <f>(Table13456789101112131415161734[[#This Row],[FRA]]-B85)/B85</f>
        <v>-2.3422411790872625E-2</v>
      </c>
      <c r="D86" s="24">
        <f>(Table13456789101112131415161734[[#This Row],[FRA]]-B74)/B74</f>
        <v>4.6288522058915781E-2</v>
      </c>
    </row>
    <row r="87" spans="1:4" x14ac:dyDescent="0.2">
      <c r="A87" s="22">
        <v>35704</v>
      </c>
      <c r="B87" s="92">
        <f>VLOOKUP(A87,Database!$E:$AY,MATCH($B$4,Database!$E$1:$AY$1,0),FALSE)</f>
        <v>101.7208</v>
      </c>
      <c r="C87" s="23">
        <f>(Table13456789101112131415161734[[#This Row],[FRA]]-B86)/B86</f>
        <v>2.5092705563381862E-2</v>
      </c>
      <c r="D87" s="24">
        <f>(Table13456789101112131415161734[[#This Row],[FRA]]-B75)/B75</f>
        <v>8.3625809863303591E-2</v>
      </c>
    </row>
    <row r="88" spans="1:4" x14ac:dyDescent="0.2">
      <c r="A88" s="22">
        <v>35735</v>
      </c>
      <c r="B88" s="92">
        <f>VLOOKUP(A88,Database!$E:$AY,MATCH($B$4,Database!$E$1:$AY$1,0),FALSE)</f>
        <v>99.380830000000003</v>
      </c>
      <c r="C88" s="23">
        <f>(Table13456789101112131415161734[[#This Row],[FRA]]-B87)/B87</f>
        <v>-2.3003849753442697E-2</v>
      </c>
      <c r="D88" s="24">
        <f>(Table13456789101112131415161734[[#This Row],[FRA]]-B76)/B76</f>
        <v>4.5665024459497883E-2</v>
      </c>
    </row>
    <row r="89" spans="1:4" x14ac:dyDescent="0.2">
      <c r="A89" s="22">
        <v>35765</v>
      </c>
      <c r="B89" s="92">
        <f>VLOOKUP(A89,Database!$E:$AY,MATCH($B$4,Database!$E$1:$AY$1,0),FALSE)</f>
        <v>101.3708</v>
      </c>
      <c r="C89" s="23">
        <f>(Table13456789101112131415161734[[#This Row],[FRA]]-B88)/B88</f>
        <v>2.0023680623315377E-2</v>
      </c>
      <c r="D89" s="24">
        <f>(Table13456789101112131415161734[[#This Row],[FRA]]-B77)/B77</f>
        <v>6.4922240384575058E-2</v>
      </c>
    </row>
    <row r="90" spans="1:4" x14ac:dyDescent="0.2">
      <c r="A90" s="22">
        <v>35796</v>
      </c>
      <c r="B90" s="92">
        <f>VLOOKUP(A90,Database!$E:$AY,MATCH($B$4,Database!$E$1:$AY$1,0),FALSE)</f>
        <v>101.3708</v>
      </c>
      <c r="C90" s="23">
        <f>(Table13456789101112131415161734[[#This Row],[FRA]]-B89)/B89</f>
        <v>0</v>
      </c>
      <c r="D90" s="24">
        <f>(Table13456789101112131415161734[[#This Row],[FRA]]-B78)/B78</f>
        <v>7.4631093410751775E-2</v>
      </c>
    </row>
    <row r="91" spans="1:4" x14ac:dyDescent="0.2">
      <c r="A91" s="22">
        <v>35827</v>
      </c>
      <c r="B91" s="92">
        <f>VLOOKUP(A91,Database!$E:$AY,MATCH($B$4,Database!$E$1:$AY$1,0),FALSE)</f>
        <v>102.07089999999999</v>
      </c>
      <c r="C91" s="23">
        <f>(Table13456789101112131415161734[[#This Row],[FRA]]-B90)/B90</f>
        <v>6.9063280550216823E-3</v>
      </c>
      <c r="D91" s="24">
        <f>(Table13456789101112131415161734[[#This Row],[FRA]]-B79)/B79</f>
        <v>7.340469040166768E-2</v>
      </c>
    </row>
    <row r="92" spans="1:4" x14ac:dyDescent="0.2">
      <c r="A92" s="22">
        <v>35855</v>
      </c>
      <c r="B92" s="92">
        <f>VLOOKUP(A92,Database!$E:$AY,MATCH($B$4,Database!$E$1:$AY$1,0),FALSE)</f>
        <v>100.85080000000001</v>
      </c>
      <c r="C92" s="23">
        <f>(Table13456789101112131415161734[[#This Row],[FRA]]-B91)/B91</f>
        <v>-1.1953455882136711E-2</v>
      </c>
      <c r="D92" s="24">
        <f>(Table13456789101112131415161734[[#This Row],[FRA]]-B80)/B80</f>
        <v>5.6905942614811827E-2</v>
      </c>
    </row>
    <row r="93" spans="1:4" x14ac:dyDescent="0.2">
      <c r="A93" s="22">
        <v>35886</v>
      </c>
      <c r="B93" s="92">
        <f>VLOOKUP(A93,Database!$E:$AY,MATCH($B$4,Database!$E$1:$AY$1,0),FALSE)</f>
        <v>102.1508</v>
      </c>
      <c r="C93" s="23">
        <f>(Table13456789101112131415161734[[#This Row],[FRA]]-B92)/B92</f>
        <v>1.2890329080185751E-2</v>
      </c>
      <c r="D93" s="24">
        <f>(Table13456789101112131415161734[[#This Row],[FRA]]-B81)/B81</f>
        <v>3.4220430689954819E-2</v>
      </c>
    </row>
    <row r="94" spans="1:4" x14ac:dyDescent="0.2">
      <c r="A94" s="22">
        <v>35916</v>
      </c>
      <c r="B94" s="92">
        <f>VLOOKUP(A94,Database!$E:$AY,MATCH($B$4,Database!$E$1:$AY$1,0),FALSE)</f>
        <v>103.4409</v>
      </c>
      <c r="C94" s="23">
        <f>(Table13456789101112131415161734[[#This Row],[FRA]]-B93)/B93</f>
        <v>1.2629367562466425E-2</v>
      </c>
      <c r="D94" s="24">
        <f>(Table13456789101112131415161734[[#This Row],[FRA]]-B82)/B82</f>
        <v>6.7162236651071058E-2</v>
      </c>
    </row>
    <row r="95" spans="1:4" x14ac:dyDescent="0.2">
      <c r="A95" s="22">
        <v>35947</v>
      </c>
      <c r="B95" s="92">
        <f>VLOOKUP(A95,Database!$E:$AY,MATCH($B$4,Database!$E$1:$AY$1,0),FALSE)</f>
        <v>102.76090000000001</v>
      </c>
      <c r="C95" s="23">
        <f>(Table13456789101112131415161734[[#This Row],[FRA]]-B94)/B94</f>
        <v>-6.5738020454191E-3</v>
      </c>
      <c r="D95" s="24">
        <f>(Table13456789101112131415161734[[#This Row],[FRA]]-B83)/B83</f>
        <v>5.2330236687232794E-2</v>
      </c>
    </row>
    <row r="96" spans="1:4" x14ac:dyDescent="0.2">
      <c r="A96" s="22">
        <v>35977</v>
      </c>
      <c r="B96" s="92">
        <f>VLOOKUP(A96,Database!$E:$AY,MATCH($B$4,Database!$E$1:$AY$1,0),FALSE)</f>
        <v>103.3609</v>
      </c>
      <c r="C96" s="23">
        <f>(Table13456789101112131415161734[[#This Row],[FRA]]-B95)/B95</f>
        <v>5.8387966629330247E-3</v>
      </c>
      <c r="D96" s="24">
        <f>(Table13456789101112131415161734[[#This Row],[FRA]]-B84)/B84</f>
        <v>5.6634978116110693E-2</v>
      </c>
    </row>
    <row r="97" spans="1:4" x14ac:dyDescent="0.2">
      <c r="A97" s="22">
        <v>36008</v>
      </c>
      <c r="B97" s="92">
        <f>VLOOKUP(A97,Database!$E:$AY,MATCH($B$4,Database!$E$1:$AY$1,0),FALSE)</f>
        <v>100.71080000000001</v>
      </c>
      <c r="C97" s="23">
        <f>(Table13456789101112131415161734[[#This Row],[FRA]]-B96)/B96</f>
        <v>-2.5639289131576783E-2</v>
      </c>
      <c r="D97" s="24">
        <f>(Table13456789101112131415161734[[#This Row],[FRA]]-B85)/B85</f>
        <v>-8.857326189735653E-3</v>
      </c>
    </row>
    <row r="98" spans="1:4" x14ac:dyDescent="0.2">
      <c r="A98" s="22">
        <v>36039</v>
      </c>
      <c r="B98" s="92">
        <f>VLOOKUP(A98,Database!$E:$AY,MATCH($B$4,Database!$E$1:$AY$1,0),FALSE)</f>
        <v>102.5309</v>
      </c>
      <c r="C98" s="23">
        <f>(Table13456789101112131415161734[[#This Row],[FRA]]-B97)/B97</f>
        <v>1.80725403829579E-2</v>
      </c>
      <c r="D98" s="24">
        <f>(Table13456789101112131415161734[[#This Row],[FRA]]-B86)/B86</f>
        <v>3.32564990134619E-2</v>
      </c>
    </row>
    <row r="99" spans="1:4" x14ac:dyDescent="0.2">
      <c r="A99" s="22">
        <v>36069</v>
      </c>
      <c r="B99" s="92">
        <f>VLOOKUP(A99,Database!$E:$AY,MATCH($B$4,Database!$E$1:$AY$1,0),FALSE)</f>
        <v>102.6409</v>
      </c>
      <c r="C99" s="23">
        <f>(Table13456789101112131415161734[[#This Row],[FRA]]-B98)/B98</f>
        <v>1.0728473074946131E-3</v>
      </c>
      <c r="D99" s="24">
        <f>(Table13456789101112131415161734[[#This Row],[FRA]]-B87)/B87</f>
        <v>9.0453476575096253E-3</v>
      </c>
    </row>
    <row r="100" spans="1:4" x14ac:dyDescent="0.2">
      <c r="A100" s="22">
        <v>36100</v>
      </c>
      <c r="B100" s="92">
        <f>VLOOKUP(A100,Database!$E:$AY,MATCH($B$4,Database!$E$1:$AY$1,0),FALSE)</f>
        <v>103.23090000000001</v>
      </c>
      <c r="C100" s="23">
        <f>(Table13456789101112131415161734[[#This Row],[FRA]]-B99)/B99</f>
        <v>5.7481958946190397E-3</v>
      </c>
      <c r="D100" s="24">
        <f>(Table13456789101112131415161734[[#This Row],[FRA]]-B88)/B88</f>
        <v>3.8740569987189707E-2</v>
      </c>
    </row>
    <row r="101" spans="1:4" x14ac:dyDescent="0.2">
      <c r="A101" s="22">
        <v>36130</v>
      </c>
      <c r="B101" s="92">
        <f>VLOOKUP(A101,Database!$E:$AY,MATCH($B$4,Database!$E$1:$AY$1,0),FALSE)</f>
        <v>102.4609</v>
      </c>
      <c r="C101" s="23">
        <f>(Table13456789101112131415161734[[#This Row],[FRA]]-B100)/B100</f>
        <v>-7.4590069446261748E-3</v>
      </c>
      <c r="D101" s="24">
        <f>(Table13456789101112131415161734[[#This Row],[FRA]]-B89)/B89</f>
        <v>1.0753589791142937E-2</v>
      </c>
    </row>
    <row r="102" spans="1:4" x14ac:dyDescent="0.2">
      <c r="A102" s="22">
        <v>36161</v>
      </c>
      <c r="B102" s="92">
        <f>VLOOKUP(A102,Database!$E:$AY,MATCH($B$4,Database!$E$1:$AY$1,0),FALSE)</f>
        <v>102.7409</v>
      </c>
      <c r="C102" s="23">
        <f>(Table13456789101112131415161734[[#This Row],[FRA]]-B101)/B101</f>
        <v>2.7327497611284025E-3</v>
      </c>
      <c r="D102" s="24">
        <f>(Table13456789101112131415161734[[#This Row],[FRA]]-B90)/B90</f>
        <v>1.3515726422204359E-2</v>
      </c>
    </row>
    <row r="103" spans="1:4" x14ac:dyDescent="0.2">
      <c r="A103" s="22">
        <v>36192</v>
      </c>
      <c r="B103" s="92">
        <f>VLOOKUP(A103,Database!$E:$AY,MATCH($B$4,Database!$E$1:$AY$1,0),FALSE)</f>
        <v>102.43089999999999</v>
      </c>
      <c r="C103" s="23">
        <f>(Table13456789101112131415161734[[#This Row],[FRA]]-B102)/B102</f>
        <v>-3.0172988556650981E-3</v>
      </c>
      <c r="D103" s="24">
        <f>(Table13456789101112131415161734[[#This Row],[FRA]]-B91)/B91</f>
        <v>3.5269601815992556E-3</v>
      </c>
    </row>
    <row r="104" spans="1:4" x14ac:dyDescent="0.2">
      <c r="A104" s="22">
        <v>36220</v>
      </c>
      <c r="B104" s="92">
        <f>VLOOKUP(A104,Database!$E:$AY,MATCH($B$4,Database!$E$1:$AY$1,0),FALSE)</f>
        <v>102.3708</v>
      </c>
      <c r="C104" s="23">
        <f>(Table13456789101112131415161734[[#This Row],[FRA]]-B103)/B103</f>
        <v>-5.8673701002325842E-4</v>
      </c>
      <c r="D104" s="24">
        <f>(Table13456789101112131415161734[[#This Row],[FRA]]-B92)/B92</f>
        <v>1.5071769386063333E-2</v>
      </c>
    </row>
    <row r="105" spans="1:4" x14ac:dyDescent="0.2">
      <c r="A105" s="22">
        <v>36251</v>
      </c>
      <c r="B105" s="92">
        <f>VLOOKUP(A105,Database!$E:$AY,MATCH($B$4,Database!$E$1:$AY$1,0),FALSE)</f>
        <v>103.1909</v>
      </c>
      <c r="C105" s="23">
        <f>(Table13456789101112131415161734[[#This Row],[FRA]]-B104)/B104</f>
        <v>8.011073470169194E-3</v>
      </c>
      <c r="D105" s="24">
        <f>(Table13456789101112131415161734[[#This Row],[FRA]]-B93)/B93</f>
        <v>1.0182005427270225E-2</v>
      </c>
    </row>
    <row r="106" spans="1:4" x14ac:dyDescent="0.2">
      <c r="A106" s="22">
        <v>36281</v>
      </c>
      <c r="B106" s="92">
        <f>VLOOKUP(A106,Database!$E:$AY,MATCH($B$4,Database!$E$1:$AY$1,0),FALSE)</f>
        <v>103.6009</v>
      </c>
      <c r="C106" s="23">
        <f>(Table13456789101112131415161734[[#This Row],[FRA]]-B105)/B105</f>
        <v>3.9732185686915857E-3</v>
      </c>
      <c r="D106" s="24">
        <f>(Table13456789101112131415161734[[#This Row],[FRA]]-B94)/B94</f>
        <v>1.5467769518633016E-3</v>
      </c>
    </row>
    <row r="107" spans="1:4" x14ac:dyDescent="0.2">
      <c r="A107" s="22">
        <v>36312</v>
      </c>
      <c r="B107" s="92">
        <f>VLOOKUP(A107,Database!$E:$AY,MATCH($B$4,Database!$E$1:$AY$1,0),FALSE)</f>
        <v>105.0309</v>
      </c>
      <c r="C107" s="23">
        <f>(Table13456789101112131415161734[[#This Row],[FRA]]-B106)/B106</f>
        <v>1.3802968893127442E-2</v>
      </c>
      <c r="D107" s="24">
        <f>(Table13456789101112131415161734[[#This Row],[FRA]]-B95)/B95</f>
        <v>2.2090114041430114E-2</v>
      </c>
    </row>
    <row r="108" spans="1:4" x14ac:dyDescent="0.2">
      <c r="A108" s="22">
        <v>36342</v>
      </c>
      <c r="B108" s="92">
        <f>VLOOKUP(A108,Database!$E:$AY,MATCH($B$4,Database!$E$1:$AY$1,0),FALSE)</f>
        <v>105.2809</v>
      </c>
      <c r="C108" s="23">
        <f>(Table13456789101112131415161734[[#This Row],[FRA]]-B107)/B107</f>
        <v>2.3802519068198023E-3</v>
      </c>
      <c r="D108" s="24">
        <f>(Table13456789101112131415161734[[#This Row],[FRA]]-B96)/B96</f>
        <v>1.8575689646665245E-2</v>
      </c>
    </row>
    <row r="109" spans="1:4" x14ac:dyDescent="0.2">
      <c r="A109" s="22">
        <v>36373</v>
      </c>
      <c r="B109" s="92">
        <f>VLOOKUP(A109,Database!$E:$AY,MATCH($B$4,Database!$E$1:$AY$1,0),FALSE)</f>
        <v>103.3409</v>
      </c>
      <c r="C109" s="23">
        <f>(Table13456789101112131415161734[[#This Row],[FRA]]-B108)/B108</f>
        <v>-1.8426894146991502E-2</v>
      </c>
      <c r="D109" s="24">
        <f>(Table13456789101112131415161734[[#This Row],[FRA]]-B97)/B97</f>
        <v>2.6115371936276929E-2</v>
      </c>
    </row>
    <row r="110" spans="1:4" x14ac:dyDescent="0.2">
      <c r="A110" s="22">
        <v>36404</v>
      </c>
      <c r="B110" s="92">
        <f>VLOOKUP(A110,Database!$E:$AY,MATCH($B$4,Database!$E$1:$AY$1,0),FALSE)</f>
        <v>106.1409</v>
      </c>
      <c r="C110" s="23">
        <f>(Table13456789101112131415161734[[#This Row],[FRA]]-B109)/B109</f>
        <v>2.709479015568857E-2</v>
      </c>
      <c r="D110" s="24">
        <f>(Table13456789101112131415161734[[#This Row],[FRA]]-B98)/B98</f>
        <v>3.5208898000505209E-2</v>
      </c>
    </row>
    <row r="111" spans="1:4" x14ac:dyDescent="0.2">
      <c r="A111" s="22">
        <v>36434</v>
      </c>
      <c r="B111" s="92">
        <f>VLOOKUP(A111,Database!$E:$AY,MATCH($B$4,Database!$E$1:$AY$1,0),FALSE)</f>
        <v>107.4709</v>
      </c>
      <c r="C111" s="23">
        <f>(Table13456789101112131415161734[[#This Row],[FRA]]-B110)/B110</f>
        <v>1.2530513685111001E-2</v>
      </c>
      <c r="D111" s="24">
        <f>(Table13456789101112131415161734[[#This Row],[FRA]]-B99)/B99</f>
        <v>4.7057264696626765E-2</v>
      </c>
    </row>
    <row r="112" spans="1:4" x14ac:dyDescent="0.2">
      <c r="A112" s="22">
        <v>36465</v>
      </c>
      <c r="B112" s="92">
        <f>VLOOKUP(A112,Database!$E:$AY,MATCH($B$4,Database!$E$1:$AY$1,0),FALSE)</f>
        <v>107.5509</v>
      </c>
      <c r="C112" s="23">
        <f>(Table13456789101112131415161734[[#This Row],[FRA]]-B111)/B111</f>
        <v>7.44387550490396E-4</v>
      </c>
      <c r="D112" s="24">
        <f>(Table13456789101112131415161734[[#This Row],[FRA]]-B100)/B100</f>
        <v>4.1847935065954023E-2</v>
      </c>
    </row>
    <row r="113" spans="1:4" x14ac:dyDescent="0.2">
      <c r="A113" s="22">
        <v>36495</v>
      </c>
      <c r="B113" s="92">
        <f>VLOOKUP(A113,Database!$E:$AY,MATCH($B$4,Database!$E$1:$AY$1,0),FALSE)</f>
        <v>106.6109</v>
      </c>
      <c r="C113" s="23">
        <f>(Table13456789101112131415161734[[#This Row],[FRA]]-B112)/B112</f>
        <v>-8.7400477355372916E-3</v>
      </c>
      <c r="D113" s="24">
        <f>(Table13456789101112131415161734[[#This Row],[FRA]]-B101)/B101</f>
        <v>4.0503255388153005E-2</v>
      </c>
    </row>
    <row r="114" spans="1:4" x14ac:dyDescent="0.2">
      <c r="A114" s="22">
        <v>36526</v>
      </c>
      <c r="B114" s="92">
        <f>VLOOKUP(A114,Database!$E:$AY,MATCH($B$4,Database!$E$1:$AY$1,0),FALSE)</f>
        <v>107.40089999999999</v>
      </c>
      <c r="C114" s="23">
        <f>(Table13456789101112131415161734[[#This Row],[FRA]]-B113)/B113</f>
        <v>7.4101241055088366E-3</v>
      </c>
      <c r="D114" s="24">
        <f>(Table13456789101112131415161734[[#This Row],[FRA]]-B102)/B102</f>
        <v>4.5356815056126591E-2</v>
      </c>
    </row>
    <row r="115" spans="1:4" x14ac:dyDescent="0.2">
      <c r="A115" s="22">
        <v>36557</v>
      </c>
      <c r="B115" s="92">
        <f>VLOOKUP(A115,Database!$E:$AY,MATCH($B$4,Database!$E$1:$AY$1,0),FALSE)</f>
        <v>107.73090000000001</v>
      </c>
      <c r="C115" s="23">
        <f>(Table13456789101112131415161734[[#This Row],[FRA]]-B114)/B114</f>
        <v>3.0725999502798627E-3</v>
      </c>
      <c r="D115" s="24">
        <f>(Table13456789101112131415161734[[#This Row],[FRA]]-B103)/B103</f>
        <v>5.1742198887249957E-2</v>
      </c>
    </row>
    <row r="116" spans="1:4" x14ac:dyDescent="0.2">
      <c r="A116" s="22">
        <v>36586</v>
      </c>
      <c r="B116" s="92">
        <f>VLOOKUP(A116,Database!$E:$AY,MATCH($B$4,Database!$E$1:$AY$1,0),FALSE)</f>
        <v>108.4509</v>
      </c>
      <c r="C116" s="23">
        <f>(Table13456789101112131415161734[[#This Row],[FRA]]-B115)/B115</f>
        <v>6.6833192705156906E-3</v>
      </c>
      <c r="D116" s="24">
        <f>(Table13456789101112131415161734[[#This Row],[FRA]]-B104)/B104</f>
        <v>5.9392912822797142E-2</v>
      </c>
    </row>
    <row r="117" spans="1:4" x14ac:dyDescent="0.2">
      <c r="A117" s="22">
        <v>36617</v>
      </c>
      <c r="B117" s="92">
        <f>VLOOKUP(A117,Database!$E:$AY,MATCH($B$4,Database!$E$1:$AY$1,0),FALSE)</f>
        <v>109.0609</v>
      </c>
      <c r="C117" s="23">
        <f>(Table13456789101112131415161734[[#This Row],[FRA]]-B116)/B116</f>
        <v>5.6246651710589717E-3</v>
      </c>
      <c r="D117" s="24">
        <f>(Table13456789101112131415161734[[#This Row],[FRA]]-B105)/B105</f>
        <v>5.688486097126786E-2</v>
      </c>
    </row>
    <row r="118" spans="1:4" x14ac:dyDescent="0.2">
      <c r="A118" s="22">
        <v>36647</v>
      </c>
      <c r="B118" s="92">
        <f>VLOOKUP(A118,Database!$E:$AY,MATCH($B$4,Database!$E$1:$AY$1,0),FALSE)</f>
        <v>110.4209</v>
      </c>
      <c r="C118" s="23">
        <f>(Table13456789101112131415161734[[#This Row],[FRA]]-B117)/B117</f>
        <v>1.24700969825116E-2</v>
      </c>
      <c r="D118" s="24">
        <f>(Table13456789101112131415161734[[#This Row],[FRA]]-B106)/B106</f>
        <v>6.5829543951838335E-2</v>
      </c>
    </row>
    <row r="119" spans="1:4" x14ac:dyDescent="0.2">
      <c r="A119" s="22">
        <v>36678</v>
      </c>
      <c r="B119" s="92">
        <f>VLOOKUP(A119,Database!$E:$AY,MATCH($B$4,Database!$E$1:$AY$1,0),FALSE)</f>
        <v>108.98090000000001</v>
      </c>
      <c r="C119" s="23">
        <f>(Table13456789101112131415161734[[#This Row],[FRA]]-B118)/B118</f>
        <v>-1.3041009446581197E-2</v>
      </c>
      <c r="D119" s="24">
        <f>(Table13456789101112131415161734[[#This Row],[FRA]]-B107)/B107</f>
        <v>3.7607980127752905E-2</v>
      </c>
    </row>
    <row r="120" spans="1:4" x14ac:dyDescent="0.2">
      <c r="A120" s="22">
        <v>36708</v>
      </c>
      <c r="B120" s="92">
        <f>VLOOKUP(A120,Database!$E:$AY,MATCH($B$4,Database!$E$1:$AY$1,0),FALSE)</f>
        <v>110.2709</v>
      </c>
      <c r="C120" s="23">
        <f>(Table13456789101112131415161734[[#This Row],[FRA]]-B119)/B119</f>
        <v>1.1836936564113455E-2</v>
      </c>
      <c r="D120" s="24">
        <f>(Table13456789101112131415161734[[#This Row],[FRA]]-B108)/B108</f>
        <v>4.7397011233756503E-2</v>
      </c>
    </row>
    <row r="121" spans="1:4" x14ac:dyDescent="0.2">
      <c r="A121" s="22">
        <v>36739</v>
      </c>
      <c r="B121" s="92">
        <f>VLOOKUP(A121,Database!$E:$AY,MATCH($B$4,Database!$E$1:$AY$1,0),FALSE)</f>
        <v>109.29089999999999</v>
      </c>
      <c r="C121" s="23">
        <f>(Table13456789101112131415161734[[#This Row],[FRA]]-B120)/B120</f>
        <v>-8.887204149054773E-3</v>
      </c>
      <c r="D121" s="24">
        <f>(Table13456789101112131415161734[[#This Row],[FRA]]-B109)/B109</f>
        <v>5.7576429080838161E-2</v>
      </c>
    </row>
    <row r="122" spans="1:4" x14ac:dyDescent="0.2">
      <c r="A122" s="22">
        <v>36770</v>
      </c>
      <c r="B122" s="92">
        <f>VLOOKUP(A122,Database!$E:$AY,MATCH($B$4,Database!$E$1:$AY$1,0),FALSE)</f>
        <v>109.57089999999999</v>
      </c>
      <c r="C122" s="23">
        <f>(Table13456789101112131415161734[[#This Row],[FRA]]-B121)/B121</f>
        <v>2.5619699352828198E-3</v>
      </c>
      <c r="D122" s="24">
        <f>(Table13456789101112131415161734[[#This Row],[FRA]]-B110)/B110</f>
        <v>3.2315535293180972E-2</v>
      </c>
    </row>
    <row r="123" spans="1:4" x14ac:dyDescent="0.2">
      <c r="A123" s="22">
        <v>36800</v>
      </c>
      <c r="B123" s="92">
        <f>VLOOKUP(A123,Database!$E:$AY,MATCH($B$4,Database!$E$1:$AY$1,0),FALSE)</f>
        <v>110.7809</v>
      </c>
      <c r="C123" s="23">
        <f>(Table13456789101112131415161734[[#This Row],[FRA]]-B122)/B122</f>
        <v>1.1043078043531704E-2</v>
      </c>
      <c r="D123" s="24">
        <f>(Table13456789101112131415161734[[#This Row],[FRA]]-B111)/B111</f>
        <v>3.079903490154081E-2</v>
      </c>
    </row>
    <row r="124" spans="1:4" x14ac:dyDescent="0.2">
      <c r="A124" s="22">
        <v>36831</v>
      </c>
      <c r="B124" s="92">
        <f>VLOOKUP(A124,Database!$E:$AY,MATCH($B$4,Database!$E$1:$AY$1,0),FALSE)</f>
        <v>110.5809</v>
      </c>
      <c r="C124" s="23">
        <f>(Table13456789101112131415161734[[#This Row],[FRA]]-B123)/B123</f>
        <v>-1.8053653653292475E-3</v>
      </c>
      <c r="D124" s="24">
        <f>(Table13456789101112131415161734[[#This Row],[FRA]]-B112)/B112</f>
        <v>2.8172707062423478E-2</v>
      </c>
    </row>
    <row r="125" spans="1:4" x14ac:dyDescent="0.2">
      <c r="A125" s="22">
        <v>36861</v>
      </c>
      <c r="B125" s="92">
        <f>VLOOKUP(A125,Database!$E:$AY,MATCH($B$4,Database!$E$1:$AY$1,0),FALSE)</f>
        <v>111.6009</v>
      </c>
      <c r="C125" s="23">
        <f>(Table13456789101112131415161734[[#This Row],[FRA]]-B124)/B124</f>
        <v>9.2240160823432987E-3</v>
      </c>
      <c r="D125" s="24">
        <f>(Table13456789101112131415161734[[#This Row],[FRA]]-B113)/B113</f>
        <v>4.6805720615809406E-2</v>
      </c>
    </row>
    <row r="126" spans="1:4" x14ac:dyDescent="0.2">
      <c r="A126" s="22">
        <v>36892</v>
      </c>
      <c r="B126" s="92">
        <f>VLOOKUP(A126,Database!$E:$AY,MATCH($B$4,Database!$E$1:$AY$1,0),FALSE)</f>
        <v>111.1009</v>
      </c>
      <c r="C126" s="23">
        <f>(Table13456789101112131415161734[[#This Row],[FRA]]-B125)/B125</f>
        <v>-4.4802506072979696E-3</v>
      </c>
      <c r="D126" s="24">
        <f>(Table13456789101112131415161734[[#This Row],[FRA]]-B114)/B114</f>
        <v>3.4450363078894153E-2</v>
      </c>
    </row>
    <row r="127" spans="1:4" x14ac:dyDescent="0.2">
      <c r="A127" s="22">
        <v>36923</v>
      </c>
      <c r="B127" s="92">
        <f>VLOOKUP(A127,Database!$E:$AY,MATCH($B$4,Database!$E$1:$AY$1,0),FALSE)</f>
        <v>111.8409</v>
      </c>
      <c r="C127" s="23">
        <f>(Table13456789101112131415161734[[#This Row],[FRA]]-B126)/B126</f>
        <v>6.660612110253014E-3</v>
      </c>
      <c r="D127" s="24">
        <f>(Table13456789101112131415161734[[#This Row],[FRA]]-B115)/B115</f>
        <v>3.815061416919379E-2</v>
      </c>
    </row>
    <row r="128" spans="1:4" x14ac:dyDescent="0.2">
      <c r="A128" s="22">
        <v>36951</v>
      </c>
      <c r="B128" s="92">
        <f>VLOOKUP(A128,Database!$E:$AY,MATCH($B$4,Database!$E$1:$AY$1,0),FALSE)</f>
        <v>112.3009</v>
      </c>
      <c r="C128" s="23">
        <f>(Table13456789101112131415161734[[#This Row],[FRA]]-B127)/B127</f>
        <v>4.1129854999378017E-3</v>
      </c>
      <c r="D128" s="24">
        <f>(Table13456789101112131415161734[[#This Row],[FRA]]-B116)/B116</f>
        <v>3.5499935915700047E-2</v>
      </c>
    </row>
    <row r="129" spans="1:4" x14ac:dyDescent="0.2">
      <c r="A129" s="22">
        <v>36982</v>
      </c>
      <c r="B129" s="92">
        <f>VLOOKUP(A129,Database!$E:$AY,MATCH($B$4,Database!$E$1:$AY$1,0),FALSE)</f>
        <v>110.48090000000001</v>
      </c>
      <c r="C129" s="23">
        <f>(Table13456789101112131415161734[[#This Row],[FRA]]-B128)/B128</f>
        <v>-1.6206459609851686E-2</v>
      </c>
      <c r="D129" s="24">
        <f>(Table13456789101112131415161734[[#This Row],[FRA]]-B117)/B117</f>
        <v>1.3020248319975369E-2</v>
      </c>
    </row>
    <row r="130" spans="1:4" x14ac:dyDescent="0.2">
      <c r="A130" s="22">
        <v>37012</v>
      </c>
      <c r="B130" s="92">
        <f>VLOOKUP(A130,Database!$E:$AY,MATCH($B$4,Database!$E$1:$AY$1,0),FALSE)</f>
        <v>111.29089999999999</v>
      </c>
      <c r="C130" s="23">
        <f>(Table13456789101112131415161734[[#This Row],[FRA]]-B129)/B129</f>
        <v>7.3315840113538904E-3</v>
      </c>
      <c r="D130" s="24">
        <f>(Table13456789101112131415161734[[#This Row],[FRA]]-B118)/B118</f>
        <v>7.8789432073093982E-3</v>
      </c>
    </row>
    <row r="131" spans="1:4" x14ac:dyDescent="0.2">
      <c r="A131" s="22">
        <v>37043</v>
      </c>
      <c r="B131" s="92">
        <f>VLOOKUP(A131,Database!$E:$AY,MATCH($B$4,Database!$E$1:$AY$1,0),FALSE)</f>
        <v>111.32089999999999</v>
      </c>
      <c r="C131" s="23">
        <f>(Table13456789101112131415161734[[#This Row],[FRA]]-B130)/B130</f>
        <v>2.6956381878483448E-4</v>
      </c>
      <c r="D131" s="24">
        <f>(Table13456789101112131415161734[[#This Row],[FRA]]-B119)/B119</f>
        <v>2.147165237211281E-2</v>
      </c>
    </row>
    <row r="132" spans="1:4" x14ac:dyDescent="0.2">
      <c r="A132" s="22">
        <v>37073</v>
      </c>
      <c r="B132" s="92">
        <f>VLOOKUP(A132,Database!$E:$AY,MATCH($B$4,Database!$E$1:$AY$1,0),FALSE)</f>
        <v>109.79089999999999</v>
      </c>
      <c r="C132" s="23">
        <f>(Table13456789101112131415161734[[#This Row],[FRA]]-B131)/B131</f>
        <v>-1.3744049859460363E-2</v>
      </c>
      <c r="D132" s="24">
        <f>(Table13456789101112131415161734[[#This Row],[FRA]]-B120)/B120</f>
        <v>-4.3529163179043973E-3</v>
      </c>
    </row>
    <row r="133" spans="1:4" x14ac:dyDescent="0.2">
      <c r="A133" s="22">
        <v>37104</v>
      </c>
      <c r="B133" s="92">
        <f>VLOOKUP(A133,Database!$E:$AY,MATCH($B$4,Database!$E$1:$AY$1,0),FALSE)</f>
        <v>112.51090000000001</v>
      </c>
      <c r="C133" s="23">
        <f>(Table13456789101112131415161734[[#This Row],[FRA]]-B132)/B132</f>
        <v>2.477436654586139E-2</v>
      </c>
      <c r="D133" s="24">
        <f>(Table13456789101112131415161734[[#This Row],[FRA]]-B121)/B121</f>
        <v>2.9462654255752431E-2</v>
      </c>
    </row>
    <row r="134" spans="1:4" x14ac:dyDescent="0.2">
      <c r="A134" s="22">
        <v>37135</v>
      </c>
      <c r="B134" s="92">
        <f>VLOOKUP(A134,Database!$E:$AY,MATCH($B$4,Database!$E$1:$AY$1,0),FALSE)</f>
        <v>110.7709</v>
      </c>
      <c r="C134" s="23">
        <f>(Table13456789101112131415161734[[#This Row],[FRA]]-B133)/B133</f>
        <v>-1.5465168263697197E-2</v>
      </c>
      <c r="D134" s="24">
        <f>(Table13456789101112131415161734[[#This Row],[FRA]]-B122)/B122</f>
        <v>1.0951812935733876E-2</v>
      </c>
    </row>
    <row r="135" spans="1:4" x14ac:dyDescent="0.2">
      <c r="A135" s="22">
        <v>37165</v>
      </c>
      <c r="B135" s="92">
        <f>VLOOKUP(A135,Database!$E:$AY,MATCH($B$4,Database!$E$1:$AY$1,0),FALSE)</f>
        <v>109.98090000000001</v>
      </c>
      <c r="C135" s="23">
        <f>(Table13456789101112131415161734[[#This Row],[FRA]]-B134)/B134</f>
        <v>-7.1318369716233425E-3</v>
      </c>
      <c r="D135" s="24">
        <f>(Table13456789101112131415161734[[#This Row],[FRA]]-B123)/B123</f>
        <v>-7.2214614613168616E-3</v>
      </c>
    </row>
    <row r="136" spans="1:4" x14ac:dyDescent="0.2">
      <c r="A136" s="22">
        <v>37196</v>
      </c>
      <c r="B136" s="92">
        <f>VLOOKUP(A136,Database!$E:$AY,MATCH($B$4,Database!$E$1:$AY$1,0),FALSE)</f>
        <v>108.7809</v>
      </c>
      <c r="C136" s="23">
        <f>(Table13456789101112131415161734[[#This Row],[FRA]]-B135)/B135</f>
        <v>-1.091098545292867E-2</v>
      </c>
      <c r="D136" s="24">
        <f>(Table13456789101112131415161734[[#This Row],[FRA]]-B124)/B124</f>
        <v>-1.6277675439429387E-2</v>
      </c>
    </row>
    <row r="137" spans="1:4" x14ac:dyDescent="0.2">
      <c r="A137" s="22">
        <v>37226</v>
      </c>
      <c r="B137" s="92">
        <f>VLOOKUP(A137,Database!$E:$AY,MATCH($B$4,Database!$E$1:$AY$1,0),FALSE)</f>
        <v>109.48090000000001</v>
      </c>
      <c r="C137" s="23">
        <f>(Table13456789101112131415161734[[#This Row],[FRA]]-B136)/B136</f>
        <v>6.4349531949083232E-3</v>
      </c>
      <c r="D137" s="24">
        <f>(Table13456789101112131415161734[[#This Row],[FRA]]-B125)/B125</f>
        <v>-1.8996262574943305E-2</v>
      </c>
    </row>
    <row r="138" spans="1:4" x14ac:dyDescent="0.2">
      <c r="A138" s="22">
        <v>37257</v>
      </c>
      <c r="B138" s="92">
        <f>VLOOKUP(A138,Database!$E:$AY,MATCH($B$4,Database!$E$1:$AY$1,0),FALSE)</f>
        <v>109.4509</v>
      </c>
      <c r="C138" s="23">
        <f>(Table13456789101112131415161734[[#This Row],[FRA]]-B137)/B137</f>
        <v>-2.7402039990538201E-4</v>
      </c>
      <c r="D138" s="24">
        <f>(Table13456789101112131415161734[[#This Row],[FRA]]-B126)/B126</f>
        <v>-1.4851364840428758E-2</v>
      </c>
    </row>
    <row r="139" spans="1:4" x14ac:dyDescent="0.2">
      <c r="A139" s="22">
        <v>37288</v>
      </c>
      <c r="B139" s="92">
        <f>VLOOKUP(A139,Database!$E:$AY,MATCH($B$4,Database!$E$1:$AY$1,0),FALSE)</f>
        <v>109.8409</v>
      </c>
      <c r="C139" s="23">
        <f>(Table13456789101112131415161734[[#This Row],[FRA]]-B138)/B138</f>
        <v>3.563241599657934E-3</v>
      </c>
      <c r="D139" s="24">
        <f>(Table13456789101112131415161734[[#This Row],[FRA]]-B127)/B127</f>
        <v>-1.7882545651903729E-2</v>
      </c>
    </row>
    <row r="140" spans="1:4" x14ac:dyDescent="0.2">
      <c r="A140" s="22">
        <v>37316</v>
      </c>
      <c r="B140" s="92">
        <f>VLOOKUP(A140,Database!$E:$AY,MATCH($B$4,Database!$E$1:$AY$1,0),FALSE)</f>
        <v>110.37090000000001</v>
      </c>
      <c r="C140" s="23">
        <f>(Table13456789101112131415161734[[#This Row],[FRA]]-B139)/B139</f>
        <v>4.8251607552378135E-3</v>
      </c>
      <c r="D140" s="24">
        <f>(Table13456789101112131415161734[[#This Row],[FRA]]-B128)/B128</f>
        <v>-1.7185970904952611E-2</v>
      </c>
    </row>
    <row r="141" spans="1:4" x14ac:dyDescent="0.2">
      <c r="A141" s="22">
        <v>37347</v>
      </c>
      <c r="B141" s="92">
        <f>VLOOKUP(A141,Database!$E:$AY,MATCH($B$4,Database!$E$1:$AY$1,0),FALSE)</f>
        <v>111.0909</v>
      </c>
      <c r="C141" s="23">
        <f>(Table13456789101112131415161734[[#This Row],[FRA]]-B140)/B140</f>
        <v>6.5234586290407962E-3</v>
      </c>
      <c r="D141" s="24">
        <f>(Table13456789101112131415161734[[#This Row],[FRA]]-B129)/B129</f>
        <v>5.5213163542295494E-3</v>
      </c>
    </row>
    <row r="142" spans="1:4" x14ac:dyDescent="0.2">
      <c r="A142" s="22">
        <v>37377</v>
      </c>
      <c r="B142" s="92">
        <f>VLOOKUP(A142,Database!$E:$AY,MATCH($B$4,Database!$E$1:$AY$1,0),FALSE)</f>
        <v>110.1309</v>
      </c>
      <c r="C142" s="23">
        <f>(Table13456789101112131415161734[[#This Row],[FRA]]-B141)/B141</f>
        <v>-8.6415719019290321E-3</v>
      </c>
      <c r="D142" s="24">
        <f>(Table13456789101112131415161734[[#This Row],[FRA]]-B130)/B130</f>
        <v>-1.0423134326346509E-2</v>
      </c>
    </row>
    <row r="143" spans="1:4" x14ac:dyDescent="0.2">
      <c r="A143" s="22">
        <v>37408</v>
      </c>
      <c r="B143" s="92">
        <f>VLOOKUP(A143,Database!$E:$AY,MATCH($B$4,Database!$E$1:$AY$1,0),FALSE)</f>
        <v>109.9409</v>
      </c>
      <c r="C143" s="23">
        <f>(Table13456789101112131415161734[[#This Row],[FRA]]-B142)/B142</f>
        <v>-1.7252197158108917E-3</v>
      </c>
      <c r="D143" s="24">
        <f>(Table13456789101112131415161734[[#This Row],[FRA]]-B131)/B131</f>
        <v>-1.2396593990885768E-2</v>
      </c>
    </row>
    <row r="144" spans="1:4" x14ac:dyDescent="0.2">
      <c r="A144" s="22">
        <v>37438</v>
      </c>
      <c r="B144" s="92">
        <f>VLOOKUP(A144,Database!$E:$AY,MATCH($B$4,Database!$E$1:$AY$1,0),FALSE)</f>
        <v>108.8109</v>
      </c>
      <c r="C144" s="23">
        <f>(Table13456789101112131415161734[[#This Row],[FRA]]-B143)/B143</f>
        <v>-1.0278249495865465E-2</v>
      </c>
      <c r="D144" s="24">
        <f>(Table13456789101112131415161734[[#This Row],[FRA]]-B132)/B132</f>
        <v>-8.926058534905806E-3</v>
      </c>
    </row>
    <row r="145" spans="1:4" x14ac:dyDescent="0.2">
      <c r="A145" s="22">
        <v>37469</v>
      </c>
      <c r="B145" s="92">
        <f>VLOOKUP(A145,Database!$E:$AY,MATCH($B$4,Database!$E$1:$AY$1,0),FALSE)</f>
        <v>110.8409</v>
      </c>
      <c r="C145" s="23">
        <f>(Table13456789101112131415161734[[#This Row],[FRA]]-B144)/B144</f>
        <v>1.865621918392368E-2</v>
      </c>
      <c r="D145" s="24">
        <f>(Table13456789101112131415161734[[#This Row],[FRA]]-B133)/B133</f>
        <v>-1.4843006322054144E-2</v>
      </c>
    </row>
    <row r="146" spans="1:4" x14ac:dyDescent="0.2">
      <c r="A146" s="22">
        <v>37500</v>
      </c>
      <c r="B146" s="92">
        <f>VLOOKUP(A146,Database!$E:$AY,MATCH($B$4,Database!$E$1:$AY$1,0),FALSE)</f>
        <v>109.4609</v>
      </c>
      <c r="C146" s="23">
        <f>(Table13456789101112131415161734[[#This Row],[FRA]]-B145)/B145</f>
        <v>-1.2450277830656459E-2</v>
      </c>
      <c r="D146" s="24">
        <f>(Table13456789101112131415161734[[#This Row],[FRA]]-B134)/B134</f>
        <v>-1.1826210674464162E-2</v>
      </c>
    </row>
    <row r="147" spans="1:4" x14ac:dyDescent="0.2">
      <c r="A147" s="22">
        <v>37530</v>
      </c>
      <c r="B147" s="92">
        <f>VLOOKUP(A147,Database!$E:$AY,MATCH($B$4,Database!$E$1:$AY$1,0),FALSE)</f>
        <v>108.6009</v>
      </c>
      <c r="C147" s="23">
        <f>(Table13456789101112131415161734[[#This Row],[FRA]]-B146)/B146</f>
        <v>-7.856686725579631E-3</v>
      </c>
      <c r="D147" s="24">
        <f>(Table13456789101112131415161734[[#This Row],[FRA]]-B135)/B135</f>
        <v>-1.2547633270868028E-2</v>
      </c>
    </row>
    <row r="148" spans="1:4" x14ac:dyDescent="0.2">
      <c r="A148" s="22">
        <v>37561</v>
      </c>
      <c r="B148" s="92">
        <f>VLOOKUP(A148,Database!$E:$AY,MATCH($B$4,Database!$E$1:$AY$1,0),FALSE)</f>
        <v>109.65089999999999</v>
      </c>
      <c r="C148" s="23">
        <f>(Table13456789101112131415161734[[#This Row],[FRA]]-B147)/B147</f>
        <v>9.6684281621975243E-3</v>
      </c>
      <c r="D148" s="24">
        <f>(Table13456789101112131415161734[[#This Row],[FRA]]-B136)/B136</f>
        <v>7.9977275422430799E-3</v>
      </c>
    </row>
    <row r="149" spans="1:4" x14ac:dyDescent="0.2">
      <c r="A149" s="22">
        <v>37591</v>
      </c>
      <c r="B149" s="92">
        <f>VLOOKUP(A149,Database!$E:$AY,MATCH($B$4,Database!$E$1:$AY$1,0),FALSE)</f>
        <v>107.04089999999999</v>
      </c>
      <c r="C149" s="23">
        <f>(Table13456789101112131415161734[[#This Row],[FRA]]-B148)/B148</f>
        <v>-2.3802814203987378E-2</v>
      </c>
      <c r="D149" s="24">
        <f>(Table13456789101112131415161734[[#This Row],[FRA]]-B137)/B137</f>
        <v>-2.2286992525637001E-2</v>
      </c>
    </row>
    <row r="150" spans="1:4" x14ac:dyDescent="0.2">
      <c r="A150" s="22">
        <v>37622</v>
      </c>
      <c r="B150" s="92">
        <f>VLOOKUP(A150,Database!$E:$AY,MATCH($B$4,Database!$E$1:$AY$1,0),FALSE)</f>
        <v>109.2509</v>
      </c>
      <c r="C150" s="23">
        <f>(Table13456789101112131415161734[[#This Row],[FRA]]-B149)/B149</f>
        <v>2.0646313698782504E-2</v>
      </c>
      <c r="D150" s="24">
        <f>(Table13456789101112131415161734[[#This Row],[FRA]]-B138)/B138</f>
        <v>-1.8273033844399893E-3</v>
      </c>
    </row>
    <row r="151" spans="1:4" x14ac:dyDescent="0.2">
      <c r="A151" s="22">
        <v>37653</v>
      </c>
      <c r="B151" s="92">
        <f>VLOOKUP(A151,Database!$E:$AY,MATCH($B$4,Database!$E$1:$AY$1,0),FALSE)</f>
        <v>110.23090000000001</v>
      </c>
      <c r="C151" s="23">
        <f>(Table13456789101112131415161734[[#This Row],[FRA]]-B150)/B150</f>
        <v>8.9701778200454545E-3</v>
      </c>
      <c r="D151" s="24">
        <f>(Table13456789101112131415161734[[#This Row],[FRA]]-B139)/B139</f>
        <v>3.550589989703294E-3</v>
      </c>
    </row>
    <row r="152" spans="1:4" x14ac:dyDescent="0.2">
      <c r="A152" s="22">
        <v>37681</v>
      </c>
      <c r="B152" s="92">
        <f>VLOOKUP(A152,Database!$E:$AY,MATCH($B$4,Database!$E$1:$AY$1,0),FALSE)</f>
        <v>109.37090000000001</v>
      </c>
      <c r="C152" s="23">
        <f>(Table13456789101112131415161734[[#This Row],[FRA]]-B151)/B151</f>
        <v>-7.8018051199799637E-3</v>
      </c>
      <c r="D152" s="24">
        <f>(Table13456789101112131415161734[[#This Row],[FRA]]-B140)/B140</f>
        <v>-9.0603592070011198E-3</v>
      </c>
    </row>
    <row r="153" spans="1:4" x14ac:dyDescent="0.2">
      <c r="A153" s="22">
        <v>37712</v>
      </c>
      <c r="B153" s="92">
        <f>VLOOKUP(A153,Database!$E:$AY,MATCH($B$4,Database!$E$1:$AY$1,0),FALSE)</f>
        <v>109.3909</v>
      </c>
      <c r="C153" s="23">
        <f>(Table13456789101112131415161734[[#This Row],[FRA]]-B152)/B152</f>
        <v>1.8286399764467533E-4</v>
      </c>
      <c r="D153" s="24">
        <f>(Table13456789101112131415161734[[#This Row],[FRA]]-B141)/B141</f>
        <v>-1.530278357633256E-2</v>
      </c>
    </row>
    <row r="154" spans="1:4" x14ac:dyDescent="0.2">
      <c r="A154" s="22">
        <v>37742</v>
      </c>
      <c r="B154" s="92">
        <f>VLOOKUP(A154,Database!$E:$AY,MATCH($B$4,Database!$E$1:$AY$1,0),FALSE)</f>
        <v>106.76090000000001</v>
      </c>
      <c r="C154" s="23">
        <f>(Table13456789101112131415161734[[#This Row],[FRA]]-B153)/B153</f>
        <v>-2.4042219233958176E-2</v>
      </c>
      <c r="D154" s="24">
        <f>(Table13456789101112131415161734[[#This Row],[FRA]]-B142)/B142</f>
        <v>-3.0599949696225041E-2</v>
      </c>
    </row>
    <row r="155" spans="1:4" x14ac:dyDescent="0.2">
      <c r="A155" s="22">
        <v>37773</v>
      </c>
      <c r="B155" s="92">
        <f>VLOOKUP(A155,Database!$E:$AY,MATCH($B$4,Database!$E$1:$AY$1,0),FALSE)</f>
        <v>106.5009</v>
      </c>
      <c r="C155" s="23">
        <f>(Table13456789101112131415161734[[#This Row],[FRA]]-B154)/B154</f>
        <v>-2.4353485217903288E-3</v>
      </c>
      <c r="D155" s="24">
        <f>(Table13456789101112131415161734[[#This Row],[FRA]]-B143)/B143</f>
        <v>-3.1289538288298509E-2</v>
      </c>
    </row>
    <row r="156" spans="1:4" x14ac:dyDescent="0.2">
      <c r="A156" s="22">
        <v>37803</v>
      </c>
      <c r="B156" s="92">
        <f>VLOOKUP(A156,Database!$E:$AY,MATCH($B$4,Database!$E$1:$AY$1,0),FALSE)</f>
        <v>108.4109</v>
      </c>
      <c r="C156" s="23">
        <f>(Table13456789101112131415161734[[#This Row],[FRA]]-B155)/B155</f>
        <v>1.7934120744519496E-2</v>
      </c>
      <c r="D156" s="24">
        <f>(Table13456789101112131415161734[[#This Row],[FRA]]-B144)/B144</f>
        <v>-3.6761023022510216E-3</v>
      </c>
    </row>
    <row r="157" spans="1:4" x14ac:dyDescent="0.2">
      <c r="A157" s="22">
        <v>37834</v>
      </c>
      <c r="B157" s="92">
        <f>VLOOKUP(A157,Database!$E:$AY,MATCH($B$4,Database!$E$1:$AY$1,0),FALSE)</f>
        <v>107.9409</v>
      </c>
      <c r="C157" s="23">
        <f>(Table13456789101112131415161734[[#This Row],[FRA]]-B156)/B156</f>
        <v>-4.3353574225469841E-3</v>
      </c>
      <c r="D157" s="24">
        <f>(Table13456789101112131415161734[[#This Row],[FRA]]-B145)/B145</f>
        <v>-2.616362732529243E-2</v>
      </c>
    </row>
    <row r="158" spans="1:4" x14ac:dyDescent="0.2">
      <c r="A158" s="22">
        <v>37865</v>
      </c>
      <c r="B158" s="92">
        <f>VLOOKUP(A158,Database!$E:$AY,MATCH($B$4,Database!$E$1:$AY$1,0),FALSE)</f>
        <v>107.5609</v>
      </c>
      <c r="C158" s="23">
        <f>(Table13456789101112131415161734[[#This Row],[FRA]]-B157)/B157</f>
        <v>-3.5204449842459666E-3</v>
      </c>
      <c r="D158" s="24">
        <f>(Table13456789101112131415161734[[#This Row],[FRA]]-B146)/B146</f>
        <v>-1.7357796254187492E-2</v>
      </c>
    </row>
    <row r="159" spans="1:4" x14ac:dyDescent="0.2">
      <c r="A159" s="22">
        <v>37895</v>
      </c>
      <c r="B159" s="92">
        <f>VLOOKUP(A159,Database!$E:$AY,MATCH($B$4,Database!$E$1:$AY$1,0),FALSE)</f>
        <v>110.1609</v>
      </c>
      <c r="C159" s="23">
        <f>(Table13456789101112131415161734[[#This Row],[FRA]]-B158)/B158</f>
        <v>2.417235259281016E-2</v>
      </c>
      <c r="D159" s="24">
        <f>(Table13456789101112131415161734[[#This Row],[FRA]]-B147)/B147</f>
        <v>1.4364521840979239E-2</v>
      </c>
    </row>
    <row r="160" spans="1:4" x14ac:dyDescent="0.2">
      <c r="A160" s="22">
        <v>37926</v>
      </c>
      <c r="B160" s="92">
        <f>VLOOKUP(A160,Database!$E:$AY,MATCH($B$4,Database!$E$1:$AY$1,0),FALSE)</f>
        <v>108.01090000000001</v>
      </c>
      <c r="C160" s="23">
        <f>(Table13456789101112131415161734[[#This Row],[FRA]]-B159)/B159</f>
        <v>-1.9516906633841875E-2</v>
      </c>
      <c r="D160" s="24">
        <f>(Table13456789101112131415161734[[#This Row],[FRA]]-B148)/B148</f>
        <v>-1.4956557584114552E-2</v>
      </c>
    </row>
    <row r="161" spans="1:4" x14ac:dyDescent="0.2">
      <c r="A161" s="22">
        <v>37956</v>
      </c>
      <c r="B161" s="92">
        <f>VLOOKUP(A161,Database!$E:$AY,MATCH($B$4,Database!$E$1:$AY$1,0),FALSE)</f>
        <v>108.6409</v>
      </c>
      <c r="C161" s="23">
        <f>(Table13456789101112131415161734[[#This Row],[FRA]]-B160)/B160</f>
        <v>5.8327446581779747E-3</v>
      </c>
      <c r="D161" s="24">
        <f>(Table13456789101112131415161734[[#This Row],[FRA]]-B149)/B149</f>
        <v>1.4947557428982834E-2</v>
      </c>
    </row>
    <row r="162" spans="1:4" x14ac:dyDescent="0.2">
      <c r="A162" s="22">
        <v>37987</v>
      </c>
      <c r="B162" s="92">
        <f>VLOOKUP(A162,Database!$E:$AY,MATCH($B$4,Database!$E$1:$AY$1,0),FALSE)</f>
        <v>109.3609</v>
      </c>
      <c r="C162" s="23">
        <f>(Table13456789101112131415161734[[#This Row],[FRA]]-B161)/B161</f>
        <v>6.62733832285998E-3</v>
      </c>
      <c r="D162" s="24">
        <f>(Table13456789101112131415161734[[#This Row],[FRA]]-B150)/B150</f>
        <v>1.0068566940867254E-3</v>
      </c>
    </row>
    <row r="163" spans="1:4" x14ac:dyDescent="0.2">
      <c r="A163" s="22">
        <v>38018</v>
      </c>
      <c r="B163" s="92">
        <f>VLOOKUP(A163,Database!$E:$AY,MATCH($B$4,Database!$E$1:$AY$1,0),FALSE)</f>
        <v>110.4709</v>
      </c>
      <c r="C163" s="23">
        <f>(Table13456789101112131415161734[[#This Row],[FRA]]-B162)/B162</f>
        <v>1.0149879893087927E-2</v>
      </c>
      <c r="D163" s="24">
        <f>(Table13456789101112131415161734[[#This Row],[FRA]]-B151)/B151</f>
        <v>2.1772479404594796E-3</v>
      </c>
    </row>
    <row r="164" spans="1:4" x14ac:dyDescent="0.2">
      <c r="A164" s="22">
        <v>38047</v>
      </c>
      <c r="B164" s="92">
        <f>VLOOKUP(A164,Database!$E:$AY,MATCH($B$4,Database!$E$1:$AY$1,0),FALSE)</f>
        <v>110.1009</v>
      </c>
      <c r="C164" s="23">
        <f>(Table13456789101112131415161734[[#This Row],[FRA]]-B163)/B163</f>
        <v>-3.3492983220015818E-3</v>
      </c>
      <c r="D164" s="24">
        <f>(Table13456789101112131415161734[[#This Row],[FRA]]-B152)/B152</f>
        <v>6.6745359140318837E-3</v>
      </c>
    </row>
    <row r="165" spans="1:4" x14ac:dyDescent="0.2">
      <c r="A165" s="22">
        <v>38078</v>
      </c>
      <c r="B165" s="92">
        <f>VLOOKUP(A165,Database!$E:$AY,MATCH($B$4,Database!$E$1:$AY$1,0),FALSE)</f>
        <v>110.1309</v>
      </c>
      <c r="C165" s="23">
        <f>(Table13456789101112131415161734[[#This Row],[FRA]]-B164)/B164</f>
        <v>2.7247733669753051E-4</v>
      </c>
      <c r="D165" s="24">
        <f>(Table13456789101112131415161734[[#This Row],[FRA]]-B153)/B153</f>
        <v>6.7647308871212767E-3</v>
      </c>
    </row>
    <row r="166" spans="1:4" x14ac:dyDescent="0.2">
      <c r="A166" s="22">
        <v>38108</v>
      </c>
      <c r="B166" s="92">
        <f>VLOOKUP(A166,Database!$E:$AY,MATCH($B$4,Database!$E$1:$AY$1,0),FALSE)</f>
        <v>109.54089999999999</v>
      </c>
      <c r="C166" s="23">
        <f>(Table13456789101112131415161734[[#This Row],[FRA]]-B165)/B165</f>
        <v>-5.3572612227812851E-3</v>
      </c>
      <c r="D166" s="24">
        <f>(Table13456789101112131415161734[[#This Row],[FRA]]-B154)/B154</f>
        <v>2.6039495732988263E-2</v>
      </c>
    </row>
    <row r="167" spans="1:4" x14ac:dyDescent="0.2">
      <c r="A167" s="22">
        <v>38139</v>
      </c>
      <c r="B167" s="92">
        <f>VLOOKUP(A167,Database!$E:$AY,MATCH($B$4,Database!$E$1:$AY$1,0),FALSE)</f>
        <v>110.5909</v>
      </c>
      <c r="C167" s="23">
        <f>(Table13456789101112131415161734[[#This Row],[FRA]]-B166)/B166</f>
        <v>9.5854607730994669E-3</v>
      </c>
      <c r="D167" s="24">
        <f>(Table13456789101112131415161734[[#This Row],[FRA]]-B155)/B155</f>
        <v>3.8403431332505206E-2</v>
      </c>
    </row>
    <row r="168" spans="1:4" x14ac:dyDescent="0.2">
      <c r="A168" s="22">
        <v>38169</v>
      </c>
      <c r="B168" s="92">
        <f>VLOOKUP(A168,Database!$E:$AY,MATCH($B$4,Database!$E$1:$AY$1,0),FALSE)</f>
        <v>111.04089999999999</v>
      </c>
      <c r="C168" s="23">
        <f>(Table13456789101112131415161734[[#This Row],[FRA]]-B167)/B167</f>
        <v>4.0690508893587865E-3</v>
      </c>
      <c r="D168" s="24">
        <f>(Table13456789101112131415161734[[#This Row],[FRA]]-B156)/B156</f>
        <v>2.4259553236805481E-2</v>
      </c>
    </row>
    <row r="169" spans="1:4" x14ac:dyDescent="0.2">
      <c r="A169" s="22">
        <v>38200</v>
      </c>
      <c r="B169" s="92">
        <f>VLOOKUP(A169,Database!$E:$AY,MATCH($B$4,Database!$E$1:$AY$1,0),FALSE)</f>
        <v>107.1109</v>
      </c>
      <c r="C169" s="23">
        <f>(Table13456789101112131415161734[[#This Row],[FRA]]-B168)/B168</f>
        <v>-3.5392364435086469E-2</v>
      </c>
      <c r="D169" s="24">
        <f>(Table13456789101112131415161734[[#This Row],[FRA]]-B157)/B157</f>
        <v>-7.6893929919057405E-3</v>
      </c>
    </row>
    <row r="170" spans="1:4" x14ac:dyDescent="0.2">
      <c r="A170" s="22">
        <v>38231</v>
      </c>
      <c r="B170" s="92">
        <f>VLOOKUP(A170,Database!$E:$AY,MATCH($B$4,Database!$E$1:$AY$1,0),FALSE)</f>
        <v>110.8609</v>
      </c>
      <c r="C170" s="23">
        <f>(Table13456789101112131415161734[[#This Row],[FRA]]-B169)/B169</f>
        <v>3.5010442447967478E-2</v>
      </c>
      <c r="D170" s="24">
        <f>(Table13456789101112131415161734[[#This Row],[FRA]]-B158)/B158</f>
        <v>3.0680293675489859E-2</v>
      </c>
    </row>
    <row r="171" spans="1:4" x14ac:dyDescent="0.2">
      <c r="A171" s="22">
        <v>38261</v>
      </c>
      <c r="B171" s="92">
        <f>VLOOKUP(A171,Database!$E:$AY,MATCH($B$4,Database!$E$1:$AY$1,0),FALSE)</f>
        <v>111.68089999999999</v>
      </c>
      <c r="C171" s="23">
        <f>(Table13456789101112131415161734[[#This Row],[FRA]]-B170)/B170</f>
        <v>7.3966565308417409E-3</v>
      </c>
      <c r="D171" s="24">
        <f>(Table13456789101112131415161734[[#This Row],[FRA]]-B159)/B159</f>
        <v>1.3797999108576601E-2</v>
      </c>
    </row>
    <row r="172" spans="1:4" x14ac:dyDescent="0.2">
      <c r="A172" s="22">
        <v>38292</v>
      </c>
      <c r="B172" s="92">
        <f>VLOOKUP(A172,Database!$E:$AY,MATCH($B$4,Database!$E$1:$AY$1,0),FALSE)</f>
        <v>109.82089999999999</v>
      </c>
      <c r="C172" s="23">
        <f>(Table13456789101112131415161734[[#This Row],[FRA]]-B171)/B171</f>
        <v>-1.6654593578669222E-2</v>
      </c>
      <c r="D172" s="24">
        <f>(Table13456789101112131415161734[[#This Row],[FRA]]-B160)/B160</f>
        <v>1.6757567986193874E-2</v>
      </c>
    </row>
    <row r="173" spans="1:4" x14ac:dyDescent="0.2">
      <c r="A173" s="22">
        <v>38322</v>
      </c>
      <c r="B173" s="92">
        <f>VLOOKUP(A173,Database!$E:$AY,MATCH($B$4,Database!$E$1:$AY$1,0),FALSE)</f>
        <v>110.0509</v>
      </c>
      <c r="C173" s="23">
        <f>(Table13456789101112131415161734[[#This Row],[FRA]]-B172)/B172</f>
        <v>2.0943190230639521E-3</v>
      </c>
      <c r="D173" s="24">
        <f>(Table13456789101112131415161734[[#This Row],[FRA]]-B161)/B161</f>
        <v>1.2978537548934117E-2</v>
      </c>
    </row>
    <row r="174" spans="1:4" x14ac:dyDescent="0.2">
      <c r="A174" s="22">
        <v>38353</v>
      </c>
      <c r="B174" s="92">
        <f>VLOOKUP(A174,Database!$E:$AY,MATCH($B$4,Database!$E$1:$AY$1,0),FALSE)</f>
        <v>111.87090000000001</v>
      </c>
      <c r="C174" s="23">
        <f>(Table13456789101112131415161734[[#This Row],[FRA]]-B173)/B173</f>
        <v>1.6537802053413535E-2</v>
      </c>
      <c r="D174" s="24">
        <f>(Table13456789101112131415161734[[#This Row],[FRA]]-B162)/B162</f>
        <v>2.2951530208694379E-2</v>
      </c>
    </row>
    <row r="175" spans="1:4" x14ac:dyDescent="0.2">
      <c r="A175" s="22">
        <v>38384</v>
      </c>
      <c r="B175" s="92">
        <f>VLOOKUP(A175,Database!$E:$AY,MATCH($B$4,Database!$E$1:$AY$1,0),FALSE)</f>
        <v>110.57089999999999</v>
      </c>
      <c r="C175" s="23">
        <f>(Table13456789101112131415161734[[#This Row],[FRA]]-B174)/B174</f>
        <v>-1.1620537601825062E-2</v>
      </c>
      <c r="D175" s="24">
        <f>(Table13456789101112131415161734[[#This Row],[FRA]]-B163)/B163</f>
        <v>9.052157627030676E-4</v>
      </c>
    </row>
    <row r="176" spans="1:4" x14ac:dyDescent="0.2">
      <c r="A176" s="22">
        <v>38412</v>
      </c>
      <c r="B176" s="92">
        <f>VLOOKUP(A176,Database!$E:$AY,MATCH($B$4,Database!$E$1:$AY$1,0),FALSE)</f>
        <v>108.1909</v>
      </c>
      <c r="C176" s="23">
        <f>(Table13456789101112131415161734[[#This Row],[FRA]]-B175)/B175</f>
        <v>-2.1524650699234569E-2</v>
      </c>
      <c r="D176" s="24">
        <f>(Table13456789101112131415161734[[#This Row],[FRA]]-B164)/B164</f>
        <v>-1.7347723769742088E-2</v>
      </c>
    </row>
    <row r="177" spans="1:4" x14ac:dyDescent="0.2">
      <c r="A177" s="22">
        <v>38443</v>
      </c>
      <c r="B177" s="92">
        <f>VLOOKUP(A177,Database!$E:$AY,MATCH($B$4,Database!$E$1:$AY$1,0),FALSE)</f>
        <v>110.9609</v>
      </c>
      <c r="C177" s="23">
        <f>(Table13456789101112131415161734[[#This Row],[FRA]]-B176)/B176</f>
        <v>2.5602892664724999E-2</v>
      </c>
      <c r="D177" s="24">
        <f>(Table13456789101112131415161734[[#This Row],[FRA]]-B165)/B165</f>
        <v>7.5364861269634435E-3</v>
      </c>
    </row>
    <row r="178" spans="1:4" x14ac:dyDescent="0.2">
      <c r="A178" s="22">
        <v>38473</v>
      </c>
      <c r="B178" s="92">
        <f>VLOOKUP(A178,Database!$E:$AY,MATCH($B$4,Database!$E$1:$AY$1,0),FALSE)</f>
        <v>109.73090000000001</v>
      </c>
      <c r="C178" s="23">
        <f>(Table13456789101112131415161734[[#This Row],[FRA]]-B177)/B177</f>
        <v>-1.1084985792292508E-2</v>
      </c>
      <c r="D178" s="24">
        <f>(Table13456789101112131415161734[[#This Row],[FRA]]-B166)/B166</f>
        <v>1.7345119494180891E-3</v>
      </c>
    </row>
    <row r="179" spans="1:4" x14ac:dyDescent="0.2">
      <c r="A179" s="22">
        <v>38504</v>
      </c>
      <c r="B179" s="92">
        <f>VLOOKUP(A179,Database!$E:$AY,MATCH($B$4,Database!$E$1:$AY$1,0),FALSE)</f>
        <v>109.6709</v>
      </c>
      <c r="C179" s="23">
        <f>(Table13456789101112131415161734[[#This Row],[FRA]]-B178)/B178</f>
        <v>-5.4679219800441142E-4</v>
      </c>
      <c r="D179" s="24">
        <f>(Table13456789101112131415161734[[#This Row],[FRA]]-B167)/B167</f>
        <v>-8.318948484911522E-3</v>
      </c>
    </row>
    <row r="180" spans="1:4" x14ac:dyDescent="0.2">
      <c r="A180" s="22">
        <v>38534</v>
      </c>
      <c r="B180" s="92">
        <f>VLOOKUP(A180,Database!$E:$AY,MATCH($B$4,Database!$E$1:$AY$1,0),FALSE)</f>
        <v>109.32089999999999</v>
      </c>
      <c r="C180" s="23">
        <f>(Table13456789101112131415161734[[#This Row],[FRA]]-B179)/B179</f>
        <v>-3.1913661691479554E-3</v>
      </c>
      <c r="D180" s="24">
        <f>(Table13456789101112131415161734[[#This Row],[FRA]]-B168)/B168</f>
        <v>-1.5489787997035317E-2</v>
      </c>
    </row>
    <row r="181" spans="1:4" x14ac:dyDescent="0.2">
      <c r="A181" s="22">
        <v>38565</v>
      </c>
      <c r="B181" s="92">
        <f>VLOOKUP(A181,Database!$E:$AY,MATCH($B$4,Database!$E$1:$AY$1,0),FALSE)</f>
        <v>108.7109</v>
      </c>
      <c r="C181" s="23">
        <f>(Table13456789101112131415161734[[#This Row],[FRA]]-B180)/B180</f>
        <v>-5.579902836511586E-3</v>
      </c>
      <c r="D181" s="24">
        <f>(Table13456789101112131415161734[[#This Row],[FRA]]-B169)/B169</f>
        <v>1.4937788777799405E-2</v>
      </c>
    </row>
    <row r="182" spans="1:4" x14ac:dyDescent="0.2">
      <c r="A182" s="22">
        <v>38596</v>
      </c>
      <c r="B182" s="92">
        <f>VLOOKUP(A182,Database!$E:$AY,MATCH($B$4,Database!$E$1:$AY$1,0),FALSE)</f>
        <v>111.4909</v>
      </c>
      <c r="C182" s="23">
        <f>(Table13456789101112131415161734[[#This Row],[FRA]]-B181)/B181</f>
        <v>2.5572412701946181E-2</v>
      </c>
      <c r="D182" s="24">
        <f>(Table13456789101112131415161734[[#This Row],[FRA]]-B170)/B170</f>
        <v>5.6827970907686607E-3</v>
      </c>
    </row>
    <row r="183" spans="1:4" x14ac:dyDescent="0.2">
      <c r="A183" s="22">
        <v>38626</v>
      </c>
      <c r="B183" s="92">
        <f>VLOOKUP(A183,Database!$E:$AY,MATCH($B$4,Database!$E$1:$AY$1,0),FALSE)</f>
        <v>108.2109</v>
      </c>
      <c r="C183" s="23">
        <f>(Table13456789101112131415161734[[#This Row],[FRA]]-B182)/B182</f>
        <v>-2.9419441407325633E-2</v>
      </c>
      <c r="D183" s="24">
        <f>(Table13456789101112131415161734[[#This Row],[FRA]]-B171)/B171</f>
        <v>-3.1070666515044192E-2</v>
      </c>
    </row>
    <row r="184" spans="1:4" x14ac:dyDescent="0.2">
      <c r="A184" s="22">
        <v>38657</v>
      </c>
      <c r="B184" s="92">
        <f>VLOOKUP(A184,Database!$E:$AY,MATCH($B$4,Database!$E$1:$AY$1,0),FALSE)</f>
        <v>112.5509</v>
      </c>
      <c r="C184" s="23">
        <f>(Table13456789101112131415161734[[#This Row],[FRA]]-B183)/B183</f>
        <v>4.0106865389715855E-2</v>
      </c>
      <c r="D184" s="24">
        <f>(Table13456789101112131415161734[[#This Row],[FRA]]-B172)/B172</f>
        <v>2.485865623028043E-2</v>
      </c>
    </row>
    <row r="185" spans="1:4" x14ac:dyDescent="0.2">
      <c r="A185" s="22">
        <v>38687</v>
      </c>
      <c r="B185" s="92">
        <f>VLOOKUP(A185,Database!$E:$AY,MATCH($B$4,Database!$E$1:$AY$1,0),FALSE)</f>
        <v>111.23090000000001</v>
      </c>
      <c r="C185" s="23">
        <f>(Table13456789101112131415161734[[#This Row],[FRA]]-B184)/B184</f>
        <v>-1.1728027052649007E-2</v>
      </c>
      <c r="D185" s="24">
        <f>(Table13456789101112131415161734[[#This Row],[FRA]]-B173)/B173</f>
        <v>1.0722311221443957E-2</v>
      </c>
    </row>
    <row r="186" spans="1:4" x14ac:dyDescent="0.2">
      <c r="A186" s="22">
        <v>38718</v>
      </c>
      <c r="B186" s="92">
        <f>VLOOKUP(A186,Database!$E:$AY,MATCH($B$4,Database!$E$1:$AY$1,0),FALSE)</f>
        <v>110.5209</v>
      </c>
      <c r="C186" s="23">
        <f>(Table13456789101112131415161734[[#This Row],[FRA]]-B185)/B185</f>
        <v>-6.3831183600960521E-3</v>
      </c>
      <c r="D186" s="24">
        <f>(Table13456789101112131415161734[[#This Row],[FRA]]-B174)/B174</f>
        <v>-1.206748135574138E-2</v>
      </c>
    </row>
    <row r="187" spans="1:4" x14ac:dyDescent="0.2">
      <c r="A187" s="22">
        <v>38749</v>
      </c>
      <c r="B187" s="92">
        <f>VLOOKUP(A187,Database!$E:$AY,MATCH($B$4,Database!$E$1:$AY$1,0),FALSE)</f>
        <v>109.76090000000001</v>
      </c>
      <c r="C187" s="23">
        <f>(Table13456789101112131415161734[[#This Row],[FRA]]-B186)/B186</f>
        <v>-6.8765274260342698E-3</v>
      </c>
      <c r="D187" s="24">
        <f>(Table13456789101112131415161734[[#This Row],[FRA]]-B175)/B175</f>
        <v>-7.3256164144452846E-3</v>
      </c>
    </row>
    <row r="188" spans="1:4" x14ac:dyDescent="0.2">
      <c r="A188" s="22">
        <v>38777</v>
      </c>
      <c r="B188" s="92">
        <f>VLOOKUP(A188,Database!$E:$AY,MATCH($B$4,Database!$E$1:$AY$1,0),FALSE)</f>
        <v>111.79089999999999</v>
      </c>
      <c r="C188" s="23">
        <f>(Table13456789101112131415161734[[#This Row],[FRA]]-B187)/B187</f>
        <v>1.8494746307655886E-2</v>
      </c>
      <c r="D188" s="24">
        <f>(Table13456789101112131415161734[[#This Row],[FRA]]-B176)/B176</f>
        <v>3.3274517542602883E-2</v>
      </c>
    </row>
    <row r="189" spans="1:4" x14ac:dyDescent="0.2">
      <c r="A189" s="22">
        <v>38808</v>
      </c>
      <c r="B189" s="92">
        <f>VLOOKUP(A189,Database!$E:$AY,MATCH($B$4,Database!$E$1:$AY$1,0),FALSE)</f>
        <v>111.2209</v>
      </c>
      <c r="C189" s="23">
        <f>(Table13456789101112131415161734[[#This Row],[FRA]]-B188)/B188</f>
        <v>-5.0988050011225713E-3</v>
      </c>
      <c r="D189" s="24">
        <f>(Table13456789101112131415161734[[#This Row],[FRA]]-B177)/B177</f>
        <v>2.3431677284521408E-3</v>
      </c>
    </row>
    <row r="190" spans="1:4" x14ac:dyDescent="0.2">
      <c r="A190" s="22">
        <v>38838</v>
      </c>
      <c r="B190" s="92">
        <f>VLOOKUP(A190,Database!$E:$AY,MATCH($B$4,Database!$E$1:$AY$1,0),FALSE)</f>
        <v>113.01090000000001</v>
      </c>
      <c r="C190" s="23">
        <f>(Table13456789101112131415161734[[#This Row],[FRA]]-B189)/B189</f>
        <v>1.6094097422337045E-2</v>
      </c>
      <c r="D190" s="24">
        <f>(Table13456789101112131415161734[[#This Row],[FRA]]-B178)/B178</f>
        <v>2.9891306824240037E-2</v>
      </c>
    </row>
    <row r="191" spans="1:4" x14ac:dyDescent="0.2">
      <c r="A191" s="22">
        <v>38869</v>
      </c>
      <c r="B191" s="92">
        <f>VLOOKUP(A191,Database!$E:$AY,MATCH($B$4,Database!$E$1:$AY$1,0),FALSE)</f>
        <v>112.82089999999999</v>
      </c>
      <c r="C191" s="23">
        <f>(Table13456789101112131415161734[[#This Row],[FRA]]-B190)/B190</f>
        <v>-1.6812537551688547E-3</v>
      </c>
      <c r="D191" s="24">
        <f>(Table13456789101112131415161734[[#This Row],[FRA]]-B179)/B179</f>
        <v>2.8722295522330823E-2</v>
      </c>
    </row>
    <row r="192" spans="1:4" x14ac:dyDescent="0.2">
      <c r="A192" s="22">
        <v>38899</v>
      </c>
      <c r="B192" s="92">
        <f>VLOOKUP(A192,Database!$E:$AY,MATCH($B$4,Database!$E$1:$AY$1,0),FALSE)</f>
        <v>111.26090000000001</v>
      </c>
      <c r="C192" s="23">
        <f>(Table13456789101112131415161734[[#This Row],[FRA]]-B191)/B191</f>
        <v>-1.382722527474952E-2</v>
      </c>
      <c r="D192" s="24">
        <f>(Table13456789101112131415161734[[#This Row],[FRA]]-B180)/B180</f>
        <v>1.7745920496446809E-2</v>
      </c>
    </row>
    <row r="193" spans="1:4" x14ac:dyDescent="0.2">
      <c r="A193" s="22">
        <v>38930</v>
      </c>
      <c r="B193" s="92">
        <f>VLOOKUP(A193,Database!$E:$AY,MATCH($B$4,Database!$E$1:$AY$1,0),FALSE)</f>
        <v>110.51090000000001</v>
      </c>
      <c r="C193" s="23">
        <f>(Table13456789101112131415161734[[#This Row],[FRA]]-B192)/B192</f>
        <v>-6.740912575756622E-3</v>
      </c>
      <c r="D193" s="24">
        <f>(Table13456789101112131415161734[[#This Row],[FRA]]-B181)/B181</f>
        <v>1.6557677289030001E-2</v>
      </c>
    </row>
    <row r="194" spans="1:4" x14ac:dyDescent="0.2">
      <c r="A194" s="22">
        <v>38961</v>
      </c>
      <c r="B194" s="92">
        <f>VLOOKUP(A194,Database!$E:$AY,MATCH($B$4,Database!$E$1:$AY$1,0),FALSE)</f>
        <v>112.2109</v>
      </c>
      <c r="C194" s="23">
        <f>(Table13456789101112131415161734[[#This Row],[FRA]]-B193)/B193</f>
        <v>1.5383097956853021E-2</v>
      </c>
      <c r="D194" s="24">
        <f>(Table13456789101112131415161734[[#This Row],[FRA]]-B182)/B182</f>
        <v>6.4579261625836628E-3</v>
      </c>
    </row>
    <row r="195" spans="1:4" x14ac:dyDescent="0.2">
      <c r="A195" s="22">
        <v>38991</v>
      </c>
      <c r="B195" s="92">
        <f>VLOOKUP(A195,Database!$E:$AY,MATCH($B$4,Database!$E$1:$AY$1,0),FALSE)</f>
        <v>111.3109</v>
      </c>
      <c r="C195" s="23">
        <f>(Table13456789101112131415161734[[#This Row],[FRA]]-B194)/B194</f>
        <v>-8.0206111883960613E-3</v>
      </c>
      <c r="D195" s="24">
        <f>(Table13456789101112131415161734[[#This Row],[FRA]]-B183)/B183</f>
        <v>2.8647760992654241E-2</v>
      </c>
    </row>
    <row r="196" spans="1:4" x14ac:dyDescent="0.2">
      <c r="A196" s="22">
        <v>39022</v>
      </c>
      <c r="B196" s="92">
        <f>VLOOKUP(A196,Database!$E:$AY,MATCH($B$4,Database!$E$1:$AY$1,0),FALSE)</f>
        <v>110.68089999999999</v>
      </c>
      <c r="C196" s="23">
        <f>(Table13456789101112131415161734[[#This Row],[FRA]]-B195)/B195</f>
        <v>-5.6598230721340822E-3</v>
      </c>
      <c r="D196" s="24">
        <f>(Table13456789101112131415161734[[#This Row],[FRA]]-B184)/B184</f>
        <v>-1.6614704991252886E-2</v>
      </c>
    </row>
    <row r="197" spans="1:4" x14ac:dyDescent="0.2">
      <c r="A197" s="22">
        <v>39052</v>
      </c>
      <c r="B197" s="92">
        <f>VLOOKUP(A197,Database!$E:$AY,MATCH($B$4,Database!$E$1:$AY$1,0),FALSE)</f>
        <v>112.5309</v>
      </c>
      <c r="C197" s="23">
        <f>(Table13456789101112131415161734[[#This Row],[FRA]]-B196)/B196</f>
        <v>1.6714717715522812E-2</v>
      </c>
      <c r="D197" s="24">
        <f>(Table13456789101112131415161734[[#This Row],[FRA]]-B185)/B185</f>
        <v>1.1687399814260219E-2</v>
      </c>
    </row>
    <row r="198" spans="1:4" x14ac:dyDescent="0.2">
      <c r="A198" s="22">
        <v>39083</v>
      </c>
      <c r="B198" s="92">
        <f>VLOOKUP(A198,Database!$E:$AY,MATCH($B$4,Database!$E$1:$AY$1,0),FALSE)</f>
        <v>111.3009</v>
      </c>
      <c r="C198" s="23">
        <f>(Table13456789101112131415161734[[#This Row],[FRA]]-B197)/B197</f>
        <v>-1.0930331135714759E-2</v>
      </c>
      <c r="D198" s="24">
        <f>(Table13456789101112131415161734[[#This Row],[FRA]]-B186)/B186</f>
        <v>7.0574886740878981E-3</v>
      </c>
    </row>
    <row r="199" spans="1:4" x14ac:dyDescent="0.2">
      <c r="A199" s="22">
        <v>39114</v>
      </c>
      <c r="B199" s="92">
        <f>VLOOKUP(A199,Database!$E:$AY,MATCH($B$4,Database!$E$1:$AY$1,0),FALSE)</f>
        <v>112.3109</v>
      </c>
      <c r="C199" s="23">
        <f>(Table13456789101112131415161734[[#This Row],[FRA]]-B198)/B198</f>
        <v>9.0744998468117073E-3</v>
      </c>
      <c r="D199" s="24">
        <f>(Table13456789101112131415161734[[#This Row],[FRA]]-B187)/B187</f>
        <v>2.32323167904053E-2</v>
      </c>
    </row>
    <row r="200" spans="1:4" x14ac:dyDescent="0.2">
      <c r="A200" s="22">
        <v>39142</v>
      </c>
      <c r="B200" s="92">
        <f>VLOOKUP(A200,Database!$E:$AY,MATCH($B$4,Database!$E$1:$AY$1,0),FALSE)</f>
        <v>113.15089999999999</v>
      </c>
      <c r="C200" s="23">
        <f>(Table13456789101112131415161734[[#This Row],[FRA]]-B199)/B199</f>
        <v>7.4792384354500693E-3</v>
      </c>
      <c r="D200" s="24">
        <f>(Table13456789101112131415161734[[#This Row],[FRA]]-B188)/B188</f>
        <v>1.2165569827239958E-2</v>
      </c>
    </row>
    <row r="201" spans="1:4" x14ac:dyDescent="0.2">
      <c r="A201" s="22">
        <v>39173</v>
      </c>
      <c r="B201" s="92">
        <f>VLOOKUP(A201,Database!$E:$AY,MATCH($B$4,Database!$E$1:$AY$1,0),FALSE)</f>
        <v>111.2709</v>
      </c>
      <c r="C201" s="23">
        <f>(Table13456789101112131415161734[[#This Row],[FRA]]-B200)/B200</f>
        <v>-1.6614980526005498E-2</v>
      </c>
      <c r="D201" s="24">
        <f>(Table13456789101112131415161734[[#This Row],[FRA]]-B189)/B189</f>
        <v>4.4955579392000209E-4</v>
      </c>
    </row>
    <row r="202" spans="1:4" x14ac:dyDescent="0.2">
      <c r="A202" s="22">
        <v>39203</v>
      </c>
      <c r="B202" s="92">
        <f>VLOOKUP(A202,Database!$E:$AY,MATCH($B$4,Database!$E$1:$AY$1,0),FALSE)</f>
        <v>113.9409</v>
      </c>
      <c r="C202" s="23">
        <f>(Table13456789101112131415161734[[#This Row],[FRA]]-B201)/B201</f>
        <v>2.399549208283569E-2</v>
      </c>
      <c r="D202" s="24">
        <f>(Table13456789101112131415161734[[#This Row],[FRA]]-B190)/B190</f>
        <v>8.2292946963522327E-3</v>
      </c>
    </row>
    <row r="203" spans="1:4" x14ac:dyDescent="0.2">
      <c r="A203" s="22">
        <v>39234</v>
      </c>
      <c r="B203" s="92">
        <f>VLOOKUP(A203,Database!$E:$AY,MATCH($B$4,Database!$E$1:$AY$1,0),FALSE)</f>
        <v>113.51090000000001</v>
      </c>
      <c r="C203" s="23">
        <f>(Table13456789101112131415161734[[#This Row],[FRA]]-B202)/B202</f>
        <v>-3.7738862866625823E-3</v>
      </c>
      <c r="D203" s="24">
        <f>(Table13456789101112131415161734[[#This Row],[FRA]]-B191)/B191</f>
        <v>6.1158881022932094E-3</v>
      </c>
    </row>
    <row r="204" spans="1:4" x14ac:dyDescent="0.2">
      <c r="A204" s="22">
        <v>39264</v>
      </c>
      <c r="B204" s="92">
        <f>VLOOKUP(A204,Database!$E:$AY,MATCH($B$4,Database!$E$1:$AY$1,0),FALSE)</f>
        <v>113.6609</v>
      </c>
      <c r="C204" s="23">
        <f>(Table13456789101112131415161734[[#This Row],[FRA]]-B203)/B203</f>
        <v>1.3214589964487241E-3</v>
      </c>
      <c r="D204" s="24">
        <f>(Table13456789101112131415161734[[#This Row],[FRA]]-B192)/B192</f>
        <v>2.1570920242421115E-2</v>
      </c>
    </row>
    <row r="205" spans="1:4" x14ac:dyDescent="0.2">
      <c r="A205" s="22">
        <v>39295</v>
      </c>
      <c r="B205" s="92">
        <f>VLOOKUP(A205,Database!$E:$AY,MATCH($B$4,Database!$E$1:$AY$1,0),FALSE)</f>
        <v>114.351</v>
      </c>
      <c r="C205" s="23">
        <f>(Table13456789101112131415161734[[#This Row],[FRA]]-B204)/B204</f>
        <v>6.0715690268157395E-3</v>
      </c>
      <c r="D205" s="24">
        <f>(Table13456789101112131415161734[[#This Row],[FRA]]-B193)/B193</f>
        <v>3.4748608508300922E-2</v>
      </c>
    </row>
    <row r="206" spans="1:4" x14ac:dyDescent="0.2">
      <c r="A206" s="22">
        <v>39326</v>
      </c>
      <c r="B206" s="92">
        <f>VLOOKUP(A206,Database!$E:$AY,MATCH($B$4,Database!$E$1:$AY$1,0),FALSE)</f>
        <v>111.7209</v>
      </c>
      <c r="C206" s="23">
        <f>(Table13456789101112131415161734[[#This Row],[FRA]]-B205)/B205</f>
        <v>-2.3000236115119227E-2</v>
      </c>
      <c r="D206" s="24">
        <f>(Table13456789101112131415161734[[#This Row],[FRA]]-B194)/B194</f>
        <v>-4.3667772025711843E-3</v>
      </c>
    </row>
    <row r="207" spans="1:4" x14ac:dyDescent="0.2">
      <c r="A207" s="22">
        <v>39356</v>
      </c>
      <c r="B207" s="92">
        <f>VLOOKUP(A207,Database!$E:$AY,MATCH($B$4,Database!$E$1:$AY$1,0),FALSE)</f>
        <v>114.251</v>
      </c>
      <c r="C207" s="23">
        <f>(Table13456789101112131415161734[[#This Row],[FRA]]-B206)/B206</f>
        <v>2.2646613122522325E-2</v>
      </c>
      <c r="D207" s="24">
        <f>(Table13456789101112131415161734[[#This Row],[FRA]]-B195)/B195</f>
        <v>2.641340605457328E-2</v>
      </c>
    </row>
    <row r="208" spans="1:4" x14ac:dyDescent="0.2">
      <c r="A208" s="22">
        <v>39387</v>
      </c>
      <c r="B208" s="92">
        <f>VLOOKUP(A208,Database!$E:$AY,MATCH($B$4,Database!$E$1:$AY$1,0),FALSE)</f>
        <v>112.2709</v>
      </c>
      <c r="C208" s="23">
        <f>(Table13456789101112131415161734[[#This Row],[FRA]]-B207)/B207</f>
        <v>-1.7331139333572637E-2</v>
      </c>
      <c r="D208" s="24">
        <f>(Table13456789101112131415161734[[#This Row],[FRA]]-B196)/B196</f>
        <v>1.436562225280065E-2</v>
      </c>
    </row>
    <row r="209" spans="1:4" x14ac:dyDescent="0.2">
      <c r="A209" s="22">
        <v>39417</v>
      </c>
      <c r="B209" s="92">
        <f>VLOOKUP(A209,Database!$E:$AY,MATCH($B$4,Database!$E$1:$AY$1,0),FALSE)</f>
        <v>112.4509</v>
      </c>
      <c r="C209" s="23">
        <f>(Table13456789101112131415161734[[#This Row],[FRA]]-B208)/B208</f>
        <v>1.6032649600208676E-3</v>
      </c>
      <c r="D209" s="24">
        <f>(Table13456789101112131415161734[[#This Row],[FRA]]-B197)/B197</f>
        <v>-7.1091584622533276E-4</v>
      </c>
    </row>
    <row r="210" spans="1:4" x14ac:dyDescent="0.2">
      <c r="A210" s="22">
        <v>39448</v>
      </c>
      <c r="B210" s="92">
        <f>VLOOKUP(A210,Database!$E:$AY,MATCH($B$4,Database!$E$1:$AY$1,0),FALSE)</f>
        <v>113.4209</v>
      </c>
      <c r="C210" s="23">
        <f>(Table13456789101112131415161734[[#This Row],[FRA]]-B209)/B209</f>
        <v>8.6259869863202412E-3</v>
      </c>
      <c r="D210" s="24">
        <f>(Table13456789101112131415161734[[#This Row],[FRA]]-B198)/B198</f>
        <v>1.9047465024990853E-2</v>
      </c>
    </row>
    <row r="211" spans="1:4" x14ac:dyDescent="0.2">
      <c r="A211" s="22">
        <v>39479</v>
      </c>
      <c r="B211" s="92">
        <f>VLOOKUP(A211,Database!$E:$AY,MATCH($B$4,Database!$E$1:$AY$1,0),FALSE)</f>
        <v>114.45099999999999</v>
      </c>
      <c r="C211" s="23">
        <f>(Table13456789101112131415161734[[#This Row],[FRA]]-B210)/B210</f>
        <v>9.0821003889053099E-3</v>
      </c>
      <c r="D211" s="24">
        <f>(Table13456789101112131415161734[[#This Row],[FRA]]-B199)/B199</f>
        <v>1.9055140685365263E-2</v>
      </c>
    </row>
    <row r="212" spans="1:4" x14ac:dyDescent="0.2">
      <c r="A212" s="22">
        <v>39508</v>
      </c>
      <c r="B212" s="92">
        <f>VLOOKUP(A212,Database!$E:$AY,MATCH($B$4,Database!$E$1:$AY$1,0),FALSE)</f>
        <v>113.12090000000001</v>
      </c>
      <c r="C212" s="23">
        <f>(Table13456789101112131415161734[[#This Row],[FRA]]-B211)/B211</f>
        <v>-1.1621567308280289E-2</v>
      </c>
      <c r="D212" s="24">
        <f>(Table13456789101112131415161734[[#This Row],[FRA]]-B200)/B200</f>
        <v>-2.6513266796805794E-4</v>
      </c>
    </row>
    <row r="213" spans="1:4" x14ac:dyDescent="0.2">
      <c r="A213" s="22">
        <v>39539</v>
      </c>
      <c r="B213" s="92">
        <f>VLOOKUP(A213,Database!$E:$AY,MATCH($B$4,Database!$E$1:$AY$1,0),FALSE)</f>
        <v>115.571</v>
      </c>
      <c r="C213" s="23">
        <f>(Table13456789101112131415161734[[#This Row],[FRA]]-B212)/B212</f>
        <v>2.1659127535229934E-2</v>
      </c>
      <c r="D213" s="24">
        <f>(Table13456789101112131415161734[[#This Row],[FRA]]-B201)/B201</f>
        <v>3.8645324159326477E-2</v>
      </c>
    </row>
    <row r="214" spans="1:4" x14ac:dyDescent="0.2">
      <c r="A214" s="22">
        <v>39569</v>
      </c>
      <c r="B214" s="92">
        <f>VLOOKUP(A214,Database!$E:$AY,MATCH($B$4,Database!$E$1:$AY$1,0),FALSE)</f>
        <v>110.12090000000001</v>
      </c>
      <c r="C214" s="23">
        <f>(Table13456789101112131415161734[[#This Row],[FRA]]-B213)/B213</f>
        <v>-4.7158024071782642E-2</v>
      </c>
      <c r="D214" s="24">
        <f>(Table13456789101112131415161734[[#This Row],[FRA]]-B202)/B202</f>
        <v>-3.3526152593142525E-2</v>
      </c>
    </row>
    <row r="215" spans="1:4" x14ac:dyDescent="0.2">
      <c r="A215" s="22">
        <v>39600</v>
      </c>
      <c r="B215" s="92">
        <f>VLOOKUP(A215,Database!$E:$AY,MATCH($B$4,Database!$E$1:$AY$1,0),FALSE)</f>
        <v>109.8009</v>
      </c>
      <c r="C215" s="23">
        <f>(Table13456789101112131415161734[[#This Row],[FRA]]-B214)/B214</f>
        <v>-2.90589706404513E-3</v>
      </c>
      <c r="D215" s="24">
        <f>(Table13456789101112131415161734[[#This Row],[FRA]]-B203)/B203</f>
        <v>-3.2684085845500366E-2</v>
      </c>
    </row>
    <row r="216" spans="1:4" x14ac:dyDescent="0.2">
      <c r="A216" s="22">
        <v>39630</v>
      </c>
      <c r="B216" s="92">
        <f>VLOOKUP(A216,Database!$E:$AY,MATCH($B$4,Database!$E$1:$AY$1,0),FALSE)</f>
        <v>110.6609</v>
      </c>
      <c r="C216" s="23">
        <f>(Table13456789101112131415161734[[#This Row],[FRA]]-B215)/B215</f>
        <v>7.8323583868620331E-3</v>
      </c>
      <c r="D216" s="24">
        <f>(Table13456789101112131415161734[[#This Row],[FRA]]-B204)/B204</f>
        <v>-2.6394300942540486E-2</v>
      </c>
    </row>
    <row r="217" spans="1:4" x14ac:dyDescent="0.2">
      <c r="A217" s="22">
        <v>39661</v>
      </c>
      <c r="B217" s="92">
        <f>VLOOKUP(A217,Database!$E:$AY,MATCH($B$4,Database!$E$1:$AY$1,0),FALSE)</f>
        <v>109.1009</v>
      </c>
      <c r="C217" s="23">
        <f>(Table13456789101112131415161734[[#This Row],[FRA]]-B216)/B216</f>
        <v>-1.4097120121018375E-2</v>
      </c>
      <c r="D217" s="24">
        <f>(Table13456789101112131415161734[[#This Row],[FRA]]-B205)/B205</f>
        <v>-4.5912147685634612E-2</v>
      </c>
    </row>
    <row r="218" spans="1:4" x14ac:dyDescent="0.2">
      <c r="A218" s="22">
        <v>39692</v>
      </c>
      <c r="B218" s="92">
        <f>VLOOKUP(A218,Database!$E:$AY,MATCH($B$4,Database!$E$1:$AY$1,0),FALSE)</f>
        <v>108.6309</v>
      </c>
      <c r="C218" s="23">
        <f>(Table13456789101112131415161734[[#This Row],[FRA]]-B217)/B217</f>
        <v>-4.3079387979384123E-3</v>
      </c>
      <c r="D218" s="24">
        <f>(Table13456789101112131415161734[[#This Row],[FRA]]-B206)/B206</f>
        <v>-2.7658208983278899E-2</v>
      </c>
    </row>
    <row r="219" spans="1:4" x14ac:dyDescent="0.2">
      <c r="A219" s="22">
        <v>39722</v>
      </c>
      <c r="B219" s="92">
        <f>VLOOKUP(A219,Database!$E:$AY,MATCH($B$4,Database!$E$1:$AY$1,0),FALSE)</f>
        <v>106.6009</v>
      </c>
      <c r="C219" s="23">
        <f>(Table13456789101112131415161734[[#This Row],[FRA]]-B218)/B218</f>
        <v>-1.8687132298452844E-2</v>
      </c>
      <c r="D219" s="24">
        <f>(Table13456789101112131415161734[[#This Row],[FRA]]-B207)/B207</f>
        <v>-6.6958713709289269E-2</v>
      </c>
    </row>
    <row r="220" spans="1:4" x14ac:dyDescent="0.2">
      <c r="A220" s="22">
        <v>39753</v>
      </c>
      <c r="B220" s="92">
        <f>VLOOKUP(A220,Database!$E:$AY,MATCH($B$4,Database!$E$1:$AY$1,0),FALSE)</f>
        <v>101.2508</v>
      </c>
      <c r="C220" s="23">
        <f>(Table13456789101112131415161734[[#This Row],[FRA]]-B219)/B219</f>
        <v>-5.0188131619901877E-2</v>
      </c>
      <c r="D220" s="24">
        <f>(Table13456789101112131415161734[[#This Row],[FRA]]-B208)/B208</f>
        <v>-9.8156334366251624E-2</v>
      </c>
    </row>
    <row r="221" spans="1:4" x14ac:dyDescent="0.2">
      <c r="A221" s="22">
        <v>39783</v>
      </c>
      <c r="B221" s="92">
        <f>VLOOKUP(A221,Database!$E:$AY,MATCH($B$4,Database!$E$1:$AY$1,0),FALSE)</f>
        <v>99.850830000000002</v>
      </c>
      <c r="C221" s="23">
        <f>(Table13456789101112131415161734[[#This Row],[FRA]]-B220)/B220</f>
        <v>-1.3826754949096661E-2</v>
      </c>
      <c r="D221" s="24">
        <f>(Table13456789101112131415161734[[#This Row],[FRA]]-B209)/B209</f>
        <v>-0.11204952561517961</v>
      </c>
    </row>
    <row r="222" spans="1:4" x14ac:dyDescent="0.2">
      <c r="A222" s="22">
        <v>39814</v>
      </c>
      <c r="B222" s="92">
        <f>VLOOKUP(A222,Database!$E:$AY,MATCH($B$4,Database!$E$1:$AY$1,0),FALSE)</f>
        <v>96.180800000000005</v>
      </c>
      <c r="C222" s="23">
        <f>(Table13456789101112131415161734[[#This Row],[FRA]]-B221)/B221</f>
        <v>-3.6755127623876505E-2</v>
      </c>
      <c r="D222" s="24">
        <f>(Table13456789101112131415161734[[#This Row],[FRA]]-B210)/B210</f>
        <v>-0.15200108621955916</v>
      </c>
    </row>
    <row r="223" spans="1:4" x14ac:dyDescent="0.2">
      <c r="A223" s="22">
        <v>39845</v>
      </c>
      <c r="B223" s="92">
        <f>VLOOKUP(A223,Database!$E:$AY,MATCH($B$4,Database!$E$1:$AY$1,0),FALSE)</f>
        <v>94.840789999999998</v>
      </c>
      <c r="C223" s="23">
        <f>(Table13456789101112131415161734[[#This Row],[FRA]]-B222)/B222</f>
        <v>-1.3932198526109229E-2</v>
      </c>
      <c r="D223" s="24">
        <f>(Table13456789101112131415161734[[#This Row],[FRA]]-B211)/B211</f>
        <v>-0.17134153480528783</v>
      </c>
    </row>
    <row r="224" spans="1:4" x14ac:dyDescent="0.2">
      <c r="A224" s="22">
        <v>39873</v>
      </c>
      <c r="B224" s="92">
        <f>VLOOKUP(A224,Database!$E:$AY,MATCH($B$4,Database!$E$1:$AY$1,0),FALSE)</f>
        <v>93.10078</v>
      </c>
      <c r="C224" s="23">
        <f>(Table13456789101112131415161734[[#This Row],[FRA]]-B223)/B223</f>
        <v>-1.834664177723528E-2</v>
      </c>
      <c r="D224" s="24">
        <f>(Table13456789101112131415161734[[#This Row],[FRA]]-B212)/B212</f>
        <v>-0.17697985076144201</v>
      </c>
    </row>
    <row r="225" spans="1:4" x14ac:dyDescent="0.2">
      <c r="A225" s="22">
        <v>39904</v>
      </c>
      <c r="B225" s="92">
        <f>VLOOKUP(A225,Database!$E:$AY,MATCH($B$4,Database!$E$1:$AY$1,0),FALSE)</f>
        <v>93.060779999999994</v>
      </c>
      <c r="C225" s="23">
        <f>(Table13456789101112131415161734[[#This Row],[FRA]]-B224)/B224</f>
        <v>-4.2964194284952559E-4</v>
      </c>
      <c r="D225" s="24">
        <f>(Table13456789101112131415161734[[#This Row],[FRA]]-B213)/B213</f>
        <v>-0.19477394848188564</v>
      </c>
    </row>
    <row r="226" spans="1:4" x14ac:dyDescent="0.2">
      <c r="A226" s="22">
        <v>39934</v>
      </c>
      <c r="B226" s="92">
        <f>VLOOKUP(A226,Database!$E:$AY,MATCH($B$4,Database!$E$1:$AY$1,0),FALSE)</f>
        <v>94.160780000000003</v>
      </c>
      <c r="C226" s="23">
        <f>(Table13456789101112131415161734[[#This Row],[FRA]]-B225)/B225</f>
        <v>1.1820231895756823E-2</v>
      </c>
      <c r="D226" s="24">
        <f>(Table13456789101112131415161734[[#This Row],[FRA]]-B214)/B214</f>
        <v>-0.14493270578064657</v>
      </c>
    </row>
    <row r="227" spans="1:4" x14ac:dyDescent="0.2">
      <c r="A227" s="22">
        <v>39965</v>
      </c>
      <c r="B227" s="92">
        <f>VLOOKUP(A227,Database!$E:$AY,MATCH($B$4,Database!$E$1:$AY$1,0),FALSE)</f>
        <v>95.390789999999996</v>
      </c>
      <c r="C227" s="23">
        <f>(Table13456789101112131415161734[[#This Row],[FRA]]-B226)/B226</f>
        <v>1.306286970010224E-2</v>
      </c>
      <c r="D227" s="24">
        <f>(Table13456789101112131415161734[[#This Row],[FRA]]-B215)/B215</f>
        <v>-0.13123854176058669</v>
      </c>
    </row>
    <row r="228" spans="1:4" x14ac:dyDescent="0.2">
      <c r="A228" s="22">
        <v>39995</v>
      </c>
      <c r="B228" s="92">
        <f>VLOOKUP(A228,Database!$E:$AY,MATCH($B$4,Database!$E$1:$AY$1,0),FALSE)</f>
        <v>95.01079</v>
      </c>
      <c r="C228" s="23">
        <f>(Table13456789101112131415161734[[#This Row],[FRA]]-B227)/B227</f>
        <v>-3.9836130930459377E-3</v>
      </c>
      <c r="D228" s="24">
        <f>(Table13456789101112131415161734[[#This Row],[FRA]]-B216)/B216</f>
        <v>-0.14142402601099394</v>
      </c>
    </row>
    <row r="229" spans="1:4" x14ac:dyDescent="0.2">
      <c r="A229" s="22">
        <v>40026</v>
      </c>
      <c r="B229" s="92">
        <f>VLOOKUP(A229,Database!$E:$AY,MATCH($B$4,Database!$E$1:$AY$1,0),FALSE)</f>
        <v>96.600809999999996</v>
      </c>
      <c r="C229" s="23">
        <f>(Table13456789101112131415161734[[#This Row],[FRA]]-B228)/B228</f>
        <v>1.6735151870645382E-2</v>
      </c>
      <c r="D229" s="24">
        <f>(Table13456789101112131415161734[[#This Row],[FRA]]-B217)/B217</f>
        <v>-0.11457366529515339</v>
      </c>
    </row>
    <row r="230" spans="1:4" x14ac:dyDescent="0.2">
      <c r="A230" s="22">
        <v>40057</v>
      </c>
      <c r="B230" s="92">
        <f>VLOOKUP(A230,Database!$E:$AY,MATCH($B$4,Database!$E$1:$AY$1,0),FALSE)</f>
        <v>97.090810000000005</v>
      </c>
      <c r="C230" s="23">
        <f>(Table13456789101112131415161734[[#This Row],[FRA]]-B229)/B229</f>
        <v>5.0724212353913918E-3</v>
      </c>
      <c r="D230" s="24">
        <f>(Table13456789101112131415161734[[#This Row],[FRA]]-B218)/B218</f>
        <v>-0.1062321125941145</v>
      </c>
    </row>
    <row r="231" spans="1:4" x14ac:dyDescent="0.2">
      <c r="A231" s="22">
        <v>40087</v>
      </c>
      <c r="B231" s="92">
        <f>VLOOKUP(A231,Database!$E:$AY,MATCH($B$4,Database!$E$1:$AY$1,0),FALSE)</f>
        <v>96.440799999999996</v>
      </c>
      <c r="C231" s="23">
        <f>(Table13456789101112131415161734[[#This Row],[FRA]]-B230)/B230</f>
        <v>-6.6948663833375048E-3</v>
      </c>
      <c r="D231" s="24">
        <f>(Table13456789101112131415161734[[#This Row],[FRA]]-B219)/B219</f>
        <v>-9.5309701888070364E-2</v>
      </c>
    </row>
    <row r="232" spans="1:4" x14ac:dyDescent="0.2">
      <c r="A232" s="22">
        <v>40118</v>
      </c>
      <c r="B232" s="92">
        <f>VLOOKUP(A232,Database!$E:$AY,MATCH($B$4,Database!$E$1:$AY$1,0),FALSE)</f>
        <v>97.380809999999997</v>
      </c>
      <c r="C232" s="23">
        <f>(Table13456789101112131415161734[[#This Row],[FRA]]-B231)/B231</f>
        <v>9.7470157858499818E-3</v>
      </c>
      <c r="D232" s="24">
        <f>(Table13456789101112131415161734[[#This Row],[FRA]]-B220)/B220</f>
        <v>-3.8221821457213194E-2</v>
      </c>
    </row>
    <row r="233" spans="1:4" x14ac:dyDescent="0.2">
      <c r="A233" s="22">
        <v>40148</v>
      </c>
      <c r="B233" s="92">
        <f>VLOOKUP(A233,Database!$E:$AY,MATCH($B$4,Database!$E$1:$AY$1,0),FALSE)</f>
        <v>97.08081</v>
      </c>
      <c r="C233" s="23">
        <f>(Table13456789101112131415161734[[#This Row],[FRA]]-B232)/B232</f>
        <v>-3.0806891008608077E-3</v>
      </c>
      <c r="D233" s="24">
        <f>(Table13456789101112131415161734[[#This Row],[FRA]]-B221)/B221</f>
        <v>-2.7741582118045512E-2</v>
      </c>
    </row>
    <row r="234" spans="1:4" x14ac:dyDescent="0.2">
      <c r="A234" s="22">
        <v>40179</v>
      </c>
      <c r="B234" s="92">
        <f>VLOOKUP(A234,Database!$E:$AY,MATCH($B$4,Database!$E$1:$AY$1,0),FALSE)</f>
        <v>98.120819999999995</v>
      </c>
      <c r="C234" s="23">
        <f>(Table13456789101112131415161734[[#This Row],[FRA]]-B233)/B233</f>
        <v>1.0712827797790266E-2</v>
      </c>
      <c r="D234" s="24">
        <f>(Table13456789101112131415161734[[#This Row],[FRA]]-B222)/B222</f>
        <v>2.0170553790361378E-2</v>
      </c>
    </row>
    <row r="235" spans="1:4" x14ac:dyDescent="0.2">
      <c r="A235" s="22">
        <v>40210</v>
      </c>
      <c r="B235" s="92">
        <f>VLOOKUP(A235,Database!$E:$AY,MATCH($B$4,Database!$E$1:$AY$1,0),FALSE)</f>
        <v>97.500810000000001</v>
      </c>
      <c r="C235" s="23">
        <f>(Table13456789101112131415161734[[#This Row],[FRA]]-B234)/B234</f>
        <v>-6.3188424230453183E-3</v>
      </c>
      <c r="D235" s="24">
        <f>(Table13456789101112131415161734[[#This Row],[FRA]]-B223)/B223</f>
        <v>2.8047214705824393E-2</v>
      </c>
    </row>
    <row r="236" spans="1:4" x14ac:dyDescent="0.2">
      <c r="A236" s="22">
        <v>40238</v>
      </c>
      <c r="B236" s="92">
        <f>VLOOKUP(A236,Database!$E:$AY,MATCH($B$4,Database!$E$1:$AY$1,0),FALSE)</f>
        <v>99.420829999999995</v>
      </c>
      <c r="C236" s="23">
        <f>(Table13456789101112131415161734[[#This Row],[FRA]]-B235)/B235</f>
        <v>1.96923492225346E-2</v>
      </c>
      <c r="D236" s="24">
        <f>(Table13456789101112131415161734[[#This Row],[FRA]]-B224)/B224</f>
        <v>6.7883964022642934E-2</v>
      </c>
    </row>
    <row r="237" spans="1:4" x14ac:dyDescent="0.2">
      <c r="A237" s="22">
        <v>40269</v>
      </c>
      <c r="B237" s="92">
        <f>VLOOKUP(A237,Database!$E:$AY,MATCH($B$4,Database!$E$1:$AY$1,0),FALSE)</f>
        <v>99.040819999999997</v>
      </c>
      <c r="C237" s="23">
        <f>(Table13456789101112131415161734[[#This Row],[FRA]]-B236)/B236</f>
        <v>-3.8222372514894378E-3</v>
      </c>
      <c r="D237" s="24">
        <f>(Table13456789101112131415161734[[#This Row],[FRA]]-B225)/B225</f>
        <v>6.4259508678091923E-2</v>
      </c>
    </row>
    <row r="238" spans="1:4" x14ac:dyDescent="0.2">
      <c r="A238" s="22">
        <v>40299</v>
      </c>
      <c r="B238" s="92">
        <f>VLOOKUP(A238,Database!$E:$AY,MATCH($B$4,Database!$E$1:$AY$1,0),FALSE)</f>
        <v>99.84084</v>
      </c>
      <c r="C238" s="23">
        <f>(Table13456789101112131415161734[[#This Row],[FRA]]-B237)/B237</f>
        <v>8.077679486094759E-3</v>
      </c>
      <c r="D238" s="24">
        <f>(Table13456789101112131415161734[[#This Row],[FRA]]-B226)/B226</f>
        <v>6.032299222669988E-2</v>
      </c>
    </row>
    <row r="239" spans="1:4" x14ac:dyDescent="0.2">
      <c r="A239" s="22">
        <v>40330</v>
      </c>
      <c r="B239" s="92">
        <f>VLOOKUP(A239,Database!$E:$AY,MATCH($B$4,Database!$E$1:$AY$1,0),FALSE)</f>
        <v>99.420829999999995</v>
      </c>
      <c r="C239" s="23">
        <f>(Table13456789101112131415161734[[#This Row],[FRA]]-B238)/B238</f>
        <v>-4.2067955357747875E-3</v>
      </c>
      <c r="D239" s="24">
        <f>(Table13456789101112131415161734[[#This Row],[FRA]]-B227)/B227</f>
        <v>4.2247684498681687E-2</v>
      </c>
    </row>
    <row r="240" spans="1:4" x14ac:dyDescent="0.2">
      <c r="A240" s="22">
        <v>40360</v>
      </c>
      <c r="B240" s="92">
        <f>VLOOKUP(A240,Database!$E:$AY,MATCH($B$4,Database!$E$1:$AY$1,0),FALSE)</f>
        <v>100.10080000000001</v>
      </c>
      <c r="C240" s="23">
        <f>(Table13456789101112131415161734[[#This Row],[FRA]]-B239)/B239</f>
        <v>6.8393112389024671E-3</v>
      </c>
      <c r="D240" s="24">
        <f>(Table13456789101112131415161734[[#This Row],[FRA]]-B228)/B228</f>
        <v>5.3572967870280909E-2</v>
      </c>
    </row>
    <row r="241" spans="1:4" x14ac:dyDescent="0.2">
      <c r="A241" s="22">
        <v>40391</v>
      </c>
      <c r="B241" s="92">
        <f>VLOOKUP(A241,Database!$E:$AY,MATCH($B$4,Database!$E$1:$AY$1,0),FALSE)</f>
        <v>99.080830000000006</v>
      </c>
      <c r="C241" s="23">
        <f>(Table13456789101112131415161734[[#This Row],[FRA]]-B240)/B240</f>
        <v>-1.018942905551205E-2</v>
      </c>
      <c r="D241" s="24">
        <f>(Table13456789101112131415161734[[#This Row],[FRA]]-B229)/B229</f>
        <v>2.5672869616724853E-2</v>
      </c>
    </row>
    <row r="242" spans="1:4" x14ac:dyDescent="0.2">
      <c r="A242" s="22">
        <v>40422</v>
      </c>
      <c r="B242" s="92">
        <f>VLOOKUP(A242,Database!$E:$AY,MATCH($B$4,Database!$E$1:$AY$1,0),FALSE)</f>
        <v>100.2908</v>
      </c>
      <c r="C242" s="23">
        <f>(Table13456789101112131415161734[[#This Row],[FRA]]-B241)/B241</f>
        <v>1.2211948567649246E-2</v>
      </c>
      <c r="D242" s="24">
        <f>(Table13456789101112131415161734[[#This Row],[FRA]]-B230)/B230</f>
        <v>3.2958732139529989E-2</v>
      </c>
    </row>
    <row r="243" spans="1:4" x14ac:dyDescent="0.2">
      <c r="A243" s="22">
        <v>40452</v>
      </c>
      <c r="B243" s="92">
        <f>VLOOKUP(A243,Database!$E:$AY,MATCH($B$4,Database!$E$1:$AY$1,0),FALSE)</f>
        <v>100.1408</v>
      </c>
      <c r="C243" s="23">
        <f>(Table13456789101112131415161734[[#This Row],[FRA]]-B242)/B242</f>
        <v>-1.4956506479159174E-3</v>
      </c>
      <c r="D243" s="24">
        <f>(Table13456789101112131415161734[[#This Row],[FRA]]-B231)/B231</f>
        <v>3.8365505055951453E-2</v>
      </c>
    </row>
    <row r="244" spans="1:4" x14ac:dyDescent="0.2">
      <c r="A244" s="22">
        <v>40483</v>
      </c>
      <c r="B244" s="92">
        <f>VLOOKUP(A244,Database!$E:$AY,MATCH($B$4,Database!$E$1:$AY$1,0),FALSE)</f>
        <v>101.41079999999999</v>
      </c>
      <c r="C244" s="23">
        <f>(Table13456789101112131415161734[[#This Row],[FRA]]-B243)/B243</f>
        <v>1.2682143541892975E-2</v>
      </c>
      <c r="D244" s="24">
        <f>(Table13456789101112131415161734[[#This Row],[FRA]]-B232)/B232</f>
        <v>4.1383820898593861E-2</v>
      </c>
    </row>
    <row r="245" spans="1:4" x14ac:dyDescent="0.2">
      <c r="A245" s="22">
        <v>40513</v>
      </c>
      <c r="B245" s="92">
        <f>VLOOKUP(A245,Database!$E:$AY,MATCH($B$4,Database!$E$1:$AY$1,0),FALSE)</f>
        <v>102.7409</v>
      </c>
      <c r="C245" s="23">
        <f>(Table13456789101112131415161734[[#This Row],[FRA]]-B244)/B244</f>
        <v>1.3115960035814743E-2</v>
      </c>
      <c r="D245" s="24">
        <f>(Table13456789101112131415161734[[#This Row],[FRA]]-B233)/B233</f>
        <v>5.8302871597383628E-2</v>
      </c>
    </row>
    <row r="246" spans="1:4" x14ac:dyDescent="0.2">
      <c r="A246" s="22">
        <v>40544</v>
      </c>
      <c r="B246" s="92">
        <f>VLOOKUP(A246,Database!$E:$AY,MATCH($B$4,Database!$E$1:$AY$1,0),FALSE)</f>
        <v>103.9709</v>
      </c>
      <c r="C246" s="23">
        <f>(Table13456789101112131415161734[[#This Row],[FRA]]-B245)/B245</f>
        <v>1.1971863201509857E-2</v>
      </c>
      <c r="D246" s="24">
        <f>(Table13456789101112131415161734[[#This Row],[FRA]]-B234)/B234</f>
        <v>5.9621189468249507E-2</v>
      </c>
    </row>
    <row r="247" spans="1:4" x14ac:dyDescent="0.2">
      <c r="A247" s="22">
        <v>40575</v>
      </c>
      <c r="B247" s="92">
        <f>VLOOKUP(A247,Database!$E:$AY,MATCH($B$4,Database!$E$1:$AY$1,0),FALSE)</f>
        <v>104.3009</v>
      </c>
      <c r="C247" s="23">
        <f>(Table13456789101112131415161734[[#This Row],[FRA]]-B246)/B246</f>
        <v>3.173965022905431E-3</v>
      </c>
      <c r="D247" s="24">
        <f>(Table13456789101112131415161734[[#This Row],[FRA]]-B235)/B235</f>
        <v>6.9743933409373696E-2</v>
      </c>
    </row>
    <row r="248" spans="1:4" x14ac:dyDescent="0.2">
      <c r="A248" s="22">
        <v>40603</v>
      </c>
      <c r="B248" s="92">
        <f>VLOOKUP(A248,Database!$E:$AY,MATCH($B$4,Database!$E$1:$AY$1,0),FALSE)</f>
        <v>102.9909</v>
      </c>
      <c r="C248" s="23">
        <f>(Table13456789101112131415161734[[#This Row],[FRA]]-B247)/B247</f>
        <v>-1.2559814920101383E-2</v>
      </c>
      <c r="D248" s="24">
        <f>(Table13456789101112131415161734[[#This Row],[FRA]]-B236)/B236</f>
        <v>3.5908672257111529E-2</v>
      </c>
    </row>
    <row r="249" spans="1:4" x14ac:dyDescent="0.2">
      <c r="A249" s="22">
        <v>40634</v>
      </c>
      <c r="B249" s="92">
        <f>VLOOKUP(A249,Database!$E:$AY,MATCH($B$4,Database!$E$1:$AY$1,0),FALSE)</f>
        <v>101.2508</v>
      </c>
      <c r="C249" s="23">
        <f>(Table13456789101112131415161734[[#This Row],[FRA]]-B248)/B248</f>
        <v>-1.6895667481301731E-2</v>
      </c>
      <c r="D249" s="24">
        <f>(Table13456789101112131415161734[[#This Row],[FRA]]-B237)/B237</f>
        <v>2.2313829792604722E-2</v>
      </c>
    </row>
    <row r="250" spans="1:4" x14ac:dyDescent="0.2">
      <c r="A250" s="22">
        <v>40664</v>
      </c>
      <c r="B250" s="92">
        <f>VLOOKUP(A250,Database!$E:$AY,MATCH($B$4,Database!$E$1:$AY$1,0),FALSE)</f>
        <v>104.5609</v>
      </c>
      <c r="C250" s="23">
        <f>(Table13456789101112131415161734[[#This Row],[FRA]]-B249)/B249</f>
        <v>3.2692087371161568E-2</v>
      </c>
      <c r="D250" s="24">
        <f>(Table13456789101112131415161734[[#This Row],[FRA]]-B238)/B238</f>
        <v>4.7275844233682363E-2</v>
      </c>
    </row>
    <row r="251" spans="1:4" x14ac:dyDescent="0.2">
      <c r="A251" s="22">
        <v>40695</v>
      </c>
      <c r="B251" s="92">
        <f>VLOOKUP(A251,Database!$E:$AY,MATCH($B$4,Database!$E$1:$AY$1,0),FALSE)</f>
        <v>101.6908</v>
      </c>
      <c r="C251" s="23">
        <f>(Table13456789101112131415161734[[#This Row],[FRA]]-B250)/B250</f>
        <v>-2.74490751322914E-2</v>
      </c>
      <c r="D251" s="24">
        <f>(Table13456789101112131415161734[[#This Row],[FRA]]-B239)/B239</f>
        <v>2.2831935722121822E-2</v>
      </c>
    </row>
    <row r="252" spans="1:4" x14ac:dyDescent="0.2">
      <c r="A252" s="22">
        <v>40725</v>
      </c>
      <c r="B252" s="92">
        <f>VLOOKUP(A252,Database!$E:$AY,MATCH($B$4,Database!$E$1:$AY$1,0),FALSE)</f>
        <v>102.8409</v>
      </c>
      <c r="C252" s="23">
        <f>(Table13456789101112131415161734[[#This Row],[FRA]]-B251)/B251</f>
        <v>1.1309774335534867E-2</v>
      </c>
      <c r="D252" s="24">
        <f>(Table13456789101112131415161734[[#This Row],[FRA]]-B240)/B240</f>
        <v>2.7373407605134004E-2</v>
      </c>
    </row>
    <row r="253" spans="1:4" x14ac:dyDescent="0.2">
      <c r="A253" s="22">
        <v>40756</v>
      </c>
      <c r="B253" s="92">
        <f>VLOOKUP(A253,Database!$E:$AY,MATCH($B$4,Database!$E$1:$AY$1,0),FALSE)</f>
        <v>101.98090000000001</v>
      </c>
      <c r="C253" s="23">
        <f>(Table13456789101112131415161734[[#This Row],[FRA]]-B252)/B252</f>
        <v>-8.3624316784469931E-3</v>
      </c>
      <c r="D253" s="24">
        <f>(Table13456789101112131415161734[[#This Row],[FRA]]-B241)/B241</f>
        <v>2.926973865681181E-2</v>
      </c>
    </row>
    <row r="254" spans="1:4" x14ac:dyDescent="0.2">
      <c r="A254" s="22">
        <v>40787</v>
      </c>
      <c r="B254" s="92">
        <f>VLOOKUP(A254,Database!$E:$AY,MATCH($B$4,Database!$E$1:$AY$1,0),FALSE)</f>
        <v>101.21080000000001</v>
      </c>
      <c r="C254" s="23">
        <f>(Table13456789101112131415161734[[#This Row],[FRA]]-B253)/B253</f>
        <v>-7.551414039295587E-3</v>
      </c>
      <c r="D254" s="24">
        <f>(Table13456789101112131415161734[[#This Row],[FRA]]-B242)/B242</f>
        <v>9.1733239738839619E-3</v>
      </c>
    </row>
    <row r="255" spans="1:4" x14ac:dyDescent="0.2">
      <c r="A255" s="22">
        <v>40817</v>
      </c>
      <c r="B255" s="92">
        <f>VLOOKUP(A255,Database!$E:$AY,MATCH($B$4,Database!$E$1:$AY$1,0),FALSE)</f>
        <v>101.4508</v>
      </c>
      <c r="C255" s="23">
        <f>(Table13456789101112131415161734[[#This Row],[FRA]]-B254)/B254</f>
        <v>2.3712884395735915E-3</v>
      </c>
      <c r="D255" s="24">
        <f>(Table13456789101112131415161734[[#This Row],[FRA]]-B243)/B243</f>
        <v>1.3081581133763684E-2</v>
      </c>
    </row>
    <row r="256" spans="1:4" x14ac:dyDescent="0.2">
      <c r="A256" s="22">
        <v>40848</v>
      </c>
      <c r="B256" s="92">
        <f>VLOOKUP(A256,Database!$E:$AY,MATCH($B$4,Database!$E$1:$AY$1,0),FALSE)</f>
        <v>103.62090000000001</v>
      </c>
      <c r="C256" s="23">
        <f>(Table13456789101112131415161734[[#This Row],[FRA]]-B255)/B255</f>
        <v>2.139066424316028E-2</v>
      </c>
      <c r="D256" s="24">
        <f>(Table13456789101112131415161734[[#This Row],[FRA]]-B244)/B244</f>
        <v>2.179353678306464E-2</v>
      </c>
    </row>
    <row r="257" spans="1:4" x14ac:dyDescent="0.2">
      <c r="A257" s="22">
        <v>40878</v>
      </c>
      <c r="B257" s="92">
        <f>VLOOKUP(A257,Database!$E:$AY,MATCH($B$4,Database!$E$1:$AY$1,0),FALSE)</f>
        <v>101.4408</v>
      </c>
      <c r="C257" s="23">
        <f>(Table13456789101112131415161734[[#This Row],[FRA]]-B256)/B256</f>
        <v>-2.1039191900475773E-2</v>
      </c>
      <c r="D257" s="24">
        <f>(Table13456789101112131415161734[[#This Row],[FRA]]-B245)/B245</f>
        <v>-1.2654162071774732E-2</v>
      </c>
    </row>
    <row r="258" spans="1:4" x14ac:dyDescent="0.2">
      <c r="A258" s="22">
        <v>40909</v>
      </c>
      <c r="B258" s="92">
        <f>VLOOKUP(A258,Database!$E:$AY,MATCH($B$4,Database!$E$1:$AY$1,0),FALSE)</f>
        <v>100.85080000000001</v>
      </c>
      <c r="C258" s="23">
        <f>(Table13456789101112131415161734[[#This Row],[FRA]]-B257)/B257</f>
        <v>-5.816200187695574E-3</v>
      </c>
      <c r="D258" s="24">
        <f>(Table13456789101112131415161734[[#This Row],[FRA]]-B246)/B246</f>
        <v>-3.0009358387779596E-2</v>
      </c>
    </row>
    <row r="259" spans="1:4" x14ac:dyDescent="0.2">
      <c r="A259" s="22">
        <v>40940</v>
      </c>
      <c r="B259" s="92">
        <f>VLOOKUP(A259,Database!$E:$AY,MATCH($B$4,Database!$E$1:$AY$1,0),FALSE)</f>
        <v>101.8109</v>
      </c>
      <c r="C259" s="23">
        <f>(Table13456789101112131415161734[[#This Row],[FRA]]-B258)/B258</f>
        <v>9.5200038076048675E-3</v>
      </c>
      <c r="D259" s="24">
        <f>(Table13456789101112131415161734[[#This Row],[FRA]]-B247)/B247</f>
        <v>-2.3873235993169713E-2</v>
      </c>
    </row>
    <row r="260" spans="1:4" x14ac:dyDescent="0.2">
      <c r="A260" s="22">
        <v>40969</v>
      </c>
      <c r="B260" s="92">
        <f>VLOOKUP(A260,Database!$E:$AY,MATCH($B$4,Database!$E$1:$AY$1,0),FALSE)</f>
        <v>101.0008</v>
      </c>
      <c r="C260" s="23">
        <f>(Table13456789101112131415161734[[#This Row],[FRA]]-B259)/B259</f>
        <v>-7.9569083467487811E-3</v>
      </c>
      <c r="D260" s="24">
        <f>(Table13456789101112131415161734[[#This Row],[FRA]]-B248)/B248</f>
        <v>-1.9323066406837869E-2</v>
      </c>
    </row>
    <row r="261" spans="1:4" x14ac:dyDescent="0.2">
      <c r="A261" s="22">
        <v>41000</v>
      </c>
      <c r="B261" s="92">
        <f>VLOOKUP(A261,Database!$E:$AY,MATCH($B$4,Database!$E$1:$AY$1,0),FALSE)</f>
        <v>101.2308</v>
      </c>
      <c r="C261" s="23">
        <f>(Table13456789101112131415161734[[#This Row],[FRA]]-B260)/B260</f>
        <v>2.2772096854678774E-3</v>
      </c>
      <c r="D261" s="24">
        <f>(Table13456789101112131415161734[[#This Row],[FRA]]-B249)/B249</f>
        <v>-1.9752930347213081E-4</v>
      </c>
    </row>
    <row r="262" spans="1:4" x14ac:dyDescent="0.2">
      <c r="A262" s="22">
        <v>41030</v>
      </c>
      <c r="B262" s="92">
        <f>VLOOKUP(A262,Database!$E:$AY,MATCH($B$4,Database!$E$1:$AY$1,0),FALSE)</f>
        <v>99.780829999999995</v>
      </c>
      <c r="C262" s="23">
        <f>(Table13456789101112131415161734[[#This Row],[FRA]]-B261)/B261</f>
        <v>-1.4323407500484116E-2</v>
      </c>
      <c r="D262" s="24">
        <f>(Table13456789101112131415161734[[#This Row],[FRA]]-B250)/B250</f>
        <v>-4.5715654704578945E-2</v>
      </c>
    </row>
    <row r="263" spans="1:4" x14ac:dyDescent="0.2">
      <c r="A263" s="22">
        <v>41061</v>
      </c>
      <c r="B263" s="92">
        <f>VLOOKUP(A263,Database!$E:$AY,MATCH($B$4,Database!$E$1:$AY$1,0),FALSE)</f>
        <v>99.180819999999997</v>
      </c>
      <c r="C263" s="23">
        <f>(Table13456789101112131415161734[[#This Row],[FRA]]-B262)/B262</f>
        <v>-6.0132793042511025E-3</v>
      </c>
      <c r="D263" s="24">
        <f>(Table13456789101112131415161734[[#This Row],[FRA]]-B251)/B251</f>
        <v>-2.4682468817238127E-2</v>
      </c>
    </row>
    <row r="264" spans="1:4" x14ac:dyDescent="0.2">
      <c r="A264" s="22">
        <v>41091</v>
      </c>
      <c r="B264" s="92">
        <f>VLOOKUP(A264,Database!$E:$AY,MATCH($B$4,Database!$E$1:$AY$1,0),FALSE)</f>
        <v>99.750829999999993</v>
      </c>
      <c r="C264" s="23">
        <f>(Table13456789101112131415161734[[#This Row],[FRA]]-B263)/B263</f>
        <v>5.7471797470518629E-3</v>
      </c>
      <c r="D264" s="24">
        <f>(Table13456789101112131415161734[[#This Row],[FRA]]-B252)/B252</f>
        <v>-3.0047092158859087E-2</v>
      </c>
    </row>
    <row r="265" spans="1:4" x14ac:dyDescent="0.2">
      <c r="A265" s="22">
        <v>41122</v>
      </c>
      <c r="B265" s="92">
        <f>VLOOKUP(A265,Database!$E:$AY,MATCH($B$4,Database!$E$1:$AY$1,0),FALSE)</f>
        <v>101.74079999999999</v>
      </c>
      <c r="C265" s="23">
        <f>(Table13456789101112131415161734[[#This Row],[FRA]]-B264)/B264</f>
        <v>1.9949407939763505E-2</v>
      </c>
      <c r="D265" s="24">
        <f>(Table13456789101112131415161734[[#This Row],[FRA]]-B253)/B253</f>
        <v>-2.3543624345344315E-3</v>
      </c>
    </row>
    <row r="266" spans="1:4" x14ac:dyDescent="0.2">
      <c r="A266" s="22">
        <v>41153</v>
      </c>
      <c r="B266" s="92">
        <f>VLOOKUP(A266,Database!$E:$AY,MATCH($B$4,Database!$E$1:$AY$1,0),FALSE)</f>
        <v>99.960830000000001</v>
      </c>
      <c r="C266" s="23">
        <f>(Table13456789101112131415161734[[#This Row],[FRA]]-B265)/B265</f>
        <v>-1.7495144524123967E-2</v>
      </c>
      <c r="D266" s="24">
        <f>(Table13456789101112131415161734[[#This Row],[FRA]]-B254)/B254</f>
        <v>-1.2350164211724485E-2</v>
      </c>
    </row>
    <row r="267" spans="1:4" x14ac:dyDescent="0.2">
      <c r="A267" s="22">
        <v>41183</v>
      </c>
      <c r="B267" s="92">
        <f>VLOOKUP(A267,Database!$E:$AY,MATCH($B$4,Database!$E$1:$AY$1,0),FALSE)</f>
        <v>98.190820000000002</v>
      </c>
      <c r="C267" s="23">
        <f>(Table13456789101112131415161734[[#This Row],[FRA]]-B266)/B266</f>
        <v>-1.7707035845940848E-2</v>
      </c>
      <c r="D267" s="24">
        <f>(Table13456789101112131415161734[[#This Row],[FRA]]-B255)/B255</f>
        <v>-3.2133605649240803E-2</v>
      </c>
    </row>
    <row r="268" spans="1:4" x14ac:dyDescent="0.2">
      <c r="A268" s="22">
        <v>41214</v>
      </c>
      <c r="B268" s="92">
        <f>VLOOKUP(A268,Database!$E:$AY,MATCH($B$4,Database!$E$1:$AY$1,0),FALSE)</f>
        <v>98.180819999999997</v>
      </c>
      <c r="C268" s="23">
        <f>(Table13456789101112131415161734[[#This Row],[FRA]]-B267)/B267</f>
        <v>-1.0184251440211127E-4</v>
      </c>
      <c r="D268" s="24">
        <f>(Table13456789101112131415161734[[#This Row],[FRA]]-B256)/B256</f>
        <v>-5.2499833527792257E-2</v>
      </c>
    </row>
    <row r="269" spans="1:4" x14ac:dyDescent="0.2">
      <c r="A269" s="22">
        <v>41244</v>
      </c>
      <c r="B269" s="92">
        <f>VLOOKUP(A269,Database!$E:$AY,MATCH($B$4,Database!$E$1:$AY$1,0),FALSE)</f>
        <v>99.490830000000003</v>
      </c>
      <c r="C269" s="23">
        <f>(Table13456789101112131415161734[[#This Row],[FRA]]-B268)/B268</f>
        <v>1.3342830096550481E-2</v>
      </c>
      <c r="D269" s="24">
        <f>(Table13456789101112131415161734[[#This Row],[FRA]]-B257)/B257</f>
        <v>-1.9222738779662556E-2</v>
      </c>
    </row>
    <row r="270" spans="1:4" x14ac:dyDescent="0.2">
      <c r="A270" s="22">
        <v>41275</v>
      </c>
      <c r="B270" s="92">
        <f>VLOOKUP(A270,Database!$E:$AY,MATCH($B$4,Database!$E$1:$AY$1,0),FALSE)</f>
        <v>98.560820000000007</v>
      </c>
      <c r="C270" s="23">
        <f>(Table13456789101112131415161734[[#This Row],[FRA]]-B269)/B269</f>
        <v>-9.3476956620021749E-3</v>
      </c>
      <c r="D270" s="24">
        <f>(Table13456789101112131415161734[[#This Row],[FRA]]-B258)/B258</f>
        <v>-2.2706612143879867E-2</v>
      </c>
    </row>
    <row r="271" spans="1:4" x14ac:dyDescent="0.2">
      <c r="A271" s="22">
        <v>41306</v>
      </c>
      <c r="B271" s="92">
        <f>VLOOKUP(A271,Database!$E:$AY,MATCH($B$4,Database!$E$1:$AY$1,0),FALSE)</f>
        <v>99.68083</v>
      </c>
      <c r="C271" s="23">
        <f>(Table13456789101112131415161734[[#This Row],[FRA]]-B270)/B270</f>
        <v>1.1363643281376854E-2</v>
      </c>
      <c r="D271" s="24">
        <f>(Table13456789101112131415161734[[#This Row],[FRA]]-B259)/B259</f>
        <v>-2.0921826641351796E-2</v>
      </c>
    </row>
    <row r="272" spans="1:4" x14ac:dyDescent="0.2">
      <c r="A272" s="22">
        <v>41334</v>
      </c>
      <c r="B272" s="92">
        <f>VLOOKUP(A272,Database!$E:$AY,MATCH($B$4,Database!$E$1:$AY$1,0),FALSE)</f>
        <v>99.810829999999996</v>
      </c>
      <c r="C272" s="23">
        <f>(Table13456789101112131415161734[[#This Row],[FRA]]-B271)/B271</f>
        <v>1.3041624954366396E-3</v>
      </c>
      <c r="D272" s="24">
        <f>(Table13456789101112131415161734[[#This Row],[FRA]]-B260)/B260</f>
        <v>-1.178178786702682E-2</v>
      </c>
    </row>
    <row r="273" spans="1:4" x14ac:dyDescent="0.2">
      <c r="A273" s="22">
        <v>41365</v>
      </c>
      <c r="B273" s="92">
        <f>VLOOKUP(A273,Database!$E:$AY,MATCH($B$4,Database!$E$1:$AY$1,0),FALSE)</f>
        <v>101.4008</v>
      </c>
      <c r="C273" s="23">
        <f>(Table13456789101112131415161734[[#This Row],[FRA]]-B272)/B272</f>
        <v>1.592983446786294E-2</v>
      </c>
      <c r="D273" s="24">
        <f>(Table13456789101112131415161734[[#This Row],[FRA]]-B261)/B261</f>
        <v>1.6793307965560058E-3</v>
      </c>
    </row>
    <row r="274" spans="1:4" x14ac:dyDescent="0.2">
      <c r="A274" s="22">
        <v>41395</v>
      </c>
      <c r="B274" s="92">
        <f>VLOOKUP(A274,Database!$E:$AY,MATCH($B$4,Database!$E$1:$AY$1,0),FALSE)</f>
        <v>101.0608</v>
      </c>
      <c r="C274" s="23">
        <f>(Table13456789101112131415161734[[#This Row],[FRA]]-B273)/B273</f>
        <v>-3.3530307453195972E-3</v>
      </c>
      <c r="D274" s="24">
        <f>(Table13456789101112131415161734[[#This Row],[FRA]]-B262)/B262</f>
        <v>1.2827814721525227E-2</v>
      </c>
    </row>
    <row r="275" spans="1:4" x14ac:dyDescent="0.2">
      <c r="A275" s="22">
        <v>41426</v>
      </c>
      <c r="B275" s="92">
        <f>VLOOKUP(A275,Database!$E:$AY,MATCH($B$4,Database!$E$1:$AY$1,0),FALSE)</f>
        <v>99.860830000000007</v>
      </c>
      <c r="C275" s="23">
        <f>(Table13456789101112131415161734[[#This Row],[FRA]]-B274)/B274</f>
        <v>-1.1873743330747364E-2</v>
      </c>
      <c r="D275" s="24">
        <f>(Table13456789101112131415161734[[#This Row],[FRA]]-B263)/B263</f>
        <v>6.8562651528794585E-3</v>
      </c>
    </row>
    <row r="276" spans="1:4" x14ac:dyDescent="0.2">
      <c r="A276" s="22">
        <v>41456</v>
      </c>
      <c r="B276" s="92">
        <f>VLOOKUP(A276,Database!$E:$AY,MATCH($B$4,Database!$E$1:$AY$1,0),FALSE)</f>
        <v>99.090829999999997</v>
      </c>
      <c r="C276" s="23">
        <f>(Table13456789101112131415161734[[#This Row],[FRA]]-B275)/B275</f>
        <v>-7.7107310243667128E-3</v>
      </c>
      <c r="D276" s="24">
        <f>(Table13456789101112131415161734[[#This Row],[FRA]]-B264)/B264</f>
        <v>-6.6164862989109624E-3</v>
      </c>
    </row>
    <row r="277" spans="1:4" x14ac:dyDescent="0.2">
      <c r="A277" s="22">
        <v>41487</v>
      </c>
      <c r="B277" s="92">
        <f>VLOOKUP(A277,Database!$E:$AY,MATCH($B$4,Database!$E$1:$AY$1,0),FALSE)</f>
        <v>98.580820000000003</v>
      </c>
      <c r="C277" s="23">
        <f>(Table13456789101112131415161734[[#This Row],[FRA]]-B276)/B276</f>
        <v>-5.1468940163281922E-3</v>
      </c>
      <c r="D277" s="24">
        <f>(Table13456789101112131415161734[[#This Row],[FRA]]-B265)/B265</f>
        <v>-3.1059122790463516E-2</v>
      </c>
    </row>
    <row r="278" spans="1:4" x14ac:dyDescent="0.2">
      <c r="A278" s="22">
        <v>41518</v>
      </c>
      <c r="B278" s="92">
        <f>VLOOKUP(A278,Database!$E:$AY,MATCH($B$4,Database!$E$1:$AY$1,0),FALSE)</f>
        <v>98.900829999999999</v>
      </c>
      <c r="C278" s="23">
        <f>(Table13456789101112131415161734[[#This Row],[FRA]]-B277)/B277</f>
        <v>3.2461689809437206E-3</v>
      </c>
      <c r="D278" s="24">
        <f>(Table13456789101112131415161734[[#This Row],[FRA]]-B266)/B266</f>
        <v>-1.0604153646983546E-2</v>
      </c>
    </row>
    <row r="279" spans="1:4" x14ac:dyDescent="0.2">
      <c r="A279" s="22">
        <v>41548</v>
      </c>
      <c r="B279" s="92">
        <f>VLOOKUP(A279,Database!$E:$AY,MATCH($B$4,Database!$E$1:$AY$1,0),FALSE)</f>
        <v>99.010829999999999</v>
      </c>
      <c r="C279" s="23">
        <f>(Table13456789101112131415161734[[#This Row],[FRA]]-B278)/B278</f>
        <v>1.1122252462390804E-3</v>
      </c>
      <c r="D279" s="24">
        <f>(Table13456789101112131415161734[[#This Row],[FRA]]-B267)/B267</f>
        <v>8.3511880234832178E-3</v>
      </c>
    </row>
    <row r="280" spans="1:4" x14ac:dyDescent="0.2">
      <c r="A280" s="22">
        <v>41579</v>
      </c>
      <c r="B280" s="92">
        <f>VLOOKUP(A280,Database!$E:$AY,MATCH($B$4,Database!$E$1:$AY$1,0),FALSE)</f>
        <v>100.7908</v>
      </c>
      <c r="C280" s="23">
        <f>(Table13456789101112131415161734[[#This Row],[FRA]]-B279)/B279</f>
        <v>1.7977528316851864E-2</v>
      </c>
      <c r="D280" s="24">
        <f>(Table13456789101112131415161734[[#This Row],[FRA]]-B268)/B268</f>
        <v>2.6583399894195295E-2</v>
      </c>
    </row>
    <row r="281" spans="1:4" x14ac:dyDescent="0.2">
      <c r="A281" s="22">
        <v>41609</v>
      </c>
      <c r="B281" s="92">
        <f>VLOOKUP(A281,Database!$E:$AY,MATCH($B$4,Database!$E$1:$AY$1,0),FALSE)</f>
        <v>99.520830000000004</v>
      </c>
      <c r="C281" s="23">
        <f>(Table13456789101112131415161734[[#This Row],[FRA]]-B280)/B280</f>
        <v>-1.2600058735519518E-2</v>
      </c>
      <c r="D281" s="24">
        <f>(Table13456789101112131415161734[[#This Row],[FRA]]-B269)/B269</f>
        <v>3.0153532742666973E-4</v>
      </c>
    </row>
    <row r="282" spans="1:4" x14ac:dyDescent="0.2">
      <c r="A282" s="22">
        <v>41640</v>
      </c>
      <c r="B282" s="92">
        <f>VLOOKUP(A282,Database!$E:$AY,MATCH($B$4,Database!$E$1:$AY$1,0),FALSE)</f>
        <v>97.920810000000003</v>
      </c>
      <c r="C282" s="23">
        <f>(Table13456789101112131415161734[[#This Row],[FRA]]-B281)/B281</f>
        <v>-1.6077237297960643E-2</v>
      </c>
      <c r="D282" s="24">
        <f>(Table13456789101112131415161734[[#This Row],[FRA]]-B270)/B270</f>
        <v>-6.493553929441777E-3</v>
      </c>
    </row>
    <row r="283" spans="1:4" x14ac:dyDescent="0.2">
      <c r="A283" s="22">
        <v>41671</v>
      </c>
      <c r="B283" s="92">
        <f>VLOOKUP(A283,Database!$E:$AY,MATCH($B$4,Database!$E$1:$AY$1,0),FALSE)</f>
        <v>99.450829999999996</v>
      </c>
      <c r="C283" s="23">
        <f>(Table13456789101112131415161734[[#This Row],[FRA]]-B282)/B282</f>
        <v>1.5625074996826447E-2</v>
      </c>
      <c r="D283" s="24">
        <f>(Table13456789101112131415161734[[#This Row],[FRA]]-B271)/B271</f>
        <v>-2.3073644150034063E-3</v>
      </c>
    </row>
    <row r="284" spans="1:4" x14ac:dyDescent="0.2">
      <c r="A284" s="22">
        <v>41699</v>
      </c>
      <c r="B284" s="92">
        <f>VLOOKUP(A284,Database!$E:$AY,MATCH($B$4,Database!$E$1:$AY$1,0),FALSE)</f>
        <v>98.720830000000007</v>
      </c>
      <c r="C284" s="23">
        <f>(Table13456789101112131415161734[[#This Row],[FRA]]-B283)/B283</f>
        <v>-7.3403107847364348E-3</v>
      </c>
      <c r="D284" s="24">
        <f>(Table13456789101112131415161734[[#This Row],[FRA]]-B272)/B272</f>
        <v>-1.0920658609892225E-2</v>
      </c>
    </row>
    <row r="285" spans="1:4" x14ac:dyDescent="0.2">
      <c r="A285" s="22">
        <v>41730</v>
      </c>
      <c r="B285" s="92">
        <f>VLOOKUP(A285,Database!$E:$AY,MATCH($B$4,Database!$E$1:$AY$1,0),FALSE)</f>
        <v>99.070819999999998</v>
      </c>
      <c r="C285" s="23">
        <f>(Table13456789101112131415161734[[#This Row],[FRA]]-B284)/B284</f>
        <v>3.5452497715020336E-3</v>
      </c>
      <c r="D285" s="24">
        <f>(Table13456789101112131415161734[[#This Row],[FRA]]-B273)/B273</f>
        <v>-2.2977925223469697E-2</v>
      </c>
    </row>
    <row r="286" spans="1:4" x14ac:dyDescent="0.2">
      <c r="A286" s="22">
        <v>41760</v>
      </c>
      <c r="B286" s="92">
        <f>VLOOKUP(A286,Database!$E:$AY,MATCH($B$4,Database!$E$1:$AY$1,0),FALSE)</f>
        <v>96.860810000000001</v>
      </c>
      <c r="C286" s="23">
        <f>(Table13456789101112131415161734[[#This Row],[FRA]]-B285)/B285</f>
        <v>-2.2307375673280963E-2</v>
      </c>
      <c r="D286" s="24">
        <f>(Table13456789101112131415161734[[#This Row],[FRA]]-B274)/B274</f>
        <v>-4.1559041685797063E-2</v>
      </c>
    </row>
    <row r="287" spans="1:4" x14ac:dyDescent="0.2">
      <c r="A287" s="22">
        <v>41791</v>
      </c>
      <c r="B287" s="92">
        <f>VLOOKUP(A287,Database!$E:$AY,MATCH($B$4,Database!$E$1:$AY$1,0),FALSE)</f>
        <v>99.100819999999999</v>
      </c>
      <c r="C287" s="23">
        <f>(Table13456789101112131415161734[[#This Row],[FRA]]-B286)/B286</f>
        <v>2.3126071318214231E-2</v>
      </c>
      <c r="D287" s="24">
        <f>(Table13456789101112131415161734[[#This Row],[FRA]]-B275)/B275</f>
        <v>-7.6106917997778335E-3</v>
      </c>
    </row>
    <row r="288" spans="1:4" x14ac:dyDescent="0.2">
      <c r="A288" s="22">
        <v>41821</v>
      </c>
      <c r="B288" s="92">
        <f>VLOOKUP(A288,Database!$E:$AY,MATCH($B$4,Database!$E$1:$AY$1,0),FALSE)</f>
        <v>100.3308</v>
      </c>
      <c r="C288" s="23">
        <f>(Table13456789101112131415161734[[#This Row],[FRA]]-B287)/B287</f>
        <v>1.2411400834019311E-2</v>
      </c>
      <c r="D288" s="24">
        <f>(Table13456789101112131415161734[[#This Row],[FRA]]-B276)/B276</f>
        <v>1.2513468703410796E-2</v>
      </c>
    </row>
    <row r="289" spans="1:4" x14ac:dyDescent="0.2">
      <c r="A289" s="22">
        <v>41852</v>
      </c>
      <c r="B289" s="92">
        <f>VLOOKUP(A289,Database!$E:$AY,MATCH($B$4,Database!$E$1:$AY$1,0),FALSE)</f>
        <v>98.360820000000004</v>
      </c>
      <c r="C289" s="23">
        <f>(Table13456789101112131415161734[[#This Row],[FRA]]-B288)/B288</f>
        <v>-1.9634847923070409E-2</v>
      </c>
      <c r="D289" s="24">
        <f>(Table13456789101112131415161734[[#This Row],[FRA]]-B277)/B277</f>
        <v>-2.2316714346664883E-3</v>
      </c>
    </row>
    <row r="290" spans="1:4" x14ac:dyDescent="0.2">
      <c r="A290" s="22">
        <v>41883</v>
      </c>
      <c r="B290" s="92">
        <f>VLOOKUP(A290,Database!$E:$AY,MATCH($B$4,Database!$E$1:$AY$1,0),FALSE)</f>
        <v>99.120829999999998</v>
      </c>
      <c r="C290" s="23">
        <f>(Table13456789101112131415161734[[#This Row],[FRA]]-B289)/B289</f>
        <v>7.7267554296517049E-3</v>
      </c>
      <c r="D290" s="24">
        <f>(Table13456789101112131415161734[[#This Row],[FRA]]-B278)/B278</f>
        <v>2.2244504924781609E-3</v>
      </c>
    </row>
    <row r="291" spans="1:4" x14ac:dyDescent="0.2">
      <c r="A291" s="22">
        <v>41913</v>
      </c>
      <c r="B291" s="92">
        <f>VLOOKUP(A291,Database!$E:$AY,MATCH($B$4,Database!$E$1:$AY$1,0),FALSE)</f>
        <v>97.590810000000005</v>
      </c>
      <c r="C291" s="23">
        <f>(Table13456789101112131415161734[[#This Row],[FRA]]-B290)/B290</f>
        <v>-1.5435907871231438E-2</v>
      </c>
      <c r="D291" s="24">
        <f>(Table13456789101112131415161734[[#This Row],[FRA]]-B279)/B279</f>
        <v>-1.4342067428381258E-2</v>
      </c>
    </row>
    <row r="292" spans="1:4" x14ac:dyDescent="0.2">
      <c r="A292" s="22">
        <v>41944</v>
      </c>
      <c r="B292" s="92">
        <f>VLOOKUP(A292,Database!$E:$AY,MATCH($B$4,Database!$E$1:$AY$1,0),FALSE)</f>
        <v>96.670810000000003</v>
      </c>
      <c r="C292" s="23">
        <f>(Table13456789101112131415161734[[#This Row],[FRA]]-B291)/B291</f>
        <v>-9.427117164003471E-3</v>
      </c>
      <c r="D292" s="24">
        <f>(Table13456789101112131415161734[[#This Row],[FRA]]-B280)/B280</f>
        <v>-4.0876647471793072E-2</v>
      </c>
    </row>
    <row r="293" spans="1:4" x14ac:dyDescent="0.2">
      <c r="A293" s="22">
        <v>41974</v>
      </c>
      <c r="B293" s="92">
        <f>VLOOKUP(A293,Database!$E:$AY,MATCH($B$4,Database!$E$1:$AY$1,0),FALSE)</f>
        <v>99.350830000000002</v>
      </c>
      <c r="C293" s="23">
        <f>(Table13456789101112131415161734[[#This Row],[FRA]]-B292)/B292</f>
        <v>2.7723156555737961E-2</v>
      </c>
      <c r="D293" s="24">
        <f>(Table13456789101112131415161734[[#This Row],[FRA]]-B281)/B281</f>
        <v>-1.7081851105944525E-3</v>
      </c>
    </row>
    <row r="294" spans="1:4" x14ac:dyDescent="0.2">
      <c r="A294" s="22">
        <v>42005</v>
      </c>
      <c r="B294" s="92">
        <f>VLOOKUP(A294,Database!$E:$AY,MATCH($B$4,Database!$E$1:$AY$1,0),FALSE)</f>
        <v>99.510829999999999</v>
      </c>
      <c r="C294" s="23">
        <f>(Table13456789101112131415161734[[#This Row],[FRA]]-B293)/B293</f>
        <v>1.6104545880492049E-3</v>
      </c>
      <c r="D294" s="24">
        <f>(Table13456789101112131415161734[[#This Row],[FRA]]-B282)/B282</f>
        <v>1.6237815026244121E-2</v>
      </c>
    </row>
    <row r="295" spans="1:4" x14ac:dyDescent="0.2">
      <c r="A295" s="22">
        <v>42036</v>
      </c>
      <c r="B295" s="92">
        <f>VLOOKUP(A295,Database!$E:$AY,MATCH($B$4,Database!$E$1:$AY$1,0),FALSE)</f>
        <v>100.07080000000001</v>
      </c>
      <c r="C295" s="23">
        <f>(Table13456789101112131415161734[[#This Row],[FRA]]-B294)/B294</f>
        <v>5.6272267048722933E-3</v>
      </c>
      <c r="D295" s="24">
        <f>(Table13456789101112131415161734[[#This Row],[FRA]]-B283)/B283</f>
        <v>6.2339349002920267E-3</v>
      </c>
    </row>
    <row r="296" spans="1:4" x14ac:dyDescent="0.2">
      <c r="A296" s="22">
        <v>42064</v>
      </c>
      <c r="B296" s="92">
        <f>VLOOKUP(A296,Database!$E:$AY,MATCH($B$4,Database!$E$1:$AY$1,0),FALSE)</f>
        <v>99.820830000000001</v>
      </c>
      <c r="C296" s="23">
        <f>(Table13456789101112131415161734[[#This Row],[FRA]]-B295)/B295</f>
        <v>-2.4979314645231644E-3</v>
      </c>
      <c r="D296" s="24">
        <f>(Table13456789101112131415161734[[#This Row],[FRA]]-B284)/B284</f>
        <v>1.1142531925633062E-2</v>
      </c>
    </row>
    <row r="297" spans="1:4" x14ac:dyDescent="0.2">
      <c r="A297" s="22">
        <v>42095</v>
      </c>
      <c r="B297" s="92">
        <f>VLOOKUP(A297,Database!$E:$AY,MATCH($B$4,Database!$E$1:$AY$1,0),FALSE)</f>
        <v>99.360820000000004</v>
      </c>
      <c r="C297" s="23">
        <f>(Table13456789101112131415161734[[#This Row],[FRA]]-B296)/B296</f>
        <v>-4.6083567928657471E-3</v>
      </c>
      <c r="D297" s="24">
        <f>(Table13456789101112131415161734[[#This Row],[FRA]]-B285)/B285</f>
        <v>2.9271989471774461E-3</v>
      </c>
    </row>
    <row r="298" spans="1:4" x14ac:dyDescent="0.2">
      <c r="A298" s="22">
        <v>42125</v>
      </c>
      <c r="B298" s="92">
        <f>VLOOKUP(A298,Database!$E:$AY,MATCH($B$4,Database!$E$1:$AY$1,0),FALSE)</f>
        <v>100.2808</v>
      </c>
      <c r="C298" s="23">
        <f>(Table13456789101112131415161734[[#This Row],[FRA]]-B297)/B297</f>
        <v>9.2589815583244521E-3</v>
      </c>
      <c r="D298" s="24">
        <f>(Table13456789101112131415161734[[#This Row],[FRA]]-B286)/B286</f>
        <v>3.5308294448497785E-2</v>
      </c>
    </row>
    <row r="299" spans="1:4" x14ac:dyDescent="0.2">
      <c r="A299" s="22">
        <v>42156</v>
      </c>
      <c r="B299" s="92">
        <f>VLOOKUP(A299,Database!$E:$AY,MATCH($B$4,Database!$E$1:$AY$1,0),FALSE)</f>
        <v>100.1508</v>
      </c>
      <c r="C299" s="23">
        <f>(Table13456789101112131415161734[[#This Row],[FRA]]-B298)/B298</f>
        <v>-1.2963598216208432E-3</v>
      </c>
      <c r="D299" s="24">
        <f>(Table13456789101112131415161734[[#This Row],[FRA]]-B287)/B287</f>
        <v>1.0595068739088184E-2</v>
      </c>
    </row>
    <row r="300" spans="1:4" x14ac:dyDescent="0.2">
      <c r="A300" s="22">
        <v>42186</v>
      </c>
      <c r="B300" s="92">
        <f>VLOOKUP(A300,Database!$E:$AY,MATCH($B$4,Database!$E$1:$AY$1,0),FALSE)</f>
        <v>99.140820000000005</v>
      </c>
      <c r="C300" s="23">
        <f>(Table13456789101112131415161734[[#This Row],[FRA]]-B299)/B299</f>
        <v>-1.0084592434608597E-2</v>
      </c>
      <c r="D300" s="24">
        <f>(Table13456789101112131415161734[[#This Row],[FRA]]-B288)/B288</f>
        <v>-1.1860565250152409E-2</v>
      </c>
    </row>
    <row r="301" spans="1:4" x14ac:dyDescent="0.2">
      <c r="A301" s="22">
        <v>42217</v>
      </c>
      <c r="B301" s="92">
        <f>VLOOKUP(A301,Database!$E:$AY,MATCH($B$4,Database!$E$1:$AY$1,0),FALSE)</f>
        <v>99.960830000000001</v>
      </c>
      <c r="C301" s="23">
        <f>(Table13456789101112131415161734[[#This Row],[FRA]]-B300)/B300</f>
        <v>8.2711641884744991E-3</v>
      </c>
      <c r="D301" s="24">
        <f>(Table13456789101112131415161734[[#This Row],[FRA]]-B289)/B289</f>
        <v>1.6266741167875558E-2</v>
      </c>
    </row>
    <row r="302" spans="1:4" x14ac:dyDescent="0.2">
      <c r="A302" s="22">
        <v>42248</v>
      </c>
      <c r="B302" s="92">
        <f>VLOOKUP(A302,Database!$E:$AY,MATCH($B$4,Database!$E$1:$AY$1,0),FALSE)</f>
        <v>101.1508</v>
      </c>
      <c r="C302" s="23">
        <f>(Table13456789101112131415161734[[#This Row],[FRA]]-B301)/B301</f>
        <v>1.1904362938963216E-2</v>
      </c>
      <c r="D302" s="24">
        <f>(Table13456789101112131415161734[[#This Row],[FRA]]-B290)/B290</f>
        <v>2.0479751834200803E-2</v>
      </c>
    </row>
    <row r="303" spans="1:4" x14ac:dyDescent="0.2">
      <c r="A303" s="22">
        <v>42278</v>
      </c>
      <c r="B303" s="92">
        <f>VLOOKUP(A303,Database!$E:$AY,MATCH($B$4,Database!$E$1:$AY$1,0),FALSE)</f>
        <v>101.5608</v>
      </c>
      <c r="C303" s="23">
        <f>(Table13456789101112131415161734[[#This Row],[FRA]]-B302)/B302</f>
        <v>4.0533540021433006E-3</v>
      </c>
      <c r="D303" s="24">
        <f>(Table13456789101112131415161734[[#This Row],[FRA]]-B291)/B291</f>
        <v>4.0679957467306557E-2</v>
      </c>
    </row>
    <row r="304" spans="1:4" x14ac:dyDescent="0.2">
      <c r="A304" s="22">
        <v>42309</v>
      </c>
      <c r="B304" s="92">
        <f>VLOOKUP(A304,Database!$E:$AY,MATCH($B$4,Database!$E$1:$AY$1,0),FALSE)</f>
        <v>99.360820000000004</v>
      </c>
      <c r="C304" s="23">
        <f>(Table13456789101112131415161734[[#This Row],[FRA]]-B303)/B303</f>
        <v>-2.1661704122062808E-2</v>
      </c>
      <c r="D304" s="24">
        <f>(Table13456789101112131415161734[[#This Row],[FRA]]-B292)/B292</f>
        <v>2.7826496953940915E-2</v>
      </c>
    </row>
    <row r="305" spans="1:4" x14ac:dyDescent="0.2">
      <c r="A305" s="22">
        <v>42339</v>
      </c>
      <c r="B305" s="92">
        <f>VLOOKUP(A305,Database!$E:$AY,MATCH($B$4,Database!$E$1:$AY$1,0),FALSE)</f>
        <v>99.650829999999999</v>
      </c>
      <c r="C305" s="23">
        <f>(Table13456789101112131415161734[[#This Row],[FRA]]-B304)/B304</f>
        <v>2.9187561052736403E-3</v>
      </c>
      <c r="D305" s="24">
        <f>(Table13456789101112131415161734[[#This Row],[FRA]]-B293)/B293</f>
        <v>3.0196023525922949E-3</v>
      </c>
    </row>
    <row r="306" spans="1:4" s="85" customFormat="1" x14ac:dyDescent="0.2">
      <c r="A306" s="22">
        <v>42370</v>
      </c>
      <c r="B306" s="92">
        <f>VLOOKUP(A306,Database!$E:$AY,MATCH($B$4,Database!$E$1:$AY$1,0),FALSE)</f>
        <v>101.71080000000001</v>
      </c>
      <c r="C306" s="23">
        <f>(Table13456789101112131415161734[[#This Row],[FRA]]-B305)/B305</f>
        <v>2.0671880003407968E-2</v>
      </c>
      <c r="D306" s="24">
        <f>(Table13456789101112131415161734[[#This Row],[FRA]]-B294)/B294</f>
        <v>2.210784494511811E-2</v>
      </c>
    </row>
    <row r="307" spans="1:4" s="85" customFormat="1" x14ac:dyDescent="0.2">
      <c r="A307" s="22">
        <v>42401</v>
      </c>
      <c r="B307" s="92">
        <f>VLOOKUP(A307,Database!$E:$AY,MATCH($B$4,Database!$E$1:$AY$1,0),FALSE)</f>
        <v>100.60080000000001</v>
      </c>
      <c r="C307" s="23">
        <f>(Table13456789101112131415161734[[#This Row],[FRA]]-B306)/B306</f>
        <v>-1.0913295343267375E-2</v>
      </c>
      <c r="D307" s="24">
        <f>(Table13456789101112131415161734[[#This Row],[FRA]]-B295)/B295</f>
        <v>5.2962502548195992E-3</v>
      </c>
    </row>
    <row r="308" spans="1:4" s="85" customFormat="1" x14ac:dyDescent="0.2">
      <c r="A308" s="22">
        <v>42430</v>
      </c>
      <c r="B308" s="92">
        <f>VLOOKUP(A308,Database!$E:$AY,MATCH($B$4,Database!$E$1:$AY$1,0),FALSE)</f>
        <v>100.1208</v>
      </c>
      <c r="C308" s="23">
        <f>(Table13456789101112131415161734[[#This Row],[FRA]]-B307)/B307</f>
        <v>-4.7713338263712015E-3</v>
      </c>
      <c r="D308" s="24">
        <f>(Table13456789101112131415161734[[#This Row],[FRA]]-B296)/B296</f>
        <v>3.005084209377961E-3</v>
      </c>
    </row>
    <row r="309" spans="1:4" s="85" customFormat="1" x14ac:dyDescent="0.2">
      <c r="A309" s="22">
        <v>42461</v>
      </c>
      <c r="B309" s="92">
        <f>VLOOKUP(A309,Database!$E:$AY,MATCH($B$4,Database!$E$1:$AY$1,0),FALSE)</f>
        <v>101.1708</v>
      </c>
      <c r="C309" s="23">
        <f>(Table13456789101112131415161734[[#This Row],[FRA]]-B308)/B308</f>
        <v>1.0487331303785E-2</v>
      </c>
      <c r="D309" s="24">
        <f>(Table13456789101112131415161734[[#This Row],[FRA]]-B297)/B297</f>
        <v>1.8216234527855101E-2</v>
      </c>
    </row>
    <row r="310" spans="1:4" s="85" customFormat="1" x14ac:dyDescent="0.2">
      <c r="A310" s="22">
        <v>42491</v>
      </c>
      <c r="B310" s="92">
        <f>VLOOKUP(A310,Database!$E:$AY,MATCH($B$4,Database!$E$1:$AY$1,0),FALSE)</f>
        <v>99.630830000000003</v>
      </c>
      <c r="C310" s="23">
        <f>(Table13456789101112131415161734[[#This Row],[FRA]]-B309)/B309</f>
        <v>-1.5221486832168934E-2</v>
      </c>
      <c r="D310" s="24">
        <f>(Table13456789101112131415161734[[#This Row],[FRA]]-B298)/B298</f>
        <v>-6.4814999481455689E-3</v>
      </c>
    </row>
    <row r="311" spans="1:4" s="85" customFormat="1" x14ac:dyDescent="0.2">
      <c r="A311" s="22">
        <v>42522</v>
      </c>
      <c r="B311" s="92">
        <f>VLOOKUP(A311,Database!$E:$AY,MATCH($B$4,Database!$E$1:$AY$1,0),FALSE)</f>
        <v>99.270830000000004</v>
      </c>
      <c r="C311" s="23">
        <f>(Table13456789101112131415161734[[#This Row],[FRA]]-B310)/B310</f>
        <v>-3.6133393649335193E-3</v>
      </c>
      <c r="D311" s="24">
        <f>(Table13456789101112131415161734[[#This Row],[FRA]]-B299)/B299</f>
        <v>-8.7864500333497096E-3</v>
      </c>
    </row>
    <row r="312" spans="1:4" s="85" customFormat="1" x14ac:dyDescent="0.2">
      <c r="A312" s="22">
        <v>42552</v>
      </c>
      <c r="B312" s="92">
        <f>VLOOKUP(A312,Database!$E:$AY,MATCH($B$4,Database!$E$1:$AY$1,0),FALSE)</f>
        <v>99.130830000000003</v>
      </c>
      <c r="C312" s="23">
        <f>(Table13456789101112131415161734[[#This Row],[FRA]]-B311)/B311</f>
        <v>-1.4102833631994471E-3</v>
      </c>
      <c r="D312" s="24">
        <f>(Table13456789101112131415161734[[#This Row],[FRA]]-B300)/B300</f>
        <v>-1.0076575925034654E-4</v>
      </c>
    </row>
    <row r="313" spans="1:4" s="85" customFormat="1" x14ac:dyDescent="0.2">
      <c r="A313" s="22">
        <v>42583</v>
      </c>
      <c r="B313" s="92">
        <f>VLOOKUP(A313,Database!$E:$AY,MATCH($B$4,Database!$E$1:$AY$1,0),FALSE)</f>
        <v>101.0408</v>
      </c>
      <c r="C313" s="23">
        <f>(Table13456789101112131415161734[[#This Row],[FRA]]-B312)/B312</f>
        <v>1.9267164412927858E-2</v>
      </c>
      <c r="D313" s="24">
        <f>(Table13456789101112131415161734[[#This Row],[FRA]]-B301)/B301</f>
        <v>1.0803931900125309E-2</v>
      </c>
    </row>
    <row r="314" spans="1:4" s="85" customFormat="1" x14ac:dyDescent="0.2">
      <c r="A314" s="22">
        <v>42614</v>
      </c>
      <c r="B314" s="92">
        <f>VLOOKUP(A314,Database!$E:$AY,MATCH($B$4,Database!$E$1:$AY$1,0),FALSE)</f>
        <v>100.02079999999999</v>
      </c>
      <c r="C314" s="23">
        <f>(Table13456789101112131415161734[[#This Row],[FRA]]-B313)/B313</f>
        <v>-1.0094931948282379E-2</v>
      </c>
      <c r="D314" s="24">
        <f>(Table13456789101112131415161734[[#This Row],[FRA]]-B302)/B302</f>
        <v>-1.1171439079078065E-2</v>
      </c>
    </row>
    <row r="315" spans="1:4" s="85" customFormat="1" x14ac:dyDescent="0.2">
      <c r="A315" s="22">
        <v>42644</v>
      </c>
      <c r="B315" s="92">
        <f>VLOOKUP(A315,Database!$E:$AY,MATCH($B$4,Database!$E$1:$AY$1,0),FALSE)</f>
        <v>99.660830000000004</v>
      </c>
      <c r="C315" s="23">
        <f>(Table13456789101112131415161734[[#This Row],[FRA]]-B314)/B314</f>
        <v>-3.5989514181049335E-3</v>
      </c>
      <c r="D315" s="24">
        <f>(Table13456789101112131415161734[[#This Row],[FRA]]-B303)/B303</f>
        <v>-1.870771006136222E-2</v>
      </c>
    </row>
    <row r="316" spans="1:4" s="85" customFormat="1" x14ac:dyDescent="0.2">
      <c r="A316" s="22">
        <v>42675</v>
      </c>
      <c r="B316" s="92">
        <f>VLOOKUP(A316,Database!$E:$AY,MATCH($B$4,Database!$E$1:$AY$1,0),FALSE)</f>
        <v>102.2509</v>
      </c>
      <c r="C316" s="23">
        <f>(Table13456789101112131415161734[[#This Row],[FRA]]-B315)/B315</f>
        <v>2.5988846370233892E-2</v>
      </c>
      <c r="D316" s="24">
        <f>(Table13456789101112131415161734[[#This Row],[FRA]]-B304)/B304</f>
        <v>2.9086716474360792E-2</v>
      </c>
    </row>
    <row r="317" spans="1:4" s="85" customFormat="1" x14ac:dyDescent="0.2">
      <c r="A317" s="22">
        <v>42705</v>
      </c>
      <c r="B317" s="92">
        <f>VLOOKUP(A317,Database!$E:$AY,MATCH($B$4,Database!$E$1:$AY$1,0),FALSE)</f>
        <v>100.77079999999999</v>
      </c>
      <c r="C317" s="23">
        <f>(Table13456789101112131415161734[[#This Row],[FRA]]-B316)/B316</f>
        <v>-1.4475178213590368E-2</v>
      </c>
      <c r="D317" s="24">
        <f>(Table13456789101112131415161734[[#This Row],[FRA]]-B305)/B305</f>
        <v>1.1238943017333573E-2</v>
      </c>
    </row>
    <row r="318" spans="1:4" s="85" customFormat="1" x14ac:dyDescent="0.2">
      <c r="A318" s="22">
        <v>42736</v>
      </c>
      <c r="B318" s="92">
        <f>VLOOKUP(A318,Database!$E:$AY,MATCH($B$4,Database!$E$1:$AY$1,0),FALSE)</f>
        <v>101.38079999999999</v>
      </c>
      <c r="C318" s="23">
        <f>(Table13456789101112131415161734[[#This Row],[FRA]]-B317)/B317</f>
        <v>6.0533408487379228E-3</v>
      </c>
      <c r="D318" s="24">
        <f>(Table13456789101112131415161734[[#This Row],[FRA]]-B306)/B306</f>
        <v>-3.2444932101606955E-3</v>
      </c>
    </row>
    <row r="319" spans="1:4" s="85" customFormat="1" x14ac:dyDescent="0.2">
      <c r="A319" s="22">
        <v>42767</v>
      </c>
      <c r="B319" s="92">
        <f>VLOOKUP(A319,Database!$E:$AY,MATCH($B$4,Database!$E$1:$AY$1,0),FALSE)</f>
        <v>100.0908</v>
      </c>
      <c r="C319" s="23">
        <f>(Table13456789101112131415161734[[#This Row],[FRA]]-B318)/B318</f>
        <v>-1.2724302826570635E-2</v>
      </c>
      <c r="D319" s="24">
        <f>(Table13456789101112131415161734[[#This Row],[FRA]]-B307)/B307</f>
        <v>-5.0695421905194099E-3</v>
      </c>
    </row>
    <row r="320" spans="1:4" s="85" customFormat="1" x14ac:dyDescent="0.2">
      <c r="A320" s="22">
        <v>42795</v>
      </c>
      <c r="B320" s="92">
        <f>VLOOKUP(A320,Database!$E:$AY,MATCH($B$4,Database!$E$1:$AY$1,0),FALSE)</f>
        <v>101.2008</v>
      </c>
      <c r="C320" s="23">
        <f>(Table13456789101112131415161734[[#This Row],[FRA]]-B319)/B319</f>
        <v>1.1089930343248325E-2</v>
      </c>
      <c r="D320" s="24">
        <f>(Table13456789101112131415161734[[#This Row],[FRA]]-B308)/B308</f>
        <v>1.0786969341036011E-2</v>
      </c>
    </row>
    <row r="321" spans="1:4" s="85" customFormat="1" x14ac:dyDescent="0.2">
      <c r="A321" s="22">
        <v>42826</v>
      </c>
      <c r="B321" s="92">
        <f>VLOOKUP(A321,Database!$E:$AY,MATCH($B$4,Database!$E$1:$AY$1,0),FALSE)</f>
        <v>101.1408</v>
      </c>
      <c r="C321" s="23">
        <f>(Table13456789101112131415161734[[#This Row],[FRA]]-B320)/B320</f>
        <v>-5.9288068869023044E-4</v>
      </c>
      <c r="D321" s="24">
        <f>(Table13456789101112131415161734[[#This Row],[FRA]]-B309)/B309</f>
        <v>-2.9652824728084722E-4</v>
      </c>
    </row>
    <row r="322" spans="1:4" s="85" customFormat="1" x14ac:dyDescent="0.2">
      <c r="A322" s="22">
        <v>42856</v>
      </c>
      <c r="B322" s="92">
        <f>VLOOKUP(A322,Database!$E:$AY,MATCH($B$4,Database!$E$1:$AY$1,0),FALSE)</f>
        <v>103.29089999999999</v>
      </c>
      <c r="C322" s="23">
        <f>(Table13456789101112131415161734[[#This Row],[FRA]]-B321)/B321</f>
        <v>2.1258483223387543E-2</v>
      </c>
      <c r="D322" s="24">
        <f>(Table13456789101112131415161734[[#This Row],[FRA]]-B310)/B310</f>
        <v>3.673631947058948E-2</v>
      </c>
    </row>
    <row r="323" spans="1:4" s="85" customFormat="1" x14ac:dyDescent="0.2">
      <c r="A323" s="22">
        <v>42887</v>
      </c>
      <c r="B323" s="92">
        <f>VLOOKUP(A323,Database!$E:$AY,MATCH($B$4,Database!$E$1:$AY$1,0),FALSE)</f>
        <v>102.1508</v>
      </c>
      <c r="C323" s="23">
        <f>(Table13456789101112131415161734[[#This Row],[FRA]]-B322)/B322</f>
        <v>-1.1037758408533469E-2</v>
      </c>
      <c r="D323" s="24">
        <f>(Table13456789101112131415161734[[#This Row],[FRA]]-B311)/B311</f>
        <v>2.9011241267953538E-2</v>
      </c>
    </row>
    <row r="324" spans="1:4" s="85" customFormat="1" x14ac:dyDescent="0.2">
      <c r="A324" s="22">
        <v>42917</v>
      </c>
      <c r="B324" s="92">
        <f>VLOOKUP(A324,Database!$E:$AY,MATCH($B$4,Database!$E$1:$AY$1,0),FALSE)</f>
        <v>102.7209</v>
      </c>
      <c r="C324" s="23">
        <f>(Table13456789101112131415161734[[#This Row],[FRA]]-B323)/B323</f>
        <v>5.5809646131013803E-3</v>
      </c>
      <c r="D324" s="24">
        <f>(Table13456789101112131415161734[[#This Row],[FRA]]-B312)/B312</f>
        <v>3.6215474035675856E-2</v>
      </c>
    </row>
    <row r="325" spans="1:4" s="85" customFormat="1" x14ac:dyDescent="0.2">
      <c r="A325" s="22">
        <v>42948</v>
      </c>
      <c r="B325" s="92">
        <f>VLOOKUP(A325,Database!$E:$AY,MATCH($B$4,Database!$E$1:$AY$1,0),FALSE)</f>
        <v>102.9209</v>
      </c>
      <c r="C325" s="23">
        <f>(Table13456789101112131415161734[[#This Row],[FRA]]-B324)/B324</f>
        <v>1.9470234392417009E-3</v>
      </c>
      <c r="D325" s="24">
        <f>(Table13456789101112131415161734[[#This Row],[FRA]]-B313)/B313</f>
        <v>1.8607334858789702E-2</v>
      </c>
    </row>
    <row r="326" spans="1:4" s="85" customFormat="1" x14ac:dyDescent="0.2">
      <c r="A326" s="22">
        <v>42979</v>
      </c>
      <c r="B326" s="92">
        <f>VLOOKUP(A326,Database!$E:$AY,MATCH($B$4,Database!$E$1:$AY$1,0),FALSE)</f>
        <v>103.79089999999999</v>
      </c>
      <c r="C326" s="23">
        <f>(Table13456789101112131415161734[[#This Row],[FRA]]-B325)/B325</f>
        <v>8.4530935893486186E-3</v>
      </c>
      <c r="D326" s="24">
        <f>(Table13456789101112131415161734[[#This Row],[FRA]]-B314)/B314</f>
        <v>3.769315982275686E-2</v>
      </c>
    </row>
    <row r="327" spans="1:4" s="85" customFormat="1" x14ac:dyDescent="0.2">
      <c r="A327" s="22">
        <v>43009</v>
      </c>
      <c r="B327" s="92">
        <f>VLOOKUP(A327,Database!$E:$AY,MATCH($B$4,Database!$E$1:$AY$1,0),FALSE)</f>
        <v>104.23090000000001</v>
      </c>
      <c r="C327" s="23">
        <f>(Table13456789101112131415161734[[#This Row],[FRA]]-B326)/B326</f>
        <v>4.2392926547511582E-3</v>
      </c>
      <c r="D327" s="24">
        <f>(Table13456789101112131415161734[[#This Row],[FRA]]-B315)/B315</f>
        <v>4.5856230577248865E-2</v>
      </c>
    </row>
    <row r="328" spans="1:4" s="85" customFormat="1" x14ac:dyDescent="0.2">
      <c r="A328" s="22">
        <v>43040</v>
      </c>
      <c r="B328" s="92">
        <f>VLOOKUP(A328,Database!$E:$AY,MATCH($B$4,Database!$E$1:$AY$1,0),FALSE)</f>
        <v>104.6609</v>
      </c>
      <c r="C328" s="23">
        <f>(Table13456789101112131415161734[[#This Row],[FRA]]-B327)/B327</f>
        <v>4.1254560787635204E-3</v>
      </c>
      <c r="D328" s="24">
        <f>(Table13456789101112131415161734[[#This Row],[FRA]]-B316)/B316</f>
        <v>2.3569474694110238E-2</v>
      </c>
    </row>
    <row r="329" spans="1:4" s="85" customFormat="1" x14ac:dyDescent="0.2">
      <c r="A329" s="22">
        <v>43070</v>
      </c>
      <c r="B329" s="92">
        <f>VLOOKUP(A329,Database!$E:$AY,MATCH($B$4,Database!$E$1:$AY$1,0),FALSE)</f>
        <v>105.7009</v>
      </c>
      <c r="C329" s="23">
        <f>(Table13456789101112131415161734[[#This Row],[FRA]]-B328)/B328</f>
        <v>9.9368532087915004E-3</v>
      </c>
      <c r="D329" s="24">
        <f>(Table13456789101112131415161734[[#This Row],[FRA]]-B317)/B317</f>
        <v>4.8923894620267083E-2</v>
      </c>
    </row>
    <row r="330" spans="1:4" s="85" customFormat="1" x14ac:dyDescent="0.2">
      <c r="A330" s="22">
        <v>43101</v>
      </c>
      <c r="B330" s="92">
        <f>VLOOKUP(A330,Database!$E:$AY,MATCH($B$4,Database!$E$1:$AY$1,0),FALSE)</f>
        <v>102.0209</v>
      </c>
      <c r="C330" s="23">
        <f>(Table13456789101112131415161734[[#This Row],[FRA]]-B329)/B329</f>
        <v>-3.481521917031933E-2</v>
      </c>
      <c r="D330" s="24">
        <f>(Table13456789101112131415161734[[#This Row],[FRA]]-B318)/B318</f>
        <v>6.3138187901457072E-3</v>
      </c>
    </row>
    <row r="331" spans="1:4" s="85" customFormat="1" x14ac:dyDescent="0.2">
      <c r="A331" s="22">
        <v>43132</v>
      </c>
      <c r="B331" s="92">
        <f>VLOOKUP(A331,Database!$E:$AY,MATCH($B$4,Database!$E$1:$AY$1,0),FALSE)</f>
        <v>103.15089999999999</v>
      </c>
      <c r="C331" s="23">
        <f>(Table13456789101112131415161734[[#This Row],[FRA]]-B330)/B330</f>
        <v>1.1076161845268915E-2</v>
      </c>
      <c r="D331" s="24">
        <f>(Table13456789101112131415161734[[#This Row],[FRA]]-B319)/B319</f>
        <v>3.0573239498535243E-2</v>
      </c>
    </row>
    <row r="332" spans="1:4" s="85" customFormat="1" x14ac:dyDescent="0.2">
      <c r="A332" s="22">
        <v>43160</v>
      </c>
      <c r="B332" s="92">
        <f>VLOOKUP(A332,Database!$E:$AY,MATCH($B$4,Database!$E$1:$AY$1,0),FALSE)</f>
        <v>103.90089999999999</v>
      </c>
      <c r="C332" s="23">
        <f>(Table13456789101112131415161734[[#This Row],[FRA]]-B331)/B331</f>
        <v>7.2709011748806852E-3</v>
      </c>
      <c r="D332" s="24">
        <f>(Table13456789101112131415161734[[#This Row],[FRA]]-B320)/B320</f>
        <v>2.6680619125540431E-2</v>
      </c>
    </row>
    <row r="333" spans="1:4" s="85" customFormat="1" x14ac:dyDescent="0.2">
      <c r="A333" s="22">
        <v>43191</v>
      </c>
      <c r="B333" s="92">
        <f>VLOOKUP(A333,Database!$E:$AY,MATCH($B$4,Database!$E$1:$AY$1,0),FALSE)</f>
        <v>102.6409</v>
      </c>
      <c r="C333" s="23">
        <f>(Table13456789101112131415161734[[#This Row],[FRA]]-B332)/B332</f>
        <v>-1.2126940190123387E-2</v>
      </c>
      <c r="D333" s="24">
        <f>(Table13456789101112131415161734[[#This Row],[FRA]]-B321)/B321</f>
        <v>1.4831798838846473E-2</v>
      </c>
    </row>
    <row r="334" spans="1:4" s="85" customFormat="1" x14ac:dyDescent="0.2">
      <c r="A334" s="22">
        <v>43221</v>
      </c>
      <c r="B334" s="92">
        <f>VLOOKUP(A334,Database!$E:$AY,MATCH($B$4,Database!$E$1:$AY$1,0),FALSE)</f>
        <v>101.7008</v>
      </c>
      <c r="C334" s="23">
        <f>(Table13456789101112131415161734[[#This Row],[FRA]]-B333)/B333</f>
        <v>-9.1591168822564989E-3</v>
      </c>
      <c r="D334" s="24">
        <f>(Table13456789101112131415161734[[#This Row],[FRA]]-B322)/B322</f>
        <v>-1.5394386146310978E-2</v>
      </c>
    </row>
    <row r="335" spans="1:4" s="85" customFormat="1" x14ac:dyDescent="0.2">
      <c r="A335" s="22">
        <v>43252</v>
      </c>
      <c r="B335" s="92">
        <f>VLOOKUP(A335,Database!$E:$AY,MATCH($B$4,Database!$E$1:$AY$1,0),FALSE)</f>
        <v>103.48090000000001</v>
      </c>
      <c r="C335" s="23">
        <f>(Table13456789101112131415161734[[#This Row],[FRA]]-B334)/B334</f>
        <v>1.7503303808819641E-2</v>
      </c>
      <c r="D335" s="24">
        <f>(Table13456789101112131415161734[[#This Row],[FRA]]-B323)/B323</f>
        <v>1.3020945504097879E-2</v>
      </c>
    </row>
    <row r="336" spans="1:4" s="85" customFormat="1" x14ac:dyDescent="0.2">
      <c r="A336" s="22">
        <v>43282</v>
      </c>
      <c r="B336" s="92">
        <f>VLOOKUP(A336,Database!$E:$AY,MATCH($B$4,Database!$E$1:$AY$1,0),FALSE)</f>
        <v>103.43089999999999</v>
      </c>
      <c r="C336" s="23">
        <f>(Table13456789101112131415161734[[#This Row],[FRA]]-B335)/B335</f>
        <v>-4.8318095416653088E-4</v>
      </c>
      <c r="D336" s="24">
        <f>(Table13456789101112131415161734[[#This Row],[FRA]]-B324)/B324</f>
        <v>6.9119332093078795E-3</v>
      </c>
    </row>
    <row r="337" spans="1:4" s="85" customFormat="1" x14ac:dyDescent="0.2">
      <c r="A337" s="22">
        <v>43313</v>
      </c>
      <c r="B337" s="92">
        <f>VLOOKUP(A337,Database!$E:$AY,MATCH($B$4,Database!$E$1:$AY$1,0),FALSE)</f>
        <v>104.15089999999999</v>
      </c>
      <c r="C337" s="23">
        <f>(Table13456789101112131415161734[[#This Row],[FRA]]-B336)/B336</f>
        <v>6.9611692443940724E-3</v>
      </c>
      <c r="D337" s="24">
        <f>(Table13456789101112131415161734[[#This Row],[FRA]]-B325)/B325</f>
        <v>1.1950925419423943E-2</v>
      </c>
    </row>
    <row r="338" spans="1:4" s="85" customFormat="1" x14ac:dyDescent="0.2">
      <c r="A338" s="22">
        <v>43344</v>
      </c>
      <c r="B338" s="92">
        <f>VLOOKUP(A338,Database!$E:$AY,MATCH($B$4,Database!$E$1:$AY$1,0),FALSE)</f>
        <v>102.8909</v>
      </c>
      <c r="C338" s="23">
        <f>(Table13456789101112131415161734[[#This Row],[FRA]]-B337)/B337</f>
        <v>-1.2097831127719404E-2</v>
      </c>
      <c r="D338" s="24">
        <f>(Table13456789101112131415161734[[#This Row],[FRA]]-B326)/B326</f>
        <v>-8.6712804301725052E-3</v>
      </c>
    </row>
    <row r="339" spans="1:4" s="85" customFormat="1" x14ac:dyDescent="0.2">
      <c r="A339" s="22">
        <v>43374</v>
      </c>
      <c r="B339" s="92">
        <f>VLOOKUP(A339,Database!$E:$AY,MATCH($B$4,Database!$E$1:$AY$1,0),FALSE)</f>
        <v>103.65089999999999</v>
      </c>
      <c r="C339" s="23">
        <f>(Table13456789101112131415161734[[#This Row],[FRA]]-B338)/B338</f>
        <v>7.3864646922127313E-3</v>
      </c>
      <c r="D339" s="24">
        <f>(Table13456789101112131415161734[[#This Row],[FRA]]-B327)/B327</f>
        <v>-5.5645686643789171E-3</v>
      </c>
    </row>
    <row r="340" spans="1:4" s="85" customFormat="1" x14ac:dyDescent="0.2">
      <c r="A340" s="22">
        <v>43405</v>
      </c>
      <c r="B340" s="92">
        <f>VLOOKUP(A340,Database!$E:$AY,MATCH($B$4,Database!$E$1:$AY$1,0),FALSE)</f>
        <v>102.79089999999999</v>
      </c>
      <c r="C340" s="23">
        <f>(Table13456789101112131415161734[[#This Row],[FRA]]-B339)/B339</f>
        <v>-8.2970818391350145E-3</v>
      </c>
      <c r="D340" s="24">
        <f>(Table13456789101112131415161734[[#This Row],[FRA]]-B328)/B328</f>
        <v>-1.7867226442730807E-2</v>
      </c>
    </row>
    <row r="341" spans="1:4" s="85" customFormat="1" x14ac:dyDescent="0.2">
      <c r="A341" s="22">
        <v>43435</v>
      </c>
      <c r="B341" s="92">
        <f>VLOOKUP(A341,Database!$E:$AY,MATCH($B$4,Database!$E$1:$AY$1,0),FALSE)</f>
        <v>103.7009</v>
      </c>
      <c r="C341" s="23">
        <f>(Table13456789101112131415161734[[#This Row],[FRA]]-B340)/B340</f>
        <v>8.8529237510325421E-3</v>
      </c>
      <c r="D341" s="24">
        <f>(Table13456789101112131415161734[[#This Row],[FRA]]-B329)/B329</f>
        <v>-1.8921314766477862E-2</v>
      </c>
    </row>
    <row r="342" spans="1:4" s="85" customFormat="1" x14ac:dyDescent="0.2">
      <c r="A342" s="22">
        <v>43466</v>
      </c>
      <c r="B342" s="92">
        <f>VLOOKUP(A342,Database!$E:$AY,MATCH($B$4,Database!$E$1:$AY$1,0),FALSE)</f>
        <v>104.7709</v>
      </c>
      <c r="C342" s="23">
        <f>(Table13456789101112131415161734[[#This Row],[FRA]]-B341)/B341</f>
        <v>1.0318136101036665E-2</v>
      </c>
      <c r="D342" s="24">
        <f>(Table13456789101112131415161734[[#This Row],[FRA]]-B330)/B330</f>
        <v>2.6955261127866937E-2</v>
      </c>
    </row>
    <row r="343" spans="1:4" s="85" customFormat="1" x14ac:dyDescent="0.2">
      <c r="A343" s="22">
        <v>43497</v>
      </c>
      <c r="B343" s="92">
        <f>VLOOKUP(A343,Database!$E:$AY,MATCH($B$4,Database!$E$1:$AY$1,0),FALSE)</f>
        <v>104.2809</v>
      </c>
      <c r="C343" s="23">
        <f>(Table13456789101112131415161734[[#This Row],[FRA]]-B342)/B342</f>
        <v>-4.6768711541085826E-3</v>
      </c>
      <c r="D343" s="24">
        <f>(Table13456789101112131415161734[[#This Row],[FRA]]-B331)/B331</f>
        <v>1.0954824436820327E-2</v>
      </c>
    </row>
    <row r="344" spans="1:4" s="85" customFormat="1" x14ac:dyDescent="0.2">
      <c r="A344" s="22">
        <v>43525</v>
      </c>
      <c r="B344" s="92">
        <f>VLOOKUP(A344,Database!$E:$AY,MATCH($B$4,Database!$E$1:$AY$1,0),FALSE)</f>
        <v>103.6309</v>
      </c>
      <c r="C344" s="23">
        <f>(Table13456789101112131415161734[[#This Row],[FRA]]-B343)/B343</f>
        <v>-6.2331644625238719E-3</v>
      </c>
      <c r="D344" s="24">
        <f>(Table13456789101112131415161734[[#This Row],[FRA]]-B332)/B332</f>
        <v>-2.5986300407407062E-3</v>
      </c>
    </row>
    <row r="345" spans="1:4" s="85" customFormat="1" x14ac:dyDescent="0.2">
      <c r="A345" s="22">
        <v>43556</v>
      </c>
      <c r="B345" s="92">
        <f>VLOOKUP(A345,Database!$E:$AY,MATCH($B$4,Database!$E$1:$AY$1,0),FALSE)</f>
        <v>104.0809</v>
      </c>
      <c r="C345" s="23">
        <f>(Table13456789101112131415161734[[#This Row],[FRA]]-B344)/B344</f>
        <v>4.3423341879690602E-3</v>
      </c>
      <c r="D345" s="24">
        <f>(Table13456789101112131415161734[[#This Row],[FRA]]-B333)/B333</f>
        <v>1.4029495064832807E-2</v>
      </c>
    </row>
    <row r="346" spans="1:4" s="85" customFormat="1" x14ac:dyDescent="0.2">
      <c r="A346" s="22">
        <v>43586</v>
      </c>
      <c r="B346" s="92">
        <f>VLOOKUP(A346,Database!$E:$AY,MATCH($B$4,Database!$E$1:$AY$1,0),FALSE)</f>
        <v>105.8109</v>
      </c>
      <c r="C346" s="23">
        <f>(Table13456789101112131415161734[[#This Row],[FRA]]-B345)/B345</f>
        <v>1.6621685631081247E-2</v>
      </c>
      <c r="D346" s="24">
        <f>(Table13456789101112131415161734[[#This Row],[FRA]]-B334)/B334</f>
        <v>4.0413644730424962E-2</v>
      </c>
    </row>
    <row r="347" spans="1:4" s="85" customFormat="1" x14ac:dyDescent="0.2">
      <c r="A347" s="22">
        <v>43617</v>
      </c>
      <c r="B347" s="92">
        <f>VLOOKUP(A347,Database!$E:$AY,MATCH($B$4,Database!$E$1:$AY$1,0),FALSE)</f>
        <v>103.3509</v>
      </c>
      <c r="C347" s="23">
        <f>(Table13456789101112131415161734[[#This Row],[FRA]]-B346)/B346</f>
        <v>-2.3249022548716702E-2</v>
      </c>
      <c r="D347" s="24">
        <f>(Table13456789101112131415161734[[#This Row],[FRA]]-B335)/B335</f>
        <v>-1.256270480832788E-3</v>
      </c>
    </row>
    <row r="348" spans="1:4" s="85" customFormat="1" x14ac:dyDescent="0.2">
      <c r="A348" s="22">
        <v>43647</v>
      </c>
      <c r="B348" s="92">
        <f>VLOOKUP(A348,Database!$E:$AY,MATCH($B$4,Database!$E$1:$AY$1,0),FALSE)</f>
        <v>103.6709</v>
      </c>
      <c r="C348" s="23">
        <f>(Table13456789101112131415161734[[#This Row],[FRA]]-B347)/B347</f>
        <v>3.0962478314171178E-3</v>
      </c>
      <c r="D348" s="24">
        <f>(Table13456789101112131415161734[[#This Row],[FRA]]-B336)/B336</f>
        <v>2.3203897481314491E-3</v>
      </c>
    </row>
    <row r="349" spans="1:4" s="85" customFormat="1" x14ac:dyDescent="0.2">
      <c r="A349" s="22">
        <v>43678</v>
      </c>
      <c r="B349" s="92">
        <f>VLOOKUP(A349,Database!$E:$AY,MATCH($B$4,Database!$E$1:$AY$1,0),FALSE)</f>
        <v>102.62090000000001</v>
      </c>
      <c r="C349" s="23">
        <f>(Table13456789101112131415161734[[#This Row],[FRA]]-B348)/B348</f>
        <v>-1.0128203767884692E-2</v>
      </c>
      <c r="D349" s="24">
        <f>(Table13456789101112131415161734[[#This Row],[FRA]]-B337)/B337</f>
        <v>-1.4690223512230687E-2</v>
      </c>
    </row>
    <row r="350" spans="1:4" s="85" customFormat="1" x14ac:dyDescent="0.2">
      <c r="A350" s="22">
        <v>43709</v>
      </c>
      <c r="B350" s="92">
        <f>VLOOKUP(A350,Database!$E:$AY,MATCH($B$4,Database!$E$1:$AY$1,0),FALSE)</f>
        <v>103.68089999999999</v>
      </c>
      <c r="C350" s="23">
        <f>(Table13456789101112131415161734[[#This Row],[FRA]]-B349)/B349</f>
        <v>1.0329279903021587E-2</v>
      </c>
      <c r="D350" s="24">
        <f>(Table13456789101112131415161734[[#This Row],[FRA]]-B338)/B338</f>
        <v>7.6780356669053536E-3</v>
      </c>
    </row>
    <row r="351" spans="1:4" s="85" customFormat="1" x14ac:dyDescent="0.2">
      <c r="A351" s="22">
        <v>43739</v>
      </c>
      <c r="B351" s="92">
        <f>VLOOKUP(A351,Database!$E:$AY,MATCH($B$4,Database!$E$1:$AY$1,0),FALSE)</f>
        <v>103.5609</v>
      </c>
      <c r="C351" s="23">
        <f>(Table13456789101112131415161734[[#This Row],[FRA]]-B350)/B350</f>
        <v>-1.1573973605552262E-3</v>
      </c>
      <c r="D351" s="24">
        <f>(Table13456789101112131415161734[[#This Row],[FRA]]-B339)/B339</f>
        <v>-8.6829926223495608E-4</v>
      </c>
    </row>
    <row r="352" spans="1:4" s="85" customFormat="1" x14ac:dyDescent="0.2">
      <c r="A352" s="16"/>
      <c r="C352" s="19"/>
      <c r="D352" s="19"/>
    </row>
    <row r="353" spans="1:4" s="85" customFormat="1" x14ac:dyDescent="0.2">
      <c r="A353" s="16"/>
      <c r="C353" s="19"/>
      <c r="D353" s="19"/>
    </row>
    <row r="354" spans="1:4" s="85" customFormat="1" x14ac:dyDescent="0.2">
      <c r="A354" s="16"/>
      <c r="C354" s="19"/>
      <c r="D354" s="19"/>
    </row>
    <row r="355" spans="1:4" s="85" customFormat="1" x14ac:dyDescent="0.2">
      <c r="A355" s="16"/>
      <c r="C355" s="19"/>
      <c r="D355" s="19"/>
    </row>
    <row r="356" spans="1:4" s="85" customFormat="1" x14ac:dyDescent="0.2">
      <c r="A356" s="16"/>
      <c r="C356" s="19"/>
      <c r="D356" s="19"/>
    </row>
    <row r="357" spans="1:4" s="85" customFormat="1" x14ac:dyDescent="0.2">
      <c r="A357" s="16"/>
      <c r="C357" s="19"/>
      <c r="D357" s="19"/>
    </row>
    <row r="358" spans="1:4" s="85" customFormat="1" x14ac:dyDescent="0.2">
      <c r="A358" s="16"/>
      <c r="C358" s="19"/>
      <c r="D358" s="19"/>
    </row>
    <row r="359" spans="1:4" s="85" customFormat="1" x14ac:dyDescent="0.2">
      <c r="A359" s="16"/>
      <c r="C359" s="19"/>
      <c r="D359" s="19"/>
    </row>
    <row r="360" spans="1:4" s="85" customFormat="1" x14ac:dyDescent="0.2">
      <c r="A360" s="16"/>
      <c r="C360" s="19"/>
      <c r="D360" s="19"/>
    </row>
    <row r="361" spans="1:4" s="85" customFormat="1" x14ac:dyDescent="0.2">
      <c r="A361" s="16"/>
      <c r="C361" s="19"/>
      <c r="D361" s="19"/>
    </row>
    <row r="362" spans="1:4" s="85" customFormat="1" x14ac:dyDescent="0.2">
      <c r="A362" s="16"/>
      <c r="C362" s="19"/>
      <c r="D362" s="19"/>
    </row>
    <row r="363" spans="1:4" s="85" customFormat="1" x14ac:dyDescent="0.2">
      <c r="A363" s="16"/>
      <c r="C363" s="19"/>
      <c r="D363" s="19"/>
    </row>
    <row r="364" spans="1:4" s="85" customFormat="1" x14ac:dyDescent="0.2">
      <c r="A364" s="16"/>
      <c r="C364" s="19"/>
      <c r="D364" s="19"/>
    </row>
    <row r="365" spans="1:4" s="85" customFormat="1" x14ac:dyDescent="0.2">
      <c r="A365" s="16"/>
      <c r="C365" s="19"/>
      <c r="D365" s="19"/>
    </row>
    <row r="366" spans="1:4" s="85" customFormat="1" x14ac:dyDescent="0.2">
      <c r="A366" s="16"/>
      <c r="C366" s="19"/>
      <c r="D366" s="19"/>
    </row>
    <row r="367" spans="1:4" s="85" customFormat="1" x14ac:dyDescent="0.2">
      <c r="A367" s="16"/>
      <c r="C367" s="19"/>
      <c r="D367" s="19"/>
    </row>
    <row r="368" spans="1:4" s="85" customFormat="1" x14ac:dyDescent="0.2">
      <c r="A368" s="16"/>
      <c r="C368" s="19"/>
      <c r="D368" s="19"/>
    </row>
    <row r="369" spans="1:4" s="85" customFormat="1" x14ac:dyDescent="0.2">
      <c r="A369" s="16"/>
      <c r="C369" s="19"/>
      <c r="D369" s="19"/>
    </row>
    <row r="370" spans="1:4" s="85" customFormat="1" x14ac:dyDescent="0.2">
      <c r="A370" s="16"/>
      <c r="C370" s="19"/>
      <c r="D370" s="19"/>
    </row>
    <row r="371" spans="1:4" s="85" customFormat="1" x14ac:dyDescent="0.2">
      <c r="A371" s="16"/>
      <c r="C371" s="19"/>
      <c r="D371" s="19"/>
    </row>
    <row r="372" spans="1:4" s="85" customFormat="1" x14ac:dyDescent="0.2">
      <c r="A372" s="16"/>
      <c r="C372" s="19"/>
      <c r="D372" s="19"/>
    </row>
    <row r="373" spans="1:4" s="85" customFormat="1" x14ac:dyDescent="0.2">
      <c r="A373" s="16"/>
      <c r="C373" s="19"/>
      <c r="D373" s="19"/>
    </row>
    <row r="374" spans="1:4" s="85" customFormat="1" x14ac:dyDescent="0.2">
      <c r="A374" s="16"/>
      <c r="C374" s="19"/>
      <c r="D374" s="19"/>
    </row>
    <row r="375" spans="1:4" s="85" customFormat="1" x14ac:dyDescent="0.2">
      <c r="A375" s="16"/>
      <c r="C375" s="19"/>
      <c r="D375" s="19"/>
    </row>
    <row r="376" spans="1:4" s="85" customFormat="1" x14ac:dyDescent="0.2">
      <c r="A376" s="16"/>
      <c r="C376" s="19"/>
      <c r="D376" s="19"/>
    </row>
    <row r="377" spans="1:4" s="85" customFormat="1" x14ac:dyDescent="0.2">
      <c r="A377" s="16"/>
      <c r="C377" s="19"/>
      <c r="D377" s="19"/>
    </row>
    <row r="378" spans="1:4" s="85" customFormat="1" x14ac:dyDescent="0.2">
      <c r="A378" s="16"/>
      <c r="C378" s="19"/>
      <c r="D378" s="19"/>
    </row>
    <row r="379" spans="1:4" s="85" customFormat="1" x14ac:dyDescent="0.2">
      <c r="A379" s="16"/>
      <c r="C379" s="19"/>
      <c r="D379" s="19"/>
    </row>
    <row r="380" spans="1:4" s="85" customFormat="1" x14ac:dyDescent="0.2">
      <c r="A380" s="16"/>
      <c r="C380" s="19"/>
      <c r="D380" s="19"/>
    </row>
    <row r="381" spans="1:4" s="85" customFormat="1" x14ac:dyDescent="0.2">
      <c r="A381" s="16"/>
      <c r="C381" s="19"/>
      <c r="D381" s="19"/>
    </row>
    <row r="382" spans="1:4" s="85" customFormat="1" x14ac:dyDescent="0.2">
      <c r="A382" s="16"/>
      <c r="C382" s="19"/>
      <c r="D382" s="19"/>
    </row>
    <row r="383" spans="1:4" s="85" customFormat="1" x14ac:dyDescent="0.2">
      <c r="A383" s="16"/>
      <c r="C383" s="19"/>
      <c r="D383" s="19"/>
    </row>
    <row r="384" spans="1:4" s="85" customFormat="1" x14ac:dyDescent="0.2">
      <c r="A384" s="16"/>
      <c r="C384" s="19"/>
      <c r="D384" s="19"/>
    </row>
    <row r="385" spans="1:4" s="85" customFormat="1" x14ac:dyDescent="0.2">
      <c r="A385" s="16"/>
      <c r="C385" s="19"/>
      <c r="D385" s="19"/>
    </row>
    <row r="386" spans="1:4" s="85" customFormat="1" x14ac:dyDescent="0.2">
      <c r="A386" s="16"/>
      <c r="C386" s="19"/>
      <c r="D386" s="19"/>
    </row>
    <row r="387" spans="1:4" s="85" customFormat="1" x14ac:dyDescent="0.2">
      <c r="A387" s="16"/>
      <c r="C387" s="19"/>
      <c r="D387" s="19"/>
    </row>
    <row r="388" spans="1:4" s="85" customFormat="1" x14ac:dyDescent="0.2">
      <c r="A388" s="16"/>
      <c r="C388" s="19"/>
      <c r="D388" s="19"/>
    </row>
    <row r="389" spans="1:4" s="85" customFormat="1" x14ac:dyDescent="0.2">
      <c r="A389" s="16"/>
      <c r="C389" s="19"/>
      <c r="D389" s="19"/>
    </row>
    <row r="390" spans="1:4" s="85" customFormat="1" x14ac:dyDescent="0.2">
      <c r="A390" s="16"/>
      <c r="C390" s="19"/>
      <c r="D390" s="19"/>
    </row>
    <row r="391" spans="1:4" s="85" customFormat="1" x14ac:dyDescent="0.2">
      <c r="A391" s="16"/>
      <c r="C391" s="19"/>
      <c r="D391" s="19"/>
    </row>
    <row r="392" spans="1:4" s="85" customFormat="1" x14ac:dyDescent="0.2">
      <c r="A392" s="16"/>
      <c r="C392" s="19"/>
      <c r="D392" s="19"/>
    </row>
    <row r="393" spans="1:4" s="85" customFormat="1" x14ac:dyDescent="0.2">
      <c r="A393" s="16"/>
      <c r="C393" s="19"/>
      <c r="D393" s="19"/>
    </row>
    <row r="394" spans="1:4" s="85" customFormat="1" x14ac:dyDescent="0.2">
      <c r="A394" s="16"/>
      <c r="C394" s="19"/>
      <c r="D394" s="19"/>
    </row>
    <row r="395" spans="1:4" s="85" customFormat="1" x14ac:dyDescent="0.2">
      <c r="A395" s="16"/>
      <c r="C395" s="19"/>
      <c r="D395" s="19"/>
    </row>
    <row r="396" spans="1:4" s="85" customFormat="1" x14ac:dyDescent="0.2">
      <c r="A396" s="16"/>
      <c r="C396" s="19"/>
      <c r="D396" s="19"/>
    </row>
    <row r="397" spans="1:4" s="85" customFormat="1" x14ac:dyDescent="0.2">
      <c r="A397" s="16"/>
      <c r="C397" s="19"/>
      <c r="D397" s="19"/>
    </row>
    <row r="398" spans="1:4" s="85" customFormat="1" x14ac:dyDescent="0.2">
      <c r="A398" s="16"/>
      <c r="C398" s="19"/>
      <c r="D398" s="19"/>
    </row>
    <row r="399" spans="1:4" s="85" customFormat="1" x14ac:dyDescent="0.2">
      <c r="A399" s="16"/>
      <c r="C399" s="19"/>
      <c r="D399" s="19"/>
    </row>
    <row r="400" spans="1:4" s="85" customFormat="1" x14ac:dyDescent="0.2">
      <c r="A400" s="16"/>
      <c r="C400" s="19"/>
      <c r="D400" s="19"/>
    </row>
    <row r="401" spans="1:4" s="85" customFormat="1" x14ac:dyDescent="0.2">
      <c r="A401" s="16"/>
      <c r="C401" s="19"/>
      <c r="D401" s="19"/>
    </row>
    <row r="402" spans="1:4" s="85" customFormat="1" x14ac:dyDescent="0.2">
      <c r="A402" s="16"/>
      <c r="C402" s="19"/>
      <c r="D402" s="19"/>
    </row>
    <row r="403" spans="1:4" s="85" customFormat="1" x14ac:dyDescent="0.2">
      <c r="A403" s="16"/>
      <c r="C403" s="19"/>
      <c r="D403" s="19"/>
    </row>
    <row r="404" spans="1:4" s="85" customFormat="1" x14ac:dyDescent="0.2">
      <c r="A404" s="16"/>
      <c r="C404" s="19"/>
      <c r="D404" s="19"/>
    </row>
    <row r="405" spans="1:4" s="85" customFormat="1" x14ac:dyDescent="0.2">
      <c r="A405" s="16"/>
      <c r="C405" s="19"/>
      <c r="D405" s="19"/>
    </row>
    <row r="406" spans="1:4" s="85" customFormat="1" x14ac:dyDescent="0.2">
      <c r="A406" s="16"/>
      <c r="C406" s="19"/>
      <c r="D406" s="19"/>
    </row>
    <row r="407" spans="1:4" s="85" customFormat="1" x14ac:dyDescent="0.2">
      <c r="A407" s="16"/>
      <c r="C407" s="19"/>
      <c r="D407" s="19"/>
    </row>
    <row r="408" spans="1:4" s="85" customFormat="1" x14ac:dyDescent="0.2">
      <c r="A408" s="16"/>
      <c r="C408" s="19"/>
      <c r="D408" s="19"/>
    </row>
    <row r="409" spans="1:4" s="85" customFormat="1" x14ac:dyDescent="0.2">
      <c r="A409" s="16"/>
      <c r="C409" s="19"/>
      <c r="D409" s="19"/>
    </row>
    <row r="410" spans="1:4" s="85" customFormat="1" x14ac:dyDescent="0.2">
      <c r="A410" s="16"/>
      <c r="C410" s="19"/>
      <c r="D410" s="19"/>
    </row>
    <row r="411" spans="1:4" s="85" customFormat="1" x14ac:dyDescent="0.2">
      <c r="A411" s="16"/>
      <c r="C411" s="19"/>
      <c r="D411" s="19"/>
    </row>
    <row r="412" spans="1:4" s="85" customFormat="1" x14ac:dyDescent="0.2">
      <c r="A412" s="16"/>
      <c r="C412" s="19"/>
      <c r="D412" s="19"/>
    </row>
    <row r="413" spans="1:4" s="85" customFormat="1" x14ac:dyDescent="0.2">
      <c r="A413" s="16"/>
      <c r="C413" s="19"/>
      <c r="D413" s="19"/>
    </row>
    <row r="414" spans="1:4" s="85" customFormat="1" x14ac:dyDescent="0.2">
      <c r="A414" s="16"/>
      <c r="C414" s="19"/>
      <c r="D414" s="19"/>
    </row>
    <row r="415" spans="1:4" s="85" customFormat="1" x14ac:dyDescent="0.2">
      <c r="A415" s="16"/>
      <c r="C415" s="19"/>
      <c r="D415" s="19"/>
    </row>
    <row r="416" spans="1:4" s="85" customFormat="1" x14ac:dyDescent="0.2">
      <c r="A416" s="16"/>
      <c r="C416" s="19"/>
      <c r="D416" s="19"/>
    </row>
    <row r="417" spans="1:4" s="85" customFormat="1" x14ac:dyDescent="0.2">
      <c r="A417" s="16"/>
      <c r="C417" s="19"/>
      <c r="D417" s="19"/>
    </row>
    <row r="418" spans="1:4" s="85" customFormat="1" x14ac:dyDescent="0.2">
      <c r="A418" s="16"/>
      <c r="C418" s="19"/>
      <c r="D418" s="19"/>
    </row>
    <row r="419" spans="1:4" s="85" customFormat="1" x14ac:dyDescent="0.2">
      <c r="A419" s="16"/>
      <c r="C419" s="19"/>
      <c r="D419" s="19"/>
    </row>
    <row r="420" spans="1:4" s="85" customFormat="1" x14ac:dyDescent="0.2">
      <c r="A420" s="16"/>
      <c r="C420" s="19"/>
      <c r="D420" s="19"/>
    </row>
    <row r="421" spans="1:4" s="85" customFormat="1" x14ac:dyDescent="0.2">
      <c r="A421" s="16"/>
      <c r="C421" s="19"/>
      <c r="D421" s="19"/>
    </row>
    <row r="422" spans="1:4" s="85" customFormat="1" x14ac:dyDescent="0.2">
      <c r="A422" s="16"/>
      <c r="C422" s="19"/>
      <c r="D422" s="19"/>
    </row>
    <row r="423" spans="1:4" s="85" customFormat="1" x14ac:dyDescent="0.2">
      <c r="A423" s="16"/>
      <c r="C423" s="19"/>
      <c r="D423" s="19"/>
    </row>
    <row r="424" spans="1:4" s="85" customFormat="1" x14ac:dyDescent="0.2">
      <c r="A424" s="16"/>
      <c r="C424" s="19"/>
      <c r="D424" s="19"/>
    </row>
    <row r="425" spans="1:4" s="85" customFormat="1" x14ac:dyDescent="0.2">
      <c r="A425" s="16"/>
      <c r="C425" s="19"/>
      <c r="D425" s="19"/>
    </row>
    <row r="426" spans="1:4" s="85" customFormat="1" x14ac:dyDescent="0.2">
      <c r="A426" s="16"/>
      <c r="C426" s="19"/>
      <c r="D426" s="19"/>
    </row>
    <row r="427" spans="1:4" s="85" customFormat="1" x14ac:dyDescent="0.2">
      <c r="A427" s="16"/>
      <c r="C427" s="19"/>
      <c r="D427" s="19"/>
    </row>
    <row r="428" spans="1:4" s="85" customFormat="1" x14ac:dyDescent="0.2">
      <c r="A428" s="16"/>
      <c r="C428" s="19"/>
      <c r="D428" s="19"/>
    </row>
    <row r="429" spans="1:4" s="85" customFormat="1" x14ac:dyDescent="0.2">
      <c r="A429" s="16"/>
      <c r="C429" s="19"/>
      <c r="D429" s="19"/>
    </row>
    <row r="430" spans="1:4" s="85" customFormat="1" x14ac:dyDescent="0.2">
      <c r="A430" s="16"/>
      <c r="C430" s="19"/>
      <c r="D430" s="19"/>
    </row>
    <row r="431" spans="1:4" s="85" customFormat="1" x14ac:dyDescent="0.2">
      <c r="A431" s="16"/>
      <c r="C431" s="19"/>
      <c r="D431" s="19"/>
    </row>
    <row r="432" spans="1:4" s="85" customFormat="1" x14ac:dyDescent="0.2">
      <c r="A432" s="16"/>
      <c r="C432" s="19"/>
      <c r="D432" s="19"/>
    </row>
    <row r="433" spans="1:4" s="85" customFormat="1" x14ac:dyDescent="0.2">
      <c r="A433" s="16"/>
      <c r="C433" s="19"/>
      <c r="D433" s="19"/>
    </row>
    <row r="434" spans="1:4" s="85" customFormat="1" x14ac:dyDescent="0.2">
      <c r="A434" s="16"/>
      <c r="C434" s="19"/>
      <c r="D434" s="19"/>
    </row>
    <row r="435" spans="1:4" s="85" customFormat="1" x14ac:dyDescent="0.2">
      <c r="A435" s="16"/>
      <c r="C435" s="19"/>
      <c r="D435" s="19"/>
    </row>
    <row r="436" spans="1:4" s="85" customFormat="1" x14ac:dyDescent="0.2">
      <c r="A436" s="16"/>
      <c r="C436" s="19"/>
      <c r="D436" s="19"/>
    </row>
    <row r="437" spans="1:4" s="85" customFormat="1" x14ac:dyDescent="0.2">
      <c r="A437" s="16"/>
      <c r="C437" s="19"/>
      <c r="D437" s="19"/>
    </row>
    <row r="438" spans="1:4" s="85" customFormat="1" x14ac:dyDescent="0.2">
      <c r="A438" s="16"/>
      <c r="C438" s="19"/>
      <c r="D438" s="19"/>
    </row>
    <row r="439" spans="1:4" s="85" customFormat="1" x14ac:dyDescent="0.2">
      <c r="A439" s="16"/>
      <c r="C439" s="19"/>
      <c r="D439" s="19"/>
    </row>
    <row r="440" spans="1:4" s="85" customFormat="1" x14ac:dyDescent="0.2">
      <c r="A440" s="16"/>
      <c r="C440" s="19"/>
      <c r="D440" s="19"/>
    </row>
    <row r="441" spans="1:4" s="85" customFormat="1" x14ac:dyDescent="0.2">
      <c r="A441" s="16"/>
      <c r="C441" s="19"/>
      <c r="D441" s="19"/>
    </row>
    <row r="442" spans="1:4" s="85" customFormat="1" x14ac:dyDescent="0.2">
      <c r="A442" s="16"/>
      <c r="C442" s="19"/>
      <c r="D442" s="19"/>
    </row>
    <row r="443" spans="1:4" s="85" customFormat="1" x14ac:dyDescent="0.2">
      <c r="A443" s="16"/>
      <c r="C443" s="19"/>
      <c r="D443" s="19"/>
    </row>
    <row r="444" spans="1:4" s="85" customFormat="1" x14ac:dyDescent="0.2">
      <c r="A444" s="16"/>
      <c r="C444" s="19"/>
      <c r="D444" s="19"/>
    </row>
    <row r="445" spans="1:4" s="85" customFormat="1" x14ac:dyDescent="0.2">
      <c r="A445" s="16"/>
      <c r="C445" s="19"/>
      <c r="D445" s="19"/>
    </row>
    <row r="446" spans="1:4" s="85" customFormat="1" x14ac:dyDescent="0.2">
      <c r="A446" s="16"/>
      <c r="C446" s="19"/>
      <c r="D446" s="19"/>
    </row>
    <row r="447" spans="1:4" s="85" customFormat="1" x14ac:dyDescent="0.2">
      <c r="A447" s="16"/>
      <c r="C447" s="19"/>
      <c r="D447" s="19"/>
    </row>
    <row r="448" spans="1:4" s="85" customFormat="1" x14ac:dyDescent="0.2">
      <c r="A448" s="16"/>
      <c r="C448" s="19"/>
      <c r="D448" s="19"/>
    </row>
    <row r="449" spans="1:4" s="85" customFormat="1" x14ac:dyDescent="0.2">
      <c r="A449" s="16"/>
      <c r="C449" s="19"/>
      <c r="D449" s="19"/>
    </row>
    <row r="450" spans="1:4" s="85" customFormat="1" x14ac:dyDescent="0.2">
      <c r="A450" s="16"/>
      <c r="C450" s="19"/>
      <c r="D450" s="19"/>
    </row>
    <row r="451" spans="1:4" s="85" customFormat="1" x14ac:dyDescent="0.2">
      <c r="A451" s="16"/>
      <c r="C451" s="19"/>
      <c r="D451" s="19"/>
    </row>
    <row r="452" spans="1:4" s="85" customFormat="1" x14ac:dyDescent="0.2">
      <c r="A452" s="16"/>
      <c r="C452" s="19"/>
      <c r="D452" s="19"/>
    </row>
    <row r="453" spans="1:4" s="85" customFormat="1" x14ac:dyDescent="0.2">
      <c r="A453" s="16"/>
      <c r="C453" s="19"/>
      <c r="D453" s="19"/>
    </row>
    <row r="454" spans="1:4" s="85" customFormat="1" x14ac:dyDescent="0.2">
      <c r="A454" s="16"/>
      <c r="C454" s="19"/>
      <c r="D454" s="19"/>
    </row>
    <row r="455" spans="1:4" s="85" customFormat="1" x14ac:dyDescent="0.2">
      <c r="A455" s="16"/>
      <c r="C455" s="19"/>
      <c r="D455" s="19"/>
    </row>
    <row r="456" spans="1:4" s="85" customFormat="1" x14ac:dyDescent="0.2">
      <c r="A456" s="16"/>
      <c r="C456" s="19"/>
      <c r="D456" s="19"/>
    </row>
    <row r="457" spans="1:4" s="85" customFormat="1" x14ac:dyDescent="0.2">
      <c r="A457" s="16"/>
      <c r="C457" s="19"/>
      <c r="D457" s="19"/>
    </row>
    <row r="458" spans="1:4" s="85" customFormat="1" x14ac:dyDescent="0.2">
      <c r="A458" s="16"/>
      <c r="C458" s="19"/>
      <c r="D458" s="19"/>
    </row>
    <row r="459" spans="1:4" s="85" customFormat="1" x14ac:dyDescent="0.2">
      <c r="A459" s="16"/>
      <c r="C459" s="19"/>
      <c r="D459" s="19"/>
    </row>
    <row r="460" spans="1:4" s="85" customFormat="1" x14ac:dyDescent="0.2">
      <c r="A460" s="16"/>
      <c r="C460" s="19"/>
      <c r="D460" s="19"/>
    </row>
    <row r="461" spans="1:4" s="85" customFormat="1" x14ac:dyDescent="0.2">
      <c r="A461" s="16"/>
      <c r="C461" s="19"/>
      <c r="D461" s="19"/>
    </row>
    <row r="462" spans="1:4" s="85" customFormat="1" x14ac:dyDescent="0.2">
      <c r="A462" s="16"/>
      <c r="C462" s="19"/>
      <c r="D462" s="19"/>
    </row>
    <row r="463" spans="1:4" s="85" customFormat="1" x14ac:dyDescent="0.2">
      <c r="A463" s="16"/>
      <c r="C463" s="19"/>
      <c r="D463" s="19"/>
    </row>
    <row r="464" spans="1:4" s="85" customFormat="1" x14ac:dyDescent="0.2">
      <c r="A464" s="16"/>
      <c r="C464" s="19"/>
      <c r="D464" s="19"/>
    </row>
    <row r="465" spans="1:4" s="85" customFormat="1" x14ac:dyDescent="0.2">
      <c r="A465" s="16"/>
      <c r="C465" s="19"/>
      <c r="D465" s="19"/>
    </row>
    <row r="466" spans="1:4" s="85" customFormat="1" x14ac:dyDescent="0.2">
      <c r="A466" s="16"/>
      <c r="C466" s="19"/>
      <c r="D466" s="19"/>
    </row>
    <row r="467" spans="1:4" s="85" customFormat="1" x14ac:dyDescent="0.2">
      <c r="A467" s="16"/>
      <c r="C467" s="19"/>
      <c r="D467" s="19"/>
    </row>
    <row r="468" spans="1:4" s="85" customFormat="1" x14ac:dyDescent="0.2">
      <c r="A468" s="16"/>
      <c r="C468" s="19"/>
      <c r="D468" s="19"/>
    </row>
    <row r="469" spans="1:4" s="85" customFormat="1" x14ac:dyDescent="0.2">
      <c r="A469" s="16"/>
      <c r="C469" s="19"/>
      <c r="D469" s="19"/>
    </row>
    <row r="470" spans="1:4" s="85" customFormat="1" x14ac:dyDescent="0.2">
      <c r="A470" s="16"/>
      <c r="C470" s="19"/>
      <c r="D470" s="19"/>
    </row>
    <row r="471" spans="1:4" s="85" customFormat="1" x14ac:dyDescent="0.2">
      <c r="A471" s="16"/>
      <c r="C471" s="19"/>
      <c r="D471" s="19"/>
    </row>
    <row r="472" spans="1:4" s="85" customFormat="1" x14ac:dyDescent="0.2">
      <c r="A472" s="16"/>
      <c r="C472" s="19"/>
      <c r="D472" s="19"/>
    </row>
    <row r="473" spans="1:4" s="85" customFormat="1" x14ac:dyDescent="0.2">
      <c r="A473" s="16"/>
      <c r="C473" s="19"/>
      <c r="D473" s="19"/>
    </row>
    <row r="474" spans="1:4" s="85" customFormat="1" x14ac:dyDescent="0.2">
      <c r="A474" s="16"/>
      <c r="C474" s="19"/>
      <c r="D474" s="19"/>
    </row>
    <row r="475" spans="1:4" s="85" customFormat="1" x14ac:dyDescent="0.2">
      <c r="A475" s="16"/>
      <c r="C475" s="19"/>
      <c r="D475" s="19"/>
    </row>
    <row r="476" spans="1:4" s="85" customFormat="1" x14ac:dyDescent="0.2">
      <c r="A476" s="16"/>
      <c r="C476" s="19"/>
      <c r="D476" s="19"/>
    </row>
    <row r="477" spans="1:4" s="85" customFormat="1" x14ac:dyDescent="0.2">
      <c r="A477" s="16"/>
      <c r="C477" s="19"/>
      <c r="D477" s="19"/>
    </row>
    <row r="478" spans="1:4" s="85" customFormat="1" x14ac:dyDescent="0.2">
      <c r="A478" s="16"/>
      <c r="C478" s="19"/>
      <c r="D478" s="19"/>
    </row>
    <row r="479" spans="1:4" s="85" customFormat="1" x14ac:dyDescent="0.2">
      <c r="A479" s="16"/>
      <c r="C479" s="19"/>
      <c r="D479" s="19"/>
    </row>
    <row r="480" spans="1:4" s="85" customFormat="1" x14ac:dyDescent="0.2">
      <c r="A480" s="16"/>
      <c r="C480" s="19"/>
      <c r="D480" s="19"/>
    </row>
    <row r="481" spans="1:4" s="85" customFormat="1" x14ac:dyDescent="0.2">
      <c r="A481" s="16"/>
      <c r="C481" s="19"/>
      <c r="D481" s="19"/>
    </row>
    <row r="482" spans="1:4" s="85" customFormat="1" x14ac:dyDescent="0.2">
      <c r="A482" s="16"/>
      <c r="C482" s="19"/>
      <c r="D482" s="19"/>
    </row>
    <row r="483" spans="1:4" s="85" customFormat="1" x14ac:dyDescent="0.2">
      <c r="A483" s="16"/>
      <c r="C483" s="19"/>
      <c r="D483" s="19"/>
    </row>
    <row r="484" spans="1:4" s="85" customFormat="1" x14ac:dyDescent="0.2">
      <c r="A484" s="16"/>
      <c r="C484" s="19"/>
      <c r="D484" s="19"/>
    </row>
    <row r="485" spans="1:4" s="85" customFormat="1" x14ac:dyDescent="0.2">
      <c r="A485" s="16"/>
      <c r="C485" s="19"/>
      <c r="D485" s="19"/>
    </row>
    <row r="486" spans="1:4" s="85" customFormat="1" x14ac:dyDescent="0.2">
      <c r="A486" s="16"/>
      <c r="C486" s="19"/>
      <c r="D486" s="19"/>
    </row>
    <row r="487" spans="1:4" s="85" customFormat="1" x14ac:dyDescent="0.2">
      <c r="A487" s="16"/>
      <c r="C487" s="19"/>
      <c r="D487" s="19"/>
    </row>
    <row r="488" spans="1:4" s="85" customFormat="1" x14ac:dyDescent="0.2">
      <c r="A488" s="16"/>
      <c r="C488" s="19"/>
      <c r="D488" s="19"/>
    </row>
    <row r="489" spans="1:4" s="85" customFormat="1" x14ac:dyDescent="0.2">
      <c r="A489" s="16"/>
      <c r="C489" s="19"/>
      <c r="D489" s="19"/>
    </row>
    <row r="490" spans="1:4" s="85" customFormat="1" x14ac:dyDescent="0.2">
      <c r="A490" s="16"/>
      <c r="C490" s="19"/>
      <c r="D490" s="19"/>
    </row>
    <row r="491" spans="1:4" s="85" customFormat="1" x14ac:dyDescent="0.2">
      <c r="A491" s="16"/>
      <c r="C491" s="19"/>
      <c r="D491" s="19"/>
    </row>
    <row r="492" spans="1:4" s="85" customFormat="1" x14ac:dyDescent="0.2">
      <c r="A492" s="16"/>
      <c r="C492" s="19"/>
      <c r="D492" s="19"/>
    </row>
    <row r="493" spans="1:4" s="85" customFormat="1" x14ac:dyDescent="0.2">
      <c r="A493" s="16"/>
      <c r="C493" s="19"/>
      <c r="D493" s="19"/>
    </row>
    <row r="494" spans="1:4" s="85" customFormat="1" x14ac:dyDescent="0.2">
      <c r="A494" s="16"/>
      <c r="C494" s="19"/>
      <c r="D494" s="19"/>
    </row>
    <row r="495" spans="1:4" s="85" customFormat="1" x14ac:dyDescent="0.2">
      <c r="A495" s="16"/>
      <c r="C495" s="19"/>
      <c r="D495" s="19"/>
    </row>
    <row r="496" spans="1:4" s="85" customFormat="1" x14ac:dyDescent="0.2">
      <c r="A496" s="16"/>
      <c r="C496" s="19"/>
      <c r="D496" s="19"/>
    </row>
    <row r="497" spans="1:4" s="85" customFormat="1" x14ac:dyDescent="0.2">
      <c r="A497" s="16"/>
      <c r="C497" s="19"/>
      <c r="D497" s="19"/>
    </row>
    <row r="498" spans="1:4" s="85" customFormat="1" x14ac:dyDescent="0.2">
      <c r="A498" s="16"/>
      <c r="C498" s="19"/>
      <c r="D498" s="19"/>
    </row>
    <row r="499" spans="1:4" s="85" customFormat="1" x14ac:dyDescent="0.2">
      <c r="A499" s="16"/>
      <c r="C499" s="19"/>
      <c r="D499" s="19"/>
    </row>
    <row r="500" spans="1:4" s="85" customFormat="1" x14ac:dyDescent="0.2">
      <c r="A500" s="16"/>
      <c r="C500" s="19"/>
      <c r="D500" s="19"/>
    </row>
    <row r="501" spans="1:4" s="85" customFormat="1" x14ac:dyDescent="0.2">
      <c r="A501" s="16"/>
      <c r="C501" s="19"/>
      <c r="D501" s="19"/>
    </row>
    <row r="502" spans="1:4" s="85" customFormat="1" x14ac:dyDescent="0.2">
      <c r="A502" s="16"/>
      <c r="C502" s="19"/>
      <c r="D502" s="19"/>
    </row>
    <row r="503" spans="1:4" s="85" customFormat="1" x14ac:dyDescent="0.2">
      <c r="A503" s="16"/>
      <c r="C503" s="19"/>
      <c r="D503" s="19"/>
    </row>
    <row r="504" spans="1:4" s="85" customFormat="1" x14ac:dyDescent="0.2">
      <c r="A504" s="16"/>
      <c r="C504" s="19"/>
      <c r="D504" s="19"/>
    </row>
    <row r="505" spans="1:4" s="85" customFormat="1" x14ac:dyDescent="0.2">
      <c r="A505" s="16"/>
      <c r="C505" s="19"/>
      <c r="D505" s="19"/>
    </row>
    <row r="506" spans="1:4" s="85" customFormat="1" x14ac:dyDescent="0.2">
      <c r="A506" s="16"/>
      <c r="C506" s="19"/>
      <c r="D506" s="19"/>
    </row>
    <row r="507" spans="1:4" s="85" customFormat="1" x14ac:dyDescent="0.2">
      <c r="A507" s="16"/>
      <c r="C507" s="19"/>
      <c r="D507" s="19"/>
    </row>
    <row r="508" spans="1:4" s="85" customFormat="1" x14ac:dyDescent="0.2">
      <c r="A508" s="16"/>
      <c r="C508" s="19"/>
      <c r="D508" s="19"/>
    </row>
    <row r="509" spans="1:4" s="85" customFormat="1" x14ac:dyDescent="0.2">
      <c r="A509" s="16"/>
      <c r="C509" s="19"/>
      <c r="D509" s="19"/>
    </row>
    <row r="510" spans="1:4" s="85" customFormat="1" x14ac:dyDescent="0.2">
      <c r="A510" s="16"/>
      <c r="C510" s="19"/>
      <c r="D510" s="19"/>
    </row>
    <row r="511" spans="1:4" s="85" customFormat="1" x14ac:dyDescent="0.2">
      <c r="A511" s="16"/>
      <c r="C511" s="19"/>
      <c r="D511" s="19"/>
    </row>
    <row r="512" spans="1:4" s="85" customFormat="1" x14ac:dyDescent="0.2">
      <c r="A512" s="16"/>
      <c r="C512" s="19"/>
      <c r="D512" s="19"/>
    </row>
    <row r="513" spans="1:4" s="85" customFormat="1" x14ac:dyDescent="0.2">
      <c r="A513" s="16"/>
      <c r="C513" s="19"/>
      <c r="D513" s="19"/>
    </row>
    <row r="514" spans="1:4" s="85" customFormat="1" x14ac:dyDescent="0.2">
      <c r="A514" s="16"/>
      <c r="C514" s="19"/>
      <c r="D514" s="19"/>
    </row>
    <row r="515" spans="1:4" s="85" customFormat="1" x14ac:dyDescent="0.2">
      <c r="A515" s="16"/>
      <c r="C515" s="19"/>
      <c r="D515" s="19"/>
    </row>
    <row r="516" spans="1:4" s="85" customFormat="1" x14ac:dyDescent="0.2">
      <c r="A516" s="16"/>
      <c r="C516" s="19"/>
      <c r="D516" s="19"/>
    </row>
    <row r="517" spans="1:4" s="85" customFormat="1" x14ac:dyDescent="0.2">
      <c r="A517" s="16"/>
      <c r="C517" s="19"/>
      <c r="D517" s="19"/>
    </row>
    <row r="518" spans="1:4" s="85" customFormat="1" x14ac:dyDescent="0.2">
      <c r="A518" s="16"/>
      <c r="C518" s="19"/>
      <c r="D518" s="19"/>
    </row>
    <row r="519" spans="1:4" s="85" customFormat="1" x14ac:dyDescent="0.2">
      <c r="A519" s="16"/>
      <c r="C519" s="19"/>
      <c r="D519" s="19"/>
    </row>
    <row r="520" spans="1:4" s="85" customFormat="1" x14ac:dyDescent="0.2">
      <c r="A520" s="16"/>
      <c r="C520" s="19"/>
      <c r="D520" s="19"/>
    </row>
    <row r="521" spans="1:4" s="85" customFormat="1" x14ac:dyDescent="0.2">
      <c r="A521" s="16"/>
      <c r="C521" s="19"/>
      <c r="D521" s="19"/>
    </row>
    <row r="522" spans="1:4" s="85" customFormat="1" x14ac:dyDescent="0.2">
      <c r="A522" s="16"/>
      <c r="C522" s="19"/>
      <c r="D522" s="19"/>
    </row>
    <row r="523" spans="1:4" s="85" customFormat="1" x14ac:dyDescent="0.2">
      <c r="A523" s="16"/>
      <c r="C523" s="19"/>
      <c r="D523" s="19"/>
    </row>
    <row r="524" spans="1:4" s="85" customFormat="1" x14ac:dyDescent="0.2">
      <c r="A524" s="16"/>
      <c r="C524" s="19"/>
      <c r="D524" s="19"/>
    </row>
    <row r="525" spans="1:4" s="85" customFormat="1" x14ac:dyDescent="0.2">
      <c r="A525" s="16"/>
      <c r="C525" s="19"/>
      <c r="D525" s="19"/>
    </row>
    <row r="526" spans="1:4" s="85" customFormat="1" x14ac:dyDescent="0.2">
      <c r="A526" s="16"/>
      <c r="C526" s="19"/>
      <c r="D526" s="19"/>
    </row>
    <row r="527" spans="1:4" s="85" customFormat="1" x14ac:dyDescent="0.2">
      <c r="A527" s="16"/>
      <c r="C527" s="19"/>
      <c r="D527" s="19"/>
    </row>
    <row r="528" spans="1:4" s="85" customFormat="1" x14ac:dyDescent="0.2">
      <c r="A528" s="16"/>
      <c r="C528" s="19"/>
      <c r="D528" s="19"/>
    </row>
    <row r="529" spans="1:4" s="85" customFormat="1" x14ac:dyDescent="0.2">
      <c r="A529" s="16"/>
      <c r="C529" s="19"/>
      <c r="D529" s="19"/>
    </row>
    <row r="530" spans="1:4" s="85" customFormat="1" x14ac:dyDescent="0.2">
      <c r="A530" s="16"/>
      <c r="C530" s="19"/>
      <c r="D530" s="19"/>
    </row>
    <row r="531" spans="1:4" s="85" customFormat="1" x14ac:dyDescent="0.2">
      <c r="A531" s="16"/>
      <c r="C531" s="19"/>
      <c r="D531" s="19"/>
    </row>
    <row r="532" spans="1:4" s="85" customFormat="1" x14ac:dyDescent="0.2">
      <c r="A532" s="16"/>
      <c r="C532" s="19"/>
      <c r="D532" s="19"/>
    </row>
    <row r="533" spans="1:4" s="85" customFormat="1" x14ac:dyDescent="0.2">
      <c r="A533" s="16"/>
      <c r="C533" s="19"/>
      <c r="D533" s="19"/>
    </row>
    <row r="534" spans="1:4" s="85" customFormat="1" x14ac:dyDescent="0.2">
      <c r="A534" s="16"/>
      <c r="C534" s="19"/>
      <c r="D534" s="19"/>
    </row>
    <row r="535" spans="1:4" s="85" customFormat="1" x14ac:dyDescent="0.2">
      <c r="A535" s="16"/>
      <c r="C535" s="19"/>
      <c r="D535" s="19"/>
    </row>
    <row r="536" spans="1:4" s="85" customFormat="1" x14ac:dyDescent="0.2">
      <c r="A536" s="16"/>
      <c r="C536" s="19"/>
      <c r="D536" s="19"/>
    </row>
    <row r="537" spans="1:4" s="85" customFormat="1" x14ac:dyDescent="0.2">
      <c r="A537" s="16"/>
      <c r="C537" s="19"/>
      <c r="D537" s="19"/>
    </row>
    <row r="538" spans="1:4" s="85" customFormat="1" x14ac:dyDescent="0.2">
      <c r="A538" s="16"/>
      <c r="C538" s="19"/>
      <c r="D538" s="19"/>
    </row>
    <row r="539" spans="1:4" s="85" customFormat="1" x14ac:dyDescent="0.2">
      <c r="A539" s="16"/>
      <c r="C539" s="19"/>
      <c r="D539" s="19"/>
    </row>
    <row r="540" spans="1:4" s="85" customFormat="1" x14ac:dyDescent="0.2">
      <c r="A540" s="16"/>
      <c r="C540" s="19"/>
      <c r="D540" s="19"/>
    </row>
    <row r="541" spans="1:4" s="85" customFormat="1" x14ac:dyDescent="0.2">
      <c r="A541" s="16"/>
      <c r="C541" s="19"/>
      <c r="D541" s="19"/>
    </row>
    <row r="542" spans="1:4" s="85" customFormat="1" x14ac:dyDescent="0.2">
      <c r="A542" s="16"/>
      <c r="C542" s="19"/>
      <c r="D542" s="19"/>
    </row>
    <row r="543" spans="1:4" s="85" customFormat="1" x14ac:dyDescent="0.2">
      <c r="A543" s="16"/>
      <c r="C543" s="19"/>
      <c r="D543" s="19"/>
    </row>
    <row r="544" spans="1:4" s="85" customFormat="1" x14ac:dyDescent="0.2">
      <c r="A544" s="16"/>
      <c r="C544" s="19"/>
      <c r="D544" s="19"/>
    </row>
    <row r="545" spans="1:4" s="85" customFormat="1" x14ac:dyDescent="0.2">
      <c r="A545" s="16"/>
      <c r="C545" s="19"/>
      <c r="D545" s="19"/>
    </row>
    <row r="546" spans="1:4" s="85" customFormat="1" x14ac:dyDescent="0.2">
      <c r="A546" s="16"/>
      <c r="C546" s="19"/>
      <c r="D546" s="19"/>
    </row>
    <row r="547" spans="1:4" s="85" customFormat="1" x14ac:dyDescent="0.2">
      <c r="A547" s="16"/>
      <c r="C547" s="19"/>
      <c r="D547" s="19"/>
    </row>
    <row r="548" spans="1:4" s="85" customFormat="1" x14ac:dyDescent="0.2">
      <c r="A548" s="16"/>
      <c r="C548" s="19"/>
      <c r="D548" s="19"/>
    </row>
    <row r="549" spans="1:4" s="85" customFormat="1" x14ac:dyDescent="0.2">
      <c r="A549" s="16"/>
      <c r="C549" s="19"/>
      <c r="D549" s="19"/>
    </row>
    <row r="550" spans="1:4" s="85" customFormat="1" x14ac:dyDescent="0.2">
      <c r="A550" s="16"/>
      <c r="C550" s="19"/>
      <c r="D550" s="19"/>
    </row>
    <row r="551" spans="1:4" s="85" customFormat="1" x14ac:dyDescent="0.2">
      <c r="A551" s="16"/>
      <c r="C551" s="19"/>
      <c r="D551" s="19"/>
    </row>
    <row r="552" spans="1:4" s="85" customFormat="1" x14ac:dyDescent="0.2">
      <c r="A552" s="16"/>
      <c r="C552" s="19"/>
      <c r="D552" s="19"/>
    </row>
    <row r="553" spans="1:4" s="85" customFormat="1" x14ac:dyDescent="0.2">
      <c r="A553" s="16"/>
      <c r="C553" s="19"/>
      <c r="D553" s="19"/>
    </row>
    <row r="554" spans="1:4" s="85" customFormat="1" x14ac:dyDescent="0.2">
      <c r="A554" s="16"/>
      <c r="C554" s="19"/>
      <c r="D554" s="19"/>
    </row>
    <row r="555" spans="1:4" s="85" customFormat="1" x14ac:dyDescent="0.2">
      <c r="A555" s="16"/>
      <c r="C555" s="19"/>
      <c r="D555" s="19"/>
    </row>
    <row r="556" spans="1:4" s="85" customFormat="1" x14ac:dyDescent="0.2">
      <c r="A556" s="16"/>
      <c r="C556" s="19"/>
      <c r="D556" s="19"/>
    </row>
    <row r="557" spans="1:4" s="85" customFormat="1" x14ac:dyDescent="0.2">
      <c r="A557" s="16"/>
      <c r="C557" s="19"/>
      <c r="D557" s="19"/>
    </row>
    <row r="558" spans="1:4" s="85" customFormat="1" x14ac:dyDescent="0.2">
      <c r="A558" s="16"/>
      <c r="C558" s="19"/>
      <c r="D558" s="19"/>
    </row>
    <row r="559" spans="1:4" s="85" customFormat="1" x14ac:dyDescent="0.2">
      <c r="A559" s="16"/>
      <c r="C559" s="19"/>
      <c r="D559" s="19"/>
    </row>
    <row r="560" spans="1:4" s="85" customFormat="1" x14ac:dyDescent="0.2">
      <c r="A560" s="16"/>
      <c r="C560" s="19"/>
      <c r="D560" s="19"/>
    </row>
    <row r="561" spans="1:4" s="85" customFormat="1" x14ac:dyDescent="0.2">
      <c r="A561" s="16"/>
      <c r="C561" s="19"/>
      <c r="D561" s="19"/>
    </row>
    <row r="562" spans="1:4" s="85" customFormat="1" x14ac:dyDescent="0.2">
      <c r="A562" s="16"/>
      <c r="C562" s="19"/>
      <c r="D562" s="19"/>
    </row>
    <row r="563" spans="1:4" s="85" customFormat="1" x14ac:dyDescent="0.2">
      <c r="A563" s="16"/>
      <c r="C563" s="19"/>
      <c r="D563" s="19"/>
    </row>
    <row r="564" spans="1:4" s="85" customFormat="1" x14ac:dyDescent="0.2">
      <c r="A564" s="16"/>
      <c r="C564" s="19"/>
      <c r="D564" s="19"/>
    </row>
    <row r="565" spans="1:4" s="85" customFormat="1" x14ac:dyDescent="0.2">
      <c r="A565" s="16"/>
      <c r="C565" s="19"/>
      <c r="D565" s="19"/>
    </row>
    <row r="566" spans="1:4" s="85" customFormat="1" x14ac:dyDescent="0.2">
      <c r="A566" s="16"/>
      <c r="C566" s="19"/>
      <c r="D566" s="19"/>
    </row>
    <row r="567" spans="1:4" s="85" customFormat="1" x14ac:dyDescent="0.2">
      <c r="A567" s="16"/>
      <c r="C567" s="19"/>
      <c r="D567" s="19"/>
    </row>
    <row r="568" spans="1:4" s="85" customFormat="1" x14ac:dyDescent="0.2">
      <c r="A568" s="16"/>
      <c r="C568" s="19"/>
      <c r="D568" s="19"/>
    </row>
    <row r="569" spans="1:4" s="85" customFormat="1" x14ac:dyDescent="0.2">
      <c r="A569" s="16"/>
      <c r="C569" s="19"/>
      <c r="D569" s="19"/>
    </row>
    <row r="570" spans="1:4" s="85" customFormat="1" x14ac:dyDescent="0.2">
      <c r="A570" s="16"/>
      <c r="C570" s="19"/>
      <c r="D570" s="19"/>
    </row>
    <row r="571" spans="1:4" s="85" customFormat="1" x14ac:dyDescent="0.2">
      <c r="A571" s="16"/>
      <c r="C571" s="19"/>
      <c r="D571" s="19"/>
    </row>
    <row r="572" spans="1:4" s="85" customFormat="1" x14ac:dyDescent="0.2">
      <c r="A572" s="16"/>
      <c r="C572" s="19"/>
      <c r="D572" s="19"/>
    </row>
    <row r="573" spans="1:4" s="85" customFormat="1" x14ac:dyDescent="0.2">
      <c r="A573" s="16"/>
      <c r="C573" s="19"/>
      <c r="D573" s="19"/>
    </row>
    <row r="574" spans="1:4" s="85" customFormat="1" x14ac:dyDescent="0.2">
      <c r="A574" s="16"/>
      <c r="C574" s="19"/>
      <c r="D574" s="19"/>
    </row>
    <row r="575" spans="1:4" s="85" customFormat="1" x14ac:dyDescent="0.2">
      <c r="A575" s="16"/>
      <c r="C575" s="19"/>
      <c r="D575" s="19"/>
    </row>
    <row r="576" spans="1:4" s="85" customFormat="1" x14ac:dyDescent="0.2">
      <c r="A576" s="16"/>
      <c r="C576" s="19"/>
      <c r="D576" s="19"/>
    </row>
    <row r="577" spans="1:4" s="85" customFormat="1" x14ac:dyDescent="0.2">
      <c r="A577" s="16"/>
      <c r="C577" s="19"/>
      <c r="D577" s="19"/>
    </row>
    <row r="578" spans="1:4" s="85" customFormat="1" x14ac:dyDescent="0.2">
      <c r="A578" s="16"/>
      <c r="C578" s="19"/>
      <c r="D578" s="19"/>
    </row>
    <row r="579" spans="1:4" s="85" customFormat="1" x14ac:dyDescent="0.2">
      <c r="A579" s="16"/>
      <c r="C579" s="19"/>
      <c r="D579" s="19"/>
    </row>
    <row r="580" spans="1:4" s="85" customFormat="1" x14ac:dyDescent="0.2">
      <c r="A580" s="16"/>
      <c r="C580" s="19"/>
      <c r="D580" s="19"/>
    </row>
    <row r="581" spans="1:4" s="85" customFormat="1" x14ac:dyDescent="0.2">
      <c r="A581" s="16"/>
      <c r="C581" s="19"/>
      <c r="D581" s="19"/>
    </row>
    <row r="582" spans="1:4" s="85" customFormat="1" x14ac:dyDescent="0.2">
      <c r="A582" s="16"/>
      <c r="C582" s="19"/>
      <c r="D582" s="19"/>
    </row>
    <row r="583" spans="1:4" s="85" customFormat="1" x14ac:dyDescent="0.2">
      <c r="A583" s="16"/>
      <c r="C583" s="19"/>
      <c r="D583" s="19"/>
    </row>
    <row r="584" spans="1:4" s="85" customFormat="1" x14ac:dyDescent="0.2">
      <c r="A584" s="16"/>
      <c r="C584" s="19"/>
      <c r="D584" s="19"/>
    </row>
    <row r="585" spans="1:4" s="85" customFormat="1" x14ac:dyDescent="0.2">
      <c r="A585" s="16"/>
      <c r="C585" s="19"/>
      <c r="D585" s="19"/>
    </row>
    <row r="586" spans="1:4" s="85" customFormat="1" x14ac:dyDescent="0.2">
      <c r="A586" s="16"/>
      <c r="C586" s="19"/>
      <c r="D586" s="19"/>
    </row>
    <row r="587" spans="1:4" s="85" customFormat="1" x14ac:dyDescent="0.2">
      <c r="A587" s="16"/>
      <c r="C587" s="19"/>
      <c r="D587" s="19"/>
    </row>
    <row r="588" spans="1:4" s="85" customFormat="1" x14ac:dyDescent="0.2">
      <c r="A588" s="16"/>
      <c r="C588" s="19"/>
      <c r="D588" s="19"/>
    </row>
    <row r="589" spans="1:4" s="85" customFormat="1" x14ac:dyDescent="0.2">
      <c r="A589" s="16"/>
      <c r="C589" s="19"/>
      <c r="D589" s="19"/>
    </row>
    <row r="590" spans="1:4" s="85" customFormat="1" x14ac:dyDescent="0.2">
      <c r="A590" s="16"/>
      <c r="C590" s="19"/>
      <c r="D590" s="19"/>
    </row>
    <row r="591" spans="1:4" s="85" customFormat="1" x14ac:dyDescent="0.2">
      <c r="A591" s="16"/>
      <c r="C591" s="19"/>
      <c r="D591" s="19"/>
    </row>
    <row r="592" spans="1:4" s="85" customFormat="1" x14ac:dyDescent="0.2">
      <c r="A592" s="16"/>
      <c r="C592" s="19"/>
      <c r="D592" s="19"/>
    </row>
    <row r="593" spans="1:4" s="85" customFormat="1" x14ac:dyDescent="0.2">
      <c r="A593" s="16"/>
      <c r="C593" s="19"/>
      <c r="D593" s="19"/>
    </row>
    <row r="594" spans="1:4" s="85" customFormat="1" x14ac:dyDescent="0.2">
      <c r="A594" s="16"/>
      <c r="C594" s="19"/>
      <c r="D594" s="19"/>
    </row>
    <row r="595" spans="1:4" s="85" customFormat="1" x14ac:dyDescent="0.2">
      <c r="A595" s="16"/>
      <c r="C595" s="19"/>
      <c r="D595" s="19"/>
    </row>
    <row r="596" spans="1:4" s="85" customFormat="1" x14ac:dyDescent="0.2">
      <c r="A596" s="16"/>
      <c r="C596" s="19"/>
      <c r="D596" s="19"/>
    </row>
    <row r="597" spans="1:4" s="85" customFormat="1" x14ac:dyDescent="0.2">
      <c r="A597" s="16"/>
      <c r="C597" s="19"/>
      <c r="D597" s="19"/>
    </row>
    <row r="598" spans="1:4" s="85" customFormat="1" x14ac:dyDescent="0.2">
      <c r="A598" s="16"/>
      <c r="C598" s="19"/>
      <c r="D598" s="19"/>
    </row>
    <row r="599" spans="1:4" s="85" customFormat="1" x14ac:dyDescent="0.2">
      <c r="A599" s="16"/>
      <c r="C599" s="19"/>
      <c r="D599" s="19"/>
    </row>
    <row r="600" spans="1:4" s="85" customFormat="1" x14ac:dyDescent="0.2">
      <c r="A600" s="16"/>
      <c r="C600" s="19"/>
      <c r="D600" s="19"/>
    </row>
    <row r="601" spans="1:4" s="85" customFormat="1" x14ac:dyDescent="0.2">
      <c r="A601" s="16"/>
      <c r="C601" s="19"/>
      <c r="D601" s="19"/>
    </row>
    <row r="602" spans="1:4" s="85" customFormat="1" x14ac:dyDescent="0.2">
      <c r="A602" s="16"/>
      <c r="C602" s="19"/>
      <c r="D602" s="19"/>
    </row>
    <row r="603" spans="1:4" s="85" customFormat="1" x14ac:dyDescent="0.2">
      <c r="A603" s="16"/>
      <c r="C603" s="19"/>
      <c r="D603" s="19"/>
    </row>
    <row r="604" spans="1:4" s="85" customFormat="1" x14ac:dyDescent="0.2">
      <c r="A604" s="16"/>
      <c r="C604" s="19"/>
      <c r="D604" s="19"/>
    </row>
    <row r="605" spans="1:4" s="85" customFormat="1" x14ac:dyDescent="0.2">
      <c r="A605" s="16"/>
      <c r="C605" s="19"/>
      <c r="D605" s="19"/>
    </row>
    <row r="606" spans="1:4" s="85" customFormat="1" x14ac:dyDescent="0.2">
      <c r="A606" s="16"/>
      <c r="C606" s="19"/>
      <c r="D606" s="19"/>
    </row>
    <row r="607" spans="1:4" s="85" customFormat="1" x14ac:dyDescent="0.2">
      <c r="A607" s="16"/>
      <c r="C607" s="19"/>
      <c r="D607" s="19"/>
    </row>
    <row r="608" spans="1:4" s="85" customFormat="1" x14ac:dyDescent="0.2">
      <c r="A608" s="16"/>
      <c r="C608" s="19"/>
      <c r="D608" s="19"/>
    </row>
    <row r="609" spans="1:4" s="85" customFormat="1" x14ac:dyDescent="0.2">
      <c r="A609" s="16"/>
      <c r="C609" s="19"/>
      <c r="D609" s="19"/>
    </row>
    <row r="610" spans="1:4" s="85" customFormat="1" x14ac:dyDescent="0.2">
      <c r="A610" s="16"/>
      <c r="C610" s="19"/>
      <c r="D610" s="19"/>
    </row>
    <row r="611" spans="1:4" s="85" customFormat="1" x14ac:dyDescent="0.2">
      <c r="A611" s="16"/>
      <c r="C611" s="19"/>
      <c r="D611" s="19"/>
    </row>
    <row r="612" spans="1:4" s="85" customFormat="1" x14ac:dyDescent="0.2">
      <c r="A612" s="16"/>
      <c r="C612" s="19"/>
      <c r="D612" s="19"/>
    </row>
    <row r="613" spans="1:4" s="85" customFormat="1" x14ac:dyDescent="0.2">
      <c r="A613" s="16"/>
      <c r="C613" s="19"/>
      <c r="D613" s="19"/>
    </row>
    <row r="614" spans="1:4" s="85" customFormat="1" x14ac:dyDescent="0.2">
      <c r="A614" s="16"/>
      <c r="C614" s="19"/>
      <c r="D614" s="19"/>
    </row>
    <row r="615" spans="1:4" s="85" customFormat="1" x14ac:dyDescent="0.2">
      <c r="A615" s="16"/>
      <c r="C615" s="19"/>
      <c r="D615" s="19"/>
    </row>
    <row r="616" spans="1:4" s="85" customFormat="1" x14ac:dyDescent="0.2">
      <c r="A616" s="16"/>
      <c r="C616" s="19"/>
      <c r="D616" s="19"/>
    </row>
    <row r="617" spans="1:4" s="85" customFormat="1" x14ac:dyDescent="0.2">
      <c r="A617" s="16"/>
      <c r="C617" s="19"/>
      <c r="D617" s="19"/>
    </row>
    <row r="618" spans="1:4" s="85" customFormat="1" x14ac:dyDescent="0.2">
      <c r="A618" s="16"/>
      <c r="C618" s="19"/>
      <c r="D618" s="19"/>
    </row>
    <row r="619" spans="1:4" s="85" customFormat="1" x14ac:dyDescent="0.2">
      <c r="A619" s="16"/>
      <c r="C619" s="19"/>
      <c r="D619" s="19"/>
    </row>
    <row r="620" spans="1:4" s="85" customFormat="1" x14ac:dyDescent="0.2">
      <c r="A620" s="16"/>
      <c r="C620" s="19"/>
      <c r="D620" s="19"/>
    </row>
    <row r="621" spans="1:4" s="85" customFormat="1" x14ac:dyDescent="0.2">
      <c r="A621" s="16"/>
      <c r="C621" s="19"/>
      <c r="D621" s="19"/>
    </row>
    <row r="622" spans="1:4" s="85" customFormat="1" x14ac:dyDescent="0.2">
      <c r="A622" s="16"/>
      <c r="C622" s="19"/>
      <c r="D622" s="19"/>
    </row>
    <row r="623" spans="1:4" s="85" customFormat="1" x14ac:dyDescent="0.2">
      <c r="A623" s="16"/>
      <c r="C623" s="19"/>
      <c r="D623" s="19"/>
    </row>
    <row r="624" spans="1:4" s="85" customFormat="1" x14ac:dyDescent="0.2">
      <c r="A624" s="16"/>
      <c r="C624" s="19"/>
      <c r="D624" s="19"/>
    </row>
    <row r="625" spans="1:4" s="85" customFormat="1" x14ac:dyDescent="0.2">
      <c r="A625" s="16"/>
      <c r="C625" s="19"/>
      <c r="D625" s="19"/>
    </row>
    <row r="626" spans="1:4" s="85" customFormat="1" x14ac:dyDescent="0.2">
      <c r="A626" s="16"/>
      <c r="C626" s="19"/>
      <c r="D626" s="19"/>
    </row>
    <row r="627" spans="1:4" s="85" customFormat="1" x14ac:dyDescent="0.2">
      <c r="A627" s="16"/>
      <c r="C627" s="19"/>
      <c r="D627" s="19"/>
    </row>
    <row r="628" spans="1:4" s="85" customFormat="1" x14ac:dyDescent="0.2">
      <c r="A628" s="16"/>
      <c r="C628" s="19"/>
      <c r="D628" s="19"/>
    </row>
    <row r="629" spans="1:4" s="85" customFormat="1" x14ac:dyDescent="0.2">
      <c r="A629" s="16"/>
      <c r="C629" s="19"/>
      <c r="D629" s="19"/>
    </row>
    <row r="630" spans="1:4" s="85" customFormat="1" x14ac:dyDescent="0.2">
      <c r="A630" s="16"/>
      <c r="C630" s="19"/>
      <c r="D630" s="19"/>
    </row>
    <row r="631" spans="1:4" s="85" customFormat="1" x14ac:dyDescent="0.2">
      <c r="A631" s="16"/>
      <c r="C631" s="19"/>
      <c r="D631" s="19"/>
    </row>
    <row r="632" spans="1:4" s="85" customFormat="1" x14ac:dyDescent="0.2">
      <c r="A632" s="16"/>
      <c r="C632" s="19"/>
      <c r="D632" s="19"/>
    </row>
    <row r="633" spans="1:4" s="85" customFormat="1" x14ac:dyDescent="0.2">
      <c r="A633" s="16"/>
      <c r="C633" s="19"/>
      <c r="D633" s="19"/>
    </row>
    <row r="634" spans="1:4" s="85" customFormat="1" x14ac:dyDescent="0.2">
      <c r="A634" s="16"/>
      <c r="C634" s="19"/>
      <c r="D634" s="19"/>
    </row>
    <row r="635" spans="1:4" s="85" customFormat="1" x14ac:dyDescent="0.2">
      <c r="A635" s="16"/>
      <c r="C635" s="19"/>
      <c r="D635" s="19"/>
    </row>
    <row r="636" spans="1:4" s="85" customFormat="1" x14ac:dyDescent="0.2">
      <c r="A636" s="16"/>
      <c r="C636" s="19"/>
      <c r="D636" s="19"/>
    </row>
    <row r="637" spans="1:4" s="85" customFormat="1" x14ac:dyDescent="0.2">
      <c r="A637" s="16"/>
      <c r="C637" s="19"/>
      <c r="D637" s="19"/>
    </row>
    <row r="638" spans="1:4" s="85" customFormat="1" x14ac:dyDescent="0.2">
      <c r="A638" s="16"/>
      <c r="C638" s="19"/>
      <c r="D638" s="19"/>
    </row>
    <row r="639" spans="1:4" s="85" customFormat="1" x14ac:dyDescent="0.2">
      <c r="A639" s="16"/>
      <c r="C639" s="19"/>
      <c r="D639" s="19"/>
    </row>
    <row r="640" spans="1:4" s="85" customFormat="1" x14ac:dyDescent="0.2">
      <c r="A640" s="16"/>
      <c r="C640" s="19"/>
      <c r="D640" s="19"/>
    </row>
    <row r="641" spans="1:4" s="85" customFormat="1" x14ac:dyDescent="0.2">
      <c r="A641" s="16"/>
      <c r="C641" s="19"/>
      <c r="D641" s="19"/>
    </row>
    <row r="642" spans="1:4" s="85" customFormat="1" x14ac:dyDescent="0.2">
      <c r="A642" s="16"/>
      <c r="C642" s="19"/>
      <c r="D642" s="19"/>
    </row>
    <row r="643" spans="1:4" s="85" customFormat="1" x14ac:dyDescent="0.2">
      <c r="A643" s="16"/>
      <c r="C643" s="19"/>
      <c r="D643" s="19"/>
    </row>
    <row r="644" spans="1:4" s="85" customFormat="1" x14ac:dyDescent="0.2">
      <c r="A644" s="16"/>
      <c r="C644" s="19"/>
      <c r="D644" s="19"/>
    </row>
    <row r="645" spans="1:4" s="85" customFormat="1" x14ac:dyDescent="0.2">
      <c r="A645" s="16"/>
      <c r="C645" s="19"/>
      <c r="D645" s="19"/>
    </row>
    <row r="646" spans="1:4" s="85" customFormat="1" x14ac:dyDescent="0.2">
      <c r="A646" s="16"/>
      <c r="C646" s="19"/>
      <c r="D646" s="19"/>
    </row>
    <row r="647" spans="1:4" s="85" customFormat="1" x14ac:dyDescent="0.2">
      <c r="A647" s="16"/>
      <c r="C647" s="19"/>
      <c r="D647" s="19"/>
    </row>
    <row r="648" spans="1:4" s="85" customFormat="1" x14ac:dyDescent="0.2">
      <c r="A648" s="16"/>
      <c r="C648" s="19"/>
      <c r="D648" s="19"/>
    </row>
    <row r="649" spans="1:4" s="85" customFormat="1" x14ac:dyDescent="0.2">
      <c r="A649" s="16"/>
      <c r="C649" s="19"/>
      <c r="D649" s="19"/>
    </row>
    <row r="650" spans="1:4" s="85" customFormat="1" x14ac:dyDescent="0.2">
      <c r="A650" s="16"/>
      <c r="C650" s="19"/>
      <c r="D650" s="19"/>
    </row>
    <row r="651" spans="1:4" s="85" customFormat="1" x14ac:dyDescent="0.2">
      <c r="A651" s="16"/>
      <c r="C651" s="19"/>
      <c r="D651" s="19"/>
    </row>
    <row r="652" spans="1:4" s="85" customFormat="1" x14ac:dyDescent="0.2">
      <c r="A652" s="16"/>
      <c r="C652" s="19"/>
      <c r="D652" s="19"/>
    </row>
    <row r="653" spans="1:4" s="85" customFormat="1" x14ac:dyDescent="0.2">
      <c r="A653" s="16"/>
      <c r="C653" s="19"/>
      <c r="D653" s="19"/>
    </row>
    <row r="654" spans="1:4" s="85" customFormat="1" x14ac:dyDescent="0.2">
      <c r="A654" s="16"/>
      <c r="C654" s="19"/>
      <c r="D654" s="19"/>
    </row>
    <row r="655" spans="1:4" s="85" customFormat="1" x14ac:dyDescent="0.2">
      <c r="A655" s="16"/>
      <c r="C655" s="19"/>
      <c r="D655" s="19"/>
    </row>
    <row r="656" spans="1:4" s="85" customFormat="1" x14ac:dyDescent="0.2">
      <c r="A656" s="16"/>
      <c r="C656" s="19"/>
      <c r="D656" s="19"/>
    </row>
    <row r="657" spans="1:4" s="85" customFormat="1" x14ac:dyDescent="0.2">
      <c r="A657" s="16"/>
      <c r="C657" s="19"/>
      <c r="D657" s="19"/>
    </row>
    <row r="658" spans="1:4" s="85" customFormat="1" x14ac:dyDescent="0.2">
      <c r="A658" s="16"/>
      <c r="C658" s="19"/>
      <c r="D658" s="19"/>
    </row>
    <row r="659" spans="1:4" s="85" customFormat="1" x14ac:dyDescent="0.2">
      <c r="A659" s="16"/>
      <c r="C659" s="19"/>
      <c r="D659" s="19"/>
    </row>
    <row r="660" spans="1:4" s="85" customFormat="1" x14ac:dyDescent="0.2">
      <c r="A660" s="16"/>
      <c r="C660" s="19"/>
      <c r="D660" s="19"/>
    </row>
    <row r="661" spans="1:4" s="85" customFormat="1" x14ac:dyDescent="0.2">
      <c r="A661" s="16"/>
      <c r="C661" s="19"/>
      <c r="D661" s="19"/>
    </row>
    <row r="662" spans="1:4" s="85" customFormat="1" x14ac:dyDescent="0.2">
      <c r="A662" s="16"/>
      <c r="C662" s="19"/>
      <c r="D662" s="19"/>
    </row>
    <row r="663" spans="1:4" s="85" customFormat="1" x14ac:dyDescent="0.2">
      <c r="A663" s="16"/>
      <c r="C663" s="19"/>
      <c r="D663" s="19"/>
    </row>
    <row r="664" spans="1:4" s="85" customFormat="1" x14ac:dyDescent="0.2">
      <c r="A664" s="16"/>
      <c r="C664" s="19"/>
      <c r="D664" s="19"/>
    </row>
    <row r="665" spans="1:4" s="85" customFormat="1" x14ac:dyDescent="0.2">
      <c r="A665" s="16"/>
      <c r="C665" s="19"/>
      <c r="D665" s="19"/>
    </row>
    <row r="666" spans="1:4" s="85" customFormat="1" x14ac:dyDescent="0.2">
      <c r="A666" s="16"/>
      <c r="C666" s="19"/>
      <c r="D666" s="19"/>
    </row>
    <row r="667" spans="1:4" s="85" customFormat="1" x14ac:dyDescent="0.2">
      <c r="A667" s="16"/>
      <c r="C667" s="19"/>
      <c r="D667" s="19"/>
    </row>
    <row r="668" spans="1:4" s="85" customFormat="1" x14ac:dyDescent="0.2">
      <c r="A668" s="16"/>
      <c r="C668" s="19"/>
      <c r="D668" s="19"/>
    </row>
    <row r="669" spans="1:4" s="85" customFormat="1" x14ac:dyDescent="0.2">
      <c r="A669" s="16"/>
      <c r="C669" s="19"/>
      <c r="D669" s="19"/>
    </row>
    <row r="670" spans="1:4" s="85" customFormat="1" x14ac:dyDescent="0.2">
      <c r="A670" s="16"/>
      <c r="C670" s="19"/>
      <c r="D670" s="19"/>
    </row>
    <row r="671" spans="1:4" s="85" customFormat="1" x14ac:dyDescent="0.2">
      <c r="A671" s="16"/>
      <c r="C671" s="19"/>
      <c r="D671" s="19"/>
    </row>
    <row r="672" spans="1:4" s="85" customFormat="1" x14ac:dyDescent="0.2">
      <c r="A672" s="16"/>
      <c r="C672" s="19"/>
      <c r="D672" s="19"/>
    </row>
    <row r="673" spans="1:4" s="85" customFormat="1" x14ac:dyDescent="0.2">
      <c r="A673" s="16"/>
      <c r="C673" s="19"/>
      <c r="D673" s="19"/>
    </row>
    <row r="674" spans="1:4" s="85" customFormat="1" x14ac:dyDescent="0.2">
      <c r="A674" s="16"/>
      <c r="C674" s="19"/>
      <c r="D674" s="19"/>
    </row>
    <row r="675" spans="1:4" s="85" customFormat="1" x14ac:dyDescent="0.2">
      <c r="A675" s="16"/>
      <c r="C675" s="19"/>
      <c r="D675" s="19"/>
    </row>
    <row r="676" spans="1:4" s="85" customFormat="1" x14ac:dyDescent="0.2">
      <c r="A676" s="16"/>
      <c r="C676" s="19"/>
      <c r="D676" s="19"/>
    </row>
    <row r="677" spans="1:4" s="85" customFormat="1" x14ac:dyDescent="0.2">
      <c r="A677" s="16"/>
      <c r="C677" s="19"/>
      <c r="D677" s="19"/>
    </row>
    <row r="678" spans="1:4" s="85" customFormat="1" x14ac:dyDescent="0.2">
      <c r="A678" s="16"/>
      <c r="C678" s="19"/>
      <c r="D678" s="19"/>
    </row>
    <row r="679" spans="1:4" s="85" customFormat="1" x14ac:dyDescent="0.2">
      <c r="A679" s="16"/>
      <c r="C679" s="19"/>
      <c r="D679" s="19"/>
    </row>
    <row r="680" spans="1:4" s="85" customFormat="1" x14ac:dyDescent="0.2">
      <c r="A680" s="16"/>
      <c r="C680" s="19"/>
      <c r="D680" s="19"/>
    </row>
    <row r="681" spans="1:4" s="85" customFormat="1" x14ac:dyDescent="0.2">
      <c r="A681" s="16"/>
      <c r="C681" s="19"/>
      <c r="D681" s="19"/>
    </row>
    <row r="682" spans="1:4" s="85" customFormat="1" x14ac:dyDescent="0.2">
      <c r="A682" s="16"/>
      <c r="C682" s="19"/>
      <c r="D682" s="19"/>
    </row>
    <row r="683" spans="1:4" s="85" customFormat="1" x14ac:dyDescent="0.2">
      <c r="A683" s="16"/>
      <c r="C683" s="19"/>
      <c r="D683" s="19"/>
    </row>
    <row r="684" spans="1:4" s="85" customFormat="1" x14ac:dyDescent="0.2">
      <c r="A684" s="16"/>
      <c r="C684" s="19"/>
      <c r="D684" s="19"/>
    </row>
    <row r="685" spans="1:4" s="85" customFormat="1" x14ac:dyDescent="0.2">
      <c r="A685" s="16"/>
      <c r="C685" s="19"/>
      <c r="D685" s="19"/>
    </row>
    <row r="686" spans="1:4" s="85" customFormat="1" x14ac:dyDescent="0.2">
      <c r="A686" s="16"/>
      <c r="C686" s="19"/>
      <c r="D686" s="19"/>
    </row>
    <row r="687" spans="1:4" s="85" customFormat="1" x14ac:dyDescent="0.2">
      <c r="A687" s="16"/>
      <c r="C687" s="19"/>
      <c r="D687" s="19"/>
    </row>
    <row r="688" spans="1:4" s="85" customFormat="1" x14ac:dyDescent="0.2">
      <c r="A688" s="16"/>
      <c r="C688" s="19"/>
      <c r="D688" s="19"/>
    </row>
    <row r="689" spans="1:4" s="85" customFormat="1" x14ac:dyDescent="0.2">
      <c r="A689" s="16"/>
      <c r="C689" s="19"/>
      <c r="D689" s="19"/>
    </row>
    <row r="690" spans="1:4" s="85" customFormat="1" x14ac:dyDescent="0.2">
      <c r="A690" s="16"/>
      <c r="C690" s="19"/>
      <c r="D690" s="19"/>
    </row>
    <row r="691" spans="1:4" s="85" customFormat="1" x14ac:dyDescent="0.2">
      <c r="A691" s="16"/>
      <c r="C691" s="19"/>
      <c r="D691" s="19"/>
    </row>
    <row r="692" spans="1:4" s="85" customFormat="1" x14ac:dyDescent="0.2">
      <c r="A692" s="16"/>
      <c r="C692" s="19"/>
      <c r="D692" s="19"/>
    </row>
    <row r="693" spans="1:4" s="85" customFormat="1" x14ac:dyDescent="0.2">
      <c r="A693" s="16"/>
      <c r="C693" s="19"/>
      <c r="D693" s="19"/>
    </row>
    <row r="694" spans="1:4" s="85" customFormat="1" x14ac:dyDescent="0.2">
      <c r="A694" s="16"/>
      <c r="C694" s="19"/>
      <c r="D694" s="19"/>
    </row>
    <row r="695" spans="1:4" s="85" customFormat="1" x14ac:dyDescent="0.2">
      <c r="A695" s="16"/>
      <c r="C695" s="19"/>
      <c r="D695" s="19"/>
    </row>
    <row r="696" spans="1:4" s="85" customFormat="1" x14ac:dyDescent="0.2">
      <c r="A696" s="16"/>
      <c r="C696" s="19"/>
      <c r="D696" s="19"/>
    </row>
    <row r="697" spans="1:4" s="85" customFormat="1" x14ac:dyDescent="0.2">
      <c r="A697" s="16"/>
      <c r="C697" s="19"/>
      <c r="D697" s="19"/>
    </row>
    <row r="698" spans="1:4" s="85" customFormat="1" x14ac:dyDescent="0.2">
      <c r="A698" s="16"/>
      <c r="C698" s="19"/>
      <c r="D698" s="19"/>
    </row>
    <row r="699" spans="1:4" s="85" customFormat="1" x14ac:dyDescent="0.2">
      <c r="A699" s="16"/>
      <c r="C699" s="19"/>
      <c r="D699" s="19"/>
    </row>
    <row r="700" spans="1:4" s="85" customFormat="1" x14ac:dyDescent="0.2">
      <c r="A700" s="16"/>
      <c r="C700" s="19"/>
      <c r="D700" s="19"/>
    </row>
    <row r="701" spans="1:4" s="85" customFormat="1" x14ac:dyDescent="0.2">
      <c r="A701" s="16"/>
      <c r="C701" s="19"/>
      <c r="D701" s="19"/>
    </row>
    <row r="702" spans="1:4" s="85" customFormat="1" x14ac:dyDescent="0.2">
      <c r="A702" s="16"/>
      <c r="C702" s="19"/>
      <c r="D702" s="19"/>
    </row>
    <row r="703" spans="1:4" s="85" customFormat="1" x14ac:dyDescent="0.2">
      <c r="A703" s="16"/>
      <c r="C703" s="19"/>
      <c r="D703" s="19"/>
    </row>
    <row r="704" spans="1:4" s="85" customFormat="1" x14ac:dyDescent="0.2">
      <c r="A704" s="16"/>
      <c r="C704" s="19"/>
      <c r="D704" s="19"/>
    </row>
    <row r="705" spans="1:4" s="85" customFormat="1" x14ac:dyDescent="0.2">
      <c r="A705" s="16"/>
      <c r="C705" s="19"/>
      <c r="D705" s="19"/>
    </row>
    <row r="706" spans="1:4" s="85" customFormat="1" x14ac:dyDescent="0.2">
      <c r="A706" s="16"/>
      <c r="C706" s="19"/>
      <c r="D706" s="19"/>
    </row>
    <row r="707" spans="1:4" s="85" customFormat="1" x14ac:dyDescent="0.2">
      <c r="A707" s="16"/>
      <c r="C707" s="19"/>
      <c r="D707" s="19"/>
    </row>
    <row r="708" spans="1:4" s="85" customFormat="1" x14ac:dyDescent="0.2">
      <c r="A708" s="16"/>
      <c r="C708" s="19"/>
      <c r="D708" s="19"/>
    </row>
    <row r="709" spans="1:4" s="85" customFormat="1" x14ac:dyDescent="0.2">
      <c r="A709" s="16"/>
      <c r="C709" s="19"/>
      <c r="D709" s="19"/>
    </row>
    <row r="710" spans="1:4" s="85" customFormat="1" x14ac:dyDescent="0.2">
      <c r="A710" s="16"/>
      <c r="C710" s="19"/>
      <c r="D710" s="19"/>
    </row>
    <row r="711" spans="1:4" s="85" customFormat="1" x14ac:dyDescent="0.2">
      <c r="A711" s="16"/>
      <c r="C711" s="19"/>
      <c r="D711" s="19"/>
    </row>
    <row r="712" spans="1:4" s="85" customFormat="1" x14ac:dyDescent="0.2">
      <c r="A712" s="16"/>
      <c r="C712" s="19"/>
      <c r="D712" s="19"/>
    </row>
    <row r="713" spans="1:4" s="85" customFormat="1" x14ac:dyDescent="0.2">
      <c r="A713" s="16"/>
      <c r="C713" s="19"/>
      <c r="D713" s="19"/>
    </row>
    <row r="714" spans="1:4" s="85" customFormat="1" x14ac:dyDescent="0.2">
      <c r="A714" s="16"/>
      <c r="C714" s="19"/>
      <c r="D714" s="19"/>
    </row>
    <row r="715" spans="1:4" s="85" customFormat="1" x14ac:dyDescent="0.2">
      <c r="A715" s="16"/>
      <c r="C715" s="19"/>
      <c r="D715" s="19"/>
    </row>
    <row r="716" spans="1:4" s="85" customFormat="1" x14ac:dyDescent="0.2">
      <c r="A716" s="16"/>
      <c r="C716" s="19"/>
      <c r="D716" s="19"/>
    </row>
    <row r="717" spans="1:4" s="85" customFormat="1" x14ac:dyDescent="0.2">
      <c r="A717" s="16"/>
      <c r="C717" s="19"/>
      <c r="D717" s="19"/>
    </row>
    <row r="718" spans="1:4" s="85" customFormat="1" x14ac:dyDescent="0.2">
      <c r="A718" s="16"/>
      <c r="C718" s="19"/>
      <c r="D718" s="19"/>
    </row>
    <row r="719" spans="1:4" s="85" customFormat="1" x14ac:dyDescent="0.2">
      <c r="A719" s="16"/>
      <c r="C719" s="19"/>
      <c r="D719" s="19"/>
    </row>
    <row r="720" spans="1:4" s="85" customFormat="1" x14ac:dyDescent="0.2">
      <c r="A720" s="16"/>
      <c r="C720" s="19"/>
      <c r="D720" s="19"/>
    </row>
    <row r="721" spans="1:4" s="85" customFormat="1" x14ac:dyDescent="0.2">
      <c r="A721" s="16"/>
      <c r="C721" s="19"/>
      <c r="D721" s="19"/>
    </row>
    <row r="722" spans="1:4" s="85" customFormat="1" x14ac:dyDescent="0.2">
      <c r="A722" s="16"/>
      <c r="C722" s="19"/>
      <c r="D722" s="19"/>
    </row>
    <row r="723" spans="1:4" s="85" customFormat="1" x14ac:dyDescent="0.2">
      <c r="A723" s="16"/>
      <c r="C723" s="19"/>
      <c r="D723" s="19"/>
    </row>
    <row r="724" spans="1:4" s="85" customFormat="1" x14ac:dyDescent="0.2">
      <c r="A724" s="16"/>
      <c r="C724" s="19"/>
      <c r="D724" s="19"/>
    </row>
    <row r="725" spans="1:4" s="85" customFormat="1" x14ac:dyDescent="0.2">
      <c r="A725" s="16"/>
      <c r="C725" s="19"/>
      <c r="D725" s="19"/>
    </row>
    <row r="726" spans="1:4" s="85" customFormat="1" x14ac:dyDescent="0.2">
      <c r="A726" s="16"/>
      <c r="C726" s="19"/>
      <c r="D726" s="19"/>
    </row>
    <row r="727" spans="1:4" s="85" customFormat="1" x14ac:dyDescent="0.2">
      <c r="A727" s="16"/>
      <c r="C727" s="19"/>
      <c r="D727" s="19"/>
    </row>
    <row r="728" spans="1:4" s="85" customFormat="1" x14ac:dyDescent="0.2">
      <c r="A728" s="16"/>
      <c r="C728" s="19"/>
      <c r="D728" s="19"/>
    </row>
    <row r="729" spans="1:4" s="85" customFormat="1" x14ac:dyDescent="0.2">
      <c r="A729" s="16"/>
      <c r="C729" s="19"/>
      <c r="D729" s="19"/>
    </row>
    <row r="730" spans="1:4" s="85" customFormat="1" x14ac:dyDescent="0.2">
      <c r="A730" s="16"/>
      <c r="C730" s="19"/>
      <c r="D730" s="19"/>
    </row>
    <row r="731" spans="1:4" s="85" customFormat="1" x14ac:dyDescent="0.2">
      <c r="A731" s="16"/>
      <c r="C731" s="19"/>
      <c r="D731" s="19"/>
    </row>
    <row r="732" spans="1:4" s="85" customFormat="1" x14ac:dyDescent="0.2">
      <c r="A732" s="16"/>
      <c r="C732" s="19"/>
      <c r="D732" s="19"/>
    </row>
    <row r="733" spans="1:4" s="85" customFormat="1" x14ac:dyDescent="0.2">
      <c r="A733" s="16"/>
      <c r="C733" s="19"/>
      <c r="D733" s="19"/>
    </row>
    <row r="734" spans="1:4" s="85" customFormat="1" x14ac:dyDescent="0.2">
      <c r="A734" s="16"/>
      <c r="C734" s="19"/>
      <c r="D734" s="19"/>
    </row>
    <row r="735" spans="1:4" s="85" customFormat="1" x14ac:dyDescent="0.2">
      <c r="A735" s="16"/>
      <c r="C735" s="19"/>
      <c r="D735" s="19"/>
    </row>
    <row r="736" spans="1:4" s="85" customFormat="1" x14ac:dyDescent="0.2">
      <c r="A736" s="16"/>
      <c r="C736" s="19"/>
      <c r="D736" s="19"/>
    </row>
    <row r="737" spans="1:4" s="85" customFormat="1" x14ac:dyDescent="0.2">
      <c r="A737" s="16"/>
      <c r="C737" s="19"/>
      <c r="D737" s="19"/>
    </row>
    <row r="738" spans="1:4" s="85" customFormat="1" x14ac:dyDescent="0.2">
      <c r="A738" s="16"/>
      <c r="C738" s="19"/>
      <c r="D738" s="19"/>
    </row>
    <row r="739" spans="1:4" s="85" customFormat="1" x14ac:dyDescent="0.2">
      <c r="A739" s="16"/>
      <c r="C739" s="19"/>
      <c r="D739" s="19"/>
    </row>
    <row r="740" spans="1:4" s="85" customFormat="1" x14ac:dyDescent="0.2">
      <c r="A740" s="16"/>
      <c r="C740" s="19"/>
      <c r="D740" s="19"/>
    </row>
    <row r="741" spans="1:4" s="85" customFormat="1" x14ac:dyDescent="0.2">
      <c r="A741" s="16"/>
      <c r="C741" s="19"/>
      <c r="D741" s="19"/>
    </row>
    <row r="742" spans="1:4" s="85" customFormat="1" x14ac:dyDescent="0.2">
      <c r="A742" s="16"/>
      <c r="C742" s="19"/>
      <c r="D742" s="19"/>
    </row>
    <row r="743" spans="1:4" s="85" customFormat="1" x14ac:dyDescent="0.2">
      <c r="A743" s="16"/>
      <c r="C743" s="19"/>
      <c r="D743" s="19"/>
    </row>
    <row r="744" spans="1:4" s="85" customFormat="1" x14ac:dyDescent="0.2">
      <c r="A744" s="16"/>
      <c r="C744" s="19"/>
      <c r="D744" s="19"/>
    </row>
    <row r="745" spans="1:4" s="85" customFormat="1" x14ac:dyDescent="0.2">
      <c r="A745" s="16"/>
      <c r="C745" s="19"/>
      <c r="D745" s="19"/>
    </row>
    <row r="746" spans="1:4" s="85" customFormat="1" x14ac:dyDescent="0.2">
      <c r="A746" s="16"/>
      <c r="C746" s="19"/>
      <c r="D746" s="19"/>
    </row>
    <row r="747" spans="1:4" s="85" customFormat="1" x14ac:dyDescent="0.2">
      <c r="A747" s="16"/>
      <c r="C747" s="19"/>
      <c r="D747" s="19"/>
    </row>
    <row r="748" spans="1:4" s="85" customFormat="1" x14ac:dyDescent="0.2">
      <c r="A748" s="16"/>
      <c r="C748" s="19"/>
      <c r="D748" s="19"/>
    </row>
    <row r="749" spans="1:4" s="85" customFormat="1" x14ac:dyDescent="0.2">
      <c r="A749" s="16"/>
      <c r="C749" s="19"/>
      <c r="D749" s="19"/>
    </row>
    <row r="750" spans="1:4" s="85" customFormat="1" x14ac:dyDescent="0.2">
      <c r="A750" s="16"/>
      <c r="C750" s="19"/>
      <c r="D750" s="19"/>
    </row>
    <row r="751" spans="1:4" s="85" customFormat="1" x14ac:dyDescent="0.2">
      <c r="A751" s="16"/>
      <c r="C751" s="19"/>
      <c r="D751" s="19"/>
    </row>
    <row r="752" spans="1:4" s="85" customFormat="1" x14ac:dyDescent="0.2">
      <c r="A752" s="16"/>
      <c r="C752" s="19"/>
      <c r="D752" s="19"/>
    </row>
    <row r="753" spans="1:4" s="85" customFormat="1" x14ac:dyDescent="0.2">
      <c r="A753" s="16"/>
      <c r="C753" s="19"/>
      <c r="D753" s="19"/>
    </row>
    <row r="754" spans="1:4" s="85" customFormat="1" x14ac:dyDescent="0.2">
      <c r="A754" s="16"/>
      <c r="C754" s="19"/>
      <c r="D754" s="19"/>
    </row>
    <row r="755" spans="1:4" s="85" customFormat="1" x14ac:dyDescent="0.2">
      <c r="A755" s="16"/>
      <c r="C755" s="19"/>
      <c r="D755" s="19"/>
    </row>
    <row r="756" spans="1:4" s="85" customFormat="1" x14ac:dyDescent="0.2">
      <c r="A756" s="16"/>
      <c r="C756" s="19"/>
      <c r="D756" s="19"/>
    </row>
    <row r="757" spans="1:4" s="85" customFormat="1" x14ac:dyDescent="0.2">
      <c r="A757" s="16"/>
      <c r="C757" s="19"/>
      <c r="D757" s="19"/>
    </row>
    <row r="758" spans="1:4" s="85" customFormat="1" x14ac:dyDescent="0.2">
      <c r="A758" s="16"/>
      <c r="C758" s="19"/>
      <c r="D758" s="19"/>
    </row>
    <row r="759" spans="1:4" s="85" customFormat="1" x14ac:dyDescent="0.2">
      <c r="A759" s="16"/>
      <c r="C759" s="19"/>
      <c r="D759" s="19"/>
    </row>
    <row r="760" spans="1:4" s="85" customFormat="1" x14ac:dyDescent="0.2">
      <c r="A760" s="16"/>
      <c r="C760" s="19"/>
      <c r="D760" s="19"/>
    </row>
    <row r="761" spans="1:4" s="85" customFormat="1" x14ac:dyDescent="0.2">
      <c r="A761" s="16"/>
      <c r="C761" s="19"/>
      <c r="D761" s="19"/>
    </row>
    <row r="762" spans="1:4" s="85" customFormat="1" x14ac:dyDescent="0.2">
      <c r="A762" s="16"/>
      <c r="C762" s="19"/>
      <c r="D762" s="19"/>
    </row>
    <row r="763" spans="1:4" s="85" customFormat="1" x14ac:dyDescent="0.2">
      <c r="A763" s="16"/>
      <c r="C763" s="19"/>
      <c r="D763" s="19"/>
    </row>
    <row r="764" spans="1:4" s="85" customFormat="1" x14ac:dyDescent="0.2">
      <c r="A764" s="16"/>
      <c r="C764" s="19"/>
      <c r="D764" s="19"/>
    </row>
    <row r="765" spans="1:4" s="85" customFormat="1" x14ac:dyDescent="0.2">
      <c r="A765" s="16"/>
      <c r="C765" s="19"/>
      <c r="D765" s="19"/>
    </row>
    <row r="766" spans="1:4" s="85" customFormat="1" x14ac:dyDescent="0.2">
      <c r="A766" s="16"/>
      <c r="C766" s="19"/>
      <c r="D766" s="19"/>
    </row>
    <row r="767" spans="1:4" s="85" customFormat="1" x14ac:dyDescent="0.2">
      <c r="A767" s="16"/>
      <c r="C767" s="19"/>
      <c r="D767" s="19"/>
    </row>
    <row r="768" spans="1:4" s="85" customFormat="1" x14ac:dyDescent="0.2">
      <c r="A768" s="16"/>
      <c r="C768" s="19"/>
      <c r="D768" s="19"/>
    </row>
    <row r="769" spans="1:4" s="85" customFormat="1" x14ac:dyDescent="0.2">
      <c r="A769" s="16"/>
      <c r="C769" s="19"/>
      <c r="D769" s="19"/>
    </row>
    <row r="770" spans="1:4" s="85" customFormat="1" x14ac:dyDescent="0.2">
      <c r="A770" s="16"/>
      <c r="C770" s="19"/>
      <c r="D770" s="19"/>
    </row>
    <row r="771" spans="1:4" s="85" customFormat="1" x14ac:dyDescent="0.2">
      <c r="A771" s="16"/>
      <c r="C771" s="19"/>
      <c r="D771" s="19"/>
    </row>
    <row r="772" spans="1:4" s="85" customFormat="1" x14ac:dyDescent="0.2">
      <c r="A772" s="16"/>
      <c r="C772" s="19"/>
      <c r="D772" s="19"/>
    </row>
    <row r="773" spans="1:4" s="85" customFormat="1" x14ac:dyDescent="0.2">
      <c r="A773" s="16"/>
      <c r="C773" s="19"/>
      <c r="D773" s="19"/>
    </row>
    <row r="774" spans="1:4" s="85" customFormat="1" x14ac:dyDescent="0.2">
      <c r="A774" s="16"/>
      <c r="C774" s="19"/>
      <c r="D774" s="19"/>
    </row>
    <row r="775" spans="1:4" s="85" customFormat="1" x14ac:dyDescent="0.2">
      <c r="A775" s="16"/>
      <c r="C775" s="19"/>
      <c r="D775" s="19"/>
    </row>
    <row r="776" spans="1:4" s="85" customFormat="1" x14ac:dyDescent="0.2">
      <c r="A776" s="16"/>
      <c r="C776" s="19"/>
      <c r="D776" s="19"/>
    </row>
    <row r="777" spans="1:4" s="85" customFormat="1" x14ac:dyDescent="0.2">
      <c r="A777" s="16"/>
      <c r="C777" s="19"/>
      <c r="D777" s="19"/>
    </row>
    <row r="778" spans="1:4" s="85" customFormat="1" x14ac:dyDescent="0.2">
      <c r="A778" s="16"/>
      <c r="C778" s="19"/>
      <c r="D778" s="19"/>
    </row>
    <row r="779" spans="1:4" s="85" customFormat="1" x14ac:dyDescent="0.2">
      <c r="A779" s="16"/>
      <c r="C779" s="19"/>
      <c r="D779" s="19"/>
    </row>
    <row r="780" spans="1:4" s="85" customFormat="1" x14ac:dyDescent="0.2">
      <c r="A780" s="16"/>
      <c r="C780" s="19"/>
      <c r="D780" s="19"/>
    </row>
    <row r="781" spans="1:4" s="85" customFormat="1" x14ac:dyDescent="0.2">
      <c r="A781" s="16"/>
      <c r="C781" s="19"/>
      <c r="D781" s="19"/>
    </row>
    <row r="782" spans="1:4" s="85" customFormat="1" x14ac:dyDescent="0.2">
      <c r="A782" s="16"/>
      <c r="C782" s="19"/>
      <c r="D782" s="19"/>
    </row>
    <row r="783" spans="1:4" s="85" customFormat="1" x14ac:dyDescent="0.2">
      <c r="A783" s="16"/>
      <c r="C783" s="19"/>
      <c r="D783" s="19"/>
    </row>
    <row r="784" spans="1:4" s="85" customFormat="1" x14ac:dyDescent="0.2">
      <c r="A784" s="16"/>
      <c r="C784" s="19"/>
      <c r="D784" s="19"/>
    </row>
    <row r="785" spans="1:4" s="85" customFormat="1" x14ac:dyDescent="0.2">
      <c r="A785" s="16"/>
      <c r="C785" s="19"/>
      <c r="D785" s="19"/>
    </row>
    <row r="786" spans="1:4" s="85" customFormat="1" x14ac:dyDescent="0.2">
      <c r="A786" s="16"/>
      <c r="C786" s="19"/>
      <c r="D786" s="19"/>
    </row>
    <row r="787" spans="1:4" s="85" customFormat="1" x14ac:dyDescent="0.2">
      <c r="A787" s="16"/>
      <c r="C787" s="19"/>
      <c r="D787" s="19"/>
    </row>
    <row r="788" spans="1:4" s="85" customFormat="1" x14ac:dyDescent="0.2">
      <c r="A788" s="16"/>
      <c r="C788" s="19"/>
      <c r="D788" s="19"/>
    </row>
    <row r="789" spans="1:4" s="85" customFormat="1" x14ac:dyDescent="0.2">
      <c r="A789" s="16"/>
      <c r="C789" s="19"/>
      <c r="D789" s="19"/>
    </row>
    <row r="790" spans="1:4" s="85" customFormat="1" x14ac:dyDescent="0.2">
      <c r="A790" s="16"/>
      <c r="C790" s="19"/>
      <c r="D790" s="19"/>
    </row>
    <row r="791" spans="1:4" s="85" customFormat="1" x14ac:dyDescent="0.2">
      <c r="A791" s="16"/>
      <c r="C791" s="19"/>
      <c r="D791" s="19"/>
    </row>
    <row r="792" spans="1:4" s="85" customFormat="1" x14ac:dyDescent="0.2">
      <c r="A792" s="16"/>
      <c r="C792" s="19"/>
      <c r="D792" s="19"/>
    </row>
    <row r="793" spans="1:4" s="85" customFormat="1" x14ac:dyDescent="0.2">
      <c r="A793" s="16"/>
      <c r="C793" s="19"/>
      <c r="D793" s="19"/>
    </row>
    <row r="794" spans="1:4" s="85" customFormat="1" x14ac:dyDescent="0.2">
      <c r="A794" s="16"/>
      <c r="C794" s="19"/>
      <c r="D794" s="19"/>
    </row>
    <row r="795" spans="1:4" s="85" customFormat="1" x14ac:dyDescent="0.2">
      <c r="A795" s="16"/>
      <c r="C795" s="19"/>
      <c r="D795" s="19"/>
    </row>
    <row r="796" spans="1:4" s="85" customFormat="1" x14ac:dyDescent="0.2">
      <c r="A796" s="16"/>
      <c r="C796" s="19"/>
      <c r="D796" s="19"/>
    </row>
    <row r="797" spans="1:4" s="85" customFormat="1" x14ac:dyDescent="0.2">
      <c r="A797" s="16"/>
      <c r="C797" s="19"/>
      <c r="D797" s="19"/>
    </row>
    <row r="798" spans="1:4" s="85" customFormat="1" x14ac:dyDescent="0.2">
      <c r="A798" s="16"/>
      <c r="C798" s="19"/>
      <c r="D798" s="19"/>
    </row>
    <row r="799" spans="1:4" s="85" customFormat="1" x14ac:dyDescent="0.2">
      <c r="A799" s="16"/>
      <c r="C799" s="19"/>
      <c r="D799" s="19"/>
    </row>
    <row r="800" spans="1:4" s="85" customFormat="1" x14ac:dyDescent="0.2">
      <c r="A800" s="16"/>
      <c r="C800" s="19"/>
      <c r="D800" s="19"/>
    </row>
    <row r="801" spans="1:4" s="85" customFormat="1" x14ac:dyDescent="0.2">
      <c r="A801" s="16"/>
      <c r="C801" s="19"/>
      <c r="D801" s="19"/>
    </row>
    <row r="802" spans="1:4" s="85" customFormat="1" x14ac:dyDescent="0.2">
      <c r="A802" s="16"/>
      <c r="C802" s="19"/>
      <c r="D802" s="19"/>
    </row>
    <row r="803" spans="1:4" s="85" customFormat="1" x14ac:dyDescent="0.2">
      <c r="A803" s="16"/>
      <c r="C803" s="19"/>
      <c r="D803" s="19"/>
    </row>
    <row r="804" spans="1:4" s="85" customFormat="1" x14ac:dyDescent="0.2">
      <c r="A804" s="16"/>
      <c r="C804" s="19"/>
      <c r="D804" s="19"/>
    </row>
    <row r="805" spans="1:4" s="85" customFormat="1" x14ac:dyDescent="0.2">
      <c r="A805" s="16"/>
      <c r="C805" s="19"/>
      <c r="D805" s="19"/>
    </row>
    <row r="806" spans="1:4" s="85" customFormat="1" x14ac:dyDescent="0.2">
      <c r="A806" s="16"/>
      <c r="C806" s="19"/>
      <c r="D806" s="19"/>
    </row>
    <row r="807" spans="1:4" s="85" customFormat="1" x14ac:dyDescent="0.2">
      <c r="A807" s="16"/>
      <c r="C807" s="19"/>
      <c r="D807" s="19"/>
    </row>
    <row r="808" spans="1:4" s="85" customFormat="1" x14ac:dyDescent="0.2">
      <c r="A808" s="16"/>
      <c r="C808" s="19"/>
      <c r="D808" s="19"/>
    </row>
    <row r="809" spans="1:4" s="85" customFormat="1" x14ac:dyDescent="0.2">
      <c r="A809" s="16"/>
      <c r="C809" s="19"/>
      <c r="D809" s="19"/>
    </row>
    <row r="810" spans="1:4" s="85" customFormat="1" x14ac:dyDescent="0.2">
      <c r="A810" s="16"/>
      <c r="C810" s="19"/>
      <c r="D810" s="19"/>
    </row>
    <row r="811" spans="1:4" s="85" customFormat="1" x14ac:dyDescent="0.2">
      <c r="A811" s="16"/>
      <c r="C811" s="19"/>
      <c r="D811" s="19"/>
    </row>
    <row r="812" spans="1:4" s="85" customFormat="1" x14ac:dyDescent="0.2">
      <c r="A812" s="16"/>
      <c r="C812" s="19"/>
      <c r="D812" s="19"/>
    </row>
    <row r="813" spans="1:4" s="85" customFormat="1" x14ac:dyDescent="0.2">
      <c r="A813" s="16"/>
      <c r="C813" s="19"/>
      <c r="D813" s="19"/>
    </row>
    <row r="814" spans="1:4" s="85" customFormat="1" x14ac:dyDescent="0.2">
      <c r="A814" s="16"/>
      <c r="C814" s="19"/>
      <c r="D814" s="19"/>
    </row>
    <row r="815" spans="1:4" s="85" customFormat="1" x14ac:dyDescent="0.2">
      <c r="A815" s="16"/>
      <c r="C815" s="19"/>
      <c r="D815" s="19"/>
    </row>
    <row r="816" spans="1:4" s="85" customFormat="1" x14ac:dyDescent="0.2">
      <c r="A816" s="16"/>
      <c r="C816" s="19"/>
      <c r="D816" s="19"/>
    </row>
    <row r="817" spans="1:4" s="85" customFormat="1" x14ac:dyDescent="0.2">
      <c r="A817" s="16"/>
      <c r="C817" s="19"/>
      <c r="D817" s="19"/>
    </row>
    <row r="818" spans="1:4" s="85" customFormat="1" x14ac:dyDescent="0.2">
      <c r="A818" s="16"/>
      <c r="C818" s="19"/>
      <c r="D818" s="19"/>
    </row>
    <row r="819" spans="1:4" s="85" customFormat="1" x14ac:dyDescent="0.2">
      <c r="A819" s="16"/>
      <c r="C819" s="19"/>
      <c r="D819" s="19"/>
    </row>
    <row r="820" spans="1:4" s="85" customFormat="1" x14ac:dyDescent="0.2">
      <c r="A820" s="16"/>
      <c r="C820" s="19"/>
      <c r="D820" s="19"/>
    </row>
    <row r="821" spans="1:4" s="85" customFormat="1" x14ac:dyDescent="0.2">
      <c r="A821" s="16"/>
      <c r="C821" s="19"/>
      <c r="D821" s="19"/>
    </row>
    <row r="822" spans="1:4" s="85" customFormat="1" x14ac:dyDescent="0.2">
      <c r="A822" s="16"/>
      <c r="C822" s="19"/>
      <c r="D822" s="19"/>
    </row>
    <row r="823" spans="1:4" s="85" customFormat="1" x14ac:dyDescent="0.2">
      <c r="A823" s="16"/>
      <c r="C823" s="19"/>
      <c r="D823" s="19"/>
    </row>
    <row r="824" spans="1:4" s="85" customFormat="1" x14ac:dyDescent="0.2">
      <c r="A824" s="16"/>
      <c r="C824" s="19"/>
      <c r="D824" s="19"/>
    </row>
    <row r="825" spans="1:4" s="85" customFormat="1" x14ac:dyDescent="0.2">
      <c r="A825" s="16"/>
      <c r="C825" s="19"/>
      <c r="D825" s="19"/>
    </row>
    <row r="826" spans="1:4" s="85" customFormat="1" x14ac:dyDescent="0.2">
      <c r="A826" s="16"/>
      <c r="C826" s="19"/>
      <c r="D826" s="19"/>
    </row>
    <row r="827" spans="1:4" s="85" customFormat="1" x14ac:dyDescent="0.2">
      <c r="A827" s="16"/>
      <c r="C827" s="19"/>
      <c r="D827" s="19"/>
    </row>
    <row r="828" spans="1:4" s="85" customFormat="1" x14ac:dyDescent="0.2">
      <c r="A828" s="16"/>
      <c r="C828" s="19"/>
      <c r="D828" s="19"/>
    </row>
    <row r="829" spans="1:4" s="85" customFormat="1" x14ac:dyDescent="0.2">
      <c r="A829" s="16"/>
      <c r="C829" s="19"/>
      <c r="D829" s="19"/>
    </row>
    <row r="830" spans="1:4" s="85" customFormat="1" x14ac:dyDescent="0.2">
      <c r="A830" s="16"/>
      <c r="C830" s="19"/>
      <c r="D830" s="19"/>
    </row>
    <row r="831" spans="1:4" s="85" customFormat="1" x14ac:dyDescent="0.2">
      <c r="A831" s="16"/>
      <c r="C831" s="19"/>
      <c r="D831" s="19"/>
    </row>
    <row r="832" spans="1:4" s="85" customFormat="1" x14ac:dyDescent="0.2">
      <c r="A832" s="16"/>
      <c r="C832" s="19"/>
      <c r="D832" s="19"/>
    </row>
    <row r="833" spans="1:4" s="85" customFormat="1" x14ac:dyDescent="0.2">
      <c r="A833" s="16"/>
      <c r="C833" s="19"/>
      <c r="D833" s="19"/>
    </row>
    <row r="834" spans="1:4" s="85" customFormat="1" x14ac:dyDescent="0.2">
      <c r="A834" s="16"/>
      <c r="C834" s="19"/>
      <c r="D834" s="19"/>
    </row>
    <row r="835" spans="1:4" s="85" customFormat="1" x14ac:dyDescent="0.2">
      <c r="A835" s="16"/>
      <c r="C835" s="19"/>
      <c r="D835" s="19"/>
    </row>
    <row r="836" spans="1:4" s="85" customFormat="1" x14ac:dyDescent="0.2">
      <c r="A836" s="16"/>
      <c r="C836" s="19"/>
      <c r="D836" s="19"/>
    </row>
    <row r="837" spans="1:4" s="85" customFormat="1" x14ac:dyDescent="0.2">
      <c r="A837" s="16"/>
      <c r="C837" s="19"/>
      <c r="D837" s="19"/>
    </row>
    <row r="838" spans="1:4" s="85" customFormat="1" x14ac:dyDescent="0.2">
      <c r="A838" s="16"/>
      <c r="C838" s="19"/>
      <c r="D838" s="19"/>
    </row>
    <row r="839" spans="1:4" s="85" customFormat="1" x14ac:dyDescent="0.2">
      <c r="A839" s="16"/>
      <c r="C839" s="19"/>
      <c r="D839" s="19"/>
    </row>
    <row r="840" spans="1:4" s="85" customFormat="1" x14ac:dyDescent="0.2">
      <c r="A840" s="16"/>
      <c r="C840" s="19"/>
      <c r="D840" s="19"/>
    </row>
    <row r="841" spans="1:4" s="85" customFormat="1" x14ac:dyDescent="0.2">
      <c r="A841" s="16"/>
      <c r="C841" s="19"/>
      <c r="D841" s="19"/>
    </row>
    <row r="842" spans="1:4" s="85" customFormat="1" x14ac:dyDescent="0.2">
      <c r="A842" s="16"/>
      <c r="C842" s="19"/>
      <c r="D842" s="19"/>
    </row>
    <row r="843" spans="1:4" s="85" customFormat="1" x14ac:dyDescent="0.2">
      <c r="A843" s="16"/>
      <c r="C843" s="19"/>
      <c r="D843" s="19"/>
    </row>
    <row r="844" spans="1:4" s="85" customFormat="1" x14ac:dyDescent="0.2">
      <c r="A844" s="16"/>
      <c r="C844" s="19"/>
      <c r="D844" s="19"/>
    </row>
    <row r="845" spans="1:4" s="85" customFormat="1" x14ac:dyDescent="0.2">
      <c r="A845" s="16"/>
      <c r="C845" s="19"/>
      <c r="D845" s="19"/>
    </row>
    <row r="846" spans="1:4" s="85" customFormat="1" x14ac:dyDescent="0.2">
      <c r="A846" s="16"/>
      <c r="C846" s="19"/>
      <c r="D846" s="19"/>
    </row>
    <row r="847" spans="1:4" s="85" customFormat="1" x14ac:dyDescent="0.2">
      <c r="A847" s="16"/>
      <c r="C847" s="19"/>
      <c r="D847" s="19"/>
    </row>
    <row r="848" spans="1:4" s="85" customFormat="1" x14ac:dyDescent="0.2">
      <c r="A848" s="16"/>
      <c r="C848" s="19"/>
      <c r="D848" s="19"/>
    </row>
    <row r="849" spans="1:4" s="85" customFormat="1" x14ac:dyDescent="0.2">
      <c r="A849" s="16"/>
      <c r="C849" s="19"/>
      <c r="D849" s="19"/>
    </row>
    <row r="850" spans="1:4" s="85" customFormat="1" x14ac:dyDescent="0.2">
      <c r="A850" s="16"/>
      <c r="C850" s="19"/>
      <c r="D850" s="19"/>
    </row>
    <row r="851" spans="1:4" s="85" customFormat="1" x14ac:dyDescent="0.2">
      <c r="A851" s="16"/>
      <c r="C851" s="19"/>
      <c r="D851" s="19"/>
    </row>
    <row r="852" spans="1:4" s="85" customFormat="1" x14ac:dyDescent="0.2">
      <c r="A852" s="16"/>
      <c r="C852" s="19"/>
      <c r="D852" s="19"/>
    </row>
    <row r="853" spans="1:4" s="85" customFormat="1" x14ac:dyDescent="0.2">
      <c r="A853" s="16"/>
      <c r="C853" s="19"/>
      <c r="D853" s="19"/>
    </row>
    <row r="854" spans="1:4" s="85" customFormat="1" x14ac:dyDescent="0.2">
      <c r="A854" s="16"/>
      <c r="C854" s="19"/>
      <c r="D854" s="19"/>
    </row>
    <row r="855" spans="1:4" s="85" customFormat="1" x14ac:dyDescent="0.2">
      <c r="A855" s="16"/>
      <c r="C855" s="19"/>
      <c r="D855" s="19"/>
    </row>
    <row r="856" spans="1:4" s="85" customFormat="1" x14ac:dyDescent="0.2">
      <c r="A856" s="16"/>
      <c r="C856" s="19"/>
      <c r="D856" s="19"/>
    </row>
    <row r="857" spans="1:4" s="85" customFormat="1" x14ac:dyDescent="0.2">
      <c r="A857" s="16"/>
      <c r="C857" s="19"/>
      <c r="D857" s="19"/>
    </row>
    <row r="858" spans="1:4" s="85" customFormat="1" x14ac:dyDescent="0.2">
      <c r="A858" s="16"/>
      <c r="C858" s="19"/>
      <c r="D858" s="19"/>
    </row>
    <row r="859" spans="1:4" s="85" customFormat="1" x14ac:dyDescent="0.2">
      <c r="A859" s="16"/>
      <c r="C859" s="19"/>
      <c r="D859" s="19"/>
    </row>
    <row r="860" spans="1:4" s="85" customFormat="1" x14ac:dyDescent="0.2">
      <c r="A860" s="16"/>
      <c r="C860" s="19"/>
      <c r="D860" s="19"/>
    </row>
    <row r="861" spans="1:4" s="85" customFormat="1" x14ac:dyDescent="0.2">
      <c r="A861" s="16"/>
      <c r="C861" s="19"/>
      <c r="D861" s="19"/>
    </row>
    <row r="862" spans="1:4" s="85" customFormat="1" x14ac:dyDescent="0.2">
      <c r="A862" s="16"/>
      <c r="C862" s="19"/>
      <c r="D862" s="19"/>
    </row>
    <row r="863" spans="1:4" s="85" customFormat="1" x14ac:dyDescent="0.2">
      <c r="A863" s="16"/>
      <c r="C863" s="19"/>
      <c r="D863" s="19"/>
    </row>
    <row r="864" spans="1:4" s="85" customFormat="1" x14ac:dyDescent="0.2">
      <c r="A864" s="16"/>
      <c r="C864" s="19"/>
      <c r="D864" s="19"/>
    </row>
    <row r="865" spans="1:4" s="85" customFormat="1" x14ac:dyDescent="0.2">
      <c r="A865" s="16"/>
      <c r="C865" s="19"/>
      <c r="D865" s="19"/>
    </row>
    <row r="866" spans="1:4" s="85" customFormat="1" x14ac:dyDescent="0.2">
      <c r="A866" s="16"/>
      <c r="C866" s="19"/>
      <c r="D866" s="19"/>
    </row>
    <row r="867" spans="1:4" s="85" customFormat="1" x14ac:dyDescent="0.2">
      <c r="A867" s="16"/>
      <c r="C867" s="19"/>
      <c r="D867" s="19"/>
    </row>
    <row r="868" spans="1:4" s="85" customFormat="1" x14ac:dyDescent="0.2">
      <c r="A868" s="16"/>
      <c r="C868" s="19"/>
      <c r="D868" s="19"/>
    </row>
    <row r="869" spans="1:4" s="85" customFormat="1" x14ac:dyDescent="0.2">
      <c r="A869" s="16"/>
      <c r="C869" s="19"/>
      <c r="D869" s="19"/>
    </row>
    <row r="870" spans="1:4" s="85" customFormat="1" x14ac:dyDescent="0.2">
      <c r="A870" s="16"/>
      <c r="C870" s="19"/>
      <c r="D870" s="19"/>
    </row>
    <row r="871" spans="1:4" s="85" customFormat="1" x14ac:dyDescent="0.2">
      <c r="A871" s="16"/>
      <c r="C871" s="19"/>
      <c r="D871" s="19"/>
    </row>
    <row r="872" spans="1:4" s="85" customFormat="1" x14ac:dyDescent="0.2">
      <c r="A872" s="16"/>
      <c r="C872" s="19"/>
      <c r="D872" s="19"/>
    </row>
    <row r="873" spans="1:4" s="85" customFormat="1" x14ac:dyDescent="0.2">
      <c r="A873" s="16"/>
      <c r="C873" s="19"/>
      <c r="D873" s="19"/>
    </row>
    <row r="874" spans="1:4" s="85" customFormat="1" x14ac:dyDescent="0.2">
      <c r="A874" s="16"/>
      <c r="C874" s="19"/>
      <c r="D874" s="19"/>
    </row>
    <row r="875" spans="1:4" s="85" customFormat="1" x14ac:dyDescent="0.2">
      <c r="A875" s="16"/>
      <c r="C875" s="19"/>
      <c r="D875" s="19"/>
    </row>
    <row r="876" spans="1:4" s="85" customFormat="1" x14ac:dyDescent="0.2">
      <c r="A876" s="16"/>
      <c r="C876" s="19"/>
      <c r="D876" s="19"/>
    </row>
    <row r="877" spans="1:4" s="85" customFormat="1" x14ac:dyDescent="0.2">
      <c r="A877" s="16"/>
      <c r="C877" s="19"/>
      <c r="D877" s="19"/>
    </row>
    <row r="878" spans="1:4" s="85" customFormat="1" x14ac:dyDescent="0.2">
      <c r="A878" s="16"/>
      <c r="C878" s="19"/>
      <c r="D878" s="19"/>
    </row>
    <row r="879" spans="1:4" s="85" customFormat="1" x14ac:dyDescent="0.2">
      <c r="A879" s="16"/>
      <c r="C879" s="19"/>
      <c r="D879" s="19"/>
    </row>
    <row r="880" spans="1:4" s="85" customFormat="1" x14ac:dyDescent="0.2">
      <c r="A880" s="16"/>
      <c r="C880" s="19"/>
      <c r="D880" s="19"/>
    </row>
    <row r="881" spans="1:4" s="85" customFormat="1" x14ac:dyDescent="0.2">
      <c r="A881" s="16"/>
      <c r="C881" s="19"/>
      <c r="D881" s="19"/>
    </row>
    <row r="882" spans="1:4" s="85" customFormat="1" x14ac:dyDescent="0.2">
      <c r="A882" s="16"/>
      <c r="C882" s="19"/>
      <c r="D882" s="19"/>
    </row>
    <row r="883" spans="1:4" s="85" customFormat="1" x14ac:dyDescent="0.2">
      <c r="A883" s="16"/>
      <c r="C883" s="19"/>
      <c r="D883" s="19"/>
    </row>
    <row r="884" spans="1:4" s="85" customFormat="1" x14ac:dyDescent="0.2">
      <c r="A884" s="16"/>
      <c r="C884" s="19"/>
      <c r="D884" s="19"/>
    </row>
    <row r="885" spans="1:4" s="85" customFormat="1" x14ac:dyDescent="0.2">
      <c r="A885" s="16"/>
      <c r="C885" s="19"/>
      <c r="D885" s="19"/>
    </row>
    <row r="886" spans="1:4" s="85" customFormat="1" x14ac:dyDescent="0.2">
      <c r="A886" s="16"/>
      <c r="C886" s="19"/>
      <c r="D886" s="19"/>
    </row>
    <row r="887" spans="1:4" s="85" customFormat="1" x14ac:dyDescent="0.2">
      <c r="A887" s="16"/>
      <c r="C887" s="19"/>
      <c r="D887" s="19"/>
    </row>
    <row r="888" spans="1:4" s="85" customFormat="1" x14ac:dyDescent="0.2">
      <c r="A888" s="16"/>
      <c r="C888" s="19"/>
      <c r="D888" s="19"/>
    </row>
    <row r="889" spans="1:4" s="85" customFormat="1" x14ac:dyDescent="0.2">
      <c r="A889" s="16"/>
      <c r="C889" s="19"/>
      <c r="D889" s="19"/>
    </row>
    <row r="890" spans="1:4" s="85" customFormat="1" x14ac:dyDescent="0.2">
      <c r="A890" s="16"/>
      <c r="C890" s="19"/>
      <c r="D890" s="19"/>
    </row>
    <row r="891" spans="1:4" s="85" customFormat="1" x14ac:dyDescent="0.2">
      <c r="A891" s="16"/>
      <c r="C891" s="19"/>
      <c r="D891" s="19"/>
    </row>
    <row r="892" spans="1:4" s="85" customFormat="1" x14ac:dyDescent="0.2">
      <c r="A892" s="16"/>
      <c r="C892" s="19"/>
      <c r="D892" s="19"/>
    </row>
    <row r="893" spans="1:4" s="85" customFormat="1" x14ac:dyDescent="0.2">
      <c r="A893" s="16"/>
      <c r="C893" s="19"/>
      <c r="D893" s="19"/>
    </row>
    <row r="894" spans="1:4" s="85" customFormat="1" x14ac:dyDescent="0.2">
      <c r="A894" s="16"/>
      <c r="C894" s="19"/>
      <c r="D894" s="19"/>
    </row>
    <row r="895" spans="1:4" s="85" customFormat="1" x14ac:dyDescent="0.2">
      <c r="A895" s="16"/>
      <c r="C895" s="19"/>
      <c r="D895" s="19"/>
    </row>
    <row r="896" spans="1:4" s="85" customFormat="1" x14ac:dyDescent="0.2">
      <c r="A896" s="16"/>
      <c r="C896" s="19"/>
      <c r="D896" s="19"/>
    </row>
    <row r="897" spans="1:4" s="85" customFormat="1" x14ac:dyDescent="0.2">
      <c r="A897" s="16"/>
      <c r="C897" s="19"/>
      <c r="D897" s="19"/>
    </row>
    <row r="898" spans="1:4" s="85" customFormat="1" x14ac:dyDescent="0.2">
      <c r="A898" s="16"/>
      <c r="C898" s="19"/>
      <c r="D898" s="19"/>
    </row>
    <row r="899" spans="1:4" s="85" customFormat="1" x14ac:dyDescent="0.2">
      <c r="A899" s="16"/>
      <c r="C899" s="19"/>
      <c r="D899" s="19"/>
    </row>
    <row r="900" spans="1:4" s="85" customFormat="1" x14ac:dyDescent="0.2">
      <c r="A900" s="16"/>
      <c r="C900" s="19"/>
      <c r="D900" s="19"/>
    </row>
    <row r="901" spans="1:4" s="85" customFormat="1" x14ac:dyDescent="0.2">
      <c r="A901" s="16"/>
      <c r="C901" s="19"/>
      <c r="D901" s="19"/>
    </row>
    <row r="902" spans="1:4" s="85" customFormat="1" x14ac:dyDescent="0.2">
      <c r="A902" s="16"/>
      <c r="C902" s="19"/>
      <c r="D902" s="19"/>
    </row>
    <row r="903" spans="1:4" s="85" customFormat="1" x14ac:dyDescent="0.2">
      <c r="A903" s="16"/>
      <c r="C903" s="19"/>
      <c r="D903" s="19"/>
    </row>
    <row r="904" spans="1:4" s="85" customFormat="1" x14ac:dyDescent="0.2">
      <c r="A904" s="16"/>
      <c r="C904" s="19"/>
      <c r="D904" s="19"/>
    </row>
    <row r="905" spans="1:4" s="85" customFormat="1" x14ac:dyDescent="0.2">
      <c r="A905" s="16"/>
      <c r="C905" s="19"/>
      <c r="D905" s="19"/>
    </row>
    <row r="906" spans="1:4" s="85" customFormat="1" x14ac:dyDescent="0.2">
      <c r="A906" s="16"/>
      <c r="C906" s="19"/>
      <c r="D906" s="19"/>
    </row>
    <row r="907" spans="1:4" s="85" customFormat="1" x14ac:dyDescent="0.2">
      <c r="A907" s="16"/>
      <c r="C907" s="19"/>
      <c r="D907" s="19"/>
    </row>
    <row r="908" spans="1:4" s="85" customFormat="1" x14ac:dyDescent="0.2">
      <c r="A908" s="16"/>
      <c r="C908" s="19"/>
      <c r="D908" s="19"/>
    </row>
    <row r="909" spans="1:4" s="85" customFormat="1" x14ac:dyDescent="0.2">
      <c r="A909" s="16"/>
      <c r="C909" s="19"/>
      <c r="D909" s="19"/>
    </row>
    <row r="910" spans="1:4" s="85" customFormat="1" x14ac:dyDescent="0.2">
      <c r="A910" s="16"/>
      <c r="C910" s="19"/>
      <c r="D910" s="19"/>
    </row>
    <row r="911" spans="1:4" s="85" customFormat="1" x14ac:dyDescent="0.2">
      <c r="A911" s="16"/>
      <c r="C911" s="19"/>
      <c r="D911" s="19"/>
    </row>
    <row r="912" spans="1:4" s="85" customFormat="1" x14ac:dyDescent="0.2">
      <c r="A912" s="16"/>
      <c r="C912" s="19"/>
      <c r="D912" s="19"/>
    </row>
    <row r="913" spans="1:4" s="85" customFormat="1" x14ac:dyDescent="0.2">
      <c r="A913" s="16"/>
      <c r="C913" s="19"/>
      <c r="D913" s="19"/>
    </row>
    <row r="914" spans="1:4" s="85" customFormat="1" x14ac:dyDescent="0.2">
      <c r="A914" s="16"/>
      <c r="C914" s="19"/>
      <c r="D914" s="19"/>
    </row>
    <row r="915" spans="1:4" s="85" customFormat="1" x14ac:dyDescent="0.2">
      <c r="A915" s="16"/>
      <c r="C915" s="19"/>
      <c r="D915" s="19"/>
    </row>
    <row r="916" spans="1:4" s="85" customFormat="1" x14ac:dyDescent="0.2">
      <c r="A916" s="16"/>
      <c r="C916" s="19"/>
      <c r="D916" s="19"/>
    </row>
    <row r="917" spans="1:4" s="85" customFormat="1" x14ac:dyDescent="0.2">
      <c r="A917" s="16"/>
      <c r="C917" s="19"/>
      <c r="D917" s="19"/>
    </row>
    <row r="918" spans="1:4" s="85" customFormat="1" x14ac:dyDescent="0.2">
      <c r="A918" s="16"/>
      <c r="C918" s="19"/>
      <c r="D918" s="19"/>
    </row>
    <row r="919" spans="1:4" s="85" customFormat="1" x14ac:dyDescent="0.2">
      <c r="A919" s="16"/>
      <c r="C919" s="19"/>
      <c r="D919" s="19"/>
    </row>
    <row r="920" spans="1:4" s="85" customFormat="1" x14ac:dyDescent="0.2">
      <c r="A920" s="16"/>
      <c r="C920" s="19"/>
      <c r="D920" s="19"/>
    </row>
    <row r="921" spans="1:4" s="85" customFormat="1" x14ac:dyDescent="0.2">
      <c r="A921" s="16"/>
      <c r="C921" s="19"/>
      <c r="D921" s="19"/>
    </row>
    <row r="922" spans="1:4" s="85" customFormat="1" x14ac:dyDescent="0.2">
      <c r="A922" s="16"/>
      <c r="C922" s="19"/>
      <c r="D922" s="19"/>
    </row>
    <row r="923" spans="1:4" s="85" customFormat="1" x14ac:dyDescent="0.2">
      <c r="A923" s="16"/>
      <c r="C923" s="19"/>
      <c r="D923" s="19"/>
    </row>
    <row r="924" spans="1:4" s="85" customFormat="1" x14ac:dyDescent="0.2">
      <c r="A924" s="16"/>
      <c r="C924" s="19"/>
      <c r="D924" s="19"/>
    </row>
    <row r="925" spans="1:4" s="85" customFormat="1" x14ac:dyDescent="0.2">
      <c r="A925" s="16"/>
      <c r="C925" s="19"/>
      <c r="D925" s="19"/>
    </row>
    <row r="926" spans="1:4" s="85" customFormat="1" x14ac:dyDescent="0.2">
      <c r="A926" s="16"/>
      <c r="C926" s="19"/>
      <c r="D926" s="19"/>
    </row>
    <row r="927" spans="1:4" s="85" customFormat="1" x14ac:dyDescent="0.2">
      <c r="A927" s="16"/>
      <c r="C927" s="19"/>
      <c r="D927" s="19"/>
    </row>
    <row r="928" spans="1:4" s="85" customFormat="1" x14ac:dyDescent="0.2">
      <c r="A928" s="16"/>
      <c r="C928" s="19"/>
      <c r="D928" s="19"/>
    </row>
    <row r="929" spans="1:4" s="85" customFormat="1" x14ac:dyDescent="0.2">
      <c r="A929" s="16"/>
      <c r="C929" s="19"/>
      <c r="D929" s="19"/>
    </row>
    <row r="930" spans="1:4" s="85" customFormat="1" x14ac:dyDescent="0.2">
      <c r="A930" s="16"/>
      <c r="C930" s="19"/>
      <c r="D930" s="19"/>
    </row>
    <row r="931" spans="1:4" s="85" customFormat="1" x14ac:dyDescent="0.2">
      <c r="A931" s="16"/>
      <c r="C931" s="19"/>
      <c r="D931" s="19"/>
    </row>
    <row r="932" spans="1:4" s="85" customFormat="1" x14ac:dyDescent="0.2">
      <c r="A932" s="16"/>
      <c r="C932" s="19"/>
      <c r="D932" s="19"/>
    </row>
    <row r="933" spans="1:4" s="85" customFormat="1" x14ac:dyDescent="0.2">
      <c r="A933" s="16"/>
      <c r="C933" s="19"/>
      <c r="D933" s="19"/>
    </row>
    <row r="934" spans="1:4" s="85" customFormat="1" x14ac:dyDescent="0.2">
      <c r="A934" s="16"/>
      <c r="C934" s="19"/>
      <c r="D934" s="19"/>
    </row>
    <row r="935" spans="1:4" s="85" customFormat="1" x14ac:dyDescent="0.2">
      <c r="A935" s="16"/>
      <c r="C935" s="19"/>
      <c r="D935" s="19"/>
    </row>
    <row r="936" spans="1:4" s="85" customFormat="1" x14ac:dyDescent="0.2">
      <c r="A936" s="16"/>
      <c r="C936" s="19"/>
      <c r="D936" s="19"/>
    </row>
    <row r="937" spans="1:4" s="85" customFormat="1" x14ac:dyDescent="0.2">
      <c r="A937" s="16"/>
      <c r="C937" s="19"/>
      <c r="D937" s="19"/>
    </row>
    <row r="938" spans="1:4" s="85" customFormat="1" x14ac:dyDescent="0.2">
      <c r="A938" s="16"/>
      <c r="C938" s="19"/>
      <c r="D938" s="19"/>
    </row>
    <row r="939" spans="1:4" s="85" customFormat="1" x14ac:dyDescent="0.2">
      <c r="A939" s="16"/>
      <c r="C939" s="19"/>
      <c r="D939" s="19"/>
    </row>
    <row r="940" spans="1:4" s="85" customFormat="1" x14ac:dyDescent="0.2">
      <c r="A940" s="16"/>
      <c r="C940" s="19"/>
      <c r="D940" s="19"/>
    </row>
    <row r="941" spans="1:4" s="85" customFormat="1" x14ac:dyDescent="0.2">
      <c r="A941" s="16"/>
      <c r="C941" s="19"/>
      <c r="D941" s="19"/>
    </row>
    <row r="942" spans="1:4" s="85" customFormat="1" x14ac:dyDescent="0.2">
      <c r="A942" s="16"/>
      <c r="C942" s="19"/>
      <c r="D942" s="19"/>
    </row>
    <row r="943" spans="1:4" s="85" customFormat="1" x14ac:dyDescent="0.2">
      <c r="A943" s="16"/>
      <c r="C943" s="19"/>
      <c r="D943" s="19"/>
    </row>
    <row r="944" spans="1:4" s="85" customFormat="1" x14ac:dyDescent="0.2">
      <c r="A944" s="16"/>
      <c r="C944" s="19"/>
      <c r="D944" s="19"/>
    </row>
    <row r="945" spans="1:4" s="85" customFormat="1" x14ac:dyDescent="0.2">
      <c r="A945" s="16"/>
      <c r="C945" s="19"/>
      <c r="D945" s="19"/>
    </row>
    <row r="946" spans="1:4" s="85" customFormat="1" x14ac:dyDescent="0.2">
      <c r="A946" s="16"/>
      <c r="C946" s="19"/>
      <c r="D946" s="19"/>
    </row>
    <row r="947" spans="1:4" s="85" customFormat="1" x14ac:dyDescent="0.2">
      <c r="A947" s="16"/>
      <c r="C947" s="19"/>
      <c r="D947" s="19"/>
    </row>
    <row r="948" spans="1:4" s="85" customFormat="1" x14ac:dyDescent="0.2">
      <c r="A948" s="16"/>
      <c r="C948" s="19"/>
      <c r="D948" s="19"/>
    </row>
    <row r="949" spans="1:4" s="85" customFormat="1" x14ac:dyDescent="0.2">
      <c r="A949" s="16"/>
      <c r="C949" s="19"/>
      <c r="D949" s="19"/>
    </row>
    <row r="950" spans="1:4" s="85" customFormat="1" x14ac:dyDescent="0.2">
      <c r="A950" s="16"/>
      <c r="C950" s="19"/>
      <c r="D950" s="19"/>
    </row>
    <row r="951" spans="1:4" s="85" customFormat="1" x14ac:dyDescent="0.2">
      <c r="A951" s="16"/>
      <c r="C951" s="19"/>
      <c r="D951" s="19"/>
    </row>
    <row r="952" spans="1:4" s="85" customFormat="1" x14ac:dyDescent="0.2">
      <c r="A952" s="16"/>
      <c r="C952" s="19"/>
      <c r="D952" s="19"/>
    </row>
    <row r="953" spans="1:4" s="85" customFormat="1" x14ac:dyDescent="0.2">
      <c r="A953" s="16"/>
      <c r="C953" s="19"/>
      <c r="D953" s="19"/>
    </row>
    <row r="954" spans="1:4" s="85" customFormat="1" x14ac:dyDescent="0.2">
      <c r="A954" s="16"/>
      <c r="C954" s="19"/>
      <c r="D954" s="19"/>
    </row>
    <row r="955" spans="1:4" s="85" customFormat="1" x14ac:dyDescent="0.2">
      <c r="A955" s="16"/>
      <c r="C955" s="19"/>
      <c r="D955" s="19"/>
    </row>
    <row r="956" spans="1:4" s="85" customFormat="1" x14ac:dyDescent="0.2">
      <c r="A956" s="16"/>
      <c r="C956" s="19"/>
      <c r="D956" s="19"/>
    </row>
    <row r="957" spans="1:4" s="85" customFormat="1" x14ac:dyDescent="0.2">
      <c r="A957" s="16"/>
      <c r="C957" s="19"/>
      <c r="D957" s="19"/>
    </row>
    <row r="958" spans="1:4" s="85" customFormat="1" x14ac:dyDescent="0.2">
      <c r="A958" s="16"/>
      <c r="C958" s="19"/>
      <c r="D958" s="19"/>
    </row>
    <row r="959" spans="1:4" s="85" customFormat="1" x14ac:dyDescent="0.2">
      <c r="A959" s="16"/>
      <c r="C959" s="19"/>
      <c r="D959" s="19"/>
    </row>
    <row r="960" spans="1:4" s="85" customFormat="1" x14ac:dyDescent="0.2">
      <c r="A960" s="16"/>
      <c r="C960" s="19"/>
      <c r="D960" s="19"/>
    </row>
    <row r="961" spans="1:4" s="85" customFormat="1" x14ac:dyDescent="0.2">
      <c r="A961" s="16"/>
      <c r="C961" s="19"/>
      <c r="D961" s="19"/>
    </row>
    <row r="962" spans="1:4" s="85" customFormat="1" x14ac:dyDescent="0.2">
      <c r="A962" s="16"/>
      <c r="C962" s="19"/>
      <c r="D962" s="19"/>
    </row>
    <row r="963" spans="1:4" s="85" customFormat="1" x14ac:dyDescent="0.2">
      <c r="A963" s="16"/>
      <c r="C963" s="19"/>
      <c r="D963" s="19"/>
    </row>
    <row r="964" spans="1:4" s="85" customFormat="1" x14ac:dyDescent="0.2">
      <c r="A964" s="16"/>
      <c r="C964" s="19"/>
      <c r="D964" s="19"/>
    </row>
    <row r="965" spans="1:4" s="85" customFormat="1" x14ac:dyDescent="0.2">
      <c r="A965" s="16"/>
      <c r="C965" s="19"/>
      <c r="D965" s="19"/>
    </row>
    <row r="966" spans="1:4" s="85" customFormat="1" x14ac:dyDescent="0.2">
      <c r="A966" s="16"/>
      <c r="C966" s="19"/>
      <c r="D966" s="19"/>
    </row>
    <row r="967" spans="1:4" s="85" customFormat="1" x14ac:dyDescent="0.2">
      <c r="A967" s="16"/>
      <c r="C967" s="19"/>
      <c r="D967" s="19"/>
    </row>
    <row r="968" spans="1:4" s="85" customFormat="1" x14ac:dyDescent="0.2">
      <c r="A968" s="16"/>
      <c r="C968" s="19"/>
      <c r="D968" s="19"/>
    </row>
    <row r="969" spans="1:4" s="85" customFormat="1" x14ac:dyDescent="0.2">
      <c r="A969" s="16"/>
      <c r="C969" s="19"/>
      <c r="D969" s="19"/>
    </row>
    <row r="970" spans="1:4" s="85" customFormat="1" x14ac:dyDescent="0.2">
      <c r="A970" s="16"/>
      <c r="C970" s="19"/>
      <c r="D970" s="19"/>
    </row>
    <row r="971" spans="1:4" s="85" customFormat="1" x14ac:dyDescent="0.2">
      <c r="A971" s="16"/>
      <c r="C971" s="19"/>
      <c r="D971" s="19"/>
    </row>
    <row r="972" spans="1:4" s="85" customFormat="1" x14ac:dyDescent="0.2">
      <c r="A972" s="16"/>
      <c r="C972" s="19"/>
      <c r="D972" s="19"/>
    </row>
    <row r="973" spans="1:4" s="85" customFormat="1" x14ac:dyDescent="0.2">
      <c r="A973" s="16"/>
      <c r="C973" s="19"/>
      <c r="D973" s="19"/>
    </row>
    <row r="974" spans="1:4" s="85" customFormat="1" x14ac:dyDescent="0.2">
      <c r="A974" s="16"/>
      <c r="C974" s="19"/>
      <c r="D974" s="19"/>
    </row>
    <row r="975" spans="1:4" s="85" customFormat="1" x14ac:dyDescent="0.2">
      <c r="A975" s="16"/>
      <c r="C975" s="19"/>
      <c r="D975" s="19"/>
    </row>
    <row r="976" spans="1:4" s="85" customFormat="1" x14ac:dyDescent="0.2">
      <c r="A976" s="16"/>
      <c r="C976" s="19"/>
      <c r="D976" s="19"/>
    </row>
    <row r="977" spans="1:4" s="85" customFormat="1" x14ac:dyDescent="0.2">
      <c r="A977" s="16"/>
      <c r="C977" s="19"/>
      <c r="D977" s="19"/>
    </row>
    <row r="978" spans="1:4" s="85" customFormat="1" x14ac:dyDescent="0.2">
      <c r="A978" s="16"/>
      <c r="C978" s="19"/>
      <c r="D978" s="19"/>
    </row>
    <row r="979" spans="1:4" s="85" customFormat="1" x14ac:dyDescent="0.2">
      <c r="A979" s="16"/>
      <c r="C979" s="19"/>
      <c r="D979" s="19"/>
    </row>
    <row r="980" spans="1:4" s="85" customFormat="1" x14ac:dyDescent="0.2">
      <c r="A980" s="16"/>
      <c r="C980" s="19"/>
      <c r="D980" s="19"/>
    </row>
    <row r="981" spans="1:4" s="85" customFormat="1" x14ac:dyDescent="0.2">
      <c r="A981" s="16"/>
      <c r="C981" s="19"/>
      <c r="D981" s="19"/>
    </row>
    <row r="982" spans="1:4" s="85" customFormat="1" x14ac:dyDescent="0.2">
      <c r="A982" s="16"/>
      <c r="C982" s="19"/>
      <c r="D982" s="19"/>
    </row>
    <row r="983" spans="1:4" s="85" customFormat="1" x14ac:dyDescent="0.2">
      <c r="A983" s="16"/>
      <c r="C983" s="19"/>
      <c r="D983" s="19"/>
    </row>
    <row r="984" spans="1:4" s="85" customFormat="1" x14ac:dyDescent="0.2">
      <c r="A984" s="16"/>
      <c r="C984" s="19"/>
      <c r="D984" s="19"/>
    </row>
    <row r="985" spans="1:4" s="85" customFormat="1" x14ac:dyDescent="0.2">
      <c r="A985" s="16"/>
      <c r="C985" s="19"/>
      <c r="D985" s="19"/>
    </row>
    <row r="986" spans="1:4" s="85" customFormat="1" x14ac:dyDescent="0.2">
      <c r="A986" s="16"/>
      <c r="C986" s="19"/>
      <c r="D986" s="19"/>
    </row>
    <row r="987" spans="1:4" s="85" customFormat="1" x14ac:dyDescent="0.2">
      <c r="A987" s="16"/>
      <c r="C987" s="19"/>
      <c r="D987" s="19"/>
    </row>
    <row r="988" spans="1:4" s="85" customFormat="1" x14ac:dyDescent="0.2">
      <c r="A988" s="16"/>
      <c r="C988" s="19"/>
      <c r="D988" s="19"/>
    </row>
    <row r="989" spans="1:4" s="85" customFormat="1" x14ac:dyDescent="0.2">
      <c r="A989" s="16"/>
      <c r="C989" s="19"/>
      <c r="D989" s="19"/>
    </row>
    <row r="990" spans="1:4" s="85" customFormat="1" x14ac:dyDescent="0.2">
      <c r="A990" s="16"/>
      <c r="C990" s="19"/>
      <c r="D990" s="19"/>
    </row>
    <row r="991" spans="1:4" s="85" customFormat="1" x14ac:dyDescent="0.2">
      <c r="A991" s="16"/>
      <c r="C991" s="19"/>
      <c r="D991" s="19"/>
    </row>
    <row r="992" spans="1:4" s="85" customFormat="1" x14ac:dyDescent="0.2">
      <c r="A992" s="16"/>
      <c r="C992" s="19"/>
      <c r="D992" s="19"/>
    </row>
    <row r="993" spans="1:4" s="85" customFormat="1" x14ac:dyDescent="0.2">
      <c r="A993" s="16"/>
      <c r="C993" s="19"/>
      <c r="D993" s="19"/>
    </row>
    <row r="994" spans="1:4" s="85" customFormat="1" x14ac:dyDescent="0.2">
      <c r="A994" s="16"/>
      <c r="C994" s="19"/>
      <c r="D994" s="19"/>
    </row>
    <row r="995" spans="1:4" s="85" customFormat="1" x14ac:dyDescent="0.2">
      <c r="A995" s="16"/>
      <c r="C995" s="19"/>
      <c r="D995" s="19"/>
    </row>
    <row r="996" spans="1:4" s="85" customFormat="1" x14ac:dyDescent="0.2">
      <c r="A996" s="16"/>
      <c r="C996" s="19"/>
      <c r="D996" s="19"/>
    </row>
    <row r="997" spans="1:4" s="85" customFormat="1" x14ac:dyDescent="0.2">
      <c r="A997" s="16"/>
      <c r="C997" s="19"/>
      <c r="D997" s="19"/>
    </row>
    <row r="998" spans="1:4" s="85" customFormat="1" x14ac:dyDescent="0.2">
      <c r="A998" s="16"/>
      <c r="C998" s="19"/>
      <c r="D998" s="19"/>
    </row>
    <row r="999" spans="1:4" s="85" customFormat="1" x14ac:dyDescent="0.2">
      <c r="A999" s="16"/>
      <c r="C999" s="19"/>
      <c r="D999" s="19"/>
    </row>
    <row r="1000" spans="1:4" s="85" customFormat="1" x14ac:dyDescent="0.2">
      <c r="A1000" s="16"/>
      <c r="C1000" s="19"/>
      <c r="D1000" s="19"/>
    </row>
    <row r="1001" spans="1:4" s="85" customFormat="1" x14ac:dyDescent="0.2">
      <c r="A1001" s="16"/>
      <c r="C1001" s="19"/>
      <c r="D1001" s="19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D363"/>
  <sheetViews>
    <sheetView zoomScale="150" zoomScaleNormal="150" workbookViewId="0">
      <pane ySplit="7" topLeftCell="A327" activePane="bottomLeft" state="frozen"/>
      <selection pane="bottomLeft" activeCell="C363" sqref="C363"/>
    </sheetView>
  </sheetViews>
  <sheetFormatPr baseColWidth="10" defaultColWidth="9.1640625" defaultRowHeight="15" x14ac:dyDescent="0.2"/>
  <cols>
    <col min="1" max="1" width="11.33203125" style="44" customWidth="1"/>
    <col min="2" max="2" width="23.1640625" style="21" customWidth="1"/>
    <col min="3" max="3" width="15.6640625" style="69" customWidth="1"/>
    <col min="4" max="4" width="10.6640625" style="85" bestFit="1" customWidth="1"/>
    <col min="5" max="13" width="9.1640625" style="85" customWidth="1"/>
    <col min="14" max="16384" width="9.1640625" style="85"/>
  </cols>
  <sheetData>
    <row r="1" spans="1:4" x14ac:dyDescent="0.2">
      <c r="A1" s="83" t="s">
        <v>33</v>
      </c>
    </row>
    <row r="6" spans="1:4" ht="16" customHeight="1" thickBot="1" x14ac:dyDescent="0.25"/>
    <row r="7" spans="1:4" ht="44.25" customHeight="1" thickBot="1" x14ac:dyDescent="0.25">
      <c r="A7" s="47" t="s">
        <v>534</v>
      </c>
      <c r="B7" s="46" t="s">
        <v>1797</v>
      </c>
      <c r="C7" s="48" t="s">
        <v>1773</v>
      </c>
    </row>
    <row r="8" spans="1:4" x14ac:dyDescent="0.2">
      <c r="A8" s="72">
        <v>32932</v>
      </c>
      <c r="B8" s="73">
        <v>0.05</v>
      </c>
      <c r="D8" s="44">
        <f>EOMONTH(Table3[[#This Row],[Date]],-1)-1</f>
        <v>32903</v>
      </c>
    </row>
    <row r="9" spans="1:4" x14ac:dyDescent="0.2">
      <c r="A9" s="90">
        <v>32963</v>
      </c>
      <c r="B9" s="74">
        <v>8.0000000000000002E-3</v>
      </c>
    </row>
    <row r="10" spans="1:4" x14ac:dyDescent="0.2">
      <c r="A10" s="89">
        <v>32993</v>
      </c>
      <c r="B10" s="75">
        <v>1.7000000000000001E-2</v>
      </c>
    </row>
    <row r="11" spans="1:4" x14ac:dyDescent="0.2">
      <c r="A11" s="90">
        <v>33024</v>
      </c>
      <c r="B11" s="74">
        <v>3.3000000000000002E-2</v>
      </c>
    </row>
    <row r="12" spans="1:4" x14ac:dyDescent="0.2">
      <c r="A12" s="89">
        <v>33054</v>
      </c>
      <c r="B12" s="75">
        <v>0.05</v>
      </c>
    </row>
    <row r="13" spans="1:4" x14ac:dyDescent="0.2">
      <c r="A13" s="90">
        <v>33085</v>
      </c>
      <c r="B13" s="74">
        <v>2.5000000000000001E-2</v>
      </c>
    </row>
    <row r="14" spans="1:4" x14ac:dyDescent="0.2">
      <c r="A14" s="89">
        <v>33116</v>
      </c>
      <c r="B14" s="75">
        <v>4.2000000000000003E-2</v>
      </c>
    </row>
    <row r="15" spans="1:4" x14ac:dyDescent="0.2">
      <c r="A15" s="90">
        <v>33146</v>
      </c>
      <c r="B15" s="74">
        <v>6.7000000000000004E-2</v>
      </c>
    </row>
    <row r="16" spans="1:4" x14ac:dyDescent="0.2">
      <c r="A16" s="89">
        <v>33177</v>
      </c>
      <c r="B16" s="75">
        <v>0.109</v>
      </c>
    </row>
    <row r="17" spans="1:2" x14ac:dyDescent="0.2">
      <c r="A17" s="90">
        <v>33207</v>
      </c>
      <c r="B17" s="74">
        <v>0.126</v>
      </c>
    </row>
    <row r="18" spans="1:2" x14ac:dyDescent="0.2">
      <c r="A18" s="89">
        <v>33238</v>
      </c>
      <c r="B18" s="75">
        <v>0.126</v>
      </c>
    </row>
    <row r="19" spans="1:2" x14ac:dyDescent="0.2">
      <c r="A19" s="90">
        <v>33269</v>
      </c>
      <c r="B19" s="74">
        <v>0.23499999999999999</v>
      </c>
    </row>
    <row r="20" spans="1:2" x14ac:dyDescent="0.2">
      <c r="A20" s="89">
        <v>33297</v>
      </c>
      <c r="B20" s="75">
        <v>9.1999999999999998E-2</v>
      </c>
    </row>
    <row r="21" spans="1:2" x14ac:dyDescent="0.2">
      <c r="A21" s="90">
        <v>33328</v>
      </c>
      <c r="B21" s="74">
        <v>0.109</v>
      </c>
    </row>
    <row r="22" spans="1:2" x14ac:dyDescent="0.2">
      <c r="A22" s="89">
        <v>33358</v>
      </c>
      <c r="B22" s="75">
        <v>0.109</v>
      </c>
    </row>
    <row r="23" spans="1:2" x14ac:dyDescent="0.2">
      <c r="A23" s="90">
        <v>33389</v>
      </c>
      <c r="B23" s="74">
        <v>0.109</v>
      </c>
    </row>
    <row r="24" spans="1:2" x14ac:dyDescent="0.2">
      <c r="A24" s="89">
        <v>33419</v>
      </c>
      <c r="B24" s="75">
        <v>9.1999999999999998E-2</v>
      </c>
    </row>
    <row r="25" spans="1:2" x14ac:dyDescent="0.2">
      <c r="A25" s="90">
        <v>33450</v>
      </c>
      <c r="B25" s="74">
        <v>0.109</v>
      </c>
    </row>
    <row r="26" spans="1:2" x14ac:dyDescent="0.2">
      <c r="A26" s="89">
        <v>33481</v>
      </c>
      <c r="B26" s="75">
        <v>0.11799999999999999</v>
      </c>
    </row>
    <row r="27" spans="1:2" x14ac:dyDescent="0.2">
      <c r="A27" s="90">
        <v>33511</v>
      </c>
      <c r="B27" s="74">
        <v>0.126</v>
      </c>
    </row>
    <row r="28" spans="1:2" x14ac:dyDescent="0.2">
      <c r="A28" s="89">
        <v>33542</v>
      </c>
      <c r="B28" s="75">
        <v>0.11799999999999999</v>
      </c>
    </row>
    <row r="29" spans="1:2" x14ac:dyDescent="0.2">
      <c r="A29" s="90">
        <v>33572</v>
      </c>
      <c r="B29" s="74">
        <v>7.5999999999999998E-2</v>
      </c>
    </row>
    <row r="30" spans="1:2" x14ac:dyDescent="0.2">
      <c r="A30" s="89">
        <v>33603</v>
      </c>
      <c r="B30" s="75">
        <v>0.05</v>
      </c>
    </row>
    <row r="31" spans="1:2" x14ac:dyDescent="0.2">
      <c r="A31" s="90">
        <v>33634</v>
      </c>
      <c r="B31" s="74">
        <v>0.109</v>
      </c>
    </row>
    <row r="32" spans="1:2" x14ac:dyDescent="0.2">
      <c r="A32" s="89">
        <v>33663</v>
      </c>
      <c r="B32" s="75">
        <v>0.185</v>
      </c>
    </row>
    <row r="33" spans="1:2" x14ac:dyDescent="0.2">
      <c r="A33" s="90">
        <v>33694</v>
      </c>
      <c r="B33" s="74">
        <v>0.16800000000000001</v>
      </c>
    </row>
    <row r="34" spans="1:2" x14ac:dyDescent="0.2">
      <c r="A34" s="89">
        <v>33724</v>
      </c>
      <c r="B34" s="75">
        <v>0.151</v>
      </c>
    </row>
    <row r="35" spans="1:2" x14ac:dyDescent="0.2">
      <c r="A35" s="90">
        <v>33755</v>
      </c>
      <c r="B35" s="74">
        <v>0.14299999999999999</v>
      </c>
    </row>
    <row r="36" spans="1:2" x14ac:dyDescent="0.2">
      <c r="A36" s="89">
        <v>33785</v>
      </c>
      <c r="B36" s="75">
        <v>0.16800000000000001</v>
      </c>
    </row>
    <row r="37" spans="1:2" x14ac:dyDescent="0.2">
      <c r="A37" s="90">
        <v>33816</v>
      </c>
      <c r="B37" s="74">
        <v>0.193</v>
      </c>
    </row>
    <row r="38" spans="1:2" x14ac:dyDescent="0.2">
      <c r="A38" s="89">
        <v>33847</v>
      </c>
      <c r="B38" s="75">
        <v>0.17599999999999999</v>
      </c>
    </row>
    <row r="39" spans="1:2" x14ac:dyDescent="0.2">
      <c r="A39" s="90">
        <v>33877</v>
      </c>
      <c r="B39" s="74">
        <v>0.17599999999999999</v>
      </c>
    </row>
    <row r="40" spans="1:2" x14ac:dyDescent="0.2">
      <c r="A40" s="89">
        <v>33908</v>
      </c>
      <c r="B40" s="75">
        <v>0.185</v>
      </c>
    </row>
    <row r="41" spans="1:2" x14ac:dyDescent="0.2">
      <c r="A41" s="90">
        <v>33938</v>
      </c>
      <c r="B41" s="74">
        <v>0.218</v>
      </c>
    </row>
    <row r="42" spans="1:2" x14ac:dyDescent="0.2">
      <c r="A42" s="89">
        <v>33969</v>
      </c>
      <c r="B42" s="75">
        <v>0.26900000000000002</v>
      </c>
    </row>
    <row r="43" spans="1:2" x14ac:dyDescent="0.2">
      <c r="A43" s="90">
        <v>34000</v>
      </c>
      <c r="B43" s="74">
        <v>8.4000000000000005E-2</v>
      </c>
    </row>
    <row r="44" spans="1:2" x14ac:dyDescent="0.2">
      <c r="A44" s="89">
        <v>34028</v>
      </c>
      <c r="B44" s="75">
        <v>0.27700000000000002</v>
      </c>
    </row>
    <row r="45" spans="1:2" x14ac:dyDescent="0.2">
      <c r="A45" s="90">
        <v>34059</v>
      </c>
      <c r="B45" s="74">
        <v>0.218</v>
      </c>
    </row>
    <row r="46" spans="1:2" x14ac:dyDescent="0.2">
      <c r="A46" s="89">
        <v>34089</v>
      </c>
      <c r="B46" s="75">
        <v>0.21</v>
      </c>
    </row>
    <row r="47" spans="1:2" x14ac:dyDescent="0.2">
      <c r="A47" s="90">
        <v>34120</v>
      </c>
      <c r="B47" s="74">
        <v>0.22700000000000001</v>
      </c>
    </row>
    <row r="48" spans="1:2" x14ac:dyDescent="0.2">
      <c r="A48" s="89">
        <v>34150</v>
      </c>
      <c r="B48" s="75">
        <v>0.252</v>
      </c>
    </row>
    <row r="49" spans="1:2" x14ac:dyDescent="0.2">
      <c r="A49" s="90">
        <v>34181</v>
      </c>
      <c r="B49" s="74">
        <v>0.21</v>
      </c>
    </row>
    <row r="50" spans="1:2" x14ac:dyDescent="0.2">
      <c r="A50" s="89">
        <v>34212</v>
      </c>
      <c r="B50" s="75">
        <v>0.193</v>
      </c>
    </row>
    <row r="51" spans="1:2" x14ac:dyDescent="0.2">
      <c r="A51" s="90">
        <v>34242</v>
      </c>
      <c r="B51" s="74">
        <v>0.16</v>
      </c>
    </row>
    <row r="52" spans="1:2" x14ac:dyDescent="0.2">
      <c r="A52" s="89">
        <v>34273</v>
      </c>
      <c r="B52" s="75">
        <v>0.13400000000000001</v>
      </c>
    </row>
    <row r="53" spans="1:2" x14ac:dyDescent="0.2">
      <c r="A53" s="90">
        <v>34303</v>
      </c>
      <c r="B53" s="74">
        <v>0.16</v>
      </c>
    </row>
    <row r="54" spans="1:2" x14ac:dyDescent="0.2">
      <c r="A54" s="89">
        <v>34334</v>
      </c>
      <c r="B54" s="75">
        <v>0.252</v>
      </c>
    </row>
    <row r="55" spans="1:2" x14ac:dyDescent="0.2">
      <c r="A55" s="90">
        <v>34365</v>
      </c>
      <c r="B55" s="74">
        <v>0.27700000000000002</v>
      </c>
    </row>
    <row r="56" spans="1:2" x14ac:dyDescent="0.2">
      <c r="A56" s="89">
        <v>34393</v>
      </c>
      <c r="B56" s="75">
        <v>3.4000000000000002E-2</v>
      </c>
    </row>
    <row r="57" spans="1:2" x14ac:dyDescent="0.2">
      <c r="A57" s="90">
        <v>34424</v>
      </c>
      <c r="B57" s="74">
        <v>0.16</v>
      </c>
    </row>
    <row r="58" spans="1:2" x14ac:dyDescent="0.2">
      <c r="A58" s="89">
        <v>34454</v>
      </c>
      <c r="B58" s="75">
        <v>0.16800000000000001</v>
      </c>
    </row>
    <row r="59" spans="1:2" x14ac:dyDescent="0.2">
      <c r="A59" s="90">
        <v>34485</v>
      </c>
      <c r="B59" s="74">
        <v>0.17599999999999999</v>
      </c>
    </row>
    <row r="60" spans="1:2" x14ac:dyDescent="0.2">
      <c r="A60" s="89">
        <v>34515</v>
      </c>
      <c r="B60" s="75">
        <v>0.151</v>
      </c>
    </row>
    <row r="61" spans="1:2" x14ac:dyDescent="0.2">
      <c r="A61" s="90">
        <v>34546</v>
      </c>
      <c r="B61" s="74">
        <v>0.151</v>
      </c>
    </row>
    <row r="62" spans="1:2" x14ac:dyDescent="0.2">
      <c r="A62" s="89">
        <v>34577</v>
      </c>
      <c r="B62" s="75">
        <v>0.29399999999999998</v>
      </c>
    </row>
    <row r="63" spans="1:2" x14ac:dyDescent="0.2">
      <c r="A63" s="90">
        <v>34607</v>
      </c>
      <c r="B63" s="74">
        <v>0.218</v>
      </c>
    </row>
    <row r="64" spans="1:2" x14ac:dyDescent="0.2">
      <c r="A64" s="89">
        <v>34638</v>
      </c>
      <c r="B64" s="75">
        <v>0.24399999999999999</v>
      </c>
    </row>
    <row r="65" spans="1:2" x14ac:dyDescent="0.2">
      <c r="A65" s="90">
        <v>34668</v>
      </c>
      <c r="B65" s="74">
        <v>0.23499999999999999</v>
      </c>
    </row>
    <row r="66" spans="1:2" x14ac:dyDescent="0.2">
      <c r="A66" s="89">
        <v>34699</v>
      </c>
      <c r="B66" s="75">
        <v>0.185</v>
      </c>
    </row>
    <row r="67" spans="1:2" x14ac:dyDescent="0.2">
      <c r="A67" s="90">
        <v>34730</v>
      </c>
      <c r="B67" s="74">
        <v>0.114</v>
      </c>
    </row>
    <row r="68" spans="1:2" x14ac:dyDescent="0.2">
      <c r="A68" s="89">
        <v>34758</v>
      </c>
      <c r="B68" s="75">
        <v>0.155</v>
      </c>
    </row>
    <row r="69" spans="1:2" x14ac:dyDescent="0.2">
      <c r="A69" s="90">
        <v>34789</v>
      </c>
      <c r="B69" s="74">
        <v>0.16400000000000001</v>
      </c>
    </row>
    <row r="70" spans="1:2" x14ac:dyDescent="0.2">
      <c r="A70" s="89">
        <v>34819</v>
      </c>
      <c r="B70" s="75">
        <v>0.154</v>
      </c>
    </row>
    <row r="71" spans="1:2" x14ac:dyDescent="0.2">
      <c r="A71" s="90">
        <v>34850</v>
      </c>
      <c r="B71" s="74">
        <v>0.13100000000000001</v>
      </c>
    </row>
    <row r="72" spans="1:2" x14ac:dyDescent="0.2">
      <c r="A72" s="89">
        <v>34880</v>
      </c>
      <c r="B72" s="75">
        <v>0.13900000000000001</v>
      </c>
    </row>
    <row r="73" spans="1:2" x14ac:dyDescent="0.2">
      <c r="A73" s="90">
        <v>34911</v>
      </c>
      <c r="B73" s="74">
        <v>0.13600000000000001</v>
      </c>
    </row>
    <row r="74" spans="1:2" x14ac:dyDescent="0.2">
      <c r="A74" s="89">
        <v>34942</v>
      </c>
      <c r="B74" s="75">
        <v>0.11799999999999999</v>
      </c>
    </row>
    <row r="75" spans="1:2" x14ac:dyDescent="0.2">
      <c r="A75" s="90">
        <v>34972</v>
      </c>
      <c r="B75" s="74">
        <v>0.114</v>
      </c>
    </row>
    <row r="76" spans="1:2" x14ac:dyDescent="0.2">
      <c r="A76" s="89">
        <v>35003</v>
      </c>
      <c r="B76" s="75">
        <v>0.129</v>
      </c>
    </row>
    <row r="77" spans="1:2" x14ac:dyDescent="0.2">
      <c r="A77" s="90">
        <v>35033</v>
      </c>
      <c r="B77" s="74">
        <v>0.121</v>
      </c>
    </row>
    <row r="78" spans="1:2" x14ac:dyDescent="0.2">
      <c r="A78" s="89">
        <v>35064</v>
      </c>
      <c r="B78" s="75">
        <v>0.14899999999999999</v>
      </c>
    </row>
    <row r="79" spans="1:2" x14ac:dyDescent="0.2">
      <c r="A79" s="90">
        <v>35095</v>
      </c>
      <c r="B79" s="74">
        <v>0.16900000000000001</v>
      </c>
    </row>
    <row r="80" spans="1:2" x14ac:dyDescent="0.2">
      <c r="A80" s="89">
        <v>35124</v>
      </c>
      <c r="B80" s="75">
        <v>0.122</v>
      </c>
    </row>
    <row r="81" spans="1:2" x14ac:dyDescent="0.2">
      <c r="A81" s="90">
        <v>35155</v>
      </c>
      <c r="B81" s="74">
        <v>0.122</v>
      </c>
    </row>
    <row r="82" spans="1:2" x14ac:dyDescent="0.2">
      <c r="A82" s="89">
        <v>35185</v>
      </c>
      <c r="B82" s="75">
        <v>0.13700000000000001</v>
      </c>
    </row>
    <row r="83" spans="1:2" x14ac:dyDescent="0.2">
      <c r="A83" s="90">
        <v>35216</v>
      </c>
      <c r="B83" s="74">
        <v>0.13100000000000001</v>
      </c>
    </row>
    <row r="84" spans="1:2" x14ac:dyDescent="0.2">
      <c r="A84" s="89">
        <v>35246</v>
      </c>
      <c r="B84" s="75">
        <v>0.13800000000000001</v>
      </c>
    </row>
    <row r="85" spans="1:2" x14ac:dyDescent="0.2">
      <c r="A85" s="90">
        <v>35277</v>
      </c>
      <c r="B85" s="74">
        <v>0.122</v>
      </c>
    </row>
    <row r="86" spans="1:2" x14ac:dyDescent="0.2">
      <c r="A86" s="89">
        <v>35308</v>
      </c>
      <c r="B86" s="75">
        <v>0.106</v>
      </c>
    </row>
    <row r="87" spans="1:2" x14ac:dyDescent="0.2">
      <c r="A87" s="90">
        <v>35338</v>
      </c>
      <c r="B87" s="74">
        <v>0.13700000000000001</v>
      </c>
    </row>
    <row r="88" spans="1:2" x14ac:dyDescent="0.2">
      <c r="A88" s="89">
        <v>35369</v>
      </c>
      <c r="B88" s="75">
        <v>0.13300000000000001</v>
      </c>
    </row>
    <row r="89" spans="1:2" x14ac:dyDescent="0.2">
      <c r="A89" s="90">
        <v>35399</v>
      </c>
      <c r="B89" s="74">
        <v>0.13400000000000001</v>
      </c>
    </row>
    <row r="90" spans="1:2" x14ac:dyDescent="0.2">
      <c r="A90" s="89">
        <v>35430</v>
      </c>
      <c r="B90" s="75">
        <v>0.14000000000000001</v>
      </c>
    </row>
    <row r="91" spans="1:2" x14ac:dyDescent="0.2">
      <c r="A91" s="90">
        <v>35461</v>
      </c>
      <c r="B91" s="74">
        <v>0.10299999999999999</v>
      </c>
    </row>
    <row r="92" spans="1:2" x14ac:dyDescent="0.2">
      <c r="A92" s="89">
        <v>35489</v>
      </c>
      <c r="B92" s="75">
        <v>0.104</v>
      </c>
    </row>
    <row r="93" spans="1:2" x14ac:dyDescent="0.2">
      <c r="A93" s="90">
        <v>35520</v>
      </c>
      <c r="B93" s="74">
        <v>0.13500000000000001</v>
      </c>
    </row>
    <row r="94" spans="1:2" x14ac:dyDescent="0.2">
      <c r="A94" s="89">
        <v>35550</v>
      </c>
      <c r="B94" s="75">
        <v>0.11899999999999999</v>
      </c>
    </row>
    <row r="95" spans="1:2" x14ac:dyDescent="0.2">
      <c r="A95" s="90">
        <v>35581</v>
      </c>
      <c r="B95" s="74">
        <v>0.11899999999999999</v>
      </c>
    </row>
    <row r="96" spans="1:2" x14ac:dyDescent="0.2">
      <c r="A96" s="89">
        <v>35611</v>
      </c>
      <c r="B96" s="75">
        <v>0.121</v>
      </c>
    </row>
    <row r="97" spans="1:2" x14ac:dyDescent="0.2">
      <c r="A97" s="90">
        <v>35642</v>
      </c>
      <c r="B97" s="74">
        <v>8.4000000000000005E-2</v>
      </c>
    </row>
    <row r="98" spans="1:2" x14ac:dyDescent="0.2">
      <c r="A98" s="89">
        <v>35673</v>
      </c>
      <c r="B98" s="75">
        <v>0.109</v>
      </c>
    </row>
    <row r="99" spans="1:2" x14ac:dyDescent="0.2">
      <c r="A99" s="90">
        <v>35703</v>
      </c>
      <c r="B99" s="74">
        <v>0.111</v>
      </c>
    </row>
    <row r="100" spans="1:2" x14ac:dyDescent="0.2">
      <c r="A100" s="89">
        <v>35734</v>
      </c>
      <c r="B100" s="75">
        <v>0.11799999999999999</v>
      </c>
    </row>
    <row r="101" spans="1:2" x14ac:dyDescent="0.2">
      <c r="A101" s="90">
        <v>35764</v>
      </c>
      <c r="B101" s="74">
        <v>0.11600000000000001</v>
      </c>
    </row>
    <row r="102" spans="1:2" x14ac:dyDescent="0.2">
      <c r="A102" s="89">
        <v>35795</v>
      </c>
      <c r="B102" s="75">
        <v>9.1999999999999998E-2</v>
      </c>
    </row>
    <row r="103" spans="1:2" x14ac:dyDescent="0.2">
      <c r="A103" s="90">
        <v>35826</v>
      </c>
      <c r="B103" s="74">
        <v>1.7999999999999999E-2</v>
      </c>
    </row>
    <row r="104" spans="1:2" x14ac:dyDescent="0.2">
      <c r="A104" s="89">
        <v>35854</v>
      </c>
      <c r="B104" s="75">
        <v>9.5000000000000001E-2</v>
      </c>
    </row>
    <row r="105" spans="1:2" x14ac:dyDescent="0.2">
      <c r="A105" s="90">
        <v>35885</v>
      </c>
      <c r="B105" s="74">
        <v>0.09</v>
      </c>
    </row>
    <row r="106" spans="1:2" x14ac:dyDescent="0.2">
      <c r="A106" s="89">
        <v>35915</v>
      </c>
      <c r="B106" s="75">
        <v>7.1999999999999995E-2</v>
      </c>
    </row>
    <row r="107" spans="1:2" x14ac:dyDescent="0.2">
      <c r="A107" s="90">
        <v>35946</v>
      </c>
      <c r="B107" s="74">
        <v>0.08</v>
      </c>
    </row>
    <row r="108" spans="1:2" x14ac:dyDescent="0.2">
      <c r="A108" s="89">
        <v>35976</v>
      </c>
      <c r="B108" s="75">
        <v>7.9000000000000001E-2</v>
      </c>
    </row>
    <row r="109" spans="1:2" x14ac:dyDescent="0.2">
      <c r="A109" s="90">
        <v>36007</v>
      </c>
      <c r="B109" s="74">
        <v>7.5999999999999998E-2</v>
      </c>
    </row>
    <row r="110" spans="1:2" x14ac:dyDescent="0.2">
      <c r="A110" s="89">
        <v>36038</v>
      </c>
      <c r="B110" s="75">
        <v>7.9000000000000001E-2</v>
      </c>
    </row>
    <row r="111" spans="1:2" x14ac:dyDescent="0.2">
      <c r="A111" s="90">
        <v>36068</v>
      </c>
      <c r="B111" s="74">
        <v>0.10199999999999999</v>
      </c>
    </row>
    <row r="112" spans="1:2" x14ac:dyDescent="0.2">
      <c r="A112" s="89">
        <v>36099</v>
      </c>
      <c r="B112" s="75">
        <v>0.106</v>
      </c>
    </row>
    <row r="113" spans="1:2" x14ac:dyDescent="0.2">
      <c r="A113" s="90">
        <v>36129</v>
      </c>
      <c r="B113" s="74">
        <v>0.11</v>
      </c>
    </row>
    <row r="114" spans="1:2" x14ac:dyDescent="0.2">
      <c r="A114" s="89">
        <v>36160</v>
      </c>
      <c r="B114" s="75">
        <v>0.115</v>
      </c>
    </row>
    <row r="115" spans="1:2" x14ac:dyDescent="0.2">
      <c r="A115" s="90">
        <v>36191</v>
      </c>
      <c r="B115" s="74">
        <v>0.17899999999999999</v>
      </c>
    </row>
    <row r="116" spans="1:2" x14ac:dyDescent="0.2">
      <c r="A116" s="89">
        <v>36219</v>
      </c>
      <c r="B116" s="75">
        <v>2.1000000000000001E-2</v>
      </c>
    </row>
    <row r="117" spans="1:2" x14ac:dyDescent="0.2">
      <c r="A117" s="90">
        <v>36250</v>
      </c>
      <c r="B117" s="74">
        <v>0.09</v>
      </c>
    </row>
    <row r="118" spans="1:2" x14ac:dyDescent="0.2">
      <c r="A118" s="89">
        <v>36280</v>
      </c>
      <c r="B118" s="75">
        <v>9.0999999999999998E-2</v>
      </c>
    </row>
    <row r="119" spans="1:2" x14ac:dyDescent="0.2">
      <c r="A119" s="90">
        <v>36311</v>
      </c>
      <c r="B119" s="74">
        <v>8.8999999999999996E-2</v>
      </c>
    </row>
    <row r="120" spans="1:2" x14ac:dyDescent="0.2">
      <c r="A120" s="89">
        <v>36341</v>
      </c>
      <c r="B120" s="75">
        <v>9.0999999999999998E-2</v>
      </c>
    </row>
    <row r="121" spans="1:2" x14ac:dyDescent="0.2">
      <c r="A121" s="90">
        <v>36372</v>
      </c>
      <c r="B121" s="74">
        <v>9.2999999999999999E-2</v>
      </c>
    </row>
    <row r="122" spans="1:2" x14ac:dyDescent="0.2">
      <c r="A122" s="89">
        <v>36403</v>
      </c>
      <c r="B122" s="75">
        <v>9.5000000000000001E-2</v>
      </c>
    </row>
    <row r="123" spans="1:2" x14ac:dyDescent="0.2">
      <c r="A123" s="90">
        <v>36433</v>
      </c>
      <c r="B123" s="74">
        <v>8.2000000000000003E-2</v>
      </c>
    </row>
    <row r="124" spans="1:2" x14ac:dyDescent="0.2">
      <c r="A124" s="89">
        <v>36464</v>
      </c>
      <c r="B124" s="75">
        <v>7.0000000000000007E-2</v>
      </c>
    </row>
    <row r="125" spans="1:2" x14ac:dyDescent="0.2">
      <c r="A125" s="90">
        <v>36494</v>
      </c>
      <c r="B125" s="74">
        <v>7.5999999999999998E-2</v>
      </c>
    </row>
    <row r="126" spans="1:2" x14ac:dyDescent="0.2">
      <c r="A126" s="89">
        <v>36525</v>
      </c>
      <c r="B126" s="75">
        <v>7.3999999999999996E-2</v>
      </c>
    </row>
    <row r="127" spans="1:2" x14ac:dyDescent="0.2">
      <c r="A127" s="90">
        <v>36556</v>
      </c>
      <c r="B127" s="74">
        <v>8.8999999999999996E-2</v>
      </c>
    </row>
    <row r="128" spans="1:2" x14ac:dyDescent="0.2">
      <c r="A128" s="89">
        <v>36585</v>
      </c>
      <c r="B128" s="75">
        <v>0.12</v>
      </c>
    </row>
    <row r="129" spans="1:2" x14ac:dyDescent="0.2">
      <c r="A129" s="90">
        <v>36616</v>
      </c>
      <c r="B129" s="74">
        <v>0.11899999999999999</v>
      </c>
    </row>
    <row r="130" spans="1:2" x14ac:dyDescent="0.2">
      <c r="A130" s="89">
        <v>36646</v>
      </c>
      <c r="B130" s="75">
        <v>0.114</v>
      </c>
    </row>
    <row r="131" spans="1:2" x14ac:dyDescent="0.2">
      <c r="A131" s="90">
        <v>36677</v>
      </c>
      <c r="B131" s="74">
        <v>0.115</v>
      </c>
    </row>
    <row r="132" spans="1:2" x14ac:dyDescent="0.2">
      <c r="A132" s="89">
        <v>36707</v>
      </c>
      <c r="B132" s="75">
        <v>0.122</v>
      </c>
    </row>
    <row r="133" spans="1:2" x14ac:dyDescent="0.2">
      <c r="A133" s="90">
        <v>36738</v>
      </c>
      <c r="B133" s="74">
        <v>0.128</v>
      </c>
    </row>
    <row r="134" spans="1:2" x14ac:dyDescent="0.2">
      <c r="A134" s="89">
        <v>36769</v>
      </c>
      <c r="B134" s="75">
        <v>0.128</v>
      </c>
    </row>
    <row r="135" spans="1:2" x14ac:dyDescent="0.2">
      <c r="A135" s="90">
        <v>36799</v>
      </c>
      <c r="B135" s="74">
        <v>0.12</v>
      </c>
    </row>
    <row r="136" spans="1:2" x14ac:dyDescent="0.2">
      <c r="A136" s="89">
        <v>36830</v>
      </c>
      <c r="B136" s="75">
        <v>0.114</v>
      </c>
    </row>
    <row r="137" spans="1:2" x14ac:dyDescent="0.2">
      <c r="A137" s="90">
        <v>36860</v>
      </c>
      <c r="B137" s="74">
        <v>0.106</v>
      </c>
    </row>
    <row r="138" spans="1:2" x14ac:dyDescent="0.2">
      <c r="A138" s="89">
        <v>36891</v>
      </c>
      <c r="B138" s="75">
        <v>0.104</v>
      </c>
    </row>
    <row r="139" spans="1:2" x14ac:dyDescent="0.2">
      <c r="A139" s="90">
        <v>36922</v>
      </c>
      <c r="B139" s="74">
        <v>2.3E-2</v>
      </c>
    </row>
    <row r="140" spans="1:2" x14ac:dyDescent="0.2">
      <c r="A140" s="89">
        <v>36950</v>
      </c>
      <c r="B140" s="75">
        <v>0.19</v>
      </c>
    </row>
    <row r="141" spans="1:2" x14ac:dyDescent="0.2">
      <c r="A141" s="90">
        <v>36981</v>
      </c>
      <c r="B141" s="74">
        <v>0.121</v>
      </c>
    </row>
    <row r="142" spans="1:2" x14ac:dyDescent="0.2">
      <c r="A142" s="89">
        <v>37011</v>
      </c>
      <c r="B142" s="75">
        <v>0.115</v>
      </c>
    </row>
    <row r="143" spans="1:2" x14ac:dyDescent="0.2">
      <c r="A143" s="90">
        <v>37042</v>
      </c>
      <c r="B143" s="74">
        <v>0.10199999999999999</v>
      </c>
    </row>
    <row r="144" spans="1:2" x14ac:dyDescent="0.2">
      <c r="A144" s="89">
        <v>37072</v>
      </c>
      <c r="B144" s="75">
        <v>0.10100000000000001</v>
      </c>
    </row>
    <row r="145" spans="1:2" x14ac:dyDescent="0.2">
      <c r="A145" s="90">
        <v>37103</v>
      </c>
      <c r="B145" s="74">
        <v>8.1000000000000003E-2</v>
      </c>
    </row>
    <row r="146" spans="1:2" x14ac:dyDescent="0.2">
      <c r="A146" s="89">
        <v>37134</v>
      </c>
      <c r="B146" s="75">
        <v>8.1000000000000003E-2</v>
      </c>
    </row>
    <row r="147" spans="1:2" x14ac:dyDescent="0.2">
      <c r="A147" s="90">
        <v>37164</v>
      </c>
      <c r="B147" s="74">
        <v>9.5000000000000001E-2</v>
      </c>
    </row>
    <row r="148" spans="1:2" x14ac:dyDescent="0.2">
      <c r="A148" s="89">
        <v>37195</v>
      </c>
      <c r="B148" s="75">
        <v>8.7999999999999995E-2</v>
      </c>
    </row>
    <row r="149" spans="1:2" x14ac:dyDescent="0.2">
      <c r="A149" s="90">
        <v>37225</v>
      </c>
      <c r="B149" s="74">
        <v>7.9000000000000001E-2</v>
      </c>
    </row>
    <row r="150" spans="1:2" x14ac:dyDescent="0.2">
      <c r="A150" s="89">
        <v>37256</v>
      </c>
      <c r="B150" s="75">
        <v>8.6999999999999994E-2</v>
      </c>
    </row>
    <row r="151" spans="1:2" x14ac:dyDescent="0.2">
      <c r="A151" s="90">
        <v>37287</v>
      </c>
      <c r="B151" s="74">
        <v>0.186</v>
      </c>
    </row>
    <row r="152" spans="1:2" x14ac:dyDescent="0.2">
      <c r="A152" s="89">
        <v>37315</v>
      </c>
      <c r="B152" s="75">
        <v>2.7E-2</v>
      </c>
    </row>
    <row r="153" spans="1:2" x14ac:dyDescent="0.2">
      <c r="A153" s="90">
        <v>37346</v>
      </c>
      <c r="B153" s="74">
        <v>0.109</v>
      </c>
    </row>
    <row r="154" spans="1:2" x14ac:dyDescent="0.2">
      <c r="A154" s="89">
        <v>37376</v>
      </c>
      <c r="B154" s="75">
        <v>0.121</v>
      </c>
    </row>
    <row r="155" spans="1:2" x14ac:dyDescent="0.2">
      <c r="A155" s="90">
        <v>37407</v>
      </c>
      <c r="B155" s="74">
        <v>0.129</v>
      </c>
    </row>
    <row r="156" spans="1:2" x14ac:dyDescent="0.2">
      <c r="A156" s="89">
        <v>37437</v>
      </c>
      <c r="B156" s="75">
        <v>0.124</v>
      </c>
    </row>
    <row r="157" spans="1:2" x14ac:dyDescent="0.2">
      <c r="A157" s="90">
        <v>37468</v>
      </c>
      <c r="B157" s="74">
        <v>0.128</v>
      </c>
    </row>
    <row r="158" spans="1:2" x14ac:dyDescent="0.2">
      <c r="A158" s="89">
        <v>37499</v>
      </c>
      <c r="B158" s="75">
        <v>0.127</v>
      </c>
    </row>
    <row r="159" spans="1:2" x14ac:dyDescent="0.2">
      <c r="A159" s="90">
        <v>37529</v>
      </c>
      <c r="B159" s="74">
        <v>0.13800000000000001</v>
      </c>
    </row>
    <row r="160" spans="1:2" x14ac:dyDescent="0.2">
      <c r="A160" s="76">
        <v>37560</v>
      </c>
      <c r="B160" s="77">
        <v>0.14199999999999999</v>
      </c>
    </row>
    <row r="161" spans="1:3" x14ac:dyDescent="0.2">
      <c r="A161" s="91">
        <v>37590</v>
      </c>
      <c r="B161" s="23">
        <v>0.14499999999999999</v>
      </c>
      <c r="C161" s="92"/>
    </row>
    <row r="162" spans="1:3" x14ac:dyDescent="0.2">
      <c r="A162" s="93">
        <v>37621</v>
      </c>
      <c r="B162" s="45">
        <v>0.14899999999999999</v>
      </c>
      <c r="C162" s="92"/>
    </row>
    <row r="163" spans="1:3" x14ac:dyDescent="0.2">
      <c r="A163" s="91">
        <v>37652</v>
      </c>
      <c r="B163" s="23">
        <v>0.14799999999999999</v>
      </c>
      <c r="C163" s="92"/>
    </row>
    <row r="164" spans="1:3" x14ac:dyDescent="0.2">
      <c r="A164" s="93">
        <v>37680</v>
      </c>
      <c r="B164" s="45">
        <v>0.19800000000000001</v>
      </c>
      <c r="C164" s="92"/>
    </row>
    <row r="165" spans="1:3" x14ac:dyDescent="0.2">
      <c r="A165" s="91">
        <v>37711</v>
      </c>
      <c r="B165" s="23">
        <v>0.16900000000000001</v>
      </c>
      <c r="C165" s="92"/>
    </row>
    <row r="166" spans="1:3" x14ac:dyDescent="0.2">
      <c r="A166" s="93">
        <v>37741</v>
      </c>
      <c r="B166" s="45">
        <v>0.14899999999999999</v>
      </c>
      <c r="C166" s="92"/>
    </row>
    <row r="167" spans="1:3" x14ac:dyDescent="0.2">
      <c r="A167" s="91">
        <v>37772</v>
      </c>
      <c r="B167" s="23">
        <v>0.13700000000000001</v>
      </c>
      <c r="C167" s="92"/>
    </row>
    <row r="168" spans="1:3" x14ac:dyDescent="0.2">
      <c r="A168" s="93">
        <v>37802</v>
      </c>
      <c r="B168" s="45">
        <v>0.16900000000000001</v>
      </c>
      <c r="C168" s="92"/>
    </row>
    <row r="169" spans="1:3" x14ac:dyDescent="0.2">
      <c r="A169" s="91">
        <v>37833</v>
      </c>
      <c r="B169" s="23">
        <v>0.16500000000000001</v>
      </c>
      <c r="C169" s="92"/>
    </row>
    <row r="170" spans="1:3" x14ac:dyDescent="0.2">
      <c r="A170" s="93">
        <v>37864</v>
      </c>
      <c r="B170" s="45">
        <v>0.17100000000000001</v>
      </c>
      <c r="C170" s="92"/>
    </row>
    <row r="171" spans="1:3" x14ac:dyDescent="0.2">
      <c r="A171" s="91">
        <v>37894</v>
      </c>
      <c r="B171" s="23">
        <v>0.16300000000000001</v>
      </c>
      <c r="C171" s="92"/>
    </row>
    <row r="172" spans="1:3" x14ac:dyDescent="0.2">
      <c r="A172" s="93">
        <v>37925</v>
      </c>
      <c r="B172" s="45">
        <v>0.17199999999999999</v>
      </c>
      <c r="C172" s="92"/>
    </row>
    <row r="173" spans="1:3" x14ac:dyDescent="0.2">
      <c r="A173" s="91">
        <v>37955</v>
      </c>
      <c r="B173" s="23">
        <v>0.17899999999999999</v>
      </c>
      <c r="C173" s="92"/>
    </row>
    <row r="174" spans="1:3" x14ac:dyDescent="0.2">
      <c r="A174" s="93">
        <v>37986</v>
      </c>
      <c r="B174" s="45">
        <v>0.18099999999999999</v>
      </c>
      <c r="C174" s="92"/>
    </row>
    <row r="175" spans="1:3" x14ac:dyDescent="0.2">
      <c r="A175" s="91">
        <v>38017</v>
      </c>
      <c r="B175" s="23">
        <v>7.1999999999999995E-2</v>
      </c>
      <c r="C175" s="92"/>
    </row>
    <row r="176" spans="1:3" x14ac:dyDescent="0.2">
      <c r="A176" s="93">
        <v>38046</v>
      </c>
      <c r="B176" s="45">
        <v>0.23200000000000001</v>
      </c>
      <c r="C176" s="92"/>
    </row>
    <row r="177" spans="1:3" x14ac:dyDescent="0.2">
      <c r="A177" s="91">
        <v>38077</v>
      </c>
      <c r="B177" s="23">
        <v>0.19400000000000001</v>
      </c>
      <c r="C177" s="92"/>
    </row>
    <row r="178" spans="1:3" x14ac:dyDescent="0.2">
      <c r="A178" s="93">
        <v>38107</v>
      </c>
      <c r="B178" s="45">
        <v>0.191</v>
      </c>
      <c r="C178" s="92"/>
    </row>
    <row r="179" spans="1:3" x14ac:dyDescent="0.2">
      <c r="A179" s="91">
        <v>38138</v>
      </c>
      <c r="B179" s="23">
        <v>0.17499999999999999</v>
      </c>
      <c r="C179" s="92"/>
    </row>
    <row r="180" spans="1:3" x14ac:dyDescent="0.2">
      <c r="A180" s="93">
        <v>38168</v>
      </c>
      <c r="B180" s="45">
        <v>0.16200000000000001</v>
      </c>
      <c r="C180" s="92"/>
    </row>
    <row r="181" spans="1:3" x14ac:dyDescent="0.2">
      <c r="A181" s="91">
        <v>38199</v>
      </c>
      <c r="B181" s="23">
        <v>0.155</v>
      </c>
      <c r="C181" s="92"/>
    </row>
    <row r="182" spans="1:3" x14ac:dyDescent="0.2">
      <c r="A182" s="93">
        <v>38230</v>
      </c>
      <c r="B182" s="45">
        <v>0.159</v>
      </c>
      <c r="C182" s="92"/>
    </row>
    <row r="183" spans="1:3" x14ac:dyDescent="0.2">
      <c r="A183" s="91">
        <v>38260</v>
      </c>
      <c r="B183" s="23">
        <v>0.161</v>
      </c>
      <c r="C183" s="92"/>
    </row>
    <row r="184" spans="1:3" x14ac:dyDescent="0.2">
      <c r="A184" s="93">
        <v>38291</v>
      </c>
      <c r="B184" s="45">
        <v>0.157</v>
      </c>
      <c r="C184" s="92"/>
    </row>
    <row r="185" spans="1:3" x14ac:dyDescent="0.2">
      <c r="A185" s="91">
        <v>38321</v>
      </c>
      <c r="B185" s="23">
        <v>0.14799999999999999</v>
      </c>
      <c r="C185" s="92"/>
    </row>
    <row r="186" spans="1:3" x14ac:dyDescent="0.2">
      <c r="A186" s="93">
        <v>38352</v>
      </c>
      <c r="B186" s="45">
        <v>0.14399999999999999</v>
      </c>
      <c r="C186" s="92"/>
    </row>
    <row r="187" spans="1:3" x14ac:dyDescent="0.2">
      <c r="A187" s="91">
        <v>38383</v>
      </c>
      <c r="B187" s="23">
        <v>0.20899999999999999</v>
      </c>
      <c r="C187" s="92">
        <v>52.1</v>
      </c>
    </row>
    <row r="188" spans="1:3" x14ac:dyDescent="0.2">
      <c r="A188" s="91">
        <v>38411</v>
      </c>
      <c r="B188" s="45">
        <v>7.5999999999999998E-2</v>
      </c>
      <c r="C188" s="92">
        <v>52.9</v>
      </c>
    </row>
    <row r="189" spans="1:3" x14ac:dyDescent="0.2">
      <c r="A189" s="93">
        <v>38442</v>
      </c>
      <c r="B189" s="45">
        <v>0.151</v>
      </c>
      <c r="C189" s="92">
        <v>55.2</v>
      </c>
    </row>
    <row r="190" spans="1:3" x14ac:dyDescent="0.2">
      <c r="A190" s="91">
        <v>38472</v>
      </c>
      <c r="B190" s="23">
        <v>0.16</v>
      </c>
      <c r="C190" s="92">
        <v>54.4</v>
      </c>
    </row>
    <row r="191" spans="1:3" x14ac:dyDescent="0.2">
      <c r="A191" s="93">
        <v>38503</v>
      </c>
      <c r="B191" s="45">
        <v>0.16600000000000001</v>
      </c>
      <c r="C191" s="92">
        <v>53.3</v>
      </c>
    </row>
    <row r="192" spans="1:3" x14ac:dyDescent="0.2">
      <c r="A192" s="91">
        <v>38533</v>
      </c>
      <c r="B192" s="23">
        <v>0.16800000000000001</v>
      </c>
      <c r="C192" s="92">
        <v>51</v>
      </c>
    </row>
    <row r="193" spans="1:3" x14ac:dyDescent="0.2">
      <c r="A193" s="93">
        <v>38564</v>
      </c>
      <c r="B193" s="45">
        <v>0.161</v>
      </c>
      <c r="C193" s="92">
        <v>51.5</v>
      </c>
    </row>
    <row r="194" spans="1:3" x14ac:dyDescent="0.2">
      <c r="A194" s="91">
        <v>38595</v>
      </c>
      <c r="B194" s="23">
        <v>0.16</v>
      </c>
      <c r="C194" s="92">
        <v>50.6</v>
      </c>
    </row>
    <row r="195" spans="1:3" x14ac:dyDescent="0.2">
      <c r="A195" s="93">
        <v>38625</v>
      </c>
      <c r="B195" s="45">
        <v>0.16500000000000001</v>
      </c>
      <c r="C195" s="92">
        <v>50.9</v>
      </c>
    </row>
    <row r="196" spans="1:3" x14ac:dyDescent="0.2">
      <c r="A196" s="91">
        <v>38656</v>
      </c>
      <c r="B196" s="23">
        <v>0.161</v>
      </c>
      <c r="C196" s="92">
        <v>50.1</v>
      </c>
    </row>
    <row r="197" spans="1:3" x14ac:dyDescent="0.2">
      <c r="A197" s="93">
        <v>38686</v>
      </c>
      <c r="B197" s="45">
        <v>0.16600000000000001</v>
      </c>
      <c r="C197" s="92">
        <v>49.8</v>
      </c>
    </row>
    <row r="198" spans="1:3" x14ac:dyDescent="0.2">
      <c r="A198" s="91">
        <v>38717</v>
      </c>
      <c r="B198" s="23">
        <v>0.16500000000000001</v>
      </c>
      <c r="C198" s="92">
        <v>50.1</v>
      </c>
    </row>
    <row r="199" spans="1:3" x14ac:dyDescent="0.2">
      <c r="A199" s="91">
        <v>38776</v>
      </c>
      <c r="B199" s="23">
        <v>0.20100000000000001</v>
      </c>
      <c r="C199" s="92">
        <v>50.7</v>
      </c>
    </row>
    <row r="200" spans="1:3" x14ac:dyDescent="0.2">
      <c r="A200" s="93">
        <v>38807</v>
      </c>
      <c r="B200" s="45">
        <v>0.17799999999999999</v>
      </c>
      <c r="C200" s="92">
        <v>51</v>
      </c>
    </row>
    <row r="201" spans="1:3" x14ac:dyDescent="0.2">
      <c r="A201" s="91">
        <v>38837</v>
      </c>
      <c r="B201" s="23">
        <v>0.16600000000000001</v>
      </c>
      <c r="C201" s="92">
        <v>52.7</v>
      </c>
    </row>
    <row r="202" spans="1:3" x14ac:dyDescent="0.2">
      <c r="A202" s="93">
        <v>38868</v>
      </c>
      <c r="B202" s="45">
        <v>0.17899999999999999</v>
      </c>
      <c r="C202" s="92">
        <v>52.8</v>
      </c>
    </row>
    <row r="203" spans="1:3" x14ac:dyDescent="0.2">
      <c r="A203" s="91">
        <v>38898</v>
      </c>
      <c r="B203" s="23">
        <v>0.19500000000000001</v>
      </c>
      <c r="C203" s="92">
        <v>52.9</v>
      </c>
    </row>
    <row r="204" spans="1:3" x14ac:dyDescent="0.2">
      <c r="A204" s="93">
        <v>38929</v>
      </c>
      <c r="B204" s="45">
        <v>0.16700000000000001</v>
      </c>
      <c r="C204" s="92">
        <v>53</v>
      </c>
    </row>
    <row r="205" spans="1:3" x14ac:dyDescent="0.2">
      <c r="A205" s="91">
        <v>38960</v>
      </c>
      <c r="B205" s="23">
        <v>0.157</v>
      </c>
      <c r="C205" s="92">
        <v>52.6</v>
      </c>
    </row>
    <row r="206" spans="1:3" x14ac:dyDescent="0.2">
      <c r="A206" s="93">
        <v>38990</v>
      </c>
      <c r="B206" s="45">
        <v>0.161</v>
      </c>
      <c r="C206" s="92">
        <v>52.4</v>
      </c>
    </row>
    <row r="207" spans="1:3" x14ac:dyDescent="0.2">
      <c r="A207" s="91">
        <v>39021</v>
      </c>
      <c r="B207" s="23">
        <v>0.14699999999999999</v>
      </c>
      <c r="C207" s="92">
        <v>52.1</v>
      </c>
    </row>
    <row r="208" spans="1:3" x14ac:dyDescent="0.2">
      <c r="A208" s="93">
        <v>39051</v>
      </c>
      <c r="B208" s="45">
        <v>0.14899999999999999</v>
      </c>
      <c r="C208" s="92">
        <v>53</v>
      </c>
    </row>
    <row r="209" spans="1:3" x14ac:dyDescent="0.2">
      <c r="A209" s="91">
        <v>39082</v>
      </c>
      <c r="B209" s="23">
        <v>0.14699999999999999</v>
      </c>
      <c r="C209" s="92">
        <v>52.4</v>
      </c>
    </row>
    <row r="210" spans="1:3" x14ac:dyDescent="0.2">
      <c r="A210" s="93">
        <v>39141</v>
      </c>
      <c r="B210" s="45">
        <v>0.126</v>
      </c>
      <c r="C210" s="92">
        <v>53</v>
      </c>
    </row>
    <row r="211" spans="1:3" x14ac:dyDescent="0.2">
      <c r="A211" s="93">
        <v>39172</v>
      </c>
      <c r="B211" s="45">
        <v>0.17599999999999999</v>
      </c>
      <c r="C211" s="92">
        <v>52.3</v>
      </c>
    </row>
    <row r="212" spans="1:3" x14ac:dyDescent="0.2">
      <c r="A212" s="91">
        <v>39202</v>
      </c>
      <c r="B212" s="23">
        <v>0.17399999999999999</v>
      </c>
      <c r="C212" s="92">
        <v>53.3</v>
      </c>
    </row>
    <row r="213" spans="1:3" x14ac:dyDescent="0.2">
      <c r="A213" s="93">
        <v>39233</v>
      </c>
      <c r="B213" s="45">
        <v>0.18099999999999999</v>
      </c>
      <c r="C213" s="92">
        <v>54.1</v>
      </c>
    </row>
    <row r="214" spans="1:3" x14ac:dyDescent="0.2">
      <c r="A214" s="91">
        <v>39263</v>
      </c>
      <c r="B214" s="23">
        <v>0.19400000000000001</v>
      </c>
      <c r="C214" s="92">
        <v>55</v>
      </c>
    </row>
    <row r="215" spans="1:3" x14ac:dyDescent="0.2">
      <c r="A215" s="93">
        <v>39294</v>
      </c>
      <c r="B215" s="45">
        <v>0.18</v>
      </c>
      <c r="C215" s="92">
        <v>53.2</v>
      </c>
    </row>
    <row r="216" spans="1:3" x14ac:dyDescent="0.2">
      <c r="A216" s="91">
        <v>39325</v>
      </c>
      <c r="B216" s="23">
        <v>0.17499999999999999</v>
      </c>
      <c r="C216" s="92">
        <v>53.4</v>
      </c>
    </row>
    <row r="217" spans="1:3" x14ac:dyDescent="0.2">
      <c r="A217" s="93">
        <v>39355</v>
      </c>
      <c r="B217" s="45">
        <v>0.189</v>
      </c>
      <c r="C217" s="92">
        <v>55</v>
      </c>
    </row>
    <row r="218" spans="1:3" x14ac:dyDescent="0.2">
      <c r="A218" s="91">
        <v>39386</v>
      </c>
      <c r="B218" s="23">
        <v>0.17899999999999999</v>
      </c>
      <c r="C218" s="92">
        <v>55.2</v>
      </c>
    </row>
    <row r="219" spans="1:3" x14ac:dyDescent="0.2">
      <c r="A219" s="93">
        <v>39416</v>
      </c>
      <c r="B219" s="45">
        <v>0.17299999999999999</v>
      </c>
      <c r="C219" s="92">
        <v>52.8</v>
      </c>
    </row>
    <row r="220" spans="1:3" x14ac:dyDescent="0.2">
      <c r="A220" s="91">
        <v>39447</v>
      </c>
      <c r="B220" s="23">
        <v>0.17399999999999999</v>
      </c>
      <c r="C220" s="92">
        <v>53.3</v>
      </c>
    </row>
    <row r="221" spans="1:3" x14ac:dyDescent="0.2">
      <c r="A221" s="93">
        <v>39507</v>
      </c>
      <c r="B221" s="45">
        <v>0.154</v>
      </c>
      <c r="C221" s="92">
        <v>52.8</v>
      </c>
    </row>
    <row r="222" spans="1:3" x14ac:dyDescent="0.2">
      <c r="A222" s="91">
        <v>39538</v>
      </c>
      <c r="B222" s="23">
        <v>0.17799999999999999</v>
      </c>
      <c r="C222" s="92">
        <v>54.4</v>
      </c>
    </row>
    <row r="223" spans="1:3" x14ac:dyDescent="0.2">
      <c r="A223" s="93">
        <v>39568</v>
      </c>
      <c r="B223" s="45">
        <v>0.157</v>
      </c>
      <c r="C223" s="92">
        <v>55.4</v>
      </c>
    </row>
    <row r="224" spans="1:3" x14ac:dyDescent="0.2">
      <c r="A224" s="91">
        <v>39599</v>
      </c>
      <c r="B224" s="23">
        <v>0.16</v>
      </c>
      <c r="C224" s="92">
        <v>54.7</v>
      </c>
    </row>
    <row r="225" spans="1:3" x14ac:dyDescent="0.2">
      <c r="A225" s="93">
        <v>39629</v>
      </c>
      <c r="B225" s="45">
        <v>0.16</v>
      </c>
      <c r="C225" s="92">
        <v>53.3</v>
      </c>
    </row>
    <row r="226" spans="1:3" x14ac:dyDescent="0.2">
      <c r="A226" s="91">
        <v>39660</v>
      </c>
      <c r="B226" s="23">
        <v>0.14699999999999999</v>
      </c>
      <c r="C226" s="92">
        <v>53.3</v>
      </c>
    </row>
    <row r="227" spans="1:3" x14ac:dyDescent="0.2">
      <c r="A227" s="93">
        <v>39691</v>
      </c>
      <c r="B227" s="45">
        <v>0.128</v>
      </c>
      <c r="C227" s="92">
        <v>49.2</v>
      </c>
    </row>
    <row r="228" spans="1:3" x14ac:dyDescent="0.2">
      <c r="A228" s="91">
        <v>39721</v>
      </c>
      <c r="B228" s="23">
        <v>0.114</v>
      </c>
      <c r="C228" s="92">
        <v>47.7</v>
      </c>
    </row>
    <row r="229" spans="1:3" x14ac:dyDescent="0.2">
      <c r="A229" s="93">
        <v>39752</v>
      </c>
      <c r="B229" s="45">
        <v>8.2000000000000003E-2</v>
      </c>
      <c r="C229" s="92">
        <v>45.2</v>
      </c>
    </row>
    <row r="230" spans="1:3" x14ac:dyDescent="0.2">
      <c r="A230" s="91">
        <v>39782</v>
      </c>
      <c r="B230" s="23">
        <v>5.3999999999999999E-2</v>
      </c>
      <c r="C230" s="92">
        <v>40.9</v>
      </c>
    </row>
    <row r="231" spans="1:3" x14ac:dyDescent="0.2">
      <c r="A231" s="93">
        <v>39813</v>
      </c>
      <c r="B231" s="45">
        <v>5.7000000000000002E-2</v>
      </c>
      <c r="C231" s="92">
        <v>41.2</v>
      </c>
    </row>
    <row r="232" spans="1:3" x14ac:dyDescent="0.2">
      <c r="A232" s="91">
        <v>39872</v>
      </c>
      <c r="B232" s="23">
        <v>0.11</v>
      </c>
      <c r="C232" s="92">
        <v>45.1</v>
      </c>
    </row>
    <row r="233" spans="1:3" x14ac:dyDescent="0.2">
      <c r="A233" s="91">
        <v>39903</v>
      </c>
      <c r="B233" s="23">
        <v>8.3000000000000004E-2</v>
      </c>
      <c r="C233" s="92">
        <v>44.8</v>
      </c>
    </row>
    <row r="234" spans="1:3" x14ac:dyDescent="0.2">
      <c r="A234" s="93">
        <v>39933</v>
      </c>
      <c r="B234" s="45">
        <v>7.2999999999999995E-2</v>
      </c>
      <c r="C234" s="92">
        <v>50.1</v>
      </c>
    </row>
    <row r="235" spans="1:3" x14ac:dyDescent="0.2">
      <c r="A235" s="91">
        <v>39964</v>
      </c>
      <c r="B235" s="23">
        <v>8.8999999999999996E-2</v>
      </c>
      <c r="C235" s="92">
        <v>51.2</v>
      </c>
    </row>
    <row r="236" spans="1:3" x14ac:dyDescent="0.2">
      <c r="A236" s="93">
        <v>39994</v>
      </c>
      <c r="B236" s="45">
        <v>0.107</v>
      </c>
      <c r="C236" s="92">
        <v>51.8</v>
      </c>
    </row>
    <row r="237" spans="1:3" x14ac:dyDescent="0.2">
      <c r="A237" s="91">
        <v>40025</v>
      </c>
      <c r="B237" s="23">
        <v>0.108</v>
      </c>
      <c r="C237" s="92">
        <v>52.8</v>
      </c>
    </row>
    <row r="238" spans="1:3" x14ac:dyDescent="0.2">
      <c r="A238" s="93">
        <v>40056</v>
      </c>
      <c r="B238" s="45">
        <v>0.123</v>
      </c>
      <c r="C238" s="92">
        <v>55.1</v>
      </c>
    </row>
    <row r="239" spans="1:3" x14ac:dyDescent="0.2">
      <c r="A239" s="91">
        <v>40086</v>
      </c>
      <c r="B239" s="23">
        <v>0.13900000000000001</v>
      </c>
      <c r="C239" s="92">
        <v>55</v>
      </c>
    </row>
    <row r="240" spans="1:3" x14ac:dyDescent="0.2">
      <c r="A240" s="93">
        <v>40117</v>
      </c>
      <c r="B240" s="45">
        <v>0.161</v>
      </c>
      <c r="C240" s="92">
        <v>55.4</v>
      </c>
    </row>
    <row r="241" spans="1:3" x14ac:dyDescent="0.2">
      <c r="A241" s="91">
        <v>40147</v>
      </c>
      <c r="B241" s="23">
        <v>0.192</v>
      </c>
      <c r="C241" s="92">
        <v>55.7</v>
      </c>
    </row>
    <row r="242" spans="1:3" x14ac:dyDescent="0.2">
      <c r="A242" s="93">
        <v>40178</v>
      </c>
      <c r="B242" s="45">
        <v>0.185</v>
      </c>
      <c r="C242" s="92">
        <v>56.1</v>
      </c>
    </row>
    <row r="243" spans="1:3" x14ac:dyDescent="0.2">
      <c r="A243" s="93">
        <v>40237</v>
      </c>
      <c r="B243" s="45">
        <v>0.128</v>
      </c>
      <c r="C243" s="92">
        <v>55.8</v>
      </c>
    </row>
    <row r="244" spans="1:3" x14ac:dyDescent="0.2">
      <c r="A244" s="91">
        <v>40268</v>
      </c>
      <c r="B244" s="23">
        <v>0.18099999999999999</v>
      </c>
      <c r="C244" s="92">
        <v>57</v>
      </c>
    </row>
    <row r="245" spans="1:3" x14ac:dyDescent="0.2">
      <c r="A245" s="93">
        <v>40298</v>
      </c>
      <c r="B245" s="45">
        <v>0.17799999999999999</v>
      </c>
      <c r="C245" s="92">
        <v>55.4</v>
      </c>
    </row>
    <row r="246" spans="1:3" x14ac:dyDescent="0.2">
      <c r="A246" s="91">
        <v>40329</v>
      </c>
      <c r="B246" s="23">
        <v>0.16500000000000001</v>
      </c>
      <c r="C246" s="92">
        <v>52.7</v>
      </c>
    </row>
    <row r="247" spans="1:3" x14ac:dyDescent="0.2">
      <c r="A247" s="93">
        <v>40359</v>
      </c>
      <c r="B247" s="45">
        <v>0.13700000000000001</v>
      </c>
      <c r="C247" s="92">
        <v>50.4</v>
      </c>
    </row>
    <row r="248" spans="1:3" x14ac:dyDescent="0.2">
      <c r="A248" s="91">
        <v>40390</v>
      </c>
      <c r="B248" s="23">
        <v>0.13400000000000001</v>
      </c>
      <c r="C248" s="92">
        <v>49.4</v>
      </c>
    </row>
    <row r="249" spans="1:3" x14ac:dyDescent="0.2">
      <c r="A249" s="93">
        <v>40421</v>
      </c>
      <c r="B249" s="45">
        <v>0.13900000000000001</v>
      </c>
      <c r="C249" s="92">
        <v>51.9</v>
      </c>
    </row>
    <row r="250" spans="1:3" x14ac:dyDescent="0.2">
      <c r="A250" s="91">
        <v>40451</v>
      </c>
      <c r="B250" s="23">
        <v>0.13300000000000001</v>
      </c>
      <c r="C250" s="92">
        <v>52.9</v>
      </c>
    </row>
    <row r="251" spans="1:3" x14ac:dyDescent="0.2">
      <c r="A251" s="93">
        <v>40482</v>
      </c>
      <c r="B251" s="45">
        <v>0.13100000000000001</v>
      </c>
      <c r="C251" s="92">
        <v>54.8</v>
      </c>
    </row>
    <row r="252" spans="1:3" x14ac:dyDescent="0.2">
      <c r="A252" s="91">
        <v>40512</v>
      </c>
      <c r="B252" s="23">
        <v>0.13300000000000001</v>
      </c>
      <c r="C252" s="92">
        <v>55.3</v>
      </c>
    </row>
    <row r="253" spans="1:3" x14ac:dyDescent="0.2">
      <c r="A253" s="93">
        <v>40543</v>
      </c>
      <c r="B253" s="45">
        <v>0.13500000000000001</v>
      </c>
      <c r="C253" s="92">
        <v>54.4</v>
      </c>
    </row>
    <row r="254" spans="1:3" x14ac:dyDescent="0.2">
      <c r="A254" s="91">
        <v>40602</v>
      </c>
      <c r="B254" s="23">
        <v>0.14099999999999999</v>
      </c>
      <c r="C254" s="92">
        <v>51.7</v>
      </c>
    </row>
    <row r="255" spans="1:3" x14ac:dyDescent="0.2">
      <c r="A255" s="91">
        <v>40633</v>
      </c>
      <c r="B255" s="23">
        <v>0.14799999999999999</v>
      </c>
      <c r="C255" s="92">
        <v>51.8</v>
      </c>
    </row>
    <row r="256" spans="1:3" x14ac:dyDescent="0.2">
      <c r="A256" s="93">
        <v>40663</v>
      </c>
      <c r="B256" s="45">
        <v>0.13400000000000001</v>
      </c>
      <c r="C256" s="92">
        <v>51.8</v>
      </c>
    </row>
    <row r="257" spans="1:3" x14ac:dyDescent="0.2">
      <c r="A257" s="91">
        <v>40694</v>
      </c>
      <c r="B257" s="23">
        <v>0.13300000000000001</v>
      </c>
      <c r="C257" s="92">
        <v>51.6</v>
      </c>
    </row>
    <row r="258" spans="1:3" x14ac:dyDescent="0.2">
      <c r="A258" s="93">
        <v>40724</v>
      </c>
      <c r="B258" s="45">
        <v>0.151</v>
      </c>
      <c r="C258" s="92">
        <v>50.1</v>
      </c>
    </row>
    <row r="259" spans="1:3" x14ac:dyDescent="0.2">
      <c r="A259" s="91">
        <v>40755</v>
      </c>
      <c r="B259" s="23">
        <v>0.14000000000000001</v>
      </c>
      <c r="C259" s="92">
        <v>49.3</v>
      </c>
    </row>
    <row r="260" spans="1:3" x14ac:dyDescent="0.2">
      <c r="A260" s="93">
        <v>40786</v>
      </c>
      <c r="B260" s="45">
        <v>0.13500000000000001</v>
      </c>
      <c r="C260" s="92">
        <v>49.9</v>
      </c>
    </row>
    <row r="261" spans="1:3" x14ac:dyDescent="0.2">
      <c r="A261" s="91">
        <v>40816</v>
      </c>
      <c r="B261" s="23">
        <v>0.13800000000000001</v>
      </c>
      <c r="C261" s="92">
        <v>49.9</v>
      </c>
    </row>
    <row r="262" spans="1:3" x14ac:dyDescent="0.2">
      <c r="A262" s="93">
        <v>40847</v>
      </c>
      <c r="B262" s="45">
        <v>0.13200000000000001</v>
      </c>
      <c r="C262" s="92">
        <v>51</v>
      </c>
    </row>
    <row r="263" spans="1:3" x14ac:dyDescent="0.2">
      <c r="A263" s="91">
        <v>40877</v>
      </c>
      <c r="B263" s="23">
        <v>0.124</v>
      </c>
      <c r="C263" s="92">
        <v>47.7</v>
      </c>
    </row>
    <row r="264" spans="1:3" x14ac:dyDescent="0.2">
      <c r="A264" s="93">
        <v>40908</v>
      </c>
      <c r="B264" s="45">
        <v>0.128</v>
      </c>
      <c r="C264" s="92">
        <v>48.7</v>
      </c>
    </row>
    <row r="265" spans="1:3" x14ac:dyDescent="0.2">
      <c r="A265" s="91">
        <v>40968</v>
      </c>
      <c r="B265" s="23">
        <v>0.114</v>
      </c>
      <c r="C265" s="92">
        <v>49.6</v>
      </c>
    </row>
    <row r="266" spans="1:3" x14ac:dyDescent="0.2">
      <c r="A266" s="93">
        <v>40999</v>
      </c>
      <c r="B266" s="45">
        <v>0.11899999999999999</v>
      </c>
      <c r="C266" s="92">
        <v>48.3</v>
      </c>
    </row>
    <row r="267" spans="1:3" x14ac:dyDescent="0.2">
      <c r="A267" s="91">
        <v>41029</v>
      </c>
      <c r="B267" s="23">
        <v>9.2999999999999999E-2</v>
      </c>
      <c r="C267" s="92">
        <v>49.3</v>
      </c>
    </row>
    <row r="268" spans="1:3" x14ac:dyDescent="0.2">
      <c r="A268" s="93">
        <v>41060</v>
      </c>
      <c r="B268" s="45">
        <v>9.6000000000000002E-2</v>
      </c>
      <c r="C268" s="92">
        <v>48.4</v>
      </c>
    </row>
    <row r="269" spans="1:3" x14ac:dyDescent="0.2">
      <c r="A269" s="91">
        <v>41090</v>
      </c>
      <c r="B269" s="23">
        <v>9.5000000000000001E-2</v>
      </c>
      <c r="C269" s="92">
        <v>48.2</v>
      </c>
    </row>
    <row r="270" spans="1:3" x14ac:dyDescent="0.2">
      <c r="A270" s="93">
        <v>41121</v>
      </c>
      <c r="B270" s="45">
        <v>9.1999999999999998E-2</v>
      </c>
      <c r="C270" s="92">
        <v>49.3</v>
      </c>
    </row>
    <row r="271" spans="1:3" x14ac:dyDescent="0.2">
      <c r="A271" s="91">
        <v>41152</v>
      </c>
      <c r="B271" s="23">
        <v>8.8999999999999996E-2</v>
      </c>
      <c r="C271" s="92">
        <v>47.7</v>
      </c>
    </row>
    <row r="272" spans="1:3" x14ac:dyDescent="0.2">
      <c r="A272" s="93">
        <v>41182</v>
      </c>
      <c r="B272" s="45">
        <v>9.1999999999999998E-2</v>
      </c>
      <c r="C272" s="92">
        <v>47.9</v>
      </c>
    </row>
    <row r="273" spans="1:3" x14ac:dyDescent="0.2">
      <c r="A273" s="91">
        <v>41213</v>
      </c>
      <c r="B273" s="23">
        <v>9.6000000000000002E-2</v>
      </c>
      <c r="C273" s="92">
        <v>49.5</v>
      </c>
    </row>
    <row r="274" spans="1:3" x14ac:dyDescent="0.2">
      <c r="A274" s="93">
        <v>41243</v>
      </c>
      <c r="B274" s="45">
        <v>0.10100000000000001</v>
      </c>
      <c r="C274" s="92">
        <v>50.5</v>
      </c>
    </row>
    <row r="275" spans="1:3" x14ac:dyDescent="0.2">
      <c r="A275" s="91">
        <v>41274</v>
      </c>
      <c r="B275" s="23">
        <v>0.10299999999999999</v>
      </c>
      <c r="C275" s="92">
        <v>51.5</v>
      </c>
    </row>
    <row r="276" spans="1:3" x14ac:dyDescent="0.2">
      <c r="A276" s="93">
        <v>41333</v>
      </c>
      <c r="B276" s="45">
        <v>9.9000000000000005E-2</v>
      </c>
      <c r="C276" s="92">
        <v>50.4</v>
      </c>
    </row>
    <row r="277" spans="1:3" x14ac:dyDescent="0.2">
      <c r="A277" s="91">
        <v>41364</v>
      </c>
      <c r="B277" s="23">
        <v>8.8999999999999996E-2</v>
      </c>
      <c r="C277" s="92">
        <v>51.6</v>
      </c>
    </row>
    <row r="278" spans="1:3" x14ac:dyDescent="0.2">
      <c r="A278" s="93">
        <v>41394</v>
      </c>
      <c r="B278" s="45">
        <v>9.2999999999999999E-2</v>
      </c>
      <c r="C278" s="92">
        <v>50.4</v>
      </c>
    </row>
    <row r="279" spans="1:3" x14ac:dyDescent="0.2">
      <c r="A279" s="91">
        <v>41425</v>
      </c>
      <c r="B279" s="23">
        <v>9.1999999999999998E-2</v>
      </c>
      <c r="C279" s="92">
        <v>49.2</v>
      </c>
    </row>
    <row r="280" spans="1:3" x14ac:dyDescent="0.2">
      <c r="A280" s="93">
        <v>41455</v>
      </c>
      <c r="B280" s="45">
        <v>8.8999999999999996E-2</v>
      </c>
      <c r="C280" s="92">
        <v>48.2</v>
      </c>
    </row>
    <row r="281" spans="1:3" x14ac:dyDescent="0.2">
      <c r="A281" s="91">
        <v>41486</v>
      </c>
      <c r="B281" s="23">
        <v>9.7000000000000003E-2</v>
      </c>
      <c r="C281" s="92">
        <v>47.7</v>
      </c>
    </row>
    <row r="282" spans="1:3" x14ac:dyDescent="0.2">
      <c r="A282" s="93">
        <v>41517</v>
      </c>
      <c r="B282" s="45">
        <v>0.104</v>
      </c>
      <c r="C282" s="92">
        <v>50.1</v>
      </c>
    </row>
    <row r="283" spans="1:3" x14ac:dyDescent="0.2">
      <c r="A283" s="91">
        <v>41547</v>
      </c>
      <c r="B283" s="23">
        <v>0.10199999999999999</v>
      </c>
      <c r="C283" s="92">
        <v>50.2</v>
      </c>
    </row>
    <row r="284" spans="1:3" x14ac:dyDescent="0.2">
      <c r="A284" s="93">
        <v>41578</v>
      </c>
      <c r="B284" s="45">
        <v>0.10299999999999999</v>
      </c>
      <c r="C284" s="92">
        <v>50.9</v>
      </c>
    </row>
    <row r="285" spans="1:3" x14ac:dyDescent="0.2">
      <c r="A285" s="91">
        <v>41608</v>
      </c>
      <c r="B285" s="23">
        <v>0.1</v>
      </c>
      <c r="C285" s="92">
        <v>50.8</v>
      </c>
    </row>
    <row r="286" spans="1:3" x14ac:dyDescent="0.2">
      <c r="A286" s="93">
        <v>41639</v>
      </c>
      <c r="B286" s="45">
        <v>9.7000000000000003E-2</v>
      </c>
      <c r="C286" s="92">
        <v>50.5</v>
      </c>
    </row>
    <row r="287" spans="1:3" x14ac:dyDescent="0.2">
      <c r="A287" s="91">
        <v>41698</v>
      </c>
      <c r="B287" s="23">
        <v>8.5999999999999993E-2</v>
      </c>
      <c r="C287" s="92">
        <v>48.5</v>
      </c>
    </row>
    <row r="288" spans="1:3" x14ac:dyDescent="0.2">
      <c r="A288" s="93">
        <v>41729</v>
      </c>
      <c r="B288" s="45">
        <v>8.7999999999999995E-2</v>
      </c>
      <c r="C288" s="92">
        <v>48</v>
      </c>
    </row>
    <row r="289" spans="1:3" x14ac:dyDescent="0.2">
      <c r="A289" s="91">
        <v>41759</v>
      </c>
      <c r="B289" s="23">
        <v>8.6999999999999994E-2</v>
      </c>
      <c r="C289" s="92">
        <v>48.1</v>
      </c>
    </row>
    <row r="290" spans="1:3" x14ac:dyDescent="0.2">
      <c r="A290" s="93">
        <v>41790</v>
      </c>
      <c r="B290" s="45">
        <v>8.7999999999999995E-2</v>
      </c>
      <c r="C290" s="92">
        <v>49.4</v>
      </c>
    </row>
    <row r="291" spans="1:3" x14ac:dyDescent="0.2">
      <c r="A291" s="91">
        <v>41820</v>
      </c>
      <c r="B291" s="23">
        <v>9.1999999999999998E-2</v>
      </c>
      <c r="C291" s="92">
        <v>50.7</v>
      </c>
    </row>
    <row r="292" spans="1:3" x14ac:dyDescent="0.2">
      <c r="A292" s="93">
        <v>41851</v>
      </c>
      <c r="B292" s="45">
        <v>0.09</v>
      </c>
      <c r="C292" s="92">
        <v>51.7</v>
      </c>
    </row>
    <row r="293" spans="1:3" x14ac:dyDescent="0.2">
      <c r="A293" s="91">
        <v>41882</v>
      </c>
      <c r="B293" s="23">
        <v>6.9000000000000006E-2</v>
      </c>
      <c r="C293" s="92">
        <v>50.2</v>
      </c>
    </row>
    <row r="294" spans="1:3" x14ac:dyDescent="0.2">
      <c r="A294" s="93">
        <v>41912</v>
      </c>
      <c r="B294" s="45">
        <v>0.08</v>
      </c>
      <c r="C294" s="92">
        <v>51.1</v>
      </c>
    </row>
    <row r="295" spans="1:3" x14ac:dyDescent="0.2">
      <c r="A295" s="91">
        <v>41943</v>
      </c>
      <c r="B295" s="23">
        <v>7.6999999999999999E-2</v>
      </c>
      <c r="C295" s="92">
        <v>50.8</v>
      </c>
    </row>
    <row r="296" spans="1:3" x14ac:dyDescent="0.2">
      <c r="A296" s="93">
        <v>41973</v>
      </c>
      <c r="B296" s="45">
        <v>7.1999999999999995E-2</v>
      </c>
      <c r="C296" s="92">
        <v>50.3</v>
      </c>
    </row>
    <row r="297" spans="1:3" x14ac:dyDescent="0.2">
      <c r="A297" s="91">
        <v>42004</v>
      </c>
      <c r="B297" s="23">
        <v>7.9000000000000001E-2</v>
      </c>
      <c r="C297" s="92">
        <v>50.1</v>
      </c>
    </row>
    <row r="298" spans="1:3" x14ac:dyDescent="0.2">
      <c r="A298" s="93">
        <v>42063</v>
      </c>
      <c r="B298" s="45">
        <v>6.8000000000000005E-2</v>
      </c>
      <c r="C298" s="92">
        <v>49.9</v>
      </c>
    </row>
    <row r="299" spans="1:3" x14ac:dyDescent="0.2">
      <c r="A299" s="91">
        <v>42094</v>
      </c>
      <c r="B299" s="23">
        <v>5.6000000000000001E-2</v>
      </c>
      <c r="C299" s="92">
        <v>50.1</v>
      </c>
    </row>
    <row r="300" spans="1:3" x14ac:dyDescent="0.2">
      <c r="A300" s="93">
        <v>42124</v>
      </c>
      <c r="B300" s="45">
        <v>5.8999999999999997E-2</v>
      </c>
      <c r="C300" s="92">
        <v>50.1</v>
      </c>
    </row>
    <row r="301" spans="1:3" x14ac:dyDescent="0.2">
      <c r="A301" s="91">
        <v>42155</v>
      </c>
      <c r="B301" s="23">
        <v>6.0999999999999999E-2</v>
      </c>
      <c r="C301" s="92">
        <v>50.2</v>
      </c>
    </row>
    <row r="302" spans="1:3" x14ac:dyDescent="0.2">
      <c r="A302" s="93">
        <v>42185</v>
      </c>
      <c r="B302" s="45">
        <v>6.8000000000000005E-2</v>
      </c>
      <c r="C302" s="92">
        <v>50.2</v>
      </c>
    </row>
    <row r="303" spans="1:3" x14ac:dyDescent="0.2">
      <c r="A303" s="91">
        <v>42216</v>
      </c>
      <c r="B303" s="23">
        <v>0.06</v>
      </c>
      <c r="C303" s="92">
        <v>50</v>
      </c>
    </row>
    <row r="304" spans="1:3" x14ac:dyDescent="0.2">
      <c r="A304" s="93">
        <v>42247</v>
      </c>
      <c r="B304" s="45">
        <v>6.0999999999999999E-2</v>
      </c>
      <c r="C304" s="92">
        <v>47.3</v>
      </c>
    </row>
    <row r="305" spans="1:3" x14ac:dyDescent="0.2">
      <c r="A305" s="91">
        <v>42277</v>
      </c>
      <c r="B305" s="23">
        <v>5.7000000000000002E-2</v>
      </c>
      <c r="C305" s="92">
        <v>47.2</v>
      </c>
    </row>
    <row r="306" spans="1:3" x14ac:dyDescent="0.2">
      <c r="A306" s="93">
        <v>42308</v>
      </c>
      <c r="B306" s="45">
        <v>5.6000000000000001E-2</v>
      </c>
      <c r="C306" s="92">
        <v>48.3</v>
      </c>
    </row>
    <row r="307" spans="1:3" x14ac:dyDescent="0.2">
      <c r="A307" s="91">
        <v>42338</v>
      </c>
      <c r="B307" s="23">
        <v>6.2E-2</v>
      </c>
      <c r="C307" s="92">
        <v>48.6</v>
      </c>
    </row>
    <row r="308" spans="1:3" x14ac:dyDescent="0.2">
      <c r="A308" s="93">
        <v>42369</v>
      </c>
      <c r="B308" s="45">
        <v>5.8999999999999997E-2</v>
      </c>
      <c r="C308" s="92">
        <v>48.2</v>
      </c>
    </row>
    <row r="309" spans="1:3" x14ac:dyDescent="0.2">
      <c r="A309" s="91">
        <v>42400</v>
      </c>
      <c r="B309" s="23">
        <v>5.3999999999999999E-2</v>
      </c>
      <c r="C309" s="92">
        <v>48.4</v>
      </c>
    </row>
    <row r="310" spans="1:3" x14ac:dyDescent="0.2">
      <c r="A310" s="93">
        <v>42460</v>
      </c>
      <c r="B310" s="45">
        <v>6.8000000000000005E-2</v>
      </c>
      <c r="C310" s="92">
        <v>49.7</v>
      </c>
    </row>
    <row r="311" spans="1:3" x14ac:dyDescent="0.2">
      <c r="A311" s="91">
        <v>42490</v>
      </c>
      <c r="B311" s="23">
        <v>0.06</v>
      </c>
      <c r="C311" s="92">
        <v>49.4</v>
      </c>
    </row>
    <row r="312" spans="1:3" x14ac:dyDescent="0.2">
      <c r="A312" s="93">
        <v>42521</v>
      </c>
      <c r="B312" s="45">
        <v>0.06</v>
      </c>
      <c r="C312" s="92">
        <v>49.2</v>
      </c>
    </row>
    <row r="313" spans="1:3" x14ac:dyDescent="0.2">
      <c r="A313" s="91">
        <v>42551</v>
      </c>
      <c r="B313" s="23">
        <v>6.2E-2</v>
      </c>
      <c r="C313" s="92">
        <v>48.6</v>
      </c>
    </row>
    <row r="314" spans="1:3" x14ac:dyDescent="0.2">
      <c r="A314" s="93">
        <v>42582</v>
      </c>
      <c r="B314" s="45">
        <v>0.06</v>
      </c>
      <c r="C314" s="92">
        <v>50.6</v>
      </c>
    </row>
    <row r="315" spans="1:3" x14ac:dyDescent="0.2">
      <c r="A315" s="91">
        <v>42613</v>
      </c>
      <c r="B315" s="23">
        <v>6.3E-2</v>
      </c>
      <c r="C315" s="92">
        <v>50</v>
      </c>
    </row>
    <row r="316" spans="1:3" x14ac:dyDescent="0.2">
      <c r="A316" s="93">
        <v>42643</v>
      </c>
      <c r="B316" s="45">
        <v>6.0999999999999999E-2</v>
      </c>
      <c r="C316" s="92">
        <v>50.1</v>
      </c>
    </row>
    <row r="317" spans="1:3" x14ac:dyDescent="0.2">
      <c r="A317" s="91">
        <v>42674</v>
      </c>
      <c r="B317" s="23">
        <v>6.0999999999999999E-2</v>
      </c>
      <c r="C317" s="92">
        <v>51.2</v>
      </c>
    </row>
    <row r="318" spans="1:3" x14ac:dyDescent="0.2">
      <c r="A318" s="93">
        <v>42704</v>
      </c>
      <c r="B318" s="45">
        <v>6.2E-2</v>
      </c>
      <c r="C318" s="92">
        <v>50.9</v>
      </c>
    </row>
    <row r="319" spans="1:3" x14ac:dyDescent="0.2">
      <c r="A319" s="91">
        <v>42735</v>
      </c>
      <c r="B319" s="23">
        <v>0.06</v>
      </c>
      <c r="C319" s="92">
        <v>51.9</v>
      </c>
    </row>
    <row r="320" spans="1:3" x14ac:dyDescent="0.2">
      <c r="A320" s="93">
        <v>42766</v>
      </c>
      <c r="B320" s="45">
        <v>6.3E-2</v>
      </c>
      <c r="C320" s="92">
        <v>51</v>
      </c>
    </row>
    <row r="321" spans="1:3" x14ac:dyDescent="0.2">
      <c r="A321" s="91">
        <v>42825</v>
      </c>
      <c r="B321" s="23">
        <v>7.5999999999999998E-2</v>
      </c>
      <c r="C321" s="92">
        <v>51.2</v>
      </c>
    </row>
    <row r="322" spans="1:3" x14ac:dyDescent="0.2">
      <c r="A322" s="93">
        <v>42855</v>
      </c>
      <c r="B322" s="45">
        <v>6.5000000000000002E-2</v>
      </c>
      <c r="C322" s="92">
        <v>50.3</v>
      </c>
    </row>
    <row r="323" spans="1:3" x14ac:dyDescent="0.2">
      <c r="A323" s="91">
        <v>42886</v>
      </c>
      <c r="B323" s="23">
        <v>6.5000000000000002E-2</v>
      </c>
      <c r="C323" s="92">
        <v>49.6</v>
      </c>
    </row>
    <row r="324" spans="1:3" x14ac:dyDescent="0.2">
      <c r="A324" s="93">
        <v>42916</v>
      </c>
      <c r="B324" s="45">
        <v>7.5999999999999998E-2</v>
      </c>
      <c r="C324" s="92">
        <v>50.4</v>
      </c>
    </row>
    <row r="325" spans="1:3" x14ac:dyDescent="0.2">
      <c r="A325" s="91">
        <v>42947</v>
      </c>
      <c r="B325" s="23">
        <v>6.4000000000000001E-2</v>
      </c>
      <c r="C325" s="92">
        <v>51.1</v>
      </c>
    </row>
    <row r="326" spans="1:3" x14ac:dyDescent="0.2">
      <c r="A326" s="93">
        <v>42978</v>
      </c>
      <c r="B326" s="45">
        <v>0.06</v>
      </c>
      <c r="C326" s="92">
        <v>51.6</v>
      </c>
    </row>
    <row r="327" spans="1:3" x14ac:dyDescent="0.2">
      <c r="A327" s="91">
        <v>43008</v>
      </c>
      <c r="B327" s="23">
        <v>6.6000000000000003E-2</v>
      </c>
      <c r="C327" s="92">
        <v>51</v>
      </c>
    </row>
    <row r="328" spans="1:3" x14ac:dyDescent="0.2">
      <c r="A328" s="93">
        <v>43039</v>
      </c>
      <c r="B328" s="45">
        <v>6.2E-2</v>
      </c>
      <c r="C328" s="92">
        <v>51</v>
      </c>
    </row>
    <row r="329" spans="1:3" x14ac:dyDescent="0.2">
      <c r="A329" s="91">
        <v>43069</v>
      </c>
      <c r="B329" s="23">
        <v>6.0999999999999999E-2</v>
      </c>
      <c r="C329" s="92">
        <v>50.8</v>
      </c>
    </row>
    <row r="330" spans="1:3" x14ac:dyDescent="0.2">
      <c r="A330" s="93">
        <v>43100</v>
      </c>
      <c r="B330" s="45">
        <v>6.2E-2</v>
      </c>
      <c r="C330" s="92">
        <v>51.5</v>
      </c>
    </row>
    <row r="331" spans="1:3" x14ac:dyDescent="0.2">
      <c r="A331" s="91">
        <v>43159</v>
      </c>
      <c r="B331" s="23">
        <v>7.1999999999999995E-2</v>
      </c>
      <c r="C331" s="92">
        <v>51.5</v>
      </c>
    </row>
    <row r="332" spans="1:3" x14ac:dyDescent="0.2">
      <c r="A332" s="93">
        <v>43190</v>
      </c>
      <c r="B332" s="45">
        <v>0.06</v>
      </c>
      <c r="C332" s="92">
        <v>51</v>
      </c>
    </row>
    <row r="333" spans="1:3" x14ac:dyDescent="0.2">
      <c r="A333" s="91">
        <v>43220</v>
      </c>
      <c r="B333" s="23">
        <v>7.0000000000000007E-2</v>
      </c>
      <c r="C333" s="92">
        <v>51.1</v>
      </c>
    </row>
    <row r="334" spans="1:3" x14ac:dyDescent="0.2">
      <c r="A334" s="93">
        <v>43251</v>
      </c>
      <c r="B334" s="45">
        <v>6.8000000000000005E-2</v>
      </c>
      <c r="C334" s="92">
        <v>51.1</v>
      </c>
    </row>
    <row r="335" spans="1:3" x14ac:dyDescent="0.2">
      <c r="A335" s="91">
        <v>43281</v>
      </c>
      <c r="B335" s="23">
        <v>0.06</v>
      </c>
      <c r="C335" s="92">
        <v>51</v>
      </c>
    </row>
    <row r="336" spans="1:3" x14ac:dyDescent="0.2">
      <c r="A336" s="93">
        <v>43312</v>
      </c>
      <c r="B336" s="45">
        <v>0.06</v>
      </c>
      <c r="C336" s="92">
        <v>50.8</v>
      </c>
    </row>
    <row r="337" spans="1:3" x14ac:dyDescent="0.2">
      <c r="A337" s="91">
        <v>43343</v>
      </c>
      <c r="B337" s="23">
        <v>6.0999999999999999E-2</v>
      </c>
      <c r="C337" s="92">
        <v>50.6</v>
      </c>
    </row>
    <row r="338" spans="1:3" x14ac:dyDescent="0.2">
      <c r="A338" s="93">
        <v>43373</v>
      </c>
      <c r="B338" s="45">
        <v>5.8000000000000003E-2</v>
      </c>
      <c r="C338" s="92">
        <v>50</v>
      </c>
    </row>
    <row r="339" spans="1:3" x14ac:dyDescent="0.2">
      <c r="A339" s="91">
        <v>43404</v>
      </c>
      <c r="B339" s="23">
        <v>5.8999999999999997E-2</v>
      </c>
      <c r="C339" s="92">
        <v>50.1</v>
      </c>
    </row>
    <row r="340" spans="1:3" x14ac:dyDescent="0.2">
      <c r="A340" s="93">
        <v>43434</v>
      </c>
      <c r="B340" s="45">
        <v>5.3999999999999999E-2</v>
      </c>
      <c r="C340" s="92">
        <v>50.2</v>
      </c>
    </row>
    <row r="341" spans="1:3" x14ac:dyDescent="0.2">
      <c r="A341" s="91">
        <v>43465</v>
      </c>
      <c r="B341" s="23">
        <v>5.7000000000000002E-2</v>
      </c>
      <c r="C341" s="92">
        <v>49.7</v>
      </c>
    </row>
    <row r="342" spans="1:3" x14ac:dyDescent="0.2">
      <c r="A342" s="93">
        <v>43496</v>
      </c>
      <c r="B342" s="45">
        <v>5.2999999999999999E-2</v>
      </c>
      <c r="C342" s="92">
        <v>48.3</v>
      </c>
    </row>
    <row r="343" spans="1:3" x14ac:dyDescent="0.2">
      <c r="A343" s="91">
        <v>43524</v>
      </c>
      <c r="B343" s="23">
        <v>8.5000000000000006E-2</v>
      </c>
      <c r="C343" s="92">
        <v>49.9</v>
      </c>
    </row>
    <row r="344" spans="1:3" x14ac:dyDescent="0.2">
      <c r="A344" s="93">
        <v>43555</v>
      </c>
      <c r="B344" s="45">
        <v>5.3999999999999999E-2</v>
      </c>
      <c r="C344" s="92">
        <v>50.8</v>
      </c>
    </row>
    <row r="345" spans="1:3" x14ac:dyDescent="0.2">
      <c r="A345" s="93">
        <v>43585</v>
      </c>
      <c r="B345" s="45">
        <v>5.3999999999999999E-2</v>
      </c>
      <c r="C345" s="92">
        <v>50.2</v>
      </c>
    </row>
    <row r="346" spans="1:3" x14ac:dyDescent="0.2">
      <c r="A346" s="91">
        <v>43616</v>
      </c>
      <c r="B346" s="23">
        <v>0.05</v>
      </c>
      <c r="C346" s="92">
        <v>50.2</v>
      </c>
    </row>
    <row r="347" spans="1:3" x14ac:dyDescent="0.2">
      <c r="A347" s="91">
        <v>43646</v>
      </c>
      <c r="B347" s="23">
        <v>6.3E-2</v>
      </c>
      <c r="C347" s="92">
        <v>49.4</v>
      </c>
    </row>
    <row r="348" spans="1:3" x14ac:dyDescent="0.2">
      <c r="A348" s="93">
        <v>43677</v>
      </c>
      <c r="B348" s="45">
        <v>4.8000000000000001E-2</v>
      </c>
      <c r="C348" s="92">
        <v>49.9</v>
      </c>
    </row>
    <row r="349" spans="1:3" x14ac:dyDescent="0.2">
      <c r="A349" s="91">
        <v>43708</v>
      </c>
      <c r="B349" s="23">
        <v>4.3999999999999997E-2</v>
      </c>
      <c r="C349" s="92">
        <v>50.4</v>
      </c>
    </row>
    <row r="350" spans="1:3" x14ac:dyDescent="0.2">
      <c r="A350" s="93">
        <v>43738</v>
      </c>
      <c r="B350" s="45">
        <v>5.8000000000000003E-2</v>
      </c>
      <c r="C350" s="92">
        <v>51.4</v>
      </c>
    </row>
    <row r="351" spans="1:3" x14ac:dyDescent="0.2">
      <c r="A351" s="91">
        <v>43769</v>
      </c>
      <c r="B351" s="23">
        <v>4.7E-2</v>
      </c>
      <c r="C351" s="92">
        <v>51.7</v>
      </c>
    </row>
    <row r="352" spans="1:3" x14ac:dyDescent="0.2">
      <c r="A352" s="91">
        <v>43799</v>
      </c>
      <c r="B352" s="23">
        <v>6.2E-2</v>
      </c>
      <c r="C352" s="92">
        <v>51.8</v>
      </c>
    </row>
    <row r="353" spans="1:3" x14ac:dyDescent="0.2">
      <c r="A353" s="91">
        <v>43830</v>
      </c>
      <c r="B353" s="23">
        <v>6.9000000000000006E-2</v>
      </c>
      <c r="C353" s="92">
        <v>51.5</v>
      </c>
    </row>
    <row r="354" spans="1:3" x14ac:dyDescent="0.2">
      <c r="A354" s="91">
        <v>43890</v>
      </c>
      <c r="B354" s="23">
        <v>-0.13500000000000001</v>
      </c>
      <c r="C354" s="92">
        <v>51.1</v>
      </c>
    </row>
    <row r="355" spans="1:3" x14ac:dyDescent="0.2">
      <c r="A355" s="91">
        <v>43921</v>
      </c>
      <c r="B355" s="23">
        <v>-1.0999999999999999E-2</v>
      </c>
      <c r="C355" s="92">
        <v>40.299999999999997</v>
      </c>
    </row>
    <row r="356" spans="1:3" x14ac:dyDescent="0.2">
      <c r="A356" s="91">
        <v>43951</v>
      </c>
      <c r="B356" s="23">
        <v>3.9E-2</v>
      </c>
      <c r="C356" s="92">
        <v>50.1</v>
      </c>
    </row>
    <row r="357" spans="1:3" x14ac:dyDescent="0.2">
      <c r="A357" s="91">
        <v>43982</v>
      </c>
      <c r="B357" s="23">
        <v>4.3999999999999997E-2</v>
      </c>
      <c r="C357" s="92">
        <v>49.4</v>
      </c>
    </row>
    <row r="358" spans="1:3" x14ac:dyDescent="0.2">
      <c r="A358" s="91">
        <v>44012</v>
      </c>
      <c r="B358" s="23">
        <v>4.8000000000000001E-2</v>
      </c>
      <c r="C358" s="92">
        <v>50.7</v>
      </c>
    </row>
    <row r="359" spans="1:3" x14ac:dyDescent="0.2">
      <c r="A359" s="91">
        <v>44043</v>
      </c>
      <c r="B359" s="23">
        <v>4.8000000000000001E-2</v>
      </c>
      <c r="C359" s="92">
        <v>51.2</v>
      </c>
    </row>
    <row r="360" spans="1:3" x14ac:dyDescent="0.2">
      <c r="A360" s="91">
        <v>44074</v>
      </c>
      <c r="B360" s="23">
        <v>5.6000000000000001E-2</v>
      </c>
      <c r="C360" s="92">
        <v>52.8</v>
      </c>
    </row>
    <row r="361" spans="1:3" x14ac:dyDescent="0.2">
      <c r="A361" s="91">
        <v>44104</v>
      </c>
      <c r="B361" s="23">
        <v>6.9000000000000006E-2</v>
      </c>
      <c r="C361" s="92">
        <v>53.1</v>
      </c>
    </row>
    <row r="362" spans="1:3" x14ac:dyDescent="0.2">
      <c r="A362" s="91">
        <v>44135</v>
      </c>
      <c r="B362" s="23">
        <v>6.9000000000000006E-2</v>
      </c>
      <c r="C362" s="92">
        <v>53</v>
      </c>
    </row>
    <row r="363" spans="1:3" x14ac:dyDescent="0.2">
      <c r="A363" s="91">
        <v>44165</v>
      </c>
      <c r="B363" s="23">
        <v>7.0000000000000007E-2</v>
      </c>
      <c r="C363" s="92">
        <v>53.6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Big Picture</vt:lpstr>
      <vt:lpstr>World Production data</vt:lpstr>
      <vt:lpstr>Database</vt:lpstr>
      <vt:lpstr>Data World GDP</vt:lpstr>
      <vt:lpstr>China Production data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2021-12-22T09:09:57Z</dcterms:modified>
</cp:coreProperties>
</file>